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ew folder\September\23rd\New folder\"/>
    </mc:Choice>
  </mc:AlternateContent>
  <bookViews>
    <workbookView xWindow="0" yWindow="0" windowWidth="24000" windowHeight="9630" tabRatio="500" activeTab="2"/>
  </bookViews>
  <sheets>
    <sheet name="Raw_Data" sheetId="1" r:id="rId1"/>
    <sheet name="Helper" sheetId="2" state="hidden" r:id="rId2"/>
    <sheet name="EDA_Validation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3" i="3" l="1"/>
  <c r="D103" i="3" s="1"/>
  <c r="C102" i="3"/>
  <c r="D102" i="3" s="1"/>
  <c r="C98" i="3"/>
  <c r="D98" i="3" s="1"/>
  <c r="C97" i="3"/>
  <c r="D97" i="3" s="1"/>
  <c r="C96" i="3"/>
  <c r="D96" i="3" s="1"/>
  <c r="C92" i="3"/>
  <c r="D92" i="3" s="1"/>
  <c r="C91" i="3"/>
  <c r="D91" i="3" s="1"/>
  <c r="C90" i="3"/>
  <c r="D90" i="3" s="1"/>
  <c r="C86" i="3"/>
  <c r="D86" i="3" s="1"/>
  <c r="C85" i="3"/>
  <c r="D85" i="3" s="1"/>
  <c r="C84" i="3"/>
  <c r="D84" i="3" s="1"/>
  <c r="C83" i="3"/>
  <c r="D83" i="3" s="1"/>
  <c r="C82" i="3"/>
  <c r="D82" i="3" s="1"/>
  <c r="C81" i="3"/>
  <c r="D81" i="3" s="1"/>
  <c r="C76" i="3"/>
  <c r="D76" i="3" s="1"/>
  <c r="C75" i="3"/>
  <c r="D75" i="3" s="1"/>
  <c r="C73" i="3"/>
  <c r="D73" i="3" s="1"/>
  <c r="C72" i="3"/>
  <c r="D72" i="3" s="1"/>
  <c r="C68" i="3"/>
  <c r="D68" i="3" s="1"/>
  <c r="C67" i="3"/>
  <c r="D67" i="3" s="1"/>
  <c r="C66" i="3"/>
  <c r="D66" i="3" s="1"/>
  <c r="C62" i="3"/>
  <c r="D62" i="3" s="1"/>
  <c r="C61" i="3"/>
  <c r="D61" i="3" s="1"/>
  <c r="C60" i="3"/>
  <c r="D60" i="3" s="1"/>
  <c r="C56" i="3"/>
  <c r="D56" i="3" s="1"/>
  <c r="C55" i="3"/>
  <c r="D55" i="3" s="1"/>
  <c r="C54" i="3"/>
  <c r="D54" i="3" s="1"/>
  <c r="C50" i="3"/>
  <c r="D50" i="3" s="1"/>
  <c r="C48" i="3"/>
  <c r="D48" i="3" s="1"/>
  <c r="C47" i="3"/>
  <c r="D47" i="3" s="1"/>
  <c r="C42" i="3"/>
  <c r="C41" i="3"/>
  <c r="D41" i="3" s="1"/>
  <c r="C40" i="3"/>
  <c r="D40" i="3" s="1"/>
  <c r="C39" i="3"/>
  <c r="D39" i="3" s="1"/>
  <c r="C38" i="3"/>
  <c r="D38" i="3" s="1"/>
  <c r="C33" i="3"/>
  <c r="D33" i="3" s="1"/>
  <c r="C32" i="3"/>
  <c r="D32" i="3" s="1"/>
  <c r="C31" i="3"/>
  <c r="D31" i="3" s="1"/>
  <c r="C30" i="3"/>
  <c r="D30" i="3" s="1"/>
  <c r="C29" i="3"/>
  <c r="D29" i="3" s="1"/>
  <c r="C24" i="3"/>
  <c r="C25" i="3" s="1"/>
  <c r="D25" i="3" s="1"/>
  <c r="C23" i="3"/>
  <c r="D23" i="3" s="1"/>
  <c r="C22" i="3"/>
  <c r="D22" i="3" s="1"/>
  <c r="C21" i="3"/>
  <c r="D21" i="3" s="1"/>
  <c r="C20" i="3"/>
  <c r="D20" i="3" s="1"/>
  <c r="C16" i="3"/>
  <c r="D16" i="3" s="1"/>
  <c r="C15" i="3"/>
  <c r="D15" i="3" s="1"/>
  <c r="C14" i="3"/>
  <c r="D14" i="3" s="1"/>
  <c r="C10" i="3"/>
  <c r="D10" i="3" s="1"/>
  <c r="C9" i="3"/>
  <c r="D9" i="3" s="1"/>
  <c r="C8" i="3"/>
  <c r="D8" i="3" s="1"/>
  <c r="B6001" i="2"/>
  <c r="A6001" i="2"/>
  <c r="B6000" i="2"/>
  <c r="A6000" i="2"/>
  <c r="B5999" i="2"/>
  <c r="A5999" i="2"/>
  <c r="B5998" i="2"/>
  <c r="A5998" i="2"/>
  <c r="B5997" i="2"/>
  <c r="A5997" i="2"/>
  <c r="B5996" i="2"/>
  <c r="A5996" i="2"/>
  <c r="B5995" i="2"/>
  <c r="A5995" i="2"/>
  <c r="B5994" i="2"/>
  <c r="A5994" i="2"/>
  <c r="B5993" i="2"/>
  <c r="A5993" i="2"/>
  <c r="B5992" i="2"/>
  <c r="A5992" i="2"/>
  <c r="B5991" i="2"/>
  <c r="A5991" i="2"/>
  <c r="B5990" i="2"/>
  <c r="A5990" i="2"/>
  <c r="B5989" i="2"/>
  <c r="A5989" i="2"/>
  <c r="B5988" i="2"/>
  <c r="A5988" i="2"/>
  <c r="B5987" i="2"/>
  <c r="A5987" i="2"/>
  <c r="B5986" i="2"/>
  <c r="A5986" i="2"/>
  <c r="B5985" i="2"/>
  <c r="A5985" i="2"/>
  <c r="B5984" i="2"/>
  <c r="A5984" i="2"/>
  <c r="B5983" i="2"/>
  <c r="A5983" i="2"/>
  <c r="B5982" i="2"/>
  <c r="A5982" i="2"/>
  <c r="B5981" i="2"/>
  <c r="A5981" i="2"/>
  <c r="B5980" i="2"/>
  <c r="A5980" i="2"/>
  <c r="B5979" i="2"/>
  <c r="A5979" i="2"/>
  <c r="B5978" i="2"/>
  <c r="A5978" i="2"/>
  <c r="B5977" i="2"/>
  <c r="A5977" i="2"/>
  <c r="B5976" i="2"/>
  <c r="A5976" i="2"/>
  <c r="B5975" i="2"/>
  <c r="A5975" i="2"/>
  <c r="B5974" i="2"/>
  <c r="A5974" i="2"/>
  <c r="B5973" i="2"/>
  <c r="A5973" i="2"/>
  <c r="B5972" i="2"/>
  <c r="A5972" i="2"/>
  <c r="B5971" i="2"/>
  <c r="A5971" i="2"/>
  <c r="B5970" i="2"/>
  <c r="A5970" i="2"/>
  <c r="B5969" i="2"/>
  <c r="A5969" i="2"/>
  <c r="B5968" i="2"/>
  <c r="A5968" i="2"/>
  <c r="B5967" i="2"/>
  <c r="A5967" i="2"/>
  <c r="B5966" i="2"/>
  <c r="A5966" i="2"/>
  <c r="B5965" i="2"/>
  <c r="A5965" i="2"/>
  <c r="B5964" i="2"/>
  <c r="A5964" i="2"/>
  <c r="B5963" i="2"/>
  <c r="A5963" i="2"/>
  <c r="B5962" i="2"/>
  <c r="A5962" i="2"/>
  <c r="B5961" i="2"/>
  <c r="A5961" i="2"/>
  <c r="B5960" i="2"/>
  <c r="A5960" i="2"/>
  <c r="B5959" i="2"/>
  <c r="A5959" i="2"/>
  <c r="B5958" i="2"/>
  <c r="A5958" i="2"/>
  <c r="B5957" i="2"/>
  <c r="A5957" i="2"/>
  <c r="B5956" i="2"/>
  <c r="A5956" i="2"/>
  <c r="B5955" i="2"/>
  <c r="A5955" i="2"/>
  <c r="B5954" i="2"/>
  <c r="A5954" i="2"/>
  <c r="B5953" i="2"/>
  <c r="A5953" i="2"/>
  <c r="B5952" i="2"/>
  <c r="A5952" i="2"/>
  <c r="B5951" i="2"/>
  <c r="A5951" i="2"/>
  <c r="B5950" i="2"/>
  <c r="A5950" i="2"/>
  <c r="B5949" i="2"/>
  <c r="A5949" i="2"/>
  <c r="B5948" i="2"/>
  <c r="A5948" i="2"/>
  <c r="B5947" i="2"/>
  <c r="A5947" i="2"/>
  <c r="B5946" i="2"/>
  <c r="A5946" i="2"/>
  <c r="B5945" i="2"/>
  <c r="A5945" i="2"/>
  <c r="B5944" i="2"/>
  <c r="A5944" i="2"/>
  <c r="B5943" i="2"/>
  <c r="A5943" i="2"/>
  <c r="B5942" i="2"/>
  <c r="A5942" i="2"/>
  <c r="B5941" i="2"/>
  <c r="A5941" i="2"/>
  <c r="B5940" i="2"/>
  <c r="A5940" i="2"/>
  <c r="B5939" i="2"/>
  <c r="A5939" i="2"/>
  <c r="B5938" i="2"/>
  <c r="A5938" i="2"/>
  <c r="B5937" i="2"/>
  <c r="A5937" i="2"/>
  <c r="B5936" i="2"/>
  <c r="A5936" i="2"/>
  <c r="B5935" i="2"/>
  <c r="A5935" i="2"/>
  <c r="B5934" i="2"/>
  <c r="A5934" i="2"/>
  <c r="B5933" i="2"/>
  <c r="A5933" i="2"/>
  <c r="B5932" i="2"/>
  <c r="A5932" i="2"/>
  <c r="B5931" i="2"/>
  <c r="A5931" i="2"/>
  <c r="B5930" i="2"/>
  <c r="A5930" i="2"/>
  <c r="B5929" i="2"/>
  <c r="A5929" i="2"/>
  <c r="B5928" i="2"/>
  <c r="A5928" i="2"/>
  <c r="B5927" i="2"/>
  <c r="A5927" i="2"/>
  <c r="B5926" i="2"/>
  <c r="A5926" i="2"/>
  <c r="B5925" i="2"/>
  <c r="A5925" i="2"/>
  <c r="B5924" i="2"/>
  <c r="A5924" i="2"/>
  <c r="B5923" i="2"/>
  <c r="A5923" i="2"/>
  <c r="B5922" i="2"/>
  <c r="A5922" i="2"/>
  <c r="B5921" i="2"/>
  <c r="A5921" i="2"/>
  <c r="B5920" i="2"/>
  <c r="A5920" i="2"/>
  <c r="B5919" i="2"/>
  <c r="A5919" i="2"/>
  <c r="B5918" i="2"/>
  <c r="A5918" i="2"/>
  <c r="B5917" i="2"/>
  <c r="A5917" i="2"/>
  <c r="B5916" i="2"/>
  <c r="A5916" i="2"/>
  <c r="B5915" i="2"/>
  <c r="A5915" i="2"/>
  <c r="B5914" i="2"/>
  <c r="A5914" i="2"/>
  <c r="B5913" i="2"/>
  <c r="A5913" i="2"/>
  <c r="B5912" i="2"/>
  <c r="A5912" i="2"/>
  <c r="B5911" i="2"/>
  <c r="A5911" i="2"/>
  <c r="B5910" i="2"/>
  <c r="A5910" i="2"/>
  <c r="B5909" i="2"/>
  <c r="A5909" i="2"/>
  <c r="B5908" i="2"/>
  <c r="A5908" i="2"/>
  <c r="B5907" i="2"/>
  <c r="A5907" i="2"/>
  <c r="B5906" i="2"/>
  <c r="A5906" i="2"/>
  <c r="B5905" i="2"/>
  <c r="A5905" i="2"/>
  <c r="B5904" i="2"/>
  <c r="A5904" i="2"/>
  <c r="B5903" i="2"/>
  <c r="A5903" i="2"/>
  <c r="B5902" i="2"/>
  <c r="A5902" i="2"/>
  <c r="B5901" i="2"/>
  <c r="A5901" i="2"/>
  <c r="B5900" i="2"/>
  <c r="A5900" i="2"/>
  <c r="B5899" i="2"/>
  <c r="A5899" i="2"/>
  <c r="B5898" i="2"/>
  <c r="A5898" i="2"/>
  <c r="B5897" i="2"/>
  <c r="A5897" i="2"/>
  <c r="B5896" i="2"/>
  <c r="A5896" i="2"/>
  <c r="B5895" i="2"/>
  <c r="A5895" i="2"/>
  <c r="B5894" i="2"/>
  <c r="A5894" i="2"/>
  <c r="B5893" i="2"/>
  <c r="A5893" i="2"/>
  <c r="B5892" i="2"/>
  <c r="A5892" i="2"/>
  <c r="B5891" i="2"/>
  <c r="A5891" i="2"/>
  <c r="B5890" i="2"/>
  <c r="A5890" i="2"/>
  <c r="B5889" i="2"/>
  <c r="A5889" i="2"/>
  <c r="B5888" i="2"/>
  <c r="A5888" i="2"/>
  <c r="B5887" i="2"/>
  <c r="A5887" i="2"/>
  <c r="B5886" i="2"/>
  <c r="A5886" i="2"/>
  <c r="B5885" i="2"/>
  <c r="A5885" i="2"/>
  <c r="B5884" i="2"/>
  <c r="A5884" i="2"/>
  <c r="B5883" i="2"/>
  <c r="A5883" i="2"/>
  <c r="B5882" i="2"/>
  <c r="A5882" i="2"/>
  <c r="B5881" i="2"/>
  <c r="A5881" i="2"/>
  <c r="B5880" i="2"/>
  <c r="A5880" i="2"/>
  <c r="B5879" i="2"/>
  <c r="A5879" i="2"/>
  <c r="B5878" i="2"/>
  <c r="A5878" i="2"/>
  <c r="B5877" i="2"/>
  <c r="A5877" i="2"/>
  <c r="B5876" i="2"/>
  <c r="A5876" i="2"/>
  <c r="B5875" i="2"/>
  <c r="A5875" i="2"/>
  <c r="B5874" i="2"/>
  <c r="A5874" i="2"/>
  <c r="B5873" i="2"/>
  <c r="A5873" i="2"/>
  <c r="B5872" i="2"/>
  <c r="A5872" i="2"/>
  <c r="B5871" i="2"/>
  <c r="A5871" i="2"/>
  <c r="B5870" i="2"/>
  <c r="A5870" i="2"/>
  <c r="B5869" i="2"/>
  <c r="A5869" i="2"/>
  <c r="B5868" i="2"/>
  <c r="A5868" i="2"/>
  <c r="B5867" i="2"/>
  <c r="A5867" i="2"/>
  <c r="B5866" i="2"/>
  <c r="A5866" i="2"/>
  <c r="B5865" i="2"/>
  <c r="A5865" i="2"/>
  <c r="B5864" i="2"/>
  <c r="A5864" i="2"/>
  <c r="B5863" i="2"/>
  <c r="A5863" i="2"/>
  <c r="B5862" i="2"/>
  <c r="A5862" i="2"/>
  <c r="B5861" i="2"/>
  <c r="A5861" i="2"/>
  <c r="B5860" i="2"/>
  <c r="A5860" i="2"/>
  <c r="B5859" i="2"/>
  <c r="A5859" i="2"/>
  <c r="B5858" i="2"/>
  <c r="A5858" i="2"/>
  <c r="B5857" i="2"/>
  <c r="A5857" i="2"/>
  <c r="B5856" i="2"/>
  <c r="A5856" i="2"/>
  <c r="B5855" i="2"/>
  <c r="A5855" i="2"/>
  <c r="B5854" i="2"/>
  <c r="A5854" i="2"/>
  <c r="B5853" i="2"/>
  <c r="A5853" i="2"/>
  <c r="B5852" i="2"/>
  <c r="A5852" i="2"/>
  <c r="B5851" i="2"/>
  <c r="A5851" i="2"/>
  <c r="B5850" i="2"/>
  <c r="A5850" i="2"/>
  <c r="B5849" i="2"/>
  <c r="A5849" i="2"/>
  <c r="B5848" i="2"/>
  <c r="A5848" i="2"/>
  <c r="B5847" i="2"/>
  <c r="A5847" i="2"/>
  <c r="B5846" i="2"/>
  <c r="A5846" i="2"/>
  <c r="B5845" i="2"/>
  <c r="A5845" i="2"/>
  <c r="B5844" i="2"/>
  <c r="A5844" i="2"/>
  <c r="B5843" i="2"/>
  <c r="A5843" i="2"/>
  <c r="B5842" i="2"/>
  <c r="A5842" i="2"/>
  <c r="B5841" i="2"/>
  <c r="A5841" i="2"/>
  <c r="B5840" i="2"/>
  <c r="A5840" i="2"/>
  <c r="B5839" i="2"/>
  <c r="A5839" i="2"/>
  <c r="B5838" i="2"/>
  <c r="A5838" i="2"/>
  <c r="B5837" i="2"/>
  <c r="A5837" i="2"/>
  <c r="B5836" i="2"/>
  <c r="A5836" i="2"/>
  <c r="B5835" i="2"/>
  <c r="A5835" i="2"/>
  <c r="B5834" i="2"/>
  <c r="A5834" i="2"/>
  <c r="B5833" i="2"/>
  <c r="A5833" i="2"/>
  <c r="B5832" i="2"/>
  <c r="A5832" i="2"/>
  <c r="B5831" i="2"/>
  <c r="A5831" i="2"/>
  <c r="B5830" i="2"/>
  <c r="A5830" i="2"/>
  <c r="B5829" i="2"/>
  <c r="A5829" i="2"/>
  <c r="B5828" i="2"/>
  <c r="A5828" i="2"/>
  <c r="B5827" i="2"/>
  <c r="A5827" i="2"/>
  <c r="B5826" i="2"/>
  <c r="A5826" i="2"/>
  <c r="B5825" i="2"/>
  <c r="A5825" i="2"/>
  <c r="B5824" i="2"/>
  <c r="A5824" i="2"/>
  <c r="B5823" i="2"/>
  <c r="A5823" i="2"/>
  <c r="B5822" i="2"/>
  <c r="A5822" i="2"/>
  <c r="B5821" i="2"/>
  <c r="A5821" i="2"/>
  <c r="B5820" i="2"/>
  <c r="A5820" i="2"/>
  <c r="B5819" i="2"/>
  <c r="A5819" i="2"/>
  <c r="B5818" i="2"/>
  <c r="A5818" i="2"/>
  <c r="B5817" i="2"/>
  <c r="A5817" i="2"/>
  <c r="B5816" i="2"/>
  <c r="A5816" i="2"/>
  <c r="B5815" i="2"/>
  <c r="A5815" i="2"/>
  <c r="B5814" i="2"/>
  <c r="A5814" i="2"/>
  <c r="B5813" i="2"/>
  <c r="A5813" i="2"/>
  <c r="B5812" i="2"/>
  <c r="A5812" i="2"/>
  <c r="B5811" i="2"/>
  <c r="A5811" i="2"/>
  <c r="B5810" i="2"/>
  <c r="A5810" i="2"/>
  <c r="B5809" i="2"/>
  <c r="A5809" i="2"/>
  <c r="B5808" i="2"/>
  <c r="A5808" i="2"/>
  <c r="B5807" i="2"/>
  <c r="A5807" i="2"/>
  <c r="B5806" i="2"/>
  <c r="A5806" i="2"/>
  <c r="B5805" i="2"/>
  <c r="A5805" i="2"/>
  <c r="B5804" i="2"/>
  <c r="A5804" i="2"/>
  <c r="B5803" i="2"/>
  <c r="A5803" i="2"/>
  <c r="B5802" i="2"/>
  <c r="A5802" i="2"/>
  <c r="B5801" i="2"/>
  <c r="A5801" i="2"/>
  <c r="B5800" i="2"/>
  <c r="A5800" i="2"/>
  <c r="B5799" i="2"/>
  <c r="A5799" i="2"/>
  <c r="B5798" i="2"/>
  <c r="A5798" i="2"/>
  <c r="B5797" i="2"/>
  <c r="A5797" i="2"/>
  <c r="B5796" i="2"/>
  <c r="A5796" i="2"/>
  <c r="B5795" i="2"/>
  <c r="A5795" i="2"/>
  <c r="B5794" i="2"/>
  <c r="A5794" i="2"/>
  <c r="B5793" i="2"/>
  <c r="A5793" i="2"/>
  <c r="B5792" i="2"/>
  <c r="A5792" i="2"/>
  <c r="B5791" i="2"/>
  <c r="A5791" i="2"/>
  <c r="B5790" i="2"/>
  <c r="A5790" i="2"/>
  <c r="B5789" i="2"/>
  <c r="A5789" i="2"/>
  <c r="B5788" i="2"/>
  <c r="A5788" i="2"/>
  <c r="B5787" i="2"/>
  <c r="A5787" i="2"/>
  <c r="B5786" i="2"/>
  <c r="A5786" i="2"/>
  <c r="B5785" i="2"/>
  <c r="A5785" i="2"/>
  <c r="B5784" i="2"/>
  <c r="A5784" i="2"/>
  <c r="B5783" i="2"/>
  <c r="A5783" i="2"/>
  <c r="B5782" i="2"/>
  <c r="A5782" i="2"/>
  <c r="B5781" i="2"/>
  <c r="A5781" i="2"/>
  <c r="B5780" i="2"/>
  <c r="A5780" i="2"/>
  <c r="B5779" i="2"/>
  <c r="A5779" i="2"/>
  <c r="B5778" i="2"/>
  <c r="A5778" i="2"/>
  <c r="B5777" i="2"/>
  <c r="A5777" i="2"/>
  <c r="B5776" i="2"/>
  <c r="A5776" i="2"/>
  <c r="B5775" i="2"/>
  <c r="A5775" i="2"/>
  <c r="B5774" i="2"/>
  <c r="A5774" i="2"/>
  <c r="B5773" i="2"/>
  <c r="A5773" i="2"/>
  <c r="B5772" i="2"/>
  <c r="A5772" i="2"/>
  <c r="B5771" i="2"/>
  <c r="A5771" i="2"/>
  <c r="B5770" i="2"/>
  <c r="A5770" i="2"/>
  <c r="B5769" i="2"/>
  <c r="A5769" i="2"/>
  <c r="B5768" i="2"/>
  <c r="A5768" i="2"/>
  <c r="B5767" i="2"/>
  <c r="A5767" i="2"/>
  <c r="B5766" i="2"/>
  <c r="A5766" i="2"/>
  <c r="B5765" i="2"/>
  <c r="A5765" i="2"/>
  <c r="B5764" i="2"/>
  <c r="A5764" i="2"/>
  <c r="B5763" i="2"/>
  <c r="A5763" i="2"/>
  <c r="B5762" i="2"/>
  <c r="A5762" i="2"/>
  <c r="B5761" i="2"/>
  <c r="A5761" i="2"/>
  <c r="B5760" i="2"/>
  <c r="A5760" i="2"/>
  <c r="B5759" i="2"/>
  <c r="A5759" i="2"/>
  <c r="B5758" i="2"/>
  <c r="A5758" i="2"/>
  <c r="B5757" i="2"/>
  <c r="A5757" i="2"/>
  <c r="B5756" i="2"/>
  <c r="A5756" i="2"/>
  <c r="B5755" i="2"/>
  <c r="A5755" i="2"/>
  <c r="B5754" i="2"/>
  <c r="A5754" i="2"/>
  <c r="B5753" i="2"/>
  <c r="A5753" i="2"/>
  <c r="B5752" i="2"/>
  <c r="A5752" i="2"/>
  <c r="B5751" i="2"/>
  <c r="A5751" i="2"/>
  <c r="B5750" i="2"/>
  <c r="A5750" i="2"/>
  <c r="B5749" i="2"/>
  <c r="A5749" i="2"/>
  <c r="B5748" i="2"/>
  <c r="A5748" i="2"/>
  <c r="B5747" i="2"/>
  <c r="A5747" i="2"/>
  <c r="B5746" i="2"/>
  <c r="A5746" i="2"/>
  <c r="B5745" i="2"/>
  <c r="A5745" i="2"/>
  <c r="B5744" i="2"/>
  <c r="A5744" i="2"/>
  <c r="B5743" i="2"/>
  <c r="A5743" i="2"/>
  <c r="B5742" i="2"/>
  <c r="A5742" i="2"/>
  <c r="B5741" i="2"/>
  <c r="A5741" i="2"/>
  <c r="B5740" i="2"/>
  <c r="A5740" i="2"/>
  <c r="B5739" i="2"/>
  <c r="A5739" i="2"/>
  <c r="B5738" i="2"/>
  <c r="A5738" i="2"/>
  <c r="B5737" i="2"/>
  <c r="A5737" i="2"/>
  <c r="B5736" i="2"/>
  <c r="A5736" i="2"/>
  <c r="B5735" i="2"/>
  <c r="A5735" i="2"/>
  <c r="B5734" i="2"/>
  <c r="A5734" i="2"/>
  <c r="B5733" i="2"/>
  <c r="A5733" i="2"/>
  <c r="B5732" i="2"/>
  <c r="A5732" i="2"/>
  <c r="B5731" i="2"/>
  <c r="A5731" i="2"/>
  <c r="B5730" i="2"/>
  <c r="A5730" i="2"/>
  <c r="B5729" i="2"/>
  <c r="A5729" i="2"/>
  <c r="B5728" i="2"/>
  <c r="A5728" i="2"/>
  <c r="B5727" i="2"/>
  <c r="A5727" i="2"/>
  <c r="B5726" i="2"/>
  <c r="A5726" i="2"/>
  <c r="B5725" i="2"/>
  <c r="A5725" i="2"/>
  <c r="B5724" i="2"/>
  <c r="A5724" i="2"/>
  <c r="B5723" i="2"/>
  <c r="A5723" i="2"/>
  <c r="B5722" i="2"/>
  <c r="A5722" i="2"/>
  <c r="B5721" i="2"/>
  <c r="A5721" i="2"/>
  <c r="B5720" i="2"/>
  <c r="A5720" i="2"/>
  <c r="B5719" i="2"/>
  <c r="A5719" i="2"/>
  <c r="B5718" i="2"/>
  <c r="A5718" i="2"/>
  <c r="B5717" i="2"/>
  <c r="A5717" i="2"/>
  <c r="B5716" i="2"/>
  <c r="A5716" i="2"/>
  <c r="B5715" i="2"/>
  <c r="A5715" i="2"/>
  <c r="B5714" i="2"/>
  <c r="A5714" i="2"/>
  <c r="B5713" i="2"/>
  <c r="A5713" i="2"/>
  <c r="B5712" i="2"/>
  <c r="A5712" i="2"/>
  <c r="B5711" i="2"/>
  <c r="A5711" i="2"/>
  <c r="B5710" i="2"/>
  <c r="A5710" i="2"/>
  <c r="B5709" i="2"/>
  <c r="A5709" i="2"/>
  <c r="B5708" i="2"/>
  <c r="A5708" i="2"/>
  <c r="B5707" i="2"/>
  <c r="A5707" i="2"/>
  <c r="B5706" i="2"/>
  <c r="A5706" i="2"/>
  <c r="B5705" i="2"/>
  <c r="A5705" i="2"/>
  <c r="B5704" i="2"/>
  <c r="A5704" i="2"/>
  <c r="B5703" i="2"/>
  <c r="A5703" i="2"/>
  <c r="B5702" i="2"/>
  <c r="A5702" i="2"/>
  <c r="B5701" i="2"/>
  <c r="A5701" i="2"/>
  <c r="B5700" i="2"/>
  <c r="A5700" i="2"/>
  <c r="B5699" i="2"/>
  <c r="A5699" i="2"/>
  <c r="B5698" i="2"/>
  <c r="A5698" i="2"/>
  <c r="B5697" i="2"/>
  <c r="A5697" i="2"/>
  <c r="B5696" i="2"/>
  <c r="A5696" i="2"/>
  <c r="B5695" i="2"/>
  <c r="A5695" i="2"/>
  <c r="B5694" i="2"/>
  <c r="A5694" i="2"/>
  <c r="B5693" i="2"/>
  <c r="A5693" i="2"/>
  <c r="B5692" i="2"/>
  <c r="A5692" i="2"/>
  <c r="B5691" i="2"/>
  <c r="A5691" i="2"/>
  <c r="B5690" i="2"/>
  <c r="A5690" i="2"/>
  <c r="B5689" i="2"/>
  <c r="A5689" i="2"/>
  <c r="B5688" i="2"/>
  <c r="A5688" i="2"/>
  <c r="B5687" i="2"/>
  <c r="A5687" i="2"/>
  <c r="B5686" i="2"/>
  <c r="A5686" i="2"/>
  <c r="B5685" i="2"/>
  <c r="A5685" i="2"/>
  <c r="B5684" i="2"/>
  <c r="A5684" i="2"/>
  <c r="B5683" i="2"/>
  <c r="A5683" i="2"/>
  <c r="B5682" i="2"/>
  <c r="A5682" i="2"/>
  <c r="B5681" i="2"/>
  <c r="A5681" i="2"/>
  <c r="B5680" i="2"/>
  <c r="A5680" i="2"/>
  <c r="B5679" i="2"/>
  <c r="A5679" i="2"/>
  <c r="B5678" i="2"/>
  <c r="A5678" i="2"/>
  <c r="B5677" i="2"/>
  <c r="A5677" i="2"/>
  <c r="B5676" i="2"/>
  <c r="A5676" i="2"/>
  <c r="B5675" i="2"/>
  <c r="A5675" i="2"/>
  <c r="B5674" i="2"/>
  <c r="A5674" i="2"/>
  <c r="B5673" i="2"/>
  <c r="A5673" i="2"/>
  <c r="B5672" i="2"/>
  <c r="A5672" i="2"/>
  <c r="B5671" i="2"/>
  <c r="A5671" i="2"/>
  <c r="B5670" i="2"/>
  <c r="A5670" i="2"/>
  <c r="B5669" i="2"/>
  <c r="A5669" i="2"/>
  <c r="B5668" i="2"/>
  <c r="A5668" i="2"/>
  <c r="B5667" i="2"/>
  <c r="A5667" i="2"/>
  <c r="B5666" i="2"/>
  <c r="A5666" i="2"/>
  <c r="B5665" i="2"/>
  <c r="A5665" i="2"/>
  <c r="B5664" i="2"/>
  <c r="A5664" i="2"/>
  <c r="B5663" i="2"/>
  <c r="A5663" i="2"/>
  <c r="B5662" i="2"/>
  <c r="A5662" i="2"/>
  <c r="B5661" i="2"/>
  <c r="A5661" i="2"/>
  <c r="B5660" i="2"/>
  <c r="A5660" i="2"/>
  <c r="B5659" i="2"/>
  <c r="A5659" i="2"/>
  <c r="B5658" i="2"/>
  <c r="A5658" i="2"/>
  <c r="B5657" i="2"/>
  <c r="A5657" i="2"/>
  <c r="B5656" i="2"/>
  <c r="A5656" i="2"/>
  <c r="B5655" i="2"/>
  <c r="A5655" i="2"/>
  <c r="B5654" i="2"/>
  <c r="A5654" i="2"/>
  <c r="B5653" i="2"/>
  <c r="A5653" i="2"/>
  <c r="B5652" i="2"/>
  <c r="A5652" i="2"/>
  <c r="B5651" i="2"/>
  <c r="A5651" i="2"/>
  <c r="B5650" i="2"/>
  <c r="A5650" i="2"/>
  <c r="B5649" i="2"/>
  <c r="A5649" i="2"/>
  <c r="B5648" i="2"/>
  <c r="A5648" i="2"/>
  <c r="B5647" i="2"/>
  <c r="A5647" i="2"/>
  <c r="B5646" i="2"/>
  <c r="A5646" i="2"/>
  <c r="B5645" i="2"/>
  <c r="A5645" i="2"/>
  <c r="B5644" i="2"/>
  <c r="A5644" i="2"/>
  <c r="B5643" i="2"/>
  <c r="A5643" i="2"/>
  <c r="B5642" i="2"/>
  <c r="A5642" i="2"/>
  <c r="B5641" i="2"/>
  <c r="A5641" i="2"/>
  <c r="B5640" i="2"/>
  <c r="A5640" i="2"/>
  <c r="B5639" i="2"/>
  <c r="A5639" i="2"/>
  <c r="B5638" i="2"/>
  <c r="A5638" i="2"/>
  <c r="B5637" i="2"/>
  <c r="A5637" i="2"/>
  <c r="B5636" i="2"/>
  <c r="A5636" i="2"/>
  <c r="B5635" i="2"/>
  <c r="A5635" i="2"/>
  <c r="B5634" i="2"/>
  <c r="A5634" i="2"/>
  <c r="B5633" i="2"/>
  <c r="A5633" i="2"/>
  <c r="B5632" i="2"/>
  <c r="A5632" i="2"/>
  <c r="B5631" i="2"/>
  <c r="A5631" i="2"/>
  <c r="B5630" i="2"/>
  <c r="A5630" i="2"/>
  <c r="B5629" i="2"/>
  <c r="A5629" i="2"/>
  <c r="B5628" i="2"/>
  <c r="A5628" i="2"/>
  <c r="B5627" i="2"/>
  <c r="A5627" i="2"/>
  <c r="B5626" i="2"/>
  <c r="A5626" i="2"/>
  <c r="B5625" i="2"/>
  <c r="A5625" i="2"/>
  <c r="B5624" i="2"/>
  <c r="A5624" i="2"/>
  <c r="B5623" i="2"/>
  <c r="A5623" i="2"/>
  <c r="B5622" i="2"/>
  <c r="A5622" i="2"/>
  <c r="B5621" i="2"/>
  <c r="A5621" i="2"/>
  <c r="B5620" i="2"/>
  <c r="A5620" i="2"/>
  <c r="B5619" i="2"/>
  <c r="A5619" i="2"/>
  <c r="B5618" i="2"/>
  <c r="A5618" i="2"/>
  <c r="B5617" i="2"/>
  <c r="A5617" i="2"/>
  <c r="B5616" i="2"/>
  <c r="A5616" i="2"/>
  <c r="B5615" i="2"/>
  <c r="A5615" i="2"/>
  <c r="B5614" i="2"/>
  <c r="A5614" i="2"/>
  <c r="B5613" i="2"/>
  <c r="A5613" i="2"/>
  <c r="B5612" i="2"/>
  <c r="A5612" i="2"/>
  <c r="B5611" i="2"/>
  <c r="A5611" i="2"/>
  <c r="B5610" i="2"/>
  <c r="A5610" i="2"/>
  <c r="B5609" i="2"/>
  <c r="A5609" i="2"/>
  <c r="B5608" i="2"/>
  <c r="A5608" i="2"/>
  <c r="B5607" i="2"/>
  <c r="A5607" i="2"/>
  <c r="B5606" i="2"/>
  <c r="A5606" i="2"/>
  <c r="B5605" i="2"/>
  <c r="A5605" i="2"/>
  <c r="B5604" i="2"/>
  <c r="A5604" i="2"/>
  <c r="B5603" i="2"/>
  <c r="A5603" i="2"/>
  <c r="B5602" i="2"/>
  <c r="A5602" i="2"/>
  <c r="B5601" i="2"/>
  <c r="A5601" i="2"/>
  <c r="B5600" i="2"/>
  <c r="A5600" i="2"/>
  <c r="B5599" i="2"/>
  <c r="A5599" i="2"/>
  <c r="B5598" i="2"/>
  <c r="A5598" i="2"/>
  <c r="B5597" i="2"/>
  <c r="A5597" i="2"/>
  <c r="B5596" i="2"/>
  <c r="A5596" i="2"/>
  <c r="B5595" i="2"/>
  <c r="A5595" i="2"/>
  <c r="B5594" i="2"/>
  <c r="A5594" i="2"/>
  <c r="B5593" i="2"/>
  <c r="A5593" i="2"/>
  <c r="B5592" i="2"/>
  <c r="A5592" i="2"/>
  <c r="B5591" i="2"/>
  <c r="A5591" i="2"/>
  <c r="B5590" i="2"/>
  <c r="A5590" i="2"/>
  <c r="B5589" i="2"/>
  <c r="A5589" i="2"/>
  <c r="B5588" i="2"/>
  <c r="A5588" i="2"/>
  <c r="B5587" i="2"/>
  <c r="A5587" i="2"/>
  <c r="B5586" i="2"/>
  <c r="A5586" i="2"/>
  <c r="B5585" i="2"/>
  <c r="A5585" i="2"/>
  <c r="B5584" i="2"/>
  <c r="A5584" i="2"/>
  <c r="B5583" i="2"/>
  <c r="A5583" i="2"/>
  <c r="B5582" i="2"/>
  <c r="A5582" i="2"/>
  <c r="B5581" i="2"/>
  <c r="A5581" i="2"/>
  <c r="B5580" i="2"/>
  <c r="A5580" i="2"/>
  <c r="B5579" i="2"/>
  <c r="A5579" i="2"/>
  <c r="B5578" i="2"/>
  <c r="A5578" i="2"/>
  <c r="B5577" i="2"/>
  <c r="A5577" i="2"/>
  <c r="B5576" i="2"/>
  <c r="A5576" i="2"/>
  <c r="B5575" i="2"/>
  <c r="A5575" i="2"/>
  <c r="B5574" i="2"/>
  <c r="A5574" i="2"/>
  <c r="B5573" i="2"/>
  <c r="A5573" i="2"/>
  <c r="B5572" i="2"/>
  <c r="A5572" i="2"/>
  <c r="B5571" i="2"/>
  <c r="A5571" i="2"/>
  <c r="B5570" i="2"/>
  <c r="A5570" i="2"/>
  <c r="B5569" i="2"/>
  <c r="A5569" i="2"/>
  <c r="B5568" i="2"/>
  <c r="A5568" i="2"/>
  <c r="B5567" i="2"/>
  <c r="A5567" i="2"/>
  <c r="B5566" i="2"/>
  <c r="A5566" i="2"/>
  <c r="B5565" i="2"/>
  <c r="A5565" i="2"/>
  <c r="B5564" i="2"/>
  <c r="A5564" i="2"/>
  <c r="B5563" i="2"/>
  <c r="A5563" i="2"/>
  <c r="B5562" i="2"/>
  <c r="A5562" i="2"/>
  <c r="B5561" i="2"/>
  <c r="A5561" i="2"/>
  <c r="B5560" i="2"/>
  <c r="A5560" i="2"/>
  <c r="B5559" i="2"/>
  <c r="A5559" i="2"/>
  <c r="B5558" i="2"/>
  <c r="A5558" i="2"/>
  <c r="B5557" i="2"/>
  <c r="A5557" i="2"/>
  <c r="B5556" i="2"/>
  <c r="A5556" i="2"/>
  <c r="B5555" i="2"/>
  <c r="A5555" i="2"/>
  <c r="B5554" i="2"/>
  <c r="A5554" i="2"/>
  <c r="B5553" i="2"/>
  <c r="A5553" i="2"/>
  <c r="B5552" i="2"/>
  <c r="A5552" i="2"/>
  <c r="B5551" i="2"/>
  <c r="A5551" i="2"/>
  <c r="B5550" i="2"/>
  <c r="A5550" i="2"/>
  <c r="B5549" i="2"/>
  <c r="A5549" i="2"/>
  <c r="B5548" i="2"/>
  <c r="A5548" i="2"/>
  <c r="B5547" i="2"/>
  <c r="A5547" i="2"/>
  <c r="B5546" i="2"/>
  <c r="A5546" i="2"/>
  <c r="B5545" i="2"/>
  <c r="A5545" i="2"/>
  <c r="B5544" i="2"/>
  <c r="A5544" i="2"/>
  <c r="B5543" i="2"/>
  <c r="A5543" i="2"/>
  <c r="B5542" i="2"/>
  <c r="A5542" i="2"/>
  <c r="B5541" i="2"/>
  <c r="A5541" i="2"/>
  <c r="B5540" i="2"/>
  <c r="A5540" i="2"/>
  <c r="B5539" i="2"/>
  <c r="A5539" i="2"/>
  <c r="B5538" i="2"/>
  <c r="A5538" i="2"/>
  <c r="B5537" i="2"/>
  <c r="A5537" i="2"/>
  <c r="B5536" i="2"/>
  <c r="A5536" i="2"/>
  <c r="B5535" i="2"/>
  <c r="A5535" i="2"/>
  <c r="B5534" i="2"/>
  <c r="A5534" i="2"/>
  <c r="B5533" i="2"/>
  <c r="A5533" i="2"/>
  <c r="B5532" i="2"/>
  <c r="A5532" i="2"/>
  <c r="B5531" i="2"/>
  <c r="A5531" i="2"/>
  <c r="B5530" i="2"/>
  <c r="A5530" i="2"/>
  <c r="B5529" i="2"/>
  <c r="A5529" i="2"/>
  <c r="B5528" i="2"/>
  <c r="A5528" i="2"/>
  <c r="B5527" i="2"/>
  <c r="A5527" i="2"/>
  <c r="B5526" i="2"/>
  <c r="A5526" i="2"/>
  <c r="B5525" i="2"/>
  <c r="A5525" i="2"/>
  <c r="B5524" i="2"/>
  <c r="A5524" i="2"/>
  <c r="B5523" i="2"/>
  <c r="A5523" i="2"/>
  <c r="B5522" i="2"/>
  <c r="A5522" i="2"/>
  <c r="B5521" i="2"/>
  <c r="A5521" i="2"/>
  <c r="B5520" i="2"/>
  <c r="A5520" i="2"/>
  <c r="B5519" i="2"/>
  <c r="A5519" i="2"/>
  <c r="B5518" i="2"/>
  <c r="A5518" i="2"/>
  <c r="B5517" i="2"/>
  <c r="A5517" i="2"/>
  <c r="B5516" i="2"/>
  <c r="A5516" i="2"/>
  <c r="B5515" i="2"/>
  <c r="A5515" i="2"/>
  <c r="B5514" i="2"/>
  <c r="A5514" i="2"/>
  <c r="B5513" i="2"/>
  <c r="A5513" i="2"/>
  <c r="B5512" i="2"/>
  <c r="A5512" i="2"/>
  <c r="B5511" i="2"/>
  <c r="A5511" i="2"/>
  <c r="B5510" i="2"/>
  <c r="A5510" i="2"/>
  <c r="B5509" i="2"/>
  <c r="A5509" i="2"/>
  <c r="B5508" i="2"/>
  <c r="A5508" i="2"/>
  <c r="B5507" i="2"/>
  <c r="A5507" i="2"/>
  <c r="B5506" i="2"/>
  <c r="A5506" i="2"/>
  <c r="B5505" i="2"/>
  <c r="A5505" i="2"/>
  <c r="B5504" i="2"/>
  <c r="A5504" i="2"/>
  <c r="B5503" i="2"/>
  <c r="A5503" i="2"/>
  <c r="B5502" i="2"/>
  <c r="A5502" i="2"/>
  <c r="B5501" i="2"/>
  <c r="A5501" i="2"/>
  <c r="B5500" i="2"/>
  <c r="A5500" i="2"/>
  <c r="B5499" i="2"/>
  <c r="A5499" i="2"/>
  <c r="B5498" i="2"/>
  <c r="A5498" i="2"/>
  <c r="B5497" i="2"/>
  <c r="A5497" i="2"/>
  <c r="B5496" i="2"/>
  <c r="A5496" i="2"/>
  <c r="B5495" i="2"/>
  <c r="A5495" i="2"/>
  <c r="B5494" i="2"/>
  <c r="A5494" i="2"/>
  <c r="B5493" i="2"/>
  <c r="A5493" i="2"/>
  <c r="B5492" i="2"/>
  <c r="A5492" i="2"/>
  <c r="B5491" i="2"/>
  <c r="A5491" i="2"/>
  <c r="B5490" i="2"/>
  <c r="A5490" i="2"/>
  <c r="B5489" i="2"/>
  <c r="A5489" i="2"/>
  <c r="B5488" i="2"/>
  <c r="A5488" i="2"/>
  <c r="B5487" i="2"/>
  <c r="A5487" i="2"/>
  <c r="B5486" i="2"/>
  <c r="A5486" i="2"/>
  <c r="B5485" i="2"/>
  <c r="A5485" i="2"/>
  <c r="B5484" i="2"/>
  <c r="A5484" i="2"/>
  <c r="B5483" i="2"/>
  <c r="A5483" i="2"/>
  <c r="B5482" i="2"/>
  <c r="A5482" i="2"/>
  <c r="B5481" i="2"/>
  <c r="A5481" i="2"/>
  <c r="B5480" i="2"/>
  <c r="A5480" i="2"/>
  <c r="B5479" i="2"/>
  <c r="A5479" i="2"/>
  <c r="B5478" i="2"/>
  <c r="A5478" i="2"/>
  <c r="B5477" i="2"/>
  <c r="A5477" i="2"/>
  <c r="B5476" i="2"/>
  <c r="A5476" i="2"/>
  <c r="B5475" i="2"/>
  <c r="A5475" i="2"/>
  <c r="B5474" i="2"/>
  <c r="A5474" i="2"/>
  <c r="B5473" i="2"/>
  <c r="A5473" i="2"/>
  <c r="B5472" i="2"/>
  <c r="A5472" i="2"/>
  <c r="B5471" i="2"/>
  <c r="A5471" i="2"/>
  <c r="B5470" i="2"/>
  <c r="A5470" i="2"/>
  <c r="B5469" i="2"/>
  <c r="A5469" i="2"/>
  <c r="B5468" i="2"/>
  <c r="A5468" i="2"/>
  <c r="B5467" i="2"/>
  <c r="A5467" i="2"/>
  <c r="B5466" i="2"/>
  <c r="A5466" i="2"/>
  <c r="B5465" i="2"/>
  <c r="A5465" i="2"/>
  <c r="B5464" i="2"/>
  <c r="A5464" i="2"/>
  <c r="B5463" i="2"/>
  <c r="A5463" i="2"/>
  <c r="B5462" i="2"/>
  <c r="A5462" i="2"/>
  <c r="B5461" i="2"/>
  <c r="A5461" i="2"/>
  <c r="B5460" i="2"/>
  <c r="A5460" i="2"/>
  <c r="B5459" i="2"/>
  <c r="A5459" i="2"/>
  <c r="B5458" i="2"/>
  <c r="A5458" i="2"/>
  <c r="B5457" i="2"/>
  <c r="A5457" i="2"/>
  <c r="B5456" i="2"/>
  <c r="A5456" i="2"/>
  <c r="B5455" i="2"/>
  <c r="A5455" i="2"/>
  <c r="B5454" i="2"/>
  <c r="A5454" i="2"/>
  <c r="B5453" i="2"/>
  <c r="A5453" i="2"/>
  <c r="B5452" i="2"/>
  <c r="A5452" i="2"/>
  <c r="B5451" i="2"/>
  <c r="A5451" i="2"/>
  <c r="B5450" i="2"/>
  <c r="A5450" i="2"/>
  <c r="B5449" i="2"/>
  <c r="A5449" i="2"/>
  <c r="B5448" i="2"/>
  <c r="A5448" i="2"/>
  <c r="B5447" i="2"/>
  <c r="A5447" i="2"/>
  <c r="B5446" i="2"/>
  <c r="A5446" i="2"/>
  <c r="B5445" i="2"/>
  <c r="A5445" i="2"/>
  <c r="B5444" i="2"/>
  <c r="A5444" i="2"/>
  <c r="B5443" i="2"/>
  <c r="A5443" i="2"/>
  <c r="B5442" i="2"/>
  <c r="A5442" i="2"/>
  <c r="B5441" i="2"/>
  <c r="A5441" i="2"/>
  <c r="B5440" i="2"/>
  <c r="A5440" i="2"/>
  <c r="B5439" i="2"/>
  <c r="A5439" i="2"/>
  <c r="B5438" i="2"/>
  <c r="A5438" i="2"/>
  <c r="B5437" i="2"/>
  <c r="A5437" i="2"/>
  <c r="B5436" i="2"/>
  <c r="A5436" i="2"/>
  <c r="B5435" i="2"/>
  <c r="A5435" i="2"/>
  <c r="B5434" i="2"/>
  <c r="A5434" i="2"/>
  <c r="B5433" i="2"/>
  <c r="A5433" i="2"/>
  <c r="B5432" i="2"/>
  <c r="A5432" i="2"/>
  <c r="B5431" i="2"/>
  <c r="A5431" i="2"/>
  <c r="B5430" i="2"/>
  <c r="A5430" i="2"/>
  <c r="B5429" i="2"/>
  <c r="A5429" i="2"/>
  <c r="B5428" i="2"/>
  <c r="A5428" i="2"/>
  <c r="B5427" i="2"/>
  <c r="A5427" i="2"/>
  <c r="B5426" i="2"/>
  <c r="A5426" i="2"/>
  <c r="B5425" i="2"/>
  <c r="A5425" i="2"/>
  <c r="B5424" i="2"/>
  <c r="A5424" i="2"/>
  <c r="B5423" i="2"/>
  <c r="A5423" i="2"/>
  <c r="B5422" i="2"/>
  <c r="A5422" i="2"/>
  <c r="B5421" i="2"/>
  <c r="A5421" i="2"/>
  <c r="B5420" i="2"/>
  <c r="A5420" i="2"/>
  <c r="B5419" i="2"/>
  <c r="A5419" i="2"/>
  <c r="B5418" i="2"/>
  <c r="A5418" i="2"/>
  <c r="B5417" i="2"/>
  <c r="A5417" i="2"/>
  <c r="B5416" i="2"/>
  <c r="A5416" i="2"/>
  <c r="B5415" i="2"/>
  <c r="A5415" i="2"/>
  <c r="B5414" i="2"/>
  <c r="A5414" i="2"/>
  <c r="B5413" i="2"/>
  <c r="A5413" i="2"/>
  <c r="B5412" i="2"/>
  <c r="A5412" i="2"/>
  <c r="B5411" i="2"/>
  <c r="A5411" i="2"/>
  <c r="B5410" i="2"/>
  <c r="A5410" i="2"/>
  <c r="B5409" i="2"/>
  <c r="A5409" i="2"/>
  <c r="B5408" i="2"/>
  <c r="A5408" i="2"/>
  <c r="B5407" i="2"/>
  <c r="A5407" i="2"/>
  <c r="B5406" i="2"/>
  <c r="A5406" i="2"/>
  <c r="B5405" i="2"/>
  <c r="A5405" i="2"/>
  <c r="B5404" i="2"/>
  <c r="A5404" i="2"/>
  <c r="B5403" i="2"/>
  <c r="A5403" i="2"/>
  <c r="B5402" i="2"/>
  <c r="A5402" i="2"/>
  <c r="B5401" i="2"/>
  <c r="A5401" i="2"/>
  <c r="B5400" i="2"/>
  <c r="A5400" i="2"/>
  <c r="B5399" i="2"/>
  <c r="A5399" i="2"/>
  <c r="B5398" i="2"/>
  <c r="A5398" i="2"/>
  <c r="B5397" i="2"/>
  <c r="A5397" i="2"/>
  <c r="B5396" i="2"/>
  <c r="A5396" i="2"/>
  <c r="B5395" i="2"/>
  <c r="A5395" i="2"/>
  <c r="B5394" i="2"/>
  <c r="A5394" i="2"/>
  <c r="B5393" i="2"/>
  <c r="A5393" i="2"/>
  <c r="B5392" i="2"/>
  <c r="A5392" i="2"/>
  <c r="B5391" i="2"/>
  <c r="A5391" i="2"/>
  <c r="B5390" i="2"/>
  <c r="A5390" i="2"/>
  <c r="B5389" i="2"/>
  <c r="A5389" i="2"/>
  <c r="B5388" i="2"/>
  <c r="A5388" i="2"/>
  <c r="B5387" i="2"/>
  <c r="A5387" i="2"/>
  <c r="B5386" i="2"/>
  <c r="A5386" i="2"/>
  <c r="B5385" i="2"/>
  <c r="A5385" i="2"/>
  <c r="B5384" i="2"/>
  <c r="A5384" i="2"/>
  <c r="B5383" i="2"/>
  <c r="A5383" i="2"/>
  <c r="B5382" i="2"/>
  <c r="A5382" i="2"/>
  <c r="B5381" i="2"/>
  <c r="A5381" i="2"/>
  <c r="B5380" i="2"/>
  <c r="A5380" i="2"/>
  <c r="B5379" i="2"/>
  <c r="A5379" i="2"/>
  <c r="B5378" i="2"/>
  <c r="A5378" i="2"/>
  <c r="B5377" i="2"/>
  <c r="A5377" i="2"/>
  <c r="B5376" i="2"/>
  <c r="A5376" i="2"/>
  <c r="B5375" i="2"/>
  <c r="A5375" i="2"/>
  <c r="B5374" i="2"/>
  <c r="A5374" i="2"/>
  <c r="B5373" i="2"/>
  <c r="A5373" i="2"/>
  <c r="B5372" i="2"/>
  <c r="A5372" i="2"/>
  <c r="B5371" i="2"/>
  <c r="A5371" i="2"/>
  <c r="B5370" i="2"/>
  <c r="A5370" i="2"/>
  <c r="B5369" i="2"/>
  <c r="A5369" i="2"/>
  <c r="B5368" i="2"/>
  <c r="A5368" i="2"/>
  <c r="B5367" i="2"/>
  <c r="A5367" i="2"/>
  <c r="B5366" i="2"/>
  <c r="A5366" i="2"/>
  <c r="B5365" i="2"/>
  <c r="A5365" i="2"/>
  <c r="B5364" i="2"/>
  <c r="A5364" i="2"/>
  <c r="B5363" i="2"/>
  <c r="A5363" i="2"/>
  <c r="B5362" i="2"/>
  <c r="A5362" i="2"/>
  <c r="B5361" i="2"/>
  <c r="A5361" i="2"/>
  <c r="B5360" i="2"/>
  <c r="A5360" i="2"/>
  <c r="B5359" i="2"/>
  <c r="A5359" i="2"/>
  <c r="B5358" i="2"/>
  <c r="A5358" i="2"/>
  <c r="B5357" i="2"/>
  <c r="A5357" i="2"/>
  <c r="B5356" i="2"/>
  <c r="A5356" i="2"/>
  <c r="B5355" i="2"/>
  <c r="A5355" i="2"/>
  <c r="B5354" i="2"/>
  <c r="A5354" i="2"/>
  <c r="B5353" i="2"/>
  <c r="A5353" i="2"/>
  <c r="B5352" i="2"/>
  <c r="A5352" i="2"/>
  <c r="B5351" i="2"/>
  <c r="A5351" i="2"/>
  <c r="B5350" i="2"/>
  <c r="A5350" i="2"/>
  <c r="B5349" i="2"/>
  <c r="A5349" i="2"/>
  <c r="B5348" i="2"/>
  <c r="A5348" i="2"/>
  <c r="B5347" i="2"/>
  <c r="A5347" i="2"/>
  <c r="B5346" i="2"/>
  <c r="A5346" i="2"/>
  <c r="B5345" i="2"/>
  <c r="A5345" i="2"/>
  <c r="B5344" i="2"/>
  <c r="A5344" i="2"/>
  <c r="B5343" i="2"/>
  <c r="A5343" i="2"/>
  <c r="B5342" i="2"/>
  <c r="A5342" i="2"/>
  <c r="B5341" i="2"/>
  <c r="A5341" i="2"/>
  <c r="B5340" i="2"/>
  <c r="A5340" i="2"/>
  <c r="B5339" i="2"/>
  <c r="A5339" i="2"/>
  <c r="B5338" i="2"/>
  <c r="A5338" i="2"/>
  <c r="B5337" i="2"/>
  <c r="A5337" i="2"/>
  <c r="B5336" i="2"/>
  <c r="A5336" i="2"/>
  <c r="B5335" i="2"/>
  <c r="A5335" i="2"/>
  <c r="B5334" i="2"/>
  <c r="A5334" i="2"/>
  <c r="B5333" i="2"/>
  <c r="A5333" i="2"/>
  <c r="B5332" i="2"/>
  <c r="A5332" i="2"/>
  <c r="B5331" i="2"/>
  <c r="A5331" i="2"/>
  <c r="B5330" i="2"/>
  <c r="A5330" i="2"/>
  <c r="B5329" i="2"/>
  <c r="A5329" i="2"/>
  <c r="B5328" i="2"/>
  <c r="A5328" i="2"/>
  <c r="B5327" i="2"/>
  <c r="A5327" i="2"/>
  <c r="B5326" i="2"/>
  <c r="A5326" i="2"/>
  <c r="B5325" i="2"/>
  <c r="A5325" i="2"/>
  <c r="B5324" i="2"/>
  <c r="A5324" i="2"/>
  <c r="B5323" i="2"/>
  <c r="A5323" i="2"/>
  <c r="B5322" i="2"/>
  <c r="A5322" i="2"/>
  <c r="B5321" i="2"/>
  <c r="A5321" i="2"/>
  <c r="B5320" i="2"/>
  <c r="A5320" i="2"/>
  <c r="B5319" i="2"/>
  <c r="A5319" i="2"/>
  <c r="B5318" i="2"/>
  <c r="A5318" i="2"/>
  <c r="B5317" i="2"/>
  <c r="A5317" i="2"/>
  <c r="B5316" i="2"/>
  <c r="A5316" i="2"/>
  <c r="B5315" i="2"/>
  <c r="A5315" i="2"/>
  <c r="B5314" i="2"/>
  <c r="A5314" i="2"/>
  <c r="B5313" i="2"/>
  <c r="A5313" i="2"/>
  <c r="B5312" i="2"/>
  <c r="A5312" i="2"/>
  <c r="B5311" i="2"/>
  <c r="A5311" i="2"/>
  <c r="B5310" i="2"/>
  <c r="A5310" i="2"/>
  <c r="B5309" i="2"/>
  <c r="A5309" i="2"/>
  <c r="B5308" i="2"/>
  <c r="A5308" i="2"/>
  <c r="B5307" i="2"/>
  <c r="A5307" i="2"/>
  <c r="B5306" i="2"/>
  <c r="A5306" i="2"/>
  <c r="B5305" i="2"/>
  <c r="A5305" i="2"/>
  <c r="B5304" i="2"/>
  <c r="A5304" i="2"/>
  <c r="B5303" i="2"/>
  <c r="A5303" i="2"/>
  <c r="B5302" i="2"/>
  <c r="A5302" i="2"/>
  <c r="B5301" i="2"/>
  <c r="A5301" i="2"/>
  <c r="B5300" i="2"/>
  <c r="A5300" i="2"/>
  <c r="B5299" i="2"/>
  <c r="A5299" i="2"/>
  <c r="B5298" i="2"/>
  <c r="A5298" i="2"/>
  <c r="B5297" i="2"/>
  <c r="A5297" i="2"/>
  <c r="B5296" i="2"/>
  <c r="A5296" i="2"/>
  <c r="B5295" i="2"/>
  <c r="A5295" i="2"/>
  <c r="B5294" i="2"/>
  <c r="A5294" i="2"/>
  <c r="B5293" i="2"/>
  <c r="A5293" i="2"/>
  <c r="B5292" i="2"/>
  <c r="A5292" i="2"/>
  <c r="B5291" i="2"/>
  <c r="A5291" i="2"/>
  <c r="B5290" i="2"/>
  <c r="A5290" i="2"/>
  <c r="B5289" i="2"/>
  <c r="A5289" i="2"/>
  <c r="B5288" i="2"/>
  <c r="A5288" i="2"/>
  <c r="B5287" i="2"/>
  <c r="A5287" i="2"/>
  <c r="B5286" i="2"/>
  <c r="A5286" i="2"/>
  <c r="B5285" i="2"/>
  <c r="A5285" i="2"/>
  <c r="B5284" i="2"/>
  <c r="A5284" i="2"/>
  <c r="B5283" i="2"/>
  <c r="A5283" i="2"/>
  <c r="B5282" i="2"/>
  <c r="A5282" i="2"/>
  <c r="B5281" i="2"/>
  <c r="A5281" i="2"/>
  <c r="B5280" i="2"/>
  <c r="A5280" i="2"/>
  <c r="B5279" i="2"/>
  <c r="A5279" i="2"/>
  <c r="B5278" i="2"/>
  <c r="A5278" i="2"/>
  <c r="B5277" i="2"/>
  <c r="A5277" i="2"/>
  <c r="B5276" i="2"/>
  <c r="A5276" i="2"/>
  <c r="B5275" i="2"/>
  <c r="A5275" i="2"/>
  <c r="B5274" i="2"/>
  <c r="A5274" i="2"/>
  <c r="B5273" i="2"/>
  <c r="A5273" i="2"/>
  <c r="B5272" i="2"/>
  <c r="A5272" i="2"/>
  <c r="B5271" i="2"/>
  <c r="A5271" i="2"/>
  <c r="B5270" i="2"/>
  <c r="A5270" i="2"/>
  <c r="B5269" i="2"/>
  <c r="A5269" i="2"/>
  <c r="B5268" i="2"/>
  <c r="A5268" i="2"/>
  <c r="B5267" i="2"/>
  <c r="A5267" i="2"/>
  <c r="B5266" i="2"/>
  <c r="A5266" i="2"/>
  <c r="B5265" i="2"/>
  <c r="A5265" i="2"/>
  <c r="B5264" i="2"/>
  <c r="A5264" i="2"/>
  <c r="B5263" i="2"/>
  <c r="A5263" i="2"/>
  <c r="B5262" i="2"/>
  <c r="A5262" i="2"/>
  <c r="B5261" i="2"/>
  <c r="A5261" i="2"/>
  <c r="B5260" i="2"/>
  <c r="A5260" i="2"/>
  <c r="B5259" i="2"/>
  <c r="A5259" i="2"/>
  <c r="B5258" i="2"/>
  <c r="A5258" i="2"/>
  <c r="B5257" i="2"/>
  <c r="A5257" i="2"/>
  <c r="B5256" i="2"/>
  <c r="A5256" i="2"/>
  <c r="B5255" i="2"/>
  <c r="A5255" i="2"/>
  <c r="B5254" i="2"/>
  <c r="A5254" i="2"/>
  <c r="B5253" i="2"/>
  <c r="A5253" i="2"/>
  <c r="B5252" i="2"/>
  <c r="A5252" i="2"/>
  <c r="B5251" i="2"/>
  <c r="A5251" i="2"/>
  <c r="B5250" i="2"/>
  <c r="A5250" i="2"/>
  <c r="B5249" i="2"/>
  <c r="A5249" i="2"/>
  <c r="B5248" i="2"/>
  <c r="A5248" i="2"/>
  <c r="B5247" i="2"/>
  <c r="A5247" i="2"/>
  <c r="B5246" i="2"/>
  <c r="A5246" i="2"/>
  <c r="B5245" i="2"/>
  <c r="A5245" i="2"/>
  <c r="B5244" i="2"/>
  <c r="A5244" i="2"/>
  <c r="B5243" i="2"/>
  <c r="A5243" i="2"/>
  <c r="B5242" i="2"/>
  <c r="A5242" i="2"/>
  <c r="B5241" i="2"/>
  <c r="A5241" i="2"/>
  <c r="B5240" i="2"/>
  <c r="A5240" i="2"/>
  <c r="B5239" i="2"/>
  <c r="A5239" i="2"/>
  <c r="B5238" i="2"/>
  <c r="A5238" i="2"/>
  <c r="B5237" i="2"/>
  <c r="A5237" i="2"/>
  <c r="B5236" i="2"/>
  <c r="A5236" i="2"/>
  <c r="B5235" i="2"/>
  <c r="A5235" i="2"/>
  <c r="B5234" i="2"/>
  <c r="A5234" i="2"/>
  <c r="B5233" i="2"/>
  <c r="A5233" i="2"/>
  <c r="B5232" i="2"/>
  <c r="A5232" i="2"/>
  <c r="B5231" i="2"/>
  <c r="A5231" i="2"/>
  <c r="B5230" i="2"/>
  <c r="A5230" i="2"/>
  <c r="B5229" i="2"/>
  <c r="A5229" i="2"/>
  <c r="B5228" i="2"/>
  <c r="A5228" i="2"/>
  <c r="B5227" i="2"/>
  <c r="A5227" i="2"/>
  <c r="B5226" i="2"/>
  <c r="A5226" i="2"/>
  <c r="B5225" i="2"/>
  <c r="A5225" i="2"/>
  <c r="B5224" i="2"/>
  <c r="A5224" i="2"/>
  <c r="B5223" i="2"/>
  <c r="A5223" i="2"/>
  <c r="B5222" i="2"/>
  <c r="A5222" i="2"/>
  <c r="B5221" i="2"/>
  <c r="A5221" i="2"/>
  <c r="B5220" i="2"/>
  <c r="A5220" i="2"/>
  <c r="B5219" i="2"/>
  <c r="A5219" i="2"/>
  <c r="B5218" i="2"/>
  <c r="A5218" i="2"/>
  <c r="B5217" i="2"/>
  <c r="A5217" i="2"/>
  <c r="B5216" i="2"/>
  <c r="A5216" i="2"/>
  <c r="B5215" i="2"/>
  <c r="A5215" i="2"/>
  <c r="B5214" i="2"/>
  <c r="A5214" i="2"/>
  <c r="B5213" i="2"/>
  <c r="A5213" i="2"/>
  <c r="B5212" i="2"/>
  <c r="A5212" i="2"/>
  <c r="B5211" i="2"/>
  <c r="A5211" i="2"/>
  <c r="B5210" i="2"/>
  <c r="A5210" i="2"/>
  <c r="B5209" i="2"/>
  <c r="A5209" i="2"/>
  <c r="B5208" i="2"/>
  <c r="A5208" i="2"/>
  <c r="B5207" i="2"/>
  <c r="A5207" i="2"/>
  <c r="B5206" i="2"/>
  <c r="A5206" i="2"/>
  <c r="B5205" i="2"/>
  <c r="A5205" i="2"/>
  <c r="B5204" i="2"/>
  <c r="A5204" i="2"/>
  <c r="B5203" i="2"/>
  <c r="A5203" i="2"/>
  <c r="B5202" i="2"/>
  <c r="A5202" i="2"/>
  <c r="B5201" i="2"/>
  <c r="A5201" i="2"/>
  <c r="B5200" i="2"/>
  <c r="A5200" i="2"/>
  <c r="B5199" i="2"/>
  <c r="A5199" i="2"/>
  <c r="B5198" i="2"/>
  <c r="A5198" i="2"/>
  <c r="B5197" i="2"/>
  <c r="A5197" i="2"/>
  <c r="B5196" i="2"/>
  <c r="A5196" i="2"/>
  <c r="B5195" i="2"/>
  <c r="A5195" i="2"/>
  <c r="B5194" i="2"/>
  <c r="A5194" i="2"/>
  <c r="B5193" i="2"/>
  <c r="A5193" i="2"/>
  <c r="B5192" i="2"/>
  <c r="A5192" i="2"/>
  <c r="B5191" i="2"/>
  <c r="A5191" i="2"/>
  <c r="B5190" i="2"/>
  <c r="A5190" i="2"/>
  <c r="B5189" i="2"/>
  <c r="A5189" i="2"/>
  <c r="B5188" i="2"/>
  <c r="A5188" i="2"/>
  <c r="B5187" i="2"/>
  <c r="A5187" i="2"/>
  <c r="B5186" i="2"/>
  <c r="A5186" i="2"/>
  <c r="B5185" i="2"/>
  <c r="A5185" i="2"/>
  <c r="B5184" i="2"/>
  <c r="A5184" i="2"/>
  <c r="B5183" i="2"/>
  <c r="A5183" i="2"/>
  <c r="B5182" i="2"/>
  <c r="A5182" i="2"/>
  <c r="B5181" i="2"/>
  <c r="A5181" i="2"/>
  <c r="B5180" i="2"/>
  <c r="A5180" i="2"/>
  <c r="B5179" i="2"/>
  <c r="A5179" i="2"/>
  <c r="B5178" i="2"/>
  <c r="A5178" i="2"/>
  <c r="B5177" i="2"/>
  <c r="A5177" i="2"/>
  <c r="B5176" i="2"/>
  <c r="A5176" i="2"/>
  <c r="B5175" i="2"/>
  <c r="A5175" i="2"/>
  <c r="B5174" i="2"/>
  <c r="A5174" i="2"/>
  <c r="B5173" i="2"/>
  <c r="A5173" i="2"/>
  <c r="B5172" i="2"/>
  <c r="A5172" i="2"/>
  <c r="B5171" i="2"/>
  <c r="A5171" i="2"/>
  <c r="B5170" i="2"/>
  <c r="A5170" i="2"/>
  <c r="B5169" i="2"/>
  <c r="A5169" i="2"/>
  <c r="B5168" i="2"/>
  <c r="A5168" i="2"/>
  <c r="B5167" i="2"/>
  <c r="A5167" i="2"/>
  <c r="B5166" i="2"/>
  <c r="A5166" i="2"/>
  <c r="B5165" i="2"/>
  <c r="A5165" i="2"/>
  <c r="B5164" i="2"/>
  <c r="A5164" i="2"/>
  <c r="B5163" i="2"/>
  <c r="A5163" i="2"/>
  <c r="B5162" i="2"/>
  <c r="A5162" i="2"/>
  <c r="B5161" i="2"/>
  <c r="A5161" i="2"/>
  <c r="B5160" i="2"/>
  <c r="A5160" i="2"/>
  <c r="B5159" i="2"/>
  <c r="A5159" i="2"/>
  <c r="B5158" i="2"/>
  <c r="A5158" i="2"/>
  <c r="B5157" i="2"/>
  <c r="A5157" i="2"/>
  <c r="B5156" i="2"/>
  <c r="A5156" i="2"/>
  <c r="B5155" i="2"/>
  <c r="A5155" i="2"/>
  <c r="B5154" i="2"/>
  <c r="A5154" i="2"/>
  <c r="B5153" i="2"/>
  <c r="A5153" i="2"/>
  <c r="B5152" i="2"/>
  <c r="A5152" i="2"/>
  <c r="B5151" i="2"/>
  <c r="A5151" i="2"/>
  <c r="B5150" i="2"/>
  <c r="A5150" i="2"/>
  <c r="B5149" i="2"/>
  <c r="A5149" i="2"/>
  <c r="B5148" i="2"/>
  <c r="A5148" i="2"/>
  <c r="B5147" i="2"/>
  <c r="A5147" i="2"/>
  <c r="B5146" i="2"/>
  <c r="A5146" i="2"/>
  <c r="B5145" i="2"/>
  <c r="A5145" i="2"/>
  <c r="B5144" i="2"/>
  <c r="A5144" i="2"/>
  <c r="B5143" i="2"/>
  <c r="A5143" i="2"/>
  <c r="B5142" i="2"/>
  <c r="A5142" i="2"/>
  <c r="B5141" i="2"/>
  <c r="A5141" i="2"/>
  <c r="B5140" i="2"/>
  <c r="A5140" i="2"/>
  <c r="B5139" i="2"/>
  <c r="A5139" i="2"/>
  <c r="B5138" i="2"/>
  <c r="A5138" i="2"/>
  <c r="B5137" i="2"/>
  <c r="A5137" i="2"/>
  <c r="B5136" i="2"/>
  <c r="A5136" i="2"/>
  <c r="B5135" i="2"/>
  <c r="A5135" i="2"/>
  <c r="B5134" i="2"/>
  <c r="A5134" i="2"/>
  <c r="B5133" i="2"/>
  <c r="A5133" i="2"/>
  <c r="B5132" i="2"/>
  <c r="A5132" i="2"/>
  <c r="B5131" i="2"/>
  <c r="A5131" i="2"/>
  <c r="B5130" i="2"/>
  <c r="A5130" i="2"/>
  <c r="B5129" i="2"/>
  <c r="A5129" i="2"/>
  <c r="B5128" i="2"/>
  <c r="A5128" i="2"/>
  <c r="B5127" i="2"/>
  <c r="A5127" i="2"/>
  <c r="B5126" i="2"/>
  <c r="A5126" i="2"/>
  <c r="B5125" i="2"/>
  <c r="A5125" i="2"/>
  <c r="B5124" i="2"/>
  <c r="A5124" i="2"/>
  <c r="B5123" i="2"/>
  <c r="A5123" i="2"/>
  <c r="B5122" i="2"/>
  <c r="A5122" i="2"/>
  <c r="B5121" i="2"/>
  <c r="A5121" i="2"/>
  <c r="B5120" i="2"/>
  <c r="A5120" i="2"/>
  <c r="B5119" i="2"/>
  <c r="A5119" i="2"/>
  <c r="B5118" i="2"/>
  <c r="A5118" i="2"/>
  <c r="B5117" i="2"/>
  <c r="A5117" i="2"/>
  <c r="B5116" i="2"/>
  <c r="A5116" i="2"/>
  <c r="B5115" i="2"/>
  <c r="A5115" i="2"/>
  <c r="B5114" i="2"/>
  <c r="A5114" i="2"/>
  <c r="B5113" i="2"/>
  <c r="A5113" i="2"/>
  <c r="B5112" i="2"/>
  <c r="A5112" i="2"/>
  <c r="B5111" i="2"/>
  <c r="A5111" i="2"/>
  <c r="B5110" i="2"/>
  <c r="A5110" i="2"/>
  <c r="B5109" i="2"/>
  <c r="A5109" i="2"/>
  <c r="B5108" i="2"/>
  <c r="A5108" i="2"/>
  <c r="B5107" i="2"/>
  <c r="A5107" i="2"/>
  <c r="B5106" i="2"/>
  <c r="A5106" i="2"/>
  <c r="B5105" i="2"/>
  <c r="A5105" i="2"/>
  <c r="B5104" i="2"/>
  <c r="A5104" i="2"/>
  <c r="B5103" i="2"/>
  <c r="A5103" i="2"/>
  <c r="B5102" i="2"/>
  <c r="A5102" i="2"/>
  <c r="B5101" i="2"/>
  <c r="A5101" i="2"/>
  <c r="B5100" i="2"/>
  <c r="A5100" i="2"/>
  <c r="B5099" i="2"/>
  <c r="A5099" i="2"/>
  <c r="B5098" i="2"/>
  <c r="A5098" i="2"/>
  <c r="B5097" i="2"/>
  <c r="A5097" i="2"/>
  <c r="B5096" i="2"/>
  <c r="A5096" i="2"/>
  <c r="B5095" i="2"/>
  <c r="A5095" i="2"/>
  <c r="B5094" i="2"/>
  <c r="A5094" i="2"/>
  <c r="B5093" i="2"/>
  <c r="A5093" i="2"/>
  <c r="B5092" i="2"/>
  <c r="A5092" i="2"/>
  <c r="B5091" i="2"/>
  <c r="A5091" i="2"/>
  <c r="B5090" i="2"/>
  <c r="A5090" i="2"/>
  <c r="B5089" i="2"/>
  <c r="A5089" i="2"/>
  <c r="B5088" i="2"/>
  <c r="A5088" i="2"/>
  <c r="B5087" i="2"/>
  <c r="A5087" i="2"/>
  <c r="B5086" i="2"/>
  <c r="A5086" i="2"/>
  <c r="B5085" i="2"/>
  <c r="A5085" i="2"/>
  <c r="B5084" i="2"/>
  <c r="A5084" i="2"/>
  <c r="B5083" i="2"/>
  <c r="A5083" i="2"/>
  <c r="B5082" i="2"/>
  <c r="A5082" i="2"/>
  <c r="B5081" i="2"/>
  <c r="A5081" i="2"/>
  <c r="B5080" i="2"/>
  <c r="A5080" i="2"/>
  <c r="B5079" i="2"/>
  <c r="A5079" i="2"/>
  <c r="B5078" i="2"/>
  <c r="A5078" i="2"/>
  <c r="B5077" i="2"/>
  <c r="A5077" i="2"/>
  <c r="B5076" i="2"/>
  <c r="A5076" i="2"/>
  <c r="B5075" i="2"/>
  <c r="A5075" i="2"/>
  <c r="B5074" i="2"/>
  <c r="A5074" i="2"/>
  <c r="B5073" i="2"/>
  <c r="A5073" i="2"/>
  <c r="B5072" i="2"/>
  <c r="A5072" i="2"/>
  <c r="B5071" i="2"/>
  <c r="A5071" i="2"/>
  <c r="B5070" i="2"/>
  <c r="A5070" i="2"/>
  <c r="B5069" i="2"/>
  <c r="A5069" i="2"/>
  <c r="B5068" i="2"/>
  <c r="A5068" i="2"/>
  <c r="B5067" i="2"/>
  <c r="A5067" i="2"/>
  <c r="B5066" i="2"/>
  <c r="A5066" i="2"/>
  <c r="B5065" i="2"/>
  <c r="A5065" i="2"/>
  <c r="B5064" i="2"/>
  <c r="A5064" i="2"/>
  <c r="B5063" i="2"/>
  <c r="A5063" i="2"/>
  <c r="B5062" i="2"/>
  <c r="A5062" i="2"/>
  <c r="B5061" i="2"/>
  <c r="A5061" i="2"/>
  <c r="B5060" i="2"/>
  <c r="A5060" i="2"/>
  <c r="B5059" i="2"/>
  <c r="A5059" i="2"/>
  <c r="B5058" i="2"/>
  <c r="A5058" i="2"/>
  <c r="B5057" i="2"/>
  <c r="A5057" i="2"/>
  <c r="B5056" i="2"/>
  <c r="A5056" i="2"/>
  <c r="B5055" i="2"/>
  <c r="A5055" i="2"/>
  <c r="B5054" i="2"/>
  <c r="A5054" i="2"/>
  <c r="B5053" i="2"/>
  <c r="A5053" i="2"/>
  <c r="B5052" i="2"/>
  <c r="A5052" i="2"/>
  <c r="B5051" i="2"/>
  <c r="A5051" i="2"/>
  <c r="B5050" i="2"/>
  <c r="A5050" i="2"/>
  <c r="B5049" i="2"/>
  <c r="A5049" i="2"/>
  <c r="B5048" i="2"/>
  <c r="A5048" i="2"/>
  <c r="B5047" i="2"/>
  <c r="A5047" i="2"/>
  <c r="B5046" i="2"/>
  <c r="A5046" i="2"/>
  <c r="B5045" i="2"/>
  <c r="A5045" i="2"/>
  <c r="B5044" i="2"/>
  <c r="A5044" i="2"/>
  <c r="B5043" i="2"/>
  <c r="A5043" i="2"/>
  <c r="B5042" i="2"/>
  <c r="A5042" i="2"/>
  <c r="B5041" i="2"/>
  <c r="A5041" i="2"/>
  <c r="B5040" i="2"/>
  <c r="A5040" i="2"/>
  <c r="B5039" i="2"/>
  <c r="A5039" i="2"/>
  <c r="B5038" i="2"/>
  <c r="A5038" i="2"/>
  <c r="B5037" i="2"/>
  <c r="A5037" i="2"/>
  <c r="B5036" i="2"/>
  <c r="A5036" i="2"/>
  <c r="B5035" i="2"/>
  <c r="A5035" i="2"/>
  <c r="B5034" i="2"/>
  <c r="A5034" i="2"/>
  <c r="B5033" i="2"/>
  <c r="A5033" i="2"/>
  <c r="B5032" i="2"/>
  <c r="A5032" i="2"/>
  <c r="B5031" i="2"/>
  <c r="A5031" i="2"/>
  <c r="B5030" i="2"/>
  <c r="A5030" i="2"/>
  <c r="B5029" i="2"/>
  <c r="A5029" i="2"/>
  <c r="B5028" i="2"/>
  <c r="A5028" i="2"/>
  <c r="B5027" i="2"/>
  <c r="A5027" i="2"/>
  <c r="B5026" i="2"/>
  <c r="A5026" i="2"/>
  <c r="B5025" i="2"/>
  <c r="A5025" i="2"/>
  <c r="B5024" i="2"/>
  <c r="A5024" i="2"/>
  <c r="B5023" i="2"/>
  <c r="A5023" i="2"/>
  <c r="B5022" i="2"/>
  <c r="A5022" i="2"/>
  <c r="B5021" i="2"/>
  <c r="A5021" i="2"/>
  <c r="B5020" i="2"/>
  <c r="A5020" i="2"/>
  <c r="B5019" i="2"/>
  <c r="A5019" i="2"/>
  <c r="B5018" i="2"/>
  <c r="A5018" i="2"/>
  <c r="B5017" i="2"/>
  <c r="A5017" i="2"/>
  <c r="B5016" i="2"/>
  <c r="A5016" i="2"/>
  <c r="B5015" i="2"/>
  <c r="A5015" i="2"/>
  <c r="B5014" i="2"/>
  <c r="A5014" i="2"/>
  <c r="B5013" i="2"/>
  <c r="A5013" i="2"/>
  <c r="B5012" i="2"/>
  <c r="A5012" i="2"/>
  <c r="B5011" i="2"/>
  <c r="A5011" i="2"/>
  <c r="B5010" i="2"/>
  <c r="A5010" i="2"/>
  <c r="B5009" i="2"/>
  <c r="A5009" i="2"/>
  <c r="B5008" i="2"/>
  <c r="A5008" i="2"/>
  <c r="B5007" i="2"/>
  <c r="A5007" i="2"/>
  <c r="B5006" i="2"/>
  <c r="A5006" i="2"/>
  <c r="B5005" i="2"/>
  <c r="A5005" i="2"/>
  <c r="B5004" i="2"/>
  <c r="A5004" i="2"/>
  <c r="B5003" i="2"/>
  <c r="A5003" i="2"/>
  <c r="B5002" i="2"/>
  <c r="A5002" i="2"/>
  <c r="B5001" i="2"/>
  <c r="A5001" i="2"/>
  <c r="B5000" i="2"/>
  <c r="A5000" i="2"/>
  <c r="B4999" i="2"/>
  <c r="A4999" i="2"/>
  <c r="B4998" i="2"/>
  <c r="A4998" i="2"/>
  <c r="B4997" i="2"/>
  <c r="A4997" i="2"/>
  <c r="B4996" i="2"/>
  <c r="A4996" i="2"/>
  <c r="B4995" i="2"/>
  <c r="A4995" i="2"/>
  <c r="B4994" i="2"/>
  <c r="A4994" i="2"/>
  <c r="B4993" i="2"/>
  <c r="A4993" i="2"/>
  <c r="B4992" i="2"/>
  <c r="A4992" i="2"/>
  <c r="B4991" i="2"/>
  <c r="A4991" i="2"/>
  <c r="B4990" i="2"/>
  <c r="A4990" i="2"/>
  <c r="B4989" i="2"/>
  <c r="A4989" i="2"/>
  <c r="B4988" i="2"/>
  <c r="A4988" i="2"/>
  <c r="B4987" i="2"/>
  <c r="A4987" i="2"/>
  <c r="B4986" i="2"/>
  <c r="A4986" i="2"/>
  <c r="B4985" i="2"/>
  <c r="A4985" i="2"/>
  <c r="B4984" i="2"/>
  <c r="A4984" i="2"/>
  <c r="B4983" i="2"/>
  <c r="A4983" i="2"/>
  <c r="B4982" i="2"/>
  <c r="A4982" i="2"/>
  <c r="B4981" i="2"/>
  <c r="A4981" i="2"/>
  <c r="B4980" i="2"/>
  <c r="A4980" i="2"/>
  <c r="B4979" i="2"/>
  <c r="A4979" i="2"/>
  <c r="B4978" i="2"/>
  <c r="A4978" i="2"/>
  <c r="B4977" i="2"/>
  <c r="A4977" i="2"/>
  <c r="B4976" i="2"/>
  <c r="A4976" i="2"/>
  <c r="B4975" i="2"/>
  <c r="A4975" i="2"/>
  <c r="B4974" i="2"/>
  <c r="A4974" i="2"/>
  <c r="B4973" i="2"/>
  <c r="A4973" i="2"/>
  <c r="B4972" i="2"/>
  <c r="A4972" i="2"/>
  <c r="B4971" i="2"/>
  <c r="A4971" i="2"/>
  <c r="B4970" i="2"/>
  <c r="A4970" i="2"/>
  <c r="B4969" i="2"/>
  <c r="A4969" i="2"/>
  <c r="B4968" i="2"/>
  <c r="A4968" i="2"/>
  <c r="B4967" i="2"/>
  <c r="A4967" i="2"/>
  <c r="B4966" i="2"/>
  <c r="A4966" i="2"/>
  <c r="B4965" i="2"/>
  <c r="A4965" i="2"/>
  <c r="B4964" i="2"/>
  <c r="A4964" i="2"/>
  <c r="B4963" i="2"/>
  <c r="A4963" i="2"/>
  <c r="B4962" i="2"/>
  <c r="A4962" i="2"/>
  <c r="B4961" i="2"/>
  <c r="A4961" i="2"/>
  <c r="B4960" i="2"/>
  <c r="A4960" i="2"/>
  <c r="B4959" i="2"/>
  <c r="A4959" i="2"/>
  <c r="B4958" i="2"/>
  <c r="A4958" i="2"/>
  <c r="B4957" i="2"/>
  <c r="A4957" i="2"/>
  <c r="B4956" i="2"/>
  <c r="A4956" i="2"/>
  <c r="B4955" i="2"/>
  <c r="A4955" i="2"/>
  <c r="B4954" i="2"/>
  <c r="A4954" i="2"/>
  <c r="B4953" i="2"/>
  <c r="A4953" i="2"/>
  <c r="B4952" i="2"/>
  <c r="A4952" i="2"/>
  <c r="B4951" i="2"/>
  <c r="A4951" i="2"/>
  <c r="B4950" i="2"/>
  <c r="A4950" i="2"/>
  <c r="B4949" i="2"/>
  <c r="A4949" i="2"/>
  <c r="B4948" i="2"/>
  <c r="A4948" i="2"/>
  <c r="B4947" i="2"/>
  <c r="A4947" i="2"/>
  <c r="B4946" i="2"/>
  <c r="A4946" i="2"/>
  <c r="B4945" i="2"/>
  <c r="A4945" i="2"/>
  <c r="B4944" i="2"/>
  <c r="A4944" i="2"/>
  <c r="B4943" i="2"/>
  <c r="A4943" i="2"/>
  <c r="B4942" i="2"/>
  <c r="A4942" i="2"/>
  <c r="B4941" i="2"/>
  <c r="A4941" i="2"/>
  <c r="B4940" i="2"/>
  <c r="A4940" i="2"/>
  <c r="B4939" i="2"/>
  <c r="A4939" i="2"/>
  <c r="B4938" i="2"/>
  <c r="A4938" i="2"/>
  <c r="B4937" i="2"/>
  <c r="A4937" i="2"/>
  <c r="B4936" i="2"/>
  <c r="A4936" i="2"/>
  <c r="B4935" i="2"/>
  <c r="A4935" i="2"/>
  <c r="B4934" i="2"/>
  <c r="A4934" i="2"/>
  <c r="B4933" i="2"/>
  <c r="A4933" i="2"/>
  <c r="B4932" i="2"/>
  <c r="A4932" i="2"/>
  <c r="B4931" i="2"/>
  <c r="A4931" i="2"/>
  <c r="B4930" i="2"/>
  <c r="A4930" i="2"/>
  <c r="B4929" i="2"/>
  <c r="A4929" i="2"/>
  <c r="B4928" i="2"/>
  <c r="A4928" i="2"/>
  <c r="B4927" i="2"/>
  <c r="A4927" i="2"/>
  <c r="B4926" i="2"/>
  <c r="A4926" i="2"/>
  <c r="B4925" i="2"/>
  <c r="A4925" i="2"/>
  <c r="B4924" i="2"/>
  <c r="A4924" i="2"/>
  <c r="B4923" i="2"/>
  <c r="A4923" i="2"/>
  <c r="B4922" i="2"/>
  <c r="A4922" i="2"/>
  <c r="B4921" i="2"/>
  <c r="A4921" i="2"/>
  <c r="B4920" i="2"/>
  <c r="A4920" i="2"/>
  <c r="B4919" i="2"/>
  <c r="A4919" i="2"/>
  <c r="B4918" i="2"/>
  <c r="A4918" i="2"/>
  <c r="B4917" i="2"/>
  <c r="A4917" i="2"/>
  <c r="B4916" i="2"/>
  <c r="A4916" i="2"/>
  <c r="B4915" i="2"/>
  <c r="A4915" i="2"/>
  <c r="B4914" i="2"/>
  <c r="A4914" i="2"/>
  <c r="B4913" i="2"/>
  <c r="A4913" i="2"/>
  <c r="B4912" i="2"/>
  <c r="A4912" i="2"/>
  <c r="B4911" i="2"/>
  <c r="A4911" i="2"/>
  <c r="B4910" i="2"/>
  <c r="A4910" i="2"/>
  <c r="B4909" i="2"/>
  <c r="A4909" i="2"/>
  <c r="B4908" i="2"/>
  <c r="A4908" i="2"/>
  <c r="B4907" i="2"/>
  <c r="A4907" i="2"/>
  <c r="B4906" i="2"/>
  <c r="A4906" i="2"/>
  <c r="B4905" i="2"/>
  <c r="A4905" i="2"/>
  <c r="B4904" i="2"/>
  <c r="A4904" i="2"/>
  <c r="B4903" i="2"/>
  <c r="A4903" i="2"/>
  <c r="B4902" i="2"/>
  <c r="A4902" i="2"/>
  <c r="B4901" i="2"/>
  <c r="A4901" i="2"/>
  <c r="B4900" i="2"/>
  <c r="A4900" i="2"/>
  <c r="B4899" i="2"/>
  <c r="A4899" i="2"/>
  <c r="B4898" i="2"/>
  <c r="A4898" i="2"/>
  <c r="B4897" i="2"/>
  <c r="A4897" i="2"/>
  <c r="B4896" i="2"/>
  <c r="A4896" i="2"/>
  <c r="B4895" i="2"/>
  <c r="A4895" i="2"/>
  <c r="B4894" i="2"/>
  <c r="A4894" i="2"/>
  <c r="B4893" i="2"/>
  <c r="A4893" i="2"/>
  <c r="B4892" i="2"/>
  <c r="A4892" i="2"/>
  <c r="B4891" i="2"/>
  <c r="A4891" i="2"/>
  <c r="B4890" i="2"/>
  <c r="A4890" i="2"/>
  <c r="B4889" i="2"/>
  <c r="A4889" i="2"/>
  <c r="B4888" i="2"/>
  <c r="A4888" i="2"/>
  <c r="B4887" i="2"/>
  <c r="A4887" i="2"/>
  <c r="B4886" i="2"/>
  <c r="A4886" i="2"/>
  <c r="B4885" i="2"/>
  <c r="A4885" i="2"/>
  <c r="B4884" i="2"/>
  <c r="A4884" i="2"/>
  <c r="B4883" i="2"/>
  <c r="A4883" i="2"/>
  <c r="B4882" i="2"/>
  <c r="A4882" i="2"/>
  <c r="B4881" i="2"/>
  <c r="A4881" i="2"/>
  <c r="B4880" i="2"/>
  <c r="A4880" i="2"/>
  <c r="B4879" i="2"/>
  <c r="A4879" i="2"/>
  <c r="B4878" i="2"/>
  <c r="A4878" i="2"/>
  <c r="B4877" i="2"/>
  <c r="A4877" i="2"/>
  <c r="B4876" i="2"/>
  <c r="A4876" i="2"/>
  <c r="B4875" i="2"/>
  <c r="A4875" i="2"/>
  <c r="B4874" i="2"/>
  <c r="A4874" i="2"/>
  <c r="B4873" i="2"/>
  <c r="A4873" i="2"/>
  <c r="B4872" i="2"/>
  <c r="A4872" i="2"/>
  <c r="B4871" i="2"/>
  <c r="A4871" i="2"/>
  <c r="B4870" i="2"/>
  <c r="A4870" i="2"/>
  <c r="B4869" i="2"/>
  <c r="A4869" i="2"/>
  <c r="B4868" i="2"/>
  <c r="A4868" i="2"/>
  <c r="B4867" i="2"/>
  <c r="A4867" i="2"/>
  <c r="B4866" i="2"/>
  <c r="A4866" i="2"/>
  <c r="B4865" i="2"/>
  <c r="A4865" i="2"/>
  <c r="B4864" i="2"/>
  <c r="A4864" i="2"/>
  <c r="B4863" i="2"/>
  <c r="A4863" i="2"/>
  <c r="B4862" i="2"/>
  <c r="A4862" i="2"/>
  <c r="B4861" i="2"/>
  <c r="A4861" i="2"/>
  <c r="B4860" i="2"/>
  <c r="A4860" i="2"/>
  <c r="B4859" i="2"/>
  <c r="A4859" i="2"/>
  <c r="B4858" i="2"/>
  <c r="A4858" i="2"/>
  <c r="B4857" i="2"/>
  <c r="A4857" i="2"/>
  <c r="B4856" i="2"/>
  <c r="A4856" i="2"/>
  <c r="B4855" i="2"/>
  <c r="A4855" i="2"/>
  <c r="B4854" i="2"/>
  <c r="A4854" i="2"/>
  <c r="B4853" i="2"/>
  <c r="A4853" i="2"/>
  <c r="B4852" i="2"/>
  <c r="A4852" i="2"/>
  <c r="B4851" i="2"/>
  <c r="A4851" i="2"/>
  <c r="B4850" i="2"/>
  <c r="A4850" i="2"/>
  <c r="B4849" i="2"/>
  <c r="A4849" i="2"/>
  <c r="B4848" i="2"/>
  <c r="A4848" i="2"/>
  <c r="B4847" i="2"/>
  <c r="A4847" i="2"/>
  <c r="B4846" i="2"/>
  <c r="A4846" i="2"/>
  <c r="B4845" i="2"/>
  <c r="A4845" i="2"/>
  <c r="B4844" i="2"/>
  <c r="A4844" i="2"/>
  <c r="B4843" i="2"/>
  <c r="A4843" i="2"/>
  <c r="B4842" i="2"/>
  <c r="A4842" i="2"/>
  <c r="B4841" i="2"/>
  <c r="A4841" i="2"/>
  <c r="B4840" i="2"/>
  <c r="A4840" i="2"/>
  <c r="B4839" i="2"/>
  <c r="A4839" i="2"/>
  <c r="B4838" i="2"/>
  <c r="A4838" i="2"/>
  <c r="B4837" i="2"/>
  <c r="A4837" i="2"/>
  <c r="B4836" i="2"/>
  <c r="A4836" i="2"/>
  <c r="B4835" i="2"/>
  <c r="A4835" i="2"/>
  <c r="B4834" i="2"/>
  <c r="A4834" i="2"/>
  <c r="B4833" i="2"/>
  <c r="A4833" i="2"/>
  <c r="B4832" i="2"/>
  <c r="A4832" i="2"/>
  <c r="B4831" i="2"/>
  <c r="A4831" i="2"/>
  <c r="B4830" i="2"/>
  <c r="A4830" i="2"/>
  <c r="B4829" i="2"/>
  <c r="A4829" i="2"/>
  <c r="B4828" i="2"/>
  <c r="A4828" i="2"/>
  <c r="B4827" i="2"/>
  <c r="A4827" i="2"/>
  <c r="B4826" i="2"/>
  <c r="A4826" i="2"/>
  <c r="B4825" i="2"/>
  <c r="A4825" i="2"/>
  <c r="B4824" i="2"/>
  <c r="A4824" i="2"/>
  <c r="B4823" i="2"/>
  <c r="A4823" i="2"/>
  <c r="B4822" i="2"/>
  <c r="A4822" i="2"/>
  <c r="B4821" i="2"/>
  <c r="A4821" i="2"/>
  <c r="B4820" i="2"/>
  <c r="A4820" i="2"/>
  <c r="B4819" i="2"/>
  <c r="A4819" i="2"/>
  <c r="B4818" i="2"/>
  <c r="A4818" i="2"/>
  <c r="B4817" i="2"/>
  <c r="A4817" i="2"/>
  <c r="B4816" i="2"/>
  <c r="A4816" i="2"/>
  <c r="B4815" i="2"/>
  <c r="A4815" i="2"/>
  <c r="B4814" i="2"/>
  <c r="A4814" i="2"/>
  <c r="B4813" i="2"/>
  <c r="A4813" i="2"/>
  <c r="B4812" i="2"/>
  <c r="A4812" i="2"/>
  <c r="B4811" i="2"/>
  <c r="A4811" i="2"/>
  <c r="B4810" i="2"/>
  <c r="A4810" i="2"/>
  <c r="B4809" i="2"/>
  <c r="A4809" i="2"/>
  <c r="B4808" i="2"/>
  <c r="A4808" i="2"/>
  <c r="B4807" i="2"/>
  <c r="A4807" i="2"/>
  <c r="B4806" i="2"/>
  <c r="A4806" i="2"/>
  <c r="B4805" i="2"/>
  <c r="A4805" i="2"/>
  <c r="B4804" i="2"/>
  <c r="A4804" i="2"/>
  <c r="B4803" i="2"/>
  <c r="A4803" i="2"/>
  <c r="B4802" i="2"/>
  <c r="A4802" i="2"/>
  <c r="B4801" i="2"/>
  <c r="A4801" i="2"/>
  <c r="B4800" i="2"/>
  <c r="A4800" i="2"/>
  <c r="B4799" i="2"/>
  <c r="A4799" i="2"/>
  <c r="B4798" i="2"/>
  <c r="A4798" i="2"/>
  <c r="B4797" i="2"/>
  <c r="A4797" i="2"/>
  <c r="B4796" i="2"/>
  <c r="A4796" i="2"/>
  <c r="B4795" i="2"/>
  <c r="A4795" i="2"/>
  <c r="B4794" i="2"/>
  <c r="A4794" i="2"/>
  <c r="B4793" i="2"/>
  <c r="A4793" i="2"/>
  <c r="B4792" i="2"/>
  <c r="A4792" i="2"/>
  <c r="B4791" i="2"/>
  <c r="A4791" i="2"/>
  <c r="B4790" i="2"/>
  <c r="A4790" i="2"/>
  <c r="B4789" i="2"/>
  <c r="A4789" i="2"/>
  <c r="B4788" i="2"/>
  <c r="A4788" i="2"/>
  <c r="B4787" i="2"/>
  <c r="A4787" i="2"/>
  <c r="B4786" i="2"/>
  <c r="A4786" i="2"/>
  <c r="B4785" i="2"/>
  <c r="A4785" i="2"/>
  <c r="B4784" i="2"/>
  <c r="A4784" i="2"/>
  <c r="B4783" i="2"/>
  <c r="A4783" i="2"/>
  <c r="B4782" i="2"/>
  <c r="A4782" i="2"/>
  <c r="B4781" i="2"/>
  <c r="A4781" i="2"/>
  <c r="B4780" i="2"/>
  <c r="A4780" i="2"/>
  <c r="B4779" i="2"/>
  <c r="A4779" i="2"/>
  <c r="B4778" i="2"/>
  <c r="A4778" i="2"/>
  <c r="B4777" i="2"/>
  <c r="A4777" i="2"/>
  <c r="B4776" i="2"/>
  <c r="A4776" i="2"/>
  <c r="B4775" i="2"/>
  <c r="A4775" i="2"/>
  <c r="B4774" i="2"/>
  <c r="A4774" i="2"/>
  <c r="B4773" i="2"/>
  <c r="A4773" i="2"/>
  <c r="B4772" i="2"/>
  <c r="A4772" i="2"/>
  <c r="B4771" i="2"/>
  <c r="A4771" i="2"/>
  <c r="B4770" i="2"/>
  <c r="A4770" i="2"/>
  <c r="B4769" i="2"/>
  <c r="A4769" i="2"/>
  <c r="B4768" i="2"/>
  <c r="A4768" i="2"/>
  <c r="B4767" i="2"/>
  <c r="A4767" i="2"/>
  <c r="B4766" i="2"/>
  <c r="A4766" i="2"/>
  <c r="B4765" i="2"/>
  <c r="A4765" i="2"/>
  <c r="B4764" i="2"/>
  <c r="A4764" i="2"/>
  <c r="B4763" i="2"/>
  <c r="A4763" i="2"/>
  <c r="B4762" i="2"/>
  <c r="A4762" i="2"/>
  <c r="B4761" i="2"/>
  <c r="A4761" i="2"/>
  <c r="B4760" i="2"/>
  <c r="A4760" i="2"/>
  <c r="B4759" i="2"/>
  <c r="A4759" i="2"/>
  <c r="B4758" i="2"/>
  <c r="A4758" i="2"/>
  <c r="B4757" i="2"/>
  <c r="A4757" i="2"/>
  <c r="B4756" i="2"/>
  <c r="A4756" i="2"/>
  <c r="B4755" i="2"/>
  <c r="A4755" i="2"/>
  <c r="B4754" i="2"/>
  <c r="A4754" i="2"/>
  <c r="B4753" i="2"/>
  <c r="A4753" i="2"/>
  <c r="B4752" i="2"/>
  <c r="A4752" i="2"/>
  <c r="B4751" i="2"/>
  <c r="A4751" i="2"/>
  <c r="B4750" i="2"/>
  <c r="A4750" i="2"/>
  <c r="B4749" i="2"/>
  <c r="A4749" i="2"/>
  <c r="B4748" i="2"/>
  <c r="A4748" i="2"/>
  <c r="B4747" i="2"/>
  <c r="A4747" i="2"/>
  <c r="B4746" i="2"/>
  <c r="A4746" i="2"/>
  <c r="B4745" i="2"/>
  <c r="A4745" i="2"/>
  <c r="B4744" i="2"/>
  <c r="A4744" i="2"/>
  <c r="B4743" i="2"/>
  <c r="A4743" i="2"/>
  <c r="B4742" i="2"/>
  <c r="A4742" i="2"/>
  <c r="B4741" i="2"/>
  <c r="A4741" i="2"/>
  <c r="B4740" i="2"/>
  <c r="A4740" i="2"/>
  <c r="B4739" i="2"/>
  <c r="A4739" i="2"/>
  <c r="B4738" i="2"/>
  <c r="A4738" i="2"/>
  <c r="B4737" i="2"/>
  <c r="A4737" i="2"/>
  <c r="B4736" i="2"/>
  <c r="A4736" i="2"/>
  <c r="B4735" i="2"/>
  <c r="A4735" i="2"/>
  <c r="B4734" i="2"/>
  <c r="A4734" i="2"/>
  <c r="B4733" i="2"/>
  <c r="A4733" i="2"/>
  <c r="B4732" i="2"/>
  <c r="A4732" i="2"/>
  <c r="B4731" i="2"/>
  <c r="A4731" i="2"/>
  <c r="B4730" i="2"/>
  <c r="A4730" i="2"/>
  <c r="B4729" i="2"/>
  <c r="A4729" i="2"/>
  <c r="B4728" i="2"/>
  <c r="A4728" i="2"/>
  <c r="B4727" i="2"/>
  <c r="A4727" i="2"/>
  <c r="B4726" i="2"/>
  <c r="A4726" i="2"/>
  <c r="B4725" i="2"/>
  <c r="A4725" i="2"/>
  <c r="B4724" i="2"/>
  <c r="A4724" i="2"/>
  <c r="B4723" i="2"/>
  <c r="A4723" i="2"/>
  <c r="B4722" i="2"/>
  <c r="A4722" i="2"/>
  <c r="B4721" i="2"/>
  <c r="A4721" i="2"/>
  <c r="B4720" i="2"/>
  <c r="A4720" i="2"/>
  <c r="B4719" i="2"/>
  <c r="A4719" i="2"/>
  <c r="B4718" i="2"/>
  <c r="A4718" i="2"/>
  <c r="B4717" i="2"/>
  <c r="A4717" i="2"/>
  <c r="B4716" i="2"/>
  <c r="A4716" i="2"/>
  <c r="B4715" i="2"/>
  <c r="A4715" i="2"/>
  <c r="B4714" i="2"/>
  <c r="A4714" i="2"/>
  <c r="B4713" i="2"/>
  <c r="A4713" i="2"/>
  <c r="B4712" i="2"/>
  <c r="A4712" i="2"/>
  <c r="B4711" i="2"/>
  <c r="A4711" i="2"/>
  <c r="B4710" i="2"/>
  <c r="A4710" i="2"/>
  <c r="B4709" i="2"/>
  <c r="A4709" i="2"/>
  <c r="B4708" i="2"/>
  <c r="A4708" i="2"/>
  <c r="B4707" i="2"/>
  <c r="A4707" i="2"/>
  <c r="B4706" i="2"/>
  <c r="A4706" i="2"/>
  <c r="B4705" i="2"/>
  <c r="A4705" i="2"/>
  <c r="B4704" i="2"/>
  <c r="A4704" i="2"/>
  <c r="B4703" i="2"/>
  <c r="A4703" i="2"/>
  <c r="B4702" i="2"/>
  <c r="A4702" i="2"/>
  <c r="B4701" i="2"/>
  <c r="A4701" i="2"/>
  <c r="B4700" i="2"/>
  <c r="A4700" i="2"/>
  <c r="B4699" i="2"/>
  <c r="A4699" i="2"/>
  <c r="B4698" i="2"/>
  <c r="A4698" i="2"/>
  <c r="B4697" i="2"/>
  <c r="A4697" i="2"/>
  <c r="B4696" i="2"/>
  <c r="A4696" i="2"/>
  <c r="B4695" i="2"/>
  <c r="A4695" i="2"/>
  <c r="B4694" i="2"/>
  <c r="A4694" i="2"/>
  <c r="B4693" i="2"/>
  <c r="A4693" i="2"/>
  <c r="B4692" i="2"/>
  <c r="A4692" i="2"/>
  <c r="B4691" i="2"/>
  <c r="A4691" i="2"/>
  <c r="B4690" i="2"/>
  <c r="A4690" i="2"/>
  <c r="B4689" i="2"/>
  <c r="A4689" i="2"/>
  <c r="B4688" i="2"/>
  <c r="A4688" i="2"/>
  <c r="B4687" i="2"/>
  <c r="A4687" i="2"/>
  <c r="B4686" i="2"/>
  <c r="A4686" i="2"/>
  <c r="B4685" i="2"/>
  <c r="A4685" i="2"/>
  <c r="B4684" i="2"/>
  <c r="A4684" i="2"/>
  <c r="B4683" i="2"/>
  <c r="A4683" i="2"/>
  <c r="B4682" i="2"/>
  <c r="A4682" i="2"/>
  <c r="B4681" i="2"/>
  <c r="A4681" i="2"/>
  <c r="B4680" i="2"/>
  <c r="A4680" i="2"/>
  <c r="B4679" i="2"/>
  <c r="A4679" i="2"/>
  <c r="B4678" i="2"/>
  <c r="A4678" i="2"/>
  <c r="B4677" i="2"/>
  <c r="A4677" i="2"/>
  <c r="B4676" i="2"/>
  <c r="A4676" i="2"/>
  <c r="B4675" i="2"/>
  <c r="A4675" i="2"/>
  <c r="B4674" i="2"/>
  <c r="A4674" i="2"/>
  <c r="B4673" i="2"/>
  <c r="A4673" i="2"/>
  <c r="B4672" i="2"/>
  <c r="A4672" i="2"/>
  <c r="B4671" i="2"/>
  <c r="A4671" i="2"/>
  <c r="B4670" i="2"/>
  <c r="A4670" i="2"/>
  <c r="B4669" i="2"/>
  <c r="A4669" i="2"/>
  <c r="B4668" i="2"/>
  <c r="A4668" i="2"/>
  <c r="B4667" i="2"/>
  <c r="A4667" i="2"/>
  <c r="B4666" i="2"/>
  <c r="A4666" i="2"/>
  <c r="B4665" i="2"/>
  <c r="A4665" i="2"/>
  <c r="B4664" i="2"/>
  <c r="A4664" i="2"/>
  <c r="B4663" i="2"/>
  <c r="A4663" i="2"/>
  <c r="B4662" i="2"/>
  <c r="A4662" i="2"/>
  <c r="B4661" i="2"/>
  <c r="A4661" i="2"/>
  <c r="B4660" i="2"/>
  <c r="A4660" i="2"/>
  <c r="B4659" i="2"/>
  <c r="A4659" i="2"/>
  <c r="B4658" i="2"/>
  <c r="A4658" i="2"/>
  <c r="B4657" i="2"/>
  <c r="A4657" i="2"/>
  <c r="B4656" i="2"/>
  <c r="A4656" i="2"/>
  <c r="B4655" i="2"/>
  <c r="A4655" i="2"/>
  <c r="B4654" i="2"/>
  <c r="A4654" i="2"/>
  <c r="B4653" i="2"/>
  <c r="A4653" i="2"/>
  <c r="B4652" i="2"/>
  <c r="A4652" i="2"/>
  <c r="B4651" i="2"/>
  <c r="A4651" i="2"/>
  <c r="B4650" i="2"/>
  <c r="A4650" i="2"/>
  <c r="B4649" i="2"/>
  <c r="A4649" i="2"/>
  <c r="B4648" i="2"/>
  <c r="A4648" i="2"/>
  <c r="B4647" i="2"/>
  <c r="A4647" i="2"/>
  <c r="B4646" i="2"/>
  <c r="A4646" i="2"/>
  <c r="B4645" i="2"/>
  <c r="A4645" i="2"/>
  <c r="B4644" i="2"/>
  <c r="A4644" i="2"/>
  <c r="B4643" i="2"/>
  <c r="A4643" i="2"/>
  <c r="B4642" i="2"/>
  <c r="A4642" i="2"/>
  <c r="B4641" i="2"/>
  <c r="A4641" i="2"/>
  <c r="B4640" i="2"/>
  <c r="A4640" i="2"/>
  <c r="B4639" i="2"/>
  <c r="A4639" i="2"/>
  <c r="B4638" i="2"/>
  <c r="A4638" i="2"/>
  <c r="B4637" i="2"/>
  <c r="A4637" i="2"/>
  <c r="B4636" i="2"/>
  <c r="A4636" i="2"/>
  <c r="B4635" i="2"/>
  <c r="A4635" i="2"/>
  <c r="B4634" i="2"/>
  <c r="A4634" i="2"/>
  <c r="B4633" i="2"/>
  <c r="A4633" i="2"/>
  <c r="B4632" i="2"/>
  <c r="A4632" i="2"/>
  <c r="B4631" i="2"/>
  <c r="A4631" i="2"/>
  <c r="B4630" i="2"/>
  <c r="A4630" i="2"/>
  <c r="B4629" i="2"/>
  <c r="A4629" i="2"/>
  <c r="B4628" i="2"/>
  <c r="A4628" i="2"/>
  <c r="B4627" i="2"/>
  <c r="A4627" i="2"/>
  <c r="B4626" i="2"/>
  <c r="A4626" i="2"/>
  <c r="B4625" i="2"/>
  <c r="A4625" i="2"/>
  <c r="B4624" i="2"/>
  <c r="A4624" i="2"/>
  <c r="B4623" i="2"/>
  <c r="A4623" i="2"/>
  <c r="B4622" i="2"/>
  <c r="A4622" i="2"/>
  <c r="B4621" i="2"/>
  <c r="A4621" i="2"/>
  <c r="B4620" i="2"/>
  <c r="A4620" i="2"/>
  <c r="B4619" i="2"/>
  <c r="A4619" i="2"/>
  <c r="B4618" i="2"/>
  <c r="A4618" i="2"/>
  <c r="B4617" i="2"/>
  <c r="A4617" i="2"/>
  <c r="B4616" i="2"/>
  <c r="A4616" i="2"/>
  <c r="B4615" i="2"/>
  <c r="A4615" i="2"/>
  <c r="B4614" i="2"/>
  <c r="A4614" i="2"/>
  <c r="B4613" i="2"/>
  <c r="A4613" i="2"/>
  <c r="B4612" i="2"/>
  <c r="A4612" i="2"/>
  <c r="B4611" i="2"/>
  <c r="A4611" i="2"/>
  <c r="B4610" i="2"/>
  <c r="A4610" i="2"/>
  <c r="B4609" i="2"/>
  <c r="A4609" i="2"/>
  <c r="B4608" i="2"/>
  <c r="A4608" i="2"/>
  <c r="B4607" i="2"/>
  <c r="A4607" i="2"/>
  <c r="B4606" i="2"/>
  <c r="A4606" i="2"/>
  <c r="B4605" i="2"/>
  <c r="A4605" i="2"/>
  <c r="B4604" i="2"/>
  <c r="A4604" i="2"/>
  <c r="B4603" i="2"/>
  <c r="A4603" i="2"/>
  <c r="B4602" i="2"/>
  <c r="A4602" i="2"/>
  <c r="B4601" i="2"/>
  <c r="A4601" i="2"/>
  <c r="B4600" i="2"/>
  <c r="A4600" i="2"/>
  <c r="B4599" i="2"/>
  <c r="A4599" i="2"/>
  <c r="B4598" i="2"/>
  <c r="A4598" i="2"/>
  <c r="B4597" i="2"/>
  <c r="A4597" i="2"/>
  <c r="B4596" i="2"/>
  <c r="A4596" i="2"/>
  <c r="B4595" i="2"/>
  <c r="A4595" i="2"/>
  <c r="B4594" i="2"/>
  <c r="A4594" i="2"/>
  <c r="B4593" i="2"/>
  <c r="A4593" i="2"/>
  <c r="B4592" i="2"/>
  <c r="A4592" i="2"/>
  <c r="B4591" i="2"/>
  <c r="A4591" i="2"/>
  <c r="B4590" i="2"/>
  <c r="A4590" i="2"/>
  <c r="B4589" i="2"/>
  <c r="A4589" i="2"/>
  <c r="B4588" i="2"/>
  <c r="A4588" i="2"/>
  <c r="B4587" i="2"/>
  <c r="A4587" i="2"/>
  <c r="B4586" i="2"/>
  <c r="A4586" i="2"/>
  <c r="B4585" i="2"/>
  <c r="A4585" i="2"/>
  <c r="B4584" i="2"/>
  <c r="A4584" i="2"/>
  <c r="B4583" i="2"/>
  <c r="A4583" i="2"/>
  <c r="B4582" i="2"/>
  <c r="A4582" i="2"/>
  <c r="B4581" i="2"/>
  <c r="A4581" i="2"/>
  <c r="B4580" i="2"/>
  <c r="A4580" i="2"/>
  <c r="B4579" i="2"/>
  <c r="A4579" i="2"/>
  <c r="B4578" i="2"/>
  <c r="A4578" i="2"/>
  <c r="B4577" i="2"/>
  <c r="A4577" i="2"/>
  <c r="B4576" i="2"/>
  <c r="A4576" i="2"/>
  <c r="B4575" i="2"/>
  <c r="A4575" i="2"/>
  <c r="B4574" i="2"/>
  <c r="A4574" i="2"/>
  <c r="B4573" i="2"/>
  <c r="A4573" i="2"/>
  <c r="B4572" i="2"/>
  <c r="A4572" i="2"/>
  <c r="B4571" i="2"/>
  <c r="A4571" i="2"/>
  <c r="B4570" i="2"/>
  <c r="A4570" i="2"/>
  <c r="B4569" i="2"/>
  <c r="A4569" i="2"/>
  <c r="B4568" i="2"/>
  <c r="A4568" i="2"/>
  <c r="B4567" i="2"/>
  <c r="A4567" i="2"/>
  <c r="B4566" i="2"/>
  <c r="A4566" i="2"/>
  <c r="B4565" i="2"/>
  <c r="A4565" i="2"/>
  <c r="B4564" i="2"/>
  <c r="A4564" i="2"/>
  <c r="B4563" i="2"/>
  <c r="A4563" i="2"/>
  <c r="B4562" i="2"/>
  <c r="A4562" i="2"/>
  <c r="B4561" i="2"/>
  <c r="A4561" i="2"/>
  <c r="B4560" i="2"/>
  <c r="A4560" i="2"/>
  <c r="B4559" i="2"/>
  <c r="A4559" i="2"/>
  <c r="B4558" i="2"/>
  <c r="A4558" i="2"/>
  <c r="B4557" i="2"/>
  <c r="A4557" i="2"/>
  <c r="B4556" i="2"/>
  <c r="A4556" i="2"/>
  <c r="B4555" i="2"/>
  <c r="A4555" i="2"/>
  <c r="B4554" i="2"/>
  <c r="A4554" i="2"/>
  <c r="B4553" i="2"/>
  <c r="A4553" i="2"/>
  <c r="B4552" i="2"/>
  <c r="A4552" i="2"/>
  <c r="B4551" i="2"/>
  <c r="A4551" i="2"/>
  <c r="B4550" i="2"/>
  <c r="A4550" i="2"/>
  <c r="B4549" i="2"/>
  <c r="A4549" i="2"/>
  <c r="B4548" i="2"/>
  <c r="A4548" i="2"/>
  <c r="B4547" i="2"/>
  <c r="A4547" i="2"/>
  <c r="B4546" i="2"/>
  <c r="A4546" i="2"/>
  <c r="B4545" i="2"/>
  <c r="A4545" i="2"/>
  <c r="B4544" i="2"/>
  <c r="A4544" i="2"/>
  <c r="B4543" i="2"/>
  <c r="A4543" i="2"/>
  <c r="B4542" i="2"/>
  <c r="A4542" i="2"/>
  <c r="B4541" i="2"/>
  <c r="A4541" i="2"/>
  <c r="B4540" i="2"/>
  <c r="A4540" i="2"/>
  <c r="B4539" i="2"/>
  <c r="A4539" i="2"/>
  <c r="B4538" i="2"/>
  <c r="A4538" i="2"/>
  <c r="B4537" i="2"/>
  <c r="A4537" i="2"/>
  <c r="B4536" i="2"/>
  <c r="A4536" i="2"/>
  <c r="B4535" i="2"/>
  <c r="A4535" i="2"/>
  <c r="B4534" i="2"/>
  <c r="A4534" i="2"/>
  <c r="B4533" i="2"/>
  <c r="A4533" i="2"/>
  <c r="B4532" i="2"/>
  <c r="A4532" i="2"/>
  <c r="B4531" i="2"/>
  <c r="A4531" i="2"/>
  <c r="B4530" i="2"/>
  <c r="A4530" i="2"/>
  <c r="B4529" i="2"/>
  <c r="A4529" i="2"/>
  <c r="B4528" i="2"/>
  <c r="A4528" i="2"/>
  <c r="B4527" i="2"/>
  <c r="A4527" i="2"/>
  <c r="B4526" i="2"/>
  <c r="A4526" i="2"/>
  <c r="B4525" i="2"/>
  <c r="A4525" i="2"/>
  <c r="B4524" i="2"/>
  <c r="A4524" i="2"/>
  <c r="B4523" i="2"/>
  <c r="A4523" i="2"/>
  <c r="B4522" i="2"/>
  <c r="A4522" i="2"/>
  <c r="B4521" i="2"/>
  <c r="A4521" i="2"/>
  <c r="B4520" i="2"/>
  <c r="A4520" i="2"/>
  <c r="B4519" i="2"/>
  <c r="A4519" i="2"/>
  <c r="B4518" i="2"/>
  <c r="A4518" i="2"/>
  <c r="B4517" i="2"/>
  <c r="A4517" i="2"/>
  <c r="B4516" i="2"/>
  <c r="A4516" i="2"/>
  <c r="B4515" i="2"/>
  <c r="A4515" i="2"/>
  <c r="B4514" i="2"/>
  <c r="A4514" i="2"/>
  <c r="B4513" i="2"/>
  <c r="A4513" i="2"/>
  <c r="B4512" i="2"/>
  <c r="A4512" i="2"/>
  <c r="B4511" i="2"/>
  <c r="A4511" i="2"/>
  <c r="B4510" i="2"/>
  <c r="A4510" i="2"/>
  <c r="B4509" i="2"/>
  <c r="A4509" i="2"/>
  <c r="B4508" i="2"/>
  <c r="A4508" i="2"/>
  <c r="B4507" i="2"/>
  <c r="A4507" i="2"/>
  <c r="B4506" i="2"/>
  <c r="A4506" i="2"/>
  <c r="B4505" i="2"/>
  <c r="A4505" i="2"/>
  <c r="B4504" i="2"/>
  <c r="A4504" i="2"/>
  <c r="B4503" i="2"/>
  <c r="A4503" i="2"/>
  <c r="B4502" i="2"/>
  <c r="A4502" i="2"/>
  <c r="B4501" i="2"/>
  <c r="A4501" i="2"/>
  <c r="B4500" i="2"/>
  <c r="A4500" i="2"/>
  <c r="B4499" i="2"/>
  <c r="A4499" i="2"/>
  <c r="B4498" i="2"/>
  <c r="A4498" i="2"/>
  <c r="B4497" i="2"/>
  <c r="A4497" i="2"/>
  <c r="B4496" i="2"/>
  <c r="A4496" i="2"/>
  <c r="B4495" i="2"/>
  <c r="A4495" i="2"/>
  <c r="B4494" i="2"/>
  <c r="A4494" i="2"/>
  <c r="B4493" i="2"/>
  <c r="A4493" i="2"/>
  <c r="B4492" i="2"/>
  <c r="A4492" i="2"/>
  <c r="B4491" i="2"/>
  <c r="A4491" i="2"/>
  <c r="B4490" i="2"/>
  <c r="A4490" i="2"/>
  <c r="B4489" i="2"/>
  <c r="A4489" i="2"/>
  <c r="B4488" i="2"/>
  <c r="A4488" i="2"/>
  <c r="B4487" i="2"/>
  <c r="A4487" i="2"/>
  <c r="B4486" i="2"/>
  <c r="A4486" i="2"/>
  <c r="B4485" i="2"/>
  <c r="A4485" i="2"/>
  <c r="B4484" i="2"/>
  <c r="A4484" i="2"/>
  <c r="B4483" i="2"/>
  <c r="A4483" i="2"/>
  <c r="B4482" i="2"/>
  <c r="A4482" i="2"/>
  <c r="B4481" i="2"/>
  <c r="A4481" i="2"/>
  <c r="B4480" i="2"/>
  <c r="A4480" i="2"/>
  <c r="B4479" i="2"/>
  <c r="A4479" i="2"/>
  <c r="B4478" i="2"/>
  <c r="A4478" i="2"/>
  <c r="B4477" i="2"/>
  <c r="A4477" i="2"/>
  <c r="B4476" i="2"/>
  <c r="A4476" i="2"/>
  <c r="B4475" i="2"/>
  <c r="A4475" i="2"/>
  <c r="B4474" i="2"/>
  <c r="A4474" i="2"/>
  <c r="B4473" i="2"/>
  <c r="A4473" i="2"/>
  <c r="B4472" i="2"/>
  <c r="A4472" i="2"/>
  <c r="B4471" i="2"/>
  <c r="A4471" i="2"/>
  <c r="B4470" i="2"/>
  <c r="A4470" i="2"/>
  <c r="B4469" i="2"/>
  <c r="A4469" i="2"/>
  <c r="B4468" i="2"/>
  <c r="A4468" i="2"/>
  <c r="B4467" i="2"/>
  <c r="A4467" i="2"/>
  <c r="B4466" i="2"/>
  <c r="A4466" i="2"/>
  <c r="B4465" i="2"/>
  <c r="A4465" i="2"/>
  <c r="B4464" i="2"/>
  <c r="A4464" i="2"/>
  <c r="B4463" i="2"/>
  <c r="A4463" i="2"/>
  <c r="B4462" i="2"/>
  <c r="A4462" i="2"/>
  <c r="B4461" i="2"/>
  <c r="A4461" i="2"/>
  <c r="B4460" i="2"/>
  <c r="A4460" i="2"/>
  <c r="B4459" i="2"/>
  <c r="A4459" i="2"/>
  <c r="B4458" i="2"/>
  <c r="A4458" i="2"/>
  <c r="B4457" i="2"/>
  <c r="A4457" i="2"/>
  <c r="B4456" i="2"/>
  <c r="A4456" i="2"/>
  <c r="B4455" i="2"/>
  <c r="A4455" i="2"/>
  <c r="B4454" i="2"/>
  <c r="A4454" i="2"/>
  <c r="B4453" i="2"/>
  <c r="A4453" i="2"/>
  <c r="B4452" i="2"/>
  <c r="A4452" i="2"/>
  <c r="B4451" i="2"/>
  <c r="A4451" i="2"/>
  <c r="B4450" i="2"/>
  <c r="A4450" i="2"/>
  <c r="B4449" i="2"/>
  <c r="A4449" i="2"/>
  <c r="B4448" i="2"/>
  <c r="A4448" i="2"/>
  <c r="B4447" i="2"/>
  <c r="A4447" i="2"/>
  <c r="B4446" i="2"/>
  <c r="A4446" i="2"/>
  <c r="B4445" i="2"/>
  <c r="A4445" i="2"/>
  <c r="B4444" i="2"/>
  <c r="A4444" i="2"/>
  <c r="B4443" i="2"/>
  <c r="A4443" i="2"/>
  <c r="B4442" i="2"/>
  <c r="A4442" i="2"/>
  <c r="B4441" i="2"/>
  <c r="A4441" i="2"/>
  <c r="B4440" i="2"/>
  <c r="A4440" i="2"/>
  <c r="B4439" i="2"/>
  <c r="A4439" i="2"/>
  <c r="B4438" i="2"/>
  <c r="A4438" i="2"/>
  <c r="B4437" i="2"/>
  <c r="A4437" i="2"/>
  <c r="B4436" i="2"/>
  <c r="A4436" i="2"/>
  <c r="B4435" i="2"/>
  <c r="A4435" i="2"/>
  <c r="B4434" i="2"/>
  <c r="A4434" i="2"/>
  <c r="B4433" i="2"/>
  <c r="A4433" i="2"/>
  <c r="B4432" i="2"/>
  <c r="A4432" i="2"/>
  <c r="B4431" i="2"/>
  <c r="A4431" i="2"/>
  <c r="B4430" i="2"/>
  <c r="A4430" i="2"/>
  <c r="B4429" i="2"/>
  <c r="A4429" i="2"/>
  <c r="B4428" i="2"/>
  <c r="A4428" i="2"/>
  <c r="B4427" i="2"/>
  <c r="A4427" i="2"/>
  <c r="B4426" i="2"/>
  <c r="A4426" i="2"/>
  <c r="B4425" i="2"/>
  <c r="A4425" i="2"/>
  <c r="B4424" i="2"/>
  <c r="A4424" i="2"/>
  <c r="B4423" i="2"/>
  <c r="A4423" i="2"/>
  <c r="B4422" i="2"/>
  <c r="A4422" i="2"/>
  <c r="B4421" i="2"/>
  <c r="A4421" i="2"/>
  <c r="B4420" i="2"/>
  <c r="A4420" i="2"/>
  <c r="B4419" i="2"/>
  <c r="A4419" i="2"/>
  <c r="B4418" i="2"/>
  <c r="A4418" i="2"/>
  <c r="B4417" i="2"/>
  <c r="A4417" i="2"/>
  <c r="B4416" i="2"/>
  <c r="A4416" i="2"/>
  <c r="B4415" i="2"/>
  <c r="A4415" i="2"/>
  <c r="B4414" i="2"/>
  <c r="A4414" i="2"/>
  <c r="B4413" i="2"/>
  <c r="A4413" i="2"/>
  <c r="B4412" i="2"/>
  <c r="A4412" i="2"/>
  <c r="B4411" i="2"/>
  <c r="A4411" i="2"/>
  <c r="B4410" i="2"/>
  <c r="A4410" i="2"/>
  <c r="B4409" i="2"/>
  <c r="A4409" i="2"/>
  <c r="B4408" i="2"/>
  <c r="A4408" i="2"/>
  <c r="B4407" i="2"/>
  <c r="A4407" i="2"/>
  <c r="B4406" i="2"/>
  <c r="A4406" i="2"/>
  <c r="B4405" i="2"/>
  <c r="A4405" i="2"/>
  <c r="B4404" i="2"/>
  <c r="A4404" i="2"/>
  <c r="B4403" i="2"/>
  <c r="A4403" i="2"/>
  <c r="B4402" i="2"/>
  <c r="A4402" i="2"/>
  <c r="B4401" i="2"/>
  <c r="A4401" i="2"/>
  <c r="B4400" i="2"/>
  <c r="A4400" i="2"/>
  <c r="B4399" i="2"/>
  <c r="A4399" i="2"/>
  <c r="B4398" i="2"/>
  <c r="A4398" i="2"/>
  <c r="B4397" i="2"/>
  <c r="A4397" i="2"/>
  <c r="B4396" i="2"/>
  <c r="A4396" i="2"/>
  <c r="B4395" i="2"/>
  <c r="A4395" i="2"/>
  <c r="B4394" i="2"/>
  <c r="A4394" i="2"/>
  <c r="B4393" i="2"/>
  <c r="A4393" i="2"/>
  <c r="B4392" i="2"/>
  <c r="A4392" i="2"/>
  <c r="B4391" i="2"/>
  <c r="A4391" i="2"/>
  <c r="B4390" i="2"/>
  <c r="A4390" i="2"/>
  <c r="B4389" i="2"/>
  <c r="A4389" i="2"/>
  <c r="B4388" i="2"/>
  <c r="A4388" i="2"/>
  <c r="B4387" i="2"/>
  <c r="A4387" i="2"/>
  <c r="B4386" i="2"/>
  <c r="A4386" i="2"/>
  <c r="B4385" i="2"/>
  <c r="A4385" i="2"/>
  <c r="B4384" i="2"/>
  <c r="A4384" i="2"/>
  <c r="B4383" i="2"/>
  <c r="A4383" i="2"/>
  <c r="B4382" i="2"/>
  <c r="A4382" i="2"/>
  <c r="B4381" i="2"/>
  <c r="A4381" i="2"/>
  <c r="B4380" i="2"/>
  <c r="A4380" i="2"/>
  <c r="B4379" i="2"/>
  <c r="A4379" i="2"/>
  <c r="B4378" i="2"/>
  <c r="A4378" i="2"/>
  <c r="B4377" i="2"/>
  <c r="A4377" i="2"/>
  <c r="B4376" i="2"/>
  <c r="A4376" i="2"/>
  <c r="B4375" i="2"/>
  <c r="A4375" i="2"/>
  <c r="B4374" i="2"/>
  <c r="A4374" i="2"/>
  <c r="B4373" i="2"/>
  <c r="A4373" i="2"/>
  <c r="B4372" i="2"/>
  <c r="A4372" i="2"/>
  <c r="B4371" i="2"/>
  <c r="A4371" i="2"/>
  <c r="B4370" i="2"/>
  <c r="A4370" i="2"/>
  <c r="B4369" i="2"/>
  <c r="A4369" i="2"/>
  <c r="B4368" i="2"/>
  <c r="A4368" i="2"/>
  <c r="B4367" i="2"/>
  <c r="A4367" i="2"/>
  <c r="B4366" i="2"/>
  <c r="A4366" i="2"/>
  <c r="B4365" i="2"/>
  <c r="A4365" i="2"/>
  <c r="B4364" i="2"/>
  <c r="A4364" i="2"/>
  <c r="B4363" i="2"/>
  <c r="A4363" i="2"/>
  <c r="B4362" i="2"/>
  <c r="A4362" i="2"/>
  <c r="B4361" i="2"/>
  <c r="A4361" i="2"/>
  <c r="B4360" i="2"/>
  <c r="A4360" i="2"/>
  <c r="B4359" i="2"/>
  <c r="A4359" i="2"/>
  <c r="B4358" i="2"/>
  <c r="A4358" i="2"/>
  <c r="B4357" i="2"/>
  <c r="A4357" i="2"/>
  <c r="B4356" i="2"/>
  <c r="A4356" i="2"/>
  <c r="B4355" i="2"/>
  <c r="A4355" i="2"/>
  <c r="B4354" i="2"/>
  <c r="A4354" i="2"/>
  <c r="B4353" i="2"/>
  <c r="A4353" i="2"/>
  <c r="B4352" i="2"/>
  <c r="A4352" i="2"/>
  <c r="B4351" i="2"/>
  <c r="A4351" i="2"/>
  <c r="B4350" i="2"/>
  <c r="A4350" i="2"/>
  <c r="B4349" i="2"/>
  <c r="A4349" i="2"/>
  <c r="B4348" i="2"/>
  <c r="A4348" i="2"/>
  <c r="B4347" i="2"/>
  <c r="A4347" i="2"/>
  <c r="B4346" i="2"/>
  <c r="A4346" i="2"/>
  <c r="B4345" i="2"/>
  <c r="A4345" i="2"/>
  <c r="B4344" i="2"/>
  <c r="A4344" i="2"/>
  <c r="B4343" i="2"/>
  <c r="A4343" i="2"/>
  <c r="B4342" i="2"/>
  <c r="A4342" i="2"/>
  <c r="B4341" i="2"/>
  <c r="A4341" i="2"/>
  <c r="B4340" i="2"/>
  <c r="A4340" i="2"/>
  <c r="B4339" i="2"/>
  <c r="A4339" i="2"/>
  <c r="B4338" i="2"/>
  <c r="A4338" i="2"/>
  <c r="B4337" i="2"/>
  <c r="A4337" i="2"/>
  <c r="B4336" i="2"/>
  <c r="A4336" i="2"/>
  <c r="B4335" i="2"/>
  <c r="A4335" i="2"/>
  <c r="B4334" i="2"/>
  <c r="A4334" i="2"/>
  <c r="B4333" i="2"/>
  <c r="A4333" i="2"/>
  <c r="B4332" i="2"/>
  <c r="A4332" i="2"/>
  <c r="B4331" i="2"/>
  <c r="A4331" i="2"/>
  <c r="B4330" i="2"/>
  <c r="A4330" i="2"/>
  <c r="B4329" i="2"/>
  <c r="A4329" i="2"/>
  <c r="B4328" i="2"/>
  <c r="A4328" i="2"/>
  <c r="B4327" i="2"/>
  <c r="A4327" i="2"/>
  <c r="B4326" i="2"/>
  <c r="A4326" i="2"/>
  <c r="B4325" i="2"/>
  <c r="A4325" i="2"/>
  <c r="B4324" i="2"/>
  <c r="A4324" i="2"/>
  <c r="B4323" i="2"/>
  <c r="A4323" i="2"/>
  <c r="B4322" i="2"/>
  <c r="A4322" i="2"/>
  <c r="B4321" i="2"/>
  <c r="A4321" i="2"/>
  <c r="B4320" i="2"/>
  <c r="A4320" i="2"/>
  <c r="B4319" i="2"/>
  <c r="A4319" i="2"/>
  <c r="B4318" i="2"/>
  <c r="A4318" i="2"/>
  <c r="B4317" i="2"/>
  <c r="A4317" i="2"/>
  <c r="B4316" i="2"/>
  <c r="A4316" i="2"/>
  <c r="B4315" i="2"/>
  <c r="A4315" i="2"/>
  <c r="B4314" i="2"/>
  <c r="A4314" i="2"/>
  <c r="B4313" i="2"/>
  <c r="A4313" i="2"/>
  <c r="B4312" i="2"/>
  <c r="A4312" i="2"/>
  <c r="B4311" i="2"/>
  <c r="A4311" i="2"/>
  <c r="B4310" i="2"/>
  <c r="A4310" i="2"/>
  <c r="B4309" i="2"/>
  <c r="A4309" i="2"/>
  <c r="B4308" i="2"/>
  <c r="A4308" i="2"/>
  <c r="B4307" i="2"/>
  <c r="A4307" i="2"/>
  <c r="B4306" i="2"/>
  <c r="A4306" i="2"/>
  <c r="B4305" i="2"/>
  <c r="A4305" i="2"/>
  <c r="B4304" i="2"/>
  <c r="A4304" i="2"/>
  <c r="B4303" i="2"/>
  <c r="A4303" i="2"/>
  <c r="B4302" i="2"/>
  <c r="A4302" i="2"/>
  <c r="B4301" i="2"/>
  <c r="A4301" i="2"/>
  <c r="B4300" i="2"/>
  <c r="A4300" i="2"/>
  <c r="B4299" i="2"/>
  <c r="A4299" i="2"/>
  <c r="B4298" i="2"/>
  <c r="A4298" i="2"/>
  <c r="B4297" i="2"/>
  <c r="A4297" i="2"/>
  <c r="B4296" i="2"/>
  <c r="A4296" i="2"/>
  <c r="B4295" i="2"/>
  <c r="A4295" i="2"/>
  <c r="B4294" i="2"/>
  <c r="A4294" i="2"/>
  <c r="B4293" i="2"/>
  <c r="A4293" i="2"/>
  <c r="B4292" i="2"/>
  <c r="A4292" i="2"/>
  <c r="B4291" i="2"/>
  <c r="A4291" i="2"/>
  <c r="B4290" i="2"/>
  <c r="A4290" i="2"/>
  <c r="B4289" i="2"/>
  <c r="A4289" i="2"/>
  <c r="B4288" i="2"/>
  <c r="A4288" i="2"/>
  <c r="B4287" i="2"/>
  <c r="A4287" i="2"/>
  <c r="B4286" i="2"/>
  <c r="A4286" i="2"/>
  <c r="B4285" i="2"/>
  <c r="A4285" i="2"/>
  <c r="B4284" i="2"/>
  <c r="A4284" i="2"/>
  <c r="B4283" i="2"/>
  <c r="A4283" i="2"/>
  <c r="B4282" i="2"/>
  <c r="A4282" i="2"/>
  <c r="B4281" i="2"/>
  <c r="A4281" i="2"/>
  <c r="B4280" i="2"/>
  <c r="A4280" i="2"/>
  <c r="B4279" i="2"/>
  <c r="A4279" i="2"/>
  <c r="B4278" i="2"/>
  <c r="A4278" i="2"/>
  <c r="B4277" i="2"/>
  <c r="A4277" i="2"/>
  <c r="B4276" i="2"/>
  <c r="A4276" i="2"/>
  <c r="B4275" i="2"/>
  <c r="A4275" i="2"/>
  <c r="B4274" i="2"/>
  <c r="A4274" i="2"/>
  <c r="B4273" i="2"/>
  <c r="A4273" i="2"/>
  <c r="B4272" i="2"/>
  <c r="A4272" i="2"/>
  <c r="B4271" i="2"/>
  <c r="A4271" i="2"/>
  <c r="B4270" i="2"/>
  <c r="A4270" i="2"/>
  <c r="B4269" i="2"/>
  <c r="A4269" i="2"/>
  <c r="B4268" i="2"/>
  <c r="A4268" i="2"/>
  <c r="B4267" i="2"/>
  <c r="A4267" i="2"/>
  <c r="B4266" i="2"/>
  <c r="A4266" i="2"/>
  <c r="B4265" i="2"/>
  <c r="A4265" i="2"/>
  <c r="B4264" i="2"/>
  <c r="A4264" i="2"/>
  <c r="B4263" i="2"/>
  <c r="A4263" i="2"/>
  <c r="B4262" i="2"/>
  <c r="A4262" i="2"/>
  <c r="B4261" i="2"/>
  <c r="A4261" i="2"/>
  <c r="B4260" i="2"/>
  <c r="A4260" i="2"/>
  <c r="B4259" i="2"/>
  <c r="A4259" i="2"/>
  <c r="B4258" i="2"/>
  <c r="A4258" i="2"/>
  <c r="B4257" i="2"/>
  <c r="A4257" i="2"/>
  <c r="B4256" i="2"/>
  <c r="A4256" i="2"/>
  <c r="B4255" i="2"/>
  <c r="A4255" i="2"/>
  <c r="B4254" i="2"/>
  <c r="A4254" i="2"/>
  <c r="B4253" i="2"/>
  <c r="A4253" i="2"/>
  <c r="B4252" i="2"/>
  <c r="A4252" i="2"/>
  <c r="B4251" i="2"/>
  <c r="A4251" i="2"/>
  <c r="B4250" i="2"/>
  <c r="A4250" i="2"/>
  <c r="B4249" i="2"/>
  <c r="A4249" i="2"/>
  <c r="B4248" i="2"/>
  <c r="A4248" i="2"/>
  <c r="B4247" i="2"/>
  <c r="A4247" i="2"/>
  <c r="B4246" i="2"/>
  <c r="A4246" i="2"/>
  <c r="B4245" i="2"/>
  <c r="A4245" i="2"/>
  <c r="B4244" i="2"/>
  <c r="A4244" i="2"/>
  <c r="B4243" i="2"/>
  <c r="A4243" i="2"/>
  <c r="B4242" i="2"/>
  <c r="A4242" i="2"/>
  <c r="B4241" i="2"/>
  <c r="A4241" i="2"/>
  <c r="B4240" i="2"/>
  <c r="A4240" i="2"/>
  <c r="B4239" i="2"/>
  <c r="A4239" i="2"/>
  <c r="B4238" i="2"/>
  <c r="A4238" i="2"/>
  <c r="B4237" i="2"/>
  <c r="A4237" i="2"/>
  <c r="B4236" i="2"/>
  <c r="A4236" i="2"/>
  <c r="B4235" i="2"/>
  <c r="A4235" i="2"/>
  <c r="B4234" i="2"/>
  <c r="A4234" i="2"/>
  <c r="B4233" i="2"/>
  <c r="A4233" i="2"/>
  <c r="B4232" i="2"/>
  <c r="A4232" i="2"/>
  <c r="B4231" i="2"/>
  <c r="A4231" i="2"/>
  <c r="B4230" i="2"/>
  <c r="A4230" i="2"/>
  <c r="B4229" i="2"/>
  <c r="A4229" i="2"/>
  <c r="B4228" i="2"/>
  <c r="A4228" i="2"/>
  <c r="B4227" i="2"/>
  <c r="A4227" i="2"/>
  <c r="B4226" i="2"/>
  <c r="A4226" i="2"/>
  <c r="B4225" i="2"/>
  <c r="A4225" i="2"/>
  <c r="B4224" i="2"/>
  <c r="A4224" i="2"/>
  <c r="B4223" i="2"/>
  <c r="A4223" i="2"/>
  <c r="B4222" i="2"/>
  <c r="A4222" i="2"/>
  <c r="B4221" i="2"/>
  <c r="A4221" i="2"/>
  <c r="B4220" i="2"/>
  <c r="A4220" i="2"/>
  <c r="B4219" i="2"/>
  <c r="A4219" i="2"/>
  <c r="B4218" i="2"/>
  <c r="A4218" i="2"/>
  <c r="B4217" i="2"/>
  <c r="A4217" i="2"/>
  <c r="B4216" i="2"/>
  <c r="A4216" i="2"/>
  <c r="B4215" i="2"/>
  <c r="A4215" i="2"/>
  <c r="B4214" i="2"/>
  <c r="A4214" i="2"/>
  <c r="B4213" i="2"/>
  <c r="A4213" i="2"/>
  <c r="B4212" i="2"/>
  <c r="A4212" i="2"/>
  <c r="B4211" i="2"/>
  <c r="A4211" i="2"/>
  <c r="B4210" i="2"/>
  <c r="A4210" i="2"/>
  <c r="B4209" i="2"/>
  <c r="A4209" i="2"/>
  <c r="B4208" i="2"/>
  <c r="A4208" i="2"/>
  <c r="B4207" i="2"/>
  <c r="A4207" i="2"/>
  <c r="B4206" i="2"/>
  <c r="A4206" i="2"/>
  <c r="B4205" i="2"/>
  <c r="A4205" i="2"/>
  <c r="B4204" i="2"/>
  <c r="A4204" i="2"/>
  <c r="B4203" i="2"/>
  <c r="A4203" i="2"/>
  <c r="B4202" i="2"/>
  <c r="A4202" i="2"/>
  <c r="B4201" i="2"/>
  <c r="A4201" i="2"/>
  <c r="B4200" i="2"/>
  <c r="A4200" i="2"/>
  <c r="B4199" i="2"/>
  <c r="A4199" i="2"/>
  <c r="B4198" i="2"/>
  <c r="A4198" i="2"/>
  <c r="B4197" i="2"/>
  <c r="A4197" i="2"/>
  <c r="B4196" i="2"/>
  <c r="A4196" i="2"/>
  <c r="B4195" i="2"/>
  <c r="A4195" i="2"/>
  <c r="B4194" i="2"/>
  <c r="A4194" i="2"/>
  <c r="B4193" i="2"/>
  <c r="A4193" i="2"/>
  <c r="B4192" i="2"/>
  <c r="A4192" i="2"/>
  <c r="B4191" i="2"/>
  <c r="A4191" i="2"/>
  <c r="B4190" i="2"/>
  <c r="A4190" i="2"/>
  <c r="B4189" i="2"/>
  <c r="A4189" i="2"/>
  <c r="B4188" i="2"/>
  <c r="A4188" i="2"/>
  <c r="B4187" i="2"/>
  <c r="A4187" i="2"/>
  <c r="B4186" i="2"/>
  <c r="A4186" i="2"/>
  <c r="B4185" i="2"/>
  <c r="A4185" i="2"/>
  <c r="B4184" i="2"/>
  <c r="A4184" i="2"/>
  <c r="B4183" i="2"/>
  <c r="A4183" i="2"/>
  <c r="B4182" i="2"/>
  <c r="A4182" i="2"/>
  <c r="B4181" i="2"/>
  <c r="A4181" i="2"/>
  <c r="B4180" i="2"/>
  <c r="A4180" i="2"/>
  <c r="B4179" i="2"/>
  <c r="A4179" i="2"/>
  <c r="B4178" i="2"/>
  <c r="A4178" i="2"/>
  <c r="B4177" i="2"/>
  <c r="A4177" i="2"/>
  <c r="B4176" i="2"/>
  <c r="A4176" i="2"/>
  <c r="B4175" i="2"/>
  <c r="A4175" i="2"/>
  <c r="B4174" i="2"/>
  <c r="A4174" i="2"/>
  <c r="B4173" i="2"/>
  <c r="A4173" i="2"/>
  <c r="B4172" i="2"/>
  <c r="A4172" i="2"/>
  <c r="B4171" i="2"/>
  <c r="A4171" i="2"/>
  <c r="B4170" i="2"/>
  <c r="A4170" i="2"/>
  <c r="B4169" i="2"/>
  <c r="A4169" i="2"/>
  <c r="B4168" i="2"/>
  <c r="A4168" i="2"/>
  <c r="B4167" i="2"/>
  <c r="A4167" i="2"/>
  <c r="B4166" i="2"/>
  <c r="A4166" i="2"/>
  <c r="B4165" i="2"/>
  <c r="A4165" i="2"/>
  <c r="B4164" i="2"/>
  <c r="A4164" i="2"/>
  <c r="B4163" i="2"/>
  <c r="A4163" i="2"/>
  <c r="B4162" i="2"/>
  <c r="A4162" i="2"/>
  <c r="B4161" i="2"/>
  <c r="A4161" i="2"/>
  <c r="B4160" i="2"/>
  <c r="A4160" i="2"/>
  <c r="B4159" i="2"/>
  <c r="A4159" i="2"/>
  <c r="B4158" i="2"/>
  <c r="A4158" i="2"/>
  <c r="B4157" i="2"/>
  <c r="A4157" i="2"/>
  <c r="B4156" i="2"/>
  <c r="A4156" i="2"/>
  <c r="B4155" i="2"/>
  <c r="A4155" i="2"/>
  <c r="B4154" i="2"/>
  <c r="A4154" i="2"/>
  <c r="B4153" i="2"/>
  <c r="A4153" i="2"/>
  <c r="B4152" i="2"/>
  <c r="A4152" i="2"/>
  <c r="B4151" i="2"/>
  <c r="A4151" i="2"/>
  <c r="B4150" i="2"/>
  <c r="A4150" i="2"/>
  <c r="B4149" i="2"/>
  <c r="A4149" i="2"/>
  <c r="B4148" i="2"/>
  <c r="A4148" i="2"/>
  <c r="B4147" i="2"/>
  <c r="A4147" i="2"/>
  <c r="B4146" i="2"/>
  <c r="A4146" i="2"/>
  <c r="B4145" i="2"/>
  <c r="A4145" i="2"/>
  <c r="B4144" i="2"/>
  <c r="A4144" i="2"/>
  <c r="B4143" i="2"/>
  <c r="A4143" i="2"/>
  <c r="B4142" i="2"/>
  <c r="A4142" i="2"/>
  <c r="B4141" i="2"/>
  <c r="A4141" i="2"/>
  <c r="B4140" i="2"/>
  <c r="A4140" i="2"/>
  <c r="B4139" i="2"/>
  <c r="A4139" i="2"/>
  <c r="B4138" i="2"/>
  <c r="A4138" i="2"/>
  <c r="B4137" i="2"/>
  <c r="A4137" i="2"/>
  <c r="B4136" i="2"/>
  <c r="A4136" i="2"/>
  <c r="B4135" i="2"/>
  <c r="A4135" i="2"/>
  <c r="B4134" i="2"/>
  <c r="A4134" i="2"/>
  <c r="B4133" i="2"/>
  <c r="A4133" i="2"/>
  <c r="B4132" i="2"/>
  <c r="A4132" i="2"/>
  <c r="B4131" i="2"/>
  <c r="A4131" i="2"/>
  <c r="B4130" i="2"/>
  <c r="A4130" i="2"/>
  <c r="B4129" i="2"/>
  <c r="A4129" i="2"/>
  <c r="B4128" i="2"/>
  <c r="A4128" i="2"/>
  <c r="B4127" i="2"/>
  <c r="A4127" i="2"/>
  <c r="B4126" i="2"/>
  <c r="A4126" i="2"/>
  <c r="B4125" i="2"/>
  <c r="A4125" i="2"/>
  <c r="B4124" i="2"/>
  <c r="A4124" i="2"/>
  <c r="B4123" i="2"/>
  <c r="A4123" i="2"/>
  <c r="B4122" i="2"/>
  <c r="A4122" i="2"/>
  <c r="B4121" i="2"/>
  <c r="A4121" i="2"/>
  <c r="B4120" i="2"/>
  <c r="A4120" i="2"/>
  <c r="B4119" i="2"/>
  <c r="A4119" i="2"/>
  <c r="B4118" i="2"/>
  <c r="A4118" i="2"/>
  <c r="B4117" i="2"/>
  <c r="A4117" i="2"/>
  <c r="B4116" i="2"/>
  <c r="A4116" i="2"/>
  <c r="B4115" i="2"/>
  <c r="A4115" i="2"/>
  <c r="B4114" i="2"/>
  <c r="A4114" i="2"/>
  <c r="B4113" i="2"/>
  <c r="A4113" i="2"/>
  <c r="B4112" i="2"/>
  <c r="A4112" i="2"/>
  <c r="B4111" i="2"/>
  <c r="A4111" i="2"/>
  <c r="B4110" i="2"/>
  <c r="A4110" i="2"/>
  <c r="B4109" i="2"/>
  <c r="A4109" i="2"/>
  <c r="B4108" i="2"/>
  <c r="A4108" i="2"/>
  <c r="B4107" i="2"/>
  <c r="A4107" i="2"/>
  <c r="B4106" i="2"/>
  <c r="A4106" i="2"/>
  <c r="B4105" i="2"/>
  <c r="A4105" i="2"/>
  <c r="B4104" i="2"/>
  <c r="A4104" i="2"/>
  <c r="B4103" i="2"/>
  <c r="A4103" i="2"/>
  <c r="B4102" i="2"/>
  <c r="A4102" i="2"/>
  <c r="B4101" i="2"/>
  <c r="A4101" i="2"/>
  <c r="B4100" i="2"/>
  <c r="A4100" i="2"/>
  <c r="B4099" i="2"/>
  <c r="A4099" i="2"/>
  <c r="B4098" i="2"/>
  <c r="A4098" i="2"/>
  <c r="B4097" i="2"/>
  <c r="A4097" i="2"/>
  <c r="B4096" i="2"/>
  <c r="A4096" i="2"/>
  <c r="B4095" i="2"/>
  <c r="A4095" i="2"/>
  <c r="B4094" i="2"/>
  <c r="A4094" i="2"/>
  <c r="B4093" i="2"/>
  <c r="A4093" i="2"/>
  <c r="B4092" i="2"/>
  <c r="A4092" i="2"/>
  <c r="B4091" i="2"/>
  <c r="A4091" i="2"/>
  <c r="B4090" i="2"/>
  <c r="A4090" i="2"/>
  <c r="B4089" i="2"/>
  <c r="A4089" i="2"/>
  <c r="B4088" i="2"/>
  <c r="A4088" i="2"/>
  <c r="B4087" i="2"/>
  <c r="A4087" i="2"/>
  <c r="B4086" i="2"/>
  <c r="A4086" i="2"/>
  <c r="B4085" i="2"/>
  <c r="A4085" i="2"/>
  <c r="B4084" i="2"/>
  <c r="A4084" i="2"/>
  <c r="B4083" i="2"/>
  <c r="A4083" i="2"/>
  <c r="B4082" i="2"/>
  <c r="A4082" i="2"/>
  <c r="B4081" i="2"/>
  <c r="A4081" i="2"/>
  <c r="B4080" i="2"/>
  <c r="A4080" i="2"/>
  <c r="B4079" i="2"/>
  <c r="A4079" i="2"/>
  <c r="B4078" i="2"/>
  <c r="A4078" i="2"/>
  <c r="B4077" i="2"/>
  <c r="A4077" i="2"/>
  <c r="B4076" i="2"/>
  <c r="A4076" i="2"/>
  <c r="B4075" i="2"/>
  <c r="A4075" i="2"/>
  <c r="B4074" i="2"/>
  <c r="A4074" i="2"/>
  <c r="B4073" i="2"/>
  <c r="A4073" i="2"/>
  <c r="B4072" i="2"/>
  <c r="A4072" i="2"/>
  <c r="B4071" i="2"/>
  <c r="A4071" i="2"/>
  <c r="B4070" i="2"/>
  <c r="A4070" i="2"/>
  <c r="B4069" i="2"/>
  <c r="A4069" i="2"/>
  <c r="B4068" i="2"/>
  <c r="A4068" i="2"/>
  <c r="B4067" i="2"/>
  <c r="A4067" i="2"/>
  <c r="B4066" i="2"/>
  <c r="A4066" i="2"/>
  <c r="B4065" i="2"/>
  <c r="A4065" i="2"/>
  <c r="B4064" i="2"/>
  <c r="A4064" i="2"/>
  <c r="B4063" i="2"/>
  <c r="A4063" i="2"/>
  <c r="B4062" i="2"/>
  <c r="A4062" i="2"/>
  <c r="B4061" i="2"/>
  <c r="A4061" i="2"/>
  <c r="B4060" i="2"/>
  <c r="A4060" i="2"/>
  <c r="B4059" i="2"/>
  <c r="A4059" i="2"/>
  <c r="B4058" i="2"/>
  <c r="A4058" i="2"/>
  <c r="B4057" i="2"/>
  <c r="A4057" i="2"/>
  <c r="B4056" i="2"/>
  <c r="A4056" i="2"/>
  <c r="B4055" i="2"/>
  <c r="A4055" i="2"/>
  <c r="B4054" i="2"/>
  <c r="A4054" i="2"/>
  <c r="B4053" i="2"/>
  <c r="A4053" i="2"/>
  <c r="B4052" i="2"/>
  <c r="A4052" i="2"/>
  <c r="B4051" i="2"/>
  <c r="A4051" i="2"/>
  <c r="B4050" i="2"/>
  <c r="A4050" i="2"/>
  <c r="B4049" i="2"/>
  <c r="A4049" i="2"/>
  <c r="B4048" i="2"/>
  <c r="A4048" i="2"/>
  <c r="B4047" i="2"/>
  <c r="A4047" i="2"/>
  <c r="B4046" i="2"/>
  <c r="A4046" i="2"/>
  <c r="B4045" i="2"/>
  <c r="A4045" i="2"/>
  <c r="B4044" i="2"/>
  <c r="A4044" i="2"/>
  <c r="B4043" i="2"/>
  <c r="A4043" i="2"/>
  <c r="B4042" i="2"/>
  <c r="A4042" i="2"/>
  <c r="B4041" i="2"/>
  <c r="A4041" i="2"/>
  <c r="B4040" i="2"/>
  <c r="A4040" i="2"/>
  <c r="B4039" i="2"/>
  <c r="A4039" i="2"/>
  <c r="B4038" i="2"/>
  <c r="A4038" i="2"/>
  <c r="B4037" i="2"/>
  <c r="A4037" i="2"/>
  <c r="B4036" i="2"/>
  <c r="A4036" i="2"/>
  <c r="B4035" i="2"/>
  <c r="A4035" i="2"/>
  <c r="B4034" i="2"/>
  <c r="A4034" i="2"/>
  <c r="B4033" i="2"/>
  <c r="A4033" i="2"/>
  <c r="B4032" i="2"/>
  <c r="A4032" i="2"/>
  <c r="B4031" i="2"/>
  <c r="A4031" i="2"/>
  <c r="B4030" i="2"/>
  <c r="A4030" i="2"/>
  <c r="B4029" i="2"/>
  <c r="A4029" i="2"/>
  <c r="B4028" i="2"/>
  <c r="A4028" i="2"/>
  <c r="B4027" i="2"/>
  <c r="A4027" i="2"/>
  <c r="B4026" i="2"/>
  <c r="A4026" i="2"/>
  <c r="B4025" i="2"/>
  <c r="A4025" i="2"/>
  <c r="B4024" i="2"/>
  <c r="A4024" i="2"/>
  <c r="B4023" i="2"/>
  <c r="A4023" i="2"/>
  <c r="B4022" i="2"/>
  <c r="A4022" i="2"/>
  <c r="B4021" i="2"/>
  <c r="A4021" i="2"/>
  <c r="B4020" i="2"/>
  <c r="A4020" i="2"/>
  <c r="B4019" i="2"/>
  <c r="A4019" i="2"/>
  <c r="B4018" i="2"/>
  <c r="A4018" i="2"/>
  <c r="B4017" i="2"/>
  <c r="A4017" i="2"/>
  <c r="B4016" i="2"/>
  <c r="A4016" i="2"/>
  <c r="B4015" i="2"/>
  <c r="A4015" i="2"/>
  <c r="B4014" i="2"/>
  <c r="A4014" i="2"/>
  <c r="B4013" i="2"/>
  <c r="A4013" i="2"/>
  <c r="B4012" i="2"/>
  <c r="A4012" i="2"/>
  <c r="B4011" i="2"/>
  <c r="A4011" i="2"/>
  <c r="B4010" i="2"/>
  <c r="A4010" i="2"/>
  <c r="B4009" i="2"/>
  <c r="A4009" i="2"/>
  <c r="B4008" i="2"/>
  <c r="A4008" i="2"/>
  <c r="B4007" i="2"/>
  <c r="A4007" i="2"/>
  <c r="B4006" i="2"/>
  <c r="A4006" i="2"/>
  <c r="B4005" i="2"/>
  <c r="A4005" i="2"/>
  <c r="B4004" i="2"/>
  <c r="A4004" i="2"/>
  <c r="B4003" i="2"/>
  <c r="A4003" i="2"/>
  <c r="B4002" i="2"/>
  <c r="A4002" i="2"/>
  <c r="B4001" i="2"/>
  <c r="A4001" i="2"/>
  <c r="B4000" i="2"/>
  <c r="A4000" i="2"/>
  <c r="B3999" i="2"/>
  <c r="A3999" i="2"/>
  <c r="B3998" i="2"/>
  <c r="A3998" i="2"/>
  <c r="B3997" i="2"/>
  <c r="A3997" i="2"/>
  <c r="B3996" i="2"/>
  <c r="A3996" i="2"/>
  <c r="B3995" i="2"/>
  <c r="A3995" i="2"/>
  <c r="B3994" i="2"/>
  <c r="A3994" i="2"/>
  <c r="B3993" i="2"/>
  <c r="A3993" i="2"/>
  <c r="B3992" i="2"/>
  <c r="A3992" i="2"/>
  <c r="B3991" i="2"/>
  <c r="A3991" i="2"/>
  <c r="B3990" i="2"/>
  <c r="A3990" i="2"/>
  <c r="B3989" i="2"/>
  <c r="A3989" i="2"/>
  <c r="B3988" i="2"/>
  <c r="A3988" i="2"/>
  <c r="B3987" i="2"/>
  <c r="A3987" i="2"/>
  <c r="B3986" i="2"/>
  <c r="A3986" i="2"/>
  <c r="B3985" i="2"/>
  <c r="A3985" i="2"/>
  <c r="B3984" i="2"/>
  <c r="A3984" i="2"/>
  <c r="B3983" i="2"/>
  <c r="A3983" i="2"/>
  <c r="B3982" i="2"/>
  <c r="A3982" i="2"/>
  <c r="B3981" i="2"/>
  <c r="A3981" i="2"/>
  <c r="B3980" i="2"/>
  <c r="A3980" i="2"/>
  <c r="B3979" i="2"/>
  <c r="A3979" i="2"/>
  <c r="B3978" i="2"/>
  <c r="A3978" i="2"/>
  <c r="B3977" i="2"/>
  <c r="A3977" i="2"/>
  <c r="B3976" i="2"/>
  <c r="A3976" i="2"/>
  <c r="B3975" i="2"/>
  <c r="A3975" i="2"/>
  <c r="B3974" i="2"/>
  <c r="A3974" i="2"/>
  <c r="B3973" i="2"/>
  <c r="A3973" i="2"/>
  <c r="B3972" i="2"/>
  <c r="A3972" i="2"/>
  <c r="B3971" i="2"/>
  <c r="A3971" i="2"/>
  <c r="B3970" i="2"/>
  <c r="A3970" i="2"/>
  <c r="B3969" i="2"/>
  <c r="A3969" i="2"/>
  <c r="B3968" i="2"/>
  <c r="A3968" i="2"/>
  <c r="B3967" i="2"/>
  <c r="A3967" i="2"/>
  <c r="B3966" i="2"/>
  <c r="A3966" i="2"/>
  <c r="B3965" i="2"/>
  <c r="A3965" i="2"/>
  <c r="B3964" i="2"/>
  <c r="A3964" i="2"/>
  <c r="B3963" i="2"/>
  <c r="A3963" i="2"/>
  <c r="B3962" i="2"/>
  <c r="A3962" i="2"/>
  <c r="B3961" i="2"/>
  <c r="A3961" i="2"/>
  <c r="B3960" i="2"/>
  <c r="A3960" i="2"/>
  <c r="B3959" i="2"/>
  <c r="A3959" i="2"/>
  <c r="B3958" i="2"/>
  <c r="A3958" i="2"/>
  <c r="B3957" i="2"/>
  <c r="A3957" i="2"/>
  <c r="B3956" i="2"/>
  <c r="A3956" i="2"/>
  <c r="B3955" i="2"/>
  <c r="A3955" i="2"/>
  <c r="B3954" i="2"/>
  <c r="A3954" i="2"/>
  <c r="B3953" i="2"/>
  <c r="A3953" i="2"/>
  <c r="B3952" i="2"/>
  <c r="A3952" i="2"/>
  <c r="B3951" i="2"/>
  <c r="A3951" i="2"/>
  <c r="B3950" i="2"/>
  <c r="A3950" i="2"/>
  <c r="B3949" i="2"/>
  <c r="A3949" i="2"/>
  <c r="B3948" i="2"/>
  <c r="A3948" i="2"/>
  <c r="B3947" i="2"/>
  <c r="A3947" i="2"/>
  <c r="B3946" i="2"/>
  <c r="A3946" i="2"/>
  <c r="B3945" i="2"/>
  <c r="A3945" i="2"/>
  <c r="B3944" i="2"/>
  <c r="A3944" i="2"/>
  <c r="B3943" i="2"/>
  <c r="A3943" i="2"/>
  <c r="B3942" i="2"/>
  <c r="A3942" i="2"/>
  <c r="B3941" i="2"/>
  <c r="A3941" i="2"/>
  <c r="B3940" i="2"/>
  <c r="A3940" i="2"/>
  <c r="B3939" i="2"/>
  <c r="A3939" i="2"/>
  <c r="B3938" i="2"/>
  <c r="A3938" i="2"/>
  <c r="B3937" i="2"/>
  <c r="A3937" i="2"/>
  <c r="B3936" i="2"/>
  <c r="A3936" i="2"/>
  <c r="B3935" i="2"/>
  <c r="A3935" i="2"/>
  <c r="B3934" i="2"/>
  <c r="A3934" i="2"/>
  <c r="B3933" i="2"/>
  <c r="A3933" i="2"/>
  <c r="B3932" i="2"/>
  <c r="A3932" i="2"/>
  <c r="B3931" i="2"/>
  <c r="A3931" i="2"/>
  <c r="B3930" i="2"/>
  <c r="A3930" i="2"/>
  <c r="B3929" i="2"/>
  <c r="A3929" i="2"/>
  <c r="B3928" i="2"/>
  <c r="A3928" i="2"/>
  <c r="B3927" i="2"/>
  <c r="A3927" i="2"/>
  <c r="B3926" i="2"/>
  <c r="A3926" i="2"/>
  <c r="B3925" i="2"/>
  <c r="A3925" i="2"/>
  <c r="B3924" i="2"/>
  <c r="A3924" i="2"/>
  <c r="B3923" i="2"/>
  <c r="A3923" i="2"/>
  <c r="B3922" i="2"/>
  <c r="A3922" i="2"/>
  <c r="B3921" i="2"/>
  <c r="A3921" i="2"/>
  <c r="B3920" i="2"/>
  <c r="A3920" i="2"/>
  <c r="B3919" i="2"/>
  <c r="A3919" i="2"/>
  <c r="B3918" i="2"/>
  <c r="A3918" i="2"/>
  <c r="B3917" i="2"/>
  <c r="A3917" i="2"/>
  <c r="B3916" i="2"/>
  <c r="A3916" i="2"/>
  <c r="B3915" i="2"/>
  <c r="A3915" i="2"/>
  <c r="B3914" i="2"/>
  <c r="A3914" i="2"/>
  <c r="B3913" i="2"/>
  <c r="A3913" i="2"/>
  <c r="B3912" i="2"/>
  <c r="A3912" i="2"/>
  <c r="B3911" i="2"/>
  <c r="A3911" i="2"/>
  <c r="B3910" i="2"/>
  <c r="A3910" i="2"/>
  <c r="B3909" i="2"/>
  <c r="A3909" i="2"/>
  <c r="B3908" i="2"/>
  <c r="A3908" i="2"/>
  <c r="B3907" i="2"/>
  <c r="A3907" i="2"/>
  <c r="B3906" i="2"/>
  <c r="A3906" i="2"/>
  <c r="B3905" i="2"/>
  <c r="A3905" i="2"/>
  <c r="B3904" i="2"/>
  <c r="A3904" i="2"/>
  <c r="B3903" i="2"/>
  <c r="A3903" i="2"/>
  <c r="B3902" i="2"/>
  <c r="A3902" i="2"/>
  <c r="B3901" i="2"/>
  <c r="A3901" i="2"/>
  <c r="B3900" i="2"/>
  <c r="A3900" i="2"/>
  <c r="B3899" i="2"/>
  <c r="A3899" i="2"/>
  <c r="B3898" i="2"/>
  <c r="A3898" i="2"/>
  <c r="B3897" i="2"/>
  <c r="A3897" i="2"/>
  <c r="B3896" i="2"/>
  <c r="A3896" i="2"/>
  <c r="B3895" i="2"/>
  <c r="A3895" i="2"/>
  <c r="B3894" i="2"/>
  <c r="A3894" i="2"/>
  <c r="B3893" i="2"/>
  <c r="A3893" i="2"/>
  <c r="B3892" i="2"/>
  <c r="A3892" i="2"/>
  <c r="B3891" i="2"/>
  <c r="A3891" i="2"/>
  <c r="B3890" i="2"/>
  <c r="A3890" i="2"/>
  <c r="B3889" i="2"/>
  <c r="A3889" i="2"/>
  <c r="B3888" i="2"/>
  <c r="A3888" i="2"/>
  <c r="B3887" i="2"/>
  <c r="A3887" i="2"/>
  <c r="B3886" i="2"/>
  <c r="A3886" i="2"/>
  <c r="B3885" i="2"/>
  <c r="A3885" i="2"/>
  <c r="B3884" i="2"/>
  <c r="A3884" i="2"/>
  <c r="B3883" i="2"/>
  <c r="A3883" i="2"/>
  <c r="B3882" i="2"/>
  <c r="A3882" i="2"/>
  <c r="B3881" i="2"/>
  <c r="A3881" i="2"/>
  <c r="B3880" i="2"/>
  <c r="A3880" i="2"/>
  <c r="B3879" i="2"/>
  <c r="A3879" i="2"/>
  <c r="B3878" i="2"/>
  <c r="A3878" i="2"/>
  <c r="B3877" i="2"/>
  <c r="A3877" i="2"/>
  <c r="B3876" i="2"/>
  <c r="A3876" i="2"/>
  <c r="B3875" i="2"/>
  <c r="A3875" i="2"/>
  <c r="B3874" i="2"/>
  <c r="A3874" i="2"/>
  <c r="B3873" i="2"/>
  <c r="A3873" i="2"/>
  <c r="B3872" i="2"/>
  <c r="A3872" i="2"/>
  <c r="B3871" i="2"/>
  <c r="A3871" i="2"/>
  <c r="B3870" i="2"/>
  <c r="A3870" i="2"/>
  <c r="B3869" i="2"/>
  <c r="A3869" i="2"/>
  <c r="B3868" i="2"/>
  <c r="A3868" i="2"/>
  <c r="B3867" i="2"/>
  <c r="A3867" i="2"/>
  <c r="B3866" i="2"/>
  <c r="A3866" i="2"/>
  <c r="B3865" i="2"/>
  <c r="A3865" i="2"/>
  <c r="B3864" i="2"/>
  <c r="A3864" i="2"/>
  <c r="B3863" i="2"/>
  <c r="A3863" i="2"/>
  <c r="B3862" i="2"/>
  <c r="A3862" i="2"/>
  <c r="B3861" i="2"/>
  <c r="A3861" i="2"/>
  <c r="B3860" i="2"/>
  <c r="A3860" i="2"/>
  <c r="B3859" i="2"/>
  <c r="A3859" i="2"/>
  <c r="B3858" i="2"/>
  <c r="A3858" i="2"/>
  <c r="B3857" i="2"/>
  <c r="A3857" i="2"/>
  <c r="B3856" i="2"/>
  <c r="A3856" i="2"/>
  <c r="B3855" i="2"/>
  <c r="A3855" i="2"/>
  <c r="B3854" i="2"/>
  <c r="A3854" i="2"/>
  <c r="B3853" i="2"/>
  <c r="A3853" i="2"/>
  <c r="B3852" i="2"/>
  <c r="A3852" i="2"/>
  <c r="B3851" i="2"/>
  <c r="A3851" i="2"/>
  <c r="B3850" i="2"/>
  <c r="A3850" i="2"/>
  <c r="B3849" i="2"/>
  <c r="A3849" i="2"/>
  <c r="B3848" i="2"/>
  <c r="A3848" i="2"/>
  <c r="B3847" i="2"/>
  <c r="A3847" i="2"/>
  <c r="B3846" i="2"/>
  <c r="A3846" i="2"/>
  <c r="B3845" i="2"/>
  <c r="A3845" i="2"/>
  <c r="B3844" i="2"/>
  <c r="A3844" i="2"/>
  <c r="B3843" i="2"/>
  <c r="A3843" i="2"/>
  <c r="B3842" i="2"/>
  <c r="A3842" i="2"/>
  <c r="B3841" i="2"/>
  <c r="A3841" i="2"/>
  <c r="B3840" i="2"/>
  <c r="A3840" i="2"/>
  <c r="B3839" i="2"/>
  <c r="A3839" i="2"/>
  <c r="B3838" i="2"/>
  <c r="A3838" i="2"/>
  <c r="B3837" i="2"/>
  <c r="A3837" i="2"/>
  <c r="B3836" i="2"/>
  <c r="A3836" i="2"/>
  <c r="B3835" i="2"/>
  <c r="A3835" i="2"/>
  <c r="B3834" i="2"/>
  <c r="A3834" i="2"/>
  <c r="B3833" i="2"/>
  <c r="A3833" i="2"/>
  <c r="B3832" i="2"/>
  <c r="A3832" i="2"/>
  <c r="B3831" i="2"/>
  <c r="A3831" i="2"/>
  <c r="B3830" i="2"/>
  <c r="A3830" i="2"/>
  <c r="B3829" i="2"/>
  <c r="A3829" i="2"/>
  <c r="B3828" i="2"/>
  <c r="A3828" i="2"/>
  <c r="B3827" i="2"/>
  <c r="A3827" i="2"/>
  <c r="B3826" i="2"/>
  <c r="A3826" i="2"/>
  <c r="B3825" i="2"/>
  <c r="A3825" i="2"/>
  <c r="B3824" i="2"/>
  <c r="A3824" i="2"/>
  <c r="B3823" i="2"/>
  <c r="A3823" i="2"/>
  <c r="B3822" i="2"/>
  <c r="A3822" i="2"/>
  <c r="B3821" i="2"/>
  <c r="A3821" i="2"/>
  <c r="B3820" i="2"/>
  <c r="A3820" i="2"/>
  <c r="B3819" i="2"/>
  <c r="A3819" i="2"/>
  <c r="B3818" i="2"/>
  <c r="A3818" i="2"/>
  <c r="B3817" i="2"/>
  <c r="A3817" i="2"/>
  <c r="B3816" i="2"/>
  <c r="A3816" i="2"/>
  <c r="B3815" i="2"/>
  <c r="A3815" i="2"/>
  <c r="B3814" i="2"/>
  <c r="A3814" i="2"/>
  <c r="B3813" i="2"/>
  <c r="A3813" i="2"/>
  <c r="B3812" i="2"/>
  <c r="A3812" i="2"/>
  <c r="B3811" i="2"/>
  <c r="A3811" i="2"/>
  <c r="B3810" i="2"/>
  <c r="A3810" i="2"/>
  <c r="B3809" i="2"/>
  <c r="A3809" i="2"/>
  <c r="B3808" i="2"/>
  <c r="A3808" i="2"/>
  <c r="B3807" i="2"/>
  <c r="A3807" i="2"/>
  <c r="B3806" i="2"/>
  <c r="A3806" i="2"/>
  <c r="B3805" i="2"/>
  <c r="A3805" i="2"/>
  <c r="B3804" i="2"/>
  <c r="A3804" i="2"/>
  <c r="B3803" i="2"/>
  <c r="A3803" i="2"/>
  <c r="B3802" i="2"/>
  <c r="A3802" i="2"/>
  <c r="B3801" i="2"/>
  <c r="A3801" i="2"/>
  <c r="B3800" i="2"/>
  <c r="A3800" i="2"/>
  <c r="B3799" i="2"/>
  <c r="A3799" i="2"/>
  <c r="B3798" i="2"/>
  <c r="A3798" i="2"/>
  <c r="B3797" i="2"/>
  <c r="A3797" i="2"/>
  <c r="B3796" i="2"/>
  <c r="A3796" i="2"/>
  <c r="B3795" i="2"/>
  <c r="A3795" i="2"/>
  <c r="B3794" i="2"/>
  <c r="A3794" i="2"/>
  <c r="B3793" i="2"/>
  <c r="A3793" i="2"/>
  <c r="B3792" i="2"/>
  <c r="A3792" i="2"/>
  <c r="B3791" i="2"/>
  <c r="A3791" i="2"/>
  <c r="B3790" i="2"/>
  <c r="A3790" i="2"/>
  <c r="B3789" i="2"/>
  <c r="A3789" i="2"/>
  <c r="B3788" i="2"/>
  <c r="A3788" i="2"/>
  <c r="B3787" i="2"/>
  <c r="A3787" i="2"/>
  <c r="B3786" i="2"/>
  <c r="A3786" i="2"/>
  <c r="B3785" i="2"/>
  <c r="A3785" i="2"/>
  <c r="B3784" i="2"/>
  <c r="A3784" i="2"/>
  <c r="B3783" i="2"/>
  <c r="A3783" i="2"/>
  <c r="B3782" i="2"/>
  <c r="A3782" i="2"/>
  <c r="B3781" i="2"/>
  <c r="A3781" i="2"/>
  <c r="B3780" i="2"/>
  <c r="A3780" i="2"/>
  <c r="B3779" i="2"/>
  <c r="A3779" i="2"/>
  <c r="B3778" i="2"/>
  <c r="A3778" i="2"/>
  <c r="B3777" i="2"/>
  <c r="A3777" i="2"/>
  <c r="B3776" i="2"/>
  <c r="A3776" i="2"/>
  <c r="B3775" i="2"/>
  <c r="A3775" i="2"/>
  <c r="B3774" i="2"/>
  <c r="A3774" i="2"/>
  <c r="B3773" i="2"/>
  <c r="A3773" i="2"/>
  <c r="B3772" i="2"/>
  <c r="A3772" i="2"/>
  <c r="B3771" i="2"/>
  <c r="A3771" i="2"/>
  <c r="B3770" i="2"/>
  <c r="A3770" i="2"/>
  <c r="B3769" i="2"/>
  <c r="A3769" i="2"/>
  <c r="B3768" i="2"/>
  <c r="A3768" i="2"/>
  <c r="B3767" i="2"/>
  <c r="A3767" i="2"/>
  <c r="B3766" i="2"/>
  <c r="A3766" i="2"/>
  <c r="B3765" i="2"/>
  <c r="A3765" i="2"/>
  <c r="B3764" i="2"/>
  <c r="A3764" i="2"/>
  <c r="B3763" i="2"/>
  <c r="A3763" i="2"/>
  <c r="B3762" i="2"/>
  <c r="A3762" i="2"/>
  <c r="B3761" i="2"/>
  <c r="A3761" i="2"/>
  <c r="B3760" i="2"/>
  <c r="A3760" i="2"/>
  <c r="B3759" i="2"/>
  <c r="A3759" i="2"/>
  <c r="B3758" i="2"/>
  <c r="A3758" i="2"/>
  <c r="B3757" i="2"/>
  <c r="A3757" i="2"/>
  <c r="B3756" i="2"/>
  <c r="A3756" i="2"/>
  <c r="B3755" i="2"/>
  <c r="A3755" i="2"/>
  <c r="B3754" i="2"/>
  <c r="A3754" i="2"/>
  <c r="B3753" i="2"/>
  <c r="A3753" i="2"/>
  <c r="B3752" i="2"/>
  <c r="A3752" i="2"/>
  <c r="B3751" i="2"/>
  <c r="A3751" i="2"/>
  <c r="B3750" i="2"/>
  <c r="A3750" i="2"/>
  <c r="B3749" i="2"/>
  <c r="A3749" i="2"/>
  <c r="B3748" i="2"/>
  <c r="A3748" i="2"/>
  <c r="B3747" i="2"/>
  <c r="A3747" i="2"/>
  <c r="B3746" i="2"/>
  <c r="A3746" i="2"/>
  <c r="B3745" i="2"/>
  <c r="A3745" i="2"/>
  <c r="B3744" i="2"/>
  <c r="A3744" i="2"/>
  <c r="B3743" i="2"/>
  <c r="A3743" i="2"/>
  <c r="B3742" i="2"/>
  <c r="A3742" i="2"/>
  <c r="B3741" i="2"/>
  <c r="A3741" i="2"/>
  <c r="B3740" i="2"/>
  <c r="A3740" i="2"/>
  <c r="B3739" i="2"/>
  <c r="A3739" i="2"/>
  <c r="B3738" i="2"/>
  <c r="A3738" i="2"/>
  <c r="B3737" i="2"/>
  <c r="A3737" i="2"/>
  <c r="B3736" i="2"/>
  <c r="A3736" i="2"/>
  <c r="B3735" i="2"/>
  <c r="A3735" i="2"/>
  <c r="B3734" i="2"/>
  <c r="A3734" i="2"/>
  <c r="B3733" i="2"/>
  <c r="A3733" i="2"/>
  <c r="B3732" i="2"/>
  <c r="A3732" i="2"/>
  <c r="B3731" i="2"/>
  <c r="A3731" i="2"/>
  <c r="B3730" i="2"/>
  <c r="A3730" i="2"/>
  <c r="B3729" i="2"/>
  <c r="A3729" i="2"/>
  <c r="B3728" i="2"/>
  <c r="A3728" i="2"/>
  <c r="B3727" i="2"/>
  <c r="A3727" i="2"/>
  <c r="B3726" i="2"/>
  <c r="A3726" i="2"/>
  <c r="B3725" i="2"/>
  <c r="A3725" i="2"/>
  <c r="B3724" i="2"/>
  <c r="A3724" i="2"/>
  <c r="B3723" i="2"/>
  <c r="A3723" i="2"/>
  <c r="B3722" i="2"/>
  <c r="A3722" i="2"/>
  <c r="B3721" i="2"/>
  <c r="A3721" i="2"/>
  <c r="B3720" i="2"/>
  <c r="A3720" i="2"/>
  <c r="B3719" i="2"/>
  <c r="A3719" i="2"/>
  <c r="B3718" i="2"/>
  <c r="A3718" i="2"/>
  <c r="B3717" i="2"/>
  <c r="A3717" i="2"/>
  <c r="B3716" i="2"/>
  <c r="A3716" i="2"/>
  <c r="B3715" i="2"/>
  <c r="A3715" i="2"/>
  <c r="B3714" i="2"/>
  <c r="A3714" i="2"/>
  <c r="B3713" i="2"/>
  <c r="A3713" i="2"/>
  <c r="B3712" i="2"/>
  <c r="A3712" i="2"/>
  <c r="B3711" i="2"/>
  <c r="A3711" i="2"/>
  <c r="B3710" i="2"/>
  <c r="A3710" i="2"/>
  <c r="B3709" i="2"/>
  <c r="A3709" i="2"/>
  <c r="B3708" i="2"/>
  <c r="A3708" i="2"/>
  <c r="B3707" i="2"/>
  <c r="A3707" i="2"/>
  <c r="B3706" i="2"/>
  <c r="A3706" i="2"/>
  <c r="B3705" i="2"/>
  <c r="A3705" i="2"/>
  <c r="B3704" i="2"/>
  <c r="A3704" i="2"/>
  <c r="B3703" i="2"/>
  <c r="A3703" i="2"/>
  <c r="B3702" i="2"/>
  <c r="A3702" i="2"/>
  <c r="B3701" i="2"/>
  <c r="A3701" i="2"/>
  <c r="B3700" i="2"/>
  <c r="A3700" i="2"/>
  <c r="B3699" i="2"/>
  <c r="A3699" i="2"/>
  <c r="B3698" i="2"/>
  <c r="A3698" i="2"/>
  <c r="B3697" i="2"/>
  <c r="A3697" i="2"/>
  <c r="B3696" i="2"/>
  <c r="A3696" i="2"/>
  <c r="B3695" i="2"/>
  <c r="A3695" i="2"/>
  <c r="B3694" i="2"/>
  <c r="A3694" i="2"/>
  <c r="B3693" i="2"/>
  <c r="A3693" i="2"/>
  <c r="B3692" i="2"/>
  <c r="A3692" i="2"/>
  <c r="B3691" i="2"/>
  <c r="A3691" i="2"/>
  <c r="B3690" i="2"/>
  <c r="A3690" i="2"/>
  <c r="B3689" i="2"/>
  <c r="A3689" i="2"/>
  <c r="B3688" i="2"/>
  <c r="A3688" i="2"/>
  <c r="B3687" i="2"/>
  <c r="A3687" i="2"/>
  <c r="B3686" i="2"/>
  <c r="A3686" i="2"/>
  <c r="B3685" i="2"/>
  <c r="A3685" i="2"/>
  <c r="B3684" i="2"/>
  <c r="A3684" i="2"/>
  <c r="B3683" i="2"/>
  <c r="A3683" i="2"/>
  <c r="B3682" i="2"/>
  <c r="A3682" i="2"/>
  <c r="B3681" i="2"/>
  <c r="A3681" i="2"/>
  <c r="B3680" i="2"/>
  <c r="A3680" i="2"/>
  <c r="B3679" i="2"/>
  <c r="A3679" i="2"/>
  <c r="B3678" i="2"/>
  <c r="A3678" i="2"/>
  <c r="B3677" i="2"/>
  <c r="A3677" i="2"/>
  <c r="B3676" i="2"/>
  <c r="A3676" i="2"/>
  <c r="B3675" i="2"/>
  <c r="A3675" i="2"/>
  <c r="B3674" i="2"/>
  <c r="A3674" i="2"/>
  <c r="B3673" i="2"/>
  <c r="A3673" i="2"/>
  <c r="B3672" i="2"/>
  <c r="A3672" i="2"/>
  <c r="B3671" i="2"/>
  <c r="A3671" i="2"/>
  <c r="B3670" i="2"/>
  <c r="A3670" i="2"/>
  <c r="B3669" i="2"/>
  <c r="A3669" i="2"/>
  <c r="B3668" i="2"/>
  <c r="A3668" i="2"/>
  <c r="B3667" i="2"/>
  <c r="A3667" i="2"/>
  <c r="B3666" i="2"/>
  <c r="A3666" i="2"/>
  <c r="B3665" i="2"/>
  <c r="A3665" i="2"/>
  <c r="B3664" i="2"/>
  <c r="A3664" i="2"/>
  <c r="B3663" i="2"/>
  <c r="A3663" i="2"/>
  <c r="B3662" i="2"/>
  <c r="A3662" i="2"/>
  <c r="B3661" i="2"/>
  <c r="A3661" i="2"/>
  <c r="B3660" i="2"/>
  <c r="A3660" i="2"/>
  <c r="B3659" i="2"/>
  <c r="A3659" i="2"/>
  <c r="B3658" i="2"/>
  <c r="A3658" i="2"/>
  <c r="B3657" i="2"/>
  <c r="A3657" i="2"/>
  <c r="B3656" i="2"/>
  <c r="A3656" i="2"/>
  <c r="B3655" i="2"/>
  <c r="A3655" i="2"/>
  <c r="B3654" i="2"/>
  <c r="A3654" i="2"/>
  <c r="B3653" i="2"/>
  <c r="A3653" i="2"/>
  <c r="B3652" i="2"/>
  <c r="A3652" i="2"/>
  <c r="B3651" i="2"/>
  <c r="A3651" i="2"/>
  <c r="B3650" i="2"/>
  <c r="A3650" i="2"/>
  <c r="B3649" i="2"/>
  <c r="A3649" i="2"/>
  <c r="B3648" i="2"/>
  <c r="A3648" i="2"/>
  <c r="B3647" i="2"/>
  <c r="A3647" i="2"/>
  <c r="B3646" i="2"/>
  <c r="A3646" i="2"/>
  <c r="B3645" i="2"/>
  <c r="A3645" i="2"/>
  <c r="B3644" i="2"/>
  <c r="A3644" i="2"/>
  <c r="B3643" i="2"/>
  <c r="A3643" i="2"/>
  <c r="B3642" i="2"/>
  <c r="A3642" i="2"/>
  <c r="B3641" i="2"/>
  <c r="A3641" i="2"/>
  <c r="B3640" i="2"/>
  <c r="A3640" i="2"/>
  <c r="B3639" i="2"/>
  <c r="A3639" i="2"/>
  <c r="B3638" i="2"/>
  <c r="A3638" i="2"/>
  <c r="B3637" i="2"/>
  <c r="A3637" i="2"/>
  <c r="B3636" i="2"/>
  <c r="A3636" i="2"/>
  <c r="B3635" i="2"/>
  <c r="A3635" i="2"/>
  <c r="B3634" i="2"/>
  <c r="A3634" i="2"/>
  <c r="B3633" i="2"/>
  <c r="A3633" i="2"/>
  <c r="B3632" i="2"/>
  <c r="A3632" i="2"/>
  <c r="B3631" i="2"/>
  <c r="A3631" i="2"/>
  <c r="B3630" i="2"/>
  <c r="A3630" i="2"/>
  <c r="B3629" i="2"/>
  <c r="A3629" i="2"/>
  <c r="B3628" i="2"/>
  <c r="A3628" i="2"/>
  <c r="B3627" i="2"/>
  <c r="A3627" i="2"/>
  <c r="B3626" i="2"/>
  <c r="A3626" i="2"/>
  <c r="B3625" i="2"/>
  <c r="A3625" i="2"/>
  <c r="B3624" i="2"/>
  <c r="A3624" i="2"/>
  <c r="B3623" i="2"/>
  <c r="A3623" i="2"/>
  <c r="B3622" i="2"/>
  <c r="A3622" i="2"/>
  <c r="B3621" i="2"/>
  <c r="A3621" i="2"/>
  <c r="B3620" i="2"/>
  <c r="A3620" i="2"/>
  <c r="B3619" i="2"/>
  <c r="A3619" i="2"/>
  <c r="B3618" i="2"/>
  <c r="A3618" i="2"/>
  <c r="B3617" i="2"/>
  <c r="A3617" i="2"/>
  <c r="B3616" i="2"/>
  <c r="A3616" i="2"/>
  <c r="B3615" i="2"/>
  <c r="A3615" i="2"/>
  <c r="B3614" i="2"/>
  <c r="A3614" i="2"/>
  <c r="B3613" i="2"/>
  <c r="A3613" i="2"/>
  <c r="B3612" i="2"/>
  <c r="A3612" i="2"/>
  <c r="B3611" i="2"/>
  <c r="A3611" i="2"/>
  <c r="B3610" i="2"/>
  <c r="A3610" i="2"/>
  <c r="B3609" i="2"/>
  <c r="A3609" i="2"/>
  <c r="B3608" i="2"/>
  <c r="A3608" i="2"/>
  <c r="B3607" i="2"/>
  <c r="A3607" i="2"/>
  <c r="B3606" i="2"/>
  <c r="A3606" i="2"/>
  <c r="B3605" i="2"/>
  <c r="A3605" i="2"/>
  <c r="B3604" i="2"/>
  <c r="A3604" i="2"/>
  <c r="B3603" i="2"/>
  <c r="A3603" i="2"/>
  <c r="B3602" i="2"/>
  <c r="A3602" i="2"/>
  <c r="B3601" i="2"/>
  <c r="A3601" i="2"/>
  <c r="B3600" i="2"/>
  <c r="A3600" i="2"/>
  <c r="B3599" i="2"/>
  <c r="A3599" i="2"/>
  <c r="B3598" i="2"/>
  <c r="A3598" i="2"/>
  <c r="B3597" i="2"/>
  <c r="A3597" i="2"/>
  <c r="B3596" i="2"/>
  <c r="A3596" i="2"/>
  <c r="B3595" i="2"/>
  <c r="A3595" i="2"/>
  <c r="B3594" i="2"/>
  <c r="A3594" i="2"/>
  <c r="B3593" i="2"/>
  <c r="A3593" i="2"/>
  <c r="B3592" i="2"/>
  <c r="A3592" i="2"/>
  <c r="B3591" i="2"/>
  <c r="A3591" i="2"/>
  <c r="B3590" i="2"/>
  <c r="A3590" i="2"/>
  <c r="B3589" i="2"/>
  <c r="A3589" i="2"/>
  <c r="B3588" i="2"/>
  <c r="A3588" i="2"/>
  <c r="B3587" i="2"/>
  <c r="A3587" i="2"/>
  <c r="B3586" i="2"/>
  <c r="A3586" i="2"/>
  <c r="B3585" i="2"/>
  <c r="A3585" i="2"/>
  <c r="B3584" i="2"/>
  <c r="A3584" i="2"/>
  <c r="B3583" i="2"/>
  <c r="A3583" i="2"/>
  <c r="B3582" i="2"/>
  <c r="A3582" i="2"/>
  <c r="B3581" i="2"/>
  <c r="A3581" i="2"/>
  <c r="B3580" i="2"/>
  <c r="A3580" i="2"/>
  <c r="B3579" i="2"/>
  <c r="A3579" i="2"/>
  <c r="B3578" i="2"/>
  <c r="A3578" i="2"/>
  <c r="B3577" i="2"/>
  <c r="A3577" i="2"/>
  <c r="B3576" i="2"/>
  <c r="A3576" i="2"/>
  <c r="B3575" i="2"/>
  <c r="A3575" i="2"/>
  <c r="B3574" i="2"/>
  <c r="A3574" i="2"/>
  <c r="B3573" i="2"/>
  <c r="A3573" i="2"/>
  <c r="B3572" i="2"/>
  <c r="A3572" i="2"/>
  <c r="B3571" i="2"/>
  <c r="A3571" i="2"/>
  <c r="B3570" i="2"/>
  <c r="A3570" i="2"/>
  <c r="B3569" i="2"/>
  <c r="A3569" i="2"/>
  <c r="B3568" i="2"/>
  <c r="A3568" i="2"/>
  <c r="B3567" i="2"/>
  <c r="A3567" i="2"/>
  <c r="B3566" i="2"/>
  <c r="A3566" i="2"/>
  <c r="B3565" i="2"/>
  <c r="A3565" i="2"/>
  <c r="B3564" i="2"/>
  <c r="A3564" i="2"/>
  <c r="B3563" i="2"/>
  <c r="A3563" i="2"/>
  <c r="B3562" i="2"/>
  <c r="A3562" i="2"/>
  <c r="B3561" i="2"/>
  <c r="A3561" i="2"/>
  <c r="B3560" i="2"/>
  <c r="A3560" i="2"/>
  <c r="B3559" i="2"/>
  <c r="A3559" i="2"/>
  <c r="B3558" i="2"/>
  <c r="A3558" i="2"/>
  <c r="B3557" i="2"/>
  <c r="A3557" i="2"/>
  <c r="B3556" i="2"/>
  <c r="A3556" i="2"/>
  <c r="B3555" i="2"/>
  <c r="A3555" i="2"/>
  <c r="B3554" i="2"/>
  <c r="A3554" i="2"/>
  <c r="B3553" i="2"/>
  <c r="A3553" i="2"/>
  <c r="B3552" i="2"/>
  <c r="A3552" i="2"/>
  <c r="B3551" i="2"/>
  <c r="A3551" i="2"/>
  <c r="B3550" i="2"/>
  <c r="A3550" i="2"/>
  <c r="B3549" i="2"/>
  <c r="A3549" i="2"/>
  <c r="B3548" i="2"/>
  <c r="A3548" i="2"/>
  <c r="B3547" i="2"/>
  <c r="A3547" i="2"/>
  <c r="B3546" i="2"/>
  <c r="A3546" i="2"/>
  <c r="B3545" i="2"/>
  <c r="A3545" i="2"/>
  <c r="B3544" i="2"/>
  <c r="A3544" i="2"/>
  <c r="B3543" i="2"/>
  <c r="A3543" i="2"/>
  <c r="B3542" i="2"/>
  <c r="A3542" i="2"/>
  <c r="B3541" i="2"/>
  <c r="A3541" i="2"/>
  <c r="B3540" i="2"/>
  <c r="A3540" i="2"/>
  <c r="B3539" i="2"/>
  <c r="A3539" i="2"/>
  <c r="B3538" i="2"/>
  <c r="A3538" i="2"/>
  <c r="B3537" i="2"/>
  <c r="A3537" i="2"/>
  <c r="B3536" i="2"/>
  <c r="A3536" i="2"/>
  <c r="B3535" i="2"/>
  <c r="A3535" i="2"/>
  <c r="B3534" i="2"/>
  <c r="A3534" i="2"/>
  <c r="B3533" i="2"/>
  <c r="A3533" i="2"/>
  <c r="B3532" i="2"/>
  <c r="A3532" i="2"/>
  <c r="B3531" i="2"/>
  <c r="A3531" i="2"/>
  <c r="B3530" i="2"/>
  <c r="A3530" i="2"/>
  <c r="B3529" i="2"/>
  <c r="A3529" i="2"/>
  <c r="B3528" i="2"/>
  <c r="A3528" i="2"/>
  <c r="B3527" i="2"/>
  <c r="A3527" i="2"/>
  <c r="B3526" i="2"/>
  <c r="A3526" i="2"/>
  <c r="B3525" i="2"/>
  <c r="A3525" i="2"/>
  <c r="B3524" i="2"/>
  <c r="A3524" i="2"/>
  <c r="B3523" i="2"/>
  <c r="A3523" i="2"/>
  <c r="B3522" i="2"/>
  <c r="A3522" i="2"/>
  <c r="B3521" i="2"/>
  <c r="A3521" i="2"/>
  <c r="B3520" i="2"/>
  <c r="A3520" i="2"/>
  <c r="B3519" i="2"/>
  <c r="A3519" i="2"/>
  <c r="B3518" i="2"/>
  <c r="A3518" i="2"/>
  <c r="B3517" i="2"/>
  <c r="A3517" i="2"/>
  <c r="B3516" i="2"/>
  <c r="A3516" i="2"/>
  <c r="B3515" i="2"/>
  <c r="A3515" i="2"/>
  <c r="B3514" i="2"/>
  <c r="A3514" i="2"/>
  <c r="B3513" i="2"/>
  <c r="A3513" i="2"/>
  <c r="B3512" i="2"/>
  <c r="A3512" i="2"/>
  <c r="B3511" i="2"/>
  <c r="A3511" i="2"/>
  <c r="B3510" i="2"/>
  <c r="A3510" i="2"/>
  <c r="B3509" i="2"/>
  <c r="A3509" i="2"/>
  <c r="B3508" i="2"/>
  <c r="A3508" i="2"/>
  <c r="B3507" i="2"/>
  <c r="A3507" i="2"/>
  <c r="B3506" i="2"/>
  <c r="A3506" i="2"/>
  <c r="B3505" i="2"/>
  <c r="A3505" i="2"/>
  <c r="B3504" i="2"/>
  <c r="A3504" i="2"/>
  <c r="B3503" i="2"/>
  <c r="A3503" i="2"/>
  <c r="B3502" i="2"/>
  <c r="A3502" i="2"/>
  <c r="B3501" i="2"/>
  <c r="A3501" i="2"/>
  <c r="B3500" i="2"/>
  <c r="A3500" i="2"/>
  <c r="B3499" i="2"/>
  <c r="A3499" i="2"/>
  <c r="B3498" i="2"/>
  <c r="A3498" i="2"/>
  <c r="B3497" i="2"/>
  <c r="A3497" i="2"/>
  <c r="B3496" i="2"/>
  <c r="A3496" i="2"/>
  <c r="B3495" i="2"/>
  <c r="A3495" i="2"/>
  <c r="B3494" i="2"/>
  <c r="A3494" i="2"/>
  <c r="B3493" i="2"/>
  <c r="A3493" i="2"/>
  <c r="B3492" i="2"/>
  <c r="A3492" i="2"/>
  <c r="B3491" i="2"/>
  <c r="A3491" i="2"/>
  <c r="B3490" i="2"/>
  <c r="A3490" i="2"/>
  <c r="B3489" i="2"/>
  <c r="A3489" i="2"/>
  <c r="B3488" i="2"/>
  <c r="A3488" i="2"/>
  <c r="B3487" i="2"/>
  <c r="A3487" i="2"/>
  <c r="B3486" i="2"/>
  <c r="A3486" i="2"/>
  <c r="B3485" i="2"/>
  <c r="A3485" i="2"/>
  <c r="B3484" i="2"/>
  <c r="A3484" i="2"/>
  <c r="B3483" i="2"/>
  <c r="A3483" i="2"/>
  <c r="B3482" i="2"/>
  <c r="A3482" i="2"/>
  <c r="B3481" i="2"/>
  <c r="A3481" i="2"/>
  <c r="B3480" i="2"/>
  <c r="A3480" i="2"/>
  <c r="B3479" i="2"/>
  <c r="A3479" i="2"/>
  <c r="B3478" i="2"/>
  <c r="A3478" i="2"/>
  <c r="B3477" i="2"/>
  <c r="A3477" i="2"/>
  <c r="B3476" i="2"/>
  <c r="A3476" i="2"/>
  <c r="B3475" i="2"/>
  <c r="A3475" i="2"/>
  <c r="B3474" i="2"/>
  <c r="A3474" i="2"/>
  <c r="B3473" i="2"/>
  <c r="A3473" i="2"/>
  <c r="B3472" i="2"/>
  <c r="A3472" i="2"/>
  <c r="B3471" i="2"/>
  <c r="A3471" i="2"/>
  <c r="B3470" i="2"/>
  <c r="A3470" i="2"/>
  <c r="B3469" i="2"/>
  <c r="A3469" i="2"/>
  <c r="B3468" i="2"/>
  <c r="A3468" i="2"/>
  <c r="B3467" i="2"/>
  <c r="A3467" i="2"/>
  <c r="B3466" i="2"/>
  <c r="A3466" i="2"/>
  <c r="B3465" i="2"/>
  <c r="A3465" i="2"/>
  <c r="B3464" i="2"/>
  <c r="A3464" i="2"/>
  <c r="B3463" i="2"/>
  <c r="A3463" i="2"/>
  <c r="B3462" i="2"/>
  <c r="A3462" i="2"/>
  <c r="B3461" i="2"/>
  <c r="A3461" i="2"/>
  <c r="B3460" i="2"/>
  <c r="A3460" i="2"/>
  <c r="B3459" i="2"/>
  <c r="A3459" i="2"/>
  <c r="B3458" i="2"/>
  <c r="A3458" i="2"/>
  <c r="B3457" i="2"/>
  <c r="A3457" i="2"/>
  <c r="B3456" i="2"/>
  <c r="A3456" i="2"/>
  <c r="B3455" i="2"/>
  <c r="A3455" i="2"/>
  <c r="B3454" i="2"/>
  <c r="A3454" i="2"/>
  <c r="B3453" i="2"/>
  <c r="A3453" i="2"/>
  <c r="B3452" i="2"/>
  <c r="A3452" i="2"/>
  <c r="B3451" i="2"/>
  <c r="A3451" i="2"/>
  <c r="B3450" i="2"/>
  <c r="A3450" i="2"/>
  <c r="B3449" i="2"/>
  <c r="A3449" i="2"/>
  <c r="B3448" i="2"/>
  <c r="A3448" i="2"/>
  <c r="B3447" i="2"/>
  <c r="A3447" i="2"/>
  <c r="B3446" i="2"/>
  <c r="A3446" i="2"/>
  <c r="B3445" i="2"/>
  <c r="A3445" i="2"/>
  <c r="B3444" i="2"/>
  <c r="A3444" i="2"/>
  <c r="B3443" i="2"/>
  <c r="A3443" i="2"/>
  <c r="B3442" i="2"/>
  <c r="A3442" i="2"/>
  <c r="B3441" i="2"/>
  <c r="A3441" i="2"/>
  <c r="B3440" i="2"/>
  <c r="A3440" i="2"/>
  <c r="B3439" i="2"/>
  <c r="A3439" i="2"/>
  <c r="B3438" i="2"/>
  <c r="A3438" i="2"/>
  <c r="B3437" i="2"/>
  <c r="A3437" i="2"/>
  <c r="B3436" i="2"/>
  <c r="A3436" i="2"/>
  <c r="B3435" i="2"/>
  <c r="A3435" i="2"/>
  <c r="B3434" i="2"/>
  <c r="A3434" i="2"/>
  <c r="B3433" i="2"/>
  <c r="A3433" i="2"/>
  <c r="B3432" i="2"/>
  <c r="A3432" i="2"/>
  <c r="B3431" i="2"/>
  <c r="A3431" i="2"/>
  <c r="B3430" i="2"/>
  <c r="A3430" i="2"/>
  <c r="B3429" i="2"/>
  <c r="A3429" i="2"/>
  <c r="B3428" i="2"/>
  <c r="A3428" i="2"/>
  <c r="B3427" i="2"/>
  <c r="A3427" i="2"/>
  <c r="B3426" i="2"/>
  <c r="A3426" i="2"/>
  <c r="B3425" i="2"/>
  <c r="A3425" i="2"/>
  <c r="B3424" i="2"/>
  <c r="A3424" i="2"/>
  <c r="B3423" i="2"/>
  <c r="A3423" i="2"/>
  <c r="B3422" i="2"/>
  <c r="A3422" i="2"/>
  <c r="B3421" i="2"/>
  <c r="A3421" i="2"/>
  <c r="B3420" i="2"/>
  <c r="A3420" i="2"/>
  <c r="B3419" i="2"/>
  <c r="A3419" i="2"/>
  <c r="B3418" i="2"/>
  <c r="A3418" i="2"/>
  <c r="B3417" i="2"/>
  <c r="A3417" i="2"/>
  <c r="B3416" i="2"/>
  <c r="A3416" i="2"/>
  <c r="B3415" i="2"/>
  <c r="A3415" i="2"/>
  <c r="B3414" i="2"/>
  <c r="A3414" i="2"/>
  <c r="B3413" i="2"/>
  <c r="A3413" i="2"/>
  <c r="B3412" i="2"/>
  <c r="A3412" i="2"/>
  <c r="B3411" i="2"/>
  <c r="A3411" i="2"/>
  <c r="B3410" i="2"/>
  <c r="A3410" i="2"/>
  <c r="B3409" i="2"/>
  <c r="A3409" i="2"/>
  <c r="B3408" i="2"/>
  <c r="A3408" i="2"/>
  <c r="B3407" i="2"/>
  <c r="A3407" i="2"/>
  <c r="B3406" i="2"/>
  <c r="A3406" i="2"/>
  <c r="B3405" i="2"/>
  <c r="A3405" i="2"/>
  <c r="B3404" i="2"/>
  <c r="A3404" i="2"/>
  <c r="B3403" i="2"/>
  <c r="A3403" i="2"/>
  <c r="B3402" i="2"/>
  <c r="A3402" i="2"/>
  <c r="B3401" i="2"/>
  <c r="A3401" i="2"/>
  <c r="B3400" i="2"/>
  <c r="A3400" i="2"/>
  <c r="B3399" i="2"/>
  <c r="A3399" i="2"/>
  <c r="B3398" i="2"/>
  <c r="A3398" i="2"/>
  <c r="B3397" i="2"/>
  <c r="A3397" i="2"/>
  <c r="B3396" i="2"/>
  <c r="A3396" i="2"/>
  <c r="B3395" i="2"/>
  <c r="A3395" i="2"/>
  <c r="B3394" i="2"/>
  <c r="A3394" i="2"/>
  <c r="B3393" i="2"/>
  <c r="A3393" i="2"/>
  <c r="B3392" i="2"/>
  <c r="A3392" i="2"/>
  <c r="B3391" i="2"/>
  <c r="A3391" i="2"/>
  <c r="B3390" i="2"/>
  <c r="A3390" i="2"/>
  <c r="B3389" i="2"/>
  <c r="A3389" i="2"/>
  <c r="B3388" i="2"/>
  <c r="A3388" i="2"/>
  <c r="B3387" i="2"/>
  <c r="A3387" i="2"/>
  <c r="B3386" i="2"/>
  <c r="A3386" i="2"/>
  <c r="B3385" i="2"/>
  <c r="A3385" i="2"/>
  <c r="B3384" i="2"/>
  <c r="A3384" i="2"/>
  <c r="B3383" i="2"/>
  <c r="A3383" i="2"/>
  <c r="B3382" i="2"/>
  <c r="A3382" i="2"/>
  <c r="B3381" i="2"/>
  <c r="A3381" i="2"/>
  <c r="B3380" i="2"/>
  <c r="A3380" i="2"/>
  <c r="B3379" i="2"/>
  <c r="A3379" i="2"/>
  <c r="B3378" i="2"/>
  <c r="A3378" i="2"/>
  <c r="B3377" i="2"/>
  <c r="A3377" i="2"/>
  <c r="B3376" i="2"/>
  <c r="A3376" i="2"/>
  <c r="B3375" i="2"/>
  <c r="A3375" i="2"/>
  <c r="B3374" i="2"/>
  <c r="A3374" i="2"/>
  <c r="B3373" i="2"/>
  <c r="A3373" i="2"/>
  <c r="B3372" i="2"/>
  <c r="A3372" i="2"/>
  <c r="B3371" i="2"/>
  <c r="A3371" i="2"/>
  <c r="B3370" i="2"/>
  <c r="A3370" i="2"/>
  <c r="B3369" i="2"/>
  <c r="A3369" i="2"/>
  <c r="B3368" i="2"/>
  <c r="A3368" i="2"/>
  <c r="B3367" i="2"/>
  <c r="A3367" i="2"/>
  <c r="B3366" i="2"/>
  <c r="A3366" i="2"/>
  <c r="B3365" i="2"/>
  <c r="A3365" i="2"/>
  <c r="B3364" i="2"/>
  <c r="A3364" i="2"/>
  <c r="B3363" i="2"/>
  <c r="A3363" i="2"/>
  <c r="B3362" i="2"/>
  <c r="A3362" i="2"/>
  <c r="B3361" i="2"/>
  <c r="A3361" i="2"/>
  <c r="B3360" i="2"/>
  <c r="A3360" i="2"/>
  <c r="B3359" i="2"/>
  <c r="A3359" i="2"/>
  <c r="B3358" i="2"/>
  <c r="A3358" i="2"/>
  <c r="B3357" i="2"/>
  <c r="A3357" i="2"/>
  <c r="B3356" i="2"/>
  <c r="A3356" i="2"/>
  <c r="B3355" i="2"/>
  <c r="A3355" i="2"/>
  <c r="B3354" i="2"/>
  <c r="A3354" i="2"/>
  <c r="B3353" i="2"/>
  <c r="A3353" i="2"/>
  <c r="B3352" i="2"/>
  <c r="A3352" i="2"/>
  <c r="B3351" i="2"/>
  <c r="A3351" i="2"/>
  <c r="B3350" i="2"/>
  <c r="A3350" i="2"/>
  <c r="B3349" i="2"/>
  <c r="A3349" i="2"/>
  <c r="B3348" i="2"/>
  <c r="A3348" i="2"/>
  <c r="B3347" i="2"/>
  <c r="A3347" i="2"/>
  <c r="B3346" i="2"/>
  <c r="A3346" i="2"/>
  <c r="B3345" i="2"/>
  <c r="A3345" i="2"/>
  <c r="B3344" i="2"/>
  <c r="A3344" i="2"/>
  <c r="B3343" i="2"/>
  <c r="A3343" i="2"/>
  <c r="B3342" i="2"/>
  <c r="A3342" i="2"/>
  <c r="B3341" i="2"/>
  <c r="A3341" i="2"/>
  <c r="B3340" i="2"/>
  <c r="A3340" i="2"/>
  <c r="B3339" i="2"/>
  <c r="A3339" i="2"/>
  <c r="B3338" i="2"/>
  <c r="A3338" i="2"/>
  <c r="B3337" i="2"/>
  <c r="A3337" i="2"/>
  <c r="B3336" i="2"/>
  <c r="A3336" i="2"/>
  <c r="B3335" i="2"/>
  <c r="A3335" i="2"/>
  <c r="B3334" i="2"/>
  <c r="A3334" i="2"/>
  <c r="B3333" i="2"/>
  <c r="A3333" i="2"/>
  <c r="B3332" i="2"/>
  <c r="A3332" i="2"/>
  <c r="B3331" i="2"/>
  <c r="A3331" i="2"/>
  <c r="B3330" i="2"/>
  <c r="A3330" i="2"/>
  <c r="B3329" i="2"/>
  <c r="A3329" i="2"/>
  <c r="B3328" i="2"/>
  <c r="A3328" i="2"/>
  <c r="B3327" i="2"/>
  <c r="A3327" i="2"/>
  <c r="B3326" i="2"/>
  <c r="A3326" i="2"/>
  <c r="B3325" i="2"/>
  <c r="A3325" i="2"/>
  <c r="B3324" i="2"/>
  <c r="A3324" i="2"/>
  <c r="B3323" i="2"/>
  <c r="A3323" i="2"/>
  <c r="B3322" i="2"/>
  <c r="A3322" i="2"/>
  <c r="B3321" i="2"/>
  <c r="A3321" i="2"/>
  <c r="B3320" i="2"/>
  <c r="A3320" i="2"/>
  <c r="B3319" i="2"/>
  <c r="A3319" i="2"/>
  <c r="B3318" i="2"/>
  <c r="A3318" i="2"/>
  <c r="B3317" i="2"/>
  <c r="A3317" i="2"/>
  <c r="B3316" i="2"/>
  <c r="A3316" i="2"/>
  <c r="B3315" i="2"/>
  <c r="A3315" i="2"/>
  <c r="B3314" i="2"/>
  <c r="A3314" i="2"/>
  <c r="B3313" i="2"/>
  <c r="A3313" i="2"/>
  <c r="B3312" i="2"/>
  <c r="A3312" i="2"/>
  <c r="B3311" i="2"/>
  <c r="A3311" i="2"/>
  <c r="B3310" i="2"/>
  <c r="A3310" i="2"/>
  <c r="B3309" i="2"/>
  <c r="A3309" i="2"/>
  <c r="B3308" i="2"/>
  <c r="A3308" i="2"/>
  <c r="B3307" i="2"/>
  <c r="A3307" i="2"/>
  <c r="B3306" i="2"/>
  <c r="A3306" i="2"/>
  <c r="B3305" i="2"/>
  <c r="A3305" i="2"/>
  <c r="B3304" i="2"/>
  <c r="A3304" i="2"/>
  <c r="B3303" i="2"/>
  <c r="A3303" i="2"/>
  <c r="B3302" i="2"/>
  <c r="A3302" i="2"/>
  <c r="B3301" i="2"/>
  <c r="A3301" i="2"/>
  <c r="B3300" i="2"/>
  <c r="A3300" i="2"/>
  <c r="B3299" i="2"/>
  <c r="A3299" i="2"/>
  <c r="B3298" i="2"/>
  <c r="A3298" i="2"/>
  <c r="B3297" i="2"/>
  <c r="A3297" i="2"/>
  <c r="B3296" i="2"/>
  <c r="A3296" i="2"/>
  <c r="B3295" i="2"/>
  <c r="A3295" i="2"/>
  <c r="B3294" i="2"/>
  <c r="A3294" i="2"/>
  <c r="B3293" i="2"/>
  <c r="A3293" i="2"/>
  <c r="B3292" i="2"/>
  <c r="A3292" i="2"/>
  <c r="B3291" i="2"/>
  <c r="A3291" i="2"/>
  <c r="B3290" i="2"/>
  <c r="A3290" i="2"/>
  <c r="B3289" i="2"/>
  <c r="A3289" i="2"/>
  <c r="B3288" i="2"/>
  <c r="A3288" i="2"/>
  <c r="B3287" i="2"/>
  <c r="A3287" i="2"/>
  <c r="B3286" i="2"/>
  <c r="A3286" i="2"/>
  <c r="B3285" i="2"/>
  <c r="A3285" i="2"/>
  <c r="B3284" i="2"/>
  <c r="A3284" i="2"/>
  <c r="B3283" i="2"/>
  <c r="A3283" i="2"/>
  <c r="B3282" i="2"/>
  <c r="A3282" i="2"/>
  <c r="B3281" i="2"/>
  <c r="A3281" i="2"/>
  <c r="B3280" i="2"/>
  <c r="A3280" i="2"/>
  <c r="B3279" i="2"/>
  <c r="A3279" i="2"/>
  <c r="B3278" i="2"/>
  <c r="A3278" i="2"/>
  <c r="B3277" i="2"/>
  <c r="A3277" i="2"/>
  <c r="B3276" i="2"/>
  <c r="A3276" i="2"/>
  <c r="B3275" i="2"/>
  <c r="A3275" i="2"/>
  <c r="B3274" i="2"/>
  <c r="A3274" i="2"/>
  <c r="B3273" i="2"/>
  <c r="A3273" i="2"/>
  <c r="B3272" i="2"/>
  <c r="A3272" i="2"/>
  <c r="B3271" i="2"/>
  <c r="A3271" i="2"/>
  <c r="B3270" i="2"/>
  <c r="A3270" i="2"/>
  <c r="B3269" i="2"/>
  <c r="A3269" i="2"/>
  <c r="B3268" i="2"/>
  <c r="A3268" i="2"/>
  <c r="B3267" i="2"/>
  <c r="A3267" i="2"/>
  <c r="B3266" i="2"/>
  <c r="A3266" i="2"/>
  <c r="B3265" i="2"/>
  <c r="A3265" i="2"/>
  <c r="B3264" i="2"/>
  <c r="A3264" i="2"/>
  <c r="B3263" i="2"/>
  <c r="A3263" i="2"/>
  <c r="B3262" i="2"/>
  <c r="A3262" i="2"/>
  <c r="B3261" i="2"/>
  <c r="A3261" i="2"/>
  <c r="B3260" i="2"/>
  <c r="A3260" i="2"/>
  <c r="B3259" i="2"/>
  <c r="A3259" i="2"/>
  <c r="B3258" i="2"/>
  <c r="A3258" i="2"/>
  <c r="B3257" i="2"/>
  <c r="A3257" i="2"/>
  <c r="B3256" i="2"/>
  <c r="A3256" i="2"/>
  <c r="B3255" i="2"/>
  <c r="A3255" i="2"/>
  <c r="B3254" i="2"/>
  <c r="A3254" i="2"/>
  <c r="B3253" i="2"/>
  <c r="A3253" i="2"/>
  <c r="B3252" i="2"/>
  <c r="A3252" i="2"/>
  <c r="B3251" i="2"/>
  <c r="A3251" i="2"/>
  <c r="B3250" i="2"/>
  <c r="A3250" i="2"/>
  <c r="B3249" i="2"/>
  <c r="A3249" i="2"/>
  <c r="B3248" i="2"/>
  <c r="A3248" i="2"/>
  <c r="B3247" i="2"/>
  <c r="A3247" i="2"/>
  <c r="B3246" i="2"/>
  <c r="A3246" i="2"/>
  <c r="B3245" i="2"/>
  <c r="A3245" i="2"/>
  <c r="B3244" i="2"/>
  <c r="A3244" i="2"/>
  <c r="B3243" i="2"/>
  <c r="A3243" i="2"/>
  <c r="B3242" i="2"/>
  <c r="A3242" i="2"/>
  <c r="B3241" i="2"/>
  <c r="A3241" i="2"/>
  <c r="B3240" i="2"/>
  <c r="A3240" i="2"/>
  <c r="B3239" i="2"/>
  <c r="A3239" i="2"/>
  <c r="B3238" i="2"/>
  <c r="A3238" i="2"/>
  <c r="B3237" i="2"/>
  <c r="A3237" i="2"/>
  <c r="B3236" i="2"/>
  <c r="A3236" i="2"/>
  <c r="B3235" i="2"/>
  <c r="A3235" i="2"/>
  <c r="B3234" i="2"/>
  <c r="A3234" i="2"/>
  <c r="B3233" i="2"/>
  <c r="A3233" i="2"/>
  <c r="B3232" i="2"/>
  <c r="A3232" i="2"/>
  <c r="B3231" i="2"/>
  <c r="A3231" i="2"/>
  <c r="B3230" i="2"/>
  <c r="A3230" i="2"/>
  <c r="B3229" i="2"/>
  <c r="A3229" i="2"/>
  <c r="B3228" i="2"/>
  <c r="A3228" i="2"/>
  <c r="B3227" i="2"/>
  <c r="A3227" i="2"/>
  <c r="B3226" i="2"/>
  <c r="A3226" i="2"/>
  <c r="B3225" i="2"/>
  <c r="A3225" i="2"/>
  <c r="B3224" i="2"/>
  <c r="A3224" i="2"/>
  <c r="B3223" i="2"/>
  <c r="A3223" i="2"/>
  <c r="B3222" i="2"/>
  <c r="A3222" i="2"/>
  <c r="B3221" i="2"/>
  <c r="A3221" i="2"/>
  <c r="B3220" i="2"/>
  <c r="A3220" i="2"/>
  <c r="B3219" i="2"/>
  <c r="A3219" i="2"/>
  <c r="B3218" i="2"/>
  <c r="A3218" i="2"/>
  <c r="B3217" i="2"/>
  <c r="A3217" i="2"/>
  <c r="B3216" i="2"/>
  <c r="A3216" i="2"/>
  <c r="B3215" i="2"/>
  <c r="A3215" i="2"/>
  <c r="B3214" i="2"/>
  <c r="A3214" i="2"/>
  <c r="B3213" i="2"/>
  <c r="A3213" i="2"/>
  <c r="B3212" i="2"/>
  <c r="A3212" i="2"/>
  <c r="B3211" i="2"/>
  <c r="A3211" i="2"/>
  <c r="B3210" i="2"/>
  <c r="A3210" i="2"/>
  <c r="B3209" i="2"/>
  <c r="A3209" i="2"/>
  <c r="B3208" i="2"/>
  <c r="A3208" i="2"/>
  <c r="B3207" i="2"/>
  <c r="A3207" i="2"/>
  <c r="B3206" i="2"/>
  <c r="A3206" i="2"/>
  <c r="B3205" i="2"/>
  <c r="A3205" i="2"/>
  <c r="B3204" i="2"/>
  <c r="A3204" i="2"/>
  <c r="B3203" i="2"/>
  <c r="A3203" i="2"/>
  <c r="B3202" i="2"/>
  <c r="A3202" i="2"/>
  <c r="B3201" i="2"/>
  <c r="A3201" i="2"/>
  <c r="B3200" i="2"/>
  <c r="A3200" i="2"/>
  <c r="B3199" i="2"/>
  <c r="A3199" i="2"/>
  <c r="B3198" i="2"/>
  <c r="A3198" i="2"/>
  <c r="B3197" i="2"/>
  <c r="A3197" i="2"/>
  <c r="B3196" i="2"/>
  <c r="A3196" i="2"/>
  <c r="B3195" i="2"/>
  <c r="A3195" i="2"/>
  <c r="B3194" i="2"/>
  <c r="A3194" i="2"/>
  <c r="B3193" i="2"/>
  <c r="A3193" i="2"/>
  <c r="B3192" i="2"/>
  <c r="A3192" i="2"/>
  <c r="B3191" i="2"/>
  <c r="A3191" i="2"/>
  <c r="B3190" i="2"/>
  <c r="A3190" i="2"/>
  <c r="B3189" i="2"/>
  <c r="A3189" i="2"/>
  <c r="B3188" i="2"/>
  <c r="A3188" i="2"/>
  <c r="B3187" i="2"/>
  <c r="A3187" i="2"/>
  <c r="B3186" i="2"/>
  <c r="A3186" i="2"/>
  <c r="B3185" i="2"/>
  <c r="A3185" i="2"/>
  <c r="B3184" i="2"/>
  <c r="A3184" i="2"/>
  <c r="B3183" i="2"/>
  <c r="A3183" i="2"/>
  <c r="B3182" i="2"/>
  <c r="A3182" i="2"/>
  <c r="B3181" i="2"/>
  <c r="A3181" i="2"/>
  <c r="B3180" i="2"/>
  <c r="A3180" i="2"/>
  <c r="B3179" i="2"/>
  <c r="A3179" i="2"/>
  <c r="B3178" i="2"/>
  <c r="A3178" i="2"/>
  <c r="B3177" i="2"/>
  <c r="A3177" i="2"/>
  <c r="B3176" i="2"/>
  <c r="A3176" i="2"/>
  <c r="B3175" i="2"/>
  <c r="A3175" i="2"/>
  <c r="B3174" i="2"/>
  <c r="A3174" i="2"/>
  <c r="B3173" i="2"/>
  <c r="A3173" i="2"/>
  <c r="B3172" i="2"/>
  <c r="A3172" i="2"/>
  <c r="B3171" i="2"/>
  <c r="A3171" i="2"/>
  <c r="B3170" i="2"/>
  <c r="A3170" i="2"/>
  <c r="B3169" i="2"/>
  <c r="A3169" i="2"/>
  <c r="B3168" i="2"/>
  <c r="A3168" i="2"/>
  <c r="B3167" i="2"/>
  <c r="A3167" i="2"/>
  <c r="B3166" i="2"/>
  <c r="A3166" i="2"/>
  <c r="B3165" i="2"/>
  <c r="A3165" i="2"/>
  <c r="B3164" i="2"/>
  <c r="A3164" i="2"/>
  <c r="B3163" i="2"/>
  <c r="A3163" i="2"/>
  <c r="B3162" i="2"/>
  <c r="A3162" i="2"/>
  <c r="B3161" i="2"/>
  <c r="A3161" i="2"/>
  <c r="B3160" i="2"/>
  <c r="A3160" i="2"/>
  <c r="B3159" i="2"/>
  <c r="A3159" i="2"/>
  <c r="B3158" i="2"/>
  <c r="A3158" i="2"/>
  <c r="B3157" i="2"/>
  <c r="A3157" i="2"/>
  <c r="B3156" i="2"/>
  <c r="A3156" i="2"/>
  <c r="B3155" i="2"/>
  <c r="A3155" i="2"/>
  <c r="B3154" i="2"/>
  <c r="A3154" i="2"/>
  <c r="B3153" i="2"/>
  <c r="A3153" i="2"/>
  <c r="B3152" i="2"/>
  <c r="A3152" i="2"/>
  <c r="B3151" i="2"/>
  <c r="A3151" i="2"/>
  <c r="B3150" i="2"/>
  <c r="A3150" i="2"/>
  <c r="B3149" i="2"/>
  <c r="A3149" i="2"/>
  <c r="B3148" i="2"/>
  <c r="A3148" i="2"/>
  <c r="B3147" i="2"/>
  <c r="A3147" i="2"/>
  <c r="B3146" i="2"/>
  <c r="A3146" i="2"/>
  <c r="B3145" i="2"/>
  <c r="A3145" i="2"/>
  <c r="B3144" i="2"/>
  <c r="A3144" i="2"/>
  <c r="B3143" i="2"/>
  <c r="A3143" i="2"/>
  <c r="B3142" i="2"/>
  <c r="A3142" i="2"/>
  <c r="B3141" i="2"/>
  <c r="A3141" i="2"/>
  <c r="B3140" i="2"/>
  <c r="A3140" i="2"/>
  <c r="B3139" i="2"/>
  <c r="A3139" i="2"/>
  <c r="B3138" i="2"/>
  <c r="A3138" i="2"/>
  <c r="B3137" i="2"/>
  <c r="A3137" i="2"/>
  <c r="B3136" i="2"/>
  <c r="A3136" i="2"/>
  <c r="B3135" i="2"/>
  <c r="A3135" i="2"/>
  <c r="B3134" i="2"/>
  <c r="A3134" i="2"/>
  <c r="B3133" i="2"/>
  <c r="A3133" i="2"/>
  <c r="B3132" i="2"/>
  <c r="A3132" i="2"/>
  <c r="B3131" i="2"/>
  <c r="A3131" i="2"/>
  <c r="B3130" i="2"/>
  <c r="A3130" i="2"/>
  <c r="B3129" i="2"/>
  <c r="A3129" i="2"/>
  <c r="B3128" i="2"/>
  <c r="A3128" i="2"/>
  <c r="B3127" i="2"/>
  <c r="A3127" i="2"/>
  <c r="B3126" i="2"/>
  <c r="A3126" i="2"/>
  <c r="B3125" i="2"/>
  <c r="A3125" i="2"/>
  <c r="B3124" i="2"/>
  <c r="A3124" i="2"/>
  <c r="B3123" i="2"/>
  <c r="A3123" i="2"/>
  <c r="B3122" i="2"/>
  <c r="A3122" i="2"/>
  <c r="B3121" i="2"/>
  <c r="A3121" i="2"/>
  <c r="B3120" i="2"/>
  <c r="A3120" i="2"/>
  <c r="B3119" i="2"/>
  <c r="A3119" i="2"/>
  <c r="B3118" i="2"/>
  <c r="A3118" i="2"/>
  <c r="B3117" i="2"/>
  <c r="A3117" i="2"/>
  <c r="B3116" i="2"/>
  <c r="A3116" i="2"/>
  <c r="B3115" i="2"/>
  <c r="A3115" i="2"/>
  <c r="B3114" i="2"/>
  <c r="A3114" i="2"/>
  <c r="B3113" i="2"/>
  <c r="A3113" i="2"/>
  <c r="B3112" i="2"/>
  <c r="A3112" i="2"/>
  <c r="B3111" i="2"/>
  <c r="A3111" i="2"/>
  <c r="B3110" i="2"/>
  <c r="A3110" i="2"/>
  <c r="B3109" i="2"/>
  <c r="A3109" i="2"/>
  <c r="B3108" i="2"/>
  <c r="A3108" i="2"/>
  <c r="B3107" i="2"/>
  <c r="A3107" i="2"/>
  <c r="B3106" i="2"/>
  <c r="A3106" i="2"/>
  <c r="B3105" i="2"/>
  <c r="A3105" i="2"/>
  <c r="B3104" i="2"/>
  <c r="A3104" i="2"/>
  <c r="B3103" i="2"/>
  <c r="A3103" i="2"/>
  <c r="B3102" i="2"/>
  <c r="A3102" i="2"/>
  <c r="B3101" i="2"/>
  <c r="A3101" i="2"/>
  <c r="B3100" i="2"/>
  <c r="A3100" i="2"/>
  <c r="B3099" i="2"/>
  <c r="A3099" i="2"/>
  <c r="B3098" i="2"/>
  <c r="A3098" i="2"/>
  <c r="B3097" i="2"/>
  <c r="A3097" i="2"/>
  <c r="B3096" i="2"/>
  <c r="A3096" i="2"/>
  <c r="B3095" i="2"/>
  <c r="A3095" i="2"/>
  <c r="B3094" i="2"/>
  <c r="A3094" i="2"/>
  <c r="B3093" i="2"/>
  <c r="A3093" i="2"/>
  <c r="B3092" i="2"/>
  <c r="A3092" i="2"/>
  <c r="B3091" i="2"/>
  <c r="A3091" i="2"/>
  <c r="B3090" i="2"/>
  <c r="A3090" i="2"/>
  <c r="B3089" i="2"/>
  <c r="A3089" i="2"/>
  <c r="B3088" i="2"/>
  <c r="A3088" i="2"/>
  <c r="B3087" i="2"/>
  <c r="A3087" i="2"/>
  <c r="B3086" i="2"/>
  <c r="A3086" i="2"/>
  <c r="B3085" i="2"/>
  <c r="A3085" i="2"/>
  <c r="B3084" i="2"/>
  <c r="A3084" i="2"/>
  <c r="B3083" i="2"/>
  <c r="A3083" i="2"/>
  <c r="B3082" i="2"/>
  <c r="A3082" i="2"/>
  <c r="B3081" i="2"/>
  <c r="A3081" i="2"/>
  <c r="B3080" i="2"/>
  <c r="A3080" i="2"/>
  <c r="B3079" i="2"/>
  <c r="A3079" i="2"/>
  <c r="B3078" i="2"/>
  <c r="A3078" i="2"/>
  <c r="B3077" i="2"/>
  <c r="A3077" i="2"/>
  <c r="B3076" i="2"/>
  <c r="A3076" i="2"/>
  <c r="B3075" i="2"/>
  <c r="A3075" i="2"/>
  <c r="B3074" i="2"/>
  <c r="A3074" i="2"/>
  <c r="B3073" i="2"/>
  <c r="A3073" i="2"/>
  <c r="B3072" i="2"/>
  <c r="A3072" i="2"/>
  <c r="B3071" i="2"/>
  <c r="A3071" i="2"/>
  <c r="B3070" i="2"/>
  <c r="A3070" i="2"/>
  <c r="B3069" i="2"/>
  <c r="A3069" i="2"/>
  <c r="B3068" i="2"/>
  <c r="A3068" i="2"/>
  <c r="B3067" i="2"/>
  <c r="A3067" i="2"/>
  <c r="B3066" i="2"/>
  <c r="A3066" i="2"/>
  <c r="B3065" i="2"/>
  <c r="A3065" i="2"/>
  <c r="B3064" i="2"/>
  <c r="A3064" i="2"/>
  <c r="B3063" i="2"/>
  <c r="A3063" i="2"/>
  <c r="B3062" i="2"/>
  <c r="A3062" i="2"/>
  <c r="B3061" i="2"/>
  <c r="A3061" i="2"/>
  <c r="B3060" i="2"/>
  <c r="A3060" i="2"/>
  <c r="B3059" i="2"/>
  <c r="A3059" i="2"/>
  <c r="B3058" i="2"/>
  <c r="A3058" i="2"/>
  <c r="B3057" i="2"/>
  <c r="A3057" i="2"/>
  <c r="B3056" i="2"/>
  <c r="A3056" i="2"/>
  <c r="B3055" i="2"/>
  <c r="A3055" i="2"/>
  <c r="B3054" i="2"/>
  <c r="A3054" i="2"/>
  <c r="B3053" i="2"/>
  <c r="A3053" i="2"/>
  <c r="B3052" i="2"/>
  <c r="A3052" i="2"/>
  <c r="B3051" i="2"/>
  <c r="A3051" i="2"/>
  <c r="B3050" i="2"/>
  <c r="A3050" i="2"/>
  <c r="B3049" i="2"/>
  <c r="A3049" i="2"/>
  <c r="B3048" i="2"/>
  <c r="A3048" i="2"/>
  <c r="B3047" i="2"/>
  <c r="A3047" i="2"/>
  <c r="B3046" i="2"/>
  <c r="A3046" i="2"/>
  <c r="B3045" i="2"/>
  <c r="A3045" i="2"/>
  <c r="B3044" i="2"/>
  <c r="A3044" i="2"/>
  <c r="B3043" i="2"/>
  <c r="A3043" i="2"/>
  <c r="B3042" i="2"/>
  <c r="A3042" i="2"/>
  <c r="B3041" i="2"/>
  <c r="A3041" i="2"/>
  <c r="B3040" i="2"/>
  <c r="A3040" i="2"/>
  <c r="B3039" i="2"/>
  <c r="A3039" i="2"/>
  <c r="B3038" i="2"/>
  <c r="A3038" i="2"/>
  <c r="B3037" i="2"/>
  <c r="A3037" i="2"/>
  <c r="B3036" i="2"/>
  <c r="A3036" i="2"/>
  <c r="B3035" i="2"/>
  <c r="A3035" i="2"/>
  <c r="B3034" i="2"/>
  <c r="A3034" i="2"/>
  <c r="B3033" i="2"/>
  <c r="A3033" i="2"/>
  <c r="B3032" i="2"/>
  <c r="A3032" i="2"/>
  <c r="B3031" i="2"/>
  <c r="A3031" i="2"/>
  <c r="B3030" i="2"/>
  <c r="A3030" i="2"/>
  <c r="B3029" i="2"/>
  <c r="A3029" i="2"/>
  <c r="B3028" i="2"/>
  <c r="A3028" i="2"/>
  <c r="B3027" i="2"/>
  <c r="A3027" i="2"/>
  <c r="B3026" i="2"/>
  <c r="A3026" i="2"/>
  <c r="B3025" i="2"/>
  <c r="A3025" i="2"/>
  <c r="B3024" i="2"/>
  <c r="A3024" i="2"/>
  <c r="B3023" i="2"/>
  <c r="A3023" i="2"/>
  <c r="B3022" i="2"/>
  <c r="A3022" i="2"/>
  <c r="B3021" i="2"/>
  <c r="A3021" i="2"/>
  <c r="B3020" i="2"/>
  <c r="A3020" i="2"/>
  <c r="B3019" i="2"/>
  <c r="A3019" i="2"/>
  <c r="B3018" i="2"/>
  <c r="A3018" i="2"/>
  <c r="B3017" i="2"/>
  <c r="A3017" i="2"/>
  <c r="B3016" i="2"/>
  <c r="A3016" i="2"/>
  <c r="B3015" i="2"/>
  <c r="A3015" i="2"/>
  <c r="B3014" i="2"/>
  <c r="A3014" i="2"/>
  <c r="B3013" i="2"/>
  <c r="A3013" i="2"/>
  <c r="B3012" i="2"/>
  <c r="A3012" i="2"/>
  <c r="B3011" i="2"/>
  <c r="A3011" i="2"/>
  <c r="B3010" i="2"/>
  <c r="A3010" i="2"/>
  <c r="B3009" i="2"/>
  <c r="A3009" i="2"/>
  <c r="B3008" i="2"/>
  <c r="A3008" i="2"/>
  <c r="B3007" i="2"/>
  <c r="A3007" i="2"/>
  <c r="B3006" i="2"/>
  <c r="A3006" i="2"/>
  <c r="B3005" i="2"/>
  <c r="A3005" i="2"/>
  <c r="B3004" i="2"/>
  <c r="A3004" i="2"/>
  <c r="B3003" i="2"/>
  <c r="A3003" i="2"/>
  <c r="B3002" i="2"/>
  <c r="A3002" i="2"/>
  <c r="B3001" i="2"/>
  <c r="A3001" i="2"/>
  <c r="B3000" i="2"/>
  <c r="A3000" i="2"/>
  <c r="B2999" i="2"/>
  <c r="A2999" i="2"/>
  <c r="B2998" i="2"/>
  <c r="A2998" i="2"/>
  <c r="B2997" i="2"/>
  <c r="A2997" i="2"/>
  <c r="B2996" i="2"/>
  <c r="A2996" i="2"/>
  <c r="B2995" i="2"/>
  <c r="A2995" i="2"/>
  <c r="B2994" i="2"/>
  <c r="A2994" i="2"/>
  <c r="B2993" i="2"/>
  <c r="A2993" i="2"/>
  <c r="B2992" i="2"/>
  <c r="A2992" i="2"/>
  <c r="B2991" i="2"/>
  <c r="A2991" i="2"/>
  <c r="B2990" i="2"/>
  <c r="A2990" i="2"/>
  <c r="B2989" i="2"/>
  <c r="A2989" i="2"/>
  <c r="B2988" i="2"/>
  <c r="A2988" i="2"/>
  <c r="B2987" i="2"/>
  <c r="A2987" i="2"/>
  <c r="B2986" i="2"/>
  <c r="A2986" i="2"/>
  <c r="B2985" i="2"/>
  <c r="A2985" i="2"/>
  <c r="B2984" i="2"/>
  <c r="A2984" i="2"/>
  <c r="B2983" i="2"/>
  <c r="A2983" i="2"/>
  <c r="B2982" i="2"/>
  <c r="A2982" i="2"/>
  <c r="B2981" i="2"/>
  <c r="A2981" i="2"/>
  <c r="B2980" i="2"/>
  <c r="A2980" i="2"/>
  <c r="B2979" i="2"/>
  <c r="A2979" i="2"/>
  <c r="B2978" i="2"/>
  <c r="A2978" i="2"/>
  <c r="B2977" i="2"/>
  <c r="A2977" i="2"/>
  <c r="B2976" i="2"/>
  <c r="A2976" i="2"/>
  <c r="B2975" i="2"/>
  <c r="A2975" i="2"/>
  <c r="B2974" i="2"/>
  <c r="A2974" i="2"/>
  <c r="B2973" i="2"/>
  <c r="A2973" i="2"/>
  <c r="B2972" i="2"/>
  <c r="A2972" i="2"/>
  <c r="B2971" i="2"/>
  <c r="A2971" i="2"/>
  <c r="B2970" i="2"/>
  <c r="A2970" i="2"/>
  <c r="B2969" i="2"/>
  <c r="A2969" i="2"/>
  <c r="B2968" i="2"/>
  <c r="A2968" i="2"/>
  <c r="B2967" i="2"/>
  <c r="A2967" i="2"/>
  <c r="B2966" i="2"/>
  <c r="A2966" i="2"/>
  <c r="B2965" i="2"/>
  <c r="A2965" i="2"/>
  <c r="B2964" i="2"/>
  <c r="A2964" i="2"/>
  <c r="B2963" i="2"/>
  <c r="A2963" i="2"/>
  <c r="B2962" i="2"/>
  <c r="A2962" i="2"/>
  <c r="B2961" i="2"/>
  <c r="A2961" i="2"/>
  <c r="B2960" i="2"/>
  <c r="A2960" i="2"/>
  <c r="B2959" i="2"/>
  <c r="A2959" i="2"/>
  <c r="B2958" i="2"/>
  <c r="A2958" i="2"/>
  <c r="B2957" i="2"/>
  <c r="A2957" i="2"/>
  <c r="B2956" i="2"/>
  <c r="A2956" i="2"/>
  <c r="B2955" i="2"/>
  <c r="A2955" i="2"/>
  <c r="B2954" i="2"/>
  <c r="A2954" i="2"/>
  <c r="B2953" i="2"/>
  <c r="A2953" i="2"/>
  <c r="B2952" i="2"/>
  <c r="A2952" i="2"/>
  <c r="B2951" i="2"/>
  <c r="A2951" i="2"/>
  <c r="B2950" i="2"/>
  <c r="A2950" i="2"/>
  <c r="B2949" i="2"/>
  <c r="A2949" i="2"/>
  <c r="B2948" i="2"/>
  <c r="A2948" i="2"/>
  <c r="B2947" i="2"/>
  <c r="A2947" i="2"/>
  <c r="B2946" i="2"/>
  <c r="A2946" i="2"/>
  <c r="B2945" i="2"/>
  <c r="A2945" i="2"/>
  <c r="B2944" i="2"/>
  <c r="A2944" i="2"/>
  <c r="B2943" i="2"/>
  <c r="A2943" i="2"/>
  <c r="B2942" i="2"/>
  <c r="A2942" i="2"/>
  <c r="B2941" i="2"/>
  <c r="A2941" i="2"/>
  <c r="B2940" i="2"/>
  <c r="A2940" i="2"/>
  <c r="B2939" i="2"/>
  <c r="A2939" i="2"/>
  <c r="B2938" i="2"/>
  <c r="A2938" i="2"/>
  <c r="B2937" i="2"/>
  <c r="A2937" i="2"/>
  <c r="B2936" i="2"/>
  <c r="A2936" i="2"/>
  <c r="B2935" i="2"/>
  <c r="A2935" i="2"/>
  <c r="B2934" i="2"/>
  <c r="A2934" i="2"/>
  <c r="B2933" i="2"/>
  <c r="A2933" i="2"/>
  <c r="B2932" i="2"/>
  <c r="A2932" i="2"/>
  <c r="B2931" i="2"/>
  <c r="A2931" i="2"/>
  <c r="B2930" i="2"/>
  <c r="A2930" i="2"/>
  <c r="B2929" i="2"/>
  <c r="A2929" i="2"/>
  <c r="B2928" i="2"/>
  <c r="A2928" i="2"/>
  <c r="B2927" i="2"/>
  <c r="A2927" i="2"/>
  <c r="B2926" i="2"/>
  <c r="A2926" i="2"/>
  <c r="B2925" i="2"/>
  <c r="A2925" i="2"/>
  <c r="B2924" i="2"/>
  <c r="A2924" i="2"/>
  <c r="B2923" i="2"/>
  <c r="A2923" i="2"/>
  <c r="B2922" i="2"/>
  <c r="A2922" i="2"/>
  <c r="B2921" i="2"/>
  <c r="A2921" i="2"/>
  <c r="B2920" i="2"/>
  <c r="A2920" i="2"/>
  <c r="B2919" i="2"/>
  <c r="A2919" i="2"/>
  <c r="B2918" i="2"/>
  <c r="A2918" i="2"/>
  <c r="B2917" i="2"/>
  <c r="A2917" i="2"/>
  <c r="B2916" i="2"/>
  <c r="A2916" i="2"/>
  <c r="B2915" i="2"/>
  <c r="A2915" i="2"/>
  <c r="B2914" i="2"/>
  <c r="A2914" i="2"/>
  <c r="B2913" i="2"/>
  <c r="A2913" i="2"/>
  <c r="B2912" i="2"/>
  <c r="A2912" i="2"/>
  <c r="B2911" i="2"/>
  <c r="A2911" i="2"/>
  <c r="B2910" i="2"/>
  <c r="A2910" i="2"/>
  <c r="B2909" i="2"/>
  <c r="A2909" i="2"/>
  <c r="B2908" i="2"/>
  <c r="A2908" i="2"/>
  <c r="B2907" i="2"/>
  <c r="A2907" i="2"/>
  <c r="B2906" i="2"/>
  <c r="A2906" i="2"/>
  <c r="B2905" i="2"/>
  <c r="A2905" i="2"/>
  <c r="B2904" i="2"/>
  <c r="A2904" i="2"/>
  <c r="B2903" i="2"/>
  <c r="A2903" i="2"/>
  <c r="B2902" i="2"/>
  <c r="A2902" i="2"/>
  <c r="B2901" i="2"/>
  <c r="A2901" i="2"/>
  <c r="B2900" i="2"/>
  <c r="A2900" i="2"/>
  <c r="B2899" i="2"/>
  <c r="A2899" i="2"/>
  <c r="B2898" i="2"/>
  <c r="A2898" i="2"/>
  <c r="B2897" i="2"/>
  <c r="A2897" i="2"/>
  <c r="B2896" i="2"/>
  <c r="A2896" i="2"/>
  <c r="B2895" i="2"/>
  <c r="A2895" i="2"/>
  <c r="B2894" i="2"/>
  <c r="A2894" i="2"/>
  <c r="B2893" i="2"/>
  <c r="A2893" i="2"/>
  <c r="B2892" i="2"/>
  <c r="A2892" i="2"/>
  <c r="B2891" i="2"/>
  <c r="A2891" i="2"/>
  <c r="B2890" i="2"/>
  <c r="A2890" i="2"/>
  <c r="B2889" i="2"/>
  <c r="A2889" i="2"/>
  <c r="B2888" i="2"/>
  <c r="A2888" i="2"/>
  <c r="B2887" i="2"/>
  <c r="A2887" i="2"/>
  <c r="B2886" i="2"/>
  <c r="A2886" i="2"/>
  <c r="B2885" i="2"/>
  <c r="A2885" i="2"/>
  <c r="B2884" i="2"/>
  <c r="A2884" i="2"/>
  <c r="B2883" i="2"/>
  <c r="A2883" i="2"/>
  <c r="B2882" i="2"/>
  <c r="A2882" i="2"/>
  <c r="B2881" i="2"/>
  <c r="A2881" i="2"/>
  <c r="B2880" i="2"/>
  <c r="A2880" i="2"/>
  <c r="B2879" i="2"/>
  <c r="A2879" i="2"/>
  <c r="B2878" i="2"/>
  <c r="A2878" i="2"/>
  <c r="B2877" i="2"/>
  <c r="A2877" i="2"/>
  <c r="B2876" i="2"/>
  <c r="A2876" i="2"/>
  <c r="B2875" i="2"/>
  <c r="A2875" i="2"/>
  <c r="B2874" i="2"/>
  <c r="A2874" i="2"/>
  <c r="B2873" i="2"/>
  <c r="A2873" i="2"/>
  <c r="B2872" i="2"/>
  <c r="A2872" i="2"/>
  <c r="B2871" i="2"/>
  <c r="A2871" i="2"/>
  <c r="B2870" i="2"/>
  <c r="A2870" i="2"/>
  <c r="B2869" i="2"/>
  <c r="A2869" i="2"/>
  <c r="B2868" i="2"/>
  <c r="A2868" i="2"/>
  <c r="B2867" i="2"/>
  <c r="A2867" i="2"/>
  <c r="B2866" i="2"/>
  <c r="A2866" i="2"/>
  <c r="B2865" i="2"/>
  <c r="A2865" i="2"/>
  <c r="B2864" i="2"/>
  <c r="A2864" i="2"/>
  <c r="B2863" i="2"/>
  <c r="A2863" i="2"/>
  <c r="B2862" i="2"/>
  <c r="A2862" i="2"/>
  <c r="B2861" i="2"/>
  <c r="A2861" i="2"/>
  <c r="B2860" i="2"/>
  <c r="A2860" i="2"/>
  <c r="B2859" i="2"/>
  <c r="A2859" i="2"/>
  <c r="B2858" i="2"/>
  <c r="A2858" i="2"/>
  <c r="B2857" i="2"/>
  <c r="A2857" i="2"/>
  <c r="B2856" i="2"/>
  <c r="A2856" i="2"/>
  <c r="B2855" i="2"/>
  <c r="A2855" i="2"/>
  <c r="B2854" i="2"/>
  <c r="A2854" i="2"/>
  <c r="B2853" i="2"/>
  <c r="A2853" i="2"/>
  <c r="B2852" i="2"/>
  <c r="A2852" i="2"/>
  <c r="B2851" i="2"/>
  <c r="A2851" i="2"/>
  <c r="B2850" i="2"/>
  <c r="A2850" i="2"/>
  <c r="B2849" i="2"/>
  <c r="A2849" i="2"/>
  <c r="B2848" i="2"/>
  <c r="A2848" i="2"/>
  <c r="B2847" i="2"/>
  <c r="A2847" i="2"/>
  <c r="B2846" i="2"/>
  <c r="A2846" i="2"/>
  <c r="B2845" i="2"/>
  <c r="A2845" i="2"/>
  <c r="B2844" i="2"/>
  <c r="A2844" i="2"/>
  <c r="B2843" i="2"/>
  <c r="A2843" i="2"/>
  <c r="B2842" i="2"/>
  <c r="A2842" i="2"/>
  <c r="B2841" i="2"/>
  <c r="A2841" i="2"/>
  <c r="B2840" i="2"/>
  <c r="A2840" i="2"/>
  <c r="B2839" i="2"/>
  <c r="A2839" i="2"/>
  <c r="B2838" i="2"/>
  <c r="A2838" i="2"/>
  <c r="B2837" i="2"/>
  <c r="A2837" i="2"/>
  <c r="B2836" i="2"/>
  <c r="A2836" i="2"/>
  <c r="B2835" i="2"/>
  <c r="A2835" i="2"/>
  <c r="B2834" i="2"/>
  <c r="A2834" i="2"/>
  <c r="B2833" i="2"/>
  <c r="A2833" i="2"/>
  <c r="B2832" i="2"/>
  <c r="A2832" i="2"/>
  <c r="B2831" i="2"/>
  <c r="A2831" i="2"/>
  <c r="B2830" i="2"/>
  <c r="A2830" i="2"/>
  <c r="B2829" i="2"/>
  <c r="A2829" i="2"/>
  <c r="B2828" i="2"/>
  <c r="A2828" i="2"/>
  <c r="B2827" i="2"/>
  <c r="A2827" i="2"/>
  <c r="B2826" i="2"/>
  <c r="A2826" i="2"/>
  <c r="B2825" i="2"/>
  <c r="A2825" i="2"/>
  <c r="B2824" i="2"/>
  <c r="A2824" i="2"/>
  <c r="B2823" i="2"/>
  <c r="A2823" i="2"/>
  <c r="B2822" i="2"/>
  <c r="A2822" i="2"/>
  <c r="B2821" i="2"/>
  <c r="A2821" i="2"/>
  <c r="B2820" i="2"/>
  <c r="A2820" i="2"/>
  <c r="B2819" i="2"/>
  <c r="A2819" i="2"/>
  <c r="B2818" i="2"/>
  <c r="A2818" i="2"/>
  <c r="B2817" i="2"/>
  <c r="A2817" i="2"/>
  <c r="B2816" i="2"/>
  <c r="A2816" i="2"/>
  <c r="B2815" i="2"/>
  <c r="A2815" i="2"/>
  <c r="B2814" i="2"/>
  <c r="A2814" i="2"/>
  <c r="B2813" i="2"/>
  <c r="A2813" i="2"/>
  <c r="B2812" i="2"/>
  <c r="A2812" i="2"/>
  <c r="B2811" i="2"/>
  <c r="A2811" i="2"/>
  <c r="B2810" i="2"/>
  <c r="A2810" i="2"/>
  <c r="B2809" i="2"/>
  <c r="A2809" i="2"/>
  <c r="B2808" i="2"/>
  <c r="A2808" i="2"/>
  <c r="B2807" i="2"/>
  <c r="A2807" i="2"/>
  <c r="B2806" i="2"/>
  <c r="A2806" i="2"/>
  <c r="B2805" i="2"/>
  <c r="A2805" i="2"/>
  <c r="B2804" i="2"/>
  <c r="A2804" i="2"/>
  <c r="B2803" i="2"/>
  <c r="A2803" i="2"/>
  <c r="B2802" i="2"/>
  <c r="A2802" i="2"/>
  <c r="B2801" i="2"/>
  <c r="A2801" i="2"/>
  <c r="B2800" i="2"/>
  <c r="A2800" i="2"/>
  <c r="B2799" i="2"/>
  <c r="A2799" i="2"/>
  <c r="B2798" i="2"/>
  <c r="A2798" i="2"/>
  <c r="B2797" i="2"/>
  <c r="A2797" i="2"/>
  <c r="B2796" i="2"/>
  <c r="A2796" i="2"/>
  <c r="B2795" i="2"/>
  <c r="A2795" i="2"/>
  <c r="B2794" i="2"/>
  <c r="A2794" i="2"/>
  <c r="B2793" i="2"/>
  <c r="A2793" i="2"/>
  <c r="B2792" i="2"/>
  <c r="A2792" i="2"/>
  <c r="B2791" i="2"/>
  <c r="A2791" i="2"/>
  <c r="B2790" i="2"/>
  <c r="A2790" i="2"/>
  <c r="B2789" i="2"/>
  <c r="A2789" i="2"/>
  <c r="B2788" i="2"/>
  <c r="A2788" i="2"/>
  <c r="B2787" i="2"/>
  <c r="A2787" i="2"/>
  <c r="B2786" i="2"/>
  <c r="A2786" i="2"/>
  <c r="B2785" i="2"/>
  <c r="A2785" i="2"/>
  <c r="B2784" i="2"/>
  <c r="A2784" i="2"/>
  <c r="B2783" i="2"/>
  <c r="A2783" i="2"/>
  <c r="B2782" i="2"/>
  <c r="A2782" i="2"/>
  <c r="B2781" i="2"/>
  <c r="A2781" i="2"/>
  <c r="B2780" i="2"/>
  <c r="A2780" i="2"/>
  <c r="B2779" i="2"/>
  <c r="A2779" i="2"/>
  <c r="B2778" i="2"/>
  <c r="A2778" i="2"/>
  <c r="B2777" i="2"/>
  <c r="A2777" i="2"/>
  <c r="B2776" i="2"/>
  <c r="A2776" i="2"/>
  <c r="B2775" i="2"/>
  <c r="A2775" i="2"/>
  <c r="B2774" i="2"/>
  <c r="A2774" i="2"/>
  <c r="B2773" i="2"/>
  <c r="A2773" i="2"/>
  <c r="B2772" i="2"/>
  <c r="A2772" i="2"/>
  <c r="B2771" i="2"/>
  <c r="A2771" i="2"/>
  <c r="B2770" i="2"/>
  <c r="A2770" i="2"/>
  <c r="B2769" i="2"/>
  <c r="A2769" i="2"/>
  <c r="B2768" i="2"/>
  <c r="A2768" i="2"/>
  <c r="B2767" i="2"/>
  <c r="A2767" i="2"/>
  <c r="B2766" i="2"/>
  <c r="A2766" i="2"/>
  <c r="B2765" i="2"/>
  <c r="A2765" i="2"/>
  <c r="B2764" i="2"/>
  <c r="A2764" i="2"/>
  <c r="B2763" i="2"/>
  <c r="A2763" i="2"/>
  <c r="B2762" i="2"/>
  <c r="A2762" i="2"/>
  <c r="B2761" i="2"/>
  <c r="A2761" i="2"/>
  <c r="B2760" i="2"/>
  <c r="A2760" i="2"/>
  <c r="B2759" i="2"/>
  <c r="A2759" i="2"/>
  <c r="B2758" i="2"/>
  <c r="A2758" i="2"/>
  <c r="B2757" i="2"/>
  <c r="A2757" i="2"/>
  <c r="B2756" i="2"/>
  <c r="A2756" i="2"/>
  <c r="B2755" i="2"/>
  <c r="A2755" i="2"/>
  <c r="B2754" i="2"/>
  <c r="A2754" i="2"/>
  <c r="B2753" i="2"/>
  <c r="A2753" i="2"/>
  <c r="B2752" i="2"/>
  <c r="A2752" i="2"/>
  <c r="B2751" i="2"/>
  <c r="A2751" i="2"/>
  <c r="B2750" i="2"/>
  <c r="A2750" i="2"/>
  <c r="B2749" i="2"/>
  <c r="A2749" i="2"/>
  <c r="B2748" i="2"/>
  <c r="A2748" i="2"/>
  <c r="B2747" i="2"/>
  <c r="A2747" i="2"/>
  <c r="B2746" i="2"/>
  <c r="A2746" i="2"/>
  <c r="B2745" i="2"/>
  <c r="A2745" i="2"/>
  <c r="B2744" i="2"/>
  <c r="A2744" i="2"/>
  <c r="B2743" i="2"/>
  <c r="A2743" i="2"/>
  <c r="B2742" i="2"/>
  <c r="A2742" i="2"/>
  <c r="B2741" i="2"/>
  <c r="A2741" i="2"/>
  <c r="B2740" i="2"/>
  <c r="A2740" i="2"/>
  <c r="B2739" i="2"/>
  <c r="A2739" i="2"/>
  <c r="B2738" i="2"/>
  <c r="A2738" i="2"/>
  <c r="B2737" i="2"/>
  <c r="A2737" i="2"/>
  <c r="B2736" i="2"/>
  <c r="A2736" i="2"/>
  <c r="B2735" i="2"/>
  <c r="A2735" i="2"/>
  <c r="B2734" i="2"/>
  <c r="A2734" i="2"/>
  <c r="B2733" i="2"/>
  <c r="A2733" i="2"/>
  <c r="B2732" i="2"/>
  <c r="A2732" i="2"/>
  <c r="B2731" i="2"/>
  <c r="A2731" i="2"/>
  <c r="B2730" i="2"/>
  <c r="A2730" i="2"/>
  <c r="B2729" i="2"/>
  <c r="A2729" i="2"/>
  <c r="B2728" i="2"/>
  <c r="A2728" i="2"/>
  <c r="B2727" i="2"/>
  <c r="A2727" i="2"/>
  <c r="B2726" i="2"/>
  <c r="A2726" i="2"/>
  <c r="B2725" i="2"/>
  <c r="A2725" i="2"/>
  <c r="B2724" i="2"/>
  <c r="A2724" i="2"/>
  <c r="B2723" i="2"/>
  <c r="A2723" i="2"/>
  <c r="B2722" i="2"/>
  <c r="A2722" i="2"/>
  <c r="B2721" i="2"/>
  <c r="A2721" i="2"/>
  <c r="B2720" i="2"/>
  <c r="A2720" i="2"/>
  <c r="B2719" i="2"/>
  <c r="A2719" i="2"/>
  <c r="B2718" i="2"/>
  <c r="A2718" i="2"/>
  <c r="B2717" i="2"/>
  <c r="A2717" i="2"/>
  <c r="B2716" i="2"/>
  <c r="A2716" i="2"/>
  <c r="B2715" i="2"/>
  <c r="A2715" i="2"/>
  <c r="B2714" i="2"/>
  <c r="A2714" i="2"/>
  <c r="B2713" i="2"/>
  <c r="A2713" i="2"/>
  <c r="B2712" i="2"/>
  <c r="A2712" i="2"/>
  <c r="B2711" i="2"/>
  <c r="A2711" i="2"/>
  <c r="B2710" i="2"/>
  <c r="A2710" i="2"/>
  <c r="B2709" i="2"/>
  <c r="A2709" i="2"/>
  <c r="B2708" i="2"/>
  <c r="A2708" i="2"/>
  <c r="B2707" i="2"/>
  <c r="A2707" i="2"/>
  <c r="B2706" i="2"/>
  <c r="A2706" i="2"/>
  <c r="B2705" i="2"/>
  <c r="A2705" i="2"/>
  <c r="B2704" i="2"/>
  <c r="A2704" i="2"/>
  <c r="B2703" i="2"/>
  <c r="A2703" i="2"/>
  <c r="B2702" i="2"/>
  <c r="A2702" i="2"/>
  <c r="B2701" i="2"/>
  <c r="A2701" i="2"/>
  <c r="B2700" i="2"/>
  <c r="A2700" i="2"/>
  <c r="B2699" i="2"/>
  <c r="A2699" i="2"/>
  <c r="B2698" i="2"/>
  <c r="A2698" i="2"/>
  <c r="B2697" i="2"/>
  <c r="A2697" i="2"/>
  <c r="B2696" i="2"/>
  <c r="A2696" i="2"/>
  <c r="B2695" i="2"/>
  <c r="A2695" i="2"/>
  <c r="B2694" i="2"/>
  <c r="A2694" i="2"/>
  <c r="B2693" i="2"/>
  <c r="A2693" i="2"/>
  <c r="B2692" i="2"/>
  <c r="A2692" i="2"/>
  <c r="B2691" i="2"/>
  <c r="A2691" i="2"/>
  <c r="B2690" i="2"/>
  <c r="A2690" i="2"/>
  <c r="B2689" i="2"/>
  <c r="A2689" i="2"/>
  <c r="B2688" i="2"/>
  <c r="A2688" i="2"/>
  <c r="B2687" i="2"/>
  <c r="A2687" i="2"/>
  <c r="B2686" i="2"/>
  <c r="A2686" i="2"/>
  <c r="B2685" i="2"/>
  <c r="A2685" i="2"/>
  <c r="B2684" i="2"/>
  <c r="A2684" i="2"/>
  <c r="B2683" i="2"/>
  <c r="A2683" i="2"/>
  <c r="B2682" i="2"/>
  <c r="A2682" i="2"/>
  <c r="B2681" i="2"/>
  <c r="A2681" i="2"/>
  <c r="B2680" i="2"/>
  <c r="A2680" i="2"/>
  <c r="B2679" i="2"/>
  <c r="A2679" i="2"/>
  <c r="B2678" i="2"/>
  <c r="A2678" i="2"/>
  <c r="B2677" i="2"/>
  <c r="A2677" i="2"/>
  <c r="B2676" i="2"/>
  <c r="A2676" i="2"/>
  <c r="B2675" i="2"/>
  <c r="A2675" i="2"/>
  <c r="B2674" i="2"/>
  <c r="A2674" i="2"/>
  <c r="B2673" i="2"/>
  <c r="A2673" i="2"/>
  <c r="B2672" i="2"/>
  <c r="A2672" i="2"/>
  <c r="B2671" i="2"/>
  <c r="A2671" i="2"/>
  <c r="B2670" i="2"/>
  <c r="A2670" i="2"/>
  <c r="B2669" i="2"/>
  <c r="A2669" i="2"/>
  <c r="B2668" i="2"/>
  <c r="A2668" i="2"/>
  <c r="B2667" i="2"/>
  <c r="A2667" i="2"/>
  <c r="B2666" i="2"/>
  <c r="A2666" i="2"/>
  <c r="B2665" i="2"/>
  <c r="A2665" i="2"/>
  <c r="B2664" i="2"/>
  <c r="A2664" i="2"/>
  <c r="B2663" i="2"/>
  <c r="A2663" i="2"/>
  <c r="B2662" i="2"/>
  <c r="A2662" i="2"/>
  <c r="B2661" i="2"/>
  <c r="A2661" i="2"/>
  <c r="B2660" i="2"/>
  <c r="A2660" i="2"/>
  <c r="B2659" i="2"/>
  <c r="A2659" i="2"/>
  <c r="B2658" i="2"/>
  <c r="A2658" i="2"/>
  <c r="B2657" i="2"/>
  <c r="A2657" i="2"/>
  <c r="B2656" i="2"/>
  <c r="A2656" i="2"/>
  <c r="B2655" i="2"/>
  <c r="A2655" i="2"/>
  <c r="B2654" i="2"/>
  <c r="A2654" i="2"/>
  <c r="B2653" i="2"/>
  <c r="A2653" i="2"/>
  <c r="B2652" i="2"/>
  <c r="A2652" i="2"/>
  <c r="B2651" i="2"/>
  <c r="A2651" i="2"/>
  <c r="B2650" i="2"/>
  <c r="A2650" i="2"/>
  <c r="B2649" i="2"/>
  <c r="A2649" i="2"/>
  <c r="B2648" i="2"/>
  <c r="A2648" i="2"/>
  <c r="B2647" i="2"/>
  <c r="A2647" i="2"/>
  <c r="B2646" i="2"/>
  <c r="A2646" i="2"/>
  <c r="B2645" i="2"/>
  <c r="A2645" i="2"/>
  <c r="B2644" i="2"/>
  <c r="A2644" i="2"/>
  <c r="B2643" i="2"/>
  <c r="A2643" i="2"/>
  <c r="B2642" i="2"/>
  <c r="A2642" i="2"/>
  <c r="B2641" i="2"/>
  <c r="A2641" i="2"/>
  <c r="B2640" i="2"/>
  <c r="A2640" i="2"/>
  <c r="B2639" i="2"/>
  <c r="A2639" i="2"/>
  <c r="B2638" i="2"/>
  <c r="A2638" i="2"/>
  <c r="B2637" i="2"/>
  <c r="A2637" i="2"/>
  <c r="B2636" i="2"/>
  <c r="A2636" i="2"/>
  <c r="B2635" i="2"/>
  <c r="A2635" i="2"/>
  <c r="B2634" i="2"/>
  <c r="A2634" i="2"/>
  <c r="B2633" i="2"/>
  <c r="A2633" i="2"/>
  <c r="B2632" i="2"/>
  <c r="A2632" i="2"/>
  <c r="B2631" i="2"/>
  <c r="A2631" i="2"/>
  <c r="B2630" i="2"/>
  <c r="A2630" i="2"/>
  <c r="B2629" i="2"/>
  <c r="A2629" i="2"/>
  <c r="B2628" i="2"/>
  <c r="A2628" i="2"/>
  <c r="B2627" i="2"/>
  <c r="A2627" i="2"/>
  <c r="B2626" i="2"/>
  <c r="A2626" i="2"/>
  <c r="B2625" i="2"/>
  <c r="A2625" i="2"/>
  <c r="B2624" i="2"/>
  <c r="A2624" i="2"/>
  <c r="B2623" i="2"/>
  <c r="A2623" i="2"/>
  <c r="B2622" i="2"/>
  <c r="A2622" i="2"/>
  <c r="B2621" i="2"/>
  <c r="A2621" i="2"/>
  <c r="B2620" i="2"/>
  <c r="A2620" i="2"/>
  <c r="B2619" i="2"/>
  <c r="A2619" i="2"/>
  <c r="B2618" i="2"/>
  <c r="A2618" i="2"/>
  <c r="B2617" i="2"/>
  <c r="A2617" i="2"/>
  <c r="B2616" i="2"/>
  <c r="A2616" i="2"/>
  <c r="B2615" i="2"/>
  <c r="A2615" i="2"/>
  <c r="B2614" i="2"/>
  <c r="A2614" i="2"/>
  <c r="B2613" i="2"/>
  <c r="A2613" i="2"/>
  <c r="B2612" i="2"/>
  <c r="A2612" i="2"/>
  <c r="B2611" i="2"/>
  <c r="A2611" i="2"/>
  <c r="B2610" i="2"/>
  <c r="A2610" i="2"/>
  <c r="B2609" i="2"/>
  <c r="A2609" i="2"/>
  <c r="B2608" i="2"/>
  <c r="A2608" i="2"/>
  <c r="B2607" i="2"/>
  <c r="A2607" i="2"/>
  <c r="B2606" i="2"/>
  <c r="A2606" i="2"/>
  <c r="B2605" i="2"/>
  <c r="A2605" i="2"/>
  <c r="B2604" i="2"/>
  <c r="A2604" i="2"/>
  <c r="B2603" i="2"/>
  <c r="A2603" i="2"/>
  <c r="B2602" i="2"/>
  <c r="A2602" i="2"/>
  <c r="B2601" i="2"/>
  <c r="A2601" i="2"/>
  <c r="B2600" i="2"/>
  <c r="A2600" i="2"/>
  <c r="B2599" i="2"/>
  <c r="A2599" i="2"/>
  <c r="B2598" i="2"/>
  <c r="A2598" i="2"/>
  <c r="B2597" i="2"/>
  <c r="A2597" i="2"/>
  <c r="B2596" i="2"/>
  <c r="A2596" i="2"/>
  <c r="B2595" i="2"/>
  <c r="A2595" i="2"/>
  <c r="B2594" i="2"/>
  <c r="A2594" i="2"/>
  <c r="B2593" i="2"/>
  <c r="A2593" i="2"/>
  <c r="B2592" i="2"/>
  <c r="A2592" i="2"/>
  <c r="B2591" i="2"/>
  <c r="A2591" i="2"/>
  <c r="B2590" i="2"/>
  <c r="A2590" i="2"/>
  <c r="B2589" i="2"/>
  <c r="A2589" i="2"/>
  <c r="B2588" i="2"/>
  <c r="A2588" i="2"/>
  <c r="B2587" i="2"/>
  <c r="A2587" i="2"/>
  <c r="B2586" i="2"/>
  <c r="A2586" i="2"/>
  <c r="B2585" i="2"/>
  <c r="A2585" i="2"/>
  <c r="B2584" i="2"/>
  <c r="A2584" i="2"/>
  <c r="B2583" i="2"/>
  <c r="A2583" i="2"/>
  <c r="B2582" i="2"/>
  <c r="A2582" i="2"/>
  <c r="B2581" i="2"/>
  <c r="A2581" i="2"/>
  <c r="B2580" i="2"/>
  <c r="A2580" i="2"/>
  <c r="B2579" i="2"/>
  <c r="A2579" i="2"/>
  <c r="B2578" i="2"/>
  <c r="A2578" i="2"/>
  <c r="B2577" i="2"/>
  <c r="A2577" i="2"/>
  <c r="B2576" i="2"/>
  <c r="A2576" i="2"/>
  <c r="B2575" i="2"/>
  <c r="A2575" i="2"/>
  <c r="B2574" i="2"/>
  <c r="A2574" i="2"/>
  <c r="B2573" i="2"/>
  <c r="A2573" i="2"/>
  <c r="B2572" i="2"/>
  <c r="A2572" i="2"/>
  <c r="B2571" i="2"/>
  <c r="A2571" i="2"/>
  <c r="B2570" i="2"/>
  <c r="A2570" i="2"/>
  <c r="B2569" i="2"/>
  <c r="A2569" i="2"/>
  <c r="B2568" i="2"/>
  <c r="A2568" i="2"/>
  <c r="B2567" i="2"/>
  <c r="A2567" i="2"/>
  <c r="B2566" i="2"/>
  <c r="A2566" i="2"/>
  <c r="B2565" i="2"/>
  <c r="A2565" i="2"/>
  <c r="B2564" i="2"/>
  <c r="A2564" i="2"/>
  <c r="B2563" i="2"/>
  <c r="A2563" i="2"/>
  <c r="B2562" i="2"/>
  <c r="A2562" i="2"/>
  <c r="B2561" i="2"/>
  <c r="A2561" i="2"/>
  <c r="B2560" i="2"/>
  <c r="A2560" i="2"/>
  <c r="B2559" i="2"/>
  <c r="A2559" i="2"/>
  <c r="B2558" i="2"/>
  <c r="A2558" i="2"/>
  <c r="B2557" i="2"/>
  <c r="A2557" i="2"/>
  <c r="B2556" i="2"/>
  <c r="A2556" i="2"/>
  <c r="B2555" i="2"/>
  <c r="A2555" i="2"/>
  <c r="B2554" i="2"/>
  <c r="A2554" i="2"/>
  <c r="B2553" i="2"/>
  <c r="A2553" i="2"/>
  <c r="B2552" i="2"/>
  <c r="A2552" i="2"/>
  <c r="B2551" i="2"/>
  <c r="A2551" i="2"/>
  <c r="B2550" i="2"/>
  <c r="A2550" i="2"/>
  <c r="B2549" i="2"/>
  <c r="A2549" i="2"/>
  <c r="B2548" i="2"/>
  <c r="A2548" i="2"/>
  <c r="B2547" i="2"/>
  <c r="A2547" i="2"/>
  <c r="B2546" i="2"/>
  <c r="A2546" i="2"/>
  <c r="B2545" i="2"/>
  <c r="A2545" i="2"/>
  <c r="B2544" i="2"/>
  <c r="A2544" i="2"/>
  <c r="B2543" i="2"/>
  <c r="A2543" i="2"/>
  <c r="B2542" i="2"/>
  <c r="A2542" i="2"/>
  <c r="B2541" i="2"/>
  <c r="A2541" i="2"/>
  <c r="B2540" i="2"/>
  <c r="A2540" i="2"/>
  <c r="B2539" i="2"/>
  <c r="A2539" i="2"/>
  <c r="B2538" i="2"/>
  <c r="A2538" i="2"/>
  <c r="B2537" i="2"/>
  <c r="A2537" i="2"/>
  <c r="B2536" i="2"/>
  <c r="A2536" i="2"/>
  <c r="B2535" i="2"/>
  <c r="A2535" i="2"/>
  <c r="B2534" i="2"/>
  <c r="A2534" i="2"/>
  <c r="B2533" i="2"/>
  <c r="A2533" i="2"/>
  <c r="B2532" i="2"/>
  <c r="A2532" i="2"/>
  <c r="B2531" i="2"/>
  <c r="A2531" i="2"/>
  <c r="B2530" i="2"/>
  <c r="A2530" i="2"/>
  <c r="B2529" i="2"/>
  <c r="A2529" i="2"/>
  <c r="B2528" i="2"/>
  <c r="A2528" i="2"/>
  <c r="B2527" i="2"/>
  <c r="A2527" i="2"/>
  <c r="B2526" i="2"/>
  <c r="A2526" i="2"/>
  <c r="B2525" i="2"/>
  <c r="A2525" i="2"/>
  <c r="B2524" i="2"/>
  <c r="A2524" i="2"/>
  <c r="B2523" i="2"/>
  <c r="A2523" i="2"/>
  <c r="B2522" i="2"/>
  <c r="A2522" i="2"/>
  <c r="B2521" i="2"/>
  <c r="A2521" i="2"/>
  <c r="B2520" i="2"/>
  <c r="A2520" i="2"/>
  <c r="B2519" i="2"/>
  <c r="A2519" i="2"/>
  <c r="B2518" i="2"/>
  <c r="A2518" i="2"/>
  <c r="B2517" i="2"/>
  <c r="A2517" i="2"/>
  <c r="B2516" i="2"/>
  <c r="A2516" i="2"/>
  <c r="B2515" i="2"/>
  <c r="A2515" i="2"/>
  <c r="B2514" i="2"/>
  <c r="A2514" i="2"/>
  <c r="B2513" i="2"/>
  <c r="A2513" i="2"/>
  <c r="B2512" i="2"/>
  <c r="A2512" i="2"/>
  <c r="B2511" i="2"/>
  <c r="A2511" i="2"/>
  <c r="B2510" i="2"/>
  <c r="A2510" i="2"/>
  <c r="B2509" i="2"/>
  <c r="A2509" i="2"/>
  <c r="B2508" i="2"/>
  <c r="A2508" i="2"/>
  <c r="B2507" i="2"/>
  <c r="A2507" i="2"/>
  <c r="B2506" i="2"/>
  <c r="A2506" i="2"/>
  <c r="B2505" i="2"/>
  <c r="A2505" i="2"/>
  <c r="B2504" i="2"/>
  <c r="A2504" i="2"/>
  <c r="B2503" i="2"/>
  <c r="A2503" i="2"/>
  <c r="B2502" i="2"/>
  <c r="A2502" i="2"/>
  <c r="B2501" i="2"/>
  <c r="A2501" i="2"/>
  <c r="B2500" i="2"/>
  <c r="A2500" i="2"/>
  <c r="B2499" i="2"/>
  <c r="A2499" i="2"/>
  <c r="B2498" i="2"/>
  <c r="A2498" i="2"/>
  <c r="B2497" i="2"/>
  <c r="A2497" i="2"/>
  <c r="B2496" i="2"/>
  <c r="A2496" i="2"/>
  <c r="B2495" i="2"/>
  <c r="A2495" i="2"/>
  <c r="B2494" i="2"/>
  <c r="A2494" i="2"/>
  <c r="B2493" i="2"/>
  <c r="A2493" i="2"/>
  <c r="B2492" i="2"/>
  <c r="A2492" i="2"/>
  <c r="B2491" i="2"/>
  <c r="A2491" i="2"/>
  <c r="B2490" i="2"/>
  <c r="A2490" i="2"/>
  <c r="B2489" i="2"/>
  <c r="A2489" i="2"/>
  <c r="B2488" i="2"/>
  <c r="A2488" i="2"/>
  <c r="B2487" i="2"/>
  <c r="A2487" i="2"/>
  <c r="B2486" i="2"/>
  <c r="A2486" i="2"/>
  <c r="B2485" i="2"/>
  <c r="A2485" i="2"/>
  <c r="B2484" i="2"/>
  <c r="A2484" i="2"/>
  <c r="B2483" i="2"/>
  <c r="A2483" i="2"/>
  <c r="B2482" i="2"/>
  <c r="A2482" i="2"/>
  <c r="B2481" i="2"/>
  <c r="A2481" i="2"/>
  <c r="B2480" i="2"/>
  <c r="A2480" i="2"/>
  <c r="B2479" i="2"/>
  <c r="A2479" i="2"/>
  <c r="B2478" i="2"/>
  <c r="A2478" i="2"/>
  <c r="B2477" i="2"/>
  <c r="A2477" i="2"/>
  <c r="B2476" i="2"/>
  <c r="A2476" i="2"/>
  <c r="B2475" i="2"/>
  <c r="A2475" i="2"/>
  <c r="B2474" i="2"/>
  <c r="A2474" i="2"/>
  <c r="B2473" i="2"/>
  <c r="A2473" i="2"/>
  <c r="B2472" i="2"/>
  <c r="A2472" i="2"/>
  <c r="B2471" i="2"/>
  <c r="A2471" i="2"/>
  <c r="B2470" i="2"/>
  <c r="A2470" i="2"/>
  <c r="B2469" i="2"/>
  <c r="A2469" i="2"/>
  <c r="B2468" i="2"/>
  <c r="A2468" i="2"/>
  <c r="B2467" i="2"/>
  <c r="A2467" i="2"/>
  <c r="B2466" i="2"/>
  <c r="A2466" i="2"/>
  <c r="B2465" i="2"/>
  <c r="A2465" i="2"/>
  <c r="B2464" i="2"/>
  <c r="A2464" i="2"/>
  <c r="B2463" i="2"/>
  <c r="A2463" i="2"/>
  <c r="B2462" i="2"/>
  <c r="A2462" i="2"/>
  <c r="B2461" i="2"/>
  <c r="A2461" i="2"/>
  <c r="B2460" i="2"/>
  <c r="A2460" i="2"/>
  <c r="B2459" i="2"/>
  <c r="A2459" i="2"/>
  <c r="B2458" i="2"/>
  <c r="A2458" i="2"/>
  <c r="B2457" i="2"/>
  <c r="A2457" i="2"/>
  <c r="B2456" i="2"/>
  <c r="A2456" i="2"/>
  <c r="B2455" i="2"/>
  <c r="A2455" i="2"/>
  <c r="B2454" i="2"/>
  <c r="A2454" i="2"/>
  <c r="B2453" i="2"/>
  <c r="A2453" i="2"/>
  <c r="B2452" i="2"/>
  <c r="A2452" i="2"/>
  <c r="B2451" i="2"/>
  <c r="A2451" i="2"/>
  <c r="B2450" i="2"/>
  <c r="A2450" i="2"/>
  <c r="B2449" i="2"/>
  <c r="A2449" i="2"/>
  <c r="B2448" i="2"/>
  <c r="A2448" i="2"/>
  <c r="B2447" i="2"/>
  <c r="A2447" i="2"/>
  <c r="B2446" i="2"/>
  <c r="A2446" i="2"/>
  <c r="B2445" i="2"/>
  <c r="A2445" i="2"/>
  <c r="B2444" i="2"/>
  <c r="A2444" i="2"/>
  <c r="B2443" i="2"/>
  <c r="A2443" i="2"/>
  <c r="B2442" i="2"/>
  <c r="A2442" i="2"/>
  <c r="B2441" i="2"/>
  <c r="A2441" i="2"/>
  <c r="B2440" i="2"/>
  <c r="A2440" i="2"/>
  <c r="B2439" i="2"/>
  <c r="A2439" i="2"/>
  <c r="B2438" i="2"/>
  <c r="A2438" i="2"/>
  <c r="B2437" i="2"/>
  <c r="A2437" i="2"/>
  <c r="B2436" i="2"/>
  <c r="A2436" i="2"/>
  <c r="B2435" i="2"/>
  <c r="A2435" i="2"/>
  <c r="B2434" i="2"/>
  <c r="A2434" i="2"/>
  <c r="B2433" i="2"/>
  <c r="A2433" i="2"/>
  <c r="B2432" i="2"/>
  <c r="A2432" i="2"/>
  <c r="B2431" i="2"/>
  <c r="A2431" i="2"/>
  <c r="B2430" i="2"/>
  <c r="A2430" i="2"/>
  <c r="B2429" i="2"/>
  <c r="A2429" i="2"/>
  <c r="B2428" i="2"/>
  <c r="A2428" i="2"/>
  <c r="B2427" i="2"/>
  <c r="A2427" i="2"/>
  <c r="B2426" i="2"/>
  <c r="A2426" i="2"/>
  <c r="B2425" i="2"/>
  <c r="A2425" i="2"/>
  <c r="B2424" i="2"/>
  <c r="A2424" i="2"/>
  <c r="B2423" i="2"/>
  <c r="A2423" i="2"/>
  <c r="B2422" i="2"/>
  <c r="A2422" i="2"/>
  <c r="B2421" i="2"/>
  <c r="A2421" i="2"/>
  <c r="B2420" i="2"/>
  <c r="A2420" i="2"/>
  <c r="B2419" i="2"/>
  <c r="A2419" i="2"/>
  <c r="B2418" i="2"/>
  <c r="A2418" i="2"/>
  <c r="B2417" i="2"/>
  <c r="A2417" i="2"/>
  <c r="B2416" i="2"/>
  <c r="A2416" i="2"/>
  <c r="B2415" i="2"/>
  <c r="A2415" i="2"/>
  <c r="B2414" i="2"/>
  <c r="A2414" i="2"/>
  <c r="B2413" i="2"/>
  <c r="A2413" i="2"/>
  <c r="B2412" i="2"/>
  <c r="A2412" i="2"/>
  <c r="B2411" i="2"/>
  <c r="A2411" i="2"/>
  <c r="B2410" i="2"/>
  <c r="A2410" i="2"/>
  <c r="B2409" i="2"/>
  <c r="A2409" i="2"/>
  <c r="B2408" i="2"/>
  <c r="A2408" i="2"/>
  <c r="B2407" i="2"/>
  <c r="A2407" i="2"/>
  <c r="B2406" i="2"/>
  <c r="A2406" i="2"/>
  <c r="B2405" i="2"/>
  <c r="A2405" i="2"/>
  <c r="B2404" i="2"/>
  <c r="A2404" i="2"/>
  <c r="B2403" i="2"/>
  <c r="A2403" i="2"/>
  <c r="B2402" i="2"/>
  <c r="A2402" i="2"/>
  <c r="B2401" i="2"/>
  <c r="A2401" i="2"/>
  <c r="B2400" i="2"/>
  <c r="A2400" i="2"/>
  <c r="B2399" i="2"/>
  <c r="A2399" i="2"/>
  <c r="B2398" i="2"/>
  <c r="A2398" i="2"/>
  <c r="B2397" i="2"/>
  <c r="A2397" i="2"/>
  <c r="B2396" i="2"/>
  <c r="A2396" i="2"/>
  <c r="B2395" i="2"/>
  <c r="A2395" i="2"/>
  <c r="B2394" i="2"/>
  <c r="A2394" i="2"/>
  <c r="B2393" i="2"/>
  <c r="A2393" i="2"/>
  <c r="B2392" i="2"/>
  <c r="A2392" i="2"/>
  <c r="B2391" i="2"/>
  <c r="A2391" i="2"/>
  <c r="B2390" i="2"/>
  <c r="A2390" i="2"/>
  <c r="B2389" i="2"/>
  <c r="A2389" i="2"/>
  <c r="B2388" i="2"/>
  <c r="A2388" i="2"/>
  <c r="B2387" i="2"/>
  <c r="A2387" i="2"/>
  <c r="B2386" i="2"/>
  <c r="A2386" i="2"/>
  <c r="B2385" i="2"/>
  <c r="A2385" i="2"/>
  <c r="B2384" i="2"/>
  <c r="A2384" i="2"/>
  <c r="B2383" i="2"/>
  <c r="A2383" i="2"/>
  <c r="B2382" i="2"/>
  <c r="A2382" i="2"/>
  <c r="B2381" i="2"/>
  <c r="A2381" i="2"/>
  <c r="B2380" i="2"/>
  <c r="A2380" i="2"/>
  <c r="B2379" i="2"/>
  <c r="A2379" i="2"/>
  <c r="B2378" i="2"/>
  <c r="A2378" i="2"/>
  <c r="B2377" i="2"/>
  <c r="A2377" i="2"/>
  <c r="B2376" i="2"/>
  <c r="A2376" i="2"/>
  <c r="B2375" i="2"/>
  <c r="A2375" i="2"/>
  <c r="B2374" i="2"/>
  <c r="A2374" i="2"/>
  <c r="B2373" i="2"/>
  <c r="A2373" i="2"/>
  <c r="B2372" i="2"/>
  <c r="A2372" i="2"/>
  <c r="B2371" i="2"/>
  <c r="A2371" i="2"/>
  <c r="B2370" i="2"/>
  <c r="A2370" i="2"/>
  <c r="B2369" i="2"/>
  <c r="A2369" i="2"/>
  <c r="B2368" i="2"/>
  <c r="A2368" i="2"/>
  <c r="B2367" i="2"/>
  <c r="A2367" i="2"/>
  <c r="B2366" i="2"/>
  <c r="A2366" i="2"/>
  <c r="B2365" i="2"/>
  <c r="A2365" i="2"/>
  <c r="B2364" i="2"/>
  <c r="A2364" i="2"/>
  <c r="B2363" i="2"/>
  <c r="A2363" i="2"/>
  <c r="B2362" i="2"/>
  <c r="A2362" i="2"/>
  <c r="B2361" i="2"/>
  <c r="A2361" i="2"/>
  <c r="B2360" i="2"/>
  <c r="A2360" i="2"/>
  <c r="B2359" i="2"/>
  <c r="A2359" i="2"/>
  <c r="B2358" i="2"/>
  <c r="A2358" i="2"/>
  <c r="B2357" i="2"/>
  <c r="A2357" i="2"/>
  <c r="B2356" i="2"/>
  <c r="A2356" i="2"/>
  <c r="B2355" i="2"/>
  <c r="A2355" i="2"/>
  <c r="B2354" i="2"/>
  <c r="A2354" i="2"/>
  <c r="B2353" i="2"/>
  <c r="A2353" i="2"/>
  <c r="B2352" i="2"/>
  <c r="A2352" i="2"/>
  <c r="B2351" i="2"/>
  <c r="A2351" i="2"/>
  <c r="B2350" i="2"/>
  <c r="A2350" i="2"/>
  <c r="B2349" i="2"/>
  <c r="A2349" i="2"/>
  <c r="B2348" i="2"/>
  <c r="A2348" i="2"/>
  <c r="B2347" i="2"/>
  <c r="A2347" i="2"/>
  <c r="B2346" i="2"/>
  <c r="A2346" i="2"/>
  <c r="B2345" i="2"/>
  <c r="A2345" i="2"/>
  <c r="B2344" i="2"/>
  <c r="A2344" i="2"/>
  <c r="B2343" i="2"/>
  <c r="A2343" i="2"/>
  <c r="B2342" i="2"/>
  <c r="A2342" i="2"/>
  <c r="B2341" i="2"/>
  <c r="A2341" i="2"/>
  <c r="B2340" i="2"/>
  <c r="A2340" i="2"/>
  <c r="B2339" i="2"/>
  <c r="A2339" i="2"/>
  <c r="B2338" i="2"/>
  <c r="A2338" i="2"/>
  <c r="B2337" i="2"/>
  <c r="A2337" i="2"/>
  <c r="B2336" i="2"/>
  <c r="A2336" i="2"/>
  <c r="B2335" i="2"/>
  <c r="A2335" i="2"/>
  <c r="B2334" i="2"/>
  <c r="A2334" i="2"/>
  <c r="B2333" i="2"/>
  <c r="A2333" i="2"/>
  <c r="B2332" i="2"/>
  <c r="A2332" i="2"/>
  <c r="B2331" i="2"/>
  <c r="A2331" i="2"/>
  <c r="B2330" i="2"/>
  <c r="A2330" i="2"/>
  <c r="B2329" i="2"/>
  <c r="A2329" i="2"/>
  <c r="B2328" i="2"/>
  <c r="A2328" i="2"/>
  <c r="B2327" i="2"/>
  <c r="A2327" i="2"/>
  <c r="B2326" i="2"/>
  <c r="A2326" i="2"/>
  <c r="B2325" i="2"/>
  <c r="A2325" i="2"/>
  <c r="B2324" i="2"/>
  <c r="A2324" i="2"/>
  <c r="B2323" i="2"/>
  <c r="A2323" i="2"/>
  <c r="B2322" i="2"/>
  <c r="A2322" i="2"/>
  <c r="B2321" i="2"/>
  <c r="A2321" i="2"/>
  <c r="B2320" i="2"/>
  <c r="A2320" i="2"/>
  <c r="B2319" i="2"/>
  <c r="A2319" i="2"/>
  <c r="B2318" i="2"/>
  <c r="A2318" i="2"/>
  <c r="B2317" i="2"/>
  <c r="A2317" i="2"/>
  <c r="B2316" i="2"/>
  <c r="A2316" i="2"/>
  <c r="B2315" i="2"/>
  <c r="A2315" i="2"/>
  <c r="B2314" i="2"/>
  <c r="A2314" i="2"/>
  <c r="B2313" i="2"/>
  <c r="A2313" i="2"/>
  <c r="B2312" i="2"/>
  <c r="A2312" i="2"/>
  <c r="B2311" i="2"/>
  <c r="A2311" i="2"/>
  <c r="B2310" i="2"/>
  <c r="A2310" i="2"/>
  <c r="B2309" i="2"/>
  <c r="A2309" i="2"/>
  <c r="B2308" i="2"/>
  <c r="A2308" i="2"/>
  <c r="B2307" i="2"/>
  <c r="A2307" i="2"/>
  <c r="B2306" i="2"/>
  <c r="A2306" i="2"/>
  <c r="B2305" i="2"/>
  <c r="A2305" i="2"/>
  <c r="B2304" i="2"/>
  <c r="A2304" i="2"/>
  <c r="B2303" i="2"/>
  <c r="A2303" i="2"/>
  <c r="B2302" i="2"/>
  <c r="A2302" i="2"/>
  <c r="B2301" i="2"/>
  <c r="A2301" i="2"/>
  <c r="B2300" i="2"/>
  <c r="A2300" i="2"/>
  <c r="B2299" i="2"/>
  <c r="A2299" i="2"/>
  <c r="B2298" i="2"/>
  <c r="A2298" i="2"/>
  <c r="B2297" i="2"/>
  <c r="A2297" i="2"/>
  <c r="B2296" i="2"/>
  <c r="A2296" i="2"/>
  <c r="B2295" i="2"/>
  <c r="A2295" i="2"/>
  <c r="B2294" i="2"/>
  <c r="A2294" i="2"/>
  <c r="B2293" i="2"/>
  <c r="A2293" i="2"/>
  <c r="B2292" i="2"/>
  <c r="A2292" i="2"/>
  <c r="B2291" i="2"/>
  <c r="A2291" i="2"/>
  <c r="B2290" i="2"/>
  <c r="A2290" i="2"/>
  <c r="B2289" i="2"/>
  <c r="A2289" i="2"/>
  <c r="B2288" i="2"/>
  <c r="A2288" i="2"/>
  <c r="B2287" i="2"/>
  <c r="A2287" i="2"/>
  <c r="B2286" i="2"/>
  <c r="A2286" i="2"/>
  <c r="B2285" i="2"/>
  <c r="A2285" i="2"/>
  <c r="B2284" i="2"/>
  <c r="A2284" i="2"/>
  <c r="B2283" i="2"/>
  <c r="A2283" i="2"/>
  <c r="B2282" i="2"/>
  <c r="A2282" i="2"/>
  <c r="B2281" i="2"/>
  <c r="A2281" i="2"/>
  <c r="B2280" i="2"/>
  <c r="A2280" i="2"/>
  <c r="B2279" i="2"/>
  <c r="A2279" i="2"/>
  <c r="B2278" i="2"/>
  <c r="A2278" i="2"/>
  <c r="B2277" i="2"/>
  <c r="A2277" i="2"/>
  <c r="B2276" i="2"/>
  <c r="A2276" i="2"/>
  <c r="B2275" i="2"/>
  <c r="A2275" i="2"/>
  <c r="B2274" i="2"/>
  <c r="A2274" i="2"/>
  <c r="B2273" i="2"/>
  <c r="A2273" i="2"/>
  <c r="B2272" i="2"/>
  <c r="A2272" i="2"/>
  <c r="B2271" i="2"/>
  <c r="A2271" i="2"/>
  <c r="B2270" i="2"/>
  <c r="A2270" i="2"/>
  <c r="B2269" i="2"/>
  <c r="A2269" i="2"/>
  <c r="B2268" i="2"/>
  <c r="A2268" i="2"/>
  <c r="B2267" i="2"/>
  <c r="A2267" i="2"/>
  <c r="B2266" i="2"/>
  <c r="A2266" i="2"/>
  <c r="B2265" i="2"/>
  <c r="A2265" i="2"/>
  <c r="B2264" i="2"/>
  <c r="A2264" i="2"/>
  <c r="B2263" i="2"/>
  <c r="A2263" i="2"/>
  <c r="B2262" i="2"/>
  <c r="A2262" i="2"/>
  <c r="B2261" i="2"/>
  <c r="A2261" i="2"/>
  <c r="B2260" i="2"/>
  <c r="A2260" i="2"/>
  <c r="B2259" i="2"/>
  <c r="A2259" i="2"/>
  <c r="B2258" i="2"/>
  <c r="A2258" i="2"/>
  <c r="B2257" i="2"/>
  <c r="A2257" i="2"/>
  <c r="B2256" i="2"/>
  <c r="A2256" i="2"/>
  <c r="B2255" i="2"/>
  <c r="A2255" i="2"/>
  <c r="B2254" i="2"/>
  <c r="A2254" i="2"/>
  <c r="B2253" i="2"/>
  <c r="A2253" i="2"/>
  <c r="B2252" i="2"/>
  <c r="A2252" i="2"/>
  <c r="B2251" i="2"/>
  <c r="A2251" i="2"/>
  <c r="B2250" i="2"/>
  <c r="A2250" i="2"/>
  <c r="B2249" i="2"/>
  <c r="A2249" i="2"/>
  <c r="B2248" i="2"/>
  <c r="A2248" i="2"/>
  <c r="B2247" i="2"/>
  <c r="A2247" i="2"/>
  <c r="B2246" i="2"/>
  <c r="A2246" i="2"/>
  <c r="B2245" i="2"/>
  <c r="A2245" i="2"/>
  <c r="B2244" i="2"/>
  <c r="A2244" i="2"/>
  <c r="B2243" i="2"/>
  <c r="A2243" i="2"/>
  <c r="B2242" i="2"/>
  <c r="A2242" i="2"/>
  <c r="B2241" i="2"/>
  <c r="A2241" i="2"/>
  <c r="B2240" i="2"/>
  <c r="A2240" i="2"/>
  <c r="B2239" i="2"/>
  <c r="A2239" i="2"/>
  <c r="B2238" i="2"/>
  <c r="A2238" i="2"/>
  <c r="B2237" i="2"/>
  <c r="A2237" i="2"/>
  <c r="B2236" i="2"/>
  <c r="A2236" i="2"/>
  <c r="B2235" i="2"/>
  <c r="A2235" i="2"/>
  <c r="B2234" i="2"/>
  <c r="A2234" i="2"/>
  <c r="B2233" i="2"/>
  <c r="A2233" i="2"/>
  <c r="B2232" i="2"/>
  <c r="A2232" i="2"/>
  <c r="B2231" i="2"/>
  <c r="A2231" i="2"/>
  <c r="B2230" i="2"/>
  <c r="A2230" i="2"/>
  <c r="B2229" i="2"/>
  <c r="A2229" i="2"/>
  <c r="B2228" i="2"/>
  <c r="A2228" i="2"/>
  <c r="B2227" i="2"/>
  <c r="A2227" i="2"/>
  <c r="B2226" i="2"/>
  <c r="A2226" i="2"/>
  <c r="B2225" i="2"/>
  <c r="A2225" i="2"/>
  <c r="B2224" i="2"/>
  <c r="A2224" i="2"/>
  <c r="B2223" i="2"/>
  <c r="A2223" i="2"/>
  <c r="B2222" i="2"/>
  <c r="A2222" i="2"/>
  <c r="B2221" i="2"/>
  <c r="A2221" i="2"/>
  <c r="B2220" i="2"/>
  <c r="A2220" i="2"/>
  <c r="B2219" i="2"/>
  <c r="A2219" i="2"/>
  <c r="B2218" i="2"/>
  <c r="A2218" i="2"/>
  <c r="B2217" i="2"/>
  <c r="A2217" i="2"/>
  <c r="B2216" i="2"/>
  <c r="A2216" i="2"/>
  <c r="B2215" i="2"/>
  <c r="A2215" i="2"/>
  <c r="B2214" i="2"/>
  <c r="A2214" i="2"/>
  <c r="B2213" i="2"/>
  <c r="A2213" i="2"/>
  <c r="B2212" i="2"/>
  <c r="A2212" i="2"/>
  <c r="B2211" i="2"/>
  <c r="A2211" i="2"/>
  <c r="B2210" i="2"/>
  <c r="A2210" i="2"/>
  <c r="B2209" i="2"/>
  <c r="A2209" i="2"/>
  <c r="B2208" i="2"/>
  <c r="A2208" i="2"/>
  <c r="B2207" i="2"/>
  <c r="A2207" i="2"/>
  <c r="B2206" i="2"/>
  <c r="A2206" i="2"/>
  <c r="B2205" i="2"/>
  <c r="A2205" i="2"/>
  <c r="B2204" i="2"/>
  <c r="A2204" i="2"/>
  <c r="B2203" i="2"/>
  <c r="A2203" i="2"/>
  <c r="B2202" i="2"/>
  <c r="A2202" i="2"/>
  <c r="B2201" i="2"/>
  <c r="A2201" i="2"/>
  <c r="B2200" i="2"/>
  <c r="A2200" i="2"/>
  <c r="B2199" i="2"/>
  <c r="A2199" i="2"/>
  <c r="B2198" i="2"/>
  <c r="A2198" i="2"/>
  <c r="B2197" i="2"/>
  <c r="A2197" i="2"/>
  <c r="B2196" i="2"/>
  <c r="A2196" i="2"/>
  <c r="B2195" i="2"/>
  <c r="A2195" i="2"/>
  <c r="B2194" i="2"/>
  <c r="A2194" i="2"/>
  <c r="B2193" i="2"/>
  <c r="A2193" i="2"/>
  <c r="B2192" i="2"/>
  <c r="A2192" i="2"/>
  <c r="B2191" i="2"/>
  <c r="A2191" i="2"/>
  <c r="B2190" i="2"/>
  <c r="A2190" i="2"/>
  <c r="B2189" i="2"/>
  <c r="A2189" i="2"/>
  <c r="B2188" i="2"/>
  <c r="A2188" i="2"/>
  <c r="B2187" i="2"/>
  <c r="A2187" i="2"/>
  <c r="B2186" i="2"/>
  <c r="A2186" i="2"/>
  <c r="B2185" i="2"/>
  <c r="A2185" i="2"/>
  <c r="B2184" i="2"/>
  <c r="A2184" i="2"/>
  <c r="B2183" i="2"/>
  <c r="A2183" i="2"/>
  <c r="B2182" i="2"/>
  <c r="A2182" i="2"/>
  <c r="B2181" i="2"/>
  <c r="A2181" i="2"/>
  <c r="B2180" i="2"/>
  <c r="A2180" i="2"/>
  <c r="B2179" i="2"/>
  <c r="A2179" i="2"/>
  <c r="B2178" i="2"/>
  <c r="A2178" i="2"/>
  <c r="B2177" i="2"/>
  <c r="A2177" i="2"/>
  <c r="B2176" i="2"/>
  <c r="A2176" i="2"/>
  <c r="B2175" i="2"/>
  <c r="A2175" i="2"/>
  <c r="B2174" i="2"/>
  <c r="A2174" i="2"/>
  <c r="B2173" i="2"/>
  <c r="A2173" i="2"/>
  <c r="B2172" i="2"/>
  <c r="A2172" i="2"/>
  <c r="B2171" i="2"/>
  <c r="A2171" i="2"/>
  <c r="B2170" i="2"/>
  <c r="A2170" i="2"/>
  <c r="B2169" i="2"/>
  <c r="A2169" i="2"/>
  <c r="B2168" i="2"/>
  <c r="A2168" i="2"/>
  <c r="B2167" i="2"/>
  <c r="A2167" i="2"/>
  <c r="B2166" i="2"/>
  <c r="A2166" i="2"/>
  <c r="B2165" i="2"/>
  <c r="A2165" i="2"/>
  <c r="B2164" i="2"/>
  <c r="A2164" i="2"/>
  <c r="B2163" i="2"/>
  <c r="A2163" i="2"/>
  <c r="B2162" i="2"/>
  <c r="A2162" i="2"/>
  <c r="B2161" i="2"/>
  <c r="A2161" i="2"/>
  <c r="B2160" i="2"/>
  <c r="A2160" i="2"/>
  <c r="B2159" i="2"/>
  <c r="A2159" i="2"/>
  <c r="B2158" i="2"/>
  <c r="A2158" i="2"/>
  <c r="B2157" i="2"/>
  <c r="A2157" i="2"/>
  <c r="B2156" i="2"/>
  <c r="A2156" i="2"/>
  <c r="B2155" i="2"/>
  <c r="A2155" i="2"/>
  <c r="B2154" i="2"/>
  <c r="A2154" i="2"/>
  <c r="B2153" i="2"/>
  <c r="A2153" i="2"/>
  <c r="B2152" i="2"/>
  <c r="A2152" i="2"/>
  <c r="B2151" i="2"/>
  <c r="A2151" i="2"/>
  <c r="B2150" i="2"/>
  <c r="A2150" i="2"/>
  <c r="B2149" i="2"/>
  <c r="A2149" i="2"/>
  <c r="B2148" i="2"/>
  <c r="A2148" i="2"/>
  <c r="B2147" i="2"/>
  <c r="A2147" i="2"/>
  <c r="B2146" i="2"/>
  <c r="A2146" i="2"/>
  <c r="B2145" i="2"/>
  <c r="A2145" i="2"/>
  <c r="B2144" i="2"/>
  <c r="A2144" i="2"/>
  <c r="B2143" i="2"/>
  <c r="A2143" i="2"/>
  <c r="B2142" i="2"/>
  <c r="A2142" i="2"/>
  <c r="B2141" i="2"/>
  <c r="A2141" i="2"/>
  <c r="B2140" i="2"/>
  <c r="A2140" i="2"/>
  <c r="B2139" i="2"/>
  <c r="A2139" i="2"/>
  <c r="B2138" i="2"/>
  <c r="A2138" i="2"/>
  <c r="B2137" i="2"/>
  <c r="A2137" i="2"/>
  <c r="B2136" i="2"/>
  <c r="A2136" i="2"/>
  <c r="B2135" i="2"/>
  <c r="A2135" i="2"/>
  <c r="B2134" i="2"/>
  <c r="A2134" i="2"/>
  <c r="B2133" i="2"/>
  <c r="A2133" i="2"/>
  <c r="B2132" i="2"/>
  <c r="A2132" i="2"/>
  <c r="B2131" i="2"/>
  <c r="A2131" i="2"/>
  <c r="B2130" i="2"/>
  <c r="A2130" i="2"/>
  <c r="B2129" i="2"/>
  <c r="A2129" i="2"/>
  <c r="B2128" i="2"/>
  <c r="A2128" i="2"/>
  <c r="B2127" i="2"/>
  <c r="A2127" i="2"/>
  <c r="B2126" i="2"/>
  <c r="A2126" i="2"/>
  <c r="B2125" i="2"/>
  <c r="A2125" i="2"/>
  <c r="B2124" i="2"/>
  <c r="A2124" i="2"/>
  <c r="B2123" i="2"/>
  <c r="A2123" i="2"/>
  <c r="B2122" i="2"/>
  <c r="A2122" i="2"/>
  <c r="B2121" i="2"/>
  <c r="A2121" i="2"/>
  <c r="B2120" i="2"/>
  <c r="A2120" i="2"/>
  <c r="B2119" i="2"/>
  <c r="A2119" i="2"/>
  <c r="B2118" i="2"/>
  <c r="A2118" i="2"/>
  <c r="B2117" i="2"/>
  <c r="A2117" i="2"/>
  <c r="B2116" i="2"/>
  <c r="A2116" i="2"/>
  <c r="B2115" i="2"/>
  <c r="A2115" i="2"/>
  <c r="B2114" i="2"/>
  <c r="A2114" i="2"/>
  <c r="B2113" i="2"/>
  <c r="A2113" i="2"/>
  <c r="B2112" i="2"/>
  <c r="A2112" i="2"/>
  <c r="B2111" i="2"/>
  <c r="A2111" i="2"/>
  <c r="B2110" i="2"/>
  <c r="A2110" i="2"/>
  <c r="B2109" i="2"/>
  <c r="A2109" i="2"/>
  <c r="B2108" i="2"/>
  <c r="A2108" i="2"/>
  <c r="B2107" i="2"/>
  <c r="A2107" i="2"/>
  <c r="B2106" i="2"/>
  <c r="A2106" i="2"/>
  <c r="B2105" i="2"/>
  <c r="A2105" i="2"/>
  <c r="B2104" i="2"/>
  <c r="A2104" i="2"/>
  <c r="B2103" i="2"/>
  <c r="A2103" i="2"/>
  <c r="B2102" i="2"/>
  <c r="A2102" i="2"/>
  <c r="B2101" i="2"/>
  <c r="A2101" i="2"/>
  <c r="B2100" i="2"/>
  <c r="A2100" i="2"/>
  <c r="B2099" i="2"/>
  <c r="A2099" i="2"/>
  <c r="B2098" i="2"/>
  <c r="A2098" i="2"/>
  <c r="B2097" i="2"/>
  <c r="A2097" i="2"/>
  <c r="B2096" i="2"/>
  <c r="A2096" i="2"/>
  <c r="B2095" i="2"/>
  <c r="A2095" i="2"/>
  <c r="B2094" i="2"/>
  <c r="A2094" i="2"/>
  <c r="B2093" i="2"/>
  <c r="A2093" i="2"/>
  <c r="B2092" i="2"/>
  <c r="A2092" i="2"/>
  <c r="B2091" i="2"/>
  <c r="A2091" i="2"/>
  <c r="B2090" i="2"/>
  <c r="A2090" i="2"/>
  <c r="B2089" i="2"/>
  <c r="A2089" i="2"/>
  <c r="B2088" i="2"/>
  <c r="A2088" i="2"/>
  <c r="B2087" i="2"/>
  <c r="A2087" i="2"/>
  <c r="B2086" i="2"/>
  <c r="A2086" i="2"/>
  <c r="B2085" i="2"/>
  <c r="A2085" i="2"/>
  <c r="B2084" i="2"/>
  <c r="A2084" i="2"/>
  <c r="B2083" i="2"/>
  <c r="A2083" i="2"/>
  <c r="B2082" i="2"/>
  <c r="A2082" i="2"/>
  <c r="B2081" i="2"/>
  <c r="A2081" i="2"/>
  <c r="B2080" i="2"/>
  <c r="A2080" i="2"/>
  <c r="B2079" i="2"/>
  <c r="A2079" i="2"/>
  <c r="B2078" i="2"/>
  <c r="A2078" i="2"/>
  <c r="B2077" i="2"/>
  <c r="A2077" i="2"/>
  <c r="B2076" i="2"/>
  <c r="A2076" i="2"/>
  <c r="B2075" i="2"/>
  <c r="A2075" i="2"/>
  <c r="B2074" i="2"/>
  <c r="A2074" i="2"/>
  <c r="B2073" i="2"/>
  <c r="A2073" i="2"/>
  <c r="B2072" i="2"/>
  <c r="A2072" i="2"/>
  <c r="B2071" i="2"/>
  <c r="A2071" i="2"/>
  <c r="B2070" i="2"/>
  <c r="A2070" i="2"/>
  <c r="B2069" i="2"/>
  <c r="A2069" i="2"/>
  <c r="B2068" i="2"/>
  <c r="A2068" i="2"/>
  <c r="B2067" i="2"/>
  <c r="A2067" i="2"/>
  <c r="B2066" i="2"/>
  <c r="A2066" i="2"/>
  <c r="B2065" i="2"/>
  <c r="A2065" i="2"/>
  <c r="B2064" i="2"/>
  <c r="A2064" i="2"/>
  <c r="B2063" i="2"/>
  <c r="A2063" i="2"/>
  <c r="B2062" i="2"/>
  <c r="A2062" i="2"/>
  <c r="B2061" i="2"/>
  <c r="A2061" i="2"/>
  <c r="B2060" i="2"/>
  <c r="A2060" i="2"/>
  <c r="B2059" i="2"/>
  <c r="A2059" i="2"/>
  <c r="B2058" i="2"/>
  <c r="A2058" i="2"/>
  <c r="B2057" i="2"/>
  <c r="A2057" i="2"/>
  <c r="B2056" i="2"/>
  <c r="A2056" i="2"/>
  <c r="B2055" i="2"/>
  <c r="A2055" i="2"/>
  <c r="B2054" i="2"/>
  <c r="A2054" i="2"/>
  <c r="B2053" i="2"/>
  <c r="A2053" i="2"/>
  <c r="B2052" i="2"/>
  <c r="A2052" i="2"/>
  <c r="B2051" i="2"/>
  <c r="A2051" i="2"/>
  <c r="B2050" i="2"/>
  <c r="A2050" i="2"/>
  <c r="B2049" i="2"/>
  <c r="A2049" i="2"/>
  <c r="B2048" i="2"/>
  <c r="A2048" i="2"/>
  <c r="B2047" i="2"/>
  <c r="A2047" i="2"/>
  <c r="B2046" i="2"/>
  <c r="A2046" i="2"/>
  <c r="B2045" i="2"/>
  <c r="A2045" i="2"/>
  <c r="B2044" i="2"/>
  <c r="A2044" i="2"/>
  <c r="B2043" i="2"/>
  <c r="A2043" i="2"/>
  <c r="B2042" i="2"/>
  <c r="A2042" i="2"/>
  <c r="B2041" i="2"/>
  <c r="A2041" i="2"/>
  <c r="B2040" i="2"/>
  <c r="A2040" i="2"/>
  <c r="B2039" i="2"/>
  <c r="A2039" i="2"/>
  <c r="B2038" i="2"/>
  <c r="A2038" i="2"/>
  <c r="B2037" i="2"/>
  <c r="A2037" i="2"/>
  <c r="B2036" i="2"/>
  <c r="A2036" i="2"/>
  <c r="B2035" i="2"/>
  <c r="A2035" i="2"/>
  <c r="B2034" i="2"/>
  <c r="A2034" i="2"/>
  <c r="B2033" i="2"/>
  <c r="A2033" i="2"/>
  <c r="B2032" i="2"/>
  <c r="A2032" i="2"/>
  <c r="B2031" i="2"/>
  <c r="A2031" i="2"/>
  <c r="B2030" i="2"/>
  <c r="A2030" i="2"/>
  <c r="B2029" i="2"/>
  <c r="A2029" i="2"/>
  <c r="B2028" i="2"/>
  <c r="A2028" i="2"/>
  <c r="B2027" i="2"/>
  <c r="A2027" i="2"/>
  <c r="B2026" i="2"/>
  <c r="A2026" i="2"/>
  <c r="B2025" i="2"/>
  <c r="A2025" i="2"/>
  <c r="B2024" i="2"/>
  <c r="A2024" i="2"/>
  <c r="B2023" i="2"/>
  <c r="A2023" i="2"/>
  <c r="B2022" i="2"/>
  <c r="A2022" i="2"/>
  <c r="B2021" i="2"/>
  <c r="A2021" i="2"/>
  <c r="B2020" i="2"/>
  <c r="A2020" i="2"/>
  <c r="B2019" i="2"/>
  <c r="A2019" i="2"/>
  <c r="B2018" i="2"/>
  <c r="A2018" i="2"/>
  <c r="B2017" i="2"/>
  <c r="A2017" i="2"/>
  <c r="B2016" i="2"/>
  <c r="A2016" i="2"/>
  <c r="B2015" i="2"/>
  <c r="A2015" i="2"/>
  <c r="B2014" i="2"/>
  <c r="A2014" i="2"/>
  <c r="B2013" i="2"/>
  <c r="A2013" i="2"/>
  <c r="B2012" i="2"/>
  <c r="A2012" i="2"/>
  <c r="B2011" i="2"/>
  <c r="A2011" i="2"/>
  <c r="B2010" i="2"/>
  <c r="A2010" i="2"/>
  <c r="B2009" i="2"/>
  <c r="A2009" i="2"/>
  <c r="B2008" i="2"/>
  <c r="A2008" i="2"/>
  <c r="B2007" i="2"/>
  <c r="A2007" i="2"/>
  <c r="B2006" i="2"/>
  <c r="A2006" i="2"/>
  <c r="B2005" i="2"/>
  <c r="A2005" i="2"/>
  <c r="B2004" i="2"/>
  <c r="A2004" i="2"/>
  <c r="B2003" i="2"/>
  <c r="A2003" i="2"/>
  <c r="B2002" i="2"/>
  <c r="A2002" i="2"/>
  <c r="B2001" i="2"/>
  <c r="A2001" i="2"/>
  <c r="B2000" i="2"/>
  <c r="A2000" i="2"/>
  <c r="B1999" i="2"/>
  <c r="A1999" i="2"/>
  <c r="B1998" i="2"/>
  <c r="A1998" i="2"/>
  <c r="B1997" i="2"/>
  <c r="A1997" i="2"/>
  <c r="B1996" i="2"/>
  <c r="A1996" i="2"/>
  <c r="B1995" i="2"/>
  <c r="A1995" i="2"/>
  <c r="B1994" i="2"/>
  <c r="A1994" i="2"/>
  <c r="B1993" i="2"/>
  <c r="A1993" i="2"/>
  <c r="B1992" i="2"/>
  <c r="A1992" i="2"/>
  <c r="B1991" i="2"/>
  <c r="A1991" i="2"/>
  <c r="B1990" i="2"/>
  <c r="A1990" i="2"/>
  <c r="B1989" i="2"/>
  <c r="A1989" i="2"/>
  <c r="B1988" i="2"/>
  <c r="A1988" i="2"/>
  <c r="B1987" i="2"/>
  <c r="A1987" i="2"/>
  <c r="B1986" i="2"/>
  <c r="A1986" i="2"/>
  <c r="B1985" i="2"/>
  <c r="A1985" i="2"/>
  <c r="B1984" i="2"/>
  <c r="A1984" i="2"/>
  <c r="B1983" i="2"/>
  <c r="A1983" i="2"/>
  <c r="B1982" i="2"/>
  <c r="A1982" i="2"/>
  <c r="B1981" i="2"/>
  <c r="A1981" i="2"/>
  <c r="B1980" i="2"/>
  <c r="A1980" i="2"/>
  <c r="B1979" i="2"/>
  <c r="A1979" i="2"/>
  <c r="B1978" i="2"/>
  <c r="A1978" i="2"/>
  <c r="B1977" i="2"/>
  <c r="A1977" i="2"/>
  <c r="B1976" i="2"/>
  <c r="A1976" i="2"/>
  <c r="B1975" i="2"/>
  <c r="A1975" i="2"/>
  <c r="B1974" i="2"/>
  <c r="A1974" i="2"/>
  <c r="B1973" i="2"/>
  <c r="A1973" i="2"/>
  <c r="B1972" i="2"/>
  <c r="A1972" i="2"/>
  <c r="B1971" i="2"/>
  <c r="A1971" i="2"/>
  <c r="B1970" i="2"/>
  <c r="A1970" i="2"/>
  <c r="B1969" i="2"/>
  <c r="A1969" i="2"/>
  <c r="B1968" i="2"/>
  <c r="A1968" i="2"/>
  <c r="B1967" i="2"/>
  <c r="A1967" i="2"/>
  <c r="B1966" i="2"/>
  <c r="A1966" i="2"/>
  <c r="B1965" i="2"/>
  <c r="A1965" i="2"/>
  <c r="B1964" i="2"/>
  <c r="A1964" i="2"/>
  <c r="B1963" i="2"/>
  <c r="A1963" i="2"/>
  <c r="B1962" i="2"/>
  <c r="A1962" i="2"/>
  <c r="B1961" i="2"/>
  <c r="A1961" i="2"/>
  <c r="B1960" i="2"/>
  <c r="A1960" i="2"/>
  <c r="B1959" i="2"/>
  <c r="A1959" i="2"/>
  <c r="B1958" i="2"/>
  <c r="A1958" i="2"/>
  <c r="B1957" i="2"/>
  <c r="A1957" i="2"/>
  <c r="B1956" i="2"/>
  <c r="A1956" i="2"/>
  <c r="B1955" i="2"/>
  <c r="A1955" i="2"/>
  <c r="B1954" i="2"/>
  <c r="A1954" i="2"/>
  <c r="B1953" i="2"/>
  <c r="A1953" i="2"/>
  <c r="B1952" i="2"/>
  <c r="A1952" i="2"/>
  <c r="B1951" i="2"/>
  <c r="A1951" i="2"/>
  <c r="B1950" i="2"/>
  <c r="A1950" i="2"/>
  <c r="B1949" i="2"/>
  <c r="A1949" i="2"/>
  <c r="B1948" i="2"/>
  <c r="A1948" i="2"/>
  <c r="B1947" i="2"/>
  <c r="A1947" i="2"/>
  <c r="B1946" i="2"/>
  <c r="A1946" i="2"/>
  <c r="B1945" i="2"/>
  <c r="A1945" i="2"/>
  <c r="B1944" i="2"/>
  <c r="A1944" i="2"/>
  <c r="B1943" i="2"/>
  <c r="A1943" i="2"/>
  <c r="B1942" i="2"/>
  <c r="A1942" i="2"/>
  <c r="B1941" i="2"/>
  <c r="A1941" i="2"/>
  <c r="B1940" i="2"/>
  <c r="A1940" i="2"/>
  <c r="B1939" i="2"/>
  <c r="A1939" i="2"/>
  <c r="B1938" i="2"/>
  <c r="A1938" i="2"/>
  <c r="B1937" i="2"/>
  <c r="A1937" i="2"/>
  <c r="B1936" i="2"/>
  <c r="A1936" i="2"/>
  <c r="B1935" i="2"/>
  <c r="A1935" i="2"/>
  <c r="B1934" i="2"/>
  <c r="A1934" i="2"/>
  <c r="B1933" i="2"/>
  <c r="A1933" i="2"/>
  <c r="B1932" i="2"/>
  <c r="A1932" i="2"/>
  <c r="B1931" i="2"/>
  <c r="A1931" i="2"/>
  <c r="B1930" i="2"/>
  <c r="A1930" i="2"/>
  <c r="B1929" i="2"/>
  <c r="A1929" i="2"/>
  <c r="B1928" i="2"/>
  <c r="A1928" i="2"/>
  <c r="B1927" i="2"/>
  <c r="A1927" i="2"/>
  <c r="B1926" i="2"/>
  <c r="A1926" i="2"/>
  <c r="B1925" i="2"/>
  <c r="A1925" i="2"/>
  <c r="B1924" i="2"/>
  <c r="A1924" i="2"/>
  <c r="B1923" i="2"/>
  <c r="A1923" i="2"/>
  <c r="B1922" i="2"/>
  <c r="A1922" i="2"/>
  <c r="B1921" i="2"/>
  <c r="A1921" i="2"/>
  <c r="B1920" i="2"/>
  <c r="A1920" i="2"/>
  <c r="B1919" i="2"/>
  <c r="A1919" i="2"/>
  <c r="B1918" i="2"/>
  <c r="A1918" i="2"/>
  <c r="B1917" i="2"/>
  <c r="A1917" i="2"/>
  <c r="B1916" i="2"/>
  <c r="A1916" i="2"/>
  <c r="B1915" i="2"/>
  <c r="A1915" i="2"/>
  <c r="B1914" i="2"/>
  <c r="A1914" i="2"/>
  <c r="B1913" i="2"/>
  <c r="A1913" i="2"/>
  <c r="B1912" i="2"/>
  <c r="A1912" i="2"/>
  <c r="B1911" i="2"/>
  <c r="A1911" i="2"/>
  <c r="B1910" i="2"/>
  <c r="A1910" i="2"/>
  <c r="B1909" i="2"/>
  <c r="A1909" i="2"/>
  <c r="B1908" i="2"/>
  <c r="A1908" i="2"/>
  <c r="B1907" i="2"/>
  <c r="A1907" i="2"/>
  <c r="B1906" i="2"/>
  <c r="A1906" i="2"/>
  <c r="B1905" i="2"/>
  <c r="A1905" i="2"/>
  <c r="B1904" i="2"/>
  <c r="A1904" i="2"/>
  <c r="B1903" i="2"/>
  <c r="A1903" i="2"/>
  <c r="B1902" i="2"/>
  <c r="A1902" i="2"/>
  <c r="B1901" i="2"/>
  <c r="A1901" i="2"/>
  <c r="B1900" i="2"/>
  <c r="A1900" i="2"/>
  <c r="B1899" i="2"/>
  <c r="A1899" i="2"/>
  <c r="B1898" i="2"/>
  <c r="A1898" i="2"/>
  <c r="B1897" i="2"/>
  <c r="A1897" i="2"/>
  <c r="B1896" i="2"/>
  <c r="A1896" i="2"/>
  <c r="B1895" i="2"/>
  <c r="A1895" i="2"/>
  <c r="B1894" i="2"/>
  <c r="A1894" i="2"/>
  <c r="B1893" i="2"/>
  <c r="A1893" i="2"/>
  <c r="B1892" i="2"/>
  <c r="A1892" i="2"/>
  <c r="B1891" i="2"/>
  <c r="A1891" i="2"/>
  <c r="B1890" i="2"/>
  <c r="A1890" i="2"/>
  <c r="B1889" i="2"/>
  <c r="A1889" i="2"/>
  <c r="B1888" i="2"/>
  <c r="A1888" i="2"/>
  <c r="B1887" i="2"/>
  <c r="A1887" i="2"/>
  <c r="B1886" i="2"/>
  <c r="A1886" i="2"/>
  <c r="B1885" i="2"/>
  <c r="A1885" i="2"/>
  <c r="B1884" i="2"/>
  <c r="A1884" i="2"/>
  <c r="B1883" i="2"/>
  <c r="A1883" i="2"/>
  <c r="B1882" i="2"/>
  <c r="A1882" i="2"/>
  <c r="B1881" i="2"/>
  <c r="A1881" i="2"/>
  <c r="B1880" i="2"/>
  <c r="A1880" i="2"/>
  <c r="B1879" i="2"/>
  <c r="A1879" i="2"/>
  <c r="B1878" i="2"/>
  <c r="A1878" i="2"/>
  <c r="B1877" i="2"/>
  <c r="A1877" i="2"/>
  <c r="B1876" i="2"/>
  <c r="A1876" i="2"/>
  <c r="B1875" i="2"/>
  <c r="A1875" i="2"/>
  <c r="B1874" i="2"/>
  <c r="A1874" i="2"/>
  <c r="B1873" i="2"/>
  <c r="A1873" i="2"/>
  <c r="B1872" i="2"/>
  <c r="A1872" i="2"/>
  <c r="B1871" i="2"/>
  <c r="A1871" i="2"/>
  <c r="B1870" i="2"/>
  <c r="A1870" i="2"/>
  <c r="B1869" i="2"/>
  <c r="A1869" i="2"/>
  <c r="B1868" i="2"/>
  <c r="A1868" i="2"/>
  <c r="B1867" i="2"/>
  <c r="A1867" i="2"/>
  <c r="B1866" i="2"/>
  <c r="A1866" i="2"/>
  <c r="B1865" i="2"/>
  <c r="A1865" i="2"/>
  <c r="B1864" i="2"/>
  <c r="A1864" i="2"/>
  <c r="B1863" i="2"/>
  <c r="A1863" i="2"/>
  <c r="B1862" i="2"/>
  <c r="A1862" i="2"/>
  <c r="B1861" i="2"/>
  <c r="A1861" i="2"/>
  <c r="B1860" i="2"/>
  <c r="A1860" i="2"/>
  <c r="B1859" i="2"/>
  <c r="A1859" i="2"/>
  <c r="B1858" i="2"/>
  <c r="A1858" i="2"/>
  <c r="B1857" i="2"/>
  <c r="A1857" i="2"/>
  <c r="B1856" i="2"/>
  <c r="A1856" i="2"/>
  <c r="B1855" i="2"/>
  <c r="A1855" i="2"/>
  <c r="B1854" i="2"/>
  <c r="A1854" i="2"/>
  <c r="B1853" i="2"/>
  <c r="A1853" i="2"/>
  <c r="B1852" i="2"/>
  <c r="A1852" i="2"/>
  <c r="B1851" i="2"/>
  <c r="A1851" i="2"/>
  <c r="B1850" i="2"/>
  <c r="A1850" i="2"/>
  <c r="B1849" i="2"/>
  <c r="A1849" i="2"/>
  <c r="B1848" i="2"/>
  <c r="A1848" i="2"/>
  <c r="B1847" i="2"/>
  <c r="A1847" i="2"/>
  <c r="B1846" i="2"/>
  <c r="A1846" i="2"/>
  <c r="B1845" i="2"/>
  <c r="A1845" i="2"/>
  <c r="B1844" i="2"/>
  <c r="A1844" i="2"/>
  <c r="B1843" i="2"/>
  <c r="A1843" i="2"/>
  <c r="B1842" i="2"/>
  <c r="A1842" i="2"/>
  <c r="B1841" i="2"/>
  <c r="A1841" i="2"/>
  <c r="B1840" i="2"/>
  <c r="A1840" i="2"/>
  <c r="B1839" i="2"/>
  <c r="A1839" i="2"/>
  <c r="B1838" i="2"/>
  <c r="A1838" i="2"/>
  <c r="B1837" i="2"/>
  <c r="A1837" i="2"/>
  <c r="B1836" i="2"/>
  <c r="A1836" i="2"/>
  <c r="B1835" i="2"/>
  <c r="A1835" i="2"/>
  <c r="B1834" i="2"/>
  <c r="A1834" i="2"/>
  <c r="B1833" i="2"/>
  <c r="A1833" i="2"/>
  <c r="B1832" i="2"/>
  <c r="A1832" i="2"/>
  <c r="B1831" i="2"/>
  <c r="A1831" i="2"/>
  <c r="B1830" i="2"/>
  <c r="A1830" i="2"/>
  <c r="B1829" i="2"/>
  <c r="A1829" i="2"/>
  <c r="B1828" i="2"/>
  <c r="A1828" i="2"/>
  <c r="B1827" i="2"/>
  <c r="A1827" i="2"/>
  <c r="B1826" i="2"/>
  <c r="A1826" i="2"/>
  <c r="B1825" i="2"/>
  <c r="A1825" i="2"/>
  <c r="B1824" i="2"/>
  <c r="A1824" i="2"/>
  <c r="B1823" i="2"/>
  <c r="A1823" i="2"/>
  <c r="B1822" i="2"/>
  <c r="A1822" i="2"/>
  <c r="B1821" i="2"/>
  <c r="A1821" i="2"/>
  <c r="B1820" i="2"/>
  <c r="A1820" i="2"/>
  <c r="B1819" i="2"/>
  <c r="A1819" i="2"/>
  <c r="B1818" i="2"/>
  <c r="A1818" i="2"/>
  <c r="B1817" i="2"/>
  <c r="A1817" i="2"/>
  <c r="B1816" i="2"/>
  <c r="A1816" i="2"/>
  <c r="B1815" i="2"/>
  <c r="A1815" i="2"/>
  <c r="B1814" i="2"/>
  <c r="A1814" i="2"/>
  <c r="B1813" i="2"/>
  <c r="A1813" i="2"/>
  <c r="B1812" i="2"/>
  <c r="A1812" i="2"/>
  <c r="B1811" i="2"/>
  <c r="A1811" i="2"/>
  <c r="B1810" i="2"/>
  <c r="A1810" i="2"/>
  <c r="B1809" i="2"/>
  <c r="A1809" i="2"/>
  <c r="B1808" i="2"/>
  <c r="A1808" i="2"/>
  <c r="B1807" i="2"/>
  <c r="A1807" i="2"/>
  <c r="B1806" i="2"/>
  <c r="A1806" i="2"/>
  <c r="B1805" i="2"/>
  <c r="A1805" i="2"/>
  <c r="B1804" i="2"/>
  <c r="A1804" i="2"/>
  <c r="B1803" i="2"/>
  <c r="A1803" i="2"/>
  <c r="B1802" i="2"/>
  <c r="A1802" i="2"/>
  <c r="B1801" i="2"/>
  <c r="A1801" i="2"/>
  <c r="B1800" i="2"/>
  <c r="A1800" i="2"/>
  <c r="B1799" i="2"/>
  <c r="A1799" i="2"/>
  <c r="B1798" i="2"/>
  <c r="A1798" i="2"/>
  <c r="B1797" i="2"/>
  <c r="A1797" i="2"/>
  <c r="B1796" i="2"/>
  <c r="A1796" i="2"/>
  <c r="B1795" i="2"/>
  <c r="A1795" i="2"/>
  <c r="B1794" i="2"/>
  <c r="A1794" i="2"/>
  <c r="B1793" i="2"/>
  <c r="A1793" i="2"/>
  <c r="B1792" i="2"/>
  <c r="A1792" i="2"/>
  <c r="B1791" i="2"/>
  <c r="A1791" i="2"/>
  <c r="B1790" i="2"/>
  <c r="A1790" i="2"/>
  <c r="B1789" i="2"/>
  <c r="A1789" i="2"/>
  <c r="B1788" i="2"/>
  <c r="A1788" i="2"/>
  <c r="B1787" i="2"/>
  <c r="A1787" i="2"/>
  <c r="B1786" i="2"/>
  <c r="A1786" i="2"/>
  <c r="B1785" i="2"/>
  <c r="A1785" i="2"/>
  <c r="B1784" i="2"/>
  <c r="A1784" i="2"/>
  <c r="B1783" i="2"/>
  <c r="A1783" i="2"/>
  <c r="B1782" i="2"/>
  <c r="A1782" i="2"/>
  <c r="B1781" i="2"/>
  <c r="A1781" i="2"/>
  <c r="B1780" i="2"/>
  <c r="A1780" i="2"/>
  <c r="B1779" i="2"/>
  <c r="A1779" i="2"/>
  <c r="B1778" i="2"/>
  <c r="A1778" i="2"/>
  <c r="B1777" i="2"/>
  <c r="A1777" i="2"/>
  <c r="B1776" i="2"/>
  <c r="A1776" i="2"/>
  <c r="B1775" i="2"/>
  <c r="A1775" i="2"/>
  <c r="B1774" i="2"/>
  <c r="A1774" i="2"/>
  <c r="B1773" i="2"/>
  <c r="A1773" i="2"/>
  <c r="B1772" i="2"/>
  <c r="A1772" i="2"/>
  <c r="B1771" i="2"/>
  <c r="A1771" i="2"/>
  <c r="B1770" i="2"/>
  <c r="A1770" i="2"/>
  <c r="B1769" i="2"/>
  <c r="A1769" i="2"/>
  <c r="B1768" i="2"/>
  <c r="A1768" i="2"/>
  <c r="B1767" i="2"/>
  <c r="A1767" i="2"/>
  <c r="B1766" i="2"/>
  <c r="A1766" i="2"/>
  <c r="B1765" i="2"/>
  <c r="A1765" i="2"/>
  <c r="B1764" i="2"/>
  <c r="A1764" i="2"/>
  <c r="B1763" i="2"/>
  <c r="A1763" i="2"/>
  <c r="B1762" i="2"/>
  <c r="A1762" i="2"/>
  <c r="B1761" i="2"/>
  <c r="A1761" i="2"/>
  <c r="B1760" i="2"/>
  <c r="A1760" i="2"/>
  <c r="B1759" i="2"/>
  <c r="A1759" i="2"/>
  <c r="B1758" i="2"/>
  <c r="A1758" i="2"/>
  <c r="B1757" i="2"/>
  <c r="A1757" i="2"/>
  <c r="B1756" i="2"/>
  <c r="A1756" i="2"/>
  <c r="B1755" i="2"/>
  <c r="A1755" i="2"/>
  <c r="B1754" i="2"/>
  <c r="A1754" i="2"/>
  <c r="B1753" i="2"/>
  <c r="A1753" i="2"/>
  <c r="B1752" i="2"/>
  <c r="A1752" i="2"/>
  <c r="B1751" i="2"/>
  <c r="A1751" i="2"/>
  <c r="B1750" i="2"/>
  <c r="A1750" i="2"/>
  <c r="B1749" i="2"/>
  <c r="A1749" i="2"/>
  <c r="B1748" i="2"/>
  <c r="A1748" i="2"/>
  <c r="B1747" i="2"/>
  <c r="A1747" i="2"/>
  <c r="B1746" i="2"/>
  <c r="A1746" i="2"/>
  <c r="B1745" i="2"/>
  <c r="A1745" i="2"/>
  <c r="B1744" i="2"/>
  <c r="A1744" i="2"/>
  <c r="B1743" i="2"/>
  <c r="A1743" i="2"/>
  <c r="B1742" i="2"/>
  <c r="A1742" i="2"/>
  <c r="B1741" i="2"/>
  <c r="A1741" i="2"/>
  <c r="B1740" i="2"/>
  <c r="A1740" i="2"/>
  <c r="B1739" i="2"/>
  <c r="A1739" i="2"/>
  <c r="B1738" i="2"/>
  <c r="A1738" i="2"/>
  <c r="B1737" i="2"/>
  <c r="A1737" i="2"/>
  <c r="B1736" i="2"/>
  <c r="A1736" i="2"/>
  <c r="B1735" i="2"/>
  <c r="A1735" i="2"/>
  <c r="B1734" i="2"/>
  <c r="A1734" i="2"/>
  <c r="B1733" i="2"/>
  <c r="A1733" i="2"/>
  <c r="B1732" i="2"/>
  <c r="A1732" i="2"/>
  <c r="B1731" i="2"/>
  <c r="A1731" i="2"/>
  <c r="B1730" i="2"/>
  <c r="A1730" i="2"/>
  <c r="B1729" i="2"/>
  <c r="A1729" i="2"/>
  <c r="B1728" i="2"/>
  <c r="A1728" i="2"/>
  <c r="B1727" i="2"/>
  <c r="A1727" i="2"/>
  <c r="B1726" i="2"/>
  <c r="A1726" i="2"/>
  <c r="B1725" i="2"/>
  <c r="A1725" i="2"/>
  <c r="B1724" i="2"/>
  <c r="A1724" i="2"/>
  <c r="B1723" i="2"/>
  <c r="A1723" i="2"/>
  <c r="B1722" i="2"/>
  <c r="A1722" i="2"/>
  <c r="B1721" i="2"/>
  <c r="A1721" i="2"/>
  <c r="B1720" i="2"/>
  <c r="A1720" i="2"/>
  <c r="B1719" i="2"/>
  <c r="A1719" i="2"/>
  <c r="B1718" i="2"/>
  <c r="A1718" i="2"/>
  <c r="B1717" i="2"/>
  <c r="A1717" i="2"/>
  <c r="B1716" i="2"/>
  <c r="A1716" i="2"/>
  <c r="B1715" i="2"/>
  <c r="A1715" i="2"/>
  <c r="B1714" i="2"/>
  <c r="A1714" i="2"/>
  <c r="B1713" i="2"/>
  <c r="A1713" i="2"/>
  <c r="B1712" i="2"/>
  <c r="A1712" i="2"/>
  <c r="B1711" i="2"/>
  <c r="A1711" i="2"/>
  <c r="B1710" i="2"/>
  <c r="A1710" i="2"/>
  <c r="B1709" i="2"/>
  <c r="A1709" i="2"/>
  <c r="B1708" i="2"/>
  <c r="A1708" i="2"/>
  <c r="B1707" i="2"/>
  <c r="A1707" i="2"/>
  <c r="B1706" i="2"/>
  <c r="A1706" i="2"/>
  <c r="B1705" i="2"/>
  <c r="A1705" i="2"/>
  <c r="B1704" i="2"/>
  <c r="A1704" i="2"/>
  <c r="B1703" i="2"/>
  <c r="A1703" i="2"/>
  <c r="B1702" i="2"/>
  <c r="A1702" i="2"/>
  <c r="B1701" i="2"/>
  <c r="A1701" i="2"/>
  <c r="B1700" i="2"/>
  <c r="A1700" i="2"/>
  <c r="B1699" i="2"/>
  <c r="A1699" i="2"/>
  <c r="B1698" i="2"/>
  <c r="A1698" i="2"/>
  <c r="B1697" i="2"/>
  <c r="A1697" i="2"/>
  <c r="B1696" i="2"/>
  <c r="A1696" i="2"/>
  <c r="B1695" i="2"/>
  <c r="A1695" i="2"/>
  <c r="B1694" i="2"/>
  <c r="A1694" i="2"/>
  <c r="B1693" i="2"/>
  <c r="A1693" i="2"/>
  <c r="B1692" i="2"/>
  <c r="A1692" i="2"/>
  <c r="B1691" i="2"/>
  <c r="A1691" i="2"/>
  <c r="B1690" i="2"/>
  <c r="A1690" i="2"/>
  <c r="B1689" i="2"/>
  <c r="A1689" i="2"/>
  <c r="B1688" i="2"/>
  <c r="A1688" i="2"/>
  <c r="B1687" i="2"/>
  <c r="A1687" i="2"/>
  <c r="B1686" i="2"/>
  <c r="A1686" i="2"/>
  <c r="B1685" i="2"/>
  <c r="A1685" i="2"/>
  <c r="B1684" i="2"/>
  <c r="A1684" i="2"/>
  <c r="B1683" i="2"/>
  <c r="A1683" i="2"/>
  <c r="B1682" i="2"/>
  <c r="A1682" i="2"/>
  <c r="B1681" i="2"/>
  <c r="A1681" i="2"/>
  <c r="B1680" i="2"/>
  <c r="A1680" i="2"/>
  <c r="B1679" i="2"/>
  <c r="A1679" i="2"/>
  <c r="B1678" i="2"/>
  <c r="A1678" i="2"/>
  <c r="B1677" i="2"/>
  <c r="A1677" i="2"/>
  <c r="B1676" i="2"/>
  <c r="A1676" i="2"/>
  <c r="B1675" i="2"/>
  <c r="A1675" i="2"/>
  <c r="B1674" i="2"/>
  <c r="A1674" i="2"/>
  <c r="B1673" i="2"/>
  <c r="A1673" i="2"/>
  <c r="B1672" i="2"/>
  <c r="A1672" i="2"/>
  <c r="B1671" i="2"/>
  <c r="A1671" i="2"/>
  <c r="B1670" i="2"/>
  <c r="A1670" i="2"/>
  <c r="B1669" i="2"/>
  <c r="A1669" i="2"/>
  <c r="B1668" i="2"/>
  <c r="A1668" i="2"/>
  <c r="B1667" i="2"/>
  <c r="A1667" i="2"/>
  <c r="B1666" i="2"/>
  <c r="A1666" i="2"/>
  <c r="B1665" i="2"/>
  <c r="A1665" i="2"/>
  <c r="B1664" i="2"/>
  <c r="A1664" i="2"/>
  <c r="B1663" i="2"/>
  <c r="A1663" i="2"/>
  <c r="B1662" i="2"/>
  <c r="A1662" i="2"/>
  <c r="B1661" i="2"/>
  <c r="A1661" i="2"/>
  <c r="B1660" i="2"/>
  <c r="A1660" i="2"/>
  <c r="B1659" i="2"/>
  <c r="A1659" i="2"/>
  <c r="B1658" i="2"/>
  <c r="A1658" i="2"/>
  <c r="B1657" i="2"/>
  <c r="A1657" i="2"/>
  <c r="B1656" i="2"/>
  <c r="A1656" i="2"/>
  <c r="B1655" i="2"/>
  <c r="A1655" i="2"/>
  <c r="B1654" i="2"/>
  <c r="A1654" i="2"/>
  <c r="B1653" i="2"/>
  <c r="A1653" i="2"/>
  <c r="B1652" i="2"/>
  <c r="A1652" i="2"/>
  <c r="B1651" i="2"/>
  <c r="A1651" i="2"/>
  <c r="B1650" i="2"/>
  <c r="A1650" i="2"/>
  <c r="B1649" i="2"/>
  <c r="A1649" i="2"/>
  <c r="B1648" i="2"/>
  <c r="A1648" i="2"/>
  <c r="B1647" i="2"/>
  <c r="A1647" i="2"/>
  <c r="B1646" i="2"/>
  <c r="A1646" i="2"/>
  <c r="B1645" i="2"/>
  <c r="A1645" i="2"/>
  <c r="B1644" i="2"/>
  <c r="A1644" i="2"/>
  <c r="B1643" i="2"/>
  <c r="A1643" i="2"/>
  <c r="B1642" i="2"/>
  <c r="A1642" i="2"/>
  <c r="B1641" i="2"/>
  <c r="A1641" i="2"/>
  <c r="B1640" i="2"/>
  <c r="A1640" i="2"/>
  <c r="B1639" i="2"/>
  <c r="A1639" i="2"/>
  <c r="B1638" i="2"/>
  <c r="A1638" i="2"/>
  <c r="B1637" i="2"/>
  <c r="A1637" i="2"/>
  <c r="B1636" i="2"/>
  <c r="A1636" i="2"/>
  <c r="B1635" i="2"/>
  <c r="A1635" i="2"/>
  <c r="B1634" i="2"/>
  <c r="A1634" i="2"/>
  <c r="B1633" i="2"/>
  <c r="A1633" i="2"/>
  <c r="B1632" i="2"/>
  <c r="A1632" i="2"/>
  <c r="B1631" i="2"/>
  <c r="A1631" i="2"/>
  <c r="B1630" i="2"/>
  <c r="A1630" i="2"/>
  <c r="B1629" i="2"/>
  <c r="A1629" i="2"/>
  <c r="B1628" i="2"/>
  <c r="A1628" i="2"/>
  <c r="B1627" i="2"/>
  <c r="A1627" i="2"/>
  <c r="B1626" i="2"/>
  <c r="A1626" i="2"/>
  <c r="B1625" i="2"/>
  <c r="A1625" i="2"/>
  <c r="B1624" i="2"/>
  <c r="A1624" i="2"/>
  <c r="B1623" i="2"/>
  <c r="A1623" i="2"/>
  <c r="B1622" i="2"/>
  <c r="A1622" i="2"/>
  <c r="B1621" i="2"/>
  <c r="A1621" i="2"/>
  <c r="B1620" i="2"/>
  <c r="A1620" i="2"/>
  <c r="B1619" i="2"/>
  <c r="A1619" i="2"/>
  <c r="B1618" i="2"/>
  <c r="A1618" i="2"/>
  <c r="B1617" i="2"/>
  <c r="A1617" i="2"/>
  <c r="B1616" i="2"/>
  <c r="A1616" i="2"/>
  <c r="B1615" i="2"/>
  <c r="A1615" i="2"/>
  <c r="B1614" i="2"/>
  <c r="A1614" i="2"/>
  <c r="B1613" i="2"/>
  <c r="A1613" i="2"/>
  <c r="B1612" i="2"/>
  <c r="A1612" i="2"/>
  <c r="B1611" i="2"/>
  <c r="A1611" i="2"/>
  <c r="B1610" i="2"/>
  <c r="A1610" i="2"/>
  <c r="B1609" i="2"/>
  <c r="A1609" i="2"/>
  <c r="B1608" i="2"/>
  <c r="A1608" i="2"/>
  <c r="B1607" i="2"/>
  <c r="A1607" i="2"/>
  <c r="B1606" i="2"/>
  <c r="A1606" i="2"/>
  <c r="B1605" i="2"/>
  <c r="A1605" i="2"/>
  <c r="B1604" i="2"/>
  <c r="A1604" i="2"/>
  <c r="B1603" i="2"/>
  <c r="A1603" i="2"/>
  <c r="B1602" i="2"/>
  <c r="A1602" i="2"/>
  <c r="B1601" i="2"/>
  <c r="A1601" i="2"/>
  <c r="B1600" i="2"/>
  <c r="A1600" i="2"/>
  <c r="B1599" i="2"/>
  <c r="A1599" i="2"/>
  <c r="B1598" i="2"/>
  <c r="A1598" i="2"/>
  <c r="B1597" i="2"/>
  <c r="A1597" i="2"/>
  <c r="B1596" i="2"/>
  <c r="A1596" i="2"/>
  <c r="B1595" i="2"/>
  <c r="A1595" i="2"/>
  <c r="B1594" i="2"/>
  <c r="A1594" i="2"/>
  <c r="B1593" i="2"/>
  <c r="A1593" i="2"/>
  <c r="B1592" i="2"/>
  <c r="A1592" i="2"/>
  <c r="B1591" i="2"/>
  <c r="A1591" i="2"/>
  <c r="B1590" i="2"/>
  <c r="A1590" i="2"/>
  <c r="B1589" i="2"/>
  <c r="A1589" i="2"/>
  <c r="B1588" i="2"/>
  <c r="A1588" i="2"/>
  <c r="B1587" i="2"/>
  <c r="A1587" i="2"/>
  <c r="B1586" i="2"/>
  <c r="A1586" i="2"/>
  <c r="B1585" i="2"/>
  <c r="A1585" i="2"/>
  <c r="B1584" i="2"/>
  <c r="A1584" i="2"/>
  <c r="B1583" i="2"/>
  <c r="A1583" i="2"/>
  <c r="B1582" i="2"/>
  <c r="A1582" i="2"/>
  <c r="B1581" i="2"/>
  <c r="A1581" i="2"/>
  <c r="B1580" i="2"/>
  <c r="A1580" i="2"/>
  <c r="B1579" i="2"/>
  <c r="A1579" i="2"/>
  <c r="B1578" i="2"/>
  <c r="A1578" i="2"/>
  <c r="B1577" i="2"/>
  <c r="A1577" i="2"/>
  <c r="B1576" i="2"/>
  <c r="A1576" i="2"/>
  <c r="B1575" i="2"/>
  <c r="A1575" i="2"/>
  <c r="B1574" i="2"/>
  <c r="A1574" i="2"/>
  <c r="B1573" i="2"/>
  <c r="A1573" i="2"/>
  <c r="B1572" i="2"/>
  <c r="A1572" i="2"/>
  <c r="B1571" i="2"/>
  <c r="A1571" i="2"/>
  <c r="B1570" i="2"/>
  <c r="A1570" i="2"/>
  <c r="B1569" i="2"/>
  <c r="A1569" i="2"/>
  <c r="B1568" i="2"/>
  <c r="A1568" i="2"/>
  <c r="B1567" i="2"/>
  <c r="A1567" i="2"/>
  <c r="B1566" i="2"/>
  <c r="A1566" i="2"/>
  <c r="B1565" i="2"/>
  <c r="A1565" i="2"/>
  <c r="B1564" i="2"/>
  <c r="A1564" i="2"/>
  <c r="B1563" i="2"/>
  <c r="A1563" i="2"/>
  <c r="B1562" i="2"/>
  <c r="A1562" i="2"/>
  <c r="B1561" i="2"/>
  <c r="A1561" i="2"/>
  <c r="B1560" i="2"/>
  <c r="A1560" i="2"/>
  <c r="B1559" i="2"/>
  <c r="A1559" i="2"/>
  <c r="B1558" i="2"/>
  <c r="A1558" i="2"/>
  <c r="B1557" i="2"/>
  <c r="A1557" i="2"/>
  <c r="B1556" i="2"/>
  <c r="A1556" i="2"/>
  <c r="B1555" i="2"/>
  <c r="A1555" i="2"/>
  <c r="B1554" i="2"/>
  <c r="A1554" i="2"/>
  <c r="B1553" i="2"/>
  <c r="A1553" i="2"/>
  <c r="B1552" i="2"/>
  <c r="A1552" i="2"/>
  <c r="B1551" i="2"/>
  <c r="A1551" i="2"/>
  <c r="B1550" i="2"/>
  <c r="A1550" i="2"/>
  <c r="B1549" i="2"/>
  <c r="A1549" i="2"/>
  <c r="B1548" i="2"/>
  <c r="A1548" i="2"/>
  <c r="B1547" i="2"/>
  <c r="A1547" i="2"/>
  <c r="B1546" i="2"/>
  <c r="A1546" i="2"/>
  <c r="B1545" i="2"/>
  <c r="A1545" i="2"/>
  <c r="B1544" i="2"/>
  <c r="A1544" i="2"/>
  <c r="B1543" i="2"/>
  <c r="A1543" i="2"/>
  <c r="B1542" i="2"/>
  <c r="A1542" i="2"/>
  <c r="B1541" i="2"/>
  <c r="A1541" i="2"/>
  <c r="B1540" i="2"/>
  <c r="A1540" i="2"/>
  <c r="B1539" i="2"/>
  <c r="A1539" i="2"/>
  <c r="B1538" i="2"/>
  <c r="A1538" i="2"/>
  <c r="B1537" i="2"/>
  <c r="A1537" i="2"/>
  <c r="B1536" i="2"/>
  <c r="A1536" i="2"/>
  <c r="B1535" i="2"/>
  <c r="A1535" i="2"/>
  <c r="B1534" i="2"/>
  <c r="A1534" i="2"/>
  <c r="B1533" i="2"/>
  <c r="A1533" i="2"/>
  <c r="B1532" i="2"/>
  <c r="A1532" i="2"/>
  <c r="B1531" i="2"/>
  <c r="A1531" i="2"/>
  <c r="B1530" i="2"/>
  <c r="A1530" i="2"/>
  <c r="B1529" i="2"/>
  <c r="A1529" i="2"/>
  <c r="B1528" i="2"/>
  <c r="A1528" i="2"/>
  <c r="B1527" i="2"/>
  <c r="A1527" i="2"/>
  <c r="B1526" i="2"/>
  <c r="A1526" i="2"/>
  <c r="B1525" i="2"/>
  <c r="A1525" i="2"/>
  <c r="B1524" i="2"/>
  <c r="A1524" i="2"/>
  <c r="B1523" i="2"/>
  <c r="A1523" i="2"/>
  <c r="B1522" i="2"/>
  <c r="A1522" i="2"/>
  <c r="B1521" i="2"/>
  <c r="A1521" i="2"/>
  <c r="B1520" i="2"/>
  <c r="A1520" i="2"/>
  <c r="B1519" i="2"/>
  <c r="A1519" i="2"/>
  <c r="B1518" i="2"/>
  <c r="A1518" i="2"/>
  <c r="B1517" i="2"/>
  <c r="A1517" i="2"/>
  <c r="B1516" i="2"/>
  <c r="A1516" i="2"/>
  <c r="B1515" i="2"/>
  <c r="A1515" i="2"/>
  <c r="B1514" i="2"/>
  <c r="A1514" i="2"/>
  <c r="B1513" i="2"/>
  <c r="A1513" i="2"/>
  <c r="B1512" i="2"/>
  <c r="A1512" i="2"/>
  <c r="B1511" i="2"/>
  <c r="A1511" i="2"/>
  <c r="B1510" i="2"/>
  <c r="A1510" i="2"/>
  <c r="B1509" i="2"/>
  <c r="A1509" i="2"/>
  <c r="B1508" i="2"/>
  <c r="A1508" i="2"/>
  <c r="B1507" i="2"/>
  <c r="A1507" i="2"/>
  <c r="B1506" i="2"/>
  <c r="A1506" i="2"/>
  <c r="B1505" i="2"/>
  <c r="A1505" i="2"/>
  <c r="B1504" i="2"/>
  <c r="A1504" i="2"/>
  <c r="B1503" i="2"/>
  <c r="A1503" i="2"/>
  <c r="B1502" i="2"/>
  <c r="A1502" i="2"/>
  <c r="B1501" i="2"/>
  <c r="A1501" i="2"/>
  <c r="B1500" i="2"/>
  <c r="A1500" i="2"/>
  <c r="B1499" i="2"/>
  <c r="A1499" i="2"/>
  <c r="B1498" i="2"/>
  <c r="A1498" i="2"/>
  <c r="B1497" i="2"/>
  <c r="A1497" i="2"/>
  <c r="B1496" i="2"/>
  <c r="A1496" i="2"/>
  <c r="B1495" i="2"/>
  <c r="A1495" i="2"/>
  <c r="B1494" i="2"/>
  <c r="A1494" i="2"/>
  <c r="B1493" i="2"/>
  <c r="A1493" i="2"/>
  <c r="B1492" i="2"/>
  <c r="A1492" i="2"/>
  <c r="B1491" i="2"/>
  <c r="A1491" i="2"/>
  <c r="B1490" i="2"/>
  <c r="A1490" i="2"/>
  <c r="B1489" i="2"/>
  <c r="A1489" i="2"/>
  <c r="B1488" i="2"/>
  <c r="A1488" i="2"/>
  <c r="B1487" i="2"/>
  <c r="A1487" i="2"/>
  <c r="B1486" i="2"/>
  <c r="A1486" i="2"/>
  <c r="B1485" i="2"/>
  <c r="A1485" i="2"/>
  <c r="B1484" i="2"/>
  <c r="A1484" i="2"/>
  <c r="B1483" i="2"/>
  <c r="A1483" i="2"/>
  <c r="B1482" i="2"/>
  <c r="A1482" i="2"/>
  <c r="B1481" i="2"/>
  <c r="A1481" i="2"/>
  <c r="B1480" i="2"/>
  <c r="A1480" i="2"/>
  <c r="B1479" i="2"/>
  <c r="A1479" i="2"/>
  <c r="B1478" i="2"/>
  <c r="A1478" i="2"/>
  <c r="B1477" i="2"/>
  <c r="A1477" i="2"/>
  <c r="B1476" i="2"/>
  <c r="A1476" i="2"/>
  <c r="B1475" i="2"/>
  <c r="A1475" i="2"/>
  <c r="B1474" i="2"/>
  <c r="A1474" i="2"/>
  <c r="B1473" i="2"/>
  <c r="A1473" i="2"/>
  <c r="B1472" i="2"/>
  <c r="A1472" i="2"/>
  <c r="B1471" i="2"/>
  <c r="A1471" i="2"/>
  <c r="B1470" i="2"/>
  <c r="A1470" i="2"/>
  <c r="B1469" i="2"/>
  <c r="A1469" i="2"/>
  <c r="B1468" i="2"/>
  <c r="A1468" i="2"/>
  <c r="B1467" i="2"/>
  <c r="A1467" i="2"/>
  <c r="B1466" i="2"/>
  <c r="A1466" i="2"/>
  <c r="B1465" i="2"/>
  <c r="A1465" i="2"/>
  <c r="B1464" i="2"/>
  <c r="A1464" i="2"/>
  <c r="B1463" i="2"/>
  <c r="A1463" i="2"/>
  <c r="B1462" i="2"/>
  <c r="A1462" i="2"/>
  <c r="B1461" i="2"/>
  <c r="A1461" i="2"/>
  <c r="B1460" i="2"/>
  <c r="A1460" i="2"/>
  <c r="B1459" i="2"/>
  <c r="A1459" i="2"/>
  <c r="B1458" i="2"/>
  <c r="A1458" i="2"/>
  <c r="B1457" i="2"/>
  <c r="A1457" i="2"/>
  <c r="B1456" i="2"/>
  <c r="A1456" i="2"/>
  <c r="B1455" i="2"/>
  <c r="A1455" i="2"/>
  <c r="B1454" i="2"/>
  <c r="A1454" i="2"/>
  <c r="B1453" i="2"/>
  <c r="A1453" i="2"/>
  <c r="B1452" i="2"/>
  <c r="A1452" i="2"/>
  <c r="B1451" i="2"/>
  <c r="A1451" i="2"/>
  <c r="B1450" i="2"/>
  <c r="A1450" i="2"/>
  <c r="B1449" i="2"/>
  <c r="A1449" i="2"/>
  <c r="B1448" i="2"/>
  <c r="A1448" i="2"/>
  <c r="B1447" i="2"/>
  <c r="A1447" i="2"/>
  <c r="B1446" i="2"/>
  <c r="A1446" i="2"/>
  <c r="B1445" i="2"/>
  <c r="A1445" i="2"/>
  <c r="B1444" i="2"/>
  <c r="A1444" i="2"/>
  <c r="B1443" i="2"/>
  <c r="A1443" i="2"/>
  <c r="B1442" i="2"/>
  <c r="A1442" i="2"/>
  <c r="B1441" i="2"/>
  <c r="A1441" i="2"/>
  <c r="B1440" i="2"/>
  <c r="A1440" i="2"/>
  <c r="B1439" i="2"/>
  <c r="A1439" i="2"/>
  <c r="B1438" i="2"/>
  <c r="A1438" i="2"/>
  <c r="B1437" i="2"/>
  <c r="A1437" i="2"/>
  <c r="B1436" i="2"/>
  <c r="A1436" i="2"/>
  <c r="B1435" i="2"/>
  <c r="A1435" i="2"/>
  <c r="B1434" i="2"/>
  <c r="A1434" i="2"/>
  <c r="B1433" i="2"/>
  <c r="A1433" i="2"/>
  <c r="B1432" i="2"/>
  <c r="A1432" i="2"/>
  <c r="B1431" i="2"/>
  <c r="A1431" i="2"/>
  <c r="B1430" i="2"/>
  <c r="A1430" i="2"/>
  <c r="B1429" i="2"/>
  <c r="A1429" i="2"/>
  <c r="B1428" i="2"/>
  <c r="A1428" i="2"/>
  <c r="B1427" i="2"/>
  <c r="A1427" i="2"/>
  <c r="B1426" i="2"/>
  <c r="A1426" i="2"/>
  <c r="B1425" i="2"/>
  <c r="A1425" i="2"/>
  <c r="B1424" i="2"/>
  <c r="A1424" i="2"/>
  <c r="B1423" i="2"/>
  <c r="A1423" i="2"/>
  <c r="B1422" i="2"/>
  <c r="A1422" i="2"/>
  <c r="B1421" i="2"/>
  <c r="A1421" i="2"/>
  <c r="B1420" i="2"/>
  <c r="A1420" i="2"/>
  <c r="B1419" i="2"/>
  <c r="A1419" i="2"/>
  <c r="B1418" i="2"/>
  <c r="A1418" i="2"/>
  <c r="B1417" i="2"/>
  <c r="A1417" i="2"/>
  <c r="B1416" i="2"/>
  <c r="A1416" i="2"/>
  <c r="B1415" i="2"/>
  <c r="A1415" i="2"/>
  <c r="B1414" i="2"/>
  <c r="A1414" i="2"/>
  <c r="B1413" i="2"/>
  <c r="A1413" i="2"/>
  <c r="B1412" i="2"/>
  <c r="A1412" i="2"/>
  <c r="B1411" i="2"/>
  <c r="A1411" i="2"/>
  <c r="B1410" i="2"/>
  <c r="A1410" i="2"/>
  <c r="B1409" i="2"/>
  <c r="A1409" i="2"/>
  <c r="B1408" i="2"/>
  <c r="A1408" i="2"/>
  <c r="B1407" i="2"/>
  <c r="A1407" i="2"/>
  <c r="B1406" i="2"/>
  <c r="A1406" i="2"/>
  <c r="B1405" i="2"/>
  <c r="A1405" i="2"/>
  <c r="B1404" i="2"/>
  <c r="A1404" i="2"/>
  <c r="B1403" i="2"/>
  <c r="A1403" i="2"/>
  <c r="B1402" i="2"/>
  <c r="A1402" i="2"/>
  <c r="B1401" i="2"/>
  <c r="A1401" i="2"/>
  <c r="B1400" i="2"/>
  <c r="A1400" i="2"/>
  <c r="B1399" i="2"/>
  <c r="A1399" i="2"/>
  <c r="B1398" i="2"/>
  <c r="A1398" i="2"/>
  <c r="B1397" i="2"/>
  <c r="A1397" i="2"/>
  <c r="B1396" i="2"/>
  <c r="A1396" i="2"/>
  <c r="B1395" i="2"/>
  <c r="A1395" i="2"/>
  <c r="B1394" i="2"/>
  <c r="A1394" i="2"/>
  <c r="B1393" i="2"/>
  <c r="A1393" i="2"/>
  <c r="B1392" i="2"/>
  <c r="A1392" i="2"/>
  <c r="B1391" i="2"/>
  <c r="A1391" i="2"/>
  <c r="B1390" i="2"/>
  <c r="A1390" i="2"/>
  <c r="B1389" i="2"/>
  <c r="A1389" i="2"/>
  <c r="B1388" i="2"/>
  <c r="A1388" i="2"/>
  <c r="B1387" i="2"/>
  <c r="A1387" i="2"/>
  <c r="B1386" i="2"/>
  <c r="A1386" i="2"/>
  <c r="B1385" i="2"/>
  <c r="A1385" i="2"/>
  <c r="B1384" i="2"/>
  <c r="A1384" i="2"/>
  <c r="B1383" i="2"/>
  <c r="A1383" i="2"/>
  <c r="B1382" i="2"/>
  <c r="A1382" i="2"/>
  <c r="B1381" i="2"/>
  <c r="A1381" i="2"/>
  <c r="B1380" i="2"/>
  <c r="A1380" i="2"/>
  <c r="B1379" i="2"/>
  <c r="A1379" i="2"/>
  <c r="B1378" i="2"/>
  <c r="A1378" i="2"/>
  <c r="B1377" i="2"/>
  <c r="A1377" i="2"/>
  <c r="B1376" i="2"/>
  <c r="A1376" i="2"/>
  <c r="B1375" i="2"/>
  <c r="A1375" i="2"/>
  <c r="B1374" i="2"/>
  <c r="A1374" i="2"/>
  <c r="B1373" i="2"/>
  <c r="A1373" i="2"/>
  <c r="B1372" i="2"/>
  <c r="A1372" i="2"/>
  <c r="B1371" i="2"/>
  <c r="A1371" i="2"/>
  <c r="B1370" i="2"/>
  <c r="A1370" i="2"/>
  <c r="B1369" i="2"/>
  <c r="A1369" i="2"/>
  <c r="B1368" i="2"/>
  <c r="A1368" i="2"/>
  <c r="B1367" i="2"/>
  <c r="A1367" i="2"/>
  <c r="B1366" i="2"/>
  <c r="A1366" i="2"/>
  <c r="B1365" i="2"/>
  <c r="A1365" i="2"/>
  <c r="B1364" i="2"/>
  <c r="A1364" i="2"/>
  <c r="B1363" i="2"/>
  <c r="A1363" i="2"/>
  <c r="B1362" i="2"/>
  <c r="A1362" i="2"/>
  <c r="B1361" i="2"/>
  <c r="A1361" i="2"/>
  <c r="B1360" i="2"/>
  <c r="A1360" i="2"/>
  <c r="B1359" i="2"/>
  <c r="A1359" i="2"/>
  <c r="B1358" i="2"/>
  <c r="A1358" i="2"/>
  <c r="B1357" i="2"/>
  <c r="A1357" i="2"/>
  <c r="B1356" i="2"/>
  <c r="A1356" i="2"/>
  <c r="B1355" i="2"/>
  <c r="A1355" i="2"/>
  <c r="B1354" i="2"/>
  <c r="A1354" i="2"/>
  <c r="B1353" i="2"/>
  <c r="A1353" i="2"/>
  <c r="B1352" i="2"/>
  <c r="A1352" i="2"/>
  <c r="B1351" i="2"/>
  <c r="A1351" i="2"/>
  <c r="B1350" i="2"/>
  <c r="A1350" i="2"/>
  <c r="B1349" i="2"/>
  <c r="A1349" i="2"/>
  <c r="B1348" i="2"/>
  <c r="A1348" i="2"/>
  <c r="B1347" i="2"/>
  <c r="A1347" i="2"/>
  <c r="B1346" i="2"/>
  <c r="A1346" i="2"/>
  <c r="B1345" i="2"/>
  <c r="A1345" i="2"/>
  <c r="B1344" i="2"/>
  <c r="A1344" i="2"/>
  <c r="B1343" i="2"/>
  <c r="A1343" i="2"/>
  <c r="B1342" i="2"/>
  <c r="A1342" i="2"/>
  <c r="B1341" i="2"/>
  <c r="A1341" i="2"/>
  <c r="B1340" i="2"/>
  <c r="A1340" i="2"/>
  <c r="B1339" i="2"/>
  <c r="A1339" i="2"/>
  <c r="B1338" i="2"/>
  <c r="A1338" i="2"/>
  <c r="B1337" i="2"/>
  <c r="A1337" i="2"/>
  <c r="B1336" i="2"/>
  <c r="A1336" i="2"/>
  <c r="B1335" i="2"/>
  <c r="A1335" i="2"/>
  <c r="B1334" i="2"/>
  <c r="A1334" i="2"/>
  <c r="B1333" i="2"/>
  <c r="A1333" i="2"/>
  <c r="B1332" i="2"/>
  <c r="A1332" i="2"/>
  <c r="B1331" i="2"/>
  <c r="A1331" i="2"/>
  <c r="B1330" i="2"/>
  <c r="A1330" i="2"/>
  <c r="B1329" i="2"/>
  <c r="A1329" i="2"/>
  <c r="B1328" i="2"/>
  <c r="A1328" i="2"/>
  <c r="B1327" i="2"/>
  <c r="A1327" i="2"/>
  <c r="B1326" i="2"/>
  <c r="A1326" i="2"/>
  <c r="B1325" i="2"/>
  <c r="A1325" i="2"/>
  <c r="B1324" i="2"/>
  <c r="A1324" i="2"/>
  <c r="B1323" i="2"/>
  <c r="A1323" i="2"/>
  <c r="B1322" i="2"/>
  <c r="A1322" i="2"/>
  <c r="B1321" i="2"/>
  <c r="A1321" i="2"/>
  <c r="B1320" i="2"/>
  <c r="A1320" i="2"/>
  <c r="B1319" i="2"/>
  <c r="A1319" i="2"/>
  <c r="B1318" i="2"/>
  <c r="A1318" i="2"/>
  <c r="B1317" i="2"/>
  <c r="A1317" i="2"/>
  <c r="B1316" i="2"/>
  <c r="A1316" i="2"/>
  <c r="B1315" i="2"/>
  <c r="A1315" i="2"/>
  <c r="B1314" i="2"/>
  <c r="A1314" i="2"/>
  <c r="B1313" i="2"/>
  <c r="A1313" i="2"/>
  <c r="B1312" i="2"/>
  <c r="A1312" i="2"/>
  <c r="B1311" i="2"/>
  <c r="A1311" i="2"/>
  <c r="B1310" i="2"/>
  <c r="A1310" i="2"/>
  <c r="B1309" i="2"/>
  <c r="A1309" i="2"/>
  <c r="B1308" i="2"/>
  <c r="A1308" i="2"/>
  <c r="B1307" i="2"/>
  <c r="A1307" i="2"/>
  <c r="B1306" i="2"/>
  <c r="A1306" i="2"/>
  <c r="B1305" i="2"/>
  <c r="A1305" i="2"/>
  <c r="B1304" i="2"/>
  <c r="A1304" i="2"/>
  <c r="B1303" i="2"/>
  <c r="A1303" i="2"/>
  <c r="B1302" i="2"/>
  <c r="A1302" i="2"/>
  <c r="B1301" i="2"/>
  <c r="A1301" i="2"/>
  <c r="B1300" i="2"/>
  <c r="A1300" i="2"/>
  <c r="B1299" i="2"/>
  <c r="A1299" i="2"/>
  <c r="B1298" i="2"/>
  <c r="A1298" i="2"/>
  <c r="B1297" i="2"/>
  <c r="A1297" i="2"/>
  <c r="B1296" i="2"/>
  <c r="A1296" i="2"/>
  <c r="B1295" i="2"/>
  <c r="A1295" i="2"/>
  <c r="B1294" i="2"/>
  <c r="A1294" i="2"/>
  <c r="B1293" i="2"/>
  <c r="A1293" i="2"/>
  <c r="B1292" i="2"/>
  <c r="A1292" i="2"/>
  <c r="B1291" i="2"/>
  <c r="A1291" i="2"/>
  <c r="B1290" i="2"/>
  <c r="A1290" i="2"/>
  <c r="B1289" i="2"/>
  <c r="A1289" i="2"/>
  <c r="B1288" i="2"/>
  <c r="A1288" i="2"/>
  <c r="B1287" i="2"/>
  <c r="A1287" i="2"/>
  <c r="B1286" i="2"/>
  <c r="A1286" i="2"/>
  <c r="B1285" i="2"/>
  <c r="A1285" i="2"/>
  <c r="B1284" i="2"/>
  <c r="A1284" i="2"/>
  <c r="B1283" i="2"/>
  <c r="A1283" i="2"/>
  <c r="B1282" i="2"/>
  <c r="A1282" i="2"/>
  <c r="B1281" i="2"/>
  <c r="A1281" i="2"/>
  <c r="B1280" i="2"/>
  <c r="A1280" i="2"/>
  <c r="B1279" i="2"/>
  <c r="A1279" i="2"/>
  <c r="B1278" i="2"/>
  <c r="A1278" i="2"/>
  <c r="B1277" i="2"/>
  <c r="A1277" i="2"/>
  <c r="B1276" i="2"/>
  <c r="A1276" i="2"/>
  <c r="B1275" i="2"/>
  <c r="A1275" i="2"/>
  <c r="B1274" i="2"/>
  <c r="A1274" i="2"/>
  <c r="B1273" i="2"/>
  <c r="A1273" i="2"/>
  <c r="B1272" i="2"/>
  <c r="A1272" i="2"/>
  <c r="B1271" i="2"/>
  <c r="A1271" i="2"/>
  <c r="B1270" i="2"/>
  <c r="A1270" i="2"/>
  <c r="B1269" i="2"/>
  <c r="A1269" i="2"/>
  <c r="B1268" i="2"/>
  <c r="A1268" i="2"/>
  <c r="B1267" i="2"/>
  <c r="A1267" i="2"/>
  <c r="B1266" i="2"/>
  <c r="A1266" i="2"/>
  <c r="B1265" i="2"/>
  <c r="A1265" i="2"/>
  <c r="B1264" i="2"/>
  <c r="A1264" i="2"/>
  <c r="B1263" i="2"/>
  <c r="A1263" i="2"/>
  <c r="B1262" i="2"/>
  <c r="A1262" i="2"/>
  <c r="B1261" i="2"/>
  <c r="A1261" i="2"/>
  <c r="B1260" i="2"/>
  <c r="A1260" i="2"/>
  <c r="B1259" i="2"/>
  <c r="A1259" i="2"/>
  <c r="B1258" i="2"/>
  <c r="A1258" i="2"/>
  <c r="B1257" i="2"/>
  <c r="A1257" i="2"/>
  <c r="B1256" i="2"/>
  <c r="A1256" i="2"/>
  <c r="B1255" i="2"/>
  <c r="A1255" i="2"/>
  <c r="B1254" i="2"/>
  <c r="A1254" i="2"/>
  <c r="B1253" i="2"/>
  <c r="A1253" i="2"/>
  <c r="B1252" i="2"/>
  <c r="A1252" i="2"/>
  <c r="B1251" i="2"/>
  <c r="A1251" i="2"/>
  <c r="B1250" i="2"/>
  <c r="A1250" i="2"/>
  <c r="B1249" i="2"/>
  <c r="A1249" i="2"/>
  <c r="B1248" i="2"/>
  <c r="A1248" i="2"/>
  <c r="B1247" i="2"/>
  <c r="A1247" i="2"/>
  <c r="B1246" i="2"/>
  <c r="A1246" i="2"/>
  <c r="B1245" i="2"/>
  <c r="A1245" i="2"/>
  <c r="B1244" i="2"/>
  <c r="A1244" i="2"/>
  <c r="B1243" i="2"/>
  <c r="A1243" i="2"/>
  <c r="B1242" i="2"/>
  <c r="A1242" i="2"/>
  <c r="B1241" i="2"/>
  <c r="A1241" i="2"/>
  <c r="B1240" i="2"/>
  <c r="A1240" i="2"/>
  <c r="B1239" i="2"/>
  <c r="A1239" i="2"/>
  <c r="B1238" i="2"/>
  <c r="A1238" i="2"/>
  <c r="B1237" i="2"/>
  <c r="A1237" i="2"/>
  <c r="B1236" i="2"/>
  <c r="A1236" i="2"/>
  <c r="B1235" i="2"/>
  <c r="A1235" i="2"/>
  <c r="B1234" i="2"/>
  <c r="A1234" i="2"/>
  <c r="B1233" i="2"/>
  <c r="A1233" i="2"/>
  <c r="B1232" i="2"/>
  <c r="A1232" i="2"/>
  <c r="B1231" i="2"/>
  <c r="A1231" i="2"/>
  <c r="B1230" i="2"/>
  <c r="A1230" i="2"/>
  <c r="B1229" i="2"/>
  <c r="A1229" i="2"/>
  <c r="B1228" i="2"/>
  <c r="A1228" i="2"/>
  <c r="B1227" i="2"/>
  <c r="A1227" i="2"/>
  <c r="B1226" i="2"/>
  <c r="A1226" i="2"/>
  <c r="B1225" i="2"/>
  <c r="A1225" i="2"/>
  <c r="B1224" i="2"/>
  <c r="A1224" i="2"/>
  <c r="B1223" i="2"/>
  <c r="A1223" i="2"/>
  <c r="B1222" i="2"/>
  <c r="A1222" i="2"/>
  <c r="B1221" i="2"/>
  <c r="A1221" i="2"/>
  <c r="B1220" i="2"/>
  <c r="A1220" i="2"/>
  <c r="B1219" i="2"/>
  <c r="A1219" i="2"/>
  <c r="B1218" i="2"/>
  <c r="A1218" i="2"/>
  <c r="B1217" i="2"/>
  <c r="A1217" i="2"/>
  <c r="B1216" i="2"/>
  <c r="A1216" i="2"/>
  <c r="B1215" i="2"/>
  <c r="A1215" i="2"/>
  <c r="B1214" i="2"/>
  <c r="A1214" i="2"/>
  <c r="B1213" i="2"/>
  <c r="A1213" i="2"/>
  <c r="B1212" i="2"/>
  <c r="A1212" i="2"/>
  <c r="B1211" i="2"/>
  <c r="A1211" i="2"/>
  <c r="B1210" i="2"/>
  <c r="A1210" i="2"/>
  <c r="B1209" i="2"/>
  <c r="A1209" i="2"/>
  <c r="B1208" i="2"/>
  <c r="A1208" i="2"/>
  <c r="B1207" i="2"/>
  <c r="A1207" i="2"/>
  <c r="B1206" i="2"/>
  <c r="A1206" i="2"/>
  <c r="B1205" i="2"/>
  <c r="A1205" i="2"/>
  <c r="B1204" i="2"/>
  <c r="A1204" i="2"/>
  <c r="B1203" i="2"/>
  <c r="A1203" i="2"/>
  <c r="B1202" i="2"/>
  <c r="A1202" i="2"/>
  <c r="B1201" i="2"/>
  <c r="A1201" i="2"/>
  <c r="B1200" i="2"/>
  <c r="A1200" i="2"/>
  <c r="B1199" i="2"/>
  <c r="A1199" i="2"/>
  <c r="B1198" i="2"/>
  <c r="A1198" i="2"/>
  <c r="B1197" i="2"/>
  <c r="A1197" i="2"/>
  <c r="B1196" i="2"/>
  <c r="A1196" i="2"/>
  <c r="B1195" i="2"/>
  <c r="A1195" i="2"/>
  <c r="B1194" i="2"/>
  <c r="A1194" i="2"/>
  <c r="B1193" i="2"/>
  <c r="A1193" i="2"/>
  <c r="B1192" i="2"/>
  <c r="A1192" i="2"/>
  <c r="B1191" i="2"/>
  <c r="A1191" i="2"/>
  <c r="B1190" i="2"/>
  <c r="A1190" i="2"/>
  <c r="B1189" i="2"/>
  <c r="A1189" i="2"/>
  <c r="B1188" i="2"/>
  <c r="A1188" i="2"/>
  <c r="B1187" i="2"/>
  <c r="A1187" i="2"/>
  <c r="B1186" i="2"/>
  <c r="A1186" i="2"/>
  <c r="B1185" i="2"/>
  <c r="A1185" i="2"/>
  <c r="B1184" i="2"/>
  <c r="A1184" i="2"/>
  <c r="B1183" i="2"/>
  <c r="A1183" i="2"/>
  <c r="B1182" i="2"/>
  <c r="A1182" i="2"/>
  <c r="B1181" i="2"/>
  <c r="A1181" i="2"/>
  <c r="B1180" i="2"/>
  <c r="A1180" i="2"/>
  <c r="B1179" i="2"/>
  <c r="A1179" i="2"/>
  <c r="B1178" i="2"/>
  <c r="A1178" i="2"/>
  <c r="B1177" i="2"/>
  <c r="A1177" i="2"/>
  <c r="B1176" i="2"/>
  <c r="A1176" i="2"/>
  <c r="B1175" i="2"/>
  <c r="A1175" i="2"/>
  <c r="B1174" i="2"/>
  <c r="A1174" i="2"/>
  <c r="B1173" i="2"/>
  <c r="A1173" i="2"/>
  <c r="B1172" i="2"/>
  <c r="A1172" i="2"/>
  <c r="B1171" i="2"/>
  <c r="A1171" i="2"/>
  <c r="B1170" i="2"/>
  <c r="A1170" i="2"/>
  <c r="B1169" i="2"/>
  <c r="A1169" i="2"/>
  <c r="B1168" i="2"/>
  <c r="A1168" i="2"/>
  <c r="B1167" i="2"/>
  <c r="A1167" i="2"/>
  <c r="B1166" i="2"/>
  <c r="A1166" i="2"/>
  <c r="B1165" i="2"/>
  <c r="A1165" i="2"/>
  <c r="B1164" i="2"/>
  <c r="A1164" i="2"/>
  <c r="B1163" i="2"/>
  <c r="A1163" i="2"/>
  <c r="B1162" i="2"/>
  <c r="A1162" i="2"/>
  <c r="B1161" i="2"/>
  <c r="A1161" i="2"/>
  <c r="B1160" i="2"/>
  <c r="A1160" i="2"/>
  <c r="B1159" i="2"/>
  <c r="A1159" i="2"/>
  <c r="B1158" i="2"/>
  <c r="A1158" i="2"/>
  <c r="B1157" i="2"/>
  <c r="A1157" i="2"/>
  <c r="B1156" i="2"/>
  <c r="A1156" i="2"/>
  <c r="B1155" i="2"/>
  <c r="A1155" i="2"/>
  <c r="B1154" i="2"/>
  <c r="A1154" i="2"/>
  <c r="B1153" i="2"/>
  <c r="A1153" i="2"/>
  <c r="B1152" i="2"/>
  <c r="A1152" i="2"/>
  <c r="B1151" i="2"/>
  <c r="A1151" i="2"/>
  <c r="B1150" i="2"/>
  <c r="A1150" i="2"/>
  <c r="B1149" i="2"/>
  <c r="A1149" i="2"/>
  <c r="B1148" i="2"/>
  <c r="A1148" i="2"/>
  <c r="B1147" i="2"/>
  <c r="A1147" i="2"/>
  <c r="B1146" i="2"/>
  <c r="A1146" i="2"/>
  <c r="B1145" i="2"/>
  <c r="A1145" i="2"/>
  <c r="B1144" i="2"/>
  <c r="A1144" i="2"/>
  <c r="B1143" i="2"/>
  <c r="A1143" i="2"/>
  <c r="B1142" i="2"/>
  <c r="A1142" i="2"/>
  <c r="B1141" i="2"/>
  <c r="A1141" i="2"/>
  <c r="B1140" i="2"/>
  <c r="A1140" i="2"/>
  <c r="B1139" i="2"/>
  <c r="A1139" i="2"/>
  <c r="B1138" i="2"/>
  <c r="A1138" i="2"/>
  <c r="B1137" i="2"/>
  <c r="A1137" i="2"/>
  <c r="B1136" i="2"/>
  <c r="A1136" i="2"/>
  <c r="B1135" i="2"/>
  <c r="A1135" i="2"/>
  <c r="B1134" i="2"/>
  <c r="A1134" i="2"/>
  <c r="B1133" i="2"/>
  <c r="A1133" i="2"/>
  <c r="B1132" i="2"/>
  <c r="A1132" i="2"/>
  <c r="B1131" i="2"/>
  <c r="A1131" i="2"/>
  <c r="B1130" i="2"/>
  <c r="A1130" i="2"/>
  <c r="B1129" i="2"/>
  <c r="A1129" i="2"/>
  <c r="B1128" i="2"/>
  <c r="A1128" i="2"/>
  <c r="B1127" i="2"/>
  <c r="A1127" i="2"/>
  <c r="B1126" i="2"/>
  <c r="A1126" i="2"/>
  <c r="B1125" i="2"/>
  <c r="A1125" i="2"/>
  <c r="B1124" i="2"/>
  <c r="A1124" i="2"/>
  <c r="B1123" i="2"/>
  <c r="A1123" i="2"/>
  <c r="B1122" i="2"/>
  <c r="A1122" i="2"/>
  <c r="B1121" i="2"/>
  <c r="A1121" i="2"/>
  <c r="B1120" i="2"/>
  <c r="A1120" i="2"/>
  <c r="B1119" i="2"/>
  <c r="A1119" i="2"/>
  <c r="B1118" i="2"/>
  <c r="A1118" i="2"/>
  <c r="B1117" i="2"/>
  <c r="A1117" i="2"/>
  <c r="B1116" i="2"/>
  <c r="A1116" i="2"/>
  <c r="B1115" i="2"/>
  <c r="A1115" i="2"/>
  <c r="B1114" i="2"/>
  <c r="A1114" i="2"/>
  <c r="B1113" i="2"/>
  <c r="A1113" i="2"/>
  <c r="B1112" i="2"/>
  <c r="A1112" i="2"/>
  <c r="B1111" i="2"/>
  <c r="A1111" i="2"/>
  <c r="B1110" i="2"/>
  <c r="A1110" i="2"/>
  <c r="B1109" i="2"/>
  <c r="A1109" i="2"/>
  <c r="B1108" i="2"/>
  <c r="A1108" i="2"/>
  <c r="B1107" i="2"/>
  <c r="A1107" i="2"/>
  <c r="B1106" i="2"/>
  <c r="A1106" i="2"/>
  <c r="B1105" i="2"/>
  <c r="A1105" i="2"/>
  <c r="B1104" i="2"/>
  <c r="A1104" i="2"/>
  <c r="B1103" i="2"/>
  <c r="A1103" i="2"/>
  <c r="B1102" i="2"/>
  <c r="A1102" i="2"/>
  <c r="B1101" i="2"/>
  <c r="A1101" i="2"/>
  <c r="B1100" i="2"/>
  <c r="A1100" i="2"/>
  <c r="B1099" i="2"/>
  <c r="A1099" i="2"/>
  <c r="B1098" i="2"/>
  <c r="A1098" i="2"/>
  <c r="B1097" i="2"/>
  <c r="A1097" i="2"/>
  <c r="B1096" i="2"/>
  <c r="A1096" i="2"/>
  <c r="B1095" i="2"/>
  <c r="A1095" i="2"/>
  <c r="B1094" i="2"/>
  <c r="A1094" i="2"/>
  <c r="B1093" i="2"/>
  <c r="A1093" i="2"/>
  <c r="B1092" i="2"/>
  <c r="A1092" i="2"/>
  <c r="B1091" i="2"/>
  <c r="A1091" i="2"/>
  <c r="B1090" i="2"/>
  <c r="A1090" i="2"/>
  <c r="B1089" i="2"/>
  <c r="A1089" i="2"/>
  <c r="B1088" i="2"/>
  <c r="A1088" i="2"/>
  <c r="B1087" i="2"/>
  <c r="A1087" i="2"/>
  <c r="B1086" i="2"/>
  <c r="A1086" i="2"/>
  <c r="B1085" i="2"/>
  <c r="A1085" i="2"/>
  <c r="B1084" i="2"/>
  <c r="A1084" i="2"/>
  <c r="B1083" i="2"/>
  <c r="A1083" i="2"/>
  <c r="B1082" i="2"/>
  <c r="A1082" i="2"/>
  <c r="B1081" i="2"/>
  <c r="A1081" i="2"/>
  <c r="B1080" i="2"/>
  <c r="A1080" i="2"/>
  <c r="B1079" i="2"/>
  <c r="A1079" i="2"/>
  <c r="B1078" i="2"/>
  <c r="A1078" i="2"/>
  <c r="B1077" i="2"/>
  <c r="A1077" i="2"/>
  <c r="B1076" i="2"/>
  <c r="A1076" i="2"/>
  <c r="B1075" i="2"/>
  <c r="A1075" i="2"/>
  <c r="B1074" i="2"/>
  <c r="A1074" i="2"/>
  <c r="B1073" i="2"/>
  <c r="A1073" i="2"/>
  <c r="B1072" i="2"/>
  <c r="A1072" i="2"/>
  <c r="B1071" i="2"/>
  <c r="A1071" i="2"/>
  <c r="B1070" i="2"/>
  <c r="A1070" i="2"/>
  <c r="B1069" i="2"/>
  <c r="A1069" i="2"/>
  <c r="B1068" i="2"/>
  <c r="A1068" i="2"/>
  <c r="B1067" i="2"/>
  <c r="A1067" i="2"/>
  <c r="B1066" i="2"/>
  <c r="A1066" i="2"/>
  <c r="B1065" i="2"/>
  <c r="A1065" i="2"/>
  <c r="B1064" i="2"/>
  <c r="A1064" i="2"/>
  <c r="B1063" i="2"/>
  <c r="A1063" i="2"/>
  <c r="B1062" i="2"/>
  <c r="A1062" i="2"/>
  <c r="B1061" i="2"/>
  <c r="A1061" i="2"/>
  <c r="B1060" i="2"/>
  <c r="A1060" i="2"/>
  <c r="B1059" i="2"/>
  <c r="A1059" i="2"/>
  <c r="B1058" i="2"/>
  <c r="A1058" i="2"/>
  <c r="B1057" i="2"/>
  <c r="A1057" i="2"/>
  <c r="B1056" i="2"/>
  <c r="A1056" i="2"/>
  <c r="B1055" i="2"/>
  <c r="A1055" i="2"/>
  <c r="B1054" i="2"/>
  <c r="A1054" i="2"/>
  <c r="B1053" i="2"/>
  <c r="A1053" i="2"/>
  <c r="B1052" i="2"/>
  <c r="A1052" i="2"/>
  <c r="B1051" i="2"/>
  <c r="A1051" i="2"/>
  <c r="B1050" i="2"/>
  <c r="A1050" i="2"/>
  <c r="B1049" i="2"/>
  <c r="A1049" i="2"/>
  <c r="B1048" i="2"/>
  <c r="A1048" i="2"/>
  <c r="B1047" i="2"/>
  <c r="A1047" i="2"/>
  <c r="B1046" i="2"/>
  <c r="A1046" i="2"/>
  <c r="B1045" i="2"/>
  <c r="A1045" i="2"/>
  <c r="B1044" i="2"/>
  <c r="A1044" i="2"/>
  <c r="B1043" i="2"/>
  <c r="A1043" i="2"/>
  <c r="B1042" i="2"/>
  <c r="A1042" i="2"/>
  <c r="B1041" i="2"/>
  <c r="A1041" i="2"/>
  <c r="B1040" i="2"/>
  <c r="A1040" i="2"/>
  <c r="B1039" i="2"/>
  <c r="A1039" i="2"/>
  <c r="B1038" i="2"/>
  <c r="A1038" i="2"/>
  <c r="B1037" i="2"/>
  <c r="A1037" i="2"/>
  <c r="B1036" i="2"/>
  <c r="A1036" i="2"/>
  <c r="B1035" i="2"/>
  <c r="A1035" i="2"/>
  <c r="B1034" i="2"/>
  <c r="A1034" i="2"/>
  <c r="B1033" i="2"/>
  <c r="A1033" i="2"/>
  <c r="B1032" i="2"/>
  <c r="A1032" i="2"/>
  <c r="B1031" i="2"/>
  <c r="A1031" i="2"/>
  <c r="B1030" i="2"/>
  <c r="A1030" i="2"/>
  <c r="B1029" i="2"/>
  <c r="A1029" i="2"/>
  <c r="B1028" i="2"/>
  <c r="A1028" i="2"/>
  <c r="B1027" i="2"/>
  <c r="A1027" i="2"/>
  <c r="B1026" i="2"/>
  <c r="A1026" i="2"/>
  <c r="B1025" i="2"/>
  <c r="A1025" i="2"/>
  <c r="B1024" i="2"/>
  <c r="A1024" i="2"/>
  <c r="B1023" i="2"/>
  <c r="A1023" i="2"/>
  <c r="B1022" i="2"/>
  <c r="A1022" i="2"/>
  <c r="B1021" i="2"/>
  <c r="A1021" i="2"/>
  <c r="B1020" i="2"/>
  <c r="A1020" i="2"/>
  <c r="B1019" i="2"/>
  <c r="A1019" i="2"/>
  <c r="B1018" i="2"/>
  <c r="A1018" i="2"/>
  <c r="B1017" i="2"/>
  <c r="A1017" i="2"/>
  <c r="B1016" i="2"/>
  <c r="A1016" i="2"/>
  <c r="B1015" i="2"/>
  <c r="A1015" i="2"/>
  <c r="B1014" i="2"/>
  <c r="A1014" i="2"/>
  <c r="B1013" i="2"/>
  <c r="A1013" i="2"/>
  <c r="B1012" i="2"/>
  <c r="A1012" i="2"/>
  <c r="B1011" i="2"/>
  <c r="A1011" i="2"/>
  <c r="B1010" i="2"/>
  <c r="A1010" i="2"/>
  <c r="B1009" i="2"/>
  <c r="A1009" i="2"/>
  <c r="B1008" i="2"/>
  <c r="A1008" i="2"/>
  <c r="B1007" i="2"/>
  <c r="A1007" i="2"/>
  <c r="B1006" i="2"/>
  <c r="A1006" i="2"/>
  <c r="B1005" i="2"/>
  <c r="A1005" i="2"/>
  <c r="B1004" i="2"/>
  <c r="A1004" i="2"/>
  <c r="B1003" i="2"/>
  <c r="A1003" i="2"/>
  <c r="B1002" i="2"/>
  <c r="A1002" i="2"/>
  <c r="B1001" i="2"/>
  <c r="A1001" i="2"/>
  <c r="B1000" i="2"/>
  <c r="A1000" i="2"/>
  <c r="B999" i="2"/>
  <c r="A999" i="2"/>
  <c r="B998" i="2"/>
  <c r="A998" i="2"/>
  <c r="B997" i="2"/>
  <c r="A997" i="2"/>
  <c r="B996" i="2"/>
  <c r="A996" i="2"/>
  <c r="B995" i="2"/>
  <c r="A995" i="2"/>
  <c r="B994" i="2"/>
  <c r="A994" i="2"/>
  <c r="B993" i="2"/>
  <c r="A993" i="2"/>
  <c r="B992" i="2"/>
  <c r="A992" i="2"/>
  <c r="B991" i="2"/>
  <c r="A991" i="2"/>
  <c r="B990" i="2"/>
  <c r="A990" i="2"/>
  <c r="B989" i="2"/>
  <c r="A989" i="2"/>
  <c r="B988" i="2"/>
  <c r="A988" i="2"/>
  <c r="B987" i="2"/>
  <c r="A987" i="2"/>
  <c r="B986" i="2"/>
  <c r="A986" i="2"/>
  <c r="B985" i="2"/>
  <c r="A985" i="2"/>
  <c r="B984" i="2"/>
  <c r="A984" i="2"/>
  <c r="B983" i="2"/>
  <c r="A983" i="2"/>
  <c r="B982" i="2"/>
  <c r="A982" i="2"/>
  <c r="B981" i="2"/>
  <c r="A981" i="2"/>
  <c r="B980" i="2"/>
  <c r="A980" i="2"/>
  <c r="B979" i="2"/>
  <c r="A979" i="2"/>
  <c r="B978" i="2"/>
  <c r="A978" i="2"/>
  <c r="B977" i="2"/>
  <c r="A977" i="2"/>
  <c r="B976" i="2"/>
  <c r="A976" i="2"/>
  <c r="B975" i="2"/>
  <c r="A975" i="2"/>
  <c r="B974" i="2"/>
  <c r="A974" i="2"/>
  <c r="B973" i="2"/>
  <c r="A973" i="2"/>
  <c r="B972" i="2"/>
  <c r="A972" i="2"/>
  <c r="B971" i="2"/>
  <c r="A971" i="2"/>
  <c r="B970" i="2"/>
  <c r="A970" i="2"/>
  <c r="B969" i="2"/>
  <c r="A969" i="2"/>
  <c r="B968" i="2"/>
  <c r="A968" i="2"/>
  <c r="B967" i="2"/>
  <c r="A967" i="2"/>
  <c r="B966" i="2"/>
  <c r="A966" i="2"/>
  <c r="B965" i="2"/>
  <c r="A965" i="2"/>
  <c r="B964" i="2"/>
  <c r="A964" i="2"/>
  <c r="B963" i="2"/>
  <c r="A963" i="2"/>
  <c r="B962" i="2"/>
  <c r="A962" i="2"/>
  <c r="B961" i="2"/>
  <c r="A961" i="2"/>
  <c r="B960" i="2"/>
  <c r="A960" i="2"/>
  <c r="B959" i="2"/>
  <c r="A959" i="2"/>
  <c r="B958" i="2"/>
  <c r="A958" i="2"/>
  <c r="B957" i="2"/>
  <c r="A957" i="2"/>
  <c r="B956" i="2"/>
  <c r="A956" i="2"/>
  <c r="B955" i="2"/>
  <c r="A955" i="2"/>
  <c r="B954" i="2"/>
  <c r="A954" i="2"/>
  <c r="B953" i="2"/>
  <c r="A953" i="2"/>
  <c r="B952" i="2"/>
  <c r="A952" i="2"/>
  <c r="B951" i="2"/>
  <c r="A951" i="2"/>
  <c r="B950" i="2"/>
  <c r="A950" i="2"/>
  <c r="B949" i="2"/>
  <c r="A949" i="2"/>
  <c r="B948" i="2"/>
  <c r="A948" i="2"/>
  <c r="B947" i="2"/>
  <c r="A947" i="2"/>
  <c r="B946" i="2"/>
  <c r="A946" i="2"/>
  <c r="B945" i="2"/>
  <c r="A945" i="2"/>
  <c r="B944" i="2"/>
  <c r="A944" i="2"/>
  <c r="B943" i="2"/>
  <c r="A943" i="2"/>
  <c r="B942" i="2"/>
  <c r="A942" i="2"/>
  <c r="B941" i="2"/>
  <c r="A941" i="2"/>
  <c r="B940" i="2"/>
  <c r="A940" i="2"/>
  <c r="B939" i="2"/>
  <c r="A939" i="2"/>
  <c r="B938" i="2"/>
  <c r="A938" i="2"/>
  <c r="B937" i="2"/>
  <c r="A937" i="2"/>
  <c r="B936" i="2"/>
  <c r="A936" i="2"/>
  <c r="B935" i="2"/>
  <c r="A935" i="2"/>
  <c r="B934" i="2"/>
  <c r="A934" i="2"/>
  <c r="B933" i="2"/>
  <c r="A933" i="2"/>
  <c r="B932" i="2"/>
  <c r="A932" i="2"/>
  <c r="B931" i="2"/>
  <c r="A931" i="2"/>
  <c r="B930" i="2"/>
  <c r="A930" i="2"/>
  <c r="B929" i="2"/>
  <c r="A929" i="2"/>
  <c r="B928" i="2"/>
  <c r="A928" i="2"/>
  <c r="B927" i="2"/>
  <c r="A927" i="2"/>
  <c r="B926" i="2"/>
  <c r="A926" i="2"/>
  <c r="B925" i="2"/>
  <c r="A925" i="2"/>
  <c r="B924" i="2"/>
  <c r="A924" i="2"/>
  <c r="B923" i="2"/>
  <c r="A923" i="2"/>
  <c r="B922" i="2"/>
  <c r="A922" i="2"/>
  <c r="B921" i="2"/>
  <c r="A921" i="2"/>
  <c r="B920" i="2"/>
  <c r="A920" i="2"/>
  <c r="B919" i="2"/>
  <c r="A919" i="2"/>
  <c r="B918" i="2"/>
  <c r="A918" i="2"/>
  <c r="B917" i="2"/>
  <c r="A917" i="2"/>
  <c r="B916" i="2"/>
  <c r="A916" i="2"/>
  <c r="B915" i="2"/>
  <c r="A915" i="2"/>
  <c r="B914" i="2"/>
  <c r="A914" i="2"/>
  <c r="B913" i="2"/>
  <c r="A913" i="2"/>
  <c r="B912" i="2"/>
  <c r="A912" i="2"/>
  <c r="B911" i="2"/>
  <c r="A911" i="2"/>
  <c r="B910" i="2"/>
  <c r="A910" i="2"/>
  <c r="B909" i="2"/>
  <c r="A909" i="2"/>
  <c r="B908" i="2"/>
  <c r="A908" i="2"/>
  <c r="B907" i="2"/>
  <c r="A907" i="2"/>
  <c r="B906" i="2"/>
  <c r="A906" i="2"/>
  <c r="B905" i="2"/>
  <c r="A905" i="2"/>
  <c r="B904" i="2"/>
  <c r="A904" i="2"/>
  <c r="B903" i="2"/>
  <c r="A903" i="2"/>
  <c r="B902" i="2"/>
  <c r="A902" i="2"/>
  <c r="B901" i="2"/>
  <c r="A901" i="2"/>
  <c r="B900" i="2"/>
  <c r="A900" i="2"/>
  <c r="B899" i="2"/>
  <c r="A899" i="2"/>
  <c r="B898" i="2"/>
  <c r="A898" i="2"/>
  <c r="B897" i="2"/>
  <c r="A897" i="2"/>
  <c r="B896" i="2"/>
  <c r="A896" i="2"/>
  <c r="B895" i="2"/>
  <c r="A895" i="2"/>
  <c r="B894" i="2"/>
  <c r="A894" i="2"/>
  <c r="B893" i="2"/>
  <c r="A893" i="2"/>
  <c r="B892" i="2"/>
  <c r="A892" i="2"/>
  <c r="B891" i="2"/>
  <c r="A891" i="2"/>
  <c r="B890" i="2"/>
  <c r="A890" i="2"/>
  <c r="B889" i="2"/>
  <c r="A889" i="2"/>
  <c r="B888" i="2"/>
  <c r="A888" i="2"/>
  <c r="B887" i="2"/>
  <c r="A887" i="2"/>
  <c r="B886" i="2"/>
  <c r="A886" i="2"/>
  <c r="B885" i="2"/>
  <c r="A885" i="2"/>
  <c r="B884" i="2"/>
  <c r="A884" i="2"/>
  <c r="B883" i="2"/>
  <c r="A883" i="2"/>
  <c r="B882" i="2"/>
  <c r="A882" i="2"/>
  <c r="B881" i="2"/>
  <c r="A881" i="2"/>
  <c r="B880" i="2"/>
  <c r="A880" i="2"/>
  <c r="B879" i="2"/>
  <c r="A879" i="2"/>
  <c r="B878" i="2"/>
  <c r="A878" i="2"/>
  <c r="B877" i="2"/>
  <c r="A877" i="2"/>
  <c r="B876" i="2"/>
  <c r="A876" i="2"/>
  <c r="B875" i="2"/>
  <c r="A875" i="2"/>
  <c r="B874" i="2"/>
  <c r="A874" i="2"/>
  <c r="B873" i="2"/>
  <c r="A873" i="2"/>
  <c r="B872" i="2"/>
  <c r="A872" i="2"/>
  <c r="B871" i="2"/>
  <c r="A871" i="2"/>
  <c r="B870" i="2"/>
  <c r="A870" i="2"/>
  <c r="B869" i="2"/>
  <c r="A869" i="2"/>
  <c r="B868" i="2"/>
  <c r="A868" i="2"/>
  <c r="B867" i="2"/>
  <c r="A867" i="2"/>
  <c r="B866" i="2"/>
  <c r="A866" i="2"/>
  <c r="B865" i="2"/>
  <c r="A865" i="2"/>
  <c r="B864" i="2"/>
  <c r="A864" i="2"/>
  <c r="B863" i="2"/>
  <c r="A863" i="2"/>
  <c r="B862" i="2"/>
  <c r="A862" i="2"/>
  <c r="B861" i="2"/>
  <c r="A861" i="2"/>
  <c r="B860" i="2"/>
  <c r="A860" i="2"/>
  <c r="B859" i="2"/>
  <c r="A859" i="2"/>
  <c r="B858" i="2"/>
  <c r="A858" i="2"/>
  <c r="B857" i="2"/>
  <c r="A857" i="2"/>
  <c r="B856" i="2"/>
  <c r="A856" i="2"/>
  <c r="B855" i="2"/>
  <c r="A855" i="2"/>
  <c r="B854" i="2"/>
  <c r="A854" i="2"/>
  <c r="B853" i="2"/>
  <c r="A853" i="2"/>
  <c r="B852" i="2"/>
  <c r="A852" i="2"/>
  <c r="B851" i="2"/>
  <c r="A851" i="2"/>
  <c r="B850" i="2"/>
  <c r="A850" i="2"/>
  <c r="B849" i="2"/>
  <c r="A849" i="2"/>
  <c r="B848" i="2"/>
  <c r="A848" i="2"/>
  <c r="B847" i="2"/>
  <c r="A847" i="2"/>
  <c r="B846" i="2"/>
  <c r="A846" i="2"/>
  <c r="B845" i="2"/>
  <c r="A845" i="2"/>
  <c r="B844" i="2"/>
  <c r="A844" i="2"/>
  <c r="B843" i="2"/>
  <c r="A843" i="2"/>
  <c r="B842" i="2"/>
  <c r="A842" i="2"/>
  <c r="B841" i="2"/>
  <c r="A841" i="2"/>
  <c r="B840" i="2"/>
  <c r="A840" i="2"/>
  <c r="B839" i="2"/>
  <c r="A839" i="2"/>
  <c r="B838" i="2"/>
  <c r="A838" i="2"/>
  <c r="B837" i="2"/>
  <c r="A837" i="2"/>
  <c r="B836" i="2"/>
  <c r="A836" i="2"/>
  <c r="B835" i="2"/>
  <c r="A835" i="2"/>
  <c r="B834" i="2"/>
  <c r="A834" i="2"/>
  <c r="B833" i="2"/>
  <c r="A833" i="2"/>
  <c r="B832" i="2"/>
  <c r="A832" i="2"/>
  <c r="B831" i="2"/>
  <c r="A831" i="2"/>
  <c r="B830" i="2"/>
  <c r="A830" i="2"/>
  <c r="B829" i="2"/>
  <c r="A829" i="2"/>
  <c r="B828" i="2"/>
  <c r="A828" i="2"/>
  <c r="B827" i="2"/>
  <c r="A827" i="2"/>
  <c r="B826" i="2"/>
  <c r="A826" i="2"/>
  <c r="B825" i="2"/>
  <c r="A825" i="2"/>
  <c r="B824" i="2"/>
  <c r="A824" i="2"/>
  <c r="B823" i="2"/>
  <c r="A823" i="2"/>
  <c r="B822" i="2"/>
  <c r="A822" i="2"/>
  <c r="B821" i="2"/>
  <c r="A821" i="2"/>
  <c r="B820" i="2"/>
  <c r="A820" i="2"/>
  <c r="B819" i="2"/>
  <c r="A819" i="2"/>
  <c r="B818" i="2"/>
  <c r="A818" i="2"/>
  <c r="B817" i="2"/>
  <c r="A817" i="2"/>
  <c r="B816" i="2"/>
  <c r="A816" i="2"/>
  <c r="B815" i="2"/>
  <c r="A815" i="2"/>
  <c r="B814" i="2"/>
  <c r="A814" i="2"/>
  <c r="B813" i="2"/>
  <c r="A813" i="2"/>
  <c r="B812" i="2"/>
  <c r="A812" i="2"/>
  <c r="B811" i="2"/>
  <c r="A811" i="2"/>
  <c r="B810" i="2"/>
  <c r="A810" i="2"/>
  <c r="B809" i="2"/>
  <c r="A809" i="2"/>
  <c r="B808" i="2"/>
  <c r="A808" i="2"/>
  <c r="B807" i="2"/>
  <c r="A807" i="2"/>
  <c r="B806" i="2"/>
  <c r="A806" i="2"/>
  <c r="B805" i="2"/>
  <c r="A805" i="2"/>
  <c r="B804" i="2"/>
  <c r="A804" i="2"/>
  <c r="B803" i="2"/>
  <c r="A803" i="2"/>
  <c r="B802" i="2"/>
  <c r="A802" i="2"/>
  <c r="B801" i="2"/>
  <c r="A801" i="2"/>
  <c r="B800" i="2"/>
  <c r="A800" i="2"/>
  <c r="B799" i="2"/>
  <c r="A799" i="2"/>
  <c r="B798" i="2"/>
  <c r="A798" i="2"/>
  <c r="B797" i="2"/>
  <c r="A797" i="2"/>
  <c r="B796" i="2"/>
  <c r="A796" i="2"/>
  <c r="B795" i="2"/>
  <c r="A795" i="2"/>
  <c r="B794" i="2"/>
  <c r="A794" i="2"/>
  <c r="B793" i="2"/>
  <c r="A793" i="2"/>
  <c r="B792" i="2"/>
  <c r="A792" i="2"/>
  <c r="B791" i="2"/>
  <c r="A791" i="2"/>
  <c r="B790" i="2"/>
  <c r="A790" i="2"/>
  <c r="B789" i="2"/>
  <c r="A789" i="2"/>
  <c r="B788" i="2"/>
  <c r="A788" i="2"/>
  <c r="B787" i="2"/>
  <c r="A787" i="2"/>
  <c r="B786" i="2"/>
  <c r="A786" i="2"/>
  <c r="B785" i="2"/>
  <c r="A785" i="2"/>
  <c r="B784" i="2"/>
  <c r="A784" i="2"/>
  <c r="B783" i="2"/>
  <c r="A783" i="2"/>
  <c r="B782" i="2"/>
  <c r="A782" i="2"/>
  <c r="B781" i="2"/>
  <c r="A781" i="2"/>
  <c r="B780" i="2"/>
  <c r="A780" i="2"/>
  <c r="B779" i="2"/>
  <c r="A779" i="2"/>
  <c r="B778" i="2"/>
  <c r="A778" i="2"/>
  <c r="B777" i="2"/>
  <c r="A777" i="2"/>
  <c r="B776" i="2"/>
  <c r="A776" i="2"/>
  <c r="B775" i="2"/>
  <c r="A775" i="2"/>
  <c r="B774" i="2"/>
  <c r="A774" i="2"/>
  <c r="B773" i="2"/>
  <c r="A773" i="2"/>
  <c r="B772" i="2"/>
  <c r="A772" i="2"/>
  <c r="B771" i="2"/>
  <c r="A771" i="2"/>
  <c r="B770" i="2"/>
  <c r="A770" i="2"/>
  <c r="B769" i="2"/>
  <c r="A769" i="2"/>
  <c r="B768" i="2"/>
  <c r="A768" i="2"/>
  <c r="B767" i="2"/>
  <c r="A767" i="2"/>
  <c r="B766" i="2"/>
  <c r="A766" i="2"/>
  <c r="B765" i="2"/>
  <c r="A765" i="2"/>
  <c r="B764" i="2"/>
  <c r="A764" i="2"/>
  <c r="B763" i="2"/>
  <c r="A763" i="2"/>
  <c r="B762" i="2"/>
  <c r="A762" i="2"/>
  <c r="B761" i="2"/>
  <c r="A761" i="2"/>
  <c r="B760" i="2"/>
  <c r="A760" i="2"/>
  <c r="B759" i="2"/>
  <c r="A759" i="2"/>
  <c r="B758" i="2"/>
  <c r="A758" i="2"/>
  <c r="B757" i="2"/>
  <c r="A757" i="2"/>
  <c r="B756" i="2"/>
  <c r="A756" i="2"/>
  <c r="B755" i="2"/>
  <c r="A755" i="2"/>
  <c r="B754" i="2"/>
  <c r="A754" i="2"/>
  <c r="B753" i="2"/>
  <c r="A753" i="2"/>
  <c r="B752" i="2"/>
  <c r="A752" i="2"/>
  <c r="B751" i="2"/>
  <c r="A751" i="2"/>
  <c r="B750" i="2"/>
  <c r="A750" i="2"/>
  <c r="B749" i="2"/>
  <c r="A749" i="2"/>
  <c r="B748" i="2"/>
  <c r="A748" i="2"/>
  <c r="B747" i="2"/>
  <c r="A747" i="2"/>
  <c r="B746" i="2"/>
  <c r="A746" i="2"/>
  <c r="B745" i="2"/>
  <c r="A745" i="2"/>
  <c r="B744" i="2"/>
  <c r="A744" i="2"/>
  <c r="B743" i="2"/>
  <c r="A743" i="2"/>
  <c r="B742" i="2"/>
  <c r="A742" i="2"/>
  <c r="B741" i="2"/>
  <c r="A741" i="2"/>
  <c r="B740" i="2"/>
  <c r="A740" i="2"/>
  <c r="B739" i="2"/>
  <c r="A739" i="2"/>
  <c r="B738" i="2"/>
  <c r="A738" i="2"/>
  <c r="B737" i="2"/>
  <c r="A737" i="2"/>
  <c r="B736" i="2"/>
  <c r="A736" i="2"/>
  <c r="B735" i="2"/>
  <c r="A735" i="2"/>
  <c r="B734" i="2"/>
  <c r="A734" i="2"/>
  <c r="B733" i="2"/>
  <c r="A733" i="2"/>
  <c r="B732" i="2"/>
  <c r="A732" i="2"/>
  <c r="B731" i="2"/>
  <c r="A731" i="2"/>
  <c r="B730" i="2"/>
  <c r="A730" i="2"/>
  <c r="B729" i="2"/>
  <c r="A729" i="2"/>
  <c r="B728" i="2"/>
  <c r="A728" i="2"/>
  <c r="B727" i="2"/>
  <c r="A727" i="2"/>
  <c r="B726" i="2"/>
  <c r="A726" i="2"/>
  <c r="B725" i="2"/>
  <c r="A725" i="2"/>
  <c r="B724" i="2"/>
  <c r="A724" i="2"/>
  <c r="B723" i="2"/>
  <c r="A723" i="2"/>
  <c r="B722" i="2"/>
  <c r="A722" i="2"/>
  <c r="B721" i="2"/>
  <c r="A721" i="2"/>
  <c r="B720" i="2"/>
  <c r="A720" i="2"/>
  <c r="B719" i="2"/>
  <c r="A719" i="2"/>
  <c r="B718" i="2"/>
  <c r="A718" i="2"/>
  <c r="B717" i="2"/>
  <c r="A717" i="2"/>
  <c r="B716" i="2"/>
  <c r="A716" i="2"/>
  <c r="B715" i="2"/>
  <c r="A715" i="2"/>
  <c r="B714" i="2"/>
  <c r="A714" i="2"/>
  <c r="B713" i="2"/>
  <c r="A713" i="2"/>
  <c r="B712" i="2"/>
  <c r="A712" i="2"/>
  <c r="B711" i="2"/>
  <c r="A711" i="2"/>
  <c r="B710" i="2"/>
  <c r="A710" i="2"/>
  <c r="B709" i="2"/>
  <c r="A709" i="2"/>
  <c r="B708" i="2"/>
  <c r="A708" i="2"/>
  <c r="B707" i="2"/>
  <c r="A707" i="2"/>
  <c r="B706" i="2"/>
  <c r="A706" i="2"/>
  <c r="B705" i="2"/>
  <c r="A705" i="2"/>
  <c r="B704" i="2"/>
  <c r="A704" i="2"/>
  <c r="B703" i="2"/>
  <c r="A703" i="2"/>
  <c r="B702" i="2"/>
  <c r="A702" i="2"/>
  <c r="B701" i="2"/>
  <c r="A701" i="2"/>
  <c r="B700" i="2"/>
  <c r="A700" i="2"/>
  <c r="B699" i="2"/>
  <c r="A699" i="2"/>
  <c r="B698" i="2"/>
  <c r="A698" i="2"/>
  <c r="B697" i="2"/>
  <c r="A697" i="2"/>
  <c r="B696" i="2"/>
  <c r="A696" i="2"/>
  <c r="B695" i="2"/>
  <c r="A695" i="2"/>
  <c r="B694" i="2"/>
  <c r="A694" i="2"/>
  <c r="B693" i="2"/>
  <c r="A693" i="2"/>
  <c r="B692" i="2"/>
  <c r="A692" i="2"/>
  <c r="B691" i="2"/>
  <c r="A691" i="2"/>
  <c r="B690" i="2"/>
  <c r="A690" i="2"/>
  <c r="B689" i="2"/>
  <c r="A689" i="2"/>
  <c r="B688" i="2"/>
  <c r="A688" i="2"/>
  <c r="B687" i="2"/>
  <c r="A687" i="2"/>
  <c r="B686" i="2"/>
  <c r="A686" i="2"/>
  <c r="B685" i="2"/>
  <c r="A685" i="2"/>
  <c r="B684" i="2"/>
  <c r="A684" i="2"/>
  <c r="B683" i="2"/>
  <c r="A683" i="2"/>
  <c r="B682" i="2"/>
  <c r="A682" i="2"/>
  <c r="B681" i="2"/>
  <c r="A681" i="2"/>
  <c r="B680" i="2"/>
  <c r="A680" i="2"/>
  <c r="B679" i="2"/>
  <c r="A679" i="2"/>
  <c r="B678" i="2"/>
  <c r="A678" i="2"/>
  <c r="B677" i="2"/>
  <c r="A677" i="2"/>
  <c r="B676" i="2"/>
  <c r="A676" i="2"/>
  <c r="B675" i="2"/>
  <c r="A675" i="2"/>
  <c r="B674" i="2"/>
  <c r="A674" i="2"/>
  <c r="B673" i="2"/>
  <c r="A673" i="2"/>
  <c r="B672" i="2"/>
  <c r="A672" i="2"/>
  <c r="B671" i="2"/>
  <c r="A671" i="2"/>
  <c r="B670" i="2"/>
  <c r="A670" i="2"/>
  <c r="B669" i="2"/>
  <c r="A669" i="2"/>
  <c r="B668" i="2"/>
  <c r="A668" i="2"/>
  <c r="B667" i="2"/>
  <c r="A667" i="2"/>
  <c r="B666" i="2"/>
  <c r="A666" i="2"/>
  <c r="B665" i="2"/>
  <c r="A665" i="2"/>
  <c r="B664" i="2"/>
  <c r="A664" i="2"/>
  <c r="B663" i="2"/>
  <c r="A663" i="2"/>
  <c r="B662" i="2"/>
  <c r="A662" i="2"/>
  <c r="B661" i="2"/>
  <c r="A661" i="2"/>
  <c r="B660" i="2"/>
  <c r="A660" i="2"/>
  <c r="B659" i="2"/>
  <c r="A659" i="2"/>
  <c r="B658" i="2"/>
  <c r="A658" i="2"/>
  <c r="B657" i="2"/>
  <c r="A657" i="2"/>
  <c r="B656" i="2"/>
  <c r="A656" i="2"/>
  <c r="B655" i="2"/>
  <c r="A655" i="2"/>
  <c r="B654" i="2"/>
  <c r="A654" i="2"/>
  <c r="B653" i="2"/>
  <c r="A653" i="2"/>
  <c r="B652" i="2"/>
  <c r="A652" i="2"/>
  <c r="B651" i="2"/>
  <c r="A651" i="2"/>
  <c r="B650" i="2"/>
  <c r="A650" i="2"/>
  <c r="B649" i="2"/>
  <c r="A649" i="2"/>
  <c r="B648" i="2"/>
  <c r="A648" i="2"/>
  <c r="B647" i="2"/>
  <c r="A647" i="2"/>
  <c r="B646" i="2"/>
  <c r="A646" i="2"/>
  <c r="B645" i="2"/>
  <c r="A645" i="2"/>
  <c r="B644" i="2"/>
  <c r="A644" i="2"/>
  <c r="B643" i="2"/>
  <c r="A643" i="2"/>
  <c r="B642" i="2"/>
  <c r="A642" i="2"/>
  <c r="B641" i="2"/>
  <c r="A641" i="2"/>
  <c r="B640" i="2"/>
  <c r="A640" i="2"/>
  <c r="B639" i="2"/>
  <c r="A639" i="2"/>
  <c r="B638" i="2"/>
  <c r="A638" i="2"/>
  <c r="B637" i="2"/>
  <c r="A637" i="2"/>
  <c r="B636" i="2"/>
  <c r="A636" i="2"/>
  <c r="B635" i="2"/>
  <c r="A635" i="2"/>
  <c r="B634" i="2"/>
  <c r="A634" i="2"/>
  <c r="B633" i="2"/>
  <c r="A633" i="2"/>
  <c r="B632" i="2"/>
  <c r="A632" i="2"/>
  <c r="B631" i="2"/>
  <c r="A631" i="2"/>
  <c r="B630" i="2"/>
  <c r="A630" i="2"/>
  <c r="B629" i="2"/>
  <c r="A629" i="2"/>
  <c r="B628" i="2"/>
  <c r="A628" i="2"/>
  <c r="B627" i="2"/>
  <c r="A627" i="2"/>
  <c r="B626" i="2"/>
  <c r="A626" i="2"/>
  <c r="B625" i="2"/>
  <c r="A625" i="2"/>
  <c r="B624" i="2"/>
  <c r="A624" i="2"/>
  <c r="B623" i="2"/>
  <c r="A623" i="2"/>
  <c r="B622" i="2"/>
  <c r="A622" i="2"/>
  <c r="B621" i="2"/>
  <c r="A621" i="2"/>
  <c r="B620" i="2"/>
  <c r="A620" i="2"/>
  <c r="B619" i="2"/>
  <c r="A619" i="2"/>
  <c r="B618" i="2"/>
  <c r="A618" i="2"/>
  <c r="B617" i="2"/>
  <c r="A617" i="2"/>
  <c r="B616" i="2"/>
  <c r="A616" i="2"/>
  <c r="B615" i="2"/>
  <c r="A615" i="2"/>
  <c r="B614" i="2"/>
  <c r="A614" i="2"/>
  <c r="B613" i="2"/>
  <c r="A613" i="2"/>
  <c r="B612" i="2"/>
  <c r="A612" i="2"/>
  <c r="B611" i="2"/>
  <c r="A611" i="2"/>
  <c r="B610" i="2"/>
  <c r="A610" i="2"/>
  <c r="B609" i="2"/>
  <c r="A609" i="2"/>
  <c r="B608" i="2"/>
  <c r="A608" i="2"/>
  <c r="B607" i="2"/>
  <c r="A607" i="2"/>
  <c r="B606" i="2"/>
  <c r="A606" i="2"/>
  <c r="B605" i="2"/>
  <c r="A605" i="2"/>
  <c r="B604" i="2"/>
  <c r="A604" i="2"/>
  <c r="B603" i="2"/>
  <c r="A603" i="2"/>
  <c r="B602" i="2"/>
  <c r="A602" i="2"/>
  <c r="B601" i="2"/>
  <c r="A601" i="2"/>
  <c r="B600" i="2"/>
  <c r="A600" i="2"/>
  <c r="B599" i="2"/>
  <c r="A599" i="2"/>
  <c r="B598" i="2"/>
  <c r="A598" i="2"/>
  <c r="B597" i="2"/>
  <c r="A597" i="2"/>
  <c r="B596" i="2"/>
  <c r="A596" i="2"/>
  <c r="B595" i="2"/>
  <c r="A595" i="2"/>
  <c r="B594" i="2"/>
  <c r="A594" i="2"/>
  <c r="B593" i="2"/>
  <c r="A593" i="2"/>
  <c r="B592" i="2"/>
  <c r="A592" i="2"/>
  <c r="B591" i="2"/>
  <c r="A591" i="2"/>
  <c r="B590" i="2"/>
  <c r="A590" i="2"/>
  <c r="B589" i="2"/>
  <c r="A589" i="2"/>
  <c r="B588" i="2"/>
  <c r="A588" i="2"/>
  <c r="B587" i="2"/>
  <c r="A587" i="2"/>
  <c r="B586" i="2"/>
  <c r="A586" i="2"/>
  <c r="B585" i="2"/>
  <c r="A585" i="2"/>
  <c r="B584" i="2"/>
  <c r="A584" i="2"/>
  <c r="B583" i="2"/>
  <c r="A583" i="2"/>
  <c r="B582" i="2"/>
  <c r="A582" i="2"/>
  <c r="B581" i="2"/>
  <c r="A581" i="2"/>
  <c r="B580" i="2"/>
  <c r="A580" i="2"/>
  <c r="B579" i="2"/>
  <c r="A579" i="2"/>
  <c r="B578" i="2"/>
  <c r="A578" i="2"/>
  <c r="B577" i="2"/>
  <c r="A577" i="2"/>
  <c r="B576" i="2"/>
  <c r="A576" i="2"/>
  <c r="B575" i="2"/>
  <c r="A575" i="2"/>
  <c r="B574" i="2"/>
  <c r="A574" i="2"/>
  <c r="B573" i="2"/>
  <c r="A573" i="2"/>
  <c r="B572" i="2"/>
  <c r="A572" i="2"/>
  <c r="B571" i="2"/>
  <c r="A571" i="2"/>
  <c r="B570" i="2"/>
  <c r="A570" i="2"/>
  <c r="B569" i="2"/>
  <c r="A569" i="2"/>
  <c r="B568" i="2"/>
  <c r="A568" i="2"/>
  <c r="B567" i="2"/>
  <c r="A567" i="2"/>
  <c r="B566" i="2"/>
  <c r="A566" i="2"/>
  <c r="B565" i="2"/>
  <c r="A565" i="2"/>
  <c r="B564" i="2"/>
  <c r="A564" i="2"/>
  <c r="B563" i="2"/>
  <c r="A563" i="2"/>
  <c r="B562" i="2"/>
  <c r="A562" i="2"/>
  <c r="B561" i="2"/>
  <c r="A561" i="2"/>
  <c r="B560" i="2"/>
  <c r="A560" i="2"/>
  <c r="B559" i="2"/>
  <c r="A559" i="2"/>
  <c r="B558" i="2"/>
  <c r="A558" i="2"/>
  <c r="B557" i="2"/>
  <c r="A557" i="2"/>
  <c r="B556" i="2"/>
  <c r="A556" i="2"/>
  <c r="B555" i="2"/>
  <c r="A555" i="2"/>
  <c r="B554" i="2"/>
  <c r="A554" i="2"/>
  <c r="B553" i="2"/>
  <c r="A553" i="2"/>
  <c r="B552" i="2"/>
  <c r="A552" i="2"/>
  <c r="B551" i="2"/>
  <c r="A551" i="2"/>
  <c r="B550" i="2"/>
  <c r="A550" i="2"/>
  <c r="B549" i="2"/>
  <c r="A549" i="2"/>
  <c r="B548" i="2"/>
  <c r="A548" i="2"/>
  <c r="B547" i="2"/>
  <c r="A547" i="2"/>
  <c r="B546" i="2"/>
  <c r="A546" i="2"/>
  <c r="B545" i="2"/>
  <c r="A545" i="2"/>
  <c r="B544" i="2"/>
  <c r="A544" i="2"/>
  <c r="B543" i="2"/>
  <c r="A543" i="2"/>
  <c r="B542" i="2"/>
  <c r="A542" i="2"/>
  <c r="B541" i="2"/>
  <c r="A541" i="2"/>
  <c r="B540" i="2"/>
  <c r="A540" i="2"/>
  <c r="B539" i="2"/>
  <c r="A539" i="2"/>
  <c r="B538" i="2"/>
  <c r="A538" i="2"/>
  <c r="B537" i="2"/>
  <c r="A537" i="2"/>
  <c r="B536" i="2"/>
  <c r="A536" i="2"/>
  <c r="B535" i="2"/>
  <c r="A535" i="2"/>
  <c r="B534" i="2"/>
  <c r="A534" i="2"/>
  <c r="B533" i="2"/>
  <c r="A533" i="2"/>
  <c r="B532" i="2"/>
  <c r="A532" i="2"/>
  <c r="B531" i="2"/>
  <c r="A531" i="2"/>
  <c r="B530" i="2"/>
  <c r="A530" i="2"/>
  <c r="B529" i="2"/>
  <c r="A529" i="2"/>
  <c r="B528" i="2"/>
  <c r="A528" i="2"/>
  <c r="B527" i="2"/>
  <c r="A527" i="2"/>
  <c r="B526" i="2"/>
  <c r="A526" i="2"/>
  <c r="B525" i="2"/>
  <c r="A525" i="2"/>
  <c r="B524" i="2"/>
  <c r="A524" i="2"/>
  <c r="B523" i="2"/>
  <c r="A523" i="2"/>
  <c r="B522" i="2"/>
  <c r="A522" i="2"/>
  <c r="B521" i="2"/>
  <c r="A521" i="2"/>
  <c r="B520" i="2"/>
  <c r="A520" i="2"/>
  <c r="B519" i="2"/>
  <c r="A519" i="2"/>
  <c r="B518" i="2"/>
  <c r="A518" i="2"/>
  <c r="B517" i="2"/>
  <c r="A517" i="2"/>
  <c r="B516" i="2"/>
  <c r="A516" i="2"/>
  <c r="B515" i="2"/>
  <c r="A515" i="2"/>
  <c r="B514" i="2"/>
  <c r="A514" i="2"/>
  <c r="B513" i="2"/>
  <c r="A513" i="2"/>
  <c r="B512" i="2"/>
  <c r="A512" i="2"/>
  <c r="B511" i="2"/>
  <c r="A511" i="2"/>
  <c r="B510" i="2"/>
  <c r="A510" i="2"/>
  <c r="B509" i="2"/>
  <c r="A509" i="2"/>
  <c r="B508" i="2"/>
  <c r="A508" i="2"/>
  <c r="B507" i="2"/>
  <c r="A507" i="2"/>
  <c r="B506" i="2"/>
  <c r="A506" i="2"/>
  <c r="B505" i="2"/>
  <c r="A505" i="2"/>
  <c r="B504" i="2"/>
  <c r="A504" i="2"/>
  <c r="B503" i="2"/>
  <c r="A503" i="2"/>
  <c r="B502" i="2"/>
  <c r="A502" i="2"/>
  <c r="B501" i="2"/>
  <c r="A501" i="2"/>
  <c r="B500" i="2"/>
  <c r="A500" i="2"/>
  <c r="B499" i="2"/>
  <c r="A499" i="2"/>
  <c r="B498" i="2"/>
  <c r="A498" i="2"/>
  <c r="B497" i="2"/>
  <c r="A497" i="2"/>
  <c r="B496" i="2"/>
  <c r="A496" i="2"/>
  <c r="B495" i="2"/>
  <c r="A495" i="2"/>
  <c r="B494" i="2"/>
  <c r="A494" i="2"/>
  <c r="B493" i="2"/>
  <c r="A493" i="2"/>
  <c r="B492" i="2"/>
  <c r="A492" i="2"/>
  <c r="B491" i="2"/>
  <c r="A491" i="2"/>
  <c r="B490" i="2"/>
  <c r="A490" i="2"/>
  <c r="B489" i="2"/>
  <c r="A489" i="2"/>
  <c r="B488" i="2"/>
  <c r="A488" i="2"/>
  <c r="B487" i="2"/>
  <c r="A487" i="2"/>
  <c r="B486" i="2"/>
  <c r="A486" i="2"/>
  <c r="B485" i="2"/>
  <c r="A485" i="2"/>
  <c r="B484" i="2"/>
  <c r="A484" i="2"/>
  <c r="B483" i="2"/>
  <c r="A483" i="2"/>
  <c r="B482" i="2"/>
  <c r="A482" i="2"/>
  <c r="B481" i="2"/>
  <c r="A481" i="2"/>
  <c r="B480" i="2"/>
  <c r="A480" i="2"/>
  <c r="B479" i="2"/>
  <c r="A479" i="2"/>
  <c r="B478" i="2"/>
  <c r="A478" i="2"/>
  <c r="B477" i="2"/>
  <c r="A477" i="2"/>
  <c r="B476" i="2"/>
  <c r="A476" i="2"/>
  <c r="B475" i="2"/>
  <c r="A475" i="2"/>
  <c r="B474" i="2"/>
  <c r="A474" i="2"/>
  <c r="B473" i="2"/>
  <c r="A473" i="2"/>
  <c r="B472" i="2"/>
  <c r="A472" i="2"/>
  <c r="B471" i="2"/>
  <c r="A471" i="2"/>
  <c r="B470" i="2"/>
  <c r="A470" i="2"/>
  <c r="B469" i="2"/>
  <c r="A469" i="2"/>
  <c r="B468" i="2"/>
  <c r="A468" i="2"/>
  <c r="B467" i="2"/>
  <c r="A467" i="2"/>
  <c r="B466" i="2"/>
  <c r="A466" i="2"/>
  <c r="B465" i="2"/>
  <c r="A465" i="2"/>
  <c r="B464" i="2"/>
  <c r="A464" i="2"/>
  <c r="B463" i="2"/>
  <c r="A463" i="2"/>
  <c r="B462" i="2"/>
  <c r="A462" i="2"/>
  <c r="B461" i="2"/>
  <c r="A461" i="2"/>
  <c r="B460" i="2"/>
  <c r="A460" i="2"/>
  <c r="B459" i="2"/>
  <c r="A459" i="2"/>
  <c r="B458" i="2"/>
  <c r="A458" i="2"/>
  <c r="B457" i="2"/>
  <c r="A457" i="2"/>
  <c r="B456" i="2"/>
  <c r="A456" i="2"/>
  <c r="B455" i="2"/>
  <c r="A455" i="2"/>
  <c r="B454" i="2"/>
  <c r="A454" i="2"/>
  <c r="B453" i="2"/>
  <c r="A453" i="2"/>
  <c r="B452" i="2"/>
  <c r="A452" i="2"/>
  <c r="B451" i="2"/>
  <c r="A451" i="2"/>
  <c r="B450" i="2"/>
  <c r="A450" i="2"/>
  <c r="B449" i="2"/>
  <c r="A449" i="2"/>
  <c r="B448" i="2"/>
  <c r="A448" i="2"/>
  <c r="B447" i="2"/>
  <c r="A447" i="2"/>
  <c r="B446" i="2"/>
  <c r="A446" i="2"/>
  <c r="B445" i="2"/>
  <c r="A445" i="2"/>
  <c r="B444" i="2"/>
  <c r="A444" i="2"/>
  <c r="B443" i="2"/>
  <c r="A443" i="2"/>
  <c r="B442" i="2"/>
  <c r="A442" i="2"/>
  <c r="B441" i="2"/>
  <c r="A441" i="2"/>
  <c r="B440" i="2"/>
  <c r="A440" i="2"/>
  <c r="B439" i="2"/>
  <c r="A439" i="2"/>
  <c r="B438" i="2"/>
  <c r="A438" i="2"/>
  <c r="B437" i="2"/>
  <c r="A437" i="2"/>
  <c r="B436" i="2"/>
  <c r="A436" i="2"/>
  <c r="B435" i="2"/>
  <c r="A435" i="2"/>
  <c r="B434" i="2"/>
  <c r="A434" i="2"/>
  <c r="B433" i="2"/>
  <c r="A433" i="2"/>
  <c r="B432" i="2"/>
  <c r="A432" i="2"/>
  <c r="B431" i="2"/>
  <c r="A431" i="2"/>
  <c r="B430" i="2"/>
  <c r="A430" i="2"/>
  <c r="B429" i="2"/>
  <c r="A429" i="2"/>
  <c r="B428" i="2"/>
  <c r="A428" i="2"/>
  <c r="B427" i="2"/>
  <c r="A427" i="2"/>
  <c r="B426" i="2"/>
  <c r="A426" i="2"/>
  <c r="B425" i="2"/>
  <c r="A425" i="2"/>
  <c r="B424" i="2"/>
  <c r="A424" i="2"/>
  <c r="B423" i="2"/>
  <c r="A423" i="2"/>
  <c r="B422" i="2"/>
  <c r="A422" i="2"/>
  <c r="B421" i="2"/>
  <c r="A421" i="2"/>
  <c r="B420" i="2"/>
  <c r="A420" i="2"/>
  <c r="B419" i="2"/>
  <c r="A419" i="2"/>
  <c r="B418" i="2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409" i="2"/>
  <c r="A409" i="2"/>
  <c r="B408" i="2"/>
  <c r="A408" i="2"/>
  <c r="B407" i="2"/>
  <c r="A407" i="2"/>
  <c r="B406" i="2"/>
  <c r="A406" i="2"/>
  <c r="B405" i="2"/>
  <c r="A405" i="2"/>
  <c r="B404" i="2"/>
  <c r="A404" i="2"/>
  <c r="B403" i="2"/>
  <c r="A403" i="2"/>
  <c r="B402" i="2"/>
  <c r="A402" i="2"/>
  <c r="B401" i="2"/>
  <c r="A401" i="2"/>
  <c r="B400" i="2"/>
  <c r="A400" i="2"/>
  <c r="B399" i="2"/>
  <c r="A399" i="2"/>
  <c r="B398" i="2"/>
  <c r="A398" i="2"/>
  <c r="B397" i="2"/>
  <c r="A397" i="2"/>
  <c r="B396" i="2"/>
  <c r="A396" i="2"/>
  <c r="B395" i="2"/>
  <c r="A395" i="2"/>
  <c r="B394" i="2"/>
  <c r="A394" i="2"/>
  <c r="B393" i="2"/>
  <c r="A393" i="2"/>
  <c r="B392" i="2"/>
  <c r="A392" i="2"/>
  <c r="B391" i="2"/>
  <c r="A391" i="2"/>
  <c r="B390" i="2"/>
  <c r="A390" i="2"/>
  <c r="B389" i="2"/>
  <c r="A389" i="2"/>
  <c r="B388" i="2"/>
  <c r="A388" i="2"/>
  <c r="B387" i="2"/>
  <c r="A387" i="2"/>
  <c r="B386" i="2"/>
  <c r="A386" i="2"/>
  <c r="B385" i="2"/>
  <c r="A385" i="2"/>
  <c r="B384" i="2"/>
  <c r="A384" i="2"/>
  <c r="B383" i="2"/>
  <c r="A383" i="2"/>
  <c r="B382" i="2"/>
  <c r="A382" i="2"/>
  <c r="B381" i="2"/>
  <c r="A381" i="2"/>
  <c r="B380" i="2"/>
  <c r="A380" i="2"/>
  <c r="B379" i="2"/>
  <c r="A379" i="2"/>
  <c r="B378" i="2"/>
  <c r="A378" i="2"/>
  <c r="B377" i="2"/>
  <c r="A377" i="2"/>
  <c r="B376" i="2"/>
  <c r="A376" i="2"/>
  <c r="B375" i="2"/>
  <c r="A375" i="2"/>
  <c r="B374" i="2"/>
  <c r="A374" i="2"/>
  <c r="B373" i="2"/>
  <c r="A373" i="2"/>
  <c r="B372" i="2"/>
  <c r="A372" i="2"/>
  <c r="B371" i="2"/>
  <c r="A371" i="2"/>
  <c r="B370" i="2"/>
  <c r="A370" i="2"/>
  <c r="B369" i="2"/>
  <c r="A369" i="2"/>
  <c r="B368" i="2"/>
  <c r="A368" i="2"/>
  <c r="B367" i="2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A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3" i="2"/>
  <c r="A343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C49" i="3" s="1"/>
  <c r="D49" i="3" s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C104" i="3" s="1"/>
  <c r="D104" i="3" s="1"/>
  <c r="C43" i="3" l="1"/>
  <c r="D43" i="3" s="1"/>
  <c r="C77" i="3"/>
  <c r="D77" i="3" s="1"/>
  <c r="D24" i="3"/>
  <c r="D42" i="3"/>
  <c r="C34" i="3"/>
  <c r="D34" i="3" s="1"/>
  <c r="C74" i="3"/>
  <c r="D74" i="3" s="1"/>
</calcChain>
</file>

<file path=xl/sharedStrings.xml><?xml version="1.0" encoding="utf-8"?>
<sst xmlns="http://schemas.openxmlformats.org/spreadsheetml/2006/main" count="36153" uniqueCount="120">
  <si>
    <t>claim_id</t>
  </si>
  <si>
    <t>policy_id</t>
  </si>
  <si>
    <t>claim_type</t>
  </si>
  <si>
    <t>claim_amount</t>
  </si>
  <si>
    <t>days_since_policy_start</t>
  </si>
  <si>
    <t>num_prior_claims</t>
  </si>
  <si>
    <t>incident_report_delay_days</t>
  </si>
  <si>
    <t>is_weekend_claim</t>
  </si>
  <si>
    <t>claim_channel</t>
  </si>
  <si>
    <t>fraud_label</t>
  </si>
  <si>
    <t>age</t>
  </si>
  <si>
    <t>gender</t>
  </si>
  <si>
    <t>postcode_region</t>
  </si>
  <si>
    <t>income_band</t>
  </si>
  <si>
    <t>policy_type</t>
  </si>
  <si>
    <t>policy_tenure_years</t>
  </si>
  <si>
    <t>claim_amount_outlier</t>
  </si>
  <si>
    <t>baseline_flag</t>
  </si>
  <si>
    <t>Motor</t>
  </si>
  <si>
    <t>Phone</t>
  </si>
  <si>
    <t>Male</t>
  </si>
  <si>
    <t>South</t>
  </si>
  <si>
    <t>Medium</t>
  </si>
  <si>
    <t>Premium</t>
  </si>
  <si>
    <t>Female</t>
  </si>
  <si>
    <t>Scotland</t>
  </si>
  <si>
    <t>High</t>
  </si>
  <si>
    <t>Standard</t>
  </si>
  <si>
    <t>Travel</t>
  </si>
  <si>
    <t>North</t>
  </si>
  <si>
    <t>Low</t>
  </si>
  <si>
    <t>London</t>
  </si>
  <si>
    <t>Broker</t>
  </si>
  <si>
    <t>Online</t>
  </si>
  <si>
    <t>Home</t>
  </si>
  <si>
    <t>Midlands</t>
  </si>
  <si>
    <t>Basic</t>
  </si>
  <si>
    <t>Wales</t>
  </si>
  <si>
    <t>Other</t>
  </si>
  <si>
    <t>claim_amount_if_legit</t>
  </si>
  <si>
    <t>claim_amount_if_fraud</t>
  </si>
  <si>
    <t>AuroraSure Fraud Detection - EDA Validation Workbook</t>
  </si>
  <si>
    <t>Column key</t>
  </si>
  <si>
    <t>Notebook output (Python)</t>
  </si>
  <si>
    <t>Excel formula result</t>
  </si>
  <si>
    <t>Match?</t>
  </si>
  <si>
    <t>A. Dataset Overview</t>
  </si>
  <si>
    <t>Metric</t>
  </si>
  <si>
    <t>Notebook output</t>
  </si>
  <si>
    <t>Number of claim records</t>
  </si>
  <si>
    <t>Number of confirmed fraud cases</t>
  </si>
  <si>
    <t>Percentage of claims labelled fraudulent</t>
  </si>
  <si>
    <t>B. Fraud Rate by Claim Type</t>
  </si>
  <si>
    <t>Fraud rate - Motor</t>
  </si>
  <si>
    <t>Fraud rate - Home</t>
  </si>
  <si>
    <t>Fraud rate - Travel</t>
  </si>
  <si>
    <t>C. Summary Statistics (claim_amount)</t>
  </si>
  <si>
    <t>Mean claim_amount</t>
  </si>
  <si>
    <t>Median claim_amount</t>
  </si>
  <si>
    <t>Standard deviation claim_amount</t>
  </si>
  <si>
    <t>Q1 claim_amount</t>
  </si>
  <si>
    <t>Q3 claim_amount</t>
  </si>
  <si>
    <t>IQR claim_amount</t>
  </si>
  <si>
    <t>C. Summary Statistics (incident_report_delay_days)</t>
  </si>
  <si>
    <t>Mean incident_report_delay_days</t>
  </si>
  <si>
    <t>Median incident_report_delay_days</t>
  </si>
  <si>
    <t>Standard deviation incident_report_delay_days</t>
  </si>
  <si>
    <t>Q1 incident_report_delay_days</t>
  </si>
  <si>
    <t>Q3 incident_report_delay_days</t>
  </si>
  <si>
    <t>IQR incident_report_delay_days</t>
  </si>
  <si>
    <t>C. Summary Statistics (days_since_policy_start)</t>
  </si>
  <si>
    <t>Mean days_since_policy_start</t>
  </si>
  <si>
    <t>Median days_since_policy_start</t>
  </si>
  <si>
    <t>Standard deviation days_since_policy_start</t>
  </si>
  <si>
    <t>Q1 days_since_policy_start</t>
  </si>
  <si>
    <t>Q3 days_since_policy_start</t>
  </si>
  <si>
    <t>IQR days_since_policy_start</t>
  </si>
  <si>
    <t>D. Claim Amount by Fraud Outcome</t>
  </si>
  <si>
    <t>Mean claim_amount - legitimate (0)</t>
  </si>
  <si>
    <t>Mean claim_amount - fraudulent (1)</t>
  </si>
  <si>
    <t>Median claim_amount - legitimate (0)</t>
  </si>
  <si>
    <t>Median claim_amount - fraudulent (1)</t>
  </si>
  <si>
    <t>E. Distribution of claim_type</t>
  </si>
  <si>
    <t>Count - Motor</t>
  </si>
  <si>
    <t>Count - Home</t>
  </si>
  <si>
    <t>Count - Travel</t>
  </si>
  <si>
    <t>E. Distribution of claim_channel</t>
  </si>
  <si>
    <t>Count - Online</t>
  </si>
  <si>
    <t>Count - Phone</t>
  </si>
  <si>
    <t>Count - Broker</t>
  </si>
  <si>
    <t>E. Distribution of policy_type</t>
  </si>
  <si>
    <t>Count - Basic</t>
  </si>
  <si>
    <t>Count - Standard</t>
  </si>
  <si>
    <t>Count - Premium</t>
  </si>
  <si>
    <t>F. Baseline Rule False Positive Rate</t>
  </si>
  <si>
    <t>False positives (baseline_flag=1 AND fraud_label=0)</t>
  </si>
  <si>
    <t>Total legitimate claims (fraud_label=0)</t>
  </si>
  <si>
    <t>Overall false positive rate</t>
  </si>
  <si>
    <t>Total claims flagged by baseline rule</t>
  </si>
  <si>
    <t>True positives among flagged (baseline_flag=1 AND fraud_label=1)</t>
  </si>
  <si>
    <t>Baseline rule precision</t>
  </si>
  <si>
    <t>G. Optional - Fraud Rate by Region</t>
  </si>
  <si>
    <t>Fraud rate - London</t>
  </si>
  <si>
    <t>Fraud rate - Midlands</t>
  </si>
  <si>
    <t>Fraud rate - North</t>
  </si>
  <si>
    <t>Fraud rate - Scotland</t>
  </si>
  <si>
    <t>Fraud rate - South</t>
  </si>
  <si>
    <t>Fraud rate - Wales</t>
  </si>
  <si>
    <t>G. Optional - Fraud Rate by Income Band</t>
  </si>
  <si>
    <t>Fraud rate - High income</t>
  </si>
  <si>
    <t>Fraud rate - Low income</t>
  </si>
  <si>
    <t>Fraud rate - Medium income</t>
  </si>
  <si>
    <t>G. Optional - Fraud Rate by Gender</t>
  </si>
  <si>
    <t>Fraud rate - Male</t>
  </si>
  <si>
    <t>Fraud rate - Female</t>
  </si>
  <si>
    <t>Fraud rate - Other</t>
  </si>
  <si>
    <t>G. Optional - Age Distribution and Outliers</t>
  </si>
  <si>
    <t>Mean policyholder age</t>
  </si>
  <si>
    <t>Median policyholder age</t>
  </si>
  <si>
    <t>Claim amount outliers flagged (IQR rule)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</si>
</sst>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4"/>
      <color rgb="FF2E4057"/>
      <name val="Times New Roman"/>
      <family val="1"/>
    </font>
    <font>
      <b/>
      <sz val="14"/>
      <color rgb="FF1B2A41"/>
      <name val="Times New Roman"/>
      <family val="1"/>
    </font>
    <font>
      <b/>
      <sz val="14"/>
      <color rgb="FFFFFFFF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i/>
      <sz val="14"/>
      <color rgb="FF555555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1B2A41"/>
      </patternFill>
    </fill>
    <fill>
      <patternFill patternType="solid">
        <fgColor rgb="FFFFF3CD"/>
        <bgColor rgb="FFFFFFFF"/>
      </patternFill>
    </fill>
    <fill>
      <patternFill patternType="solid">
        <fgColor rgb="FFD9E2EC"/>
        <bgColor rgb="FFCCFFFF"/>
      </patternFill>
    </fill>
  </fills>
  <borders count="2">
    <border>
      <left/>
      <right/>
      <top/>
      <bottom/>
      <diagonal/>
    </border>
    <border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2" fontId="0" fillId="0" borderId="0" xfId="0" applyNumberFormat="1"/>
    <xf numFmtId="0" fontId="2" fillId="0" borderId="0" xfId="0" applyFont="1"/>
    <xf numFmtId="0" fontId="3" fillId="4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" fontId="5" fillId="3" borderId="1" xfId="0" applyNumberFormat="1" applyFont="1" applyFill="1" applyBorder="1"/>
    <xf numFmtId="1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0" fontId="5" fillId="3" borderId="1" xfId="0" applyNumberFormat="1" applyFont="1" applyFill="1" applyBorder="1"/>
    <xf numFmtId="10" fontId="5" fillId="0" borderId="1" xfId="0" applyNumberFormat="1" applyFont="1" applyBorder="1"/>
    <xf numFmtId="0" fontId="6" fillId="0" borderId="0" xfId="0" applyFont="1"/>
    <xf numFmtId="0" fontId="7" fillId="0" borderId="0" xfId="0" applyFont="1" applyBorder="1" applyAlignment="1">
      <alignment vertical="top" wrapText="1"/>
    </xf>
    <xf numFmtId="0" fontId="8" fillId="0" borderId="0" xfId="0" applyFont="1"/>
    <xf numFmtId="0" fontId="9" fillId="3" borderId="0" xfId="0" applyFont="1" applyFill="1"/>
    <xf numFmtId="0" fontId="9" fillId="0" borderId="0" xfId="0" applyFont="1"/>
    <xf numFmtId="4" fontId="5" fillId="3" borderId="1" xfId="0" applyNumberFormat="1" applyFont="1" applyFill="1" applyBorder="1"/>
    <xf numFmtId="4" fontId="5" fillId="0" borderId="1" xfId="0" applyNumberFormat="1" applyFont="1" applyBorder="1"/>
    <xf numFmtId="164" fontId="5" fillId="3" borderId="1" xfId="0" applyNumberFormat="1" applyFont="1" applyFill="1" applyBorder="1"/>
    <xf numFmtId="164" fontId="5" fillId="0" borderId="1" xfId="0" applyNumberFormat="1" applyFont="1" applyBorder="1"/>
    <xf numFmtId="2" fontId="5" fillId="3" borderId="1" xfId="0" applyNumberFormat="1" applyFont="1" applyFill="1" applyBorder="1"/>
    <xf numFmtId="2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1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E4057"/>
      <rgbColor rgb="FF1B2A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3" width="12" customWidth="1"/>
    <col min="4" max="4" width="14" customWidth="1"/>
    <col min="5" max="5" width="25" customWidth="1"/>
    <col min="6" max="6" width="18" customWidth="1"/>
    <col min="7" max="7" width="28" customWidth="1"/>
    <col min="8" max="8" width="18" customWidth="1"/>
    <col min="9" max="9" width="15" customWidth="1"/>
    <col min="10" max="10" width="13" customWidth="1"/>
    <col min="11" max="12" width="12" customWidth="1"/>
    <col min="13" max="13" width="17" customWidth="1"/>
    <col min="14" max="15" width="13" customWidth="1"/>
    <col min="16" max="16" width="21" customWidth="1"/>
    <col min="17" max="17" width="22" customWidth="1"/>
    <col min="18" max="18" width="15" customWidth="1"/>
  </cols>
  <sheetData>
    <row r="1" spans="1:1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200001</v>
      </c>
      <c r="B2">
        <v>52306</v>
      </c>
      <c r="C2" t="s">
        <v>18</v>
      </c>
      <c r="D2">
        <v>1171.6199999999999</v>
      </c>
      <c r="E2">
        <v>42</v>
      </c>
      <c r="F2">
        <v>0</v>
      </c>
      <c r="G2">
        <v>4</v>
      </c>
      <c r="H2">
        <v>0</v>
      </c>
      <c r="I2" t="s">
        <v>19</v>
      </c>
      <c r="J2">
        <v>0</v>
      </c>
      <c r="K2">
        <v>79</v>
      </c>
      <c r="L2" t="s">
        <v>20</v>
      </c>
      <c r="M2" t="s">
        <v>21</v>
      </c>
      <c r="N2" t="s">
        <v>22</v>
      </c>
      <c r="O2" t="s">
        <v>23</v>
      </c>
      <c r="P2">
        <v>3.65</v>
      </c>
      <c r="Q2" s="2" t="b">
        <f>FALSE()</f>
        <v>0</v>
      </c>
      <c r="R2">
        <v>0</v>
      </c>
    </row>
    <row r="3" spans="1:18" x14ac:dyDescent="0.25">
      <c r="A3">
        <v>200002</v>
      </c>
      <c r="B3">
        <v>50795</v>
      </c>
      <c r="C3" t="s">
        <v>18</v>
      </c>
      <c r="D3">
        <v>1192.21</v>
      </c>
      <c r="E3">
        <v>3024</v>
      </c>
      <c r="F3">
        <v>2</v>
      </c>
      <c r="G3">
        <v>6</v>
      </c>
      <c r="H3">
        <v>1</v>
      </c>
      <c r="I3" t="s">
        <v>19</v>
      </c>
      <c r="J3">
        <v>0</v>
      </c>
      <c r="K3">
        <v>80</v>
      </c>
      <c r="L3" t="s">
        <v>24</v>
      </c>
      <c r="M3" t="s">
        <v>25</v>
      </c>
      <c r="N3" t="s">
        <v>26</v>
      </c>
      <c r="O3" t="s">
        <v>27</v>
      </c>
      <c r="P3">
        <v>0.12</v>
      </c>
      <c r="Q3" s="2" t="b">
        <f>FALSE()</f>
        <v>0</v>
      </c>
      <c r="R3">
        <v>0</v>
      </c>
    </row>
    <row r="4" spans="1:18" x14ac:dyDescent="0.25">
      <c r="A4">
        <v>200003</v>
      </c>
      <c r="B4">
        <v>55049</v>
      </c>
      <c r="C4" t="s">
        <v>28</v>
      </c>
      <c r="D4">
        <v>3567.16</v>
      </c>
      <c r="E4">
        <v>2241</v>
      </c>
      <c r="F4">
        <v>1</v>
      </c>
      <c r="G4">
        <v>6</v>
      </c>
      <c r="H4">
        <v>0</v>
      </c>
      <c r="I4" t="s">
        <v>19</v>
      </c>
      <c r="J4">
        <v>0</v>
      </c>
      <c r="K4">
        <v>77</v>
      </c>
      <c r="L4" t="s">
        <v>24</v>
      </c>
      <c r="M4" t="s">
        <v>29</v>
      </c>
      <c r="N4" t="s">
        <v>30</v>
      </c>
      <c r="O4" t="s">
        <v>27</v>
      </c>
      <c r="P4">
        <v>3.87</v>
      </c>
      <c r="Q4" s="2" t="b">
        <f>FALSE()</f>
        <v>0</v>
      </c>
      <c r="R4">
        <v>0</v>
      </c>
    </row>
    <row r="5" spans="1:18" x14ac:dyDescent="0.25">
      <c r="A5">
        <v>200004</v>
      </c>
      <c r="B5">
        <v>52126</v>
      </c>
      <c r="C5" t="s">
        <v>18</v>
      </c>
      <c r="D5">
        <v>1311.54</v>
      </c>
      <c r="E5">
        <v>970</v>
      </c>
      <c r="F5">
        <v>0</v>
      </c>
      <c r="G5">
        <v>4</v>
      </c>
      <c r="H5">
        <v>0</v>
      </c>
      <c r="I5" t="s">
        <v>19</v>
      </c>
      <c r="J5">
        <v>0</v>
      </c>
      <c r="K5">
        <v>51</v>
      </c>
      <c r="L5" t="s">
        <v>24</v>
      </c>
      <c r="M5" t="s">
        <v>31</v>
      </c>
      <c r="N5" t="s">
        <v>22</v>
      </c>
      <c r="O5" t="s">
        <v>23</v>
      </c>
      <c r="P5">
        <v>4.01</v>
      </c>
      <c r="Q5" s="2" t="b">
        <f>FALSE()</f>
        <v>0</v>
      </c>
      <c r="R5">
        <v>0</v>
      </c>
    </row>
    <row r="6" spans="1:18" x14ac:dyDescent="0.25">
      <c r="A6">
        <v>200005</v>
      </c>
      <c r="B6">
        <v>55662</v>
      </c>
      <c r="C6" t="s">
        <v>18</v>
      </c>
      <c r="D6">
        <v>1237.5899999999999</v>
      </c>
      <c r="E6">
        <v>3538</v>
      </c>
      <c r="F6">
        <v>1</v>
      </c>
      <c r="G6">
        <v>0</v>
      </c>
      <c r="H6">
        <v>0</v>
      </c>
      <c r="I6" t="s">
        <v>32</v>
      </c>
      <c r="J6">
        <v>0</v>
      </c>
      <c r="K6">
        <v>44</v>
      </c>
      <c r="L6" t="s">
        <v>20</v>
      </c>
      <c r="M6" t="s">
        <v>31</v>
      </c>
      <c r="N6" t="s">
        <v>22</v>
      </c>
      <c r="O6" t="s">
        <v>23</v>
      </c>
      <c r="P6">
        <v>3.11</v>
      </c>
      <c r="Q6" s="2" t="b">
        <f>FALSE()</f>
        <v>0</v>
      </c>
      <c r="R6">
        <v>0</v>
      </c>
    </row>
    <row r="7" spans="1:18" x14ac:dyDescent="0.25">
      <c r="A7">
        <v>200006</v>
      </c>
      <c r="B7">
        <v>51460</v>
      </c>
      <c r="C7" t="s">
        <v>18</v>
      </c>
      <c r="D7">
        <v>6705.69</v>
      </c>
      <c r="E7">
        <v>604</v>
      </c>
      <c r="F7">
        <v>0</v>
      </c>
      <c r="G7">
        <v>5</v>
      </c>
      <c r="H7">
        <v>1</v>
      </c>
      <c r="I7" t="s">
        <v>19</v>
      </c>
      <c r="J7">
        <v>0</v>
      </c>
      <c r="K7">
        <v>23</v>
      </c>
      <c r="L7" t="s">
        <v>24</v>
      </c>
      <c r="M7" t="s">
        <v>25</v>
      </c>
      <c r="N7" t="s">
        <v>30</v>
      </c>
      <c r="O7" t="s">
        <v>27</v>
      </c>
      <c r="P7">
        <v>0.97</v>
      </c>
      <c r="Q7" s="2" t="b">
        <f>FALSE()</f>
        <v>0</v>
      </c>
      <c r="R7">
        <v>1</v>
      </c>
    </row>
    <row r="8" spans="1:18" x14ac:dyDescent="0.25">
      <c r="A8">
        <v>200007</v>
      </c>
      <c r="B8">
        <v>51990</v>
      </c>
      <c r="C8" t="s">
        <v>18</v>
      </c>
      <c r="D8">
        <v>1411.26</v>
      </c>
      <c r="E8">
        <v>1067</v>
      </c>
      <c r="F8">
        <v>3</v>
      </c>
      <c r="G8">
        <v>4</v>
      </c>
      <c r="H8">
        <v>0</v>
      </c>
      <c r="I8" t="s">
        <v>19</v>
      </c>
      <c r="J8">
        <v>0</v>
      </c>
      <c r="K8">
        <v>54</v>
      </c>
      <c r="L8" t="s">
        <v>24</v>
      </c>
      <c r="M8" t="s">
        <v>21</v>
      </c>
      <c r="N8" t="s">
        <v>22</v>
      </c>
      <c r="O8" t="s">
        <v>27</v>
      </c>
      <c r="P8">
        <v>0.28999999999999998</v>
      </c>
      <c r="Q8" s="2" t="b">
        <f>FALSE()</f>
        <v>0</v>
      </c>
      <c r="R8">
        <v>1</v>
      </c>
    </row>
    <row r="9" spans="1:18" x14ac:dyDescent="0.25">
      <c r="A9">
        <v>200008</v>
      </c>
      <c r="B9">
        <v>50029</v>
      </c>
      <c r="C9" t="s">
        <v>18</v>
      </c>
      <c r="D9">
        <v>3183.48</v>
      </c>
      <c r="E9">
        <v>114</v>
      </c>
      <c r="F9">
        <v>0</v>
      </c>
      <c r="G9">
        <v>4</v>
      </c>
      <c r="H9">
        <v>0</v>
      </c>
      <c r="I9" t="s">
        <v>33</v>
      </c>
      <c r="J9">
        <v>0</v>
      </c>
      <c r="K9">
        <v>42</v>
      </c>
      <c r="L9" t="s">
        <v>24</v>
      </c>
      <c r="M9" t="s">
        <v>31</v>
      </c>
      <c r="N9" t="s">
        <v>22</v>
      </c>
      <c r="O9" t="s">
        <v>27</v>
      </c>
      <c r="P9">
        <v>1.52</v>
      </c>
      <c r="Q9" s="2" t="b">
        <f>FALSE()</f>
        <v>0</v>
      </c>
      <c r="R9">
        <v>0</v>
      </c>
    </row>
    <row r="10" spans="1:18" x14ac:dyDescent="0.25">
      <c r="A10">
        <v>200009</v>
      </c>
      <c r="B10">
        <v>52691</v>
      </c>
      <c r="C10" t="s">
        <v>34</v>
      </c>
      <c r="D10">
        <v>2017.59</v>
      </c>
      <c r="E10">
        <v>3214</v>
      </c>
      <c r="F10">
        <v>0</v>
      </c>
      <c r="G10">
        <v>3</v>
      </c>
      <c r="H10">
        <v>0</v>
      </c>
      <c r="I10" t="s">
        <v>32</v>
      </c>
      <c r="J10">
        <v>0</v>
      </c>
      <c r="K10">
        <v>59</v>
      </c>
      <c r="L10" t="s">
        <v>24</v>
      </c>
      <c r="M10" t="s">
        <v>35</v>
      </c>
      <c r="N10" t="s">
        <v>30</v>
      </c>
      <c r="O10" t="s">
        <v>36</v>
      </c>
      <c r="P10">
        <v>3.52</v>
      </c>
      <c r="Q10" s="2" t="b">
        <f>FALSE()</f>
        <v>0</v>
      </c>
      <c r="R10">
        <v>0</v>
      </c>
    </row>
    <row r="11" spans="1:18" x14ac:dyDescent="0.25">
      <c r="A11">
        <v>200010</v>
      </c>
      <c r="B11">
        <v>54535</v>
      </c>
      <c r="C11" t="s">
        <v>34</v>
      </c>
      <c r="D11">
        <v>1885.14</v>
      </c>
      <c r="E11">
        <v>3123</v>
      </c>
      <c r="F11">
        <v>2</v>
      </c>
      <c r="G11">
        <v>6</v>
      </c>
      <c r="H11">
        <v>0</v>
      </c>
      <c r="I11" t="s">
        <v>19</v>
      </c>
      <c r="J11">
        <v>0</v>
      </c>
      <c r="K11">
        <v>29</v>
      </c>
      <c r="L11" t="s">
        <v>24</v>
      </c>
      <c r="M11" t="s">
        <v>21</v>
      </c>
      <c r="N11" t="s">
        <v>26</v>
      </c>
      <c r="O11" t="s">
        <v>36</v>
      </c>
      <c r="P11">
        <v>0.69</v>
      </c>
      <c r="Q11" s="2" t="b">
        <f>FALSE()</f>
        <v>0</v>
      </c>
      <c r="R11">
        <v>0</v>
      </c>
    </row>
    <row r="12" spans="1:18" x14ac:dyDescent="0.25">
      <c r="A12">
        <v>200011</v>
      </c>
      <c r="B12">
        <v>51052</v>
      </c>
      <c r="C12" t="s">
        <v>34</v>
      </c>
      <c r="D12">
        <v>1345.32</v>
      </c>
      <c r="E12">
        <v>229</v>
      </c>
      <c r="F12">
        <v>2</v>
      </c>
      <c r="G12">
        <v>5</v>
      </c>
      <c r="H12">
        <v>0</v>
      </c>
      <c r="I12" t="s">
        <v>32</v>
      </c>
      <c r="J12">
        <v>0</v>
      </c>
      <c r="K12">
        <v>53</v>
      </c>
      <c r="L12" t="s">
        <v>24</v>
      </c>
      <c r="M12" t="s">
        <v>21</v>
      </c>
      <c r="N12" t="s">
        <v>22</v>
      </c>
      <c r="O12" t="s">
        <v>36</v>
      </c>
      <c r="P12">
        <v>2.99</v>
      </c>
      <c r="Q12" s="2" t="b">
        <f>FALSE()</f>
        <v>0</v>
      </c>
      <c r="R12">
        <v>0</v>
      </c>
    </row>
    <row r="13" spans="1:18" x14ac:dyDescent="0.25">
      <c r="A13">
        <v>200012</v>
      </c>
      <c r="B13">
        <v>54858</v>
      </c>
      <c r="C13" t="s">
        <v>34</v>
      </c>
      <c r="D13">
        <v>1077.33</v>
      </c>
      <c r="E13">
        <v>1655</v>
      </c>
      <c r="F13">
        <v>1</v>
      </c>
      <c r="G13">
        <v>4</v>
      </c>
      <c r="H13">
        <v>0</v>
      </c>
      <c r="I13" t="s">
        <v>19</v>
      </c>
      <c r="J13">
        <v>0</v>
      </c>
      <c r="K13">
        <v>69</v>
      </c>
      <c r="L13" t="s">
        <v>20</v>
      </c>
      <c r="M13" t="s">
        <v>25</v>
      </c>
      <c r="N13" t="s">
        <v>30</v>
      </c>
      <c r="O13" t="s">
        <v>27</v>
      </c>
      <c r="P13">
        <v>2.27</v>
      </c>
      <c r="Q13" s="2" t="b">
        <f>FALSE()</f>
        <v>0</v>
      </c>
      <c r="R13">
        <v>0</v>
      </c>
    </row>
    <row r="14" spans="1:18" x14ac:dyDescent="0.25">
      <c r="A14">
        <v>200013</v>
      </c>
      <c r="B14">
        <v>52657</v>
      </c>
      <c r="C14" t="s">
        <v>18</v>
      </c>
      <c r="D14">
        <v>3762.01</v>
      </c>
      <c r="E14">
        <v>2436</v>
      </c>
      <c r="F14">
        <v>2</v>
      </c>
      <c r="G14">
        <v>6</v>
      </c>
      <c r="H14">
        <v>0</v>
      </c>
      <c r="I14" t="s">
        <v>33</v>
      </c>
      <c r="J14">
        <v>0</v>
      </c>
      <c r="K14">
        <v>55</v>
      </c>
      <c r="L14" t="s">
        <v>20</v>
      </c>
      <c r="M14" t="s">
        <v>29</v>
      </c>
      <c r="N14" t="s">
        <v>30</v>
      </c>
      <c r="O14" t="s">
        <v>27</v>
      </c>
      <c r="P14">
        <v>1.29</v>
      </c>
      <c r="Q14" s="2" t="b">
        <f>FALSE()</f>
        <v>0</v>
      </c>
      <c r="R14">
        <v>1</v>
      </c>
    </row>
    <row r="15" spans="1:18" x14ac:dyDescent="0.25">
      <c r="A15">
        <v>200014</v>
      </c>
      <c r="B15">
        <v>51160</v>
      </c>
      <c r="C15" t="s">
        <v>28</v>
      </c>
      <c r="D15">
        <v>4620.24</v>
      </c>
      <c r="E15">
        <v>1646</v>
      </c>
      <c r="F15">
        <v>2</v>
      </c>
      <c r="G15">
        <v>3</v>
      </c>
      <c r="H15">
        <v>0</v>
      </c>
      <c r="I15" t="s">
        <v>33</v>
      </c>
      <c r="J15">
        <v>0</v>
      </c>
      <c r="K15">
        <v>66</v>
      </c>
      <c r="L15" t="s">
        <v>24</v>
      </c>
      <c r="M15" t="s">
        <v>29</v>
      </c>
      <c r="N15" t="s">
        <v>22</v>
      </c>
      <c r="O15" t="s">
        <v>36</v>
      </c>
      <c r="P15">
        <v>1.1000000000000001</v>
      </c>
      <c r="Q15" s="2" t="b">
        <f>FALSE()</f>
        <v>0</v>
      </c>
      <c r="R15">
        <v>1</v>
      </c>
    </row>
    <row r="16" spans="1:18" x14ac:dyDescent="0.25">
      <c r="A16">
        <v>200015</v>
      </c>
      <c r="B16">
        <v>54720</v>
      </c>
      <c r="C16" t="s">
        <v>18</v>
      </c>
      <c r="D16">
        <v>2740.91</v>
      </c>
      <c r="E16">
        <v>3366</v>
      </c>
      <c r="F16">
        <v>2</v>
      </c>
      <c r="G16">
        <v>3</v>
      </c>
      <c r="H16">
        <v>1</v>
      </c>
      <c r="I16" t="s">
        <v>33</v>
      </c>
      <c r="J16">
        <v>0</v>
      </c>
      <c r="K16">
        <v>62</v>
      </c>
      <c r="L16" t="s">
        <v>24</v>
      </c>
      <c r="M16" t="s">
        <v>21</v>
      </c>
      <c r="N16" t="s">
        <v>30</v>
      </c>
      <c r="O16" t="s">
        <v>27</v>
      </c>
      <c r="P16">
        <v>3.89</v>
      </c>
      <c r="Q16" s="2" t="b">
        <f>FALSE()</f>
        <v>0</v>
      </c>
      <c r="R16">
        <v>0</v>
      </c>
    </row>
    <row r="17" spans="1:18" x14ac:dyDescent="0.25">
      <c r="A17">
        <v>200016</v>
      </c>
      <c r="B17">
        <v>50917</v>
      </c>
      <c r="C17" t="s">
        <v>28</v>
      </c>
      <c r="D17">
        <v>1179.3800000000001</v>
      </c>
      <c r="E17">
        <v>1977</v>
      </c>
      <c r="F17">
        <v>2</v>
      </c>
      <c r="G17">
        <v>1</v>
      </c>
      <c r="H17">
        <v>0</v>
      </c>
      <c r="I17" t="s">
        <v>33</v>
      </c>
      <c r="J17">
        <v>1</v>
      </c>
      <c r="K17">
        <v>78</v>
      </c>
      <c r="L17" t="s">
        <v>20</v>
      </c>
      <c r="M17" t="s">
        <v>37</v>
      </c>
      <c r="N17" t="s">
        <v>26</v>
      </c>
      <c r="O17" t="s">
        <v>27</v>
      </c>
      <c r="P17">
        <v>2.44</v>
      </c>
      <c r="Q17" s="2" t="b">
        <f>FALSE()</f>
        <v>0</v>
      </c>
      <c r="R17">
        <v>0</v>
      </c>
    </row>
    <row r="18" spans="1:18" x14ac:dyDescent="0.25">
      <c r="A18">
        <v>200017</v>
      </c>
      <c r="B18">
        <v>54514</v>
      </c>
      <c r="C18" t="s">
        <v>18</v>
      </c>
      <c r="D18">
        <v>7989.15</v>
      </c>
      <c r="E18">
        <v>72</v>
      </c>
      <c r="F18">
        <v>0</v>
      </c>
      <c r="G18">
        <v>5</v>
      </c>
      <c r="H18">
        <v>0</v>
      </c>
      <c r="I18" t="s">
        <v>33</v>
      </c>
      <c r="J18">
        <v>0</v>
      </c>
      <c r="K18">
        <v>65</v>
      </c>
      <c r="L18" t="s">
        <v>20</v>
      </c>
      <c r="M18" t="s">
        <v>31</v>
      </c>
      <c r="N18" t="s">
        <v>30</v>
      </c>
      <c r="O18" t="s">
        <v>27</v>
      </c>
      <c r="P18">
        <v>2.39</v>
      </c>
      <c r="Q18" s="2" t="b">
        <f>TRUE()</f>
        <v>1</v>
      </c>
      <c r="R18">
        <v>1</v>
      </c>
    </row>
    <row r="19" spans="1:18" x14ac:dyDescent="0.25">
      <c r="A19">
        <v>200018</v>
      </c>
      <c r="B19">
        <v>55415</v>
      </c>
      <c r="C19" t="s">
        <v>34</v>
      </c>
      <c r="D19">
        <v>1129.6199999999999</v>
      </c>
      <c r="E19">
        <v>1836</v>
      </c>
      <c r="F19">
        <v>0</v>
      </c>
      <c r="G19">
        <v>6</v>
      </c>
      <c r="H19">
        <v>0</v>
      </c>
      <c r="I19" t="s">
        <v>19</v>
      </c>
      <c r="J19">
        <v>1</v>
      </c>
      <c r="K19">
        <v>58</v>
      </c>
      <c r="L19" t="s">
        <v>20</v>
      </c>
      <c r="M19" t="s">
        <v>21</v>
      </c>
      <c r="N19" t="s">
        <v>26</v>
      </c>
      <c r="O19" t="s">
        <v>27</v>
      </c>
      <c r="P19">
        <v>0.01</v>
      </c>
      <c r="Q19" s="2" t="b">
        <f>FALSE()</f>
        <v>0</v>
      </c>
      <c r="R19">
        <v>0</v>
      </c>
    </row>
    <row r="20" spans="1:18" x14ac:dyDescent="0.25">
      <c r="A20">
        <v>200019</v>
      </c>
      <c r="B20">
        <v>55146</v>
      </c>
      <c r="C20" t="s">
        <v>34</v>
      </c>
      <c r="D20">
        <v>2931.98</v>
      </c>
      <c r="E20">
        <v>2309</v>
      </c>
      <c r="F20">
        <v>1</v>
      </c>
      <c r="G20">
        <v>6</v>
      </c>
      <c r="H20">
        <v>0</v>
      </c>
      <c r="I20" t="s">
        <v>33</v>
      </c>
      <c r="J20">
        <v>0</v>
      </c>
      <c r="K20">
        <v>21</v>
      </c>
      <c r="L20" t="s">
        <v>20</v>
      </c>
      <c r="M20" t="s">
        <v>29</v>
      </c>
      <c r="N20" t="s">
        <v>22</v>
      </c>
      <c r="O20" t="s">
        <v>36</v>
      </c>
      <c r="P20">
        <v>2.4</v>
      </c>
      <c r="Q20" s="2" t="b">
        <f>FALSE()</f>
        <v>0</v>
      </c>
      <c r="R20">
        <v>0</v>
      </c>
    </row>
    <row r="21" spans="1:18" x14ac:dyDescent="0.25">
      <c r="A21">
        <v>200020</v>
      </c>
      <c r="B21">
        <v>53397</v>
      </c>
      <c r="C21" t="s">
        <v>18</v>
      </c>
      <c r="D21">
        <v>2458.2800000000002</v>
      </c>
      <c r="E21">
        <v>594</v>
      </c>
      <c r="F21">
        <v>0</v>
      </c>
      <c r="G21">
        <v>2</v>
      </c>
      <c r="H21">
        <v>0</v>
      </c>
      <c r="I21" t="s">
        <v>33</v>
      </c>
      <c r="J21">
        <v>0</v>
      </c>
      <c r="K21">
        <v>21</v>
      </c>
      <c r="L21" t="s">
        <v>24</v>
      </c>
      <c r="M21" t="s">
        <v>29</v>
      </c>
      <c r="N21" t="s">
        <v>22</v>
      </c>
      <c r="O21" t="s">
        <v>36</v>
      </c>
      <c r="P21">
        <v>2.67</v>
      </c>
      <c r="Q21" s="2" t="b">
        <f>FALSE()</f>
        <v>0</v>
      </c>
      <c r="R21">
        <v>0</v>
      </c>
    </row>
    <row r="22" spans="1:18" x14ac:dyDescent="0.25">
      <c r="A22">
        <v>200021</v>
      </c>
      <c r="B22">
        <v>55108</v>
      </c>
      <c r="C22" t="s">
        <v>34</v>
      </c>
      <c r="D22">
        <v>552.26</v>
      </c>
      <c r="E22">
        <v>3597</v>
      </c>
      <c r="F22">
        <v>0</v>
      </c>
      <c r="G22">
        <v>2</v>
      </c>
      <c r="H22">
        <v>1</v>
      </c>
      <c r="I22" t="s">
        <v>19</v>
      </c>
      <c r="J22">
        <v>0</v>
      </c>
      <c r="K22">
        <v>68</v>
      </c>
      <c r="L22" t="s">
        <v>20</v>
      </c>
      <c r="M22" t="s">
        <v>37</v>
      </c>
      <c r="N22" t="s">
        <v>26</v>
      </c>
      <c r="O22" t="s">
        <v>23</v>
      </c>
      <c r="P22">
        <v>0.82</v>
      </c>
      <c r="Q22" s="2" t="b">
        <f>FALSE()</f>
        <v>0</v>
      </c>
      <c r="R22">
        <v>0</v>
      </c>
    </row>
    <row r="23" spans="1:18" x14ac:dyDescent="0.25">
      <c r="A23">
        <v>200022</v>
      </c>
      <c r="B23">
        <v>55745</v>
      </c>
      <c r="C23" t="s">
        <v>18</v>
      </c>
      <c r="D23">
        <v>693.07</v>
      </c>
      <c r="E23">
        <v>343</v>
      </c>
      <c r="F23">
        <v>0</v>
      </c>
      <c r="G23">
        <v>2</v>
      </c>
      <c r="H23">
        <v>0</v>
      </c>
      <c r="I23" t="s">
        <v>32</v>
      </c>
      <c r="J23">
        <v>1</v>
      </c>
      <c r="K23">
        <v>21</v>
      </c>
      <c r="L23" t="s">
        <v>24</v>
      </c>
      <c r="M23" t="s">
        <v>21</v>
      </c>
      <c r="N23" t="s">
        <v>30</v>
      </c>
      <c r="O23" t="s">
        <v>27</v>
      </c>
      <c r="P23">
        <v>1.4</v>
      </c>
      <c r="Q23" s="2" t="b">
        <f>FALSE()</f>
        <v>0</v>
      </c>
      <c r="R23">
        <v>0</v>
      </c>
    </row>
    <row r="24" spans="1:18" x14ac:dyDescent="0.25">
      <c r="A24">
        <v>200023</v>
      </c>
      <c r="B24">
        <v>51853</v>
      </c>
      <c r="C24" t="s">
        <v>34</v>
      </c>
      <c r="D24">
        <v>4236.42</v>
      </c>
      <c r="E24">
        <v>2159</v>
      </c>
      <c r="F24">
        <v>1</v>
      </c>
      <c r="G24">
        <v>2</v>
      </c>
      <c r="H24">
        <v>0</v>
      </c>
      <c r="I24" t="s">
        <v>19</v>
      </c>
      <c r="J24">
        <v>0</v>
      </c>
      <c r="K24">
        <v>30</v>
      </c>
      <c r="L24" t="s">
        <v>24</v>
      </c>
      <c r="M24" t="s">
        <v>21</v>
      </c>
      <c r="N24" t="s">
        <v>30</v>
      </c>
      <c r="O24" t="s">
        <v>36</v>
      </c>
      <c r="P24">
        <v>5.78</v>
      </c>
      <c r="Q24" s="2" t="b">
        <f>FALSE()</f>
        <v>0</v>
      </c>
      <c r="R24">
        <v>1</v>
      </c>
    </row>
    <row r="25" spans="1:18" x14ac:dyDescent="0.25">
      <c r="A25">
        <v>200024</v>
      </c>
      <c r="B25">
        <v>51787</v>
      </c>
      <c r="C25" t="s">
        <v>18</v>
      </c>
      <c r="D25">
        <v>2827.56</v>
      </c>
      <c r="E25">
        <v>444</v>
      </c>
      <c r="F25">
        <v>2</v>
      </c>
      <c r="G25">
        <v>2</v>
      </c>
      <c r="H25">
        <v>1</v>
      </c>
      <c r="I25" t="s">
        <v>33</v>
      </c>
      <c r="J25">
        <v>0</v>
      </c>
      <c r="K25">
        <v>42</v>
      </c>
      <c r="L25" t="s">
        <v>20</v>
      </c>
      <c r="M25" t="s">
        <v>25</v>
      </c>
      <c r="N25" t="s">
        <v>26</v>
      </c>
      <c r="O25" t="s">
        <v>36</v>
      </c>
      <c r="P25">
        <v>2.6</v>
      </c>
      <c r="Q25" s="2" t="b">
        <f>FALSE()</f>
        <v>0</v>
      </c>
      <c r="R25">
        <v>0</v>
      </c>
    </row>
    <row r="26" spans="1:18" x14ac:dyDescent="0.25">
      <c r="A26">
        <v>200025</v>
      </c>
      <c r="B26">
        <v>50202</v>
      </c>
      <c r="C26" t="s">
        <v>34</v>
      </c>
      <c r="D26">
        <v>3316.87</v>
      </c>
      <c r="E26">
        <v>2494</v>
      </c>
      <c r="F26">
        <v>0</v>
      </c>
      <c r="G26">
        <v>4</v>
      </c>
      <c r="H26">
        <v>0</v>
      </c>
      <c r="I26" t="s">
        <v>19</v>
      </c>
      <c r="J26">
        <v>1</v>
      </c>
      <c r="K26">
        <v>59</v>
      </c>
      <c r="L26" t="s">
        <v>20</v>
      </c>
      <c r="M26" t="s">
        <v>21</v>
      </c>
      <c r="N26" t="s">
        <v>26</v>
      </c>
      <c r="O26" t="s">
        <v>27</v>
      </c>
      <c r="P26">
        <v>0.51</v>
      </c>
      <c r="Q26" s="2" t="b">
        <f>FALSE()</f>
        <v>0</v>
      </c>
      <c r="R26">
        <v>0</v>
      </c>
    </row>
    <row r="27" spans="1:18" x14ac:dyDescent="0.25">
      <c r="A27">
        <v>200026</v>
      </c>
      <c r="B27">
        <v>53189</v>
      </c>
      <c r="C27" t="s">
        <v>18</v>
      </c>
      <c r="D27">
        <v>2239.5300000000002</v>
      </c>
      <c r="E27">
        <v>3117</v>
      </c>
      <c r="F27">
        <v>0</v>
      </c>
      <c r="G27">
        <v>1</v>
      </c>
      <c r="H27">
        <v>1</v>
      </c>
      <c r="I27" t="s">
        <v>33</v>
      </c>
      <c r="J27">
        <v>0</v>
      </c>
      <c r="K27">
        <v>26</v>
      </c>
      <c r="L27" t="s">
        <v>20</v>
      </c>
      <c r="M27" t="s">
        <v>31</v>
      </c>
      <c r="N27" t="s">
        <v>22</v>
      </c>
      <c r="O27" t="s">
        <v>36</v>
      </c>
      <c r="P27">
        <v>0.95</v>
      </c>
      <c r="Q27" s="2" t="b">
        <f>FALSE()</f>
        <v>0</v>
      </c>
      <c r="R27">
        <v>0</v>
      </c>
    </row>
    <row r="28" spans="1:18" x14ac:dyDescent="0.25">
      <c r="A28">
        <v>200027</v>
      </c>
      <c r="B28">
        <v>53120</v>
      </c>
      <c r="C28" t="s">
        <v>28</v>
      </c>
      <c r="D28">
        <v>597.96</v>
      </c>
      <c r="E28">
        <v>99</v>
      </c>
      <c r="F28">
        <v>0</v>
      </c>
      <c r="G28">
        <v>3</v>
      </c>
      <c r="H28">
        <v>0</v>
      </c>
      <c r="I28" t="s">
        <v>33</v>
      </c>
      <c r="J28">
        <v>0</v>
      </c>
      <c r="K28">
        <v>26</v>
      </c>
      <c r="L28" t="s">
        <v>20</v>
      </c>
      <c r="M28" t="s">
        <v>35</v>
      </c>
      <c r="N28" t="s">
        <v>22</v>
      </c>
      <c r="O28" t="s">
        <v>27</v>
      </c>
      <c r="P28">
        <v>7.6</v>
      </c>
      <c r="Q28" s="2" t="b">
        <f>FALSE()</f>
        <v>0</v>
      </c>
      <c r="R28">
        <v>0</v>
      </c>
    </row>
    <row r="29" spans="1:18" x14ac:dyDescent="0.25">
      <c r="A29">
        <v>200028</v>
      </c>
      <c r="B29">
        <v>55534</v>
      </c>
      <c r="C29" t="s">
        <v>34</v>
      </c>
      <c r="D29">
        <v>5502.59</v>
      </c>
      <c r="E29">
        <v>1581</v>
      </c>
      <c r="F29">
        <v>2</v>
      </c>
      <c r="G29">
        <v>4</v>
      </c>
      <c r="H29">
        <v>0</v>
      </c>
      <c r="I29" t="s">
        <v>33</v>
      </c>
      <c r="J29">
        <v>0</v>
      </c>
      <c r="K29">
        <v>76</v>
      </c>
      <c r="L29" t="s">
        <v>20</v>
      </c>
      <c r="M29" t="s">
        <v>25</v>
      </c>
      <c r="N29" t="s">
        <v>22</v>
      </c>
      <c r="O29" t="s">
        <v>27</v>
      </c>
      <c r="P29">
        <v>4.3600000000000003</v>
      </c>
      <c r="Q29" s="2" t="b">
        <f>FALSE()</f>
        <v>0</v>
      </c>
      <c r="R29">
        <v>1</v>
      </c>
    </row>
    <row r="30" spans="1:18" x14ac:dyDescent="0.25">
      <c r="A30">
        <v>200029</v>
      </c>
      <c r="B30">
        <v>54757</v>
      </c>
      <c r="C30" t="s">
        <v>18</v>
      </c>
      <c r="D30">
        <v>3994.26</v>
      </c>
      <c r="E30">
        <v>3511</v>
      </c>
      <c r="F30">
        <v>2</v>
      </c>
      <c r="G30">
        <v>2</v>
      </c>
      <c r="H30">
        <v>0</v>
      </c>
      <c r="I30" t="s">
        <v>33</v>
      </c>
      <c r="J30">
        <v>0</v>
      </c>
      <c r="K30">
        <v>36</v>
      </c>
      <c r="L30" t="s">
        <v>20</v>
      </c>
      <c r="M30" t="s">
        <v>37</v>
      </c>
      <c r="N30" t="s">
        <v>30</v>
      </c>
      <c r="O30" t="s">
        <v>23</v>
      </c>
      <c r="P30">
        <v>0.25</v>
      </c>
      <c r="Q30" s="2" t="b">
        <f>FALSE()</f>
        <v>0</v>
      </c>
      <c r="R30">
        <v>1</v>
      </c>
    </row>
    <row r="31" spans="1:18" x14ac:dyDescent="0.25">
      <c r="A31">
        <v>200030</v>
      </c>
      <c r="B31">
        <v>52410</v>
      </c>
      <c r="C31" t="s">
        <v>18</v>
      </c>
      <c r="D31">
        <v>1574.98</v>
      </c>
      <c r="E31">
        <v>39</v>
      </c>
      <c r="F31">
        <v>1</v>
      </c>
      <c r="G31">
        <v>4</v>
      </c>
      <c r="H31">
        <v>0</v>
      </c>
      <c r="I31" t="s">
        <v>32</v>
      </c>
      <c r="J31">
        <v>1</v>
      </c>
      <c r="K31">
        <v>62</v>
      </c>
      <c r="L31" t="s">
        <v>24</v>
      </c>
      <c r="M31" t="s">
        <v>35</v>
      </c>
      <c r="N31" t="s">
        <v>22</v>
      </c>
      <c r="O31" t="s">
        <v>36</v>
      </c>
      <c r="P31">
        <v>3.07</v>
      </c>
      <c r="Q31" s="2" t="b">
        <f>FALSE()</f>
        <v>0</v>
      </c>
      <c r="R31">
        <v>0</v>
      </c>
    </row>
    <row r="32" spans="1:18" x14ac:dyDescent="0.25">
      <c r="A32">
        <v>200031</v>
      </c>
      <c r="B32">
        <v>53424</v>
      </c>
      <c r="C32" t="s">
        <v>18</v>
      </c>
      <c r="D32">
        <v>1653.07</v>
      </c>
      <c r="E32">
        <v>36</v>
      </c>
      <c r="F32">
        <v>1</v>
      </c>
      <c r="G32">
        <v>8</v>
      </c>
      <c r="H32">
        <v>0</v>
      </c>
      <c r="I32" t="s">
        <v>33</v>
      </c>
      <c r="J32">
        <v>0</v>
      </c>
      <c r="K32">
        <v>42</v>
      </c>
      <c r="L32" t="s">
        <v>20</v>
      </c>
      <c r="M32" t="s">
        <v>29</v>
      </c>
      <c r="N32" t="s">
        <v>30</v>
      </c>
      <c r="O32" t="s">
        <v>27</v>
      </c>
      <c r="P32">
        <v>6.05</v>
      </c>
      <c r="Q32" s="2" t="b">
        <f>FALSE()</f>
        <v>0</v>
      </c>
      <c r="R32">
        <v>1</v>
      </c>
    </row>
    <row r="33" spans="1:18" x14ac:dyDescent="0.25">
      <c r="A33">
        <v>200032</v>
      </c>
      <c r="B33">
        <v>55959</v>
      </c>
      <c r="C33" t="s">
        <v>18</v>
      </c>
      <c r="D33">
        <v>1303.8800000000001</v>
      </c>
      <c r="E33">
        <v>968</v>
      </c>
      <c r="F33">
        <v>0</v>
      </c>
      <c r="G33">
        <v>4</v>
      </c>
      <c r="H33">
        <v>0</v>
      </c>
      <c r="I33" t="s">
        <v>33</v>
      </c>
      <c r="J33">
        <v>0</v>
      </c>
      <c r="K33">
        <v>28</v>
      </c>
      <c r="L33" t="s">
        <v>20</v>
      </c>
      <c r="M33" t="s">
        <v>21</v>
      </c>
      <c r="N33" t="s">
        <v>22</v>
      </c>
      <c r="O33" t="s">
        <v>36</v>
      </c>
      <c r="P33">
        <v>0.42</v>
      </c>
      <c r="Q33" s="2" t="b">
        <f>FALSE()</f>
        <v>0</v>
      </c>
      <c r="R33">
        <v>0</v>
      </c>
    </row>
    <row r="34" spans="1:18" x14ac:dyDescent="0.25">
      <c r="A34">
        <v>200033</v>
      </c>
      <c r="B34">
        <v>54023</v>
      </c>
      <c r="C34" t="s">
        <v>18</v>
      </c>
      <c r="D34">
        <v>3359.04</v>
      </c>
      <c r="E34">
        <v>2015</v>
      </c>
      <c r="F34">
        <v>0</v>
      </c>
      <c r="G34">
        <v>2</v>
      </c>
      <c r="H34">
        <v>1</v>
      </c>
      <c r="I34" t="s">
        <v>19</v>
      </c>
      <c r="J34">
        <v>1</v>
      </c>
      <c r="K34">
        <v>72</v>
      </c>
      <c r="L34" t="s">
        <v>20</v>
      </c>
      <c r="M34" t="s">
        <v>37</v>
      </c>
      <c r="N34" t="s">
        <v>22</v>
      </c>
      <c r="O34" t="s">
        <v>27</v>
      </c>
      <c r="P34">
        <v>0.49</v>
      </c>
      <c r="Q34" s="2" t="b">
        <f>FALSE()</f>
        <v>0</v>
      </c>
      <c r="R34">
        <v>0</v>
      </c>
    </row>
    <row r="35" spans="1:18" x14ac:dyDescent="0.25">
      <c r="A35">
        <v>200034</v>
      </c>
      <c r="B35">
        <v>51274</v>
      </c>
      <c r="C35" t="s">
        <v>18</v>
      </c>
      <c r="D35">
        <v>1580.63</v>
      </c>
      <c r="E35">
        <v>1748</v>
      </c>
      <c r="F35">
        <v>1</v>
      </c>
      <c r="G35">
        <v>3</v>
      </c>
      <c r="H35">
        <v>1</v>
      </c>
      <c r="I35" t="s">
        <v>33</v>
      </c>
      <c r="J35">
        <v>0</v>
      </c>
      <c r="K35">
        <v>35</v>
      </c>
      <c r="L35" t="s">
        <v>20</v>
      </c>
      <c r="M35" t="s">
        <v>29</v>
      </c>
      <c r="N35" t="s">
        <v>30</v>
      </c>
      <c r="O35" t="s">
        <v>27</v>
      </c>
      <c r="P35">
        <v>5.21</v>
      </c>
      <c r="Q35" s="2" t="b">
        <f>FALSE()</f>
        <v>0</v>
      </c>
      <c r="R35">
        <v>0</v>
      </c>
    </row>
    <row r="36" spans="1:18" x14ac:dyDescent="0.25">
      <c r="A36">
        <v>200035</v>
      </c>
      <c r="B36">
        <v>54393</v>
      </c>
      <c r="C36" t="s">
        <v>18</v>
      </c>
      <c r="D36">
        <v>2755.09</v>
      </c>
      <c r="E36">
        <v>3165</v>
      </c>
      <c r="F36">
        <v>2</v>
      </c>
      <c r="G36">
        <v>5</v>
      </c>
      <c r="H36">
        <v>1</v>
      </c>
      <c r="I36" t="s">
        <v>19</v>
      </c>
      <c r="J36">
        <v>1</v>
      </c>
      <c r="K36">
        <v>72</v>
      </c>
      <c r="L36" t="s">
        <v>24</v>
      </c>
      <c r="M36" t="s">
        <v>29</v>
      </c>
      <c r="N36" t="s">
        <v>30</v>
      </c>
      <c r="O36" t="s">
        <v>27</v>
      </c>
      <c r="P36">
        <v>1.49</v>
      </c>
      <c r="Q36" s="2" t="b">
        <f>FALSE()</f>
        <v>0</v>
      </c>
      <c r="R36">
        <v>0</v>
      </c>
    </row>
    <row r="37" spans="1:18" x14ac:dyDescent="0.25">
      <c r="A37">
        <v>200036</v>
      </c>
      <c r="B37">
        <v>51270</v>
      </c>
      <c r="C37" t="s">
        <v>34</v>
      </c>
      <c r="D37">
        <v>8117.04</v>
      </c>
      <c r="E37">
        <v>2841</v>
      </c>
      <c r="F37">
        <v>0</v>
      </c>
      <c r="G37">
        <v>2</v>
      </c>
      <c r="H37">
        <v>0</v>
      </c>
      <c r="I37" t="s">
        <v>19</v>
      </c>
      <c r="J37">
        <v>0</v>
      </c>
      <c r="K37">
        <v>22</v>
      </c>
      <c r="L37" t="s">
        <v>20</v>
      </c>
      <c r="M37" t="s">
        <v>31</v>
      </c>
      <c r="N37" t="s">
        <v>22</v>
      </c>
      <c r="O37" t="s">
        <v>27</v>
      </c>
      <c r="P37">
        <v>0.62</v>
      </c>
      <c r="Q37" s="2" t="b">
        <f>TRUE()</f>
        <v>1</v>
      </c>
      <c r="R37">
        <v>1</v>
      </c>
    </row>
    <row r="38" spans="1:18" x14ac:dyDescent="0.25">
      <c r="A38">
        <v>200037</v>
      </c>
      <c r="B38">
        <v>51985</v>
      </c>
      <c r="C38" t="s">
        <v>18</v>
      </c>
      <c r="D38">
        <v>2642.62</v>
      </c>
      <c r="E38">
        <v>2552</v>
      </c>
      <c r="F38">
        <v>1</v>
      </c>
      <c r="G38">
        <v>3</v>
      </c>
      <c r="H38">
        <v>0</v>
      </c>
      <c r="I38" t="s">
        <v>33</v>
      </c>
      <c r="J38">
        <v>0</v>
      </c>
      <c r="K38">
        <v>25</v>
      </c>
      <c r="L38" t="s">
        <v>24</v>
      </c>
      <c r="M38" t="s">
        <v>25</v>
      </c>
      <c r="N38" t="s">
        <v>26</v>
      </c>
      <c r="O38" t="s">
        <v>27</v>
      </c>
      <c r="P38">
        <v>3.76</v>
      </c>
      <c r="Q38" s="2" t="b">
        <f>FALSE()</f>
        <v>0</v>
      </c>
      <c r="R38">
        <v>0</v>
      </c>
    </row>
    <row r="39" spans="1:18" x14ac:dyDescent="0.25">
      <c r="A39">
        <v>200038</v>
      </c>
      <c r="B39">
        <v>50976</v>
      </c>
      <c r="C39" t="s">
        <v>34</v>
      </c>
      <c r="D39">
        <v>4036.99</v>
      </c>
      <c r="E39">
        <v>949</v>
      </c>
      <c r="F39">
        <v>3</v>
      </c>
      <c r="G39">
        <v>4</v>
      </c>
      <c r="H39">
        <v>1</v>
      </c>
      <c r="I39" t="s">
        <v>32</v>
      </c>
      <c r="J39">
        <v>0</v>
      </c>
      <c r="K39">
        <v>67</v>
      </c>
      <c r="L39" t="s">
        <v>24</v>
      </c>
      <c r="M39" t="s">
        <v>31</v>
      </c>
      <c r="N39" t="s">
        <v>30</v>
      </c>
      <c r="O39" t="s">
        <v>36</v>
      </c>
      <c r="P39">
        <v>0.79</v>
      </c>
      <c r="Q39" s="2" t="b">
        <f>FALSE()</f>
        <v>0</v>
      </c>
      <c r="R39">
        <v>1</v>
      </c>
    </row>
    <row r="40" spans="1:18" x14ac:dyDescent="0.25">
      <c r="A40">
        <v>200039</v>
      </c>
      <c r="B40">
        <v>55636</v>
      </c>
      <c r="C40" t="s">
        <v>34</v>
      </c>
      <c r="D40">
        <v>3172.48</v>
      </c>
      <c r="E40">
        <v>1307</v>
      </c>
      <c r="F40">
        <v>4</v>
      </c>
      <c r="G40">
        <v>6</v>
      </c>
      <c r="H40">
        <v>0</v>
      </c>
      <c r="I40" t="s">
        <v>19</v>
      </c>
      <c r="J40">
        <v>0</v>
      </c>
      <c r="K40">
        <v>26</v>
      </c>
      <c r="L40" t="s">
        <v>24</v>
      </c>
      <c r="M40" t="s">
        <v>35</v>
      </c>
      <c r="N40" t="s">
        <v>22</v>
      </c>
      <c r="O40" t="s">
        <v>36</v>
      </c>
      <c r="P40">
        <v>2.14</v>
      </c>
      <c r="Q40" s="2" t="b">
        <f>FALSE()</f>
        <v>0</v>
      </c>
      <c r="R40">
        <v>1</v>
      </c>
    </row>
    <row r="41" spans="1:18" x14ac:dyDescent="0.25">
      <c r="A41">
        <v>200040</v>
      </c>
      <c r="B41">
        <v>54389</v>
      </c>
      <c r="C41" t="s">
        <v>18</v>
      </c>
      <c r="D41">
        <v>3549.58</v>
      </c>
      <c r="E41">
        <v>3112</v>
      </c>
      <c r="F41">
        <v>1</v>
      </c>
      <c r="G41">
        <v>4</v>
      </c>
      <c r="H41">
        <v>0</v>
      </c>
      <c r="I41" t="s">
        <v>33</v>
      </c>
      <c r="J41">
        <v>0</v>
      </c>
      <c r="K41">
        <v>59</v>
      </c>
      <c r="L41" t="s">
        <v>24</v>
      </c>
      <c r="M41" t="s">
        <v>29</v>
      </c>
      <c r="N41" t="s">
        <v>26</v>
      </c>
      <c r="O41" t="s">
        <v>27</v>
      </c>
      <c r="P41">
        <v>0.71</v>
      </c>
      <c r="Q41" s="2" t="b">
        <f>FALSE()</f>
        <v>0</v>
      </c>
      <c r="R41">
        <v>0</v>
      </c>
    </row>
    <row r="42" spans="1:18" x14ac:dyDescent="0.25">
      <c r="A42">
        <v>200041</v>
      </c>
      <c r="B42">
        <v>52530</v>
      </c>
      <c r="C42" t="s">
        <v>18</v>
      </c>
      <c r="D42">
        <v>4798.21</v>
      </c>
      <c r="E42">
        <v>2511</v>
      </c>
      <c r="F42">
        <v>2</v>
      </c>
      <c r="G42">
        <v>9</v>
      </c>
      <c r="H42">
        <v>0</v>
      </c>
      <c r="I42" t="s">
        <v>33</v>
      </c>
      <c r="J42">
        <v>0</v>
      </c>
      <c r="K42">
        <v>32</v>
      </c>
      <c r="L42" t="s">
        <v>24</v>
      </c>
      <c r="M42" t="s">
        <v>21</v>
      </c>
      <c r="N42" t="s">
        <v>22</v>
      </c>
      <c r="O42" t="s">
        <v>23</v>
      </c>
      <c r="P42">
        <v>1.17</v>
      </c>
      <c r="Q42" s="2" t="b">
        <f>FALSE()</f>
        <v>0</v>
      </c>
      <c r="R42">
        <v>1</v>
      </c>
    </row>
    <row r="43" spans="1:18" x14ac:dyDescent="0.25">
      <c r="A43">
        <v>200042</v>
      </c>
      <c r="B43">
        <v>51958</v>
      </c>
      <c r="C43" t="s">
        <v>18</v>
      </c>
      <c r="D43">
        <v>684.49</v>
      </c>
      <c r="E43">
        <v>2020</v>
      </c>
      <c r="F43">
        <v>1</v>
      </c>
      <c r="G43">
        <v>5</v>
      </c>
      <c r="H43">
        <v>0</v>
      </c>
      <c r="I43" t="s">
        <v>32</v>
      </c>
      <c r="J43">
        <v>1</v>
      </c>
      <c r="K43">
        <v>77</v>
      </c>
      <c r="L43" t="s">
        <v>24</v>
      </c>
      <c r="M43" t="s">
        <v>25</v>
      </c>
      <c r="N43" t="s">
        <v>30</v>
      </c>
      <c r="O43" t="s">
        <v>27</v>
      </c>
      <c r="P43">
        <v>1.18</v>
      </c>
      <c r="Q43" s="2" t="b">
        <f>FALSE()</f>
        <v>0</v>
      </c>
      <c r="R43">
        <v>0</v>
      </c>
    </row>
    <row r="44" spans="1:18" x14ac:dyDescent="0.25">
      <c r="A44">
        <v>200043</v>
      </c>
      <c r="B44">
        <v>53722</v>
      </c>
      <c r="C44" t="s">
        <v>34</v>
      </c>
      <c r="D44">
        <v>1018.53</v>
      </c>
      <c r="E44">
        <v>1899</v>
      </c>
      <c r="F44">
        <v>2</v>
      </c>
      <c r="G44">
        <v>5</v>
      </c>
      <c r="H44">
        <v>0</v>
      </c>
      <c r="I44" t="s">
        <v>33</v>
      </c>
      <c r="J44">
        <v>0</v>
      </c>
      <c r="K44">
        <v>62</v>
      </c>
      <c r="L44" t="s">
        <v>20</v>
      </c>
      <c r="M44" t="s">
        <v>31</v>
      </c>
      <c r="N44" t="s">
        <v>22</v>
      </c>
      <c r="O44" t="s">
        <v>23</v>
      </c>
      <c r="P44">
        <v>5.4</v>
      </c>
      <c r="Q44" s="2" t="b">
        <f>FALSE()</f>
        <v>0</v>
      </c>
      <c r="R44">
        <v>0</v>
      </c>
    </row>
    <row r="45" spans="1:18" x14ac:dyDescent="0.25">
      <c r="A45">
        <v>200044</v>
      </c>
      <c r="B45">
        <v>55170</v>
      </c>
      <c r="C45" t="s">
        <v>34</v>
      </c>
      <c r="D45">
        <v>3928.5</v>
      </c>
      <c r="E45">
        <v>2235</v>
      </c>
      <c r="F45">
        <v>0</v>
      </c>
      <c r="G45">
        <v>2</v>
      </c>
      <c r="H45">
        <v>0</v>
      </c>
      <c r="I45" t="s">
        <v>33</v>
      </c>
      <c r="J45">
        <v>0</v>
      </c>
      <c r="K45">
        <v>57</v>
      </c>
      <c r="L45" t="s">
        <v>20</v>
      </c>
      <c r="M45" t="s">
        <v>29</v>
      </c>
      <c r="N45" t="s">
        <v>22</v>
      </c>
      <c r="O45" t="s">
        <v>36</v>
      </c>
      <c r="P45">
        <v>0.67</v>
      </c>
      <c r="Q45" s="2" t="b">
        <f>FALSE()</f>
        <v>0</v>
      </c>
      <c r="R45">
        <v>1</v>
      </c>
    </row>
    <row r="46" spans="1:18" x14ac:dyDescent="0.25">
      <c r="A46">
        <v>200045</v>
      </c>
      <c r="B46">
        <v>51492</v>
      </c>
      <c r="C46" t="s">
        <v>34</v>
      </c>
      <c r="D46">
        <v>1249.21</v>
      </c>
      <c r="E46">
        <v>1009</v>
      </c>
      <c r="F46">
        <v>0</v>
      </c>
      <c r="G46">
        <v>3</v>
      </c>
      <c r="H46">
        <v>0</v>
      </c>
      <c r="I46" t="s">
        <v>19</v>
      </c>
      <c r="J46">
        <v>0</v>
      </c>
      <c r="K46">
        <v>73</v>
      </c>
      <c r="L46" t="s">
        <v>24</v>
      </c>
      <c r="M46" t="s">
        <v>29</v>
      </c>
      <c r="N46" t="s">
        <v>30</v>
      </c>
      <c r="O46" t="s">
        <v>36</v>
      </c>
      <c r="P46">
        <v>4.04</v>
      </c>
      <c r="Q46" s="2" t="b">
        <f>FALSE()</f>
        <v>0</v>
      </c>
      <c r="R46">
        <v>0</v>
      </c>
    </row>
    <row r="47" spans="1:18" x14ac:dyDescent="0.25">
      <c r="A47">
        <v>200046</v>
      </c>
      <c r="B47">
        <v>52275</v>
      </c>
      <c r="C47" t="s">
        <v>34</v>
      </c>
      <c r="D47">
        <v>3130.16</v>
      </c>
      <c r="E47">
        <v>867</v>
      </c>
      <c r="F47">
        <v>0</v>
      </c>
      <c r="G47">
        <v>4</v>
      </c>
      <c r="H47">
        <v>1</v>
      </c>
      <c r="I47" t="s">
        <v>32</v>
      </c>
      <c r="J47">
        <v>0</v>
      </c>
      <c r="K47">
        <v>59</v>
      </c>
      <c r="L47" t="s">
        <v>20</v>
      </c>
      <c r="M47" t="s">
        <v>29</v>
      </c>
      <c r="N47" t="s">
        <v>26</v>
      </c>
      <c r="O47" t="s">
        <v>36</v>
      </c>
      <c r="P47">
        <v>0.21</v>
      </c>
      <c r="Q47" s="2" t="b">
        <f>FALSE()</f>
        <v>0</v>
      </c>
      <c r="R47">
        <v>0</v>
      </c>
    </row>
    <row r="48" spans="1:18" x14ac:dyDescent="0.25">
      <c r="A48">
        <v>200047</v>
      </c>
      <c r="B48">
        <v>50292</v>
      </c>
      <c r="C48" t="s">
        <v>18</v>
      </c>
      <c r="D48">
        <v>2622.38</v>
      </c>
      <c r="E48">
        <v>378</v>
      </c>
      <c r="F48">
        <v>1</v>
      </c>
      <c r="G48">
        <v>5</v>
      </c>
      <c r="H48">
        <v>0</v>
      </c>
      <c r="I48" t="s">
        <v>33</v>
      </c>
      <c r="J48">
        <v>0</v>
      </c>
      <c r="K48">
        <v>51</v>
      </c>
      <c r="L48" t="s">
        <v>20</v>
      </c>
      <c r="M48" t="s">
        <v>35</v>
      </c>
      <c r="N48" t="s">
        <v>30</v>
      </c>
      <c r="O48" t="s">
        <v>27</v>
      </c>
      <c r="P48">
        <v>0.69</v>
      </c>
      <c r="Q48" s="2" t="b">
        <f>FALSE()</f>
        <v>0</v>
      </c>
      <c r="R48">
        <v>0</v>
      </c>
    </row>
    <row r="49" spans="1:18" x14ac:dyDescent="0.25">
      <c r="A49">
        <v>200048</v>
      </c>
      <c r="B49">
        <v>53289</v>
      </c>
      <c r="C49" t="s">
        <v>18</v>
      </c>
      <c r="D49">
        <v>1898.89</v>
      </c>
      <c r="E49">
        <v>3294</v>
      </c>
      <c r="F49">
        <v>1</v>
      </c>
      <c r="G49">
        <v>3</v>
      </c>
      <c r="H49">
        <v>1</v>
      </c>
      <c r="I49" t="s">
        <v>19</v>
      </c>
      <c r="J49">
        <v>0</v>
      </c>
      <c r="K49">
        <v>76</v>
      </c>
      <c r="L49" t="s">
        <v>20</v>
      </c>
      <c r="M49" t="s">
        <v>31</v>
      </c>
      <c r="N49" t="s">
        <v>22</v>
      </c>
      <c r="O49" t="s">
        <v>27</v>
      </c>
      <c r="P49">
        <v>1.7</v>
      </c>
      <c r="Q49" s="2" t="b">
        <f>FALSE()</f>
        <v>0</v>
      </c>
      <c r="R49">
        <v>0</v>
      </c>
    </row>
    <row r="50" spans="1:18" x14ac:dyDescent="0.25">
      <c r="A50">
        <v>200049</v>
      </c>
      <c r="B50">
        <v>51336</v>
      </c>
      <c r="C50" t="s">
        <v>34</v>
      </c>
      <c r="D50">
        <v>2035.2</v>
      </c>
      <c r="E50">
        <v>1185</v>
      </c>
      <c r="F50">
        <v>4</v>
      </c>
      <c r="G50">
        <v>6</v>
      </c>
      <c r="H50">
        <v>1</v>
      </c>
      <c r="I50" t="s">
        <v>33</v>
      </c>
      <c r="J50">
        <v>0</v>
      </c>
      <c r="K50">
        <v>61</v>
      </c>
      <c r="L50" t="s">
        <v>20</v>
      </c>
      <c r="M50" t="s">
        <v>37</v>
      </c>
      <c r="N50" t="s">
        <v>22</v>
      </c>
      <c r="O50" t="s">
        <v>36</v>
      </c>
      <c r="P50">
        <v>2.09</v>
      </c>
      <c r="Q50" s="2" t="b">
        <f>FALSE()</f>
        <v>0</v>
      </c>
      <c r="R50">
        <v>1</v>
      </c>
    </row>
    <row r="51" spans="1:18" x14ac:dyDescent="0.25">
      <c r="A51">
        <v>200050</v>
      </c>
      <c r="B51">
        <v>50260</v>
      </c>
      <c r="C51" t="s">
        <v>18</v>
      </c>
      <c r="D51">
        <v>1869.35</v>
      </c>
      <c r="E51">
        <v>2443</v>
      </c>
      <c r="F51">
        <v>1</v>
      </c>
      <c r="G51">
        <v>4</v>
      </c>
      <c r="H51">
        <v>0</v>
      </c>
      <c r="I51" t="s">
        <v>19</v>
      </c>
      <c r="J51">
        <v>0</v>
      </c>
      <c r="K51">
        <v>52</v>
      </c>
      <c r="L51" t="s">
        <v>20</v>
      </c>
      <c r="M51" t="s">
        <v>25</v>
      </c>
      <c r="N51" t="s">
        <v>22</v>
      </c>
      <c r="O51" t="s">
        <v>27</v>
      </c>
      <c r="P51">
        <v>0.16</v>
      </c>
      <c r="Q51" s="2" t="b">
        <f>FALSE()</f>
        <v>0</v>
      </c>
      <c r="R51">
        <v>0</v>
      </c>
    </row>
    <row r="52" spans="1:18" x14ac:dyDescent="0.25">
      <c r="A52">
        <v>200051</v>
      </c>
      <c r="B52">
        <v>50074</v>
      </c>
      <c r="C52" t="s">
        <v>18</v>
      </c>
      <c r="D52">
        <v>1115.3800000000001</v>
      </c>
      <c r="E52">
        <v>262</v>
      </c>
      <c r="F52">
        <v>1</v>
      </c>
      <c r="G52">
        <v>2</v>
      </c>
      <c r="H52">
        <v>1</v>
      </c>
      <c r="I52" t="s">
        <v>33</v>
      </c>
      <c r="J52">
        <v>0</v>
      </c>
      <c r="K52">
        <v>34</v>
      </c>
      <c r="L52" t="s">
        <v>24</v>
      </c>
      <c r="M52" t="s">
        <v>37</v>
      </c>
      <c r="N52" t="s">
        <v>26</v>
      </c>
      <c r="O52" t="s">
        <v>36</v>
      </c>
      <c r="P52">
        <v>2.2400000000000002</v>
      </c>
      <c r="Q52" s="2" t="b">
        <f>FALSE()</f>
        <v>0</v>
      </c>
      <c r="R52">
        <v>0</v>
      </c>
    </row>
    <row r="53" spans="1:18" x14ac:dyDescent="0.25">
      <c r="A53">
        <v>200052</v>
      </c>
      <c r="B53">
        <v>53367</v>
      </c>
      <c r="C53" t="s">
        <v>18</v>
      </c>
      <c r="D53">
        <v>774.52</v>
      </c>
      <c r="E53">
        <v>2170</v>
      </c>
      <c r="F53">
        <v>2</v>
      </c>
      <c r="G53">
        <v>1</v>
      </c>
      <c r="H53">
        <v>0</v>
      </c>
      <c r="I53" t="s">
        <v>33</v>
      </c>
      <c r="J53">
        <v>0</v>
      </c>
      <c r="K53">
        <v>36</v>
      </c>
      <c r="L53" t="s">
        <v>20</v>
      </c>
      <c r="M53" t="s">
        <v>31</v>
      </c>
      <c r="N53" t="s">
        <v>30</v>
      </c>
      <c r="O53" t="s">
        <v>36</v>
      </c>
      <c r="P53">
        <v>2.09</v>
      </c>
      <c r="Q53" s="2" t="b">
        <f>FALSE()</f>
        <v>0</v>
      </c>
      <c r="R53">
        <v>0</v>
      </c>
    </row>
    <row r="54" spans="1:18" x14ac:dyDescent="0.25">
      <c r="A54">
        <v>200053</v>
      </c>
      <c r="B54">
        <v>51313</v>
      </c>
      <c r="C54" t="s">
        <v>34</v>
      </c>
      <c r="D54">
        <v>2219.75</v>
      </c>
      <c r="E54">
        <v>2410</v>
      </c>
      <c r="F54">
        <v>1</v>
      </c>
      <c r="G54">
        <v>3</v>
      </c>
      <c r="H54">
        <v>0</v>
      </c>
      <c r="I54" t="s">
        <v>32</v>
      </c>
      <c r="J54">
        <v>0</v>
      </c>
      <c r="K54">
        <v>52</v>
      </c>
      <c r="L54" t="s">
        <v>24</v>
      </c>
      <c r="M54" t="s">
        <v>21</v>
      </c>
      <c r="N54" t="s">
        <v>22</v>
      </c>
      <c r="O54" t="s">
        <v>27</v>
      </c>
      <c r="P54">
        <v>5.3</v>
      </c>
      <c r="Q54" s="2" t="b">
        <f>FALSE()</f>
        <v>0</v>
      </c>
      <c r="R54">
        <v>0</v>
      </c>
    </row>
    <row r="55" spans="1:18" x14ac:dyDescent="0.25">
      <c r="A55">
        <v>200054</v>
      </c>
      <c r="B55">
        <v>50366</v>
      </c>
      <c r="C55" t="s">
        <v>34</v>
      </c>
      <c r="D55">
        <v>2250.46</v>
      </c>
      <c r="E55">
        <v>576</v>
      </c>
      <c r="F55">
        <v>3</v>
      </c>
      <c r="G55">
        <v>4</v>
      </c>
      <c r="H55">
        <v>0</v>
      </c>
      <c r="I55" t="s">
        <v>33</v>
      </c>
      <c r="J55">
        <v>0</v>
      </c>
      <c r="K55">
        <v>70</v>
      </c>
      <c r="L55" t="s">
        <v>24</v>
      </c>
      <c r="M55" t="s">
        <v>29</v>
      </c>
      <c r="N55" t="s">
        <v>26</v>
      </c>
      <c r="O55" t="s">
        <v>36</v>
      </c>
      <c r="P55">
        <v>3.57</v>
      </c>
      <c r="Q55" s="2" t="b">
        <f>FALSE()</f>
        <v>0</v>
      </c>
      <c r="R55">
        <v>1</v>
      </c>
    </row>
    <row r="56" spans="1:18" x14ac:dyDescent="0.25">
      <c r="A56">
        <v>200055</v>
      </c>
      <c r="B56">
        <v>51083</v>
      </c>
      <c r="C56" t="s">
        <v>18</v>
      </c>
      <c r="D56">
        <v>2427.19</v>
      </c>
      <c r="E56">
        <v>3238</v>
      </c>
      <c r="F56">
        <v>0</v>
      </c>
      <c r="G56">
        <v>3</v>
      </c>
      <c r="H56">
        <v>0</v>
      </c>
      <c r="I56" t="s">
        <v>19</v>
      </c>
      <c r="J56">
        <v>0</v>
      </c>
      <c r="K56">
        <v>78</v>
      </c>
      <c r="L56" t="s">
        <v>20</v>
      </c>
      <c r="M56" t="s">
        <v>37</v>
      </c>
      <c r="N56" t="s">
        <v>30</v>
      </c>
      <c r="O56" t="s">
        <v>27</v>
      </c>
      <c r="P56">
        <v>0.4</v>
      </c>
      <c r="Q56" s="2" t="b">
        <f>FALSE()</f>
        <v>0</v>
      </c>
      <c r="R56">
        <v>0</v>
      </c>
    </row>
    <row r="57" spans="1:18" x14ac:dyDescent="0.25">
      <c r="A57">
        <v>200056</v>
      </c>
      <c r="B57">
        <v>50535</v>
      </c>
      <c r="C57" t="s">
        <v>34</v>
      </c>
      <c r="D57">
        <v>1298.46</v>
      </c>
      <c r="E57">
        <v>942</v>
      </c>
      <c r="F57">
        <v>2</v>
      </c>
      <c r="G57">
        <v>1</v>
      </c>
      <c r="H57">
        <v>1</v>
      </c>
      <c r="I57" t="s">
        <v>19</v>
      </c>
      <c r="J57">
        <v>0</v>
      </c>
      <c r="K57">
        <v>28</v>
      </c>
      <c r="L57" t="s">
        <v>24</v>
      </c>
      <c r="M57" t="s">
        <v>29</v>
      </c>
      <c r="N57" t="s">
        <v>22</v>
      </c>
      <c r="O57" t="s">
        <v>27</v>
      </c>
      <c r="P57">
        <v>2.72</v>
      </c>
      <c r="Q57" s="2" t="b">
        <f>FALSE()</f>
        <v>0</v>
      </c>
      <c r="R57">
        <v>0</v>
      </c>
    </row>
    <row r="58" spans="1:18" x14ac:dyDescent="0.25">
      <c r="A58">
        <v>200057</v>
      </c>
      <c r="B58">
        <v>55081</v>
      </c>
      <c r="C58" t="s">
        <v>18</v>
      </c>
      <c r="D58">
        <v>2793.24</v>
      </c>
      <c r="E58">
        <v>3502</v>
      </c>
      <c r="F58">
        <v>3</v>
      </c>
      <c r="G58">
        <v>2</v>
      </c>
      <c r="H58">
        <v>0</v>
      </c>
      <c r="I58" t="s">
        <v>33</v>
      </c>
      <c r="J58">
        <v>1</v>
      </c>
      <c r="K58">
        <v>73</v>
      </c>
      <c r="L58" t="s">
        <v>24</v>
      </c>
      <c r="M58" t="s">
        <v>25</v>
      </c>
      <c r="N58" t="s">
        <v>26</v>
      </c>
      <c r="O58" t="s">
        <v>36</v>
      </c>
      <c r="P58">
        <v>0.36</v>
      </c>
      <c r="Q58" s="2" t="b">
        <f>FALSE()</f>
        <v>0</v>
      </c>
      <c r="R58">
        <v>1</v>
      </c>
    </row>
    <row r="59" spans="1:18" x14ac:dyDescent="0.25">
      <c r="A59">
        <v>200058</v>
      </c>
      <c r="B59">
        <v>51104</v>
      </c>
      <c r="C59" t="s">
        <v>34</v>
      </c>
      <c r="D59">
        <v>1933.12</v>
      </c>
      <c r="E59">
        <v>44</v>
      </c>
      <c r="F59">
        <v>2</v>
      </c>
      <c r="G59">
        <v>3</v>
      </c>
      <c r="H59">
        <v>1</v>
      </c>
      <c r="I59" t="s">
        <v>19</v>
      </c>
      <c r="J59">
        <v>0</v>
      </c>
      <c r="K59">
        <v>78</v>
      </c>
      <c r="L59" t="s">
        <v>20</v>
      </c>
      <c r="M59" t="s">
        <v>29</v>
      </c>
      <c r="N59" t="s">
        <v>30</v>
      </c>
      <c r="O59" t="s">
        <v>23</v>
      </c>
      <c r="P59">
        <v>6.09</v>
      </c>
      <c r="Q59" s="2" t="b">
        <f>FALSE()</f>
        <v>0</v>
      </c>
      <c r="R59">
        <v>0</v>
      </c>
    </row>
    <row r="60" spans="1:18" x14ac:dyDescent="0.25">
      <c r="A60">
        <v>200059</v>
      </c>
      <c r="B60">
        <v>54172</v>
      </c>
      <c r="C60" t="s">
        <v>18</v>
      </c>
      <c r="D60">
        <v>1569.73</v>
      </c>
      <c r="E60">
        <v>2705</v>
      </c>
      <c r="F60">
        <v>1</v>
      </c>
      <c r="G60">
        <v>4</v>
      </c>
      <c r="H60">
        <v>0</v>
      </c>
      <c r="I60" t="s">
        <v>33</v>
      </c>
      <c r="J60">
        <v>0</v>
      </c>
      <c r="K60">
        <v>35</v>
      </c>
      <c r="L60" t="s">
        <v>20</v>
      </c>
      <c r="M60" t="s">
        <v>29</v>
      </c>
      <c r="N60" t="s">
        <v>26</v>
      </c>
      <c r="O60" t="s">
        <v>27</v>
      </c>
      <c r="P60">
        <v>0.68</v>
      </c>
      <c r="Q60" s="2" t="b">
        <f>FALSE()</f>
        <v>0</v>
      </c>
      <c r="R60">
        <v>0</v>
      </c>
    </row>
    <row r="61" spans="1:18" x14ac:dyDescent="0.25">
      <c r="A61">
        <v>200060</v>
      </c>
      <c r="B61">
        <v>50140</v>
      </c>
      <c r="C61" t="s">
        <v>34</v>
      </c>
      <c r="D61">
        <v>2033.61</v>
      </c>
      <c r="E61">
        <v>3224</v>
      </c>
      <c r="F61">
        <v>1</v>
      </c>
      <c r="G61">
        <v>2</v>
      </c>
      <c r="H61">
        <v>1</v>
      </c>
      <c r="I61" t="s">
        <v>19</v>
      </c>
      <c r="J61">
        <v>0</v>
      </c>
      <c r="K61">
        <v>44</v>
      </c>
      <c r="L61" t="s">
        <v>20</v>
      </c>
      <c r="M61" t="s">
        <v>35</v>
      </c>
      <c r="N61" t="s">
        <v>22</v>
      </c>
      <c r="O61" t="s">
        <v>27</v>
      </c>
      <c r="P61">
        <v>0.77</v>
      </c>
      <c r="Q61" s="2" t="b">
        <f>FALSE()</f>
        <v>0</v>
      </c>
      <c r="R61">
        <v>0</v>
      </c>
    </row>
    <row r="62" spans="1:18" x14ac:dyDescent="0.25">
      <c r="A62">
        <v>200061</v>
      </c>
      <c r="B62">
        <v>53981</v>
      </c>
      <c r="C62" t="s">
        <v>34</v>
      </c>
      <c r="D62">
        <v>2433.46</v>
      </c>
      <c r="E62">
        <v>2348</v>
      </c>
      <c r="F62">
        <v>1</v>
      </c>
      <c r="G62">
        <v>4</v>
      </c>
      <c r="H62">
        <v>1</v>
      </c>
      <c r="I62" t="s">
        <v>19</v>
      </c>
      <c r="J62">
        <v>0</v>
      </c>
      <c r="K62">
        <v>77</v>
      </c>
      <c r="L62" t="s">
        <v>20</v>
      </c>
      <c r="M62" t="s">
        <v>29</v>
      </c>
      <c r="N62" t="s">
        <v>22</v>
      </c>
      <c r="O62" t="s">
        <v>27</v>
      </c>
      <c r="P62">
        <v>2.5499999999999998</v>
      </c>
      <c r="Q62" s="2" t="b">
        <f>FALSE()</f>
        <v>0</v>
      </c>
      <c r="R62">
        <v>0</v>
      </c>
    </row>
    <row r="63" spans="1:18" x14ac:dyDescent="0.25">
      <c r="A63">
        <v>200062</v>
      </c>
      <c r="B63">
        <v>51551</v>
      </c>
      <c r="C63" t="s">
        <v>18</v>
      </c>
      <c r="D63">
        <v>6766.89</v>
      </c>
      <c r="E63">
        <v>1123</v>
      </c>
      <c r="F63">
        <v>0</v>
      </c>
      <c r="G63">
        <v>1</v>
      </c>
      <c r="H63">
        <v>0</v>
      </c>
      <c r="I63" t="s">
        <v>19</v>
      </c>
      <c r="J63">
        <v>0</v>
      </c>
      <c r="K63">
        <v>74</v>
      </c>
      <c r="L63" t="s">
        <v>20</v>
      </c>
      <c r="M63" t="s">
        <v>29</v>
      </c>
      <c r="N63" t="s">
        <v>30</v>
      </c>
      <c r="O63" t="s">
        <v>27</v>
      </c>
      <c r="P63">
        <v>0.8</v>
      </c>
      <c r="Q63" s="2" t="b">
        <f>FALSE()</f>
        <v>0</v>
      </c>
      <c r="R63">
        <v>1</v>
      </c>
    </row>
    <row r="64" spans="1:18" x14ac:dyDescent="0.25">
      <c r="A64">
        <v>200063</v>
      </c>
      <c r="B64">
        <v>53464</v>
      </c>
      <c r="C64" t="s">
        <v>18</v>
      </c>
      <c r="D64">
        <v>2473.9</v>
      </c>
      <c r="E64">
        <v>1702</v>
      </c>
      <c r="F64">
        <v>0</v>
      </c>
      <c r="G64">
        <v>5</v>
      </c>
      <c r="H64">
        <v>1</v>
      </c>
      <c r="I64" t="s">
        <v>33</v>
      </c>
      <c r="J64">
        <v>0</v>
      </c>
      <c r="K64">
        <v>48</v>
      </c>
      <c r="L64" t="s">
        <v>24</v>
      </c>
      <c r="M64" t="s">
        <v>25</v>
      </c>
      <c r="N64" t="s">
        <v>26</v>
      </c>
      <c r="O64" t="s">
        <v>23</v>
      </c>
      <c r="P64">
        <v>3.15</v>
      </c>
      <c r="Q64" s="2" t="b">
        <f>FALSE()</f>
        <v>0</v>
      </c>
      <c r="R64">
        <v>0</v>
      </c>
    </row>
    <row r="65" spans="1:18" x14ac:dyDescent="0.25">
      <c r="A65">
        <v>200064</v>
      </c>
      <c r="B65">
        <v>53873</v>
      </c>
      <c r="C65" t="s">
        <v>18</v>
      </c>
      <c r="D65">
        <v>1328.89</v>
      </c>
      <c r="E65">
        <v>3330</v>
      </c>
      <c r="F65">
        <v>2</v>
      </c>
      <c r="G65">
        <v>2</v>
      </c>
      <c r="H65">
        <v>0</v>
      </c>
      <c r="I65" t="s">
        <v>33</v>
      </c>
      <c r="J65">
        <v>0</v>
      </c>
      <c r="K65">
        <v>65</v>
      </c>
      <c r="L65" t="s">
        <v>24</v>
      </c>
      <c r="M65" t="s">
        <v>21</v>
      </c>
      <c r="N65" t="s">
        <v>30</v>
      </c>
      <c r="O65" t="s">
        <v>36</v>
      </c>
      <c r="P65">
        <v>0.28999999999999998</v>
      </c>
      <c r="Q65" s="2" t="b">
        <f>FALSE()</f>
        <v>0</v>
      </c>
      <c r="R65">
        <v>0</v>
      </c>
    </row>
    <row r="66" spans="1:18" x14ac:dyDescent="0.25">
      <c r="A66">
        <v>200065</v>
      </c>
      <c r="B66">
        <v>53779</v>
      </c>
      <c r="C66" t="s">
        <v>18</v>
      </c>
      <c r="D66">
        <v>2872.63</v>
      </c>
      <c r="E66">
        <v>829</v>
      </c>
      <c r="F66">
        <v>2</v>
      </c>
      <c r="G66">
        <v>3</v>
      </c>
      <c r="H66">
        <v>1</v>
      </c>
      <c r="I66" t="s">
        <v>33</v>
      </c>
      <c r="J66">
        <v>0</v>
      </c>
      <c r="K66">
        <v>82</v>
      </c>
      <c r="L66" t="s">
        <v>20</v>
      </c>
      <c r="M66" t="s">
        <v>37</v>
      </c>
      <c r="N66" t="s">
        <v>22</v>
      </c>
      <c r="O66" t="s">
        <v>23</v>
      </c>
      <c r="P66">
        <v>6.13</v>
      </c>
      <c r="Q66" s="2" t="b">
        <f>FALSE()</f>
        <v>0</v>
      </c>
      <c r="R66">
        <v>0</v>
      </c>
    </row>
    <row r="67" spans="1:18" x14ac:dyDescent="0.25">
      <c r="A67">
        <v>200066</v>
      </c>
      <c r="B67">
        <v>52337</v>
      </c>
      <c r="C67" t="s">
        <v>18</v>
      </c>
      <c r="D67">
        <v>587.44000000000005</v>
      </c>
      <c r="E67">
        <v>3609</v>
      </c>
      <c r="F67">
        <v>0</v>
      </c>
      <c r="G67">
        <v>3</v>
      </c>
      <c r="H67">
        <v>0</v>
      </c>
      <c r="I67" t="s">
        <v>33</v>
      </c>
      <c r="J67">
        <v>0</v>
      </c>
      <c r="K67">
        <v>32</v>
      </c>
      <c r="L67" t="s">
        <v>20</v>
      </c>
      <c r="M67" t="s">
        <v>21</v>
      </c>
      <c r="N67" t="s">
        <v>26</v>
      </c>
      <c r="O67" t="s">
        <v>36</v>
      </c>
      <c r="P67">
        <v>11.25</v>
      </c>
      <c r="Q67" s="2" t="b">
        <f>FALSE()</f>
        <v>0</v>
      </c>
      <c r="R67">
        <v>0</v>
      </c>
    </row>
    <row r="68" spans="1:18" x14ac:dyDescent="0.25">
      <c r="A68">
        <v>200067</v>
      </c>
      <c r="B68">
        <v>50725</v>
      </c>
      <c r="C68" t="s">
        <v>28</v>
      </c>
      <c r="D68">
        <v>4906.0200000000004</v>
      </c>
      <c r="E68">
        <v>466</v>
      </c>
      <c r="F68">
        <v>1</v>
      </c>
      <c r="G68">
        <v>3</v>
      </c>
      <c r="H68">
        <v>0</v>
      </c>
      <c r="I68" t="s">
        <v>33</v>
      </c>
      <c r="J68">
        <v>0</v>
      </c>
      <c r="K68">
        <v>80</v>
      </c>
      <c r="L68" t="s">
        <v>24</v>
      </c>
      <c r="M68" t="s">
        <v>25</v>
      </c>
      <c r="N68" t="s">
        <v>22</v>
      </c>
      <c r="O68" t="s">
        <v>23</v>
      </c>
      <c r="P68">
        <v>2.96</v>
      </c>
      <c r="Q68" s="2" t="b">
        <f>FALSE()</f>
        <v>0</v>
      </c>
      <c r="R68">
        <v>1</v>
      </c>
    </row>
    <row r="69" spans="1:18" x14ac:dyDescent="0.25">
      <c r="A69">
        <v>200068</v>
      </c>
      <c r="B69">
        <v>51488</v>
      </c>
      <c r="C69" t="s">
        <v>18</v>
      </c>
      <c r="D69">
        <v>177.77</v>
      </c>
      <c r="E69">
        <v>1459</v>
      </c>
      <c r="F69">
        <v>1</v>
      </c>
      <c r="G69">
        <v>4</v>
      </c>
      <c r="H69">
        <v>0</v>
      </c>
      <c r="I69" t="s">
        <v>19</v>
      </c>
      <c r="J69">
        <v>0</v>
      </c>
      <c r="K69">
        <v>68</v>
      </c>
      <c r="L69" t="s">
        <v>20</v>
      </c>
      <c r="M69" t="s">
        <v>35</v>
      </c>
      <c r="N69" t="s">
        <v>22</v>
      </c>
      <c r="O69" t="s">
        <v>36</v>
      </c>
      <c r="P69">
        <v>4.01</v>
      </c>
      <c r="Q69" s="2" t="b">
        <f>FALSE()</f>
        <v>0</v>
      </c>
      <c r="R69">
        <v>0</v>
      </c>
    </row>
    <row r="70" spans="1:18" x14ac:dyDescent="0.25">
      <c r="A70">
        <v>200069</v>
      </c>
      <c r="B70">
        <v>50911</v>
      </c>
      <c r="C70" t="s">
        <v>34</v>
      </c>
      <c r="D70">
        <v>958.41</v>
      </c>
      <c r="E70">
        <v>1737</v>
      </c>
      <c r="F70">
        <v>0</v>
      </c>
      <c r="G70">
        <v>2</v>
      </c>
      <c r="H70">
        <v>1</v>
      </c>
      <c r="I70" t="s">
        <v>19</v>
      </c>
      <c r="J70">
        <v>0</v>
      </c>
      <c r="K70">
        <v>40</v>
      </c>
      <c r="L70" t="s">
        <v>20</v>
      </c>
      <c r="M70" t="s">
        <v>35</v>
      </c>
      <c r="N70" t="s">
        <v>30</v>
      </c>
      <c r="O70" t="s">
        <v>27</v>
      </c>
      <c r="P70">
        <v>0.7</v>
      </c>
      <c r="Q70" s="2" t="b">
        <f>FALSE()</f>
        <v>0</v>
      </c>
      <c r="R70">
        <v>0</v>
      </c>
    </row>
    <row r="71" spans="1:18" x14ac:dyDescent="0.25">
      <c r="A71">
        <v>200070</v>
      </c>
      <c r="B71">
        <v>53116</v>
      </c>
      <c r="C71" t="s">
        <v>18</v>
      </c>
      <c r="D71">
        <v>7746.92</v>
      </c>
      <c r="E71">
        <v>2603</v>
      </c>
      <c r="F71">
        <v>1</v>
      </c>
      <c r="G71">
        <v>10</v>
      </c>
      <c r="H71">
        <v>0</v>
      </c>
      <c r="I71" t="s">
        <v>33</v>
      </c>
      <c r="J71">
        <v>0</v>
      </c>
      <c r="K71">
        <v>64</v>
      </c>
      <c r="L71" t="s">
        <v>24</v>
      </c>
      <c r="M71" t="s">
        <v>21</v>
      </c>
      <c r="N71" t="s">
        <v>26</v>
      </c>
      <c r="O71" t="s">
        <v>36</v>
      </c>
      <c r="P71">
        <v>0.67</v>
      </c>
      <c r="Q71" s="2" t="b">
        <f>TRUE()</f>
        <v>1</v>
      </c>
      <c r="R71">
        <v>1</v>
      </c>
    </row>
    <row r="72" spans="1:18" x14ac:dyDescent="0.25">
      <c r="A72">
        <v>200071</v>
      </c>
      <c r="B72">
        <v>53490</v>
      </c>
      <c r="C72" t="s">
        <v>34</v>
      </c>
      <c r="D72">
        <v>3577.11</v>
      </c>
      <c r="E72">
        <v>195</v>
      </c>
      <c r="F72">
        <v>2</v>
      </c>
      <c r="G72">
        <v>4</v>
      </c>
      <c r="H72">
        <v>1</v>
      </c>
      <c r="I72" t="s">
        <v>19</v>
      </c>
      <c r="J72">
        <v>0</v>
      </c>
      <c r="K72">
        <v>35</v>
      </c>
      <c r="L72" t="s">
        <v>20</v>
      </c>
      <c r="M72" t="s">
        <v>37</v>
      </c>
      <c r="N72" t="s">
        <v>22</v>
      </c>
      <c r="O72" t="s">
        <v>27</v>
      </c>
      <c r="P72">
        <v>0.19</v>
      </c>
      <c r="Q72" s="2" t="b">
        <f>FALSE()</f>
        <v>0</v>
      </c>
      <c r="R72">
        <v>1</v>
      </c>
    </row>
    <row r="73" spans="1:18" x14ac:dyDescent="0.25">
      <c r="A73">
        <v>200072</v>
      </c>
      <c r="B73">
        <v>54431</v>
      </c>
      <c r="C73" t="s">
        <v>28</v>
      </c>
      <c r="D73">
        <v>711.08</v>
      </c>
      <c r="E73">
        <v>2020</v>
      </c>
      <c r="F73">
        <v>0</v>
      </c>
      <c r="G73">
        <v>5</v>
      </c>
      <c r="H73">
        <v>0</v>
      </c>
      <c r="I73" t="s">
        <v>19</v>
      </c>
      <c r="J73">
        <v>1</v>
      </c>
      <c r="K73">
        <v>28</v>
      </c>
      <c r="L73" t="s">
        <v>20</v>
      </c>
      <c r="M73" t="s">
        <v>25</v>
      </c>
      <c r="N73" t="s">
        <v>22</v>
      </c>
      <c r="O73" t="s">
        <v>23</v>
      </c>
      <c r="P73">
        <v>1.56</v>
      </c>
      <c r="Q73" s="2" t="b">
        <f>FALSE()</f>
        <v>0</v>
      </c>
      <c r="R73">
        <v>0</v>
      </c>
    </row>
    <row r="74" spans="1:18" x14ac:dyDescent="0.25">
      <c r="A74">
        <v>200073</v>
      </c>
      <c r="B74">
        <v>52301</v>
      </c>
      <c r="C74" t="s">
        <v>28</v>
      </c>
      <c r="D74">
        <v>8014.37</v>
      </c>
      <c r="E74">
        <v>1059</v>
      </c>
      <c r="F74">
        <v>1</v>
      </c>
      <c r="G74">
        <v>1</v>
      </c>
      <c r="H74">
        <v>0</v>
      </c>
      <c r="I74" t="s">
        <v>33</v>
      </c>
      <c r="J74">
        <v>0</v>
      </c>
      <c r="K74">
        <v>73</v>
      </c>
      <c r="L74" t="s">
        <v>24</v>
      </c>
      <c r="M74" t="s">
        <v>37</v>
      </c>
      <c r="N74" t="s">
        <v>26</v>
      </c>
      <c r="O74" t="s">
        <v>27</v>
      </c>
      <c r="P74">
        <v>6.77</v>
      </c>
      <c r="Q74" s="2" t="b">
        <f>TRUE()</f>
        <v>1</v>
      </c>
      <c r="R74">
        <v>1</v>
      </c>
    </row>
    <row r="75" spans="1:18" x14ac:dyDescent="0.25">
      <c r="A75">
        <v>200074</v>
      </c>
      <c r="B75">
        <v>50479</v>
      </c>
      <c r="C75" t="s">
        <v>34</v>
      </c>
      <c r="D75">
        <v>2690.62</v>
      </c>
      <c r="E75">
        <v>642</v>
      </c>
      <c r="F75">
        <v>1</v>
      </c>
      <c r="G75">
        <v>5</v>
      </c>
      <c r="H75">
        <v>0</v>
      </c>
      <c r="I75" t="s">
        <v>19</v>
      </c>
      <c r="J75">
        <v>1</v>
      </c>
      <c r="K75">
        <v>20</v>
      </c>
      <c r="L75" t="s">
        <v>24</v>
      </c>
      <c r="M75" t="s">
        <v>37</v>
      </c>
      <c r="N75" t="s">
        <v>30</v>
      </c>
      <c r="O75" t="s">
        <v>36</v>
      </c>
      <c r="P75">
        <v>0.28000000000000003</v>
      </c>
      <c r="Q75" s="2" t="b">
        <f>FALSE()</f>
        <v>0</v>
      </c>
      <c r="R75">
        <v>0</v>
      </c>
    </row>
    <row r="76" spans="1:18" x14ac:dyDescent="0.25">
      <c r="A76">
        <v>200075</v>
      </c>
      <c r="B76">
        <v>53380</v>
      </c>
      <c r="C76" t="s">
        <v>18</v>
      </c>
      <c r="D76">
        <v>834.37</v>
      </c>
      <c r="E76">
        <v>3444</v>
      </c>
      <c r="F76">
        <v>0</v>
      </c>
      <c r="G76">
        <v>2</v>
      </c>
      <c r="H76">
        <v>0</v>
      </c>
      <c r="I76" t="s">
        <v>33</v>
      </c>
      <c r="J76">
        <v>1</v>
      </c>
      <c r="K76">
        <v>54</v>
      </c>
      <c r="L76" t="s">
        <v>24</v>
      </c>
      <c r="M76" t="s">
        <v>37</v>
      </c>
      <c r="N76" t="s">
        <v>30</v>
      </c>
      <c r="O76" t="s">
        <v>27</v>
      </c>
      <c r="P76">
        <v>3.75</v>
      </c>
      <c r="Q76" s="2" t="b">
        <f>FALSE()</f>
        <v>0</v>
      </c>
      <c r="R76">
        <v>0</v>
      </c>
    </row>
    <row r="77" spans="1:18" x14ac:dyDescent="0.25">
      <c r="A77">
        <v>200076</v>
      </c>
      <c r="B77">
        <v>51137</v>
      </c>
      <c r="C77" t="s">
        <v>18</v>
      </c>
      <c r="D77">
        <v>1403.61</v>
      </c>
      <c r="E77">
        <v>3438</v>
      </c>
      <c r="F77">
        <v>1</v>
      </c>
      <c r="G77">
        <v>3</v>
      </c>
      <c r="H77">
        <v>0</v>
      </c>
      <c r="I77" t="s">
        <v>33</v>
      </c>
      <c r="J77">
        <v>0</v>
      </c>
      <c r="K77">
        <v>83</v>
      </c>
      <c r="L77" t="s">
        <v>24</v>
      </c>
      <c r="M77" t="s">
        <v>37</v>
      </c>
      <c r="N77" t="s">
        <v>22</v>
      </c>
      <c r="O77" t="s">
        <v>27</v>
      </c>
      <c r="P77">
        <v>0.08</v>
      </c>
      <c r="Q77" s="2" t="b">
        <f>FALSE()</f>
        <v>0</v>
      </c>
      <c r="R77">
        <v>0</v>
      </c>
    </row>
    <row r="78" spans="1:18" x14ac:dyDescent="0.25">
      <c r="A78">
        <v>200077</v>
      </c>
      <c r="B78">
        <v>54285</v>
      </c>
      <c r="C78" t="s">
        <v>34</v>
      </c>
      <c r="D78">
        <v>633.41999999999996</v>
      </c>
      <c r="E78">
        <v>2725</v>
      </c>
      <c r="F78">
        <v>0</v>
      </c>
      <c r="G78">
        <v>3</v>
      </c>
      <c r="H78">
        <v>0</v>
      </c>
      <c r="I78" t="s">
        <v>32</v>
      </c>
      <c r="J78">
        <v>1</v>
      </c>
      <c r="K78">
        <v>20</v>
      </c>
      <c r="L78" t="s">
        <v>24</v>
      </c>
      <c r="M78" t="s">
        <v>25</v>
      </c>
      <c r="N78" t="s">
        <v>26</v>
      </c>
      <c r="O78" t="s">
        <v>36</v>
      </c>
      <c r="P78">
        <v>0.81</v>
      </c>
      <c r="Q78" s="2" t="b">
        <f>FALSE()</f>
        <v>0</v>
      </c>
      <c r="R78">
        <v>0</v>
      </c>
    </row>
    <row r="79" spans="1:18" x14ac:dyDescent="0.25">
      <c r="A79">
        <v>200078</v>
      </c>
      <c r="B79">
        <v>51044</v>
      </c>
      <c r="C79" t="s">
        <v>28</v>
      </c>
      <c r="D79">
        <v>7285.43</v>
      </c>
      <c r="E79">
        <v>587</v>
      </c>
      <c r="F79">
        <v>2</v>
      </c>
      <c r="G79">
        <v>5</v>
      </c>
      <c r="H79">
        <v>1</v>
      </c>
      <c r="I79" t="s">
        <v>32</v>
      </c>
      <c r="J79">
        <v>0</v>
      </c>
      <c r="K79">
        <v>19</v>
      </c>
      <c r="L79" t="s">
        <v>20</v>
      </c>
      <c r="M79" t="s">
        <v>31</v>
      </c>
      <c r="N79" t="s">
        <v>22</v>
      </c>
      <c r="O79" t="s">
        <v>27</v>
      </c>
      <c r="P79">
        <v>5.35</v>
      </c>
      <c r="Q79" s="2" t="b">
        <f>TRUE()</f>
        <v>1</v>
      </c>
      <c r="R79">
        <v>1</v>
      </c>
    </row>
    <row r="80" spans="1:18" x14ac:dyDescent="0.25">
      <c r="A80">
        <v>200079</v>
      </c>
      <c r="B80">
        <v>52563</v>
      </c>
      <c r="C80" t="s">
        <v>34</v>
      </c>
      <c r="D80">
        <v>534.85</v>
      </c>
      <c r="E80">
        <v>1075</v>
      </c>
      <c r="F80">
        <v>0</v>
      </c>
      <c r="G80">
        <v>7</v>
      </c>
      <c r="H80">
        <v>0</v>
      </c>
      <c r="I80" t="s">
        <v>19</v>
      </c>
      <c r="J80">
        <v>0</v>
      </c>
      <c r="K80">
        <v>35</v>
      </c>
      <c r="L80" t="s">
        <v>24</v>
      </c>
      <c r="M80" t="s">
        <v>21</v>
      </c>
      <c r="N80" t="s">
        <v>22</v>
      </c>
      <c r="O80" t="s">
        <v>27</v>
      </c>
      <c r="P80">
        <v>1.63</v>
      </c>
      <c r="Q80" s="2" t="b">
        <f>FALSE()</f>
        <v>0</v>
      </c>
      <c r="R80">
        <v>1</v>
      </c>
    </row>
    <row r="81" spans="1:18" x14ac:dyDescent="0.25">
      <c r="A81">
        <v>200080</v>
      </c>
      <c r="B81">
        <v>55722</v>
      </c>
      <c r="C81" t="s">
        <v>18</v>
      </c>
      <c r="D81">
        <v>915.05</v>
      </c>
      <c r="E81">
        <v>1353</v>
      </c>
      <c r="F81">
        <v>1</v>
      </c>
      <c r="G81">
        <v>4</v>
      </c>
      <c r="H81">
        <v>0</v>
      </c>
      <c r="I81" t="s">
        <v>19</v>
      </c>
      <c r="J81">
        <v>0</v>
      </c>
      <c r="K81">
        <v>31</v>
      </c>
      <c r="L81" t="s">
        <v>24</v>
      </c>
      <c r="M81" t="s">
        <v>21</v>
      </c>
      <c r="N81" t="s">
        <v>30</v>
      </c>
      <c r="O81" t="s">
        <v>27</v>
      </c>
      <c r="P81">
        <v>4.17</v>
      </c>
      <c r="Q81" s="2" t="b">
        <f>FALSE()</f>
        <v>0</v>
      </c>
      <c r="R81">
        <v>0</v>
      </c>
    </row>
    <row r="82" spans="1:18" x14ac:dyDescent="0.25">
      <c r="A82">
        <v>200081</v>
      </c>
      <c r="B82">
        <v>53142</v>
      </c>
      <c r="C82" t="s">
        <v>34</v>
      </c>
      <c r="D82">
        <v>1548.09</v>
      </c>
      <c r="E82">
        <v>3580</v>
      </c>
      <c r="F82">
        <v>0</v>
      </c>
      <c r="G82">
        <v>6</v>
      </c>
      <c r="H82">
        <v>0</v>
      </c>
      <c r="I82" t="s">
        <v>33</v>
      </c>
      <c r="J82">
        <v>0</v>
      </c>
      <c r="K82">
        <v>75</v>
      </c>
      <c r="L82" t="s">
        <v>20</v>
      </c>
      <c r="M82" t="s">
        <v>35</v>
      </c>
      <c r="N82" t="s">
        <v>22</v>
      </c>
      <c r="O82" t="s">
        <v>27</v>
      </c>
      <c r="P82">
        <v>1.42</v>
      </c>
      <c r="Q82" s="2" t="b">
        <f>FALSE()</f>
        <v>0</v>
      </c>
      <c r="R82">
        <v>0</v>
      </c>
    </row>
    <row r="83" spans="1:18" x14ac:dyDescent="0.25">
      <c r="A83">
        <v>200082</v>
      </c>
      <c r="B83">
        <v>54006</v>
      </c>
      <c r="C83" t="s">
        <v>18</v>
      </c>
      <c r="D83">
        <v>1552.41</v>
      </c>
      <c r="E83">
        <v>2192</v>
      </c>
      <c r="F83">
        <v>0</v>
      </c>
      <c r="G83">
        <v>4</v>
      </c>
      <c r="H83">
        <v>0</v>
      </c>
      <c r="I83" t="s">
        <v>33</v>
      </c>
      <c r="J83">
        <v>0</v>
      </c>
      <c r="K83">
        <v>46</v>
      </c>
      <c r="L83" t="s">
        <v>24</v>
      </c>
      <c r="M83" t="s">
        <v>21</v>
      </c>
      <c r="N83" t="s">
        <v>30</v>
      </c>
      <c r="O83" t="s">
        <v>27</v>
      </c>
      <c r="P83">
        <v>4.37</v>
      </c>
      <c r="Q83" s="2" t="b">
        <f>FALSE()</f>
        <v>0</v>
      </c>
      <c r="R83">
        <v>0</v>
      </c>
    </row>
    <row r="84" spans="1:18" x14ac:dyDescent="0.25">
      <c r="A84">
        <v>200083</v>
      </c>
      <c r="B84">
        <v>50365</v>
      </c>
      <c r="C84" t="s">
        <v>34</v>
      </c>
      <c r="D84">
        <v>2884.59</v>
      </c>
      <c r="E84">
        <v>916</v>
      </c>
      <c r="F84">
        <v>1</v>
      </c>
      <c r="G84">
        <v>3</v>
      </c>
      <c r="H84">
        <v>0</v>
      </c>
      <c r="I84" t="s">
        <v>19</v>
      </c>
      <c r="J84">
        <v>0</v>
      </c>
      <c r="K84">
        <v>76</v>
      </c>
      <c r="L84" t="s">
        <v>20</v>
      </c>
      <c r="M84" t="s">
        <v>21</v>
      </c>
      <c r="N84" t="s">
        <v>22</v>
      </c>
      <c r="O84" t="s">
        <v>27</v>
      </c>
      <c r="P84">
        <v>7.35</v>
      </c>
      <c r="Q84" s="2" t="b">
        <f>FALSE()</f>
        <v>0</v>
      </c>
      <c r="R84">
        <v>0</v>
      </c>
    </row>
    <row r="85" spans="1:18" x14ac:dyDescent="0.25">
      <c r="A85">
        <v>200084</v>
      </c>
      <c r="B85">
        <v>50250</v>
      </c>
      <c r="C85" t="s">
        <v>18</v>
      </c>
      <c r="D85">
        <v>2289.36</v>
      </c>
      <c r="E85">
        <v>2135</v>
      </c>
      <c r="F85">
        <v>1</v>
      </c>
      <c r="G85">
        <v>4</v>
      </c>
      <c r="H85">
        <v>0</v>
      </c>
      <c r="I85" t="s">
        <v>33</v>
      </c>
      <c r="J85">
        <v>0</v>
      </c>
      <c r="K85">
        <v>78</v>
      </c>
      <c r="L85" t="s">
        <v>20</v>
      </c>
      <c r="M85" t="s">
        <v>37</v>
      </c>
      <c r="N85" t="s">
        <v>26</v>
      </c>
      <c r="O85" t="s">
        <v>36</v>
      </c>
      <c r="P85">
        <v>3.55</v>
      </c>
      <c r="Q85" s="2" t="b">
        <f>FALSE()</f>
        <v>0</v>
      </c>
      <c r="R85">
        <v>0</v>
      </c>
    </row>
    <row r="86" spans="1:18" x14ac:dyDescent="0.25">
      <c r="A86">
        <v>200085</v>
      </c>
      <c r="B86">
        <v>55336</v>
      </c>
      <c r="C86" t="s">
        <v>28</v>
      </c>
      <c r="D86">
        <v>1647.01</v>
      </c>
      <c r="E86">
        <v>1467</v>
      </c>
      <c r="F86">
        <v>0</v>
      </c>
      <c r="G86">
        <v>1</v>
      </c>
      <c r="H86">
        <v>0</v>
      </c>
      <c r="I86" t="s">
        <v>33</v>
      </c>
      <c r="J86">
        <v>0</v>
      </c>
      <c r="K86">
        <v>26</v>
      </c>
      <c r="L86" t="s">
        <v>24</v>
      </c>
      <c r="M86" t="s">
        <v>29</v>
      </c>
      <c r="N86" t="s">
        <v>26</v>
      </c>
      <c r="O86" t="s">
        <v>23</v>
      </c>
      <c r="P86">
        <v>8.64</v>
      </c>
      <c r="Q86" s="2" t="b">
        <f>FALSE()</f>
        <v>0</v>
      </c>
      <c r="R86">
        <v>0</v>
      </c>
    </row>
    <row r="87" spans="1:18" x14ac:dyDescent="0.25">
      <c r="A87">
        <v>200086</v>
      </c>
      <c r="B87">
        <v>55553</v>
      </c>
      <c r="C87" t="s">
        <v>28</v>
      </c>
      <c r="D87">
        <v>3492.03</v>
      </c>
      <c r="E87">
        <v>2963</v>
      </c>
      <c r="F87">
        <v>1</v>
      </c>
      <c r="G87">
        <v>1</v>
      </c>
      <c r="H87">
        <v>0</v>
      </c>
      <c r="I87" t="s">
        <v>33</v>
      </c>
      <c r="J87">
        <v>0</v>
      </c>
      <c r="K87">
        <v>77</v>
      </c>
      <c r="L87" t="s">
        <v>24</v>
      </c>
      <c r="M87" t="s">
        <v>31</v>
      </c>
      <c r="N87" t="s">
        <v>30</v>
      </c>
      <c r="O87" t="s">
        <v>27</v>
      </c>
      <c r="P87">
        <v>6.75</v>
      </c>
      <c r="Q87" s="2" t="b">
        <f>FALSE()</f>
        <v>0</v>
      </c>
      <c r="R87">
        <v>0</v>
      </c>
    </row>
    <row r="88" spans="1:18" x14ac:dyDescent="0.25">
      <c r="A88">
        <v>200087</v>
      </c>
      <c r="B88">
        <v>50790</v>
      </c>
      <c r="C88" t="s">
        <v>34</v>
      </c>
      <c r="D88">
        <v>1332.91</v>
      </c>
      <c r="E88">
        <v>2283</v>
      </c>
      <c r="F88">
        <v>0</v>
      </c>
      <c r="G88">
        <v>5</v>
      </c>
      <c r="H88">
        <v>0</v>
      </c>
      <c r="I88" t="s">
        <v>32</v>
      </c>
      <c r="J88">
        <v>0</v>
      </c>
      <c r="K88">
        <v>51</v>
      </c>
      <c r="L88" t="s">
        <v>24</v>
      </c>
      <c r="M88" t="s">
        <v>31</v>
      </c>
      <c r="N88" t="s">
        <v>22</v>
      </c>
      <c r="O88" t="s">
        <v>23</v>
      </c>
      <c r="P88">
        <v>1.25</v>
      </c>
      <c r="Q88" s="2" t="b">
        <f>FALSE()</f>
        <v>0</v>
      </c>
      <c r="R88">
        <v>0</v>
      </c>
    </row>
    <row r="89" spans="1:18" x14ac:dyDescent="0.25">
      <c r="A89">
        <v>200088</v>
      </c>
      <c r="B89">
        <v>54326</v>
      </c>
      <c r="C89" t="s">
        <v>34</v>
      </c>
      <c r="D89">
        <v>3144.12</v>
      </c>
      <c r="E89">
        <v>1043</v>
      </c>
      <c r="F89">
        <v>0</v>
      </c>
      <c r="G89">
        <v>2</v>
      </c>
      <c r="H89">
        <v>0</v>
      </c>
      <c r="I89" t="s">
        <v>33</v>
      </c>
      <c r="J89">
        <v>0</v>
      </c>
      <c r="K89">
        <v>25</v>
      </c>
      <c r="L89" t="s">
        <v>24</v>
      </c>
      <c r="M89" t="s">
        <v>21</v>
      </c>
      <c r="N89" t="s">
        <v>26</v>
      </c>
      <c r="O89" t="s">
        <v>27</v>
      </c>
      <c r="P89">
        <v>2.56</v>
      </c>
      <c r="Q89" s="2" t="b">
        <f>FALSE()</f>
        <v>0</v>
      </c>
      <c r="R89">
        <v>0</v>
      </c>
    </row>
    <row r="90" spans="1:18" x14ac:dyDescent="0.25">
      <c r="A90">
        <v>200089</v>
      </c>
      <c r="B90">
        <v>53068</v>
      </c>
      <c r="C90" t="s">
        <v>28</v>
      </c>
      <c r="D90">
        <v>1324.28</v>
      </c>
      <c r="E90">
        <v>2503</v>
      </c>
      <c r="F90">
        <v>1</v>
      </c>
      <c r="G90">
        <v>1</v>
      </c>
      <c r="H90">
        <v>0</v>
      </c>
      <c r="I90" t="s">
        <v>33</v>
      </c>
      <c r="J90">
        <v>1</v>
      </c>
      <c r="K90">
        <v>65</v>
      </c>
      <c r="L90" t="s">
        <v>20</v>
      </c>
      <c r="M90" t="s">
        <v>35</v>
      </c>
      <c r="N90" t="s">
        <v>30</v>
      </c>
      <c r="O90" t="s">
        <v>36</v>
      </c>
      <c r="P90">
        <v>0.82</v>
      </c>
      <c r="Q90" s="2" t="b">
        <f>FALSE()</f>
        <v>0</v>
      </c>
      <c r="R90">
        <v>0</v>
      </c>
    </row>
    <row r="91" spans="1:18" x14ac:dyDescent="0.25">
      <c r="A91">
        <v>200090</v>
      </c>
      <c r="B91">
        <v>54830</v>
      </c>
      <c r="C91" t="s">
        <v>28</v>
      </c>
      <c r="D91">
        <v>10284.36</v>
      </c>
      <c r="E91">
        <v>1178</v>
      </c>
      <c r="F91">
        <v>1</v>
      </c>
      <c r="G91">
        <v>2</v>
      </c>
      <c r="H91">
        <v>0</v>
      </c>
      <c r="I91" t="s">
        <v>19</v>
      </c>
      <c r="J91">
        <v>1</v>
      </c>
      <c r="K91">
        <v>57</v>
      </c>
      <c r="L91" t="s">
        <v>20</v>
      </c>
      <c r="M91" t="s">
        <v>37</v>
      </c>
      <c r="N91" t="s">
        <v>26</v>
      </c>
      <c r="O91" t="s">
        <v>36</v>
      </c>
      <c r="P91">
        <v>0.39</v>
      </c>
      <c r="Q91" s="2" t="b">
        <f>TRUE()</f>
        <v>1</v>
      </c>
      <c r="R91">
        <v>1</v>
      </c>
    </row>
    <row r="92" spans="1:18" x14ac:dyDescent="0.25">
      <c r="A92">
        <v>200091</v>
      </c>
      <c r="B92">
        <v>52450</v>
      </c>
      <c r="C92" t="s">
        <v>34</v>
      </c>
      <c r="D92">
        <v>2162.06</v>
      </c>
      <c r="E92">
        <v>1096</v>
      </c>
      <c r="F92">
        <v>0</v>
      </c>
      <c r="G92">
        <v>5</v>
      </c>
      <c r="H92">
        <v>0</v>
      </c>
      <c r="I92" t="s">
        <v>19</v>
      </c>
      <c r="J92">
        <v>0</v>
      </c>
      <c r="K92">
        <v>55</v>
      </c>
      <c r="L92" t="s">
        <v>24</v>
      </c>
      <c r="M92" t="s">
        <v>29</v>
      </c>
      <c r="N92" t="s">
        <v>22</v>
      </c>
      <c r="O92" t="s">
        <v>23</v>
      </c>
      <c r="P92">
        <v>0.37</v>
      </c>
      <c r="Q92" s="2" t="b">
        <f>FALSE()</f>
        <v>0</v>
      </c>
      <c r="R92">
        <v>0</v>
      </c>
    </row>
    <row r="93" spans="1:18" x14ac:dyDescent="0.25">
      <c r="A93">
        <v>200092</v>
      </c>
      <c r="B93">
        <v>52467</v>
      </c>
      <c r="C93" t="s">
        <v>34</v>
      </c>
      <c r="D93">
        <v>1737.68</v>
      </c>
      <c r="E93">
        <v>2699</v>
      </c>
      <c r="F93">
        <v>1</v>
      </c>
      <c r="G93">
        <v>6</v>
      </c>
      <c r="H93">
        <v>1</v>
      </c>
      <c r="I93" t="s">
        <v>33</v>
      </c>
      <c r="J93">
        <v>0</v>
      </c>
      <c r="K93">
        <v>62</v>
      </c>
      <c r="L93" t="s">
        <v>24</v>
      </c>
      <c r="M93" t="s">
        <v>29</v>
      </c>
      <c r="N93" t="s">
        <v>30</v>
      </c>
      <c r="O93" t="s">
        <v>36</v>
      </c>
      <c r="P93">
        <v>0.37</v>
      </c>
      <c r="Q93" s="2" t="b">
        <f>FALSE()</f>
        <v>0</v>
      </c>
      <c r="R93">
        <v>0</v>
      </c>
    </row>
    <row r="94" spans="1:18" x14ac:dyDescent="0.25">
      <c r="A94">
        <v>200093</v>
      </c>
      <c r="B94">
        <v>51294</v>
      </c>
      <c r="C94" t="s">
        <v>18</v>
      </c>
      <c r="D94">
        <v>1630.47</v>
      </c>
      <c r="E94">
        <v>3559</v>
      </c>
      <c r="F94">
        <v>0</v>
      </c>
      <c r="G94">
        <v>5</v>
      </c>
      <c r="H94">
        <v>0</v>
      </c>
      <c r="I94" t="s">
        <v>33</v>
      </c>
      <c r="J94">
        <v>0</v>
      </c>
      <c r="K94">
        <v>40</v>
      </c>
      <c r="L94" t="s">
        <v>20</v>
      </c>
      <c r="M94" t="s">
        <v>21</v>
      </c>
      <c r="N94" t="s">
        <v>22</v>
      </c>
      <c r="O94" t="s">
        <v>23</v>
      </c>
      <c r="P94">
        <v>3.43</v>
      </c>
      <c r="Q94" s="2" t="b">
        <f>FALSE()</f>
        <v>0</v>
      </c>
      <c r="R94">
        <v>0</v>
      </c>
    </row>
    <row r="95" spans="1:18" x14ac:dyDescent="0.25">
      <c r="A95">
        <v>200094</v>
      </c>
      <c r="B95">
        <v>55847</v>
      </c>
      <c r="C95" t="s">
        <v>18</v>
      </c>
      <c r="D95">
        <v>2388.77</v>
      </c>
      <c r="E95">
        <v>1156</v>
      </c>
      <c r="F95">
        <v>1</v>
      </c>
      <c r="G95">
        <v>4</v>
      </c>
      <c r="H95">
        <v>0</v>
      </c>
      <c r="I95" t="s">
        <v>32</v>
      </c>
      <c r="J95">
        <v>1</v>
      </c>
      <c r="K95">
        <v>42</v>
      </c>
      <c r="L95" t="s">
        <v>20</v>
      </c>
      <c r="M95" t="s">
        <v>21</v>
      </c>
      <c r="N95" t="s">
        <v>22</v>
      </c>
      <c r="O95" t="s">
        <v>27</v>
      </c>
      <c r="P95">
        <v>2.38</v>
      </c>
      <c r="Q95" s="2" t="b">
        <f>FALSE()</f>
        <v>0</v>
      </c>
      <c r="R95">
        <v>0</v>
      </c>
    </row>
    <row r="96" spans="1:18" x14ac:dyDescent="0.25">
      <c r="A96">
        <v>200095</v>
      </c>
      <c r="B96">
        <v>50370</v>
      </c>
      <c r="C96" t="s">
        <v>28</v>
      </c>
      <c r="D96">
        <v>4488.8900000000003</v>
      </c>
      <c r="E96">
        <v>2574</v>
      </c>
      <c r="F96">
        <v>3</v>
      </c>
      <c r="G96">
        <v>4</v>
      </c>
      <c r="H96">
        <v>0</v>
      </c>
      <c r="I96" t="s">
        <v>33</v>
      </c>
      <c r="J96">
        <v>0</v>
      </c>
      <c r="K96">
        <v>76</v>
      </c>
      <c r="L96" t="s">
        <v>20</v>
      </c>
      <c r="M96" t="s">
        <v>31</v>
      </c>
      <c r="N96" t="s">
        <v>22</v>
      </c>
      <c r="O96" t="s">
        <v>27</v>
      </c>
      <c r="P96">
        <v>3.25</v>
      </c>
      <c r="Q96" s="2" t="b">
        <f>FALSE()</f>
        <v>0</v>
      </c>
      <c r="R96">
        <v>1</v>
      </c>
    </row>
    <row r="97" spans="1:18" x14ac:dyDescent="0.25">
      <c r="A97">
        <v>200096</v>
      </c>
      <c r="B97">
        <v>54182</v>
      </c>
      <c r="C97" t="s">
        <v>34</v>
      </c>
      <c r="D97">
        <v>1004.52</v>
      </c>
      <c r="E97">
        <v>3632</v>
      </c>
      <c r="F97">
        <v>0</v>
      </c>
      <c r="G97">
        <v>6</v>
      </c>
      <c r="H97">
        <v>0</v>
      </c>
      <c r="I97" t="s">
        <v>33</v>
      </c>
      <c r="J97">
        <v>0</v>
      </c>
      <c r="K97">
        <v>45</v>
      </c>
      <c r="L97" t="s">
        <v>20</v>
      </c>
      <c r="M97" t="s">
        <v>21</v>
      </c>
      <c r="N97" t="s">
        <v>22</v>
      </c>
      <c r="O97" t="s">
        <v>27</v>
      </c>
      <c r="P97">
        <v>2.46</v>
      </c>
      <c r="Q97" s="2" t="b">
        <f>FALSE()</f>
        <v>0</v>
      </c>
      <c r="R97">
        <v>0</v>
      </c>
    </row>
    <row r="98" spans="1:18" x14ac:dyDescent="0.25">
      <c r="A98">
        <v>200097</v>
      </c>
      <c r="B98">
        <v>54516</v>
      </c>
      <c r="C98" t="s">
        <v>18</v>
      </c>
      <c r="D98">
        <v>2426.41</v>
      </c>
      <c r="E98">
        <v>1009</v>
      </c>
      <c r="F98">
        <v>0</v>
      </c>
      <c r="G98">
        <v>2</v>
      </c>
      <c r="H98">
        <v>0</v>
      </c>
      <c r="I98" t="s">
        <v>33</v>
      </c>
      <c r="J98">
        <v>0</v>
      </c>
      <c r="K98">
        <v>42</v>
      </c>
      <c r="L98" t="s">
        <v>20</v>
      </c>
      <c r="M98" t="s">
        <v>37</v>
      </c>
      <c r="N98" t="s">
        <v>26</v>
      </c>
      <c r="O98" t="s">
        <v>23</v>
      </c>
      <c r="P98">
        <v>3.17</v>
      </c>
      <c r="Q98" s="2" t="b">
        <f>FALSE()</f>
        <v>0</v>
      </c>
      <c r="R98">
        <v>0</v>
      </c>
    </row>
    <row r="99" spans="1:18" x14ac:dyDescent="0.25">
      <c r="A99">
        <v>200098</v>
      </c>
      <c r="B99">
        <v>51364</v>
      </c>
      <c r="C99" t="s">
        <v>34</v>
      </c>
      <c r="D99">
        <v>1951.31</v>
      </c>
      <c r="E99">
        <v>610</v>
      </c>
      <c r="F99">
        <v>3</v>
      </c>
      <c r="G99">
        <v>6</v>
      </c>
      <c r="H99">
        <v>0</v>
      </c>
      <c r="I99" t="s">
        <v>33</v>
      </c>
      <c r="J99">
        <v>1</v>
      </c>
      <c r="K99">
        <v>26</v>
      </c>
      <c r="L99" t="s">
        <v>20</v>
      </c>
      <c r="M99" t="s">
        <v>25</v>
      </c>
      <c r="N99" t="s">
        <v>26</v>
      </c>
      <c r="O99" t="s">
        <v>27</v>
      </c>
      <c r="P99">
        <v>1.71</v>
      </c>
      <c r="Q99" s="2" t="b">
        <f>FALSE()</f>
        <v>0</v>
      </c>
      <c r="R99">
        <v>1</v>
      </c>
    </row>
    <row r="100" spans="1:18" x14ac:dyDescent="0.25">
      <c r="A100">
        <v>200099</v>
      </c>
      <c r="B100">
        <v>51289</v>
      </c>
      <c r="C100" t="s">
        <v>18</v>
      </c>
      <c r="D100">
        <v>2587.06</v>
      </c>
      <c r="E100">
        <v>3466</v>
      </c>
      <c r="F100">
        <v>0</v>
      </c>
      <c r="G100">
        <v>1</v>
      </c>
      <c r="H100">
        <v>0</v>
      </c>
      <c r="I100" t="s">
        <v>33</v>
      </c>
      <c r="J100">
        <v>0</v>
      </c>
      <c r="K100">
        <v>25</v>
      </c>
      <c r="L100" t="s">
        <v>24</v>
      </c>
      <c r="M100" t="s">
        <v>35</v>
      </c>
      <c r="N100" t="s">
        <v>26</v>
      </c>
      <c r="O100" t="s">
        <v>27</v>
      </c>
      <c r="P100">
        <v>3.55</v>
      </c>
      <c r="Q100" s="2" t="b">
        <f>FALSE()</f>
        <v>0</v>
      </c>
      <c r="R100">
        <v>0</v>
      </c>
    </row>
    <row r="101" spans="1:18" x14ac:dyDescent="0.25">
      <c r="A101">
        <v>200100</v>
      </c>
      <c r="B101">
        <v>54644</v>
      </c>
      <c r="C101" t="s">
        <v>18</v>
      </c>
      <c r="D101">
        <v>2281.11</v>
      </c>
      <c r="E101">
        <v>33</v>
      </c>
      <c r="F101">
        <v>1</v>
      </c>
      <c r="G101">
        <v>3</v>
      </c>
      <c r="H101">
        <v>0</v>
      </c>
      <c r="I101" t="s">
        <v>19</v>
      </c>
      <c r="J101">
        <v>0</v>
      </c>
      <c r="K101">
        <v>64</v>
      </c>
      <c r="L101" t="s">
        <v>24</v>
      </c>
      <c r="M101" t="s">
        <v>37</v>
      </c>
      <c r="N101" t="s">
        <v>22</v>
      </c>
      <c r="O101" t="s">
        <v>36</v>
      </c>
      <c r="P101">
        <v>0.79</v>
      </c>
      <c r="Q101" s="2" t="b">
        <f>FALSE()</f>
        <v>0</v>
      </c>
      <c r="R101">
        <v>0</v>
      </c>
    </row>
    <row r="102" spans="1:18" x14ac:dyDescent="0.25">
      <c r="A102">
        <v>200101</v>
      </c>
      <c r="B102">
        <v>52402</v>
      </c>
      <c r="C102" t="s">
        <v>34</v>
      </c>
      <c r="D102">
        <v>4476.7700000000004</v>
      </c>
      <c r="E102">
        <v>1805</v>
      </c>
      <c r="F102">
        <v>0</v>
      </c>
      <c r="G102">
        <v>6</v>
      </c>
      <c r="H102">
        <v>1</v>
      </c>
      <c r="I102" t="s">
        <v>19</v>
      </c>
      <c r="J102">
        <v>0</v>
      </c>
      <c r="K102">
        <v>79</v>
      </c>
      <c r="L102" t="s">
        <v>38</v>
      </c>
      <c r="M102" t="s">
        <v>25</v>
      </c>
      <c r="N102" t="s">
        <v>22</v>
      </c>
      <c r="O102" t="s">
        <v>23</v>
      </c>
      <c r="P102">
        <v>1.91</v>
      </c>
      <c r="Q102" s="2" t="b">
        <f>FALSE()</f>
        <v>0</v>
      </c>
      <c r="R102">
        <v>1</v>
      </c>
    </row>
    <row r="103" spans="1:18" x14ac:dyDescent="0.25">
      <c r="A103">
        <v>200102</v>
      </c>
      <c r="B103">
        <v>55007</v>
      </c>
      <c r="C103" t="s">
        <v>34</v>
      </c>
      <c r="D103">
        <v>285.83999999999997</v>
      </c>
      <c r="E103">
        <v>3547</v>
      </c>
      <c r="F103">
        <v>1</v>
      </c>
      <c r="G103">
        <v>1</v>
      </c>
      <c r="H103">
        <v>0</v>
      </c>
      <c r="I103" t="s">
        <v>32</v>
      </c>
      <c r="J103">
        <v>0</v>
      </c>
      <c r="K103">
        <v>31</v>
      </c>
      <c r="L103" t="s">
        <v>20</v>
      </c>
      <c r="M103" t="s">
        <v>25</v>
      </c>
      <c r="N103" t="s">
        <v>26</v>
      </c>
      <c r="O103" t="s">
        <v>36</v>
      </c>
      <c r="P103">
        <v>0.26</v>
      </c>
      <c r="Q103" s="2" t="b">
        <f>FALSE()</f>
        <v>0</v>
      </c>
      <c r="R103">
        <v>0</v>
      </c>
    </row>
    <row r="104" spans="1:18" x14ac:dyDescent="0.25">
      <c r="A104">
        <v>200103</v>
      </c>
      <c r="B104">
        <v>51120</v>
      </c>
      <c r="C104" t="s">
        <v>18</v>
      </c>
      <c r="D104">
        <v>3294.62</v>
      </c>
      <c r="E104">
        <v>979</v>
      </c>
      <c r="F104">
        <v>3</v>
      </c>
      <c r="G104">
        <v>1</v>
      </c>
      <c r="H104">
        <v>1</v>
      </c>
      <c r="I104" t="s">
        <v>19</v>
      </c>
      <c r="J104">
        <v>0</v>
      </c>
      <c r="K104">
        <v>24</v>
      </c>
      <c r="L104" t="s">
        <v>24</v>
      </c>
      <c r="M104" t="s">
        <v>25</v>
      </c>
      <c r="N104" t="s">
        <v>26</v>
      </c>
      <c r="O104" t="s">
        <v>36</v>
      </c>
      <c r="P104">
        <v>2.56</v>
      </c>
      <c r="Q104" s="2" t="b">
        <f>FALSE()</f>
        <v>0</v>
      </c>
      <c r="R104">
        <v>1</v>
      </c>
    </row>
    <row r="105" spans="1:18" x14ac:dyDescent="0.25">
      <c r="A105">
        <v>200104</v>
      </c>
      <c r="B105">
        <v>55725</v>
      </c>
      <c r="C105" t="s">
        <v>34</v>
      </c>
      <c r="D105">
        <v>1553.61</v>
      </c>
      <c r="E105">
        <v>144</v>
      </c>
      <c r="F105">
        <v>1</v>
      </c>
      <c r="G105">
        <v>2</v>
      </c>
      <c r="H105">
        <v>1</v>
      </c>
      <c r="I105" t="s">
        <v>19</v>
      </c>
      <c r="J105">
        <v>0</v>
      </c>
      <c r="K105">
        <v>68</v>
      </c>
      <c r="L105" t="s">
        <v>20</v>
      </c>
      <c r="M105" t="s">
        <v>35</v>
      </c>
      <c r="N105" t="s">
        <v>22</v>
      </c>
      <c r="O105" t="s">
        <v>23</v>
      </c>
      <c r="P105">
        <v>5.78</v>
      </c>
      <c r="Q105" s="2" t="b">
        <f>FALSE()</f>
        <v>0</v>
      </c>
      <c r="R105">
        <v>0</v>
      </c>
    </row>
    <row r="106" spans="1:18" x14ac:dyDescent="0.25">
      <c r="A106">
        <v>200105</v>
      </c>
      <c r="B106">
        <v>54119</v>
      </c>
      <c r="C106" t="s">
        <v>18</v>
      </c>
      <c r="D106">
        <v>4915.34</v>
      </c>
      <c r="E106">
        <v>982</v>
      </c>
      <c r="F106">
        <v>2</v>
      </c>
      <c r="G106">
        <v>3</v>
      </c>
      <c r="H106">
        <v>0</v>
      </c>
      <c r="I106" t="s">
        <v>33</v>
      </c>
      <c r="J106">
        <v>0</v>
      </c>
      <c r="K106">
        <v>45</v>
      </c>
      <c r="L106" t="s">
        <v>20</v>
      </c>
      <c r="M106" t="s">
        <v>35</v>
      </c>
      <c r="N106" t="s">
        <v>26</v>
      </c>
      <c r="O106" t="s">
        <v>23</v>
      </c>
      <c r="P106">
        <v>0.84</v>
      </c>
      <c r="Q106" s="2" t="b">
        <f>FALSE()</f>
        <v>0</v>
      </c>
      <c r="R106">
        <v>1</v>
      </c>
    </row>
    <row r="107" spans="1:18" x14ac:dyDescent="0.25">
      <c r="A107">
        <v>200106</v>
      </c>
      <c r="B107">
        <v>54605</v>
      </c>
      <c r="C107" t="s">
        <v>18</v>
      </c>
      <c r="D107">
        <v>3583.04</v>
      </c>
      <c r="E107">
        <v>1171</v>
      </c>
      <c r="F107">
        <v>4</v>
      </c>
      <c r="G107">
        <v>5</v>
      </c>
      <c r="H107">
        <v>0</v>
      </c>
      <c r="I107" t="s">
        <v>33</v>
      </c>
      <c r="J107">
        <v>1</v>
      </c>
      <c r="K107">
        <v>69</v>
      </c>
      <c r="L107" t="s">
        <v>24</v>
      </c>
      <c r="M107" t="s">
        <v>35</v>
      </c>
      <c r="N107" t="s">
        <v>26</v>
      </c>
      <c r="O107" t="s">
        <v>23</v>
      </c>
      <c r="P107">
        <v>5.21</v>
      </c>
      <c r="Q107" s="2" t="b">
        <f>FALSE()</f>
        <v>0</v>
      </c>
      <c r="R107">
        <v>1</v>
      </c>
    </row>
    <row r="108" spans="1:18" x14ac:dyDescent="0.25">
      <c r="A108">
        <v>200107</v>
      </c>
      <c r="B108">
        <v>51123</v>
      </c>
      <c r="C108" t="s">
        <v>18</v>
      </c>
      <c r="D108">
        <v>3417.8</v>
      </c>
      <c r="E108">
        <v>2283</v>
      </c>
      <c r="F108">
        <v>0</v>
      </c>
      <c r="G108">
        <v>3</v>
      </c>
      <c r="H108">
        <v>0</v>
      </c>
      <c r="I108" t="s">
        <v>32</v>
      </c>
      <c r="J108">
        <v>1</v>
      </c>
      <c r="K108">
        <v>43</v>
      </c>
      <c r="L108" t="s">
        <v>20</v>
      </c>
      <c r="M108" t="s">
        <v>35</v>
      </c>
      <c r="N108" t="s">
        <v>30</v>
      </c>
      <c r="O108" t="s">
        <v>36</v>
      </c>
      <c r="P108">
        <v>0.15</v>
      </c>
      <c r="Q108" s="2" t="b">
        <f>FALSE()</f>
        <v>0</v>
      </c>
      <c r="R108">
        <v>0</v>
      </c>
    </row>
    <row r="109" spans="1:18" x14ac:dyDescent="0.25">
      <c r="A109">
        <v>200108</v>
      </c>
      <c r="B109">
        <v>50769</v>
      </c>
      <c r="C109" t="s">
        <v>18</v>
      </c>
      <c r="D109">
        <v>2187.98</v>
      </c>
      <c r="E109">
        <v>3591</v>
      </c>
      <c r="F109">
        <v>1</v>
      </c>
      <c r="G109">
        <v>3</v>
      </c>
      <c r="H109">
        <v>0</v>
      </c>
      <c r="I109" t="s">
        <v>19</v>
      </c>
      <c r="J109">
        <v>0</v>
      </c>
      <c r="K109">
        <v>28</v>
      </c>
      <c r="L109" t="s">
        <v>20</v>
      </c>
      <c r="M109" t="s">
        <v>37</v>
      </c>
      <c r="N109" t="s">
        <v>22</v>
      </c>
      <c r="O109" t="s">
        <v>23</v>
      </c>
      <c r="P109">
        <v>10.67</v>
      </c>
      <c r="Q109" s="2" t="b">
        <f>FALSE()</f>
        <v>0</v>
      </c>
      <c r="R109">
        <v>0</v>
      </c>
    </row>
    <row r="110" spans="1:18" x14ac:dyDescent="0.25">
      <c r="A110">
        <v>200109</v>
      </c>
      <c r="B110">
        <v>50183</v>
      </c>
      <c r="C110" t="s">
        <v>18</v>
      </c>
      <c r="D110">
        <v>1404.38</v>
      </c>
      <c r="E110">
        <v>2813</v>
      </c>
      <c r="F110">
        <v>2</v>
      </c>
      <c r="G110">
        <v>3</v>
      </c>
      <c r="H110">
        <v>0</v>
      </c>
      <c r="I110" t="s">
        <v>33</v>
      </c>
      <c r="J110">
        <v>1</v>
      </c>
      <c r="K110">
        <v>61</v>
      </c>
      <c r="L110" t="s">
        <v>24</v>
      </c>
      <c r="M110" t="s">
        <v>35</v>
      </c>
      <c r="N110" t="s">
        <v>22</v>
      </c>
      <c r="O110" t="s">
        <v>36</v>
      </c>
      <c r="P110">
        <v>11.6</v>
      </c>
      <c r="Q110" s="2" t="b">
        <f>FALSE()</f>
        <v>0</v>
      </c>
      <c r="R110">
        <v>0</v>
      </c>
    </row>
    <row r="111" spans="1:18" x14ac:dyDescent="0.25">
      <c r="A111">
        <v>200110</v>
      </c>
      <c r="B111">
        <v>51527</v>
      </c>
      <c r="C111" t="s">
        <v>34</v>
      </c>
      <c r="D111">
        <v>1896.37</v>
      </c>
      <c r="E111">
        <v>3598</v>
      </c>
      <c r="F111">
        <v>2</v>
      </c>
      <c r="G111">
        <v>5</v>
      </c>
      <c r="H111">
        <v>1</v>
      </c>
      <c r="I111" t="s">
        <v>19</v>
      </c>
      <c r="J111">
        <v>0</v>
      </c>
      <c r="K111">
        <v>53</v>
      </c>
      <c r="L111" t="s">
        <v>20</v>
      </c>
      <c r="M111" t="s">
        <v>31</v>
      </c>
      <c r="N111" t="s">
        <v>22</v>
      </c>
      <c r="O111" t="s">
        <v>23</v>
      </c>
      <c r="P111">
        <v>4.82</v>
      </c>
      <c r="Q111" s="2" t="b">
        <f>FALSE()</f>
        <v>0</v>
      </c>
      <c r="R111">
        <v>0</v>
      </c>
    </row>
    <row r="112" spans="1:18" x14ac:dyDescent="0.25">
      <c r="A112">
        <v>200111</v>
      </c>
      <c r="B112">
        <v>53709</v>
      </c>
      <c r="C112" t="s">
        <v>18</v>
      </c>
      <c r="D112">
        <v>1609.83</v>
      </c>
      <c r="E112">
        <v>3466</v>
      </c>
      <c r="F112">
        <v>2</v>
      </c>
      <c r="G112">
        <v>3</v>
      </c>
      <c r="H112">
        <v>0</v>
      </c>
      <c r="I112" t="s">
        <v>32</v>
      </c>
      <c r="J112">
        <v>0</v>
      </c>
      <c r="K112">
        <v>41</v>
      </c>
      <c r="L112" t="s">
        <v>24</v>
      </c>
      <c r="M112" t="s">
        <v>25</v>
      </c>
      <c r="N112" t="s">
        <v>22</v>
      </c>
      <c r="O112" t="s">
        <v>36</v>
      </c>
      <c r="P112">
        <v>1.48</v>
      </c>
      <c r="Q112" s="2" t="b">
        <f>FALSE()</f>
        <v>0</v>
      </c>
      <c r="R112">
        <v>0</v>
      </c>
    </row>
    <row r="113" spans="1:18" x14ac:dyDescent="0.25">
      <c r="A113">
        <v>200112</v>
      </c>
      <c r="B113">
        <v>52669</v>
      </c>
      <c r="C113" t="s">
        <v>18</v>
      </c>
      <c r="D113">
        <v>3888.92</v>
      </c>
      <c r="E113">
        <v>2616</v>
      </c>
      <c r="F113">
        <v>0</v>
      </c>
      <c r="G113">
        <v>4</v>
      </c>
      <c r="H113">
        <v>0</v>
      </c>
      <c r="I113" t="s">
        <v>33</v>
      </c>
      <c r="J113">
        <v>0</v>
      </c>
      <c r="K113">
        <v>72</v>
      </c>
      <c r="L113" t="s">
        <v>24</v>
      </c>
      <c r="M113" t="s">
        <v>21</v>
      </c>
      <c r="N113" t="s">
        <v>22</v>
      </c>
      <c r="O113" t="s">
        <v>36</v>
      </c>
      <c r="P113">
        <v>1.38</v>
      </c>
      <c r="Q113" s="2" t="b">
        <f>FALSE()</f>
        <v>0</v>
      </c>
      <c r="R113">
        <v>1</v>
      </c>
    </row>
    <row r="114" spans="1:18" x14ac:dyDescent="0.25">
      <c r="A114">
        <v>200113</v>
      </c>
      <c r="B114">
        <v>53968</v>
      </c>
      <c r="C114" t="s">
        <v>34</v>
      </c>
      <c r="D114">
        <v>4268.1099999999997</v>
      </c>
      <c r="E114">
        <v>2985</v>
      </c>
      <c r="F114">
        <v>0</v>
      </c>
      <c r="G114">
        <v>6</v>
      </c>
      <c r="H114">
        <v>1</v>
      </c>
      <c r="I114" t="s">
        <v>32</v>
      </c>
      <c r="J114">
        <v>0</v>
      </c>
      <c r="K114">
        <v>20</v>
      </c>
      <c r="L114" t="s">
        <v>24</v>
      </c>
      <c r="M114" t="s">
        <v>31</v>
      </c>
      <c r="N114" t="s">
        <v>26</v>
      </c>
      <c r="O114" t="s">
        <v>36</v>
      </c>
      <c r="P114">
        <v>0.01</v>
      </c>
      <c r="Q114" s="2" t="b">
        <f>FALSE()</f>
        <v>0</v>
      </c>
      <c r="R114">
        <v>1</v>
      </c>
    </row>
    <row r="115" spans="1:18" x14ac:dyDescent="0.25">
      <c r="A115">
        <v>200114</v>
      </c>
      <c r="B115">
        <v>51353</v>
      </c>
      <c r="C115" t="s">
        <v>18</v>
      </c>
      <c r="D115">
        <v>2326.5100000000002</v>
      </c>
      <c r="E115">
        <v>1398</v>
      </c>
      <c r="F115">
        <v>2</v>
      </c>
      <c r="G115">
        <v>2</v>
      </c>
      <c r="H115">
        <v>0</v>
      </c>
      <c r="I115" t="s">
        <v>19</v>
      </c>
      <c r="J115">
        <v>0</v>
      </c>
      <c r="K115">
        <v>74</v>
      </c>
      <c r="L115" t="s">
        <v>24</v>
      </c>
      <c r="M115" t="s">
        <v>25</v>
      </c>
      <c r="N115" t="s">
        <v>30</v>
      </c>
      <c r="O115" t="s">
        <v>23</v>
      </c>
      <c r="P115">
        <v>0.83</v>
      </c>
      <c r="Q115" s="2" t="b">
        <f>FALSE()</f>
        <v>0</v>
      </c>
      <c r="R115">
        <v>0</v>
      </c>
    </row>
    <row r="116" spans="1:18" x14ac:dyDescent="0.25">
      <c r="A116">
        <v>200115</v>
      </c>
      <c r="B116">
        <v>52321</v>
      </c>
      <c r="C116" t="s">
        <v>34</v>
      </c>
      <c r="D116">
        <v>5614.32</v>
      </c>
      <c r="E116">
        <v>3609</v>
      </c>
      <c r="F116">
        <v>0</v>
      </c>
      <c r="G116">
        <v>4</v>
      </c>
      <c r="H116">
        <v>1</v>
      </c>
      <c r="I116" t="s">
        <v>33</v>
      </c>
      <c r="J116">
        <v>0</v>
      </c>
      <c r="K116">
        <v>37</v>
      </c>
      <c r="L116" t="s">
        <v>24</v>
      </c>
      <c r="M116" t="s">
        <v>25</v>
      </c>
      <c r="N116" t="s">
        <v>22</v>
      </c>
      <c r="O116" t="s">
        <v>36</v>
      </c>
      <c r="P116">
        <v>1.52</v>
      </c>
      <c r="Q116" s="2" t="b">
        <f>FALSE()</f>
        <v>0</v>
      </c>
      <c r="R116">
        <v>1</v>
      </c>
    </row>
    <row r="117" spans="1:18" x14ac:dyDescent="0.25">
      <c r="A117">
        <v>200116</v>
      </c>
      <c r="B117">
        <v>51498</v>
      </c>
      <c r="C117" t="s">
        <v>18</v>
      </c>
      <c r="D117">
        <v>3823.58</v>
      </c>
      <c r="E117">
        <v>1097</v>
      </c>
      <c r="F117">
        <v>2</v>
      </c>
      <c r="G117">
        <v>4</v>
      </c>
      <c r="H117">
        <v>1</v>
      </c>
      <c r="I117" t="s">
        <v>33</v>
      </c>
      <c r="J117">
        <v>0</v>
      </c>
      <c r="K117">
        <v>76</v>
      </c>
      <c r="L117" t="s">
        <v>24</v>
      </c>
      <c r="M117" t="s">
        <v>35</v>
      </c>
      <c r="N117" t="s">
        <v>26</v>
      </c>
      <c r="O117" t="s">
        <v>36</v>
      </c>
      <c r="P117">
        <v>4.4000000000000004</v>
      </c>
      <c r="Q117" s="2" t="b">
        <f>FALSE()</f>
        <v>0</v>
      </c>
      <c r="R117">
        <v>1</v>
      </c>
    </row>
    <row r="118" spans="1:18" x14ac:dyDescent="0.25">
      <c r="A118">
        <v>200117</v>
      </c>
      <c r="B118">
        <v>53543</v>
      </c>
      <c r="C118" t="s">
        <v>18</v>
      </c>
      <c r="D118">
        <v>1878.71</v>
      </c>
      <c r="E118">
        <v>2869</v>
      </c>
      <c r="F118">
        <v>0</v>
      </c>
      <c r="G118">
        <v>5</v>
      </c>
      <c r="H118">
        <v>1</v>
      </c>
      <c r="I118" t="s">
        <v>33</v>
      </c>
      <c r="J118">
        <v>0</v>
      </c>
      <c r="K118">
        <v>79</v>
      </c>
      <c r="L118" t="s">
        <v>20</v>
      </c>
      <c r="M118" t="s">
        <v>35</v>
      </c>
      <c r="N118" t="s">
        <v>22</v>
      </c>
      <c r="O118" t="s">
        <v>27</v>
      </c>
      <c r="P118">
        <v>0.26</v>
      </c>
      <c r="Q118" s="2" t="b">
        <f>FALSE()</f>
        <v>0</v>
      </c>
      <c r="R118">
        <v>0</v>
      </c>
    </row>
    <row r="119" spans="1:18" x14ac:dyDescent="0.25">
      <c r="A119">
        <v>200118</v>
      </c>
      <c r="B119">
        <v>52138</v>
      </c>
      <c r="C119" t="s">
        <v>18</v>
      </c>
      <c r="D119">
        <v>2047.36</v>
      </c>
      <c r="E119">
        <v>3156</v>
      </c>
      <c r="F119">
        <v>1</v>
      </c>
      <c r="G119">
        <v>2</v>
      </c>
      <c r="H119">
        <v>0</v>
      </c>
      <c r="I119" t="s">
        <v>33</v>
      </c>
      <c r="J119">
        <v>0</v>
      </c>
      <c r="K119">
        <v>29</v>
      </c>
      <c r="L119" t="s">
        <v>20</v>
      </c>
      <c r="M119" t="s">
        <v>25</v>
      </c>
      <c r="N119" t="s">
        <v>30</v>
      </c>
      <c r="O119" t="s">
        <v>23</v>
      </c>
      <c r="P119">
        <v>3.86</v>
      </c>
      <c r="Q119" s="2" t="b">
        <f>FALSE()</f>
        <v>0</v>
      </c>
      <c r="R119">
        <v>0</v>
      </c>
    </row>
    <row r="120" spans="1:18" x14ac:dyDescent="0.25">
      <c r="A120">
        <v>200119</v>
      </c>
      <c r="B120">
        <v>55218</v>
      </c>
      <c r="C120" t="s">
        <v>34</v>
      </c>
      <c r="D120">
        <v>3646.88</v>
      </c>
      <c r="E120">
        <v>416</v>
      </c>
      <c r="F120">
        <v>2</v>
      </c>
      <c r="G120">
        <v>7</v>
      </c>
      <c r="H120">
        <v>0</v>
      </c>
      <c r="I120" t="s">
        <v>19</v>
      </c>
      <c r="J120">
        <v>0</v>
      </c>
      <c r="K120">
        <v>67</v>
      </c>
      <c r="L120" t="s">
        <v>24</v>
      </c>
      <c r="M120" t="s">
        <v>25</v>
      </c>
      <c r="N120" t="s">
        <v>26</v>
      </c>
      <c r="O120" t="s">
        <v>36</v>
      </c>
      <c r="P120">
        <v>1.17</v>
      </c>
      <c r="Q120" s="2" t="b">
        <f>FALSE()</f>
        <v>0</v>
      </c>
      <c r="R120">
        <v>1</v>
      </c>
    </row>
    <row r="121" spans="1:18" x14ac:dyDescent="0.25">
      <c r="A121">
        <v>200120</v>
      </c>
      <c r="B121">
        <v>53909</v>
      </c>
      <c r="C121" t="s">
        <v>18</v>
      </c>
      <c r="D121">
        <v>684.18</v>
      </c>
      <c r="E121">
        <v>187</v>
      </c>
      <c r="F121">
        <v>0</v>
      </c>
      <c r="G121">
        <v>4</v>
      </c>
      <c r="H121">
        <v>0</v>
      </c>
      <c r="I121" t="s">
        <v>19</v>
      </c>
      <c r="J121">
        <v>0</v>
      </c>
      <c r="K121">
        <v>33</v>
      </c>
      <c r="L121" t="s">
        <v>24</v>
      </c>
      <c r="M121" t="s">
        <v>21</v>
      </c>
      <c r="N121" t="s">
        <v>26</v>
      </c>
      <c r="O121" t="s">
        <v>23</v>
      </c>
      <c r="P121">
        <v>0.91</v>
      </c>
      <c r="Q121" s="2" t="b">
        <f>FALSE()</f>
        <v>0</v>
      </c>
      <c r="R121">
        <v>0</v>
      </c>
    </row>
    <row r="122" spans="1:18" x14ac:dyDescent="0.25">
      <c r="A122">
        <v>200121</v>
      </c>
      <c r="B122">
        <v>50576</v>
      </c>
      <c r="C122" t="s">
        <v>28</v>
      </c>
      <c r="D122">
        <v>329.97</v>
      </c>
      <c r="E122">
        <v>481</v>
      </c>
      <c r="F122">
        <v>1</v>
      </c>
      <c r="G122">
        <v>6</v>
      </c>
      <c r="H122">
        <v>0</v>
      </c>
      <c r="I122" t="s">
        <v>33</v>
      </c>
      <c r="J122">
        <v>0</v>
      </c>
      <c r="K122">
        <v>61</v>
      </c>
      <c r="L122" t="s">
        <v>20</v>
      </c>
      <c r="M122" t="s">
        <v>25</v>
      </c>
      <c r="N122" t="s">
        <v>22</v>
      </c>
      <c r="O122" t="s">
        <v>27</v>
      </c>
      <c r="P122">
        <v>0.53</v>
      </c>
      <c r="Q122" s="2" t="b">
        <f>FALSE()</f>
        <v>0</v>
      </c>
      <c r="R122">
        <v>0</v>
      </c>
    </row>
    <row r="123" spans="1:18" x14ac:dyDescent="0.25">
      <c r="A123">
        <v>200122</v>
      </c>
      <c r="B123">
        <v>53339</v>
      </c>
      <c r="C123" t="s">
        <v>28</v>
      </c>
      <c r="D123">
        <v>3427.24</v>
      </c>
      <c r="E123">
        <v>3520</v>
      </c>
      <c r="F123">
        <v>2</v>
      </c>
      <c r="G123">
        <v>1</v>
      </c>
      <c r="H123">
        <v>0</v>
      </c>
      <c r="I123" t="s">
        <v>33</v>
      </c>
      <c r="J123">
        <v>0</v>
      </c>
      <c r="K123">
        <v>62</v>
      </c>
      <c r="L123" t="s">
        <v>24</v>
      </c>
      <c r="M123" t="s">
        <v>21</v>
      </c>
      <c r="N123" t="s">
        <v>26</v>
      </c>
      <c r="O123" t="s">
        <v>27</v>
      </c>
      <c r="P123">
        <v>1.4</v>
      </c>
      <c r="Q123" s="2" t="b">
        <f>FALSE()</f>
        <v>0</v>
      </c>
      <c r="R123">
        <v>0</v>
      </c>
    </row>
    <row r="124" spans="1:18" x14ac:dyDescent="0.25">
      <c r="A124">
        <v>200123</v>
      </c>
      <c r="B124">
        <v>54306</v>
      </c>
      <c r="C124" t="s">
        <v>18</v>
      </c>
      <c r="D124">
        <v>2878.87</v>
      </c>
      <c r="E124">
        <v>2697</v>
      </c>
      <c r="F124">
        <v>2</v>
      </c>
      <c r="G124">
        <v>4</v>
      </c>
      <c r="H124">
        <v>0</v>
      </c>
      <c r="I124" t="s">
        <v>19</v>
      </c>
      <c r="J124">
        <v>1</v>
      </c>
      <c r="K124">
        <v>81</v>
      </c>
      <c r="L124" t="s">
        <v>24</v>
      </c>
      <c r="M124" t="s">
        <v>21</v>
      </c>
      <c r="N124" t="s">
        <v>22</v>
      </c>
      <c r="O124" t="s">
        <v>36</v>
      </c>
      <c r="P124">
        <v>2.87</v>
      </c>
      <c r="Q124" s="2" t="b">
        <f>FALSE()</f>
        <v>0</v>
      </c>
      <c r="R124">
        <v>0</v>
      </c>
    </row>
    <row r="125" spans="1:18" x14ac:dyDescent="0.25">
      <c r="A125">
        <v>200124</v>
      </c>
      <c r="B125">
        <v>52518</v>
      </c>
      <c r="C125" t="s">
        <v>18</v>
      </c>
      <c r="D125">
        <v>4073.18</v>
      </c>
      <c r="E125">
        <v>2100</v>
      </c>
      <c r="F125">
        <v>1</v>
      </c>
      <c r="G125">
        <v>3</v>
      </c>
      <c r="H125">
        <v>0</v>
      </c>
      <c r="I125" t="s">
        <v>33</v>
      </c>
      <c r="J125">
        <v>0</v>
      </c>
      <c r="K125">
        <v>76</v>
      </c>
      <c r="L125" t="s">
        <v>24</v>
      </c>
      <c r="M125" t="s">
        <v>29</v>
      </c>
      <c r="N125" t="s">
        <v>22</v>
      </c>
      <c r="O125" t="s">
        <v>27</v>
      </c>
      <c r="P125">
        <v>2.2200000000000002</v>
      </c>
      <c r="Q125" s="2" t="b">
        <f>FALSE()</f>
        <v>0</v>
      </c>
      <c r="R125">
        <v>1</v>
      </c>
    </row>
    <row r="126" spans="1:18" x14ac:dyDescent="0.25">
      <c r="A126">
        <v>200125</v>
      </c>
      <c r="B126">
        <v>50379</v>
      </c>
      <c r="C126" t="s">
        <v>28</v>
      </c>
      <c r="D126">
        <v>1187.97</v>
      </c>
      <c r="E126">
        <v>3291</v>
      </c>
      <c r="F126">
        <v>3</v>
      </c>
      <c r="G126">
        <v>4</v>
      </c>
      <c r="H126">
        <v>0</v>
      </c>
      <c r="I126" t="s">
        <v>33</v>
      </c>
      <c r="J126">
        <v>0</v>
      </c>
      <c r="K126">
        <v>40</v>
      </c>
      <c r="L126" t="s">
        <v>24</v>
      </c>
      <c r="M126" t="s">
        <v>31</v>
      </c>
      <c r="N126" t="s">
        <v>30</v>
      </c>
      <c r="O126" t="s">
        <v>27</v>
      </c>
      <c r="P126">
        <v>5.47</v>
      </c>
      <c r="Q126" s="2" t="b">
        <f>FALSE()</f>
        <v>0</v>
      </c>
      <c r="R126">
        <v>1</v>
      </c>
    </row>
    <row r="127" spans="1:18" x14ac:dyDescent="0.25">
      <c r="A127">
        <v>200126</v>
      </c>
      <c r="B127">
        <v>52368</v>
      </c>
      <c r="C127" t="s">
        <v>34</v>
      </c>
      <c r="D127">
        <v>8164.01</v>
      </c>
      <c r="E127">
        <v>1689</v>
      </c>
      <c r="F127">
        <v>1</v>
      </c>
      <c r="G127">
        <v>5</v>
      </c>
      <c r="H127">
        <v>1</v>
      </c>
      <c r="I127" t="s">
        <v>33</v>
      </c>
      <c r="J127">
        <v>1</v>
      </c>
      <c r="K127">
        <v>79</v>
      </c>
      <c r="L127" t="s">
        <v>24</v>
      </c>
      <c r="M127" t="s">
        <v>31</v>
      </c>
      <c r="N127" t="s">
        <v>22</v>
      </c>
      <c r="O127" t="s">
        <v>23</v>
      </c>
      <c r="P127">
        <v>6.19</v>
      </c>
      <c r="Q127" s="2" t="b">
        <f>TRUE()</f>
        <v>1</v>
      </c>
      <c r="R127">
        <v>1</v>
      </c>
    </row>
    <row r="128" spans="1:18" x14ac:dyDescent="0.25">
      <c r="A128">
        <v>200127</v>
      </c>
      <c r="B128">
        <v>50317</v>
      </c>
      <c r="C128" t="s">
        <v>34</v>
      </c>
      <c r="D128">
        <v>1207.8599999999999</v>
      </c>
      <c r="E128">
        <v>2151</v>
      </c>
      <c r="F128">
        <v>0</v>
      </c>
      <c r="G128">
        <v>1</v>
      </c>
      <c r="H128">
        <v>0</v>
      </c>
      <c r="I128" t="s">
        <v>33</v>
      </c>
      <c r="J128">
        <v>0</v>
      </c>
      <c r="K128">
        <v>57</v>
      </c>
      <c r="L128" t="s">
        <v>20</v>
      </c>
      <c r="M128" t="s">
        <v>31</v>
      </c>
      <c r="N128" t="s">
        <v>22</v>
      </c>
      <c r="O128" t="s">
        <v>36</v>
      </c>
      <c r="P128">
        <v>0.56999999999999995</v>
      </c>
      <c r="Q128" s="2" t="b">
        <f>FALSE()</f>
        <v>0</v>
      </c>
      <c r="R128">
        <v>0</v>
      </c>
    </row>
    <row r="129" spans="1:18" x14ac:dyDescent="0.25">
      <c r="A129">
        <v>200128</v>
      </c>
      <c r="B129">
        <v>53519</v>
      </c>
      <c r="C129" t="s">
        <v>18</v>
      </c>
      <c r="D129">
        <v>873.92</v>
      </c>
      <c r="E129">
        <v>1684</v>
      </c>
      <c r="F129">
        <v>0</v>
      </c>
      <c r="G129">
        <v>0</v>
      </c>
      <c r="H129">
        <v>1</v>
      </c>
      <c r="I129" t="s">
        <v>33</v>
      </c>
      <c r="J129">
        <v>0</v>
      </c>
      <c r="K129">
        <v>64</v>
      </c>
      <c r="L129" t="s">
        <v>24</v>
      </c>
      <c r="M129" t="s">
        <v>37</v>
      </c>
      <c r="N129" t="s">
        <v>30</v>
      </c>
      <c r="O129" t="s">
        <v>36</v>
      </c>
      <c r="P129">
        <v>0.1</v>
      </c>
      <c r="Q129" s="2" t="b">
        <f>FALSE()</f>
        <v>0</v>
      </c>
      <c r="R129">
        <v>0</v>
      </c>
    </row>
    <row r="130" spans="1:18" x14ac:dyDescent="0.25">
      <c r="A130">
        <v>200129</v>
      </c>
      <c r="B130">
        <v>55684</v>
      </c>
      <c r="C130" t="s">
        <v>18</v>
      </c>
      <c r="D130">
        <v>2672.27</v>
      </c>
      <c r="E130">
        <v>673</v>
      </c>
      <c r="F130">
        <v>0</v>
      </c>
      <c r="G130">
        <v>3</v>
      </c>
      <c r="H130">
        <v>0</v>
      </c>
      <c r="I130" t="s">
        <v>33</v>
      </c>
      <c r="J130">
        <v>0</v>
      </c>
      <c r="K130">
        <v>20</v>
      </c>
      <c r="L130" t="s">
        <v>24</v>
      </c>
      <c r="M130" t="s">
        <v>31</v>
      </c>
      <c r="N130" t="s">
        <v>26</v>
      </c>
      <c r="O130" t="s">
        <v>36</v>
      </c>
      <c r="P130">
        <v>4.01</v>
      </c>
      <c r="Q130" s="2" t="b">
        <f>FALSE()</f>
        <v>0</v>
      </c>
      <c r="R130">
        <v>0</v>
      </c>
    </row>
    <row r="131" spans="1:18" x14ac:dyDescent="0.25">
      <c r="A131">
        <v>200130</v>
      </c>
      <c r="B131">
        <v>50203</v>
      </c>
      <c r="C131" t="s">
        <v>18</v>
      </c>
      <c r="D131">
        <v>1801.15</v>
      </c>
      <c r="E131">
        <v>82</v>
      </c>
      <c r="F131">
        <v>1</v>
      </c>
      <c r="G131">
        <v>4</v>
      </c>
      <c r="H131">
        <v>0</v>
      </c>
      <c r="I131" t="s">
        <v>33</v>
      </c>
      <c r="J131">
        <v>0</v>
      </c>
      <c r="K131">
        <v>55</v>
      </c>
      <c r="L131" t="s">
        <v>24</v>
      </c>
      <c r="M131" t="s">
        <v>37</v>
      </c>
      <c r="N131" t="s">
        <v>30</v>
      </c>
      <c r="O131" t="s">
        <v>27</v>
      </c>
      <c r="P131">
        <v>1.74</v>
      </c>
      <c r="Q131" s="2" t="b">
        <f>FALSE()</f>
        <v>0</v>
      </c>
      <c r="R131">
        <v>0</v>
      </c>
    </row>
    <row r="132" spans="1:18" x14ac:dyDescent="0.25">
      <c r="A132">
        <v>200131</v>
      </c>
      <c r="B132">
        <v>53466</v>
      </c>
      <c r="C132" t="s">
        <v>34</v>
      </c>
      <c r="D132">
        <v>2492.0500000000002</v>
      </c>
      <c r="E132">
        <v>1782</v>
      </c>
      <c r="F132">
        <v>1</v>
      </c>
      <c r="G132">
        <v>7</v>
      </c>
      <c r="H132">
        <v>0</v>
      </c>
      <c r="I132" t="s">
        <v>19</v>
      </c>
      <c r="J132">
        <v>0</v>
      </c>
      <c r="K132">
        <v>36</v>
      </c>
      <c r="L132" t="s">
        <v>20</v>
      </c>
      <c r="M132" t="s">
        <v>25</v>
      </c>
      <c r="N132" t="s">
        <v>30</v>
      </c>
      <c r="O132" t="s">
        <v>36</v>
      </c>
      <c r="P132">
        <v>0.25</v>
      </c>
      <c r="Q132" s="2" t="b">
        <f>FALSE()</f>
        <v>0</v>
      </c>
      <c r="R132">
        <v>1</v>
      </c>
    </row>
    <row r="133" spans="1:18" x14ac:dyDescent="0.25">
      <c r="A133">
        <v>200132</v>
      </c>
      <c r="B133">
        <v>50417</v>
      </c>
      <c r="C133" t="s">
        <v>18</v>
      </c>
      <c r="D133">
        <v>3860.09</v>
      </c>
      <c r="E133">
        <v>567</v>
      </c>
      <c r="F133">
        <v>0</v>
      </c>
      <c r="G133">
        <v>5</v>
      </c>
      <c r="H133">
        <v>0</v>
      </c>
      <c r="I133" t="s">
        <v>33</v>
      </c>
      <c r="J133">
        <v>0</v>
      </c>
      <c r="K133">
        <v>41</v>
      </c>
      <c r="L133" t="s">
        <v>20</v>
      </c>
      <c r="M133" t="s">
        <v>37</v>
      </c>
      <c r="N133" t="s">
        <v>22</v>
      </c>
      <c r="O133" t="s">
        <v>23</v>
      </c>
      <c r="P133">
        <v>0.89</v>
      </c>
      <c r="Q133" s="2" t="b">
        <f>FALSE()</f>
        <v>0</v>
      </c>
      <c r="R133">
        <v>1</v>
      </c>
    </row>
    <row r="134" spans="1:18" x14ac:dyDescent="0.25">
      <c r="A134">
        <v>200133</v>
      </c>
      <c r="B134">
        <v>50744</v>
      </c>
      <c r="C134" t="s">
        <v>34</v>
      </c>
      <c r="D134">
        <v>636.59</v>
      </c>
      <c r="E134">
        <v>2092</v>
      </c>
      <c r="F134">
        <v>0</v>
      </c>
      <c r="G134">
        <v>4</v>
      </c>
      <c r="H134">
        <v>0</v>
      </c>
      <c r="I134" t="s">
        <v>32</v>
      </c>
      <c r="J134">
        <v>0</v>
      </c>
      <c r="K134">
        <v>55</v>
      </c>
      <c r="L134" t="s">
        <v>24</v>
      </c>
      <c r="M134" t="s">
        <v>37</v>
      </c>
      <c r="N134" t="s">
        <v>22</v>
      </c>
      <c r="O134" t="s">
        <v>36</v>
      </c>
      <c r="P134">
        <v>3.22</v>
      </c>
      <c r="Q134" s="2" t="b">
        <f>FALSE()</f>
        <v>0</v>
      </c>
      <c r="R134">
        <v>0</v>
      </c>
    </row>
    <row r="135" spans="1:18" x14ac:dyDescent="0.25">
      <c r="A135">
        <v>200134</v>
      </c>
      <c r="B135">
        <v>51929</v>
      </c>
      <c r="C135" t="s">
        <v>34</v>
      </c>
      <c r="D135">
        <v>464.38</v>
      </c>
      <c r="E135">
        <v>2385</v>
      </c>
      <c r="F135">
        <v>1</v>
      </c>
      <c r="G135">
        <v>2</v>
      </c>
      <c r="H135">
        <v>0</v>
      </c>
      <c r="I135" t="s">
        <v>33</v>
      </c>
      <c r="J135">
        <v>0</v>
      </c>
      <c r="K135">
        <v>35</v>
      </c>
      <c r="L135" t="s">
        <v>20</v>
      </c>
      <c r="M135" t="s">
        <v>37</v>
      </c>
      <c r="N135" t="s">
        <v>30</v>
      </c>
      <c r="O135" t="s">
        <v>36</v>
      </c>
      <c r="P135">
        <v>3.05</v>
      </c>
      <c r="Q135" s="2" t="b">
        <f>FALSE()</f>
        <v>0</v>
      </c>
      <c r="R135">
        <v>0</v>
      </c>
    </row>
    <row r="136" spans="1:18" x14ac:dyDescent="0.25">
      <c r="A136">
        <v>200135</v>
      </c>
      <c r="B136">
        <v>53121</v>
      </c>
      <c r="C136" t="s">
        <v>34</v>
      </c>
      <c r="D136">
        <v>4153.45</v>
      </c>
      <c r="E136">
        <v>3648</v>
      </c>
      <c r="F136">
        <v>2</v>
      </c>
      <c r="G136">
        <v>3</v>
      </c>
      <c r="H136">
        <v>1</v>
      </c>
      <c r="I136" t="s">
        <v>33</v>
      </c>
      <c r="J136">
        <v>0</v>
      </c>
      <c r="K136">
        <v>48</v>
      </c>
      <c r="L136" t="s">
        <v>24</v>
      </c>
      <c r="M136" t="s">
        <v>21</v>
      </c>
      <c r="N136" t="s">
        <v>22</v>
      </c>
      <c r="O136" t="s">
        <v>27</v>
      </c>
      <c r="P136">
        <v>4.25</v>
      </c>
      <c r="Q136" s="2" t="b">
        <f>FALSE()</f>
        <v>0</v>
      </c>
      <c r="R136">
        <v>1</v>
      </c>
    </row>
    <row r="137" spans="1:18" x14ac:dyDescent="0.25">
      <c r="A137">
        <v>200136</v>
      </c>
      <c r="B137">
        <v>54059</v>
      </c>
      <c r="C137" t="s">
        <v>34</v>
      </c>
      <c r="D137">
        <v>2225.06</v>
      </c>
      <c r="E137">
        <v>2311</v>
      </c>
      <c r="F137">
        <v>2</v>
      </c>
      <c r="G137">
        <v>2</v>
      </c>
      <c r="H137">
        <v>0</v>
      </c>
      <c r="I137" t="s">
        <v>19</v>
      </c>
      <c r="J137">
        <v>1</v>
      </c>
      <c r="K137">
        <v>37</v>
      </c>
      <c r="L137" t="s">
        <v>24</v>
      </c>
      <c r="M137" t="s">
        <v>31</v>
      </c>
      <c r="N137" t="s">
        <v>26</v>
      </c>
      <c r="O137" t="s">
        <v>36</v>
      </c>
      <c r="P137">
        <v>0.26</v>
      </c>
      <c r="Q137" s="2" t="b">
        <f>FALSE()</f>
        <v>0</v>
      </c>
      <c r="R137">
        <v>0</v>
      </c>
    </row>
    <row r="138" spans="1:18" x14ac:dyDescent="0.25">
      <c r="A138">
        <v>200137</v>
      </c>
      <c r="B138">
        <v>55958</v>
      </c>
      <c r="C138" t="s">
        <v>18</v>
      </c>
      <c r="D138">
        <v>645.21</v>
      </c>
      <c r="E138">
        <v>59</v>
      </c>
      <c r="F138">
        <v>1</v>
      </c>
      <c r="G138">
        <v>4</v>
      </c>
      <c r="H138">
        <v>0</v>
      </c>
      <c r="I138" t="s">
        <v>19</v>
      </c>
      <c r="J138">
        <v>1</v>
      </c>
      <c r="K138">
        <v>35</v>
      </c>
      <c r="L138" t="s">
        <v>20</v>
      </c>
      <c r="M138" t="s">
        <v>31</v>
      </c>
      <c r="N138" t="s">
        <v>22</v>
      </c>
      <c r="O138" t="s">
        <v>27</v>
      </c>
      <c r="P138">
        <v>0.08</v>
      </c>
      <c r="Q138" s="2" t="b">
        <f>FALSE()</f>
        <v>0</v>
      </c>
      <c r="R138">
        <v>0</v>
      </c>
    </row>
    <row r="139" spans="1:18" x14ac:dyDescent="0.25">
      <c r="A139">
        <v>200138</v>
      </c>
      <c r="B139">
        <v>52684</v>
      </c>
      <c r="C139" t="s">
        <v>34</v>
      </c>
      <c r="D139">
        <v>1874.27</v>
      </c>
      <c r="E139">
        <v>918</v>
      </c>
      <c r="F139">
        <v>1</v>
      </c>
      <c r="G139">
        <v>2</v>
      </c>
      <c r="H139">
        <v>0</v>
      </c>
      <c r="I139" t="s">
        <v>33</v>
      </c>
      <c r="J139">
        <v>0</v>
      </c>
      <c r="K139">
        <v>53</v>
      </c>
      <c r="L139" t="s">
        <v>20</v>
      </c>
      <c r="M139" t="s">
        <v>31</v>
      </c>
      <c r="N139" t="s">
        <v>26</v>
      </c>
      <c r="O139" t="s">
        <v>36</v>
      </c>
      <c r="P139">
        <v>9.34</v>
      </c>
      <c r="Q139" s="2" t="b">
        <f>FALSE()</f>
        <v>0</v>
      </c>
      <c r="R139">
        <v>0</v>
      </c>
    </row>
    <row r="140" spans="1:18" x14ac:dyDescent="0.25">
      <c r="A140">
        <v>200139</v>
      </c>
      <c r="B140">
        <v>54702</v>
      </c>
      <c r="C140" t="s">
        <v>34</v>
      </c>
      <c r="D140">
        <v>2043.97</v>
      </c>
      <c r="E140">
        <v>457</v>
      </c>
      <c r="F140">
        <v>1</v>
      </c>
      <c r="G140">
        <v>6</v>
      </c>
      <c r="H140">
        <v>0</v>
      </c>
      <c r="I140" t="s">
        <v>33</v>
      </c>
      <c r="J140">
        <v>1</v>
      </c>
      <c r="K140">
        <v>71</v>
      </c>
      <c r="L140" t="s">
        <v>20</v>
      </c>
      <c r="M140" t="s">
        <v>37</v>
      </c>
      <c r="N140" t="s">
        <v>30</v>
      </c>
      <c r="O140" t="s">
        <v>27</v>
      </c>
      <c r="P140">
        <v>0.93</v>
      </c>
      <c r="Q140" s="2" t="b">
        <f>FALSE()</f>
        <v>0</v>
      </c>
      <c r="R140">
        <v>0</v>
      </c>
    </row>
    <row r="141" spans="1:18" x14ac:dyDescent="0.25">
      <c r="A141">
        <v>200140</v>
      </c>
      <c r="B141">
        <v>54531</v>
      </c>
      <c r="C141" t="s">
        <v>34</v>
      </c>
      <c r="D141">
        <v>912.86</v>
      </c>
      <c r="E141">
        <v>2000</v>
      </c>
      <c r="F141">
        <v>1</v>
      </c>
      <c r="G141">
        <v>1</v>
      </c>
      <c r="H141">
        <v>0</v>
      </c>
      <c r="I141" t="s">
        <v>32</v>
      </c>
      <c r="J141">
        <v>0</v>
      </c>
      <c r="K141">
        <v>52</v>
      </c>
      <c r="L141" t="s">
        <v>24</v>
      </c>
      <c r="M141" t="s">
        <v>35</v>
      </c>
      <c r="N141" t="s">
        <v>22</v>
      </c>
      <c r="O141" t="s">
        <v>36</v>
      </c>
      <c r="P141">
        <v>2.64</v>
      </c>
      <c r="Q141" s="2" t="b">
        <f>FALSE()</f>
        <v>0</v>
      </c>
      <c r="R141">
        <v>0</v>
      </c>
    </row>
    <row r="142" spans="1:18" x14ac:dyDescent="0.25">
      <c r="A142">
        <v>200141</v>
      </c>
      <c r="B142">
        <v>54551</v>
      </c>
      <c r="C142" t="s">
        <v>34</v>
      </c>
      <c r="D142">
        <v>2550.71</v>
      </c>
      <c r="E142">
        <v>124</v>
      </c>
      <c r="F142">
        <v>0</v>
      </c>
      <c r="G142">
        <v>3</v>
      </c>
      <c r="H142">
        <v>0</v>
      </c>
      <c r="I142" t="s">
        <v>32</v>
      </c>
      <c r="J142">
        <v>0</v>
      </c>
      <c r="K142">
        <v>52</v>
      </c>
      <c r="L142" t="s">
        <v>20</v>
      </c>
      <c r="M142" t="s">
        <v>35</v>
      </c>
      <c r="N142" t="s">
        <v>30</v>
      </c>
      <c r="O142" t="s">
        <v>27</v>
      </c>
      <c r="P142">
        <v>0.52</v>
      </c>
      <c r="Q142" s="2" t="b">
        <f>FALSE()</f>
        <v>0</v>
      </c>
      <c r="R142">
        <v>0</v>
      </c>
    </row>
    <row r="143" spans="1:18" x14ac:dyDescent="0.25">
      <c r="A143">
        <v>200142</v>
      </c>
      <c r="B143">
        <v>53772</v>
      </c>
      <c r="C143" t="s">
        <v>18</v>
      </c>
      <c r="D143">
        <v>3171.09</v>
      </c>
      <c r="E143">
        <v>983</v>
      </c>
      <c r="F143">
        <v>0</v>
      </c>
      <c r="G143">
        <v>6</v>
      </c>
      <c r="H143">
        <v>1</v>
      </c>
      <c r="I143" t="s">
        <v>33</v>
      </c>
      <c r="J143">
        <v>0</v>
      </c>
      <c r="K143">
        <v>38</v>
      </c>
      <c r="L143" t="s">
        <v>20</v>
      </c>
      <c r="M143" t="s">
        <v>25</v>
      </c>
      <c r="N143" t="s">
        <v>26</v>
      </c>
      <c r="O143" t="s">
        <v>27</v>
      </c>
      <c r="P143">
        <v>5.81</v>
      </c>
      <c r="Q143" s="2" t="b">
        <f>FALSE()</f>
        <v>0</v>
      </c>
      <c r="R143">
        <v>0</v>
      </c>
    </row>
    <row r="144" spans="1:18" x14ac:dyDescent="0.25">
      <c r="A144">
        <v>200143</v>
      </c>
      <c r="B144">
        <v>54971</v>
      </c>
      <c r="C144" t="s">
        <v>28</v>
      </c>
      <c r="D144">
        <v>1442.97</v>
      </c>
      <c r="E144">
        <v>2634</v>
      </c>
      <c r="F144">
        <v>3</v>
      </c>
      <c r="G144">
        <v>5</v>
      </c>
      <c r="H144">
        <v>0</v>
      </c>
      <c r="I144" t="s">
        <v>19</v>
      </c>
      <c r="J144">
        <v>0</v>
      </c>
      <c r="K144">
        <v>44</v>
      </c>
      <c r="L144" t="s">
        <v>20</v>
      </c>
      <c r="M144" t="s">
        <v>35</v>
      </c>
      <c r="N144" t="s">
        <v>26</v>
      </c>
      <c r="O144" t="s">
        <v>36</v>
      </c>
      <c r="P144">
        <v>2.2599999999999998</v>
      </c>
      <c r="Q144" s="2" t="b">
        <f>FALSE()</f>
        <v>0</v>
      </c>
      <c r="R144">
        <v>1</v>
      </c>
    </row>
    <row r="145" spans="1:18" x14ac:dyDescent="0.25">
      <c r="A145">
        <v>200144</v>
      </c>
      <c r="B145">
        <v>54361</v>
      </c>
      <c r="C145" t="s">
        <v>34</v>
      </c>
      <c r="D145">
        <v>281.29000000000002</v>
      </c>
      <c r="E145">
        <v>1645</v>
      </c>
      <c r="F145">
        <v>2</v>
      </c>
      <c r="G145">
        <v>3</v>
      </c>
      <c r="H145">
        <v>0</v>
      </c>
      <c r="I145" t="s">
        <v>33</v>
      </c>
      <c r="J145">
        <v>0</v>
      </c>
      <c r="K145">
        <v>63</v>
      </c>
      <c r="L145" t="s">
        <v>24</v>
      </c>
      <c r="M145" t="s">
        <v>29</v>
      </c>
      <c r="N145" t="s">
        <v>26</v>
      </c>
      <c r="O145" t="s">
        <v>36</v>
      </c>
      <c r="P145">
        <v>1.69</v>
      </c>
      <c r="Q145" s="2" t="b">
        <f>FALSE()</f>
        <v>0</v>
      </c>
      <c r="R145">
        <v>0</v>
      </c>
    </row>
    <row r="146" spans="1:18" x14ac:dyDescent="0.25">
      <c r="A146">
        <v>200145</v>
      </c>
      <c r="B146">
        <v>55786</v>
      </c>
      <c r="C146" t="s">
        <v>18</v>
      </c>
      <c r="D146">
        <v>863.92</v>
      </c>
      <c r="E146">
        <v>470</v>
      </c>
      <c r="F146">
        <v>1</v>
      </c>
      <c r="G146">
        <v>4</v>
      </c>
      <c r="H146">
        <v>0</v>
      </c>
      <c r="I146" t="s">
        <v>33</v>
      </c>
      <c r="J146">
        <v>0</v>
      </c>
      <c r="K146">
        <v>65</v>
      </c>
      <c r="L146" t="s">
        <v>24</v>
      </c>
      <c r="M146" t="s">
        <v>35</v>
      </c>
      <c r="N146" t="s">
        <v>30</v>
      </c>
      <c r="O146" t="s">
        <v>27</v>
      </c>
      <c r="P146">
        <v>7.02</v>
      </c>
      <c r="Q146" s="2" t="b">
        <f>FALSE()</f>
        <v>0</v>
      </c>
      <c r="R146">
        <v>0</v>
      </c>
    </row>
    <row r="147" spans="1:18" x14ac:dyDescent="0.25">
      <c r="A147">
        <v>200146</v>
      </c>
      <c r="B147">
        <v>53549</v>
      </c>
      <c r="C147" t="s">
        <v>18</v>
      </c>
      <c r="D147">
        <v>1909.81</v>
      </c>
      <c r="E147">
        <v>3135</v>
      </c>
      <c r="F147">
        <v>2</v>
      </c>
      <c r="G147">
        <v>8</v>
      </c>
      <c r="H147">
        <v>0</v>
      </c>
      <c r="I147" t="s">
        <v>32</v>
      </c>
      <c r="J147">
        <v>1</v>
      </c>
      <c r="K147">
        <v>79</v>
      </c>
      <c r="L147" t="s">
        <v>24</v>
      </c>
      <c r="M147" t="s">
        <v>35</v>
      </c>
      <c r="N147" t="s">
        <v>22</v>
      </c>
      <c r="O147" t="s">
        <v>27</v>
      </c>
      <c r="P147">
        <v>1.38</v>
      </c>
      <c r="Q147" s="2" t="b">
        <f>FALSE()</f>
        <v>0</v>
      </c>
      <c r="R147">
        <v>1</v>
      </c>
    </row>
    <row r="148" spans="1:18" x14ac:dyDescent="0.25">
      <c r="A148">
        <v>200147</v>
      </c>
      <c r="B148">
        <v>51761</v>
      </c>
      <c r="C148" t="s">
        <v>18</v>
      </c>
      <c r="D148">
        <v>1193.5</v>
      </c>
      <c r="E148">
        <v>2308</v>
      </c>
      <c r="F148">
        <v>2</v>
      </c>
      <c r="G148">
        <v>2</v>
      </c>
      <c r="H148">
        <v>0</v>
      </c>
      <c r="I148" t="s">
        <v>19</v>
      </c>
      <c r="J148">
        <v>1</v>
      </c>
      <c r="K148">
        <v>52</v>
      </c>
      <c r="L148" t="s">
        <v>24</v>
      </c>
      <c r="M148" t="s">
        <v>25</v>
      </c>
      <c r="N148" t="s">
        <v>30</v>
      </c>
      <c r="O148" t="s">
        <v>23</v>
      </c>
      <c r="P148">
        <v>2.21</v>
      </c>
      <c r="Q148" s="2" t="b">
        <f>FALSE()</f>
        <v>0</v>
      </c>
      <c r="R148">
        <v>0</v>
      </c>
    </row>
    <row r="149" spans="1:18" x14ac:dyDescent="0.25">
      <c r="A149">
        <v>200148</v>
      </c>
      <c r="B149">
        <v>54007</v>
      </c>
      <c r="C149" t="s">
        <v>18</v>
      </c>
      <c r="D149">
        <v>2040.85</v>
      </c>
      <c r="E149">
        <v>524</v>
      </c>
      <c r="F149">
        <v>2</v>
      </c>
      <c r="G149">
        <v>4</v>
      </c>
      <c r="H149">
        <v>1</v>
      </c>
      <c r="I149" t="s">
        <v>19</v>
      </c>
      <c r="J149">
        <v>0</v>
      </c>
      <c r="K149">
        <v>78</v>
      </c>
      <c r="L149" t="s">
        <v>24</v>
      </c>
      <c r="M149" t="s">
        <v>21</v>
      </c>
      <c r="N149" t="s">
        <v>30</v>
      </c>
      <c r="O149" t="s">
        <v>27</v>
      </c>
      <c r="P149">
        <v>3.99</v>
      </c>
      <c r="Q149" s="2" t="b">
        <f>FALSE()</f>
        <v>0</v>
      </c>
      <c r="R149">
        <v>0</v>
      </c>
    </row>
    <row r="150" spans="1:18" x14ac:dyDescent="0.25">
      <c r="A150">
        <v>200149</v>
      </c>
      <c r="B150">
        <v>50048</v>
      </c>
      <c r="C150" t="s">
        <v>18</v>
      </c>
      <c r="D150">
        <v>4436.91</v>
      </c>
      <c r="E150">
        <v>109</v>
      </c>
      <c r="F150">
        <v>3</v>
      </c>
      <c r="G150">
        <v>4</v>
      </c>
      <c r="H150">
        <v>1</v>
      </c>
      <c r="I150" t="s">
        <v>19</v>
      </c>
      <c r="J150">
        <v>0</v>
      </c>
      <c r="K150">
        <v>46</v>
      </c>
      <c r="L150" t="s">
        <v>20</v>
      </c>
      <c r="M150" t="s">
        <v>31</v>
      </c>
      <c r="N150" t="s">
        <v>22</v>
      </c>
      <c r="O150" t="s">
        <v>27</v>
      </c>
      <c r="P150">
        <v>1.03</v>
      </c>
      <c r="Q150" s="2" t="b">
        <f>FALSE()</f>
        <v>0</v>
      </c>
      <c r="R150">
        <v>1</v>
      </c>
    </row>
    <row r="151" spans="1:18" x14ac:dyDescent="0.25">
      <c r="A151">
        <v>200150</v>
      </c>
      <c r="B151">
        <v>53314</v>
      </c>
      <c r="C151" t="s">
        <v>18</v>
      </c>
      <c r="D151">
        <v>1776.62</v>
      </c>
      <c r="E151">
        <v>2190</v>
      </c>
      <c r="F151">
        <v>1</v>
      </c>
      <c r="G151">
        <v>5</v>
      </c>
      <c r="H151">
        <v>0</v>
      </c>
      <c r="I151" t="s">
        <v>33</v>
      </c>
      <c r="J151">
        <v>0</v>
      </c>
      <c r="K151">
        <v>64</v>
      </c>
      <c r="L151" t="s">
        <v>20</v>
      </c>
      <c r="M151" t="s">
        <v>21</v>
      </c>
      <c r="N151" t="s">
        <v>22</v>
      </c>
      <c r="O151" t="s">
        <v>27</v>
      </c>
      <c r="P151">
        <v>3.08</v>
      </c>
      <c r="Q151" s="2" t="b">
        <f>FALSE()</f>
        <v>0</v>
      </c>
      <c r="R151">
        <v>0</v>
      </c>
    </row>
    <row r="152" spans="1:18" x14ac:dyDescent="0.25">
      <c r="A152">
        <v>200151</v>
      </c>
      <c r="B152">
        <v>50298</v>
      </c>
      <c r="C152" t="s">
        <v>18</v>
      </c>
      <c r="D152">
        <v>1154.57</v>
      </c>
      <c r="E152">
        <v>2231</v>
      </c>
      <c r="F152">
        <v>1</v>
      </c>
      <c r="G152">
        <v>6</v>
      </c>
      <c r="H152">
        <v>0</v>
      </c>
      <c r="I152" t="s">
        <v>32</v>
      </c>
      <c r="J152">
        <v>0</v>
      </c>
      <c r="K152">
        <v>36</v>
      </c>
      <c r="L152" t="s">
        <v>20</v>
      </c>
      <c r="M152" t="s">
        <v>31</v>
      </c>
      <c r="N152" t="s">
        <v>30</v>
      </c>
      <c r="O152" t="s">
        <v>36</v>
      </c>
      <c r="P152">
        <v>0.21</v>
      </c>
      <c r="Q152" s="2" t="b">
        <f>FALSE()</f>
        <v>0</v>
      </c>
      <c r="R152">
        <v>0</v>
      </c>
    </row>
    <row r="153" spans="1:18" x14ac:dyDescent="0.25">
      <c r="A153">
        <v>200152</v>
      </c>
      <c r="B153">
        <v>53282</v>
      </c>
      <c r="C153" t="s">
        <v>34</v>
      </c>
      <c r="D153">
        <v>2691.32</v>
      </c>
      <c r="E153">
        <v>3252</v>
      </c>
      <c r="F153">
        <v>1</v>
      </c>
      <c r="G153">
        <v>2</v>
      </c>
      <c r="H153">
        <v>0</v>
      </c>
      <c r="I153" t="s">
        <v>19</v>
      </c>
      <c r="J153">
        <v>0</v>
      </c>
      <c r="K153">
        <v>58</v>
      </c>
      <c r="L153" t="s">
        <v>24</v>
      </c>
      <c r="M153" t="s">
        <v>35</v>
      </c>
      <c r="N153" t="s">
        <v>22</v>
      </c>
      <c r="O153" t="s">
        <v>27</v>
      </c>
      <c r="P153">
        <v>2.2200000000000002</v>
      </c>
      <c r="Q153" s="2" t="b">
        <f>FALSE()</f>
        <v>0</v>
      </c>
      <c r="R153">
        <v>0</v>
      </c>
    </row>
    <row r="154" spans="1:18" x14ac:dyDescent="0.25">
      <c r="A154">
        <v>200153</v>
      </c>
      <c r="B154">
        <v>52606</v>
      </c>
      <c r="C154" t="s">
        <v>18</v>
      </c>
      <c r="D154">
        <v>4437.22</v>
      </c>
      <c r="E154">
        <v>2208</v>
      </c>
      <c r="F154">
        <v>0</v>
      </c>
      <c r="G154">
        <v>3</v>
      </c>
      <c r="H154">
        <v>1</v>
      </c>
      <c r="I154" t="s">
        <v>33</v>
      </c>
      <c r="J154">
        <v>0</v>
      </c>
      <c r="K154">
        <v>48</v>
      </c>
      <c r="L154" t="s">
        <v>20</v>
      </c>
      <c r="M154" t="s">
        <v>37</v>
      </c>
      <c r="N154" t="s">
        <v>30</v>
      </c>
      <c r="O154" t="s">
        <v>36</v>
      </c>
      <c r="P154">
        <v>5.9</v>
      </c>
      <c r="Q154" s="2" t="b">
        <f>FALSE()</f>
        <v>0</v>
      </c>
      <c r="R154">
        <v>1</v>
      </c>
    </row>
    <row r="155" spans="1:18" x14ac:dyDescent="0.25">
      <c r="A155">
        <v>200154</v>
      </c>
      <c r="B155">
        <v>51487</v>
      </c>
      <c r="C155" t="s">
        <v>18</v>
      </c>
      <c r="D155">
        <v>3223.01</v>
      </c>
      <c r="E155">
        <v>2873</v>
      </c>
      <c r="F155">
        <v>1</v>
      </c>
      <c r="G155">
        <v>7</v>
      </c>
      <c r="H155">
        <v>1</v>
      </c>
      <c r="I155" t="s">
        <v>19</v>
      </c>
      <c r="J155">
        <v>1</v>
      </c>
      <c r="K155">
        <v>59</v>
      </c>
      <c r="L155" t="s">
        <v>20</v>
      </c>
      <c r="M155" t="s">
        <v>21</v>
      </c>
      <c r="N155" t="s">
        <v>26</v>
      </c>
      <c r="O155" t="s">
        <v>36</v>
      </c>
      <c r="P155">
        <v>0.25</v>
      </c>
      <c r="Q155" s="2" t="b">
        <f>FALSE()</f>
        <v>0</v>
      </c>
      <c r="R155">
        <v>1</v>
      </c>
    </row>
    <row r="156" spans="1:18" x14ac:dyDescent="0.25">
      <c r="A156">
        <v>200155</v>
      </c>
      <c r="B156">
        <v>50117</v>
      </c>
      <c r="C156" t="s">
        <v>28</v>
      </c>
      <c r="D156">
        <v>2559.4299999999998</v>
      </c>
      <c r="E156">
        <v>291</v>
      </c>
      <c r="F156">
        <v>1</v>
      </c>
      <c r="G156">
        <v>0</v>
      </c>
      <c r="H156">
        <v>1</v>
      </c>
      <c r="I156" t="s">
        <v>32</v>
      </c>
      <c r="J156">
        <v>0</v>
      </c>
      <c r="K156">
        <v>76</v>
      </c>
      <c r="L156" t="s">
        <v>24</v>
      </c>
      <c r="M156" t="s">
        <v>35</v>
      </c>
      <c r="N156" t="s">
        <v>26</v>
      </c>
      <c r="O156" t="s">
        <v>27</v>
      </c>
      <c r="P156">
        <v>9.7899999999999991</v>
      </c>
      <c r="Q156" s="2" t="b">
        <f>FALSE()</f>
        <v>0</v>
      </c>
      <c r="R156">
        <v>0</v>
      </c>
    </row>
    <row r="157" spans="1:18" x14ac:dyDescent="0.25">
      <c r="A157">
        <v>200156</v>
      </c>
      <c r="B157">
        <v>55085</v>
      </c>
      <c r="C157" t="s">
        <v>18</v>
      </c>
      <c r="D157">
        <v>631.54</v>
      </c>
      <c r="E157">
        <v>2304</v>
      </c>
      <c r="F157">
        <v>2</v>
      </c>
      <c r="G157">
        <v>2</v>
      </c>
      <c r="H157">
        <v>0</v>
      </c>
      <c r="I157" t="s">
        <v>33</v>
      </c>
      <c r="J157">
        <v>1</v>
      </c>
      <c r="K157">
        <v>33</v>
      </c>
      <c r="L157" t="s">
        <v>20</v>
      </c>
      <c r="M157" t="s">
        <v>35</v>
      </c>
      <c r="N157" t="s">
        <v>26</v>
      </c>
      <c r="O157" t="s">
        <v>27</v>
      </c>
      <c r="P157">
        <v>3.39</v>
      </c>
      <c r="Q157" s="2" t="b">
        <f>FALSE()</f>
        <v>0</v>
      </c>
      <c r="R157">
        <v>0</v>
      </c>
    </row>
    <row r="158" spans="1:18" x14ac:dyDescent="0.25">
      <c r="A158">
        <v>200157</v>
      </c>
      <c r="B158">
        <v>51422</v>
      </c>
      <c r="C158" t="s">
        <v>18</v>
      </c>
      <c r="D158">
        <v>2692.87</v>
      </c>
      <c r="E158">
        <v>1235</v>
      </c>
      <c r="F158">
        <v>1</v>
      </c>
      <c r="G158">
        <v>2</v>
      </c>
      <c r="H158">
        <v>0</v>
      </c>
      <c r="I158" t="s">
        <v>19</v>
      </c>
      <c r="J158">
        <v>0</v>
      </c>
      <c r="K158">
        <v>35</v>
      </c>
      <c r="L158" t="s">
        <v>20</v>
      </c>
      <c r="M158" t="s">
        <v>21</v>
      </c>
      <c r="N158" t="s">
        <v>22</v>
      </c>
      <c r="O158" t="s">
        <v>23</v>
      </c>
      <c r="P158">
        <v>2.21</v>
      </c>
      <c r="Q158" s="2" t="b">
        <f>FALSE()</f>
        <v>0</v>
      </c>
      <c r="R158">
        <v>0</v>
      </c>
    </row>
    <row r="159" spans="1:18" x14ac:dyDescent="0.25">
      <c r="A159">
        <v>200158</v>
      </c>
      <c r="B159">
        <v>54022</v>
      </c>
      <c r="C159" t="s">
        <v>18</v>
      </c>
      <c r="D159">
        <v>5610.25</v>
      </c>
      <c r="E159">
        <v>1466</v>
      </c>
      <c r="F159">
        <v>2</v>
      </c>
      <c r="G159">
        <v>4</v>
      </c>
      <c r="H159">
        <v>0</v>
      </c>
      <c r="I159" t="s">
        <v>33</v>
      </c>
      <c r="J159">
        <v>0</v>
      </c>
      <c r="K159">
        <v>27</v>
      </c>
      <c r="L159" t="s">
        <v>20</v>
      </c>
      <c r="M159" t="s">
        <v>21</v>
      </c>
      <c r="N159" t="s">
        <v>22</v>
      </c>
      <c r="O159" t="s">
        <v>23</v>
      </c>
      <c r="P159">
        <v>3.93</v>
      </c>
      <c r="Q159" s="2" t="b">
        <f>FALSE()</f>
        <v>0</v>
      </c>
      <c r="R159">
        <v>1</v>
      </c>
    </row>
    <row r="160" spans="1:18" x14ac:dyDescent="0.25">
      <c r="A160">
        <v>200159</v>
      </c>
      <c r="B160">
        <v>54788</v>
      </c>
      <c r="C160" t="s">
        <v>34</v>
      </c>
      <c r="D160">
        <v>809.82</v>
      </c>
      <c r="E160">
        <v>1419</v>
      </c>
      <c r="F160">
        <v>1</v>
      </c>
      <c r="G160">
        <v>6</v>
      </c>
      <c r="H160">
        <v>1</v>
      </c>
      <c r="I160" t="s">
        <v>19</v>
      </c>
      <c r="J160">
        <v>0</v>
      </c>
      <c r="K160">
        <v>49</v>
      </c>
      <c r="L160" t="s">
        <v>24</v>
      </c>
      <c r="M160" t="s">
        <v>37</v>
      </c>
      <c r="N160" t="s">
        <v>22</v>
      </c>
      <c r="O160" t="s">
        <v>27</v>
      </c>
      <c r="P160">
        <v>1.62</v>
      </c>
      <c r="Q160" s="2" t="b">
        <f>FALSE()</f>
        <v>0</v>
      </c>
      <c r="R160">
        <v>0</v>
      </c>
    </row>
    <row r="161" spans="1:18" x14ac:dyDescent="0.25">
      <c r="A161">
        <v>200160</v>
      </c>
      <c r="B161">
        <v>52021</v>
      </c>
      <c r="C161" t="s">
        <v>18</v>
      </c>
      <c r="D161">
        <v>1958.11</v>
      </c>
      <c r="E161">
        <v>2128</v>
      </c>
      <c r="F161">
        <v>2</v>
      </c>
      <c r="G161">
        <v>7</v>
      </c>
      <c r="H161">
        <v>1</v>
      </c>
      <c r="I161" t="s">
        <v>33</v>
      </c>
      <c r="J161">
        <v>0</v>
      </c>
      <c r="K161">
        <v>50</v>
      </c>
      <c r="L161" t="s">
        <v>24</v>
      </c>
      <c r="M161" t="s">
        <v>29</v>
      </c>
      <c r="N161" t="s">
        <v>22</v>
      </c>
      <c r="O161" t="s">
        <v>36</v>
      </c>
      <c r="P161">
        <v>7.23</v>
      </c>
      <c r="Q161" s="2" t="b">
        <f>FALSE()</f>
        <v>0</v>
      </c>
      <c r="R161">
        <v>1</v>
      </c>
    </row>
    <row r="162" spans="1:18" x14ac:dyDescent="0.25">
      <c r="A162">
        <v>200161</v>
      </c>
      <c r="B162">
        <v>51619</v>
      </c>
      <c r="C162" t="s">
        <v>34</v>
      </c>
      <c r="D162">
        <v>4932.88</v>
      </c>
      <c r="E162">
        <v>425</v>
      </c>
      <c r="F162">
        <v>1</v>
      </c>
      <c r="G162">
        <v>3</v>
      </c>
      <c r="H162">
        <v>0</v>
      </c>
      <c r="I162" t="s">
        <v>32</v>
      </c>
      <c r="J162">
        <v>0</v>
      </c>
      <c r="K162">
        <v>45</v>
      </c>
      <c r="L162" t="s">
        <v>24</v>
      </c>
      <c r="M162" t="s">
        <v>35</v>
      </c>
      <c r="N162" t="s">
        <v>22</v>
      </c>
      <c r="O162" t="s">
        <v>27</v>
      </c>
      <c r="P162">
        <v>5.95</v>
      </c>
      <c r="Q162" s="2" t="b">
        <f>FALSE()</f>
        <v>0</v>
      </c>
      <c r="R162">
        <v>1</v>
      </c>
    </row>
    <row r="163" spans="1:18" x14ac:dyDescent="0.25">
      <c r="A163">
        <v>200162</v>
      </c>
      <c r="B163">
        <v>55250</v>
      </c>
      <c r="C163" t="s">
        <v>18</v>
      </c>
      <c r="D163">
        <v>1568.08</v>
      </c>
      <c r="E163">
        <v>3436</v>
      </c>
      <c r="F163">
        <v>2</v>
      </c>
      <c r="G163">
        <v>3</v>
      </c>
      <c r="H163">
        <v>0</v>
      </c>
      <c r="I163" t="s">
        <v>19</v>
      </c>
      <c r="J163">
        <v>1</v>
      </c>
      <c r="K163">
        <v>68</v>
      </c>
      <c r="L163" t="s">
        <v>24</v>
      </c>
      <c r="M163" t="s">
        <v>35</v>
      </c>
      <c r="N163" t="s">
        <v>26</v>
      </c>
      <c r="O163" t="s">
        <v>36</v>
      </c>
      <c r="P163">
        <v>1.1100000000000001</v>
      </c>
      <c r="Q163" s="2" t="b">
        <f>FALSE()</f>
        <v>0</v>
      </c>
      <c r="R163">
        <v>0</v>
      </c>
    </row>
    <row r="164" spans="1:18" x14ac:dyDescent="0.25">
      <c r="A164">
        <v>200163</v>
      </c>
      <c r="B164">
        <v>53703</v>
      </c>
      <c r="C164" t="s">
        <v>28</v>
      </c>
      <c r="D164">
        <v>3583.33</v>
      </c>
      <c r="E164">
        <v>871</v>
      </c>
      <c r="F164">
        <v>1</v>
      </c>
      <c r="G164">
        <v>1</v>
      </c>
      <c r="H164">
        <v>0</v>
      </c>
      <c r="I164" t="s">
        <v>33</v>
      </c>
      <c r="J164">
        <v>0</v>
      </c>
      <c r="K164">
        <v>49</v>
      </c>
      <c r="L164" t="s">
        <v>20</v>
      </c>
      <c r="M164" t="s">
        <v>29</v>
      </c>
      <c r="N164" t="s">
        <v>26</v>
      </c>
      <c r="O164" t="s">
        <v>36</v>
      </c>
      <c r="P164">
        <v>0.99</v>
      </c>
      <c r="Q164" s="2" t="b">
        <f>FALSE()</f>
        <v>0</v>
      </c>
      <c r="R164">
        <v>1</v>
      </c>
    </row>
    <row r="165" spans="1:18" x14ac:dyDescent="0.25">
      <c r="A165">
        <v>200164</v>
      </c>
      <c r="B165">
        <v>52894</v>
      </c>
      <c r="C165" t="s">
        <v>18</v>
      </c>
      <c r="D165">
        <v>1769.49</v>
      </c>
      <c r="E165">
        <v>357</v>
      </c>
      <c r="F165">
        <v>0</v>
      </c>
      <c r="G165">
        <v>4</v>
      </c>
      <c r="H165">
        <v>0</v>
      </c>
      <c r="I165" t="s">
        <v>19</v>
      </c>
      <c r="J165">
        <v>0</v>
      </c>
      <c r="K165">
        <v>73</v>
      </c>
      <c r="L165" t="s">
        <v>24</v>
      </c>
      <c r="M165" t="s">
        <v>31</v>
      </c>
      <c r="N165" t="s">
        <v>30</v>
      </c>
      <c r="O165" t="s">
        <v>36</v>
      </c>
      <c r="P165">
        <v>4.5</v>
      </c>
      <c r="Q165" s="2" t="b">
        <f>FALSE()</f>
        <v>0</v>
      </c>
      <c r="R165">
        <v>0</v>
      </c>
    </row>
    <row r="166" spans="1:18" x14ac:dyDescent="0.25">
      <c r="A166">
        <v>200165</v>
      </c>
      <c r="B166">
        <v>54364</v>
      </c>
      <c r="C166" t="s">
        <v>18</v>
      </c>
      <c r="D166">
        <v>4921.4799999999996</v>
      </c>
      <c r="E166">
        <v>1863</v>
      </c>
      <c r="F166">
        <v>0</v>
      </c>
      <c r="G166">
        <v>3</v>
      </c>
      <c r="H166">
        <v>0</v>
      </c>
      <c r="I166" t="s">
        <v>33</v>
      </c>
      <c r="J166">
        <v>0</v>
      </c>
      <c r="K166">
        <v>44</v>
      </c>
      <c r="L166" t="s">
        <v>20</v>
      </c>
      <c r="M166" t="s">
        <v>35</v>
      </c>
      <c r="N166" t="s">
        <v>22</v>
      </c>
      <c r="O166" t="s">
        <v>23</v>
      </c>
      <c r="P166">
        <v>3.25</v>
      </c>
      <c r="Q166" s="2" t="b">
        <f>FALSE()</f>
        <v>0</v>
      </c>
      <c r="R166">
        <v>1</v>
      </c>
    </row>
    <row r="167" spans="1:18" x14ac:dyDescent="0.25">
      <c r="A167">
        <v>200166</v>
      </c>
      <c r="B167">
        <v>50745</v>
      </c>
      <c r="C167" t="s">
        <v>18</v>
      </c>
      <c r="D167">
        <v>1317.9</v>
      </c>
      <c r="E167">
        <v>2770</v>
      </c>
      <c r="F167">
        <v>2</v>
      </c>
      <c r="G167">
        <v>3</v>
      </c>
      <c r="H167">
        <v>1</v>
      </c>
      <c r="I167" t="s">
        <v>33</v>
      </c>
      <c r="J167">
        <v>0</v>
      </c>
      <c r="K167">
        <v>73</v>
      </c>
      <c r="L167" t="s">
        <v>24</v>
      </c>
      <c r="M167" t="s">
        <v>25</v>
      </c>
      <c r="N167" t="s">
        <v>22</v>
      </c>
      <c r="O167" t="s">
        <v>36</v>
      </c>
      <c r="P167">
        <v>2.4500000000000002</v>
      </c>
      <c r="Q167" s="2" t="b">
        <f>FALSE()</f>
        <v>0</v>
      </c>
      <c r="R167">
        <v>0</v>
      </c>
    </row>
    <row r="168" spans="1:18" x14ac:dyDescent="0.25">
      <c r="A168">
        <v>200167</v>
      </c>
      <c r="B168">
        <v>50229</v>
      </c>
      <c r="C168" t="s">
        <v>28</v>
      </c>
      <c r="D168">
        <v>1550.43</v>
      </c>
      <c r="E168">
        <v>2498</v>
      </c>
      <c r="F168">
        <v>0</v>
      </c>
      <c r="G168">
        <v>5</v>
      </c>
      <c r="H168">
        <v>0</v>
      </c>
      <c r="I168" t="s">
        <v>33</v>
      </c>
      <c r="J168">
        <v>0</v>
      </c>
      <c r="K168">
        <v>37</v>
      </c>
      <c r="L168" t="s">
        <v>20</v>
      </c>
      <c r="M168" t="s">
        <v>21</v>
      </c>
      <c r="N168" t="s">
        <v>30</v>
      </c>
      <c r="O168" t="s">
        <v>23</v>
      </c>
      <c r="P168">
        <v>3.73</v>
      </c>
      <c r="Q168" s="2" t="b">
        <f>FALSE()</f>
        <v>0</v>
      </c>
      <c r="R168">
        <v>0</v>
      </c>
    </row>
    <row r="169" spans="1:18" x14ac:dyDescent="0.25">
      <c r="A169">
        <v>200168</v>
      </c>
      <c r="B169">
        <v>51263</v>
      </c>
      <c r="C169" t="s">
        <v>18</v>
      </c>
      <c r="D169">
        <v>4701.8500000000004</v>
      </c>
      <c r="E169">
        <v>461</v>
      </c>
      <c r="F169">
        <v>0</v>
      </c>
      <c r="G169">
        <v>6</v>
      </c>
      <c r="H169">
        <v>1</v>
      </c>
      <c r="I169" t="s">
        <v>33</v>
      </c>
      <c r="J169">
        <v>0</v>
      </c>
      <c r="K169">
        <v>22</v>
      </c>
      <c r="L169" t="s">
        <v>20</v>
      </c>
      <c r="M169" t="s">
        <v>31</v>
      </c>
      <c r="N169" t="s">
        <v>22</v>
      </c>
      <c r="O169" t="s">
        <v>27</v>
      </c>
      <c r="P169">
        <v>4.1100000000000003</v>
      </c>
      <c r="Q169" s="2" t="b">
        <f>FALSE()</f>
        <v>0</v>
      </c>
      <c r="R169">
        <v>1</v>
      </c>
    </row>
    <row r="170" spans="1:18" x14ac:dyDescent="0.25">
      <c r="A170">
        <v>200169</v>
      </c>
      <c r="B170">
        <v>51823</v>
      </c>
      <c r="C170" t="s">
        <v>34</v>
      </c>
      <c r="D170">
        <v>5325.53</v>
      </c>
      <c r="E170">
        <v>2425</v>
      </c>
      <c r="F170">
        <v>0</v>
      </c>
      <c r="G170">
        <v>6</v>
      </c>
      <c r="H170">
        <v>1</v>
      </c>
      <c r="I170" t="s">
        <v>32</v>
      </c>
      <c r="J170">
        <v>0</v>
      </c>
      <c r="K170">
        <v>64</v>
      </c>
      <c r="L170" t="s">
        <v>24</v>
      </c>
      <c r="M170" t="s">
        <v>35</v>
      </c>
      <c r="N170" t="s">
        <v>22</v>
      </c>
      <c r="O170" t="s">
        <v>27</v>
      </c>
      <c r="P170">
        <v>0.83</v>
      </c>
      <c r="Q170" s="2" t="b">
        <f>FALSE()</f>
        <v>0</v>
      </c>
      <c r="R170">
        <v>1</v>
      </c>
    </row>
    <row r="171" spans="1:18" x14ac:dyDescent="0.25">
      <c r="A171">
        <v>200170</v>
      </c>
      <c r="B171">
        <v>54729</v>
      </c>
      <c r="C171" t="s">
        <v>18</v>
      </c>
      <c r="D171">
        <v>976.36</v>
      </c>
      <c r="E171">
        <v>1077</v>
      </c>
      <c r="F171">
        <v>2</v>
      </c>
      <c r="G171">
        <v>4</v>
      </c>
      <c r="H171">
        <v>0</v>
      </c>
      <c r="I171" t="s">
        <v>32</v>
      </c>
      <c r="J171">
        <v>0</v>
      </c>
      <c r="K171">
        <v>26</v>
      </c>
      <c r="L171" t="s">
        <v>24</v>
      </c>
      <c r="M171" t="s">
        <v>31</v>
      </c>
      <c r="N171" t="s">
        <v>30</v>
      </c>
      <c r="O171" t="s">
        <v>27</v>
      </c>
      <c r="P171">
        <v>0.87</v>
      </c>
      <c r="Q171" s="2" t="b">
        <f>FALSE()</f>
        <v>0</v>
      </c>
      <c r="R171">
        <v>0</v>
      </c>
    </row>
    <row r="172" spans="1:18" x14ac:dyDescent="0.25">
      <c r="A172">
        <v>200171</v>
      </c>
      <c r="B172">
        <v>52272</v>
      </c>
      <c r="C172" t="s">
        <v>28</v>
      </c>
      <c r="D172">
        <v>1469.49</v>
      </c>
      <c r="E172">
        <v>1529</v>
      </c>
      <c r="F172">
        <v>1</v>
      </c>
      <c r="G172">
        <v>2</v>
      </c>
      <c r="H172">
        <v>0</v>
      </c>
      <c r="I172" t="s">
        <v>33</v>
      </c>
      <c r="J172">
        <v>1</v>
      </c>
      <c r="K172">
        <v>40</v>
      </c>
      <c r="L172" t="s">
        <v>20</v>
      </c>
      <c r="M172" t="s">
        <v>31</v>
      </c>
      <c r="N172" t="s">
        <v>30</v>
      </c>
      <c r="O172" t="s">
        <v>36</v>
      </c>
      <c r="P172">
        <v>0.95</v>
      </c>
      <c r="Q172" s="2" t="b">
        <f>FALSE()</f>
        <v>0</v>
      </c>
      <c r="R172">
        <v>0</v>
      </c>
    </row>
    <row r="173" spans="1:18" x14ac:dyDescent="0.25">
      <c r="A173">
        <v>200172</v>
      </c>
      <c r="B173">
        <v>52012</v>
      </c>
      <c r="C173" t="s">
        <v>18</v>
      </c>
      <c r="D173">
        <v>3461.1</v>
      </c>
      <c r="E173">
        <v>1901</v>
      </c>
      <c r="F173">
        <v>3</v>
      </c>
      <c r="G173">
        <v>3</v>
      </c>
      <c r="H173">
        <v>1</v>
      </c>
      <c r="I173" t="s">
        <v>19</v>
      </c>
      <c r="J173">
        <v>0</v>
      </c>
      <c r="K173">
        <v>40</v>
      </c>
      <c r="L173" t="s">
        <v>24</v>
      </c>
      <c r="M173" t="s">
        <v>31</v>
      </c>
      <c r="N173" t="s">
        <v>22</v>
      </c>
      <c r="O173" t="s">
        <v>27</v>
      </c>
      <c r="P173">
        <v>6.26</v>
      </c>
      <c r="Q173" s="2" t="b">
        <f>FALSE()</f>
        <v>0</v>
      </c>
      <c r="R173">
        <v>1</v>
      </c>
    </row>
    <row r="174" spans="1:18" x14ac:dyDescent="0.25">
      <c r="A174">
        <v>200173</v>
      </c>
      <c r="B174">
        <v>50014</v>
      </c>
      <c r="C174" t="s">
        <v>34</v>
      </c>
      <c r="D174">
        <v>3769.06</v>
      </c>
      <c r="E174">
        <v>1500</v>
      </c>
      <c r="F174">
        <v>1</v>
      </c>
      <c r="G174">
        <v>5</v>
      </c>
      <c r="H174">
        <v>1</v>
      </c>
      <c r="I174" t="s">
        <v>33</v>
      </c>
      <c r="J174">
        <v>0</v>
      </c>
      <c r="K174">
        <v>53</v>
      </c>
      <c r="L174" t="s">
        <v>20</v>
      </c>
      <c r="M174" t="s">
        <v>35</v>
      </c>
      <c r="N174" t="s">
        <v>30</v>
      </c>
      <c r="O174" t="s">
        <v>23</v>
      </c>
      <c r="P174">
        <v>5.6</v>
      </c>
      <c r="Q174" s="2" t="b">
        <f>FALSE()</f>
        <v>0</v>
      </c>
      <c r="R174">
        <v>1</v>
      </c>
    </row>
    <row r="175" spans="1:18" x14ac:dyDescent="0.25">
      <c r="A175">
        <v>200174</v>
      </c>
      <c r="B175">
        <v>55087</v>
      </c>
      <c r="C175" t="s">
        <v>34</v>
      </c>
      <c r="D175">
        <v>2767.53</v>
      </c>
      <c r="E175">
        <v>2341</v>
      </c>
      <c r="F175">
        <v>2</v>
      </c>
      <c r="G175">
        <v>3</v>
      </c>
      <c r="H175">
        <v>0</v>
      </c>
      <c r="I175" t="s">
        <v>19</v>
      </c>
      <c r="J175">
        <v>0</v>
      </c>
      <c r="K175">
        <v>60</v>
      </c>
      <c r="L175" t="s">
        <v>24</v>
      </c>
      <c r="M175" t="s">
        <v>25</v>
      </c>
      <c r="N175" t="s">
        <v>22</v>
      </c>
      <c r="O175" t="s">
        <v>23</v>
      </c>
      <c r="P175">
        <v>0.52</v>
      </c>
      <c r="Q175" s="2" t="b">
        <f>FALSE()</f>
        <v>0</v>
      </c>
      <c r="R175">
        <v>0</v>
      </c>
    </row>
    <row r="176" spans="1:18" x14ac:dyDescent="0.25">
      <c r="A176">
        <v>200175</v>
      </c>
      <c r="B176">
        <v>52215</v>
      </c>
      <c r="C176" t="s">
        <v>18</v>
      </c>
      <c r="D176">
        <v>1245.6500000000001</v>
      </c>
      <c r="E176">
        <v>2179</v>
      </c>
      <c r="F176">
        <v>0</v>
      </c>
      <c r="G176">
        <v>12</v>
      </c>
      <c r="H176">
        <v>0</v>
      </c>
      <c r="I176" t="s">
        <v>19</v>
      </c>
      <c r="J176">
        <v>0</v>
      </c>
      <c r="K176">
        <v>38</v>
      </c>
      <c r="L176" t="s">
        <v>20</v>
      </c>
      <c r="M176" t="s">
        <v>21</v>
      </c>
      <c r="N176" t="s">
        <v>26</v>
      </c>
      <c r="O176" t="s">
        <v>27</v>
      </c>
      <c r="P176">
        <v>7.91</v>
      </c>
      <c r="Q176" s="2" t="b">
        <f>FALSE()</f>
        <v>0</v>
      </c>
      <c r="R176">
        <v>1</v>
      </c>
    </row>
    <row r="177" spans="1:18" x14ac:dyDescent="0.25">
      <c r="A177">
        <v>200176</v>
      </c>
      <c r="B177">
        <v>55741</v>
      </c>
      <c r="C177" t="s">
        <v>34</v>
      </c>
      <c r="D177">
        <v>2323.16</v>
      </c>
      <c r="E177">
        <v>632</v>
      </c>
      <c r="F177">
        <v>0</v>
      </c>
      <c r="G177">
        <v>6</v>
      </c>
      <c r="H177">
        <v>1</v>
      </c>
      <c r="I177" t="s">
        <v>33</v>
      </c>
      <c r="J177">
        <v>0</v>
      </c>
      <c r="K177">
        <v>60</v>
      </c>
      <c r="L177" t="s">
        <v>20</v>
      </c>
      <c r="M177" t="s">
        <v>29</v>
      </c>
      <c r="N177" t="s">
        <v>22</v>
      </c>
      <c r="O177" t="s">
        <v>36</v>
      </c>
      <c r="P177">
        <v>0.4</v>
      </c>
      <c r="Q177" s="2" t="b">
        <f>FALSE()</f>
        <v>0</v>
      </c>
      <c r="R177">
        <v>0</v>
      </c>
    </row>
    <row r="178" spans="1:18" x14ac:dyDescent="0.25">
      <c r="A178">
        <v>200177</v>
      </c>
      <c r="B178">
        <v>53255</v>
      </c>
      <c r="C178" t="s">
        <v>28</v>
      </c>
      <c r="D178">
        <v>4855.0200000000004</v>
      </c>
      <c r="E178">
        <v>2145</v>
      </c>
      <c r="F178">
        <v>1</v>
      </c>
      <c r="G178">
        <v>4</v>
      </c>
      <c r="H178">
        <v>1</v>
      </c>
      <c r="I178" t="s">
        <v>33</v>
      </c>
      <c r="J178">
        <v>0</v>
      </c>
      <c r="K178">
        <v>45</v>
      </c>
      <c r="L178" t="s">
        <v>20</v>
      </c>
      <c r="M178" t="s">
        <v>25</v>
      </c>
      <c r="N178" t="s">
        <v>30</v>
      </c>
      <c r="O178" t="s">
        <v>27</v>
      </c>
      <c r="P178">
        <v>4</v>
      </c>
      <c r="Q178" s="2" t="b">
        <f>FALSE()</f>
        <v>0</v>
      </c>
      <c r="R178">
        <v>1</v>
      </c>
    </row>
    <row r="179" spans="1:18" x14ac:dyDescent="0.25">
      <c r="A179">
        <v>200178</v>
      </c>
      <c r="B179">
        <v>51947</v>
      </c>
      <c r="C179" t="s">
        <v>34</v>
      </c>
      <c r="D179">
        <v>1494.84</v>
      </c>
      <c r="E179">
        <v>2279</v>
      </c>
      <c r="F179">
        <v>1</v>
      </c>
      <c r="G179">
        <v>8</v>
      </c>
      <c r="H179">
        <v>0</v>
      </c>
      <c r="I179" t="s">
        <v>19</v>
      </c>
      <c r="J179">
        <v>0</v>
      </c>
      <c r="K179">
        <v>30</v>
      </c>
      <c r="L179" t="s">
        <v>24</v>
      </c>
      <c r="M179" t="s">
        <v>21</v>
      </c>
      <c r="N179" t="s">
        <v>30</v>
      </c>
      <c r="O179" t="s">
        <v>23</v>
      </c>
      <c r="P179">
        <v>1.96</v>
      </c>
      <c r="Q179" s="2" t="b">
        <f>FALSE()</f>
        <v>0</v>
      </c>
      <c r="R179">
        <v>1</v>
      </c>
    </row>
    <row r="180" spans="1:18" x14ac:dyDescent="0.25">
      <c r="A180">
        <v>200179</v>
      </c>
      <c r="B180">
        <v>53177</v>
      </c>
      <c r="C180" t="s">
        <v>18</v>
      </c>
      <c r="D180">
        <v>4051.64</v>
      </c>
      <c r="E180">
        <v>3413</v>
      </c>
      <c r="F180">
        <v>1</v>
      </c>
      <c r="G180">
        <v>3</v>
      </c>
      <c r="H180">
        <v>0</v>
      </c>
      <c r="I180" t="s">
        <v>19</v>
      </c>
      <c r="J180">
        <v>0</v>
      </c>
      <c r="K180">
        <v>18</v>
      </c>
      <c r="L180" t="s">
        <v>24</v>
      </c>
      <c r="M180" t="s">
        <v>25</v>
      </c>
      <c r="N180" t="s">
        <v>22</v>
      </c>
      <c r="O180" t="s">
        <v>23</v>
      </c>
      <c r="P180">
        <v>6.18</v>
      </c>
      <c r="Q180" s="2" t="b">
        <f>FALSE()</f>
        <v>0</v>
      </c>
      <c r="R180">
        <v>1</v>
      </c>
    </row>
    <row r="181" spans="1:18" x14ac:dyDescent="0.25">
      <c r="A181">
        <v>200180</v>
      </c>
      <c r="B181">
        <v>54494</v>
      </c>
      <c r="C181" t="s">
        <v>34</v>
      </c>
      <c r="D181">
        <v>1169.57</v>
      </c>
      <c r="E181">
        <v>483</v>
      </c>
      <c r="F181">
        <v>3</v>
      </c>
      <c r="G181">
        <v>3</v>
      </c>
      <c r="H181">
        <v>0</v>
      </c>
      <c r="I181" t="s">
        <v>19</v>
      </c>
      <c r="J181">
        <v>0</v>
      </c>
      <c r="K181">
        <v>56</v>
      </c>
      <c r="L181" t="s">
        <v>20</v>
      </c>
      <c r="M181" t="s">
        <v>31</v>
      </c>
      <c r="N181" t="s">
        <v>30</v>
      </c>
      <c r="O181" t="s">
        <v>36</v>
      </c>
      <c r="P181">
        <v>6.46</v>
      </c>
      <c r="Q181" s="2" t="b">
        <f>FALSE()</f>
        <v>0</v>
      </c>
      <c r="R181">
        <v>1</v>
      </c>
    </row>
    <row r="182" spans="1:18" x14ac:dyDescent="0.25">
      <c r="A182">
        <v>200181</v>
      </c>
      <c r="B182">
        <v>53415</v>
      </c>
      <c r="C182" t="s">
        <v>18</v>
      </c>
      <c r="D182">
        <v>575.4</v>
      </c>
      <c r="E182">
        <v>3417</v>
      </c>
      <c r="F182">
        <v>0</v>
      </c>
      <c r="G182">
        <v>5</v>
      </c>
      <c r="H182">
        <v>1</v>
      </c>
      <c r="I182" t="s">
        <v>32</v>
      </c>
      <c r="J182">
        <v>0</v>
      </c>
      <c r="K182">
        <v>78</v>
      </c>
      <c r="L182" t="s">
        <v>20</v>
      </c>
      <c r="M182" t="s">
        <v>31</v>
      </c>
      <c r="N182" t="s">
        <v>22</v>
      </c>
      <c r="O182" t="s">
        <v>27</v>
      </c>
      <c r="P182">
        <v>13.12</v>
      </c>
      <c r="Q182" s="2" t="b">
        <f>FALSE()</f>
        <v>0</v>
      </c>
      <c r="R182">
        <v>0</v>
      </c>
    </row>
    <row r="183" spans="1:18" x14ac:dyDescent="0.25">
      <c r="A183">
        <v>200182</v>
      </c>
      <c r="B183">
        <v>52117</v>
      </c>
      <c r="C183" t="s">
        <v>34</v>
      </c>
      <c r="D183">
        <v>5224.59</v>
      </c>
      <c r="E183">
        <v>1007</v>
      </c>
      <c r="F183">
        <v>4</v>
      </c>
      <c r="G183">
        <v>2</v>
      </c>
      <c r="H183">
        <v>1</v>
      </c>
      <c r="I183" t="s">
        <v>32</v>
      </c>
      <c r="J183">
        <v>0</v>
      </c>
      <c r="K183">
        <v>42</v>
      </c>
      <c r="L183" t="s">
        <v>24</v>
      </c>
      <c r="M183" t="s">
        <v>31</v>
      </c>
      <c r="N183" t="s">
        <v>22</v>
      </c>
      <c r="O183" t="s">
        <v>36</v>
      </c>
      <c r="P183">
        <v>4.4400000000000004</v>
      </c>
      <c r="Q183" s="2" t="b">
        <f>FALSE()</f>
        <v>0</v>
      </c>
      <c r="R183">
        <v>1</v>
      </c>
    </row>
    <row r="184" spans="1:18" x14ac:dyDescent="0.25">
      <c r="A184">
        <v>200183</v>
      </c>
      <c r="B184">
        <v>53413</v>
      </c>
      <c r="C184" t="s">
        <v>18</v>
      </c>
      <c r="D184">
        <v>2152.86</v>
      </c>
      <c r="E184">
        <v>104</v>
      </c>
      <c r="F184">
        <v>2</v>
      </c>
      <c r="G184">
        <v>5</v>
      </c>
      <c r="H184">
        <v>0</v>
      </c>
      <c r="I184" t="s">
        <v>19</v>
      </c>
      <c r="J184">
        <v>0</v>
      </c>
      <c r="K184">
        <v>63</v>
      </c>
      <c r="L184" t="s">
        <v>24</v>
      </c>
      <c r="M184" t="s">
        <v>21</v>
      </c>
      <c r="N184" t="s">
        <v>22</v>
      </c>
      <c r="O184" t="s">
        <v>27</v>
      </c>
      <c r="P184">
        <v>3.5</v>
      </c>
      <c r="Q184" s="2" t="b">
        <f>FALSE()</f>
        <v>0</v>
      </c>
      <c r="R184">
        <v>0</v>
      </c>
    </row>
    <row r="185" spans="1:18" x14ac:dyDescent="0.25">
      <c r="A185">
        <v>200184</v>
      </c>
      <c r="B185">
        <v>54046</v>
      </c>
      <c r="C185" t="s">
        <v>18</v>
      </c>
      <c r="D185">
        <v>4397.05</v>
      </c>
      <c r="E185">
        <v>2680</v>
      </c>
      <c r="F185">
        <v>1</v>
      </c>
      <c r="G185">
        <v>2</v>
      </c>
      <c r="H185">
        <v>1</v>
      </c>
      <c r="I185" t="s">
        <v>33</v>
      </c>
      <c r="J185">
        <v>0</v>
      </c>
      <c r="K185">
        <v>61</v>
      </c>
      <c r="L185" t="s">
        <v>20</v>
      </c>
      <c r="M185" t="s">
        <v>29</v>
      </c>
      <c r="N185" t="s">
        <v>22</v>
      </c>
      <c r="O185" t="s">
        <v>27</v>
      </c>
      <c r="P185">
        <v>3.47</v>
      </c>
      <c r="Q185" s="2" t="b">
        <f>FALSE()</f>
        <v>0</v>
      </c>
      <c r="R185">
        <v>1</v>
      </c>
    </row>
    <row r="186" spans="1:18" x14ac:dyDescent="0.25">
      <c r="A186">
        <v>200185</v>
      </c>
      <c r="B186">
        <v>52964</v>
      </c>
      <c r="C186" t="s">
        <v>18</v>
      </c>
      <c r="D186">
        <v>1898.39</v>
      </c>
      <c r="E186">
        <v>2107</v>
      </c>
      <c r="F186">
        <v>0</v>
      </c>
      <c r="G186">
        <v>6</v>
      </c>
      <c r="H186">
        <v>1</v>
      </c>
      <c r="I186" t="s">
        <v>19</v>
      </c>
      <c r="J186">
        <v>1</v>
      </c>
      <c r="K186">
        <v>46</v>
      </c>
      <c r="L186" t="s">
        <v>24</v>
      </c>
      <c r="M186" t="s">
        <v>37</v>
      </c>
      <c r="N186" t="s">
        <v>22</v>
      </c>
      <c r="O186" t="s">
        <v>23</v>
      </c>
      <c r="P186">
        <v>2.08</v>
      </c>
      <c r="Q186" s="2" t="b">
        <f>FALSE()</f>
        <v>0</v>
      </c>
      <c r="R186">
        <v>0</v>
      </c>
    </row>
    <row r="187" spans="1:18" x14ac:dyDescent="0.25">
      <c r="A187">
        <v>200186</v>
      </c>
      <c r="B187">
        <v>51683</v>
      </c>
      <c r="C187" t="s">
        <v>28</v>
      </c>
      <c r="D187">
        <v>1094.28</v>
      </c>
      <c r="E187">
        <v>41</v>
      </c>
      <c r="F187">
        <v>1</v>
      </c>
      <c r="G187">
        <v>3</v>
      </c>
      <c r="H187">
        <v>1</v>
      </c>
      <c r="I187" t="s">
        <v>32</v>
      </c>
      <c r="J187">
        <v>0</v>
      </c>
      <c r="K187">
        <v>60</v>
      </c>
      <c r="L187" t="s">
        <v>20</v>
      </c>
      <c r="M187" t="s">
        <v>31</v>
      </c>
      <c r="N187" t="s">
        <v>30</v>
      </c>
      <c r="O187" t="s">
        <v>27</v>
      </c>
      <c r="P187">
        <v>6</v>
      </c>
      <c r="Q187" s="2" t="b">
        <f>FALSE()</f>
        <v>0</v>
      </c>
      <c r="R187">
        <v>0</v>
      </c>
    </row>
    <row r="188" spans="1:18" x14ac:dyDescent="0.25">
      <c r="A188">
        <v>200187</v>
      </c>
      <c r="B188">
        <v>54846</v>
      </c>
      <c r="C188" t="s">
        <v>18</v>
      </c>
      <c r="D188">
        <v>3696.51</v>
      </c>
      <c r="E188">
        <v>447</v>
      </c>
      <c r="F188">
        <v>2</v>
      </c>
      <c r="G188">
        <v>5</v>
      </c>
      <c r="H188">
        <v>1</v>
      </c>
      <c r="I188" t="s">
        <v>32</v>
      </c>
      <c r="J188">
        <v>1</v>
      </c>
      <c r="K188">
        <v>65</v>
      </c>
      <c r="L188" t="s">
        <v>20</v>
      </c>
      <c r="M188" t="s">
        <v>35</v>
      </c>
      <c r="N188" t="s">
        <v>22</v>
      </c>
      <c r="O188" t="s">
        <v>27</v>
      </c>
      <c r="P188">
        <v>1.42</v>
      </c>
      <c r="Q188" s="2" t="b">
        <f>FALSE()</f>
        <v>0</v>
      </c>
      <c r="R188">
        <v>1</v>
      </c>
    </row>
    <row r="189" spans="1:18" x14ac:dyDescent="0.25">
      <c r="A189">
        <v>200188</v>
      </c>
      <c r="B189">
        <v>50186</v>
      </c>
      <c r="C189" t="s">
        <v>34</v>
      </c>
      <c r="D189">
        <v>1982.27</v>
      </c>
      <c r="E189">
        <v>165</v>
      </c>
      <c r="F189">
        <v>1</v>
      </c>
      <c r="G189">
        <v>3</v>
      </c>
      <c r="H189">
        <v>0</v>
      </c>
      <c r="I189" t="s">
        <v>33</v>
      </c>
      <c r="J189">
        <v>0</v>
      </c>
      <c r="K189">
        <v>22</v>
      </c>
      <c r="L189" t="s">
        <v>20</v>
      </c>
      <c r="M189" t="s">
        <v>21</v>
      </c>
      <c r="N189" t="s">
        <v>30</v>
      </c>
      <c r="O189" t="s">
        <v>23</v>
      </c>
      <c r="P189">
        <v>1.25</v>
      </c>
      <c r="Q189" s="2" t="b">
        <f>FALSE()</f>
        <v>0</v>
      </c>
      <c r="R189">
        <v>0</v>
      </c>
    </row>
    <row r="190" spans="1:18" x14ac:dyDescent="0.25">
      <c r="A190">
        <v>200189</v>
      </c>
      <c r="B190">
        <v>52650</v>
      </c>
      <c r="C190" t="s">
        <v>18</v>
      </c>
      <c r="D190">
        <v>6134.42</v>
      </c>
      <c r="E190">
        <v>3462</v>
      </c>
      <c r="F190">
        <v>1</v>
      </c>
      <c r="G190">
        <v>5</v>
      </c>
      <c r="H190">
        <v>0</v>
      </c>
      <c r="I190" t="s">
        <v>32</v>
      </c>
      <c r="J190">
        <v>0</v>
      </c>
      <c r="K190">
        <v>75</v>
      </c>
      <c r="L190" t="s">
        <v>20</v>
      </c>
      <c r="M190" t="s">
        <v>31</v>
      </c>
      <c r="N190" t="s">
        <v>22</v>
      </c>
      <c r="O190" t="s">
        <v>27</v>
      </c>
      <c r="P190">
        <v>0.62</v>
      </c>
      <c r="Q190" s="2" t="b">
        <f>FALSE()</f>
        <v>0</v>
      </c>
      <c r="R190">
        <v>1</v>
      </c>
    </row>
    <row r="191" spans="1:18" x14ac:dyDescent="0.25">
      <c r="A191">
        <v>200190</v>
      </c>
      <c r="B191">
        <v>51824</v>
      </c>
      <c r="C191" t="s">
        <v>18</v>
      </c>
      <c r="D191">
        <v>1262.75</v>
      </c>
      <c r="E191">
        <v>2086</v>
      </c>
      <c r="F191">
        <v>2</v>
      </c>
      <c r="G191">
        <v>3</v>
      </c>
      <c r="H191">
        <v>1</v>
      </c>
      <c r="I191" t="s">
        <v>19</v>
      </c>
      <c r="J191">
        <v>0</v>
      </c>
      <c r="K191">
        <v>63</v>
      </c>
      <c r="L191" t="s">
        <v>20</v>
      </c>
      <c r="M191" t="s">
        <v>21</v>
      </c>
      <c r="N191" t="s">
        <v>26</v>
      </c>
      <c r="O191" t="s">
        <v>23</v>
      </c>
      <c r="P191">
        <v>1.08</v>
      </c>
      <c r="Q191" s="2" t="b">
        <f>FALSE()</f>
        <v>0</v>
      </c>
      <c r="R191">
        <v>0</v>
      </c>
    </row>
    <row r="192" spans="1:18" x14ac:dyDescent="0.25">
      <c r="A192">
        <v>200191</v>
      </c>
      <c r="B192">
        <v>50451</v>
      </c>
      <c r="C192" t="s">
        <v>28</v>
      </c>
      <c r="D192">
        <v>173.02</v>
      </c>
      <c r="E192">
        <v>366</v>
      </c>
      <c r="F192">
        <v>0</v>
      </c>
      <c r="G192">
        <v>3</v>
      </c>
      <c r="H192">
        <v>0</v>
      </c>
      <c r="I192" t="s">
        <v>32</v>
      </c>
      <c r="J192">
        <v>0</v>
      </c>
      <c r="K192">
        <v>40</v>
      </c>
      <c r="L192" t="s">
        <v>20</v>
      </c>
      <c r="M192" t="s">
        <v>35</v>
      </c>
      <c r="N192" t="s">
        <v>22</v>
      </c>
      <c r="O192" t="s">
        <v>27</v>
      </c>
      <c r="P192">
        <v>1.74</v>
      </c>
      <c r="Q192" s="2" t="b">
        <f>FALSE()</f>
        <v>0</v>
      </c>
      <c r="R192">
        <v>0</v>
      </c>
    </row>
    <row r="193" spans="1:18" x14ac:dyDescent="0.25">
      <c r="A193">
        <v>200192</v>
      </c>
      <c r="B193">
        <v>55845</v>
      </c>
      <c r="C193" t="s">
        <v>18</v>
      </c>
      <c r="D193">
        <v>2981.23</v>
      </c>
      <c r="E193">
        <v>1534</v>
      </c>
      <c r="F193">
        <v>3</v>
      </c>
      <c r="G193">
        <v>7</v>
      </c>
      <c r="H193">
        <v>0</v>
      </c>
      <c r="I193" t="s">
        <v>33</v>
      </c>
      <c r="J193">
        <v>0</v>
      </c>
      <c r="K193">
        <v>56</v>
      </c>
      <c r="L193" t="s">
        <v>24</v>
      </c>
      <c r="M193" t="s">
        <v>29</v>
      </c>
      <c r="N193" t="s">
        <v>26</v>
      </c>
      <c r="O193" t="s">
        <v>36</v>
      </c>
      <c r="P193">
        <v>3.19</v>
      </c>
      <c r="Q193" s="2" t="b">
        <f>FALSE()</f>
        <v>0</v>
      </c>
      <c r="R193">
        <v>1</v>
      </c>
    </row>
    <row r="194" spans="1:18" x14ac:dyDescent="0.25">
      <c r="A194">
        <v>200193</v>
      </c>
      <c r="B194">
        <v>52716</v>
      </c>
      <c r="C194" t="s">
        <v>18</v>
      </c>
      <c r="D194">
        <v>3086.19</v>
      </c>
      <c r="E194">
        <v>1897</v>
      </c>
      <c r="F194">
        <v>1</v>
      </c>
      <c r="G194">
        <v>2</v>
      </c>
      <c r="H194">
        <v>0</v>
      </c>
      <c r="I194" t="s">
        <v>32</v>
      </c>
      <c r="J194">
        <v>0</v>
      </c>
      <c r="K194">
        <v>18</v>
      </c>
      <c r="L194" t="s">
        <v>20</v>
      </c>
      <c r="M194" t="s">
        <v>21</v>
      </c>
      <c r="N194" t="s">
        <v>30</v>
      </c>
      <c r="O194" t="s">
        <v>27</v>
      </c>
      <c r="P194">
        <v>0.25</v>
      </c>
      <c r="Q194" s="2" t="b">
        <f>FALSE()</f>
        <v>0</v>
      </c>
      <c r="R194">
        <v>0</v>
      </c>
    </row>
    <row r="195" spans="1:18" x14ac:dyDescent="0.25">
      <c r="A195">
        <v>200194</v>
      </c>
      <c r="B195">
        <v>55623</v>
      </c>
      <c r="C195" t="s">
        <v>34</v>
      </c>
      <c r="D195">
        <v>808.16</v>
      </c>
      <c r="E195">
        <v>558</v>
      </c>
      <c r="F195">
        <v>1</v>
      </c>
      <c r="G195">
        <v>1</v>
      </c>
      <c r="H195">
        <v>0</v>
      </c>
      <c r="I195" t="s">
        <v>33</v>
      </c>
      <c r="J195">
        <v>0</v>
      </c>
      <c r="K195">
        <v>39</v>
      </c>
      <c r="L195" t="s">
        <v>24</v>
      </c>
      <c r="M195" t="s">
        <v>37</v>
      </c>
      <c r="N195" t="s">
        <v>22</v>
      </c>
      <c r="O195" t="s">
        <v>36</v>
      </c>
      <c r="P195">
        <v>0.51</v>
      </c>
      <c r="Q195" s="2" t="b">
        <f>FALSE()</f>
        <v>0</v>
      </c>
      <c r="R195">
        <v>0</v>
      </c>
    </row>
    <row r="196" spans="1:18" x14ac:dyDescent="0.25">
      <c r="A196">
        <v>200195</v>
      </c>
      <c r="B196">
        <v>52801</v>
      </c>
      <c r="C196" t="s">
        <v>18</v>
      </c>
      <c r="D196">
        <v>571.29</v>
      </c>
      <c r="E196">
        <v>3569</v>
      </c>
      <c r="F196">
        <v>1</v>
      </c>
      <c r="G196">
        <v>2</v>
      </c>
      <c r="H196">
        <v>1</v>
      </c>
      <c r="I196" t="s">
        <v>33</v>
      </c>
      <c r="J196">
        <v>0</v>
      </c>
      <c r="K196">
        <v>54</v>
      </c>
      <c r="L196" t="s">
        <v>20</v>
      </c>
      <c r="M196" t="s">
        <v>21</v>
      </c>
      <c r="N196" t="s">
        <v>30</v>
      </c>
      <c r="O196" t="s">
        <v>27</v>
      </c>
      <c r="P196">
        <v>3.41</v>
      </c>
      <c r="Q196" s="2" t="b">
        <f>FALSE()</f>
        <v>0</v>
      </c>
      <c r="R196">
        <v>0</v>
      </c>
    </row>
    <row r="197" spans="1:18" x14ac:dyDescent="0.25">
      <c r="A197">
        <v>200196</v>
      </c>
      <c r="B197">
        <v>52350</v>
      </c>
      <c r="C197" t="s">
        <v>18</v>
      </c>
      <c r="D197">
        <v>4060.92</v>
      </c>
      <c r="E197">
        <v>1389</v>
      </c>
      <c r="F197">
        <v>0</v>
      </c>
      <c r="G197">
        <v>11</v>
      </c>
      <c r="H197">
        <v>1</v>
      </c>
      <c r="I197" t="s">
        <v>33</v>
      </c>
      <c r="J197">
        <v>1</v>
      </c>
      <c r="K197">
        <v>57</v>
      </c>
      <c r="L197" t="s">
        <v>24</v>
      </c>
      <c r="M197" t="s">
        <v>21</v>
      </c>
      <c r="N197" t="s">
        <v>22</v>
      </c>
      <c r="O197" t="s">
        <v>36</v>
      </c>
      <c r="P197">
        <v>0.49</v>
      </c>
      <c r="Q197" s="2" t="b">
        <f>FALSE()</f>
        <v>0</v>
      </c>
      <c r="R197">
        <v>1</v>
      </c>
    </row>
    <row r="198" spans="1:18" x14ac:dyDescent="0.25">
      <c r="A198">
        <v>200197</v>
      </c>
      <c r="B198">
        <v>50232</v>
      </c>
      <c r="C198" t="s">
        <v>34</v>
      </c>
      <c r="D198">
        <v>1005.91</v>
      </c>
      <c r="E198">
        <v>3385</v>
      </c>
      <c r="F198">
        <v>2</v>
      </c>
      <c r="G198">
        <v>5</v>
      </c>
      <c r="H198">
        <v>0</v>
      </c>
      <c r="I198" t="s">
        <v>33</v>
      </c>
      <c r="J198">
        <v>0</v>
      </c>
      <c r="K198">
        <v>36</v>
      </c>
      <c r="L198" t="s">
        <v>24</v>
      </c>
      <c r="M198" t="s">
        <v>29</v>
      </c>
      <c r="N198" t="s">
        <v>30</v>
      </c>
      <c r="O198" t="s">
        <v>36</v>
      </c>
      <c r="P198">
        <v>0.26</v>
      </c>
      <c r="Q198" s="2" t="b">
        <f>FALSE()</f>
        <v>0</v>
      </c>
      <c r="R198">
        <v>0</v>
      </c>
    </row>
    <row r="199" spans="1:18" x14ac:dyDescent="0.25">
      <c r="A199">
        <v>200198</v>
      </c>
      <c r="B199">
        <v>53249</v>
      </c>
      <c r="C199" t="s">
        <v>18</v>
      </c>
      <c r="D199">
        <v>941.51</v>
      </c>
      <c r="E199">
        <v>632</v>
      </c>
      <c r="F199">
        <v>1</v>
      </c>
      <c r="G199">
        <v>2</v>
      </c>
      <c r="H199">
        <v>0</v>
      </c>
      <c r="I199" t="s">
        <v>33</v>
      </c>
      <c r="J199">
        <v>0</v>
      </c>
      <c r="K199">
        <v>33</v>
      </c>
      <c r="L199" t="s">
        <v>20</v>
      </c>
      <c r="M199" t="s">
        <v>31</v>
      </c>
      <c r="N199" t="s">
        <v>22</v>
      </c>
      <c r="O199" t="s">
        <v>36</v>
      </c>
      <c r="P199">
        <v>2.5</v>
      </c>
      <c r="Q199" s="2" t="b">
        <f>FALSE()</f>
        <v>0</v>
      </c>
      <c r="R199">
        <v>0</v>
      </c>
    </row>
    <row r="200" spans="1:18" x14ac:dyDescent="0.25">
      <c r="A200">
        <v>200199</v>
      </c>
      <c r="B200">
        <v>53380</v>
      </c>
      <c r="C200" t="s">
        <v>18</v>
      </c>
      <c r="D200">
        <v>1190.77</v>
      </c>
      <c r="E200">
        <v>2820</v>
      </c>
      <c r="F200">
        <v>0</v>
      </c>
      <c r="G200">
        <v>4</v>
      </c>
      <c r="H200">
        <v>0</v>
      </c>
      <c r="I200" t="s">
        <v>19</v>
      </c>
      <c r="J200">
        <v>0</v>
      </c>
      <c r="K200">
        <v>70</v>
      </c>
      <c r="L200" t="s">
        <v>24</v>
      </c>
      <c r="M200" t="s">
        <v>29</v>
      </c>
      <c r="N200" t="s">
        <v>22</v>
      </c>
      <c r="O200" t="s">
        <v>36</v>
      </c>
      <c r="P200">
        <v>0.48</v>
      </c>
      <c r="Q200" s="2" t="b">
        <f>FALSE()</f>
        <v>0</v>
      </c>
      <c r="R200">
        <v>0</v>
      </c>
    </row>
    <row r="201" spans="1:18" x14ac:dyDescent="0.25">
      <c r="A201">
        <v>200200</v>
      </c>
      <c r="B201">
        <v>50687</v>
      </c>
      <c r="C201" t="s">
        <v>18</v>
      </c>
      <c r="D201">
        <v>2544.4299999999998</v>
      </c>
      <c r="E201">
        <v>2566</v>
      </c>
      <c r="F201">
        <v>1</v>
      </c>
      <c r="G201">
        <v>6</v>
      </c>
      <c r="H201">
        <v>1</v>
      </c>
      <c r="I201" t="s">
        <v>33</v>
      </c>
      <c r="J201">
        <v>0</v>
      </c>
      <c r="K201">
        <v>47</v>
      </c>
      <c r="L201" t="s">
        <v>24</v>
      </c>
      <c r="M201" t="s">
        <v>35</v>
      </c>
      <c r="N201" t="s">
        <v>22</v>
      </c>
      <c r="O201" t="s">
        <v>36</v>
      </c>
      <c r="P201">
        <v>5.33</v>
      </c>
      <c r="Q201" s="2" t="b">
        <f>FALSE()</f>
        <v>0</v>
      </c>
      <c r="R201">
        <v>0</v>
      </c>
    </row>
    <row r="202" spans="1:18" x14ac:dyDescent="0.25">
      <c r="A202">
        <v>200201</v>
      </c>
      <c r="B202">
        <v>52864</v>
      </c>
      <c r="C202" t="s">
        <v>18</v>
      </c>
      <c r="D202">
        <v>2437.4</v>
      </c>
      <c r="E202">
        <v>2827</v>
      </c>
      <c r="F202">
        <v>1</v>
      </c>
      <c r="G202">
        <v>7</v>
      </c>
      <c r="H202">
        <v>0</v>
      </c>
      <c r="I202" t="s">
        <v>33</v>
      </c>
      <c r="J202">
        <v>1</v>
      </c>
      <c r="K202">
        <v>78</v>
      </c>
      <c r="L202" t="s">
        <v>24</v>
      </c>
      <c r="M202" t="s">
        <v>29</v>
      </c>
      <c r="N202" t="s">
        <v>26</v>
      </c>
      <c r="O202" t="s">
        <v>27</v>
      </c>
      <c r="P202">
        <v>0.8</v>
      </c>
      <c r="Q202" s="2" t="b">
        <f>FALSE()</f>
        <v>0</v>
      </c>
      <c r="R202">
        <v>1</v>
      </c>
    </row>
    <row r="203" spans="1:18" x14ac:dyDescent="0.25">
      <c r="A203">
        <v>200202</v>
      </c>
      <c r="B203">
        <v>51768</v>
      </c>
      <c r="C203" t="s">
        <v>34</v>
      </c>
      <c r="D203">
        <v>1473.58</v>
      </c>
      <c r="E203">
        <v>2372</v>
      </c>
      <c r="F203">
        <v>3</v>
      </c>
      <c r="G203">
        <v>3</v>
      </c>
      <c r="H203">
        <v>0</v>
      </c>
      <c r="I203" t="s">
        <v>19</v>
      </c>
      <c r="J203">
        <v>1</v>
      </c>
      <c r="K203">
        <v>71</v>
      </c>
      <c r="L203" t="s">
        <v>24</v>
      </c>
      <c r="M203" t="s">
        <v>29</v>
      </c>
      <c r="N203" t="s">
        <v>22</v>
      </c>
      <c r="O203" t="s">
        <v>27</v>
      </c>
      <c r="P203">
        <v>2.4300000000000002</v>
      </c>
      <c r="Q203" s="2" t="b">
        <f>FALSE()</f>
        <v>0</v>
      </c>
      <c r="R203">
        <v>1</v>
      </c>
    </row>
    <row r="204" spans="1:18" x14ac:dyDescent="0.25">
      <c r="A204">
        <v>200203</v>
      </c>
      <c r="B204">
        <v>51941</v>
      </c>
      <c r="C204" t="s">
        <v>34</v>
      </c>
      <c r="D204">
        <v>3909.64</v>
      </c>
      <c r="E204">
        <v>3518</v>
      </c>
      <c r="F204">
        <v>3</v>
      </c>
      <c r="G204">
        <v>5</v>
      </c>
      <c r="H204">
        <v>0</v>
      </c>
      <c r="I204" t="s">
        <v>33</v>
      </c>
      <c r="J204">
        <v>0</v>
      </c>
      <c r="K204">
        <v>61</v>
      </c>
      <c r="L204" t="s">
        <v>20</v>
      </c>
      <c r="M204" t="s">
        <v>37</v>
      </c>
      <c r="N204" t="s">
        <v>22</v>
      </c>
      <c r="O204" t="s">
        <v>36</v>
      </c>
      <c r="P204">
        <v>5.7</v>
      </c>
      <c r="Q204" s="2" t="b">
        <f>FALSE()</f>
        <v>0</v>
      </c>
      <c r="R204">
        <v>1</v>
      </c>
    </row>
    <row r="205" spans="1:18" x14ac:dyDescent="0.25">
      <c r="A205">
        <v>200204</v>
      </c>
      <c r="B205">
        <v>55349</v>
      </c>
      <c r="C205" t="s">
        <v>34</v>
      </c>
      <c r="D205">
        <v>959.53</v>
      </c>
      <c r="E205">
        <v>1630</v>
      </c>
      <c r="F205">
        <v>3</v>
      </c>
      <c r="G205">
        <v>1</v>
      </c>
      <c r="H205">
        <v>0</v>
      </c>
      <c r="I205" t="s">
        <v>33</v>
      </c>
      <c r="J205">
        <v>0</v>
      </c>
      <c r="K205">
        <v>70</v>
      </c>
      <c r="L205" t="s">
        <v>20</v>
      </c>
      <c r="M205" t="s">
        <v>25</v>
      </c>
      <c r="N205" t="s">
        <v>26</v>
      </c>
      <c r="O205" t="s">
        <v>23</v>
      </c>
      <c r="P205">
        <v>4.6399999999999997</v>
      </c>
      <c r="Q205" s="2" t="b">
        <f>FALSE()</f>
        <v>0</v>
      </c>
      <c r="R205">
        <v>1</v>
      </c>
    </row>
    <row r="206" spans="1:18" x14ac:dyDescent="0.25">
      <c r="A206">
        <v>200205</v>
      </c>
      <c r="B206">
        <v>50872</v>
      </c>
      <c r="C206" t="s">
        <v>18</v>
      </c>
      <c r="D206">
        <v>1995.57</v>
      </c>
      <c r="E206">
        <v>2843</v>
      </c>
      <c r="F206">
        <v>0</v>
      </c>
      <c r="G206">
        <v>4</v>
      </c>
      <c r="H206">
        <v>0</v>
      </c>
      <c r="I206" t="s">
        <v>33</v>
      </c>
      <c r="J206">
        <v>1</v>
      </c>
      <c r="K206">
        <v>50</v>
      </c>
      <c r="L206" t="s">
        <v>20</v>
      </c>
      <c r="M206" t="s">
        <v>37</v>
      </c>
      <c r="N206" t="s">
        <v>22</v>
      </c>
      <c r="O206" t="s">
        <v>27</v>
      </c>
      <c r="P206">
        <v>1.63</v>
      </c>
      <c r="Q206" s="2" t="b">
        <f>FALSE()</f>
        <v>0</v>
      </c>
      <c r="R206">
        <v>0</v>
      </c>
    </row>
    <row r="207" spans="1:18" x14ac:dyDescent="0.25">
      <c r="A207">
        <v>200206</v>
      </c>
      <c r="B207">
        <v>55904</v>
      </c>
      <c r="C207" t="s">
        <v>18</v>
      </c>
      <c r="D207">
        <v>556.89</v>
      </c>
      <c r="E207">
        <v>841</v>
      </c>
      <c r="F207">
        <v>0</v>
      </c>
      <c r="G207">
        <v>5</v>
      </c>
      <c r="H207">
        <v>0</v>
      </c>
      <c r="I207" t="s">
        <v>19</v>
      </c>
      <c r="J207">
        <v>0</v>
      </c>
      <c r="K207">
        <v>44</v>
      </c>
      <c r="L207" t="s">
        <v>20</v>
      </c>
      <c r="M207" t="s">
        <v>25</v>
      </c>
      <c r="N207" t="s">
        <v>22</v>
      </c>
      <c r="O207" t="s">
        <v>27</v>
      </c>
      <c r="P207">
        <v>1.1000000000000001</v>
      </c>
      <c r="Q207" s="2" t="b">
        <f>FALSE()</f>
        <v>0</v>
      </c>
      <c r="R207">
        <v>0</v>
      </c>
    </row>
    <row r="208" spans="1:18" x14ac:dyDescent="0.25">
      <c r="A208">
        <v>200207</v>
      </c>
      <c r="B208">
        <v>51320</v>
      </c>
      <c r="C208" t="s">
        <v>34</v>
      </c>
      <c r="D208">
        <v>954.7</v>
      </c>
      <c r="E208">
        <v>2589</v>
      </c>
      <c r="F208">
        <v>0</v>
      </c>
      <c r="G208">
        <v>4</v>
      </c>
      <c r="H208">
        <v>0</v>
      </c>
      <c r="I208" t="s">
        <v>33</v>
      </c>
      <c r="J208">
        <v>0</v>
      </c>
      <c r="K208">
        <v>19</v>
      </c>
      <c r="L208" t="s">
        <v>24</v>
      </c>
      <c r="M208" t="s">
        <v>21</v>
      </c>
      <c r="N208" t="s">
        <v>26</v>
      </c>
      <c r="O208" t="s">
        <v>27</v>
      </c>
      <c r="P208">
        <v>2.0099999999999998</v>
      </c>
      <c r="Q208" s="2" t="b">
        <f>FALSE()</f>
        <v>0</v>
      </c>
      <c r="R208">
        <v>0</v>
      </c>
    </row>
    <row r="209" spans="1:18" x14ac:dyDescent="0.25">
      <c r="A209">
        <v>200208</v>
      </c>
      <c r="B209">
        <v>54492</v>
      </c>
      <c r="C209" t="s">
        <v>18</v>
      </c>
      <c r="D209">
        <v>2554.33</v>
      </c>
      <c r="E209">
        <v>1913</v>
      </c>
      <c r="F209">
        <v>2</v>
      </c>
      <c r="G209">
        <v>6</v>
      </c>
      <c r="H209">
        <v>0</v>
      </c>
      <c r="I209" t="s">
        <v>32</v>
      </c>
      <c r="J209">
        <v>0</v>
      </c>
      <c r="K209">
        <v>41</v>
      </c>
      <c r="L209" t="s">
        <v>20</v>
      </c>
      <c r="M209" t="s">
        <v>21</v>
      </c>
      <c r="N209" t="s">
        <v>22</v>
      </c>
      <c r="O209" t="s">
        <v>36</v>
      </c>
      <c r="P209">
        <v>0.77</v>
      </c>
      <c r="Q209" s="2" t="b">
        <f>FALSE()</f>
        <v>0</v>
      </c>
      <c r="R209">
        <v>0</v>
      </c>
    </row>
    <row r="210" spans="1:18" x14ac:dyDescent="0.25">
      <c r="A210">
        <v>200209</v>
      </c>
      <c r="B210">
        <v>51687</v>
      </c>
      <c r="C210" t="s">
        <v>18</v>
      </c>
      <c r="D210">
        <v>7467.56</v>
      </c>
      <c r="E210">
        <v>2782</v>
      </c>
      <c r="F210">
        <v>3</v>
      </c>
      <c r="G210">
        <v>5</v>
      </c>
      <c r="H210">
        <v>0</v>
      </c>
      <c r="I210" t="s">
        <v>19</v>
      </c>
      <c r="J210">
        <v>0</v>
      </c>
      <c r="K210">
        <v>79</v>
      </c>
      <c r="L210" t="s">
        <v>20</v>
      </c>
      <c r="M210" t="s">
        <v>35</v>
      </c>
      <c r="N210" t="s">
        <v>22</v>
      </c>
      <c r="O210" t="s">
        <v>27</v>
      </c>
      <c r="P210">
        <v>2.56</v>
      </c>
      <c r="Q210" s="2" t="b">
        <f>TRUE()</f>
        <v>1</v>
      </c>
      <c r="R210">
        <v>1</v>
      </c>
    </row>
    <row r="211" spans="1:18" x14ac:dyDescent="0.25">
      <c r="A211">
        <v>200210</v>
      </c>
      <c r="B211">
        <v>53193</v>
      </c>
      <c r="C211" t="s">
        <v>18</v>
      </c>
      <c r="D211">
        <v>2934.59</v>
      </c>
      <c r="E211">
        <v>1753</v>
      </c>
      <c r="F211">
        <v>0</v>
      </c>
      <c r="G211">
        <v>1</v>
      </c>
      <c r="H211">
        <v>1</v>
      </c>
      <c r="I211" t="s">
        <v>32</v>
      </c>
      <c r="J211">
        <v>0</v>
      </c>
      <c r="K211">
        <v>73</v>
      </c>
      <c r="L211" t="s">
        <v>20</v>
      </c>
      <c r="M211" t="s">
        <v>21</v>
      </c>
      <c r="N211" t="s">
        <v>26</v>
      </c>
      <c r="O211" t="s">
        <v>36</v>
      </c>
      <c r="P211">
        <v>3.41</v>
      </c>
      <c r="Q211" s="2" t="b">
        <f>FALSE()</f>
        <v>0</v>
      </c>
      <c r="R211">
        <v>0</v>
      </c>
    </row>
    <row r="212" spans="1:18" x14ac:dyDescent="0.25">
      <c r="A212">
        <v>200211</v>
      </c>
      <c r="B212">
        <v>50086</v>
      </c>
      <c r="C212" t="s">
        <v>18</v>
      </c>
      <c r="D212">
        <v>4783</v>
      </c>
      <c r="E212">
        <v>3486</v>
      </c>
      <c r="F212">
        <v>2</v>
      </c>
      <c r="G212">
        <v>4</v>
      </c>
      <c r="H212">
        <v>0</v>
      </c>
      <c r="I212" t="s">
        <v>33</v>
      </c>
      <c r="J212">
        <v>1</v>
      </c>
      <c r="K212">
        <v>80</v>
      </c>
      <c r="L212" t="s">
        <v>20</v>
      </c>
      <c r="M212" t="s">
        <v>31</v>
      </c>
      <c r="N212" t="s">
        <v>22</v>
      </c>
      <c r="O212" t="s">
        <v>23</v>
      </c>
      <c r="P212">
        <v>3.55</v>
      </c>
      <c r="Q212" s="2" t="b">
        <f>FALSE()</f>
        <v>0</v>
      </c>
      <c r="R212">
        <v>1</v>
      </c>
    </row>
    <row r="213" spans="1:18" x14ac:dyDescent="0.25">
      <c r="A213">
        <v>200212</v>
      </c>
      <c r="B213">
        <v>51546</v>
      </c>
      <c r="C213" t="s">
        <v>18</v>
      </c>
      <c r="D213">
        <v>1431.56</v>
      </c>
      <c r="E213">
        <v>1242</v>
      </c>
      <c r="F213">
        <v>1</v>
      </c>
      <c r="G213">
        <v>4</v>
      </c>
      <c r="H213">
        <v>0</v>
      </c>
      <c r="I213" t="s">
        <v>33</v>
      </c>
      <c r="J213">
        <v>1</v>
      </c>
      <c r="K213">
        <v>22</v>
      </c>
      <c r="L213" t="s">
        <v>24</v>
      </c>
      <c r="M213" t="s">
        <v>25</v>
      </c>
      <c r="N213" t="s">
        <v>22</v>
      </c>
      <c r="O213" t="s">
        <v>23</v>
      </c>
      <c r="P213">
        <v>1.21</v>
      </c>
      <c r="Q213" s="2" t="b">
        <f>FALSE()</f>
        <v>0</v>
      </c>
      <c r="R213">
        <v>0</v>
      </c>
    </row>
    <row r="214" spans="1:18" x14ac:dyDescent="0.25">
      <c r="A214">
        <v>200213</v>
      </c>
      <c r="B214">
        <v>53812</v>
      </c>
      <c r="C214" t="s">
        <v>28</v>
      </c>
      <c r="D214">
        <v>1194.21</v>
      </c>
      <c r="E214">
        <v>1130</v>
      </c>
      <c r="F214">
        <v>0</v>
      </c>
      <c r="G214">
        <v>5</v>
      </c>
      <c r="H214">
        <v>1</v>
      </c>
      <c r="I214" t="s">
        <v>33</v>
      </c>
      <c r="J214">
        <v>1</v>
      </c>
      <c r="K214">
        <v>64</v>
      </c>
      <c r="L214" t="s">
        <v>24</v>
      </c>
      <c r="M214" t="s">
        <v>35</v>
      </c>
      <c r="N214" t="s">
        <v>30</v>
      </c>
      <c r="O214" t="s">
        <v>27</v>
      </c>
      <c r="P214">
        <v>3.38</v>
      </c>
      <c r="Q214" s="2" t="b">
        <f>FALSE()</f>
        <v>0</v>
      </c>
      <c r="R214">
        <v>0</v>
      </c>
    </row>
    <row r="215" spans="1:18" x14ac:dyDescent="0.25">
      <c r="A215">
        <v>200214</v>
      </c>
      <c r="B215">
        <v>55231</v>
      </c>
      <c r="C215" t="s">
        <v>18</v>
      </c>
      <c r="D215">
        <v>1984.88</v>
      </c>
      <c r="E215">
        <v>3104</v>
      </c>
      <c r="F215">
        <v>0</v>
      </c>
      <c r="G215">
        <v>1</v>
      </c>
      <c r="H215">
        <v>1</v>
      </c>
      <c r="I215" t="s">
        <v>32</v>
      </c>
      <c r="J215">
        <v>0</v>
      </c>
      <c r="K215">
        <v>31</v>
      </c>
      <c r="L215" t="s">
        <v>24</v>
      </c>
      <c r="M215" t="s">
        <v>25</v>
      </c>
      <c r="N215" t="s">
        <v>30</v>
      </c>
      <c r="O215" t="s">
        <v>27</v>
      </c>
      <c r="P215">
        <v>2</v>
      </c>
      <c r="Q215" s="2" t="b">
        <f>FALSE()</f>
        <v>0</v>
      </c>
      <c r="R215">
        <v>0</v>
      </c>
    </row>
    <row r="216" spans="1:18" x14ac:dyDescent="0.25">
      <c r="A216">
        <v>200215</v>
      </c>
      <c r="B216">
        <v>50991</v>
      </c>
      <c r="C216" t="s">
        <v>28</v>
      </c>
      <c r="D216">
        <v>1364.08</v>
      </c>
      <c r="E216">
        <v>3448</v>
      </c>
      <c r="F216">
        <v>0</v>
      </c>
      <c r="G216">
        <v>1</v>
      </c>
      <c r="H216">
        <v>0</v>
      </c>
      <c r="I216" t="s">
        <v>33</v>
      </c>
      <c r="J216">
        <v>0</v>
      </c>
      <c r="K216">
        <v>58</v>
      </c>
      <c r="L216" t="s">
        <v>24</v>
      </c>
      <c r="M216" t="s">
        <v>37</v>
      </c>
      <c r="N216" t="s">
        <v>26</v>
      </c>
      <c r="O216" t="s">
        <v>27</v>
      </c>
      <c r="P216">
        <v>6.81</v>
      </c>
      <c r="Q216" s="2" t="b">
        <f>FALSE()</f>
        <v>0</v>
      </c>
      <c r="R216">
        <v>0</v>
      </c>
    </row>
    <row r="217" spans="1:18" x14ac:dyDescent="0.25">
      <c r="A217">
        <v>200216</v>
      </c>
      <c r="B217">
        <v>52595</v>
      </c>
      <c r="C217" t="s">
        <v>28</v>
      </c>
      <c r="D217">
        <v>3459.1</v>
      </c>
      <c r="E217">
        <v>2923</v>
      </c>
      <c r="F217">
        <v>0</v>
      </c>
      <c r="G217">
        <v>5</v>
      </c>
      <c r="H217">
        <v>0</v>
      </c>
      <c r="I217" t="s">
        <v>32</v>
      </c>
      <c r="J217">
        <v>1</v>
      </c>
      <c r="K217">
        <v>63</v>
      </c>
      <c r="L217" t="s">
        <v>24</v>
      </c>
      <c r="M217" t="s">
        <v>35</v>
      </c>
      <c r="N217" t="s">
        <v>22</v>
      </c>
      <c r="O217" t="s">
        <v>27</v>
      </c>
      <c r="P217">
        <v>0.28999999999999998</v>
      </c>
      <c r="Q217" s="2" t="b">
        <f>FALSE()</f>
        <v>0</v>
      </c>
      <c r="R217">
        <v>0</v>
      </c>
    </row>
    <row r="218" spans="1:18" x14ac:dyDescent="0.25">
      <c r="A218">
        <v>200217</v>
      </c>
      <c r="B218">
        <v>51847</v>
      </c>
      <c r="C218" t="s">
        <v>18</v>
      </c>
      <c r="D218">
        <v>2736.18</v>
      </c>
      <c r="E218">
        <v>2319</v>
      </c>
      <c r="F218">
        <v>3</v>
      </c>
      <c r="G218">
        <v>4</v>
      </c>
      <c r="H218">
        <v>0</v>
      </c>
      <c r="I218" t="s">
        <v>19</v>
      </c>
      <c r="J218">
        <v>0</v>
      </c>
      <c r="K218">
        <v>25</v>
      </c>
      <c r="L218" t="s">
        <v>24</v>
      </c>
      <c r="M218" t="s">
        <v>35</v>
      </c>
      <c r="N218" t="s">
        <v>22</v>
      </c>
      <c r="O218" t="s">
        <v>36</v>
      </c>
      <c r="P218">
        <v>0.72</v>
      </c>
      <c r="Q218" s="2" t="b">
        <f>FALSE()</f>
        <v>0</v>
      </c>
      <c r="R218">
        <v>1</v>
      </c>
    </row>
    <row r="219" spans="1:18" x14ac:dyDescent="0.25">
      <c r="A219">
        <v>200218</v>
      </c>
      <c r="B219">
        <v>53098</v>
      </c>
      <c r="C219" t="s">
        <v>18</v>
      </c>
      <c r="D219">
        <v>2826.77</v>
      </c>
      <c r="E219">
        <v>3579</v>
      </c>
      <c r="F219">
        <v>1</v>
      </c>
      <c r="G219">
        <v>4</v>
      </c>
      <c r="H219">
        <v>0</v>
      </c>
      <c r="I219" t="s">
        <v>33</v>
      </c>
      <c r="J219">
        <v>0</v>
      </c>
      <c r="K219">
        <v>53</v>
      </c>
      <c r="L219" t="s">
        <v>20</v>
      </c>
      <c r="M219" t="s">
        <v>29</v>
      </c>
      <c r="N219" t="s">
        <v>22</v>
      </c>
      <c r="O219" t="s">
        <v>36</v>
      </c>
      <c r="P219">
        <v>1.1299999999999999</v>
      </c>
      <c r="Q219" s="2" t="b">
        <f>FALSE()</f>
        <v>0</v>
      </c>
      <c r="R219">
        <v>0</v>
      </c>
    </row>
    <row r="220" spans="1:18" x14ac:dyDescent="0.25">
      <c r="A220">
        <v>200219</v>
      </c>
      <c r="B220">
        <v>52357</v>
      </c>
      <c r="C220" t="s">
        <v>28</v>
      </c>
      <c r="D220">
        <v>5069.4399999999996</v>
      </c>
      <c r="E220">
        <v>443</v>
      </c>
      <c r="F220">
        <v>0</v>
      </c>
      <c r="G220">
        <v>3</v>
      </c>
      <c r="H220">
        <v>0</v>
      </c>
      <c r="I220" t="s">
        <v>19</v>
      </c>
      <c r="J220">
        <v>0</v>
      </c>
      <c r="K220">
        <v>27</v>
      </c>
      <c r="L220" t="s">
        <v>38</v>
      </c>
      <c r="M220" t="s">
        <v>37</v>
      </c>
      <c r="N220" t="s">
        <v>22</v>
      </c>
      <c r="O220" t="s">
        <v>36</v>
      </c>
      <c r="P220">
        <v>2.27</v>
      </c>
      <c r="Q220" s="2" t="b">
        <f>FALSE()</f>
        <v>0</v>
      </c>
      <c r="R220">
        <v>1</v>
      </c>
    </row>
    <row r="221" spans="1:18" x14ac:dyDescent="0.25">
      <c r="A221">
        <v>200220</v>
      </c>
      <c r="B221">
        <v>53021</v>
      </c>
      <c r="C221" t="s">
        <v>34</v>
      </c>
      <c r="D221">
        <v>4378.46</v>
      </c>
      <c r="E221">
        <v>1164</v>
      </c>
      <c r="F221">
        <v>1</v>
      </c>
      <c r="G221">
        <v>1</v>
      </c>
      <c r="H221">
        <v>0</v>
      </c>
      <c r="I221" t="s">
        <v>19</v>
      </c>
      <c r="J221">
        <v>0</v>
      </c>
      <c r="K221">
        <v>42</v>
      </c>
      <c r="L221" t="s">
        <v>20</v>
      </c>
      <c r="M221" t="s">
        <v>35</v>
      </c>
      <c r="N221" t="s">
        <v>22</v>
      </c>
      <c r="O221" t="s">
        <v>36</v>
      </c>
      <c r="P221">
        <v>5.71</v>
      </c>
      <c r="Q221" s="2" t="b">
        <f>FALSE()</f>
        <v>0</v>
      </c>
      <c r="R221">
        <v>1</v>
      </c>
    </row>
    <row r="222" spans="1:18" x14ac:dyDescent="0.25">
      <c r="A222">
        <v>200221</v>
      </c>
      <c r="B222">
        <v>51118</v>
      </c>
      <c r="C222" t="s">
        <v>18</v>
      </c>
      <c r="D222">
        <v>2892.75</v>
      </c>
      <c r="E222">
        <v>1434</v>
      </c>
      <c r="F222">
        <v>1</v>
      </c>
      <c r="G222">
        <v>4</v>
      </c>
      <c r="H222">
        <v>1</v>
      </c>
      <c r="I222" t="s">
        <v>33</v>
      </c>
      <c r="J222">
        <v>0</v>
      </c>
      <c r="K222">
        <v>18</v>
      </c>
      <c r="L222" t="s">
        <v>20</v>
      </c>
      <c r="M222" t="s">
        <v>21</v>
      </c>
      <c r="N222" t="s">
        <v>22</v>
      </c>
      <c r="O222" t="s">
        <v>27</v>
      </c>
      <c r="P222">
        <v>0.36</v>
      </c>
      <c r="Q222" s="2" t="b">
        <f>FALSE()</f>
        <v>0</v>
      </c>
      <c r="R222">
        <v>0</v>
      </c>
    </row>
    <row r="223" spans="1:18" x14ac:dyDescent="0.25">
      <c r="A223">
        <v>200222</v>
      </c>
      <c r="B223">
        <v>55782</v>
      </c>
      <c r="C223" t="s">
        <v>18</v>
      </c>
      <c r="D223">
        <v>862.31</v>
      </c>
      <c r="E223">
        <v>3038</v>
      </c>
      <c r="F223">
        <v>0</v>
      </c>
      <c r="G223">
        <v>4</v>
      </c>
      <c r="H223">
        <v>0</v>
      </c>
      <c r="I223" t="s">
        <v>33</v>
      </c>
      <c r="J223">
        <v>1</v>
      </c>
      <c r="K223">
        <v>60</v>
      </c>
      <c r="L223" t="s">
        <v>24</v>
      </c>
      <c r="M223" t="s">
        <v>29</v>
      </c>
      <c r="N223" t="s">
        <v>30</v>
      </c>
      <c r="O223" t="s">
        <v>27</v>
      </c>
      <c r="P223">
        <v>0.05</v>
      </c>
      <c r="Q223" s="2" t="b">
        <f>FALSE()</f>
        <v>0</v>
      </c>
      <c r="R223">
        <v>0</v>
      </c>
    </row>
    <row r="224" spans="1:18" x14ac:dyDescent="0.25">
      <c r="A224">
        <v>200223</v>
      </c>
      <c r="B224">
        <v>50210</v>
      </c>
      <c r="C224" t="s">
        <v>34</v>
      </c>
      <c r="D224">
        <v>1743.82</v>
      </c>
      <c r="E224">
        <v>786</v>
      </c>
      <c r="F224">
        <v>3</v>
      </c>
      <c r="G224">
        <v>6</v>
      </c>
      <c r="H224">
        <v>1</v>
      </c>
      <c r="I224" t="s">
        <v>33</v>
      </c>
      <c r="J224">
        <v>0</v>
      </c>
      <c r="K224">
        <v>51</v>
      </c>
      <c r="L224" t="s">
        <v>24</v>
      </c>
      <c r="M224" t="s">
        <v>37</v>
      </c>
      <c r="N224" t="s">
        <v>26</v>
      </c>
      <c r="O224" t="s">
        <v>36</v>
      </c>
      <c r="P224">
        <v>9.1300000000000008</v>
      </c>
      <c r="Q224" s="2" t="b">
        <f>FALSE()</f>
        <v>0</v>
      </c>
      <c r="R224">
        <v>1</v>
      </c>
    </row>
    <row r="225" spans="1:18" x14ac:dyDescent="0.25">
      <c r="A225">
        <v>200224</v>
      </c>
      <c r="B225">
        <v>50265</v>
      </c>
      <c r="C225" t="s">
        <v>28</v>
      </c>
      <c r="D225">
        <v>5656.93</v>
      </c>
      <c r="E225">
        <v>2388</v>
      </c>
      <c r="F225">
        <v>2</v>
      </c>
      <c r="G225">
        <v>2</v>
      </c>
      <c r="H225">
        <v>1</v>
      </c>
      <c r="I225" t="s">
        <v>33</v>
      </c>
      <c r="J225">
        <v>0</v>
      </c>
      <c r="K225">
        <v>29</v>
      </c>
      <c r="L225" t="s">
        <v>20</v>
      </c>
      <c r="M225" t="s">
        <v>21</v>
      </c>
      <c r="N225" t="s">
        <v>26</v>
      </c>
      <c r="O225" t="s">
        <v>36</v>
      </c>
      <c r="P225">
        <v>0.43</v>
      </c>
      <c r="Q225" s="2" t="b">
        <f>FALSE()</f>
        <v>0</v>
      </c>
      <c r="R225">
        <v>1</v>
      </c>
    </row>
    <row r="226" spans="1:18" x14ac:dyDescent="0.25">
      <c r="A226">
        <v>200225</v>
      </c>
      <c r="B226">
        <v>52936</v>
      </c>
      <c r="C226" t="s">
        <v>28</v>
      </c>
      <c r="D226">
        <v>1318.16</v>
      </c>
      <c r="E226">
        <v>540</v>
      </c>
      <c r="F226">
        <v>0</v>
      </c>
      <c r="G226">
        <v>9</v>
      </c>
      <c r="H226">
        <v>0</v>
      </c>
      <c r="I226" t="s">
        <v>33</v>
      </c>
      <c r="J226">
        <v>1</v>
      </c>
      <c r="K226">
        <v>52</v>
      </c>
      <c r="L226" t="s">
        <v>20</v>
      </c>
      <c r="M226" t="s">
        <v>31</v>
      </c>
      <c r="N226" t="s">
        <v>30</v>
      </c>
      <c r="O226" t="s">
        <v>27</v>
      </c>
      <c r="P226">
        <v>1.22</v>
      </c>
      <c r="Q226" s="2" t="b">
        <f>FALSE()</f>
        <v>0</v>
      </c>
      <c r="R226">
        <v>1</v>
      </c>
    </row>
    <row r="227" spans="1:18" x14ac:dyDescent="0.25">
      <c r="A227">
        <v>200226</v>
      </c>
      <c r="B227">
        <v>53664</v>
      </c>
      <c r="C227" t="s">
        <v>34</v>
      </c>
      <c r="D227">
        <v>3072.5</v>
      </c>
      <c r="E227">
        <v>526</v>
      </c>
      <c r="F227">
        <v>0</v>
      </c>
      <c r="G227">
        <v>5</v>
      </c>
      <c r="H227">
        <v>1</v>
      </c>
      <c r="I227" t="s">
        <v>19</v>
      </c>
      <c r="J227">
        <v>1</v>
      </c>
      <c r="K227">
        <v>34</v>
      </c>
      <c r="L227" t="s">
        <v>20</v>
      </c>
      <c r="M227" t="s">
        <v>29</v>
      </c>
      <c r="N227" t="s">
        <v>30</v>
      </c>
      <c r="O227" t="s">
        <v>27</v>
      </c>
      <c r="P227">
        <v>1.08</v>
      </c>
      <c r="Q227" s="2" t="b">
        <f>FALSE()</f>
        <v>0</v>
      </c>
      <c r="R227">
        <v>0</v>
      </c>
    </row>
    <row r="228" spans="1:18" x14ac:dyDescent="0.25">
      <c r="A228">
        <v>200227</v>
      </c>
      <c r="B228">
        <v>54273</v>
      </c>
      <c r="C228" t="s">
        <v>18</v>
      </c>
      <c r="D228">
        <v>2016.91</v>
      </c>
      <c r="E228">
        <v>2789</v>
      </c>
      <c r="F228">
        <v>3</v>
      </c>
      <c r="G228">
        <v>4</v>
      </c>
      <c r="H228">
        <v>0</v>
      </c>
      <c r="I228" t="s">
        <v>33</v>
      </c>
      <c r="J228">
        <v>1</v>
      </c>
      <c r="K228">
        <v>33</v>
      </c>
      <c r="L228" t="s">
        <v>20</v>
      </c>
      <c r="M228" t="s">
        <v>25</v>
      </c>
      <c r="N228" t="s">
        <v>30</v>
      </c>
      <c r="O228" t="s">
        <v>36</v>
      </c>
      <c r="P228">
        <v>2.09</v>
      </c>
      <c r="Q228" s="2" t="b">
        <f>FALSE()</f>
        <v>0</v>
      </c>
      <c r="R228">
        <v>1</v>
      </c>
    </row>
    <row r="229" spans="1:18" x14ac:dyDescent="0.25">
      <c r="A229">
        <v>200228</v>
      </c>
      <c r="B229">
        <v>53290</v>
      </c>
      <c r="C229" t="s">
        <v>28</v>
      </c>
      <c r="D229">
        <v>2113.1999999999998</v>
      </c>
      <c r="E229">
        <v>1658</v>
      </c>
      <c r="F229">
        <v>1</v>
      </c>
      <c r="G229">
        <v>1</v>
      </c>
      <c r="H229">
        <v>1</v>
      </c>
      <c r="I229" t="s">
        <v>33</v>
      </c>
      <c r="J229">
        <v>0</v>
      </c>
      <c r="K229">
        <v>21</v>
      </c>
      <c r="L229" t="s">
        <v>20</v>
      </c>
      <c r="M229" t="s">
        <v>29</v>
      </c>
      <c r="N229" t="s">
        <v>22</v>
      </c>
      <c r="O229" t="s">
        <v>36</v>
      </c>
      <c r="P229">
        <v>10.95</v>
      </c>
      <c r="Q229" s="2" t="b">
        <f>FALSE()</f>
        <v>0</v>
      </c>
      <c r="R229">
        <v>0</v>
      </c>
    </row>
    <row r="230" spans="1:18" x14ac:dyDescent="0.25">
      <c r="A230">
        <v>200229</v>
      </c>
      <c r="B230">
        <v>53604</v>
      </c>
      <c r="C230" t="s">
        <v>18</v>
      </c>
      <c r="D230">
        <v>1177.56</v>
      </c>
      <c r="E230">
        <v>713</v>
      </c>
      <c r="F230">
        <v>2</v>
      </c>
      <c r="G230">
        <v>0</v>
      </c>
      <c r="H230">
        <v>0</v>
      </c>
      <c r="I230" t="s">
        <v>19</v>
      </c>
      <c r="J230">
        <v>0</v>
      </c>
      <c r="K230">
        <v>19</v>
      </c>
      <c r="L230" t="s">
        <v>20</v>
      </c>
      <c r="M230" t="s">
        <v>37</v>
      </c>
      <c r="N230" t="s">
        <v>22</v>
      </c>
      <c r="O230" t="s">
        <v>27</v>
      </c>
      <c r="P230">
        <v>0.14000000000000001</v>
      </c>
      <c r="Q230" s="2" t="b">
        <f>FALSE()</f>
        <v>0</v>
      </c>
      <c r="R230">
        <v>0</v>
      </c>
    </row>
    <row r="231" spans="1:18" x14ac:dyDescent="0.25">
      <c r="A231">
        <v>200230</v>
      </c>
      <c r="B231">
        <v>53662</v>
      </c>
      <c r="C231" t="s">
        <v>18</v>
      </c>
      <c r="D231">
        <v>4995.74</v>
      </c>
      <c r="E231">
        <v>2559</v>
      </c>
      <c r="F231">
        <v>0</v>
      </c>
      <c r="G231">
        <v>3</v>
      </c>
      <c r="H231">
        <v>1</v>
      </c>
      <c r="I231" t="s">
        <v>19</v>
      </c>
      <c r="J231">
        <v>0</v>
      </c>
      <c r="K231">
        <v>39</v>
      </c>
      <c r="L231" t="s">
        <v>20</v>
      </c>
      <c r="M231" t="s">
        <v>25</v>
      </c>
      <c r="N231" t="s">
        <v>26</v>
      </c>
      <c r="O231" t="s">
        <v>36</v>
      </c>
      <c r="P231">
        <v>2.14</v>
      </c>
      <c r="Q231" s="2" t="b">
        <f>FALSE()</f>
        <v>0</v>
      </c>
      <c r="R231">
        <v>1</v>
      </c>
    </row>
    <row r="232" spans="1:18" x14ac:dyDescent="0.25">
      <c r="A232">
        <v>200231</v>
      </c>
      <c r="B232">
        <v>51838</v>
      </c>
      <c r="C232" t="s">
        <v>18</v>
      </c>
      <c r="D232">
        <v>2242.92</v>
      </c>
      <c r="E232">
        <v>3539</v>
      </c>
      <c r="F232">
        <v>2</v>
      </c>
      <c r="G232">
        <v>7</v>
      </c>
      <c r="H232">
        <v>0</v>
      </c>
      <c r="I232" t="s">
        <v>19</v>
      </c>
      <c r="J232">
        <v>1</v>
      </c>
      <c r="K232">
        <v>31</v>
      </c>
      <c r="L232" t="s">
        <v>24</v>
      </c>
      <c r="M232" t="s">
        <v>21</v>
      </c>
      <c r="N232" t="s">
        <v>22</v>
      </c>
      <c r="O232" t="s">
        <v>27</v>
      </c>
      <c r="P232">
        <v>3.11</v>
      </c>
      <c r="Q232" s="2" t="b">
        <f>FALSE()</f>
        <v>0</v>
      </c>
      <c r="R232">
        <v>1</v>
      </c>
    </row>
    <row r="233" spans="1:18" x14ac:dyDescent="0.25">
      <c r="A233">
        <v>200232</v>
      </c>
      <c r="B233">
        <v>55455</v>
      </c>
      <c r="C233" t="s">
        <v>28</v>
      </c>
      <c r="D233">
        <v>698.62</v>
      </c>
      <c r="E233">
        <v>1247</v>
      </c>
      <c r="F233">
        <v>0</v>
      </c>
      <c r="G233">
        <v>2</v>
      </c>
      <c r="H233">
        <v>0</v>
      </c>
      <c r="I233" t="s">
        <v>33</v>
      </c>
      <c r="J233">
        <v>0</v>
      </c>
      <c r="K233">
        <v>19</v>
      </c>
      <c r="L233" t="s">
        <v>20</v>
      </c>
      <c r="M233" t="s">
        <v>29</v>
      </c>
      <c r="N233" t="s">
        <v>30</v>
      </c>
      <c r="O233" t="s">
        <v>36</v>
      </c>
      <c r="P233">
        <v>0.16</v>
      </c>
      <c r="Q233" s="2" t="b">
        <f>FALSE()</f>
        <v>0</v>
      </c>
      <c r="R233">
        <v>0</v>
      </c>
    </row>
    <row r="234" spans="1:18" x14ac:dyDescent="0.25">
      <c r="A234">
        <v>200233</v>
      </c>
      <c r="B234">
        <v>53251</v>
      </c>
      <c r="C234" t="s">
        <v>18</v>
      </c>
      <c r="D234">
        <v>5470.44</v>
      </c>
      <c r="E234">
        <v>980</v>
      </c>
      <c r="F234">
        <v>0</v>
      </c>
      <c r="G234">
        <v>6</v>
      </c>
      <c r="H234">
        <v>0</v>
      </c>
      <c r="I234" t="s">
        <v>33</v>
      </c>
      <c r="J234">
        <v>0</v>
      </c>
      <c r="K234">
        <v>30</v>
      </c>
      <c r="L234" t="s">
        <v>24</v>
      </c>
      <c r="M234" t="s">
        <v>29</v>
      </c>
      <c r="N234" t="s">
        <v>30</v>
      </c>
      <c r="O234" t="s">
        <v>36</v>
      </c>
      <c r="P234">
        <v>7.0000000000000007E-2</v>
      </c>
      <c r="Q234" s="2" t="b">
        <f>FALSE()</f>
        <v>0</v>
      </c>
      <c r="R234">
        <v>1</v>
      </c>
    </row>
    <row r="235" spans="1:18" x14ac:dyDescent="0.25">
      <c r="A235">
        <v>200234</v>
      </c>
      <c r="B235">
        <v>55428</v>
      </c>
      <c r="C235" t="s">
        <v>28</v>
      </c>
      <c r="D235">
        <v>947.33</v>
      </c>
      <c r="E235">
        <v>1762</v>
      </c>
      <c r="F235">
        <v>0</v>
      </c>
      <c r="G235">
        <v>1</v>
      </c>
      <c r="H235">
        <v>0</v>
      </c>
      <c r="I235" t="s">
        <v>19</v>
      </c>
      <c r="J235">
        <v>1</v>
      </c>
      <c r="K235">
        <v>55</v>
      </c>
      <c r="L235" t="s">
        <v>20</v>
      </c>
      <c r="M235" t="s">
        <v>31</v>
      </c>
      <c r="N235" t="s">
        <v>30</v>
      </c>
      <c r="O235" t="s">
        <v>36</v>
      </c>
      <c r="P235">
        <v>0.54</v>
      </c>
      <c r="Q235" s="2" t="b">
        <f>FALSE()</f>
        <v>0</v>
      </c>
      <c r="R235">
        <v>0</v>
      </c>
    </row>
    <row r="236" spans="1:18" x14ac:dyDescent="0.25">
      <c r="A236">
        <v>200235</v>
      </c>
      <c r="B236">
        <v>53082</v>
      </c>
      <c r="C236" t="s">
        <v>34</v>
      </c>
      <c r="D236">
        <v>4398.75</v>
      </c>
      <c r="E236">
        <v>1388</v>
      </c>
      <c r="F236">
        <v>2</v>
      </c>
      <c r="G236">
        <v>6</v>
      </c>
      <c r="H236">
        <v>0</v>
      </c>
      <c r="I236" t="s">
        <v>19</v>
      </c>
      <c r="J236">
        <v>0</v>
      </c>
      <c r="K236">
        <v>43</v>
      </c>
      <c r="L236" t="s">
        <v>20</v>
      </c>
      <c r="M236" t="s">
        <v>25</v>
      </c>
      <c r="N236" t="s">
        <v>26</v>
      </c>
      <c r="O236" t="s">
        <v>27</v>
      </c>
      <c r="P236">
        <v>0.88</v>
      </c>
      <c r="Q236" s="2" t="b">
        <f>FALSE()</f>
        <v>0</v>
      </c>
      <c r="R236">
        <v>1</v>
      </c>
    </row>
    <row r="237" spans="1:18" x14ac:dyDescent="0.25">
      <c r="A237">
        <v>200236</v>
      </c>
      <c r="B237">
        <v>55491</v>
      </c>
      <c r="C237" t="s">
        <v>34</v>
      </c>
      <c r="D237">
        <v>2231.16</v>
      </c>
      <c r="E237">
        <v>3206</v>
      </c>
      <c r="F237">
        <v>0</v>
      </c>
      <c r="G237">
        <v>3</v>
      </c>
      <c r="H237">
        <v>1</v>
      </c>
      <c r="I237" t="s">
        <v>33</v>
      </c>
      <c r="J237">
        <v>0</v>
      </c>
      <c r="K237">
        <v>55</v>
      </c>
      <c r="L237" t="s">
        <v>24</v>
      </c>
      <c r="M237" t="s">
        <v>31</v>
      </c>
      <c r="N237" t="s">
        <v>22</v>
      </c>
      <c r="O237" t="s">
        <v>27</v>
      </c>
      <c r="P237">
        <v>0.23</v>
      </c>
      <c r="Q237" s="2" t="b">
        <f>FALSE()</f>
        <v>0</v>
      </c>
      <c r="R237">
        <v>0</v>
      </c>
    </row>
    <row r="238" spans="1:18" x14ac:dyDescent="0.25">
      <c r="A238">
        <v>200237</v>
      </c>
      <c r="B238">
        <v>52839</v>
      </c>
      <c r="C238" t="s">
        <v>34</v>
      </c>
      <c r="D238">
        <v>3030.25</v>
      </c>
      <c r="E238">
        <v>2996</v>
      </c>
      <c r="F238">
        <v>1</v>
      </c>
      <c r="G238">
        <v>3</v>
      </c>
      <c r="H238">
        <v>0</v>
      </c>
      <c r="I238" t="s">
        <v>33</v>
      </c>
      <c r="J238">
        <v>1</v>
      </c>
      <c r="K238">
        <v>70</v>
      </c>
      <c r="L238" t="s">
        <v>24</v>
      </c>
      <c r="M238" t="s">
        <v>31</v>
      </c>
      <c r="N238" t="s">
        <v>22</v>
      </c>
      <c r="O238" t="s">
        <v>36</v>
      </c>
      <c r="P238">
        <v>3.07</v>
      </c>
      <c r="Q238" s="2" t="b">
        <f>FALSE()</f>
        <v>0</v>
      </c>
      <c r="R238">
        <v>0</v>
      </c>
    </row>
    <row r="239" spans="1:18" x14ac:dyDescent="0.25">
      <c r="A239">
        <v>200238</v>
      </c>
      <c r="B239">
        <v>55982</v>
      </c>
      <c r="C239" t="s">
        <v>18</v>
      </c>
      <c r="D239">
        <v>1329.87</v>
      </c>
      <c r="E239">
        <v>2812</v>
      </c>
      <c r="F239">
        <v>2</v>
      </c>
      <c r="G239">
        <v>5</v>
      </c>
      <c r="H239">
        <v>0</v>
      </c>
      <c r="I239" t="s">
        <v>19</v>
      </c>
      <c r="J239">
        <v>0</v>
      </c>
      <c r="K239">
        <v>62</v>
      </c>
      <c r="L239" t="s">
        <v>20</v>
      </c>
      <c r="M239" t="s">
        <v>37</v>
      </c>
      <c r="N239" t="s">
        <v>26</v>
      </c>
      <c r="O239" t="s">
        <v>36</v>
      </c>
      <c r="P239">
        <v>0.59</v>
      </c>
      <c r="Q239" s="2" t="b">
        <f>FALSE()</f>
        <v>0</v>
      </c>
      <c r="R239">
        <v>0</v>
      </c>
    </row>
    <row r="240" spans="1:18" x14ac:dyDescent="0.25">
      <c r="A240">
        <v>200239</v>
      </c>
      <c r="B240">
        <v>54976</v>
      </c>
      <c r="C240" t="s">
        <v>18</v>
      </c>
      <c r="D240">
        <v>2837.03</v>
      </c>
      <c r="E240">
        <v>609</v>
      </c>
      <c r="F240">
        <v>0</v>
      </c>
      <c r="G240">
        <v>6</v>
      </c>
      <c r="H240">
        <v>0</v>
      </c>
      <c r="I240" t="s">
        <v>32</v>
      </c>
      <c r="J240">
        <v>0</v>
      </c>
      <c r="K240">
        <v>36</v>
      </c>
      <c r="L240" t="s">
        <v>24</v>
      </c>
      <c r="M240" t="s">
        <v>35</v>
      </c>
      <c r="N240" t="s">
        <v>22</v>
      </c>
      <c r="O240" t="s">
        <v>27</v>
      </c>
      <c r="P240">
        <v>0.23</v>
      </c>
      <c r="Q240" s="2" t="b">
        <f>FALSE()</f>
        <v>0</v>
      </c>
      <c r="R240">
        <v>0</v>
      </c>
    </row>
    <row r="241" spans="1:18" x14ac:dyDescent="0.25">
      <c r="A241">
        <v>200240</v>
      </c>
      <c r="B241">
        <v>55642</v>
      </c>
      <c r="C241" t="s">
        <v>34</v>
      </c>
      <c r="D241">
        <v>2761.06</v>
      </c>
      <c r="E241">
        <v>2029</v>
      </c>
      <c r="F241">
        <v>1</v>
      </c>
      <c r="G241">
        <v>3</v>
      </c>
      <c r="H241">
        <v>0</v>
      </c>
      <c r="I241" t="s">
        <v>32</v>
      </c>
      <c r="J241">
        <v>0</v>
      </c>
      <c r="K241">
        <v>37</v>
      </c>
      <c r="L241" t="s">
        <v>38</v>
      </c>
      <c r="M241" t="s">
        <v>31</v>
      </c>
      <c r="N241" t="s">
        <v>22</v>
      </c>
      <c r="O241" t="s">
        <v>27</v>
      </c>
      <c r="P241">
        <v>0.27</v>
      </c>
      <c r="Q241" s="2" t="b">
        <f>FALSE()</f>
        <v>0</v>
      </c>
      <c r="R241">
        <v>0</v>
      </c>
    </row>
    <row r="242" spans="1:18" x14ac:dyDescent="0.25">
      <c r="A242">
        <v>200241</v>
      </c>
      <c r="B242">
        <v>51194</v>
      </c>
      <c r="C242" t="s">
        <v>18</v>
      </c>
      <c r="D242">
        <v>1225.71</v>
      </c>
      <c r="E242">
        <v>527</v>
      </c>
      <c r="F242">
        <v>0</v>
      </c>
      <c r="G242">
        <v>3</v>
      </c>
      <c r="H242">
        <v>0</v>
      </c>
      <c r="I242" t="s">
        <v>19</v>
      </c>
      <c r="J242">
        <v>0</v>
      </c>
      <c r="K242">
        <v>25</v>
      </c>
      <c r="L242" t="s">
        <v>24</v>
      </c>
      <c r="M242" t="s">
        <v>25</v>
      </c>
      <c r="N242" t="s">
        <v>26</v>
      </c>
      <c r="O242" t="s">
        <v>27</v>
      </c>
      <c r="P242">
        <v>1.36</v>
      </c>
      <c r="Q242" s="2" t="b">
        <f>FALSE()</f>
        <v>0</v>
      </c>
      <c r="R242">
        <v>0</v>
      </c>
    </row>
    <row r="243" spans="1:18" x14ac:dyDescent="0.25">
      <c r="A243">
        <v>200242</v>
      </c>
      <c r="B243">
        <v>55250</v>
      </c>
      <c r="C243" t="s">
        <v>18</v>
      </c>
      <c r="D243">
        <v>4562.5200000000004</v>
      </c>
      <c r="E243">
        <v>1965</v>
      </c>
      <c r="F243">
        <v>1</v>
      </c>
      <c r="G243">
        <v>2</v>
      </c>
      <c r="H243">
        <v>0</v>
      </c>
      <c r="I243" t="s">
        <v>33</v>
      </c>
      <c r="J243">
        <v>0</v>
      </c>
      <c r="K243">
        <v>67</v>
      </c>
      <c r="L243" t="s">
        <v>24</v>
      </c>
      <c r="M243" t="s">
        <v>35</v>
      </c>
      <c r="N243" t="s">
        <v>30</v>
      </c>
      <c r="O243" t="s">
        <v>27</v>
      </c>
      <c r="P243">
        <v>1.2</v>
      </c>
      <c r="Q243" s="2" t="b">
        <f>FALSE()</f>
        <v>0</v>
      </c>
      <c r="R243">
        <v>1</v>
      </c>
    </row>
    <row r="244" spans="1:18" x14ac:dyDescent="0.25">
      <c r="A244">
        <v>200243</v>
      </c>
      <c r="B244">
        <v>52872</v>
      </c>
      <c r="C244" t="s">
        <v>18</v>
      </c>
      <c r="D244">
        <v>745.42</v>
      </c>
      <c r="E244">
        <v>2301</v>
      </c>
      <c r="F244">
        <v>0</v>
      </c>
      <c r="G244">
        <v>4</v>
      </c>
      <c r="H244">
        <v>1</v>
      </c>
      <c r="I244" t="s">
        <v>33</v>
      </c>
      <c r="J244">
        <v>0</v>
      </c>
      <c r="K244">
        <v>37</v>
      </c>
      <c r="L244" t="s">
        <v>38</v>
      </c>
      <c r="M244" t="s">
        <v>21</v>
      </c>
      <c r="N244" t="s">
        <v>30</v>
      </c>
      <c r="O244" t="s">
        <v>27</v>
      </c>
      <c r="P244">
        <v>2.06</v>
      </c>
      <c r="Q244" s="2" t="b">
        <f>FALSE()</f>
        <v>0</v>
      </c>
      <c r="R244">
        <v>0</v>
      </c>
    </row>
    <row r="245" spans="1:18" x14ac:dyDescent="0.25">
      <c r="A245">
        <v>200244</v>
      </c>
      <c r="B245">
        <v>50327</v>
      </c>
      <c r="C245" t="s">
        <v>34</v>
      </c>
      <c r="D245">
        <v>2036.26</v>
      </c>
      <c r="E245">
        <v>2496</v>
      </c>
      <c r="F245">
        <v>1</v>
      </c>
      <c r="G245">
        <v>4</v>
      </c>
      <c r="H245">
        <v>1</v>
      </c>
      <c r="I245" t="s">
        <v>19</v>
      </c>
      <c r="J245">
        <v>0</v>
      </c>
      <c r="K245">
        <v>44</v>
      </c>
      <c r="L245" t="s">
        <v>20</v>
      </c>
      <c r="M245" t="s">
        <v>25</v>
      </c>
      <c r="N245" t="s">
        <v>22</v>
      </c>
      <c r="O245" t="s">
        <v>23</v>
      </c>
      <c r="P245">
        <v>0.86</v>
      </c>
      <c r="Q245" s="2" t="b">
        <f>FALSE()</f>
        <v>0</v>
      </c>
      <c r="R245">
        <v>0</v>
      </c>
    </row>
    <row r="246" spans="1:18" x14ac:dyDescent="0.25">
      <c r="A246">
        <v>200245</v>
      </c>
      <c r="B246">
        <v>50455</v>
      </c>
      <c r="C246" t="s">
        <v>18</v>
      </c>
      <c r="D246">
        <v>1233.3499999999999</v>
      </c>
      <c r="E246">
        <v>3583</v>
      </c>
      <c r="F246">
        <v>1</v>
      </c>
      <c r="G246">
        <v>7</v>
      </c>
      <c r="H246">
        <v>0</v>
      </c>
      <c r="I246" t="s">
        <v>33</v>
      </c>
      <c r="J246">
        <v>0</v>
      </c>
      <c r="K246">
        <v>36</v>
      </c>
      <c r="L246" t="s">
        <v>20</v>
      </c>
      <c r="M246" t="s">
        <v>35</v>
      </c>
      <c r="N246" t="s">
        <v>30</v>
      </c>
      <c r="O246" t="s">
        <v>27</v>
      </c>
      <c r="P246">
        <v>1.51</v>
      </c>
      <c r="Q246" s="2" t="b">
        <f>FALSE()</f>
        <v>0</v>
      </c>
      <c r="R246">
        <v>1</v>
      </c>
    </row>
    <row r="247" spans="1:18" x14ac:dyDescent="0.25">
      <c r="A247">
        <v>200246</v>
      </c>
      <c r="B247">
        <v>51023</v>
      </c>
      <c r="C247" t="s">
        <v>34</v>
      </c>
      <c r="D247">
        <v>3446.85</v>
      </c>
      <c r="E247">
        <v>1773</v>
      </c>
      <c r="F247">
        <v>1</v>
      </c>
      <c r="G247">
        <v>6</v>
      </c>
      <c r="H247">
        <v>0</v>
      </c>
      <c r="I247" t="s">
        <v>33</v>
      </c>
      <c r="J247">
        <v>0</v>
      </c>
      <c r="K247">
        <v>67</v>
      </c>
      <c r="L247" t="s">
        <v>20</v>
      </c>
      <c r="M247" t="s">
        <v>31</v>
      </c>
      <c r="N247" t="s">
        <v>30</v>
      </c>
      <c r="O247" t="s">
        <v>23</v>
      </c>
      <c r="P247">
        <v>0.4</v>
      </c>
      <c r="Q247" s="2" t="b">
        <f>FALSE()</f>
        <v>0</v>
      </c>
      <c r="R247">
        <v>0</v>
      </c>
    </row>
    <row r="248" spans="1:18" x14ac:dyDescent="0.25">
      <c r="A248">
        <v>200247</v>
      </c>
      <c r="B248">
        <v>55322</v>
      </c>
      <c r="C248" t="s">
        <v>18</v>
      </c>
      <c r="D248">
        <v>3147.62</v>
      </c>
      <c r="E248">
        <v>3402</v>
      </c>
      <c r="F248">
        <v>0</v>
      </c>
      <c r="G248">
        <v>6</v>
      </c>
      <c r="H248">
        <v>0</v>
      </c>
      <c r="I248" t="s">
        <v>19</v>
      </c>
      <c r="J248">
        <v>0</v>
      </c>
      <c r="K248">
        <v>76</v>
      </c>
      <c r="L248" t="s">
        <v>20</v>
      </c>
      <c r="M248" t="s">
        <v>29</v>
      </c>
      <c r="N248" t="s">
        <v>30</v>
      </c>
      <c r="O248" t="s">
        <v>36</v>
      </c>
      <c r="P248">
        <v>0.18</v>
      </c>
      <c r="Q248" s="2" t="b">
        <f>FALSE()</f>
        <v>0</v>
      </c>
      <c r="R248">
        <v>0</v>
      </c>
    </row>
    <row r="249" spans="1:18" x14ac:dyDescent="0.25">
      <c r="A249">
        <v>200248</v>
      </c>
      <c r="B249">
        <v>52565</v>
      </c>
      <c r="C249" t="s">
        <v>18</v>
      </c>
      <c r="D249">
        <v>3897.97</v>
      </c>
      <c r="E249">
        <v>2575</v>
      </c>
      <c r="F249">
        <v>1</v>
      </c>
      <c r="G249">
        <v>5</v>
      </c>
      <c r="H249">
        <v>0</v>
      </c>
      <c r="I249" t="s">
        <v>19</v>
      </c>
      <c r="J249">
        <v>1</v>
      </c>
      <c r="K249">
        <v>70</v>
      </c>
      <c r="L249" t="s">
        <v>20</v>
      </c>
      <c r="M249" t="s">
        <v>25</v>
      </c>
      <c r="N249" t="s">
        <v>26</v>
      </c>
      <c r="O249" t="s">
        <v>36</v>
      </c>
      <c r="P249">
        <v>1.64</v>
      </c>
      <c r="Q249" s="2" t="b">
        <f>FALSE()</f>
        <v>0</v>
      </c>
      <c r="R249">
        <v>1</v>
      </c>
    </row>
    <row r="250" spans="1:18" x14ac:dyDescent="0.25">
      <c r="A250">
        <v>200249</v>
      </c>
      <c r="B250">
        <v>52027</v>
      </c>
      <c r="C250" t="s">
        <v>18</v>
      </c>
      <c r="D250">
        <v>3934.32</v>
      </c>
      <c r="E250">
        <v>1484</v>
      </c>
      <c r="F250">
        <v>1</v>
      </c>
      <c r="G250">
        <v>4</v>
      </c>
      <c r="H250">
        <v>1</v>
      </c>
      <c r="I250" t="s">
        <v>19</v>
      </c>
      <c r="J250">
        <v>0</v>
      </c>
      <c r="K250">
        <v>29</v>
      </c>
      <c r="L250" t="s">
        <v>20</v>
      </c>
      <c r="M250" t="s">
        <v>25</v>
      </c>
      <c r="N250" t="s">
        <v>26</v>
      </c>
      <c r="O250" t="s">
        <v>36</v>
      </c>
      <c r="P250">
        <v>1.36</v>
      </c>
      <c r="Q250" s="2" t="b">
        <f>FALSE()</f>
        <v>0</v>
      </c>
      <c r="R250">
        <v>1</v>
      </c>
    </row>
    <row r="251" spans="1:18" x14ac:dyDescent="0.25">
      <c r="A251">
        <v>200250</v>
      </c>
      <c r="B251">
        <v>51205</v>
      </c>
      <c r="C251" t="s">
        <v>18</v>
      </c>
      <c r="D251">
        <v>3341.49</v>
      </c>
      <c r="E251">
        <v>1609</v>
      </c>
      <c r="F251">
        <v>1</v>
      </c>
      <c r="G251">
        <v>4</v>
      </c>
      <c r="H251">
        <v>0</v>
      </c>
      <c r="I251" t="s">
        <v>19</v>
      </c>
      <c r="J251">
        <v>1</v>
      </c>
      <c r="K251">
        <v>63</v>
      </c>
      <c r="L251" t="s">
        <v>20</v>
      </c>
      <c r="M251" t="s">
        <v>21</v>
      </c>
      <c r="N251" t="s">
        <v>22</v>
      </c>
      <c r="O251" t="s">
        <v>27</v>
      </c>
      <c r="P251">
        <v>3.35</v>
      </c>
      <c r="Q251" s="2" t="b">
        <f>FALSE()</f>
        <v>0</v>
      </c>
      <c r="R251">
        <v>0</v>
      </c>
    </row>
    <row r="252" spans="1:18" x14ac:dyDescent="0.25">
      <c r="A252">
        <v>200251</v>
      </c>
      <c r="B252">
        <v>55462</v>
      </c>
      <c r="C252" t="s">
        <v>18</v>
      </c>
      <c r="D252">
        <v>901.14</v>
      </c>
      <c r="E252">
        <v>3123</v>
      </c>
      <c r="F252">
        <v>4</v>
      </c>
      <c r="G252">
        <v>4</v>
      </c>
      <c r="H252">
        <v>0</v>
      </c>
      <c r="I252" t="s">
        <v>33</v>
      </c>
      <c r="J252">
        <v>0</v>
      </c>
      <c r="K252">
        <v>26</v>
      </c>
      <c r="L252" t="s">
        <v>24</v>
      </c>
      <c r="M252" t="s">
        <v>35</v>
      </c>
      <c r="N252" t="s">
        <v>22</v>
      </c>
      <c r="O252" t="s">
        <v>27</v>
      </c>
      <c r="P252">
        <v>4.47</v>
      </c>
      <c r="Q252" s="2" t="b">
        <f>FALSE()</f>
        <v>0</v>
      </c>
      <c r="R252">
        <v>1</v>
      </c>
    </row>
    <row r="253" spans="1:18" x14ac:dyDescent="0.25">
      <c r="A253">
        <v>200252</v>
      </c>
      <c r="B253">
        <v>52982</v>
      </c>
      <c r="C253" t="s">
        <v>34</v>
      </c>
      <c r="D253">
        <v>3955.97</v>
      </c>
      <c r="E253">
        <v>3340</v>
      </c>
      <c r="F253">
        <v>3</v>
      </c>
      <c r="G253">
        <v>1</v>
      </c>
      <c r="H253">
        <v>0</v>
      </c>
      <c r="I253" t="s">
        <v>19</v>
      </c>
      <c r="J253">
        <v>1</v>
      </c>
      <c r="K253">
        <v>51</v>
      </c>
      <c r="L253" t="s">
        <v>20</v>
      </c>
      <c r="M253" t="s">
        <v>29</v>
      </c>
      <c r="N253" t="s">
        <v>26</v>
      </c>
      <c r="O253" t="s">
        <v>27</v>
      </c>
      <c r="P253">
        <v>0.6</v>
      </c>
      <c r="Q253" s="2" t="b">
        <f>FALSE()</f>
        <v>0</v>
      </c>
      <c r="R253">
        <v>1</v>
      </c>
    </row>
    <row r="254" spans="1:18" x14ac:dyDescent="0.25">
      <c r="A254">
        <v>200253</v>
      </c>
      <c r="B254">
        <v>52504</v>
      </c>
      <c r="C254" t="s">
        <v>18</v>
      </c>
      <c r="D254">
        <v>9531.3700000000008</v>
      </c>
      <c r="E254">
        <v>2549</v>
      </c>
      <c r="F254">
        <v>2</v>
      </c>
      <c r="G254">
        <v>10</v>
      </c>
      <c r="H254">
        <v>0</v>
      </c>
      <c r="I254" t="s">
        <v>33</v>
      </c>
      <c r="J254">
        <v>0</v>
      </c>
      <c r="K254">
        <v>77</v>
      </c>
      <c r="L254" t="s">
        <v>20</v>
      </c>
      <c r="M254" t="s">
        <v>37</v>
      </c>
      <c r="N254" t="s">
        <v>30</v>
      </c>
      <c r="O254" t="s">
        <v>36</v>
      </c>
      <c r="P254">
        <v>3.78</v>
      </c>
      <c r="Q254" s="2" t="b">
        <f>TRUE()</f>
        <v>1</v>
      </c>
      <c r="R254">
        <v>1</v>
      </c>
    </row>
    <row r="255" spans="1:18" x14ac:dyDescent="0.25">
      <c r="A255">
        <v>200254</v>
      </c>
      <c r="B255">
        <v>55585</v>
      </c>
      <c r="C255" t="s">
        <v>18</v>
      </c>
      <c r="D255">
        <v>194.61</v>
      </c>
      <c r="E255">
        <v>2201</v>
      </c>
      <c r="F255">
        <v>1</v>
      </c>
      <c r="G255">
        <v>8</v>
      </c>
      <c r="H255">
        <v>0</v>
      </c>
      <c r="I255" t="s">
        <v>33</v>
      </c>
      <c r="J255">
        <v>0</v>
      </c>
      <c r="K255">
        <v>57</v>
      </c>
      <c r="L255" t="s">
        <v>20</v>
      </c>
      <c r="M255" t="s">
        <v>31</v>
      </c>
      <c r="N255" t="s">
        <v>26</v>
      </c>
      <c r="O255" t="s">
        <v>36</v>
      </c>
      <c r="P255">
        <v>0.61</v>
      </c>
      <c r="Q255" s="2" t="b">
        <f>FALSE()</f>
        <v>0</v>
      </c>
      <c r="R255">
        <v>1</v>
      </c>
    </row>
    <row r="256" spans="1:18" x14ac:dyDescent="0.25">
      <c r="A256">
        <v>200255</v>
      </c>
      <c r="B256">
        <v>53628</v>
      </c>
      <c r="C256" t="s">
        <v>18</v>
      </c>
      <c r="D256">
        <v>921.63</v>
      </c>
      <c r="E256">
        <v>142</v>
      </c>
      <c r="F256">
        <v>1</v>
      </c>
      <c r="G256">
        <v>4</v>
      </c>
      <c r="H256">
        <v>0</v>
      </c>
      <c r="I256" t="s">
        <v>19</v>
      </c>
      <c r="J256">
        <v>0</v>
      </c>
      <c r="K256">
        <v>33</v>
      </c>
      <c r="L256" t="s">
        <v>24</v>
      </c>
      <c r="M256" t="s">
        <v>37</v>
      </c>
      <c r="N256" t="s">
        <v>22</v>
      </c>
      <c r="O256" t="s">
        <v>36</v>
      </c>
      <c r="P256">
        <v>3.62</v>
      </c>
      <c r="Q256" s="2" t="b">
        <f>FALSE()</f>
        <v>0</v>
      </c>
      <c r="R256">
        <v>0</v>
      </c>
    </row>
    <row r="257" spans="1:18" x14ac:dyDescent="0.25">
      <c r="A257">
        <v>200256</v>
      </c>
      <c r="B257">
        <v>55018</v>
      </c>
      <c r="C257" t="s">
        <v>18</v>
      </c>
      <c r="D257">
        <v>2151.9</v>
      </c>
      <c r="E257">
        <v>2047</v>
      </c>
      <c r="F257">
        <v>0</v>
      </c>
      <c r="G257">
        <v>3</v>
      </c>
      <c r="H257">
        <v>1</v>
      </c>
      <c r="I257" t="s">
        <v>33</v>
      </c>
      <c r="J257">
        <v>0</v>
      </c>
      <c r="K257">
        <v>79</v>
      </c>
      <c r="L257" t="s">
        <v>20</v>
      </c>
      <c r="M257" t="s">
        <v>31</v>
      </c>
      <c r="N257" t="s">
        <v>22</v>
      </c>
      <c r="O257" t="s">
        <v>23</v>
      </c>
      <c r="P257">
        <v>0.59</v>
      </c>
      <c r="Q257" s="2" t="b">
        <f>FALSE()</f>
        <v>0</v>
      </c>
      <c r="R257">
        <v>0</v>
      </c>
    </row>
    <row r="258" spans="1:18" x14ac:dyDescent="0.25">
      <c r="A258">
        <v>200257</v>
      </c>
      <c r="B258">
        <v>54987</v>
      </c>
      <c r="C258" t="s">
        <v>18</v>
      </c>
      <c r="D258">
        <v>929.83</v>
      </c>
      <c r="E258">
        <v>3377</v>
      </c>
      <c r="F258">
        <v>1</v>
      </c>
      <c r="G258">
        <v>8</v>
      </c>
      <c r="H258">
        <v>0</v>
      </c>
      <c r="I258" t="s">
        <v>33</v>
      </c>
      <c r="J258">
        <v>0</v>
      </c>
      <c r="K258">
        <v>50</v>
      </c>
      <c r="L258" t="s">
        <v>20</v>
      </c>
      <c r="M258" t="s">
        <v>29</v>
      </c>
      <c r="N258" t="s">
        <v>22</v>
      </c>
      <c r="O258" t="s">
        <v>36</v>
      </c>
      <c r="P258">
        <v>2.0499999999999998</v>
      </c>
      <c r="Q258" s="2" t="b">
        <f>FALSE()</f>
        <v>0</v>
      </c>
      <c r="R258">
        <v>1</v>
      </c>
    </row>
    <row r="259" spans="1:18" x14ac:dyDescent="0.25">
      <c r="A259">
        <v>200258</v>
      </c>
      <c r="B259">
        <v>53423</v>
      </c>
      <c r="C259" t="s">
        <v>34</v>
      </c>
      <c r="D259">
        <v>1389.95</v>
      </c>
      <c r="E259">
        <v>2230</v>
      </c>
      <c r="F259">
        <v>2</v>
      </c>
      <c r="G259">
        <v>1</v>
      </c>
      <c r="H259">
        <v>0</v>
      </c>
      <c r="I259" t="s">
        <v>32</v>
      </c>
      <c r="J259">
        <v>0</v>
      </c>
      <c r="K259">
        <v>39</v>
      </c>
      <c r="L259" t="s">
        <v>20</v>
      </c>
      <c r="M259" t="s">
        <v>29</v>
      </c>
      <c r="N259" t="s">
        <v>30</v>
      </c>
      <c r="O259" t="s">
        <v>36</v>
      </c>
      <c r="P259">
        <v>0.81</v>
      </c>
      <c r="Q259" s="2" t="b">
        <f>FALSE()</f>
        <v>0</v>
      </c>
      <c r="R259">
        <v>0</v>
      </c>
    </row>
    <row r="260" spans="1:18" x14ac:dyDescent="0.25">
      <c r="A260">
        <v>200259</v>
      </c>
      <c r="B260">
        <v>52546</v>
      </c>
      <c r="C260" t="s">
        <v>28</v>
      </c>
      <c r="D260">
        <v>4593.71</v>
      </c>
      <c r="E260">
        <v>3252</v>
      </c>
      <c r="F260">
        <v>1</v>
      </c>
      <c r="G260">
        <v>7</v>
      </c>
      <c r="H260">
        <v>0</v>
      </c>
      <c r="I260" t="s">
        <v>19</v>
      </c>
      <c r="J260">
        <v>0</v>
      </c>
      <c r="K260">
        <v>46</v>
      </c>
      <c r="L260" t="s">
        <v>24</v>
      </c>
      <c r="M260" t="s">
        <v>35</v>
      </c>
      <c r="N260" t="s">
        <v>22</v>
      </c>
      <c r="O260" t="s">
        <v>27</v>
      </c>
      <c r="P260">
        <v>1.07</v>
      </c>
      <c r="Q260" s="2" t="b">
        <f>FALSE()</f>
        <v>0</v>
      </c>
      <c r="R260">
        <v>1</v>
      </c>
    </row>
    <row r="261" spans="1:18" x14ac:dyDescent="0.25">
      <c r="A261">
        <v>200260</v>
      </c>
      <c r="B261">
        <v>53119</v>
      </c>
      <c r="C261" t="s">
        <v>18</v>
      </c>
      <c r="D261">
        <v>4624.66</v>
      </c>
      <c r="E261">
        <v>815</v>
      </c>
      <c r="F261">
        <v>1</v>
      </c>
      <c r="G261">
        <v>7</v>
      </c>
      <c r="H261">
        <v>1</v>
      </c>
      <c r="I261" t="s">
        <v>33</v>
      </c>
      <c r="J261">
        <v>0</v>
      </c>
      <c r="K261">
        <v>53</v>
      </c>
      <c r="L261" t="s">
        <v>20</v>
      </c>
      <c r="M261" t="s">
        <v>31</v>
      </c>
      <c r="N261" t="s">
        <v>22</v>
      </c>
      <c r="O261" t="s">
        <v>36</v>
      </c>
      <c r="P261">
        <v>3.58</v>
      </c>
      <c r="Q261" s="2" t="b">
        <f>FALSE()</f>
        <v>0</v>
      </c>
      <c r="R261">
        <v>1</v>
      </c>
    </row>
    <row r="262" spans="1:18" x14ac:dyDescent="0.25">
      <c r="A262">
        <v>200261</v>
      </c>
      <c r="B262">
        <v>55409</v>
      </c>
      <c r="C262" t="s">
        <v>18</v>
      </c>
      <c r="D262">
        <v>7764.86</v>
      </c>
      <c r="E262">
        <v>19</v>
      </c>
      <c r="F262">
        <v>1</v>
      </c>
      <c r="G262">
        <v>2</v>
      </c>
      <c r="H262">
        <v>1</v>
      </c>
      <c r="I262" t="s">
        <v>33</v>
      </c>
      <c r="J262">
        <v>1</v>
      </c>
      <c r="K262">
        <v>80</v>
      </c>
      <c r="L262" t="s">
        <v>24</v>
      </c>
      <c r="M262" t="s">
        <v>37</v>
      </c>
      <c r="N262" t="s">
        <v>22</v>
      </c>
      <c r="O262" t="s">
        <v>27</v>
      </c>
      <c r="P262">
        <v>2.94</v>
      </c>
      <c r="Q262" s="2" t="b">
        <f>TRUE()</f>
        <v>1</v>
      </c>
      <c r="R262">
        <v>1</v>
      </c>
    </row>
    <row r="263" spans="1:18" x14ac:dyDescent="0.25">
      <c r="A263">
        <v>200262</v>
      </c>
      <c r="B263">
        <v>54166</v>
      </c>
      <c r="C263" t="s">
        <v>28</v>
      </c>
      <c r="D263">
        <v>3900.06</v>
      </c>
      <c r="E263">
        <v>1807</v>
      </c>
      <c r="F263">
        <v>0</v>
      </c>
      <c r="G263">
        <v>5</v>
      </c>
      <c r="H263">
        <v>0</v>
      </c>
      <c r="I263" t="s">
        <v>33</v>
      </c>
      <c r="J263">
        <v>0</v>
      </c>
      <c r="K263">
        <v>52</v>
      </c>
      <c r="L263" t="s">
        <v>24</v>
      </c>
      <c r="M263" t="s">
        <v>29</v>
      </c>
      <c r="N263" t="s">
        <v>30</v>
      </c>
      <c r="O263" t="s">
        <v>27</v>
      </c>
      <c r="P263">
        <v>0.98</v>
      </c>
      <c r="Q263" s="2" t="b">
        <f>FALSE()</f>
        <v>0</v>
      </c>
      <c r="R263">
        <v>1</v>
      </c>
    </row>
    <row r="264" spans="1:18" x14ac:dyDescent="0.25">
      <c r="A264">
        <v>200263</v>
      </c>
      <c r="B264">
        <v>51990</v>
      </c>
      <c r="C264" t="s">
        <v>18</v>
      </c>
      <c r="D264">
        <v>5258.06</v>
      </c>
      <c r="E264">
        <v>1477</v>
      </c>
      <c r="F264">
        <v>1</v>
      </c>
      <c r="G264">
        <v>3</v>
      </c>
      <c r="H264">
        <v>1</v>
      </c>
      <c r="I264" t="s">
        <v>19</v>
      </c>
      <c r="J264">
        <v>1</v>
      </c>
      <c r="K264">
        <v>51</v>
      </c>
      <c r="L264" t="s">
        <v>20</v>
      </c>
      <c r="M264" t="s">
        <v>25</v>
      </c>
      <c r="N264" t="s">
        <v>22</v>
      </c>
      <c r="O264" t="s">
        <v>36</v>
      </c>
      <c r="P264">
        <v>3.04</v>
      </c>
      <c r="Q264" s="2" t="b">
        <f>FALSE()</f>
        <v>0</v>
      </c>
      <c r="R264">
        <v>1</v>
      </c>
    </row>
    <row r="265" spans="1:18" x14ac:dyDescent="0.25">
      <c r="A265">
        <v>200264</v>
      </c>
      <c r="B265">
        <v>55491</v>
      </c>
      <c r="C265" t="s">
        <v>34</v>
      </c>
      <c r="D265">
        <v>621.21</v>
      </c>
      <c r="E265">
        <v>3375</v>
      </c>
      <c r="F265">
        <v>2</v>
      </c>
      <c r="G265">
        <v>6</v>
      </c>
      <c r="H265">
        <v>0</v>
      </c>
      <c r="I265" t="s">
        <v>19</v>
      </c>
      <c r="J265">
        <v>0</v>
      </c>
      <c r="K265">
        <v>60</v>
      </c>
      <c r="L265" t="s">
        <v>24</v>
      </c>
      <c r="M265" t="s">
        <v>25</v>
      </c>
      <c r="N265" t="s">
        <v>30</v>
      </c>
      <c r="O265" t="s">
        <v>27</v>
      </c>
      <c r="P265">
        <v>0.2</v>
      </c>
      <c r="Q265" s="2" t="b">
        <f>FALSE()</f>
        <v>0</v>
      </c>
      <c r="R265">
        <v>0</v>
      </c>
    </row>
    <row r="266" spans="1:18" x14ac:dyDescent="0.25">
      <c r="A266">
        <v>200265</v>
      </c>
      <c r="B266">
        <v>55057</v>
      </c>
      <c r="C266" t="s">
        <v>18</v>
      </c>
      <c r="D266">
        <v>2583.46</v>
      </c>
      <c r="E266">
        <v>2333</v>
      </c>
      <c r="F266">
        <v>0</v>
      </c>
      <c r="G266">
        <v>4</v>
      </c>
      <c r="H266">
        <v>0</v>
      </c>
      <c r="I266" t="s">
        <v>19</v>
      </c>
      <c r="J266">
        <v>0</v>
      </c>
      <c r="K266">
        <v>83</v>
      </c>
      <c r="L266" t="s">
        <v>24</v>
      </c>
      <c r="M266" t="s">
        <v>21</v>
      </c>
      <c r="N266" t="s">
        <v>22</v>
      </c>
      <c r="O266" t="s">
        <v>27</v>
      </c>
      <c r="P266">
        <v>0.61</v>
      </c>
      <c r="Q266" s="2" t="b">
        <f>FALSE()</f>
        <v>0</v>
      </c>
      <c r="R266">
        <v>0</v>
      </c>
    </row>
    <row r="267" spans="1:18" x14ac:dyDescent="0.25">
      <c r="A267">
        <v>200266</v>
      </c>
      <c r="B267">
        <v>54719</v>
      </c>
      <c r="C267" t="s">
        <v>18</v>
      </c>
      <c r="D267">
        <v>3059.63</v>
      </c>
      <c r="E267">
        <v>3062</v>
      </c>
      <c r="F267">
        <v>1</v>
      </c>
      <c r="G267">
        <v>2</v>
      </c>
      <c r="H267">
        <v>1</v>
      </c>
      <c r="I267" t="s">
        <v>33</v>
      </c>
      <c r="J267">
        <v>0</v>
      </c>
      <c r="K267">
        <v>21</v>
      </c>
      <c r="L267" t="s">
        <v>38</v>
      </c>
      <c r="M267" t="s">
        <v>37</v>
      </c>
      <c r="N267" t="s">
        <v>30</v>
      </c>
      <c r="O267" t="s">
        <v>23</v>
      </c>
      <c r="P267">
        <v>0</v>
      </c>
      <c r="Q267" s="2" t="b">
        <f>FALSE()</f>
        <v>0</v>
      </c>
      <c r="R267">
        <v>0</v>
      </c>
    </row>
    <row r="268" spans="1:18" x14ac:dyDescent="0.25">
      <c r="A268">
        <v>200267</v>
      </c>
      <c r="B268">
        <v>55049</v>
      </c>
      <c r="C268" t="s">
        <v>34</v>
      </c>
      <c r="D268">
        <v>883.33</v>
      </c>
      <c r="E268">
        <v>2883</v>
      </c>
      <c r="F268">
        <v>0</v>
      </c>
      <c r="G268">
        <v>6</v>
      </c>
      <c r="H268">
        <v>0</v>
      </c>
      <c r="I268" t="s">
        <v>19</v>
      </c>
      <c r="J268">
        <v>0</v>
      </c>
      <c r="K268">
        <v>32</v>
      </c>
      <c r="L268" t="s">
        <v>20</v>
      </c>
      <c r="M268" t="s">
        <v>21</v>
      </c>
      <c r="N268" t="s">
        <v>30</v>
      </c>
      <c r="O268" t="s">
        <v>36</v>
      </c>
      <c r="P268">
        <v>2.84</v>
      </c>
      <c r="Q268" s="2" t="b">
        <f>FALSE()</f>
        <v>0</v>
      </c>
      <c r="R268">
        <v>0</v>
      </c>
    </row>
    <row r="269" spans="1:18" x14ac:dyDescent="0.25">
      <c r="A269">
        <v>200268</v>
      </c>
      <c r="B269">
        <v>55951</v>
      </c>
      <c r="C269" t="s">
        <v>18</v>
      </c>
      <c r="D269">
        <v>1324.48</v>
      </c>
      <c r="E269">
        <v>1006</v>
      </c>
      <c r="F269">
        <v>2</v>
      </c>
      <c r="G269">
        <v>3</v>
      </c>
      <c r="H269">
        <v>0</v>
      </c>
      <c r="I269" t="s">
        <v>33</v>
      </c>
      <c r="J269">
        <v>0</v>
      </c>
      <c r="K269">
        <v>68</v>
      </c>
      <c r="L269" t="s">
        <v>24</v>
      </c>
      <c r="M269" t="s">
        <v>25</v>
      </c>
      <c r="N269" t="s">
        <v>22</v>
      </c>
      <c r="O269" t="s">
        <v>36</v>
      </c>
      <c r="P269">
        <v>0.32</v>
      </c>
      <c r="Q269" s="2" t="b">
        <f>FALSE()</f>
        <v>0</v>
      </c>
      <c r="R269">
        <v>0</v>
      </c>
    </row>
    <row r="270" spans="1:18" x14ac:dyDescent="0.25">
      <c r="A270">
        <v>200269</v>
      </c>
      <c r="B270">
        <v>54641</v>
      </c>
      <c r="C270" t="s">
        <v>34</v>
      </c>
      <c r="D270">
        <v>2661.29</v>
      </c>
      <c r="E270">
        <v>1108</v>
      </c>
      <c r="F270">
        <v>1</v>
      </c>
      <c r="G270">
        <v>5</v>
      </c>
      <c r="H270">
        <v>1</v>
      </c>
      <c r="I270" t="s">
        <v>19</v>
      </c>
      <c r="J270">
        <v>0</v>
      </c>
      <c r="K270">
        <v>34</v>
      </c>
      <c r="L270" t="s">
        <v>24</v>
      </c>
      <c r="M270" t="s">
        <v>25</v>
      </c>
      <c r="N270" t="s">
        <v>30</v>
      </c>
      <c r="O270" t="s">
        <v>27</v>
      </c>
      <c r="P270">
        <v>8.9600000000000009</v>
      </c>
      <c r="Q270" s="2" t="b">
        <f>FALSE()</f>
        <v>0</v>
      </c>
      <c r="R270">
        <v>0</v>
      </c>
    </row>
    <row r="271" spans="1:18" x14ac:dyDescent="0.25">
      <c r="A271">
        <v>200270</v>
      </c>
      <c r="B271">
        <v>53604</v>
      </c>
      <c r="C271" t="s">
        <v>18</v>
      </c>
      <c r="D271">
        <v>3747.22</v>
      </c>
      <c r="E271">
        <v>860</v>
      </c>
      <c r="F271">
        <v>0</v>
      </c>
      <c r="G271">
        <v>4</v>
      </c>
      <c r="H271">
        <v>0</v>
      </c>
      <c r="I271" t="s">
        <v>32</v>
      </c>
      <c r="J271">
        <v>0</v>
      </c>
      <c r="K271">
        <v>72</v>
      </c>
      <c r="L271" t="s">
        <v>24</v>
      </c>
      <c r="M271" t="s">
        <v>35</v>
      </c>
      <c r="N271" t="s">
        <v>22</v>
      </c>
      <c r="O271" t="s">
        <v>27</v>
      </c>
      <c r="P271">
        <v>1.1100000000000001</v>
      </c>
      <c r="Q271" s="2" t="b">
        <f>FALSE()</f>
        <v>0</v>
      </c>
      <c r="R271">
        <v>1</v>
      </c>
    </row>
    <row r="272" spans="1:18" x14ac:dyDescent="0.25">
      <c r="A272">
        <v>200271</v>
      </c>
      <c r="B272">
        <v>53584</v>
      </c>
      <c r="C272" t="s">
        <v>34</v>
      </c>
      <c r="D272">
        <v>248.26</v>
      </c>
      <c r="E272">
        <v>1497</v>
      </c>
      <c r="F272">
        <v>0</v>
      </c>
      <c r="G272">
        <v>4</v>
      </c>
      <c r="H272">
        <v>1</v>
      </c>
      <c r="I272" t="s">
        <v>19</v>
      </c>
      <c r="J272">
        <v>0</v>
      </c>
      <c r="K272">
        <v>40</v>
      </c>
      <c r="L272" t="s">
        <v>24</v>
      </c>
      <c r="M272" t="s">
        <v>37</v>
      </c>
      <c r="N272" t="s">
        <v>30</v>
      </c>
      <c r="O272" t="s">
        <v>23</v>
      </c>
      <c r="P272">
        <v>1.75</v>
      </c>
      <c r="Q272" s="2" t="b">
        <f>FALSE()</f>
        <v>0</v>
      </c>
      <c r="R272">
        <v>0</v>
      </c>
    </row>
    <row r="273" spans="1:18" x14ac:dyDescent="0.25">
      <c r="A273">
        <v>200272</v>
      </c>
      <c r="B273">
        <v>50489</v>
      </c>
      <c r="C273" t="s">
        <v>18</v>
      </c>
      <c r="D273">
        <v>5188.04</v>
      </c>
      <c r="E273">
        <v>3175</v>
      </c>
      <c r="F273">
        <v>5</v>
      </c>
      <c r="G273">
        <v>5</v>
      </c>
      <c r="H273">
        <v>0</v>
      </c>
      <c r="I273" t="s">
        <v>32</v>
      </c>
      <c r="J273">
        <v>0</v>
      </c>
      <c r="K273">
        <v>26</v>
      </c>
      <c r="L273" t="s">
        <v>24</v>
      </c>
      <c r="M273" t="s">
        <v>31</v>
      </c>
      <c r="N273" t="s">
        <v>22</v>
      </c>
      <c r="O273" t="s">
        <v>36</v>
      </c>
      <c r="P273">
        <v>0.17</v>
      </c>
      <c r="Q273" s="2" t="b">
        <f>FALSE()</f>
        <v>0</v>
      </c>
      <c r="R273">
        <v>1</v>
      </c>
    </row>
    <row r="274" spans="1:18" x14ac:dyDescent="0.25">
      <c r="A274">
        <v>200273</v>
      </c>
      <c r="B274">
        <v>54661</v>
      </c>
      <c r="C274" t="s">
        <v>18</v>
      </c>
      <c r="D274">
        <v>1666.4</v>
      </c>
      <c r="E274">
        <v>1440</v>
      </c>
      <c r="F274">
        <v>1</v>
      </c>
      <c r="G274">
        <v>5</v>
      </c>
      <c r="H274">
        <v>1</v>
      </c>
      <c r="I274" t="s">
        <v>19</v>
      </c>
      <c r="J274">
        <v>0</v>
      </c>
      <c r="K274">
        <v>39</v>
      </c>
      <c r="L274" t="s">
        <v>38</v>
      </c>
      <c r="M274" t="s">
        <v>31</v>
      </c>
      <c r="N274" t="s">
        <v>22</v>
      </c>
      <c r="O274" t="s">
        <v>36</v>
      </c>
      <c r="P274">
        <v>2.72</v>
      </c>
      <c r="Q274" s="2" t="b">
        <f>FALSE()</f>
        <v>0</v>
      </c>
      <c r="R274">
        <v>0</v>
      </c>
    </row>
    <row r="275" spans="1:18" x14ac:dyDescent="0.25">
      <c r="A275">
        <v>200274</v>
      </c>
      <c r="B275">
        <v>54859</v>
      </c>
      <c r="C275" t="s">
        <v>18</v>
      </c>
      <c r="D275">
        <v>1591.71</v>
      </c>
      <c r="E275">
        <v>2315</v>
      </c>
      <c r="F275">
        <v>2</v>
      </c>
      <c r="G275">
        <v>5</v>
      </c>
      <c r="H275">
        <v>0</v>
      </c>
      <c r="I275" t="s">
        <v>19</v>
      </c>
      <c r="J275">
        <v>0</v>
      </c>
      <c r="K275">
        <v>68</v>
      </c>
      <c r="L275" t="s">
        <v>20</v>
      </c>
      <c r="M275" t="s">
        <v>31</v>
      </c>
      <c r="N275" t="s">
        <v>22</v>
      </c>
      <c r="O275" t="s">
        <v>36</v>
      </c>
      <c r="P275">
        <v>2.0699999999999998</v>
      </c>
      <c r="Q275" s="2" t="b">
        <f>FALSE()</f>
        <v>0</v>
      </c>
      <c r="R275">
        <v>0</v>
      </c>
    </row>
    <row r="276" spans="1:18" x14ac:dyDescent="0.25">
      <c r="A276">
        <v>200275</v>
      </c>
      <c r="B276">
        <v>51699</v>
      </c>
      <c r="C276" t="s">
        <v>18</v>
      </c>
      <c r="D276">
        <v>1662.21</v>
      </c>
      <c r="E276">
        <v>3269</v>
      </c>
      <c r="F276">
        <v>2</v>
      </c>
      <c r="G276">
        <v>3</v>
      </c>
      <c r="H276">
        <v>0</v>
      </c>
      <c r="I276" t="s">
        <v>33</v>
      </c>
      <c r="J276">
        <v>0</v>
      </c>
      <c r="K276">
        <v>55</v>
      </c>
      <c r="L276" t="s">
        <v>24</v>
      </c>
      <c r="M276" t="s">
        <v>25</v>
      </c>
      <c r="N276" t="s">
        <v>30</v>
      </c>
      <c r="O276" t="s">
        <v>27</v>
      </c>
      <c r="P276">
        <v>3.38</v>
      </c>
      <c r="Q276" s="2" t="b">
        <f>FALSE()</f>
        <v>0</v>
      </c>
      <c r="R276">
        <v>0</v>
      </c>
    </row>
    <row r="277" spans="1:18" x14ac:dyDescent="0.25">
      <c r="A277">
        <v>200276</v>
      </c>
      <c r="B277">
        <v>54101</v>
      </c>
      <c r="C277" t="s">
        <v>34</v>
      </c>
      <c r="D277">
        <v>485.99</v>
      </c>
      <c r="E277">
        <v>1332</v>
      </c>
      <c r="F277">
        <v>1</v>
      </c>
      <c r="G277">
        <v>6</v>
      </c>
      <c r="H277">
        <v>0</v>
      </c>
      <c r="I277" t="s">
        <v>33</v>
      </c>
      <c r="J277">
        <v>0</v>
      </c>
      <c r="K277">
        <v>26</v>
      </c>
      <c r="L277" t="s">
        <v>24</v>
      </c>
      <c r="M277" t="s">
        <v>25</v>
      </c>
      <c r="N277" t="s">
        <v>30</v>
      </c>
      <c r="O277" t="s">
        <v>27</v>
      </c>
      <c r="P277">
        <v>4.74</v>
      </c>
      <c r="Q277" s="2" t="b">
        <f>FALSE()</f>
        <v>0</v>
      </c>
      <c r="R277">
        <v>0</v>
      </c>
    </row>
    <row r="278" spans="1:18" x14ac:dyDescent="0.25">
      <c r="A278">
        <v>200277</v>
      </c>
      <c r="B278">
        <v>52972</v>
      </c>
      <c r="C278" t="s">
        <v>34</v>
      </c>
      <c r="D278">
        <v>3085.89</v>
      </c>
      <c r="E278">
        <v>796</v>
      </c>
      <c r="F278">
        <v>1</v>
      </c>
      <c r="G278">
        <v>1</v>
      </c>
      <c r="H278">
        <v>0</v>
      </c>
      <c r="I278" t="s">
        <v>33</v>
      </c>
      <c r="J278">
        <v>0</v>
      </c>
      <c r="K278">
        <v>38</v>
      </c>
      <c r="L278" t="s">
        <v>20</v>
      </c>
      <c r="M278" t="s">
        <v>37</v>
      </c>
      <c r="N278" t="s">
        <v>22</v>
      </c>
      <c r="O278" t="s">
        <v>27</v>
      </c>
      <c r="P278">
        <v>1.54</v>
      </c>
      <c r="Q278" s="2" t="b">
        <f>FALSE()</f>
        <v>0</v>
      </c>
      <c r="R278">
        <v>0</v>
      </c>
    </row>
    <row r="279" spans="1:18" x14ac:dyDescent="0.25">
      <c r="A279">
        <v>200278</v>
      </c>
      <c r="B279">
        <v>55881</v>
      </c>
      <c r="C279" t="s">
        <v>18</v>
      </c>
      <c r="D279">
        <v>5004.45</v>
      </c>
      <c r="E279">
        <v>939</v>
      </c>
      <c r="F279">
        <v>2</v>
      </c>
      <c r="G279">
        <v>3</v>
      </c>
      <c r="H279">
        <v>0</v>
      </c>
      <c r="I279" t="s">
        <v>19</v>
      </c>
      <c r="J279">
        <v>0</v>
      </c>
      <c r="K279">
        <v>39</v>
      </c>
      <c r="L279" t="s">
        <v>24</v>
      </c>
      <c r="M279" t="s">
        <v>29</v>
      </c>
      <c r="N279" t="s">
        <v>30</v>
      </c>
      <c r="O279" t="s">
        <v>27</v>
      </c>
      <c r="P279">
        <v>0.99</v>
      </c>
      <c r="Q279" s="2" t="b">
        <f>FALSE()</f>
        <v>0</v>
      </c>
      <c r="R279">
        <v>1</v>
      </c>
    </row>
    <row r="280" spans="1:18" x14ac:dyDescent="0.25">
      <c r="A280">
        <v>200279</v>
      </c>
      <c r="B280">
        <v>54924</v>
      </c>
      <c r="C280" t="s">
        <v>28</v>
      </c>
      <c r="D280">
        <v>4660.2</v>
      </c>
      <c r="E280">
        <v>1765</v>
      </c>
      <c r="F280">
        <v>1</v>
      </c>
      <c r="G280">
        <v>8</v>
      </c>
      <c r="H280">
        <v>0</v>
      </c>
      <c r="I280" t="s">
        <v>33</v>
      </c>
      <c r="J280">
        <v>0</v>
      </c>
      <c r="K280">
        <v>30</v>
      </c>
      <c r="L280" t="s">
        <v>20</v>
      </c>
      <c r="M280" t="s">
        <v>21</v>
      </c>
      <c r="N280" t="s">
        <v>26</v>
      </c>
      <c r="O280" t="s">
        <v>36</v>
      </c>
      <c r="P280">
        <v>3.03</v>
      </c>
      <c r="Q280" s="2" t="b">
        <f>FALSE()</f>
        <v>0</v>
      </c>
      <c r="R280">
        <v>1</v>
      </c>
    </row>
    <row r="281" spans="1:18" x14ac:dyDescent="0.25">
      <c r="A281">
        <v>200280</v>
      </c>
      <c r="B281">
        <v>55055</v>
      </c>
      <c r="C281" t="s">
        <v>34</v>
      </c>
      <c r="D281">
        <v>2151.9899999999998</v>
      </c>
      <c r="E281">
        <v>1334</v>
      </c>
      <c r="F281">
        <v>1</v>
      </c>
      <c r="G281">
        <v>5</v>
      </c>
      <c r="H281">
        <v>0</v>
      </c>
      <c r="I281" t="s">
        <v>19</v>
      </c>
      <c r="J281">
        <v>0</v>
      </c>
      <c r="K281">
        <v>71</v>
      </c>
      <c r="L281" t="s">
        <v>20</v>
      </c>
      <c r="M281" t="s">
        <v>21</v>
      </c>
      <c r="N281" t="s">
        <v>22</v>
      </c>
      <c r="O281" t="s">
        <v>27</v>
      </c>
      <c r="P281">
        <v>2.72</v>
      </c>
      <c r="Q281" s="2" t="b">
        <f>FALSE()</f>
        <v>0</v>
      </c>
      <c r="R281">
        <v>0</v>
      </c>
    </row>
    <row r="282" spans="1:18" x14ac:dyDescent="0.25">
      <c r="A282">
        <v>200281</v>
      </c>
      <c r="B282">
        <v>55679</v>
      </c>
      <c r="C282" t="s">
        <v>18</v>
      </c>
      <c r="D282">
        <v>2565.6</v>
      </c>
      <c r="E282">
        <v>3109</v>
      </c>
      <c r="F282">
        <v>0</v>
      </c>
      <c r="G282">
        <v>4</v>
      </c>
      <c r="H282">
        <v>0</v>
      </c>
      <c r="I282" t="s">
        <v>33</v>
      </c>
      <c r="J282">
        <v>0</v>
      </c>
      <c r="K282">
        <v>56</v>
      </c>
      <c r="L282" t="s">
        <v>24</v>
      </c>
      <c r="M282" t="s">
        <v>37</v>
      </c>
      <c r="N282" t="s">
        <v>26</v>
      </c>
      <c r="O282" t="s">
        <v>36</v>
      </c>
      <c r="P282">
        <v>1.88</v>
      </c>
      <c r="Q282" s="2" t="b">
        <f>FALSE()</f>
        <v>0</v>
      </c>
      <c r="R282">
        <v>0</v>
      </c>
    </row>
    <row r="283" spans="1:18" x14ac:dyDescent="0.25">
      <c r="A283">
        <v>200282</v>
      </c>
      <c r="B283">
        <v>50889</v>
      </c>
      <c r="C283" t="s">
        <v>18</v>
      </c>
      <c r="D283">
        <v>1535.02</v>
      </c>
      <c r="E283">
        <v>2289</v>
      </c>
      <c r="F283">
        <v>1</v>
      </c>
      <c r="G283">
        <v>4</v>
      </c>
      <c r="H283">
        <v>0</v>
      </c>
      <c r="I283" t="s">
        <v>19</v>
      </c>
      <c r="J283">
        <v>0</v>
      </c>
      <c r="K283">
        <v>36</v>
      </c>
      <c r="L283" t="s">
        <v>24</v>
      </c>
      <c r="M283" t="s">
        <v>21</v>
      </c>
      <c r="N283" t="s">
        <v>26</v>
      </c>
      <c r="O283" t="s">
        <v>27</v>
      </c>
      <c r="P283">
        <v>1.45</v>
      </c>
      <c r="Q283" s="2" t="b">
        <f>FALSE()</f>
        <v>0</v>
      </c>
      <c r="R283">
        <v>0</v>
      </c>
    </row>
    <row r="284" spans="1:18" x14ac:dyDescent="0.25">
      <c r="A284">
        <v>200283</v>
      </c>
      <c r="B284">
        <v>53375</v>
      </c>
      <c r="C284" t="s">
        <v>34</v>
      </c>
      <c r="D284">
        <v>2194.4499999999998</v>
      </c>
      <c r="E284">
        <v>2349</v>
      </c>
      <c r="F284">
        <v>2</v>
      </c>
      <c r="G284">
        <v>4</v>
      </c>
      <c r="H284">
        <v>0</v>
      </c>
      <c r="I284" t="s">
        <v>33</v>
      </c>
      <c r="J284">
        <v>0</v>
      </c>
      <c r="K284">
        <v>79</v>
      </c>
      <c r="L284" t="s">
        <v>24</v>
      </c>
      <c r="M284" t="s">
        <v>21</v>
      </c>
      <c r="N284" t="s">
        <v>30</v>
      </c>
      <c r="O284" t="s">
        <v>36</v>
      </c>
      <c r="P284">
        <v>1.42</v>
      </c>
      <c r="Q284" s="2" t="b">
        <f>FALSE()</f>
        <v>0</v>
      </c>
      <c r="R284">
        <v>0</v>
      </c>
    </row>
    <row r="285" spans="1:18" x14ac:dyDescent="0.25">
      <c r="A285">
        <v>200284</v>
      </c>
      <c r="B285">
        <v>55010</v>
      </c>
      <c r="C285" t="s">
        <v>34</v>
      </c>
      <c r="D285">
        <v>4269.53</v>
      </c>
      <c r="E285">
        <v>2546</v>
      </c>
      <c r="F285">
        <v>2</v>
      </c>
      <c r="G285">
        <v>3</v>
      </c>
      <c r="H285">
        <v>0</v>
      </c>
      <c r="I285" t="s">
        <v>19</v>
      </c>
      <c r="J285">
        <v>0</v>
      </c>
      <c r="K285">
        <v>74</v>
      </c>
      <c r="L285" t="s">
        <v>24</v>
      </c>
      <c r="M285" t="s">
        <v>25</v>
      </c>
      <c r="N285" t="s">
        <v>30</v>
      </c>
      <c r="O285" t="s">
        <v>36</v>
      </c>
      <c r="P285">
        <v>0.02</v>
      </c>
      <c r="Q285" s="2" t="b">
        <f>FALSE()</f>
        <v>0</v>
      </c>
      <c r="R285">
        <v>1</v>
      </c>
    </row>
    <row r="286" spans="1:18" x14ac:dyDescent="0.25">
      <c r="A286">
        <v>200285</v>
      </c>
      <c r="B286">
        <v>50963</v>
      </c>
      <c r="C286" t="s">
        <v>28</v>
      </c>
      <c r="D286">
        <v>1314.11</v>
      </c>
      <c r="E286">
        <v>2972</v>
      </c>
      <c r="F286">
        <v>2</v>
      </c>
      <c r="G286">
        <v>4</v>
      </c>
      <c r="H286">
        <v>0</v>
      </c>
      <c r="I286" t="s">
        <v>19</v>
      </c>
      <c r="J286">
        <v>0</v>
      </c>
      <c r="K286">
        <v>60</v>
      </c>
      <c r="L286" t="s">
        <v>24</v>
      </c>
      <c r="M286" t="s">
        <v>25</v>
      </c>
      <c r="N286" t="s">
        <v>22</v>
      </c>
      <c r="O286" t="s">
        <v>27</v>
      </c>
      <c r="P286">
        <v>5.03</v>
      </c>
      <c r="Q286" s="2" t="b">
        <f>FALSE()</f>
        <v>0</v>
      </c>
      <c r="R286">
        <v>0</v>
      </c>
    </row>
    <row r="287" spans="1:18" x14ac:dyDescent="0.25">
      <c r="A287">
        <v>200286</v>
      </c>
      <c r="B287">
        <v>53321</v>
      </c>
      <c r="C287" t="s">
        <v>18</v>
      </c>
      <c r="D287">
        <v>743.81</v>
      </c>
      <c r="E287">
        <v>3402</v>
      </c>
      <c r="F287">
        <v>2</v>
      </c>
      <c r="G287">
        <v>5</v>
      </c>
      <c r="H287">
        <v>0</v>
      </c>
      <c r="I287" t="s">
        <v>33</v>
      </c>
      <c r="J287">
        <v>0</v>
      </c>
      <c r="K287">
        <v>61</v>
      </c>
      <c r="L287" t="s">
        <v>24</v>
      </c>
      <c r="M287" t="s">
        <v>29</v>
      </c>
      <c r="N287" t="s">
        <v>30</v>
      </c>
      <c r="O287" t="s">
        <v>36</v>
      </c>
      <c r="P287">
        <v>0.78</v>
      </c>
      <c r="Q287" s="2" t="b">
        <f>FALSE()</f>
        <v>0</v>
      </c>
      <c r="R287">
        <v>0</v>
      </c>
    </row>
    <row r="288" spans="1:18" x14ac:dyDescent="0.25">
      <c r="A288">
        <v>200287</v>
      </c>
      <c r="B288">
        <v>51822</v>
      </c>
      <c r="C288" t="s">
        <v>18</v>
      </c>
      <c r="D288">
        <v>1961.98</v>
      </c>
      <c r="E288">
        <v>1072</v>
      </c>
      <c r="F288">
        <v>0</v>
      </c>
      <c r="G288">
        <v>4</v>
      </c>
      <c r="H288">
        <v>0</v>
      </c>
      <c r="I288" t="s">
        <v>33</v>
      </c>
      <c r="J288">
        <v>0</v>
      </c>
      <c r="K288">
        <v>83</v>
      </c>
      <c r="L288" t="s">
        <v>24</v>
      </c>
      <c r="M288" t="s">
        <v>29</v>
      </c>
      <c r="N288" t="s">
        <v>22</v>
      </c>
      <c r="O288" t="s">
        <v>36</v>
      </c>
      <c r="P288">
        <v>4.09</v>
      </c>
      <c r="Q288" s="2" t="b">
        <f>FALSE()</f>
        <v>0</v>
      </c>
      <c r="R288">
        <v>0</v>
      </c>
    </row>
    <row r="289" spans="1:18" x14ac:dyDescent="0.25">
      <c r="A289">
        <v>200288</v>
      </c>
      <c r="B289">
        <v>55939</v>
      </c>
      <c r="C289" t="s">
        <v>18</v>
      </c>
      <c r="D289">
        <v>2024.69</v>
      </c>
      <c r="E289">
        <v>1120</v>
      </c>
      <c r="F289">
        <v>1</v>
      </c>
      <c r="G289">
        <v>7</v>
      </c>
      <c r="H289">
        <v>1</v>
      </c>
      <c r="I289" t="s">
        <v>33</v>
      </c>
      <c r="J289">
        <v>0</v>
      </c>
      <c r="K289">
        <v>61</v>
      </c>
      <c r="L289" t="s">
        <v>24</v>
      </c>
      <c r="M289" t="s">
        <v>29</v>
      </c>
      <c r="N289" t="s">
        <v>30</v>
      </c>
      <c r="O289" t="s">
        <v>36</v>
      </c>
      <c r="P289">
        <v>4.8600000000000003</v>
      </c>
      <c r="Q289" s="2" t="b">
        <f>FALSE()</f>
        <v>0</v>
      </c>
      <c r="R289">
        <v>1</v>
      </c>
    </row>
    <row r="290" spans="1:18" x14ac:dyDescent="0.25">
      <c r="A290">
        <v>200289</v>
      </c>
      <c r="B290">
        <v>51442</v>
      </c>
      <c r="C290" t="s">
        <v>18</v>
      </c>
      <c r="D290">
        <v>2993.28</v>
      </c>
      <c r="E290">
        <v>3000</v>
      </c>
      <c r="F290">
        <v>0</v>
      </c>
      <c r="G290">
        <v>5</v>
      </c>
      <c r="H290">
        <v>1</v>
      </c>
      <c r="I290" t="s">
        <v>19</v>
      </c>
      <c r="J290">
        <v>0</v>
      </c>
      <c r="K290">
        <v>47</v>
      </c>
      <c r="L290" t="s">
        <v>24</v>
      </c>
      <c r="M290" t="s">
        <v>37</v>
      </c>
      <c r="N290" t="s">
        <v>22</v>
      </c>
      <c r="O290" t="s">
        <v>36</v>
      </c>
      <c r="P290">
        <v>1.22</v>
      </c>
      <c r="Q290" s="2" t="b">
        <f>FALSE()</f>
        <v>0</v>
      </c>
      <c r="R290">
        <v>0</v>
      </c>
    </row>
    <row r="291" spans="1:18" x14ac:dyDescent="0.25">
      <c r="A291">
        <v>200290</v>
      </c>
      <c r="B291">
        <v>52422</v>
      </c>
      <c r="C291" t="s">
        <v>34</v>
      </c>
      <c r="D291">
        <v>4720.53</v>
      </c>
      <c r="E291">
        <v>178</v>
      </c>
      <c r="F291">
        <v>0</v>
      </c>
      <c r="G291">
        <v>3</v>
      </c>
      <c r="H291">
        <v>0</v>
      </c>
      <c r="I291" t="s">
        <v>33</v>
      </c>
      <c r="J291">
        <v>0</v>
      </c>
      <c r="K291">
        <v>63</v>
      </c>
      <c r="L291" t="s">
        <v>24</v>
      </c>
      <c r="M291" t="s">
        <v>25</v>
      </c>
      <c r="N291" t="s">
        <v>22</v>
      </c>
      <c r="O291" t="s">
        <v>36</v>
      </c>
      <c r="P291">
        <v>0.28000000000000003</v>
      </c>
      <c r="Q291" s="2" t="b">
        <f>FALSE()</f>
        <v>0</v>
      </c>
      <c r="R291">
        <v>1</v>
      </c>
    </row>
    <row r="292" spans="1:18" x14ac:dyDescent="0.25">
      <c r="A292">
        <v>200291</v>
      </c>
      <c r="B292">
        <v>53923</v>
      </c>
      <c r="C292" t="s">
        <v>18</v>
      </c>
      <c r="D292">
        <v>3831.21</v>
      </c>
      <c r="E292">
        <v>2035</v>
      </c>
      <c r="F292">
        <v>1</v>
      </c>
      <c r="G292">
        <v>1</v>
      </c>
      <c r="H292">
        <v>0</v>
      </c>
      <c r="I292" t="s">
        <v>33</v>
      </c>
      <c r="J292">
        <v>0</v>
      </c>
      <c r="K292">
        <v>59</v>
      </c>
      <c r="L292" t="s">
        <v>20</v>
      </c>
      <c r="M292" t="s">
        <v>35</v>
      </c>
      <c r="N292" t="s">
        <v>22</v>
      </c>
      <c r="O292" t="s">
        <v>27</v>
      </c>
      <c r="P292">
        <v>16.02</v>
      </c>
      <c r="Q292" s="2" t="b">
        <f>FALSE()</f>
        <v>0</v>
      </c>
      <c r="R292">
        <v>1</v>
      </c>
    </row>
    <row r="293" spans="1:18" x14ac:dyDescent="0.25">
      <c r="A293">
        <v>200292</v>
      </c>
      <c r="B293">
        <v>55053</v>
      </c>
      <c r="C293" t="s">
        <v>34</v>
      </c>
      <c r="D293">
        <v>576.13</v>
      </c>
      <c r="E293">
        <v>3466</v>
      </c>
      <c r="F293">
        <v>4</v>
      </c>
      <c r="G293">
        <v>8</v>
      </c>
      <c r="H293">
        <v>0</v>
      </c>
      <c r="I293" t="s">
        <v>33</v>
      </c>
      <c r="J293">
        <v>1</v>
      </c>
      <c r="K293">
        <v>57</v>
      </c>
      <c r="L293" t="s">
        <v>24</v>
      </c>
      <c r="M293" t="s">
        <v>35</v>
      </c>
      <c r="N293" t="s">
        <v>22</v>
      </c>
      <c r="O293" t="s">
        <v>36</v>
      </c>
      <c r="P293">
        <v>2.35</v>
      </c>
      <c r="Q293" s="2" t="b">
        <f>FALSE()</f>
        <v>0</v>
      </c>
      <c r="R293">
        <v>1</v>
      </c>
    </row>
    <row r="294" spans="1:18" x14ac:dyDescent="0.25">
      <c r="A294">
        <v>200293</v>
      </c>
      <c r="B294">
        <v>54673</v>
      </c>
      <c r="C294" t="s">
        <v>18</v>
      </c>
      <c r="D294">
        <v>2808.46</v>
      </c>
      <c r="E294">
        <v>3277</v>
      </c>
      <c r="F294">
        <v>1</v>
      </c>
      <c r="G294">
        <v>4</v>
      </c>
      <c r="H294">
        <v>0</v>
      </c>
      <c r="I294" t="s">
        <v>19</v>
      </c>
      <c r="J294">
        <v>0</v>
      </c>
      <c r="K294">
        <v>22</v>
      </c>
      <c r="L294" t="s">
        <v>20</v>
      </c>
      <c r="M294" t="s">
        <v>21</v>
      </c>
      <c r="N294" t="s">
        <v>30</v>
      </c>
      <c r="O294" t="s">
        <v>27</v>
      </c>
      <c r="P294">
        <v>0.37</v>
      </c>
      <c r="Q294" s="2" t="b">
        <f>FALSE()</f>
        <v>0</v>
      </c>
      <c r="R294">
        <v>0</v>
      </c>
    </row>
    <row r="295" spans="1:18" x14ac:dyDescent="0.25">
      <c r="A295">
        <v>200294</v>
      </c>
      <c r="B295">
        <v>50924</v>
      </c>
      <c r="C295" t="s">
        <v>18</v>
      </c>
      <c r="D295">
        <v>1754.24</v>
      </c>
      <c r="E295">
        <v>527</v>
      </c>
      <c r="F295">
        <v>1</v>
      </c>
      <c r="G295">
        <v>3</v>
      </c>
      <c r="H295">
        <v>0</v>
      </c>
      <c r="I295" t="s">
        <v>19</v>
      </c>
      <c r="J295">
        <v>0</v>
      </c>
      <c r="K295">
        <v>65</v>
      </c>
      <c r="L295" t="s">
        <v>20</v>
      </c>
      <c r="M295" t="s">
        <v>21</v>
      </c>
      <c r="N295" t="s">
        <v>26</v>
      </c>
      <c r="O295" t="s">
        <v>36</v>
      </c>
      <c r="P295">
        <v>1.36</v>
      </c>
      <c r="Q295" s="2" t="b">
        <f>FALSE()</f>
        <v>0</v>
      </c>
      <c r="R295">
        <v>0</v>
      </c>
    </row>
    <row r="296" spans="1:18" x14ac:dyDescent="0.25">
      <c r="A296">
        <v>200295</v>
      </c>
      <c r="B296">
        <v>55398</v>
      </c>
      <c r="C296" t="s">
        <v>28</v>
      </c>
      <c r="D296">
        <v>1464.5</v>
      </c>
      <c r="E296">
        <v>3075</v>
      </c>
      <c r="F296">
        <v>0</v>
      </c>
      <c r="G296">
        <v>9</v>
      </c>
      <c r="H296">
        <v>0</v>
      </c>
      <c r="I296" t="s">
        <v>19</v>
      </c>
      <c r="J296">
        <v>0</v>
      </c>
      <c r="K296">
        <v>79</v>
      </c>
      <c r="L296" t="s">
        <v>20</v>
      </c>
      <c r="M296" t="s">
        <v>37</v>
      </c>
      <c r="N296" t="s">
        <v>30</v>
      </c>
      <c r="O296" t="s">
        <v>27</v>
      </c>
      <c r="P296">
        <v>2.25</v>
      </c>
      <c r="Q296" s="2" t="b">
        <f>FALSE()</f>
        <v>0</v>
      </c>
      <c r="R296">
        <v>1</v>
      </c>
    </row>
    <row r="297" spans="1:18" x14ac:dyDescent="0.25">
      <c r="A297">
        <v>200296</v>
      </c>
      <c r="B297">
        <v>51642</v>
      </c>
      <c r="C297" t="s">
        <v>18</v>
      </c>
      <c r="D297">
        <v>685.1</v>
      </c>
      <c r="E297">
        <v>1538</v>
      </c>
      <c r="F297">
        <v>1</v>
      </c>
      <c r="G297">
        <v>5</v>
      </c>
      <c r="H297">
        <v>1</v>
      </c>
      <c r="I297" t="s">
        <v>19</v>
      </c>
      <c r="J297">
        <v>0</v>
      </c>
      <c r="K297">
        <v>28</v>
      </c>
      <c r="L297" t="s">
        <v>20</v>
      </c>
      <c r="M297" t="s">
        <v>37</v>
      </c>
      <c r="N297" t="s">
        <v>22</v>
      </c>
      <c r="O297" t="s">
        <v>27</v>
      </c>
      <c r="P297">
        <v>14.9</v>
      </c>
      <c r="Q297" s="2" t="b">
        <f>FALSE()</f>
        <v>0</v>
      </c>
      <c r="R297">
        <v>0</v>
      </c>
    </row>
    <row r="298" spans="1:18" x14ac:dyDescent="0.25">
      <c r="A298">
        <v>200297</v>
      </c>
      <c r="B298">
        <v>53451</v>
      </c>
      <c r="C298" t="s">
        <v>28</v>
      </c>
      <c r="D298">
        <v>6748.95</v>
      </c>
      <c r="E298">
        <v>432</v>
      </c>
      <c r="F298">
        <v>2</v>
      </c>
      <c r="G298">
        <v>4</v>
      </c>
      <c r="H298">
        <v>0</v>
      </c>
      <c r="I298" t="s">
        <v>33</v>
      </c>
      <c r="J298">
        <v>0</v>
      </c>
      <c r="K298">
        <v>19</v>
      </c>
      <c r="L298" t="s">
        <v>24</v>
      </c>
      <c r="M298" t="s">
        <v>31</v>
      </c>
      <c r="N298" t="s">
        <v>22</v>
      </c>
      <c r="O298" t="s">
        <v>36</v>
      </c>
      <c r="P298">
        <v>2.83</v>
      </c>
      <c r="Q298" s="2" t="b">
        <f>FALSE()</f>
        <v>0</v>
      </c>
      <c r="R298">
        <v>1</v>
      </c>
    </row>
    <row r="299" spans="1:18" x14ac:dyDescent="0.25">
      <c r="A299">
        <v>200298</v>
      </c>
      <c r="B299">
        <v>54415</v>
      </c>
      <c r="C299" t="s">
        <v>18</v>
      </c>
      <c r="D299">
        <v>2100.79</v>
      </c>
      <c r="E299">
        <v>3221</v>
      </c>
      <c r="F299">
        <v>0</v>
      </c>
      <c r="G299">
        <v>5</v>
      </c>
      <c r="H299">
        <v>1</v>
      </c>
      <c r="I299" t="s">
        <v>33</v>
      </c>
      <c r="J299">
        <v>0</v>
      </c>
      <c r="K299">
        <v>79</v>
      </c>
      <c r="L299" t="s">
        <v>20</v>
      </c>
      <c r="M299" t="s">
        <v>29</v>
      </c>
      <c r="N299" t="s">
        <v>26</v>
      </c>
      <c r="O299" t="s">
        <v>36</v>
      </c>
      <c r="P299">
        <v>0.16</v>
      </c>
      <c r="Q299" s="2" t="b">
        <f>FALSE()</f>
        <v>0</v>
      </c>
      <c r="R299">
        <v>0</v>
      </c>
    </row>
    <row r="300" spans="1:18" x14ac:dyDescent="0.25">
      <c r="A300">
        <v>200299</v>
      </c>
      <c r="B300">
        <v>55202</v>
      </c>
      <c r="C300" t="s">
        <v>34</v>
      </c>
      <c r="D300">
        <v>707.56</v>
      </c>
      <c r="E300">
        <v>2186</v>
      </c>
      <c r="F300">
        <v>2</v>
      </c>
      <c r="G300">
        <v>2</v>
      </c>
      <c r="H300">
        <v>0</v>
      </c>
      <c r="I300" t="s">
        <v>33</v>
      </c>
      <c r="J300">
        <v>0</v>
      </c>
      <c r="K300">
        <v>53</v>
      </c>
      <c r="L300" t="s">
        <v>24</v>
      </c>
      <c r="M300" t="s">
        <v>37</v>
      </c>
      <c r="N300" t="s">
        <v>22</v>
      </c>
      <c r="O300" t="s">
        <v>23</v>
      </c>
      <c r="P300">
        <v>6.07</v>
      </c>
      <c r="Q300" s="2" t="b">
        <f>FALSE()</f>
        <v>0</v>
      </c>
      <c r="R300">
        <v>0</v>
      </c>
    </row>
    <row r="301" spans="1:18" x14ac:dyDescent="0.25">
      <c r="A301">
        <v>200300</v>
      </c>
      <c r="B301">
        <v>51088</v>
      </c>
      <c r="C301" t="s">
        <v>34</v>
      </c>
      <c r="D301">
        <v>4705.1099999999997</v>
      </c>
      <c r="E301">
        <v>632</v>
      </c>
      <c r="F301">
        <v>2</v>
      </c>
      <c r="G301">
        <v>5</v>
      </c>
      <c r="H301">
        <v>0</v>
      </c>
      <c r="I301" t="s">
        <v>32</v>
      </c>
      <c r="J301">
        <v>0</v>
      </c>
      <c r="K301">
        <v>76</v>
      </c>
      <c r="L301" t="s">
        <v>24</v>
      </c>
      <c r="M301" t="s">
        <v>25</v>
      </c>
      <c r="N301" t="s">
        <v>26</v>
      </c>
      <c r="O301" t="s">
        <v>27</v>
      </c>
      <c r="P301">
        <v>0.16</v>
      </c>
      <c r="Q301" s="2" t="b">
        <f>FALSE()</f>
        <v>0</v>
      </c>
      <c r="R301">
        <v>1</v>
      </c>
    </row>
    <row r="302" spans="1:18" x14ac:dyDescent="0.25">
      <c r="A302">
        <v>200301</v>
      </c>
      <c r="B302">
        <v>51903</v>
      </c>
      <c r="C302" t="s">
        <v>34</v>
      </c>
      <c r="D302">
        <v>1894.81</v>
      </c>
      <c r="E302">
        <v>691</v>
      </c>
      <c r="F302">
        <v>1</v>
      </c>
      <c r="G302">
        <v>4</v>
      </c>
      <c r="H302">
        <v>0</v>
      </c>
      <c r="I302" t="s">
        <v>33</v>
      </c>
      <c r="J302">
        <v>0</v>
      </c>
      <c r="K302">
        <v>66</v>
      </c>
      <c r="L302" t="s">
        <v>20</v>
      </c>
      <c r="M302" t="s">
        <v>37</v>
      </c>
      <c r="N302" t="s">
        <v>30</v>
      </c>
      <c r="O302" t="s">
        <v>27</v>
      </c>
      <c r="P302">
        <v>1.22</v>
      </c>
      <c r="Q302" s="2" t="b">
        <f>FALSE()</f>
        <v>0</v>
      </c>
      <c r="R302">
        <v>0</v>
      </c>
    </row>
    <row r="303" spans="1:18" x14ac:dyDescent="0.25">
      <c r="A303">
        <v>200302</v>
      </c>
      <c r="B303">
        <v>50239</v>
      </c>
      <c r="C303" t="s">
        <v>34</v>
      </c>
      <c r="D303">
        <v>1807.65</v>
      </c>
      <c r="E303">
        <v>420</v>
      </c>
      <c r="F303">
        <v>1</v>
      </c>
      <c r="G303">
        <v>7</v>
      </c>
      <c r="H303">
        <v>0</v>
      </c>
      <c r="I303" t="s">
        <v>33</v>
      </c>
      <c r="J303">
        <v>0</v>
      </c>
      <c r="K303">
        <v>56</v>
      </c>
      <c r="L303" t="s">
        <v>24</v>
      </c>
      <c r="M303" t="s">
        <v>25</v>
      </c>
      <c r="N303" t="s">
        <v>22</v>
      </c>
      <c r="O303" t="s">
        <v>23</v>
      </c>
      <c r="P303">
        <v>4.6100000000000003</v>
      </c>
      <c r="Q303" s="2" t="b">
        <f>FALSE()</f>
        <v>0</v>
      </c>
      <c r="R303">
        <v>1</v>
      </c>
    </row>
    <row r="304" spans="1:18" x14ac:dyDescent="0.25">
      <c r="A304">
        <v>200303</v>
      </c>
      <c r="B304">
        <v>52452</v>
      </c>
      <c r="C304" t="s">
        <v>28</v>
      </c>
      <c r="D304">
        <v>4072.46</v>
      </c>
      <c r="E304">
        <v>1339</v>
      </c>
      <c r="F304">
        <v>1</v>
      </c>
      <c r="G304">
        <v>5</v>
      </c>
      <c r="H304">
        <v>0</v>
      </c>
      <c r="I304" t="s">
        <v>33</v>
      </c>
      <c r="J304">
        <v>0</v>
      </c>
      <c r="K304">
        <v>54</v>
      </c>
      <c r="L304" t="s">
        <v>20</v>
      </c>
      <c r="M304" t="s">
        <v>31</v>
      </c>
      <c r="N304" t="s">
        <v>26</v>
      </c>
      <c r="O304" t="s">
        <v>36</v>
      </c>
      <c r="P304">
        <v>0.28999999999999998</v>
      </c>
      <c r="Q304" s="2" t="b">
        <f>FALSE()</f>
        <v>0</v>
      </c>
      <c r="R304">
        <v>1</v>
      </c>
    </row>
    <row r="305" spans="1:18" x14ac:dyDescent="0.25">
      <c r="A305">
        <v>200304</v>
      </c>
      <c r="B305">
        <v>54907</v>
      </c>
      <c r="C305" t="s">
        <v>18</v>
      </c>
      <c r="D305">
        <v>672.6</v>
      </c>
      <c r="E305">
        <v>1401</v>
      </c>
      <c r="F305">
        <v>1</v>
      </c>
      <c r="G305">
        <v>0</v>
      </c>
      <c r="H305">
        <v>0</v>
      </c>
      <c r="I305" t="s">
        <v>33</v>
      </c>
      <c r="J305">
        <v>1</v>
      </c>
      <c r="K305">
        <v>43</v>
      </c>
      <c r="L305" t="s">
        <v>20</v>
      </c>
      <c r="M305" t="s">
        <v>37</v>
      </c>
      <c r="N305" t="s">
        <v>22</v>
      </c>
      <c r="O305" t="s">
        <v>36</v>
      </c>
      <c r="P305">
        <v>5.7</v>
      </c>
      <c r="Q305" s="2" t="b">
        <f>FALSE()</f>
        <v>0</v>
      </c>
      <c r="R305">
        <v>0</v>
      </c>
    </row>
    <row r="306" spans="1:18" x14ac:dyDescent="0.25">
      <c r="A306">
        <v>200305</v>
      </c>
      <c r="B306">
        <v>55958</v>
      </c>
      <c r="C306" t="s">
        <v>28</v>
      </c>
      <c r="D306">
        <v>1059.1300000000001</v>
      </c>
      <c r="E306">
        <v>3201</v>
      </c>
      <c r="F306">
        <v>2</v>
      </c>
      <c r="G306">
        <v>2</v>
      </c>
      <c r="H306">
        <v>0</v>
      </c>
      <c r="I306" t="s">
        <v>19</v>
      </c>
      <c r="J306">
        <v>0</v>
      </c>
      <c r="K306">
        <v>40</v>
      </c>
      <c r="L306" t="s">
        <v>24</v>
      </c>
      <c r="M306" t="s">
        <v>29</v>
      </c>
      <c r="N306" t="s">
        <v>22</v>
      </c>
      <c r="O306" t="s">
        <v>27</v>
      </c>
      <c r="P306">
        <v>1.51</v>
      </c>
      <c r="Q306" s="2" t="b">
        <f>FALSE()</f>
        <v>0</v>
      </c>
      <c r="R306">
        <v>0</v>
      </c>
    </row>
    <row r="307" spans="1:18" x14ac:dyDescent="0.25">
      <c r="A307">
        <v>200306</v>
      </c>
      <c r="B307">
        <v>54761</v>
      </c>
      <c r="C307" t="s">
        <v>28</v>
      </c>
      <c r="D307">
        <v>4209.3100000000004</v>
      </c>
      <c r="E307">
        <v>2399</v>
      </c>
      <c r="F307">
        <v>2</v>
      </c>
      <c r="G307">
        <v>7</v>
      </c>
      <c r="H307">
        <v>0</v>
      </c>
      <c r="I307" t="s">
        <v>19</v>
      </c>
      <c r="J307">
        <v>0</v>
      </c>
      <c r="K307">
        <v>25</v>
      </c>
      <c r="L307" t="s">
        <v>38</v>
      </c>
      <c r="M307" t="s">
        <v>25</v>
      </c>
      <c r="N307" t="s">
        <v>30</v>
      </c>
      <c r="O307" t="s">
        <v>23</v>
      </c>
      <c r="P307">
        <v>0.23</v>
      </c>
      <c r="Q307" s="2" t="b">
        <f>FALSE()</f>
        <v>0</v>
      </c>
      <c r="R307">
        <v>1</v>
      </c>
    </row>
    <row r="308" spans="1:18" x14ac:dyDescent="0.25">
      <c r="A308">
        <v>200307</v>
      </c>
      <c r="B308">
        <v>50603</v>
      </c>
      <c r="C308" t="s">
        <v>18</v>
      </c>
      <c r="D308">
        <v>2085.84</v>
      </c>
      <c r="E308">
        <v>1111</v>
      </c>
      <c r="F308">
        <v>1</v>
      </c>
      <c r="G308">
        <v>3</v>
      </c>
      <c r="H308">
        <v>1</v>
      </c>
      <c r="I308" t="s">
        <v>32</v>
      </c>
      <c r="J308">
        <v>0</v>
      </c>
      <c r="K308">
        <v>48</v>
      </c>
      <c r="L308" t="s">
        <v>24</v>
      </c>
      <c r="M308" t="s">
        <v>31</v>
      </c>
      <c r="N308" t="s">
        <v>22</v>
      </c>
      <c r="O308" t="s">
        <v>27</v>
      </c>
      <c r="P308">
        <v>0.72</v>
      </c>
      <c r="Q308" s="2" t="b">
        <f>FALSE()</f>
        <v>0</v>
      </c>
      <c r="R308">
        <v>0</v>
      </c>
    </row>
    <row r="309" spans="1:18" x14ac:dyDescent="0.25">
      <c r="A309">
        <v>200308</v>
      </c>
      <c r="B309">
        <v>54776</v>
      </c>
      <c r="C309" t="s">
        <v>18</v>
      </c>
      <c r="D309">
        <v>7420.44</v>
      </c>
      <c r="E309">
        <v>146</v>
      </c>
      <c r="F309">
        <v>1</v>
      </c>
      <c r="G309">
        <v>3</v>
      </c>
      <c r="H309">
        <v>0</v>
      </c>
      <c r="I309" t="s">
        <v>33</v>
      </c>
      <c r="J309">
        <v>1</v>
      </c>
      <c r="K309">
        <v>79</v>
      </c>
      <c r="L309" t="s">
        <v>20</v>
      </c>
      <c r="M309" t="s">
        <v>21</v>
      </c>
      <c r="N309" t="s">
        <v>22</v>
      </c>
      <c r="O309" t="s">
        <v>36</v>
      </c>
      <c r="P309">
        <v>8.09</v>
      </c>
      <c r="Q309" s="2" t="b">
        <f>TRUE()</f>
        <v>1</v>
      </c>
      <c r="R309">
        <v>1</v>
      </c>
    </row>
    <row r="310" spans="1:18" x14ac:dyDescent="0.25">
      <c r="A310">
        <v>200309</v>
      </c>
      <c r="B310">
        <v>50619</v>
      </c>
      <c r="C310" t="s">
        <v>18</v>
      </c>
      <c r="D310">
        <v>7870.57</v>
      </c>
      <c r="E310">
        <v>1897</v>
      </c>
      <c r="F310">
        <v>2</v>
      </c>
      <c r="G310">
        <v>5</v>
      </c>
      <c r="H310">
        <v>0</v>
      </c>
      <c r="I310" t="s">
        <v>33</v>
      </c>
      <c r="J310">
        <v>0</v>
      </c>
      <c r="K310">
        <v>25</v>
      </c>
      <c r="L310" t="s">
        <v>24</v>
      </c>
      <c r="M310" t="s">
        <v>29</v>
      </c>
      <c r="N310" t="s">
        <v>30</v>
      </c>
      <c r="O310" t="s">
        <v>36</v>
      </c>
      <c r="P310">
        <v>4.59</v>
      </c>
      <c r="Q310" s="2" t="b">
        <f>TRUE()</f>
        <v>1</v>
      </c>
      <c r="R310">
        <v>1</v>
      </c>
    </row>
    <row r="311" spans="1:18" x14ac:dyDescent="0.25">
      <c r="A311">
        <v>200310</v>
      </c>
      <c r="B311">
        <v>50706</v>
      </c>
      <c r="C311" t="s">
        <v>28</v>
      </c>
      <c r="D311">
        <v>2342.13</v>
      </c>
      <c r="E311">
        <v>2447</v>
      </c>
      <c r="F311">
        <v>0</v>
      </c>
      <c r="G311">
        <v>0</v>
      </c>
      <c r="H311">
        <v>0</v>
      </c>
      <c r="I311" t="s">
        <v>19</v>
      </c>
      <c r="J311">
        <v>0</v>
      </c>
      <c r="K311">
        <v>83</v>
      </c>
      <c r="L311" t="s">
        <v>20</v>
      </c>
      <c r="M311" t="s">
        <v>21</v>
      </c>
      <c r="N311" t="s">
        <v>30</v>
      </c>
      <c r="O311" t="s">
        <v>27</v>
      </c>
      <c r="P311">
        <v>3.94</v>
      </c>
      <c r="Q311" s="2" t="b">
        <f>FALSE()</f>
        <v>0</v>
      </c>
      <c r="R311">
        <v>0</v>
      </c>
    </row>
    <row r="312" spans="1:18" x14ac:dyDescent="0.25">
      <c r="A312">
        <v>200311</v>
      </c>
      <c r="B312">
        <v>54062</v>
      </c>
      <c r="C312" t="s">
        <v>34</v>
      </c>
      <c r="D312">
        <v>1480.13</v>
      </c>
      <c r="E312">
        <v>961</v>
      </c>
      <c r="F312">
        <v>2</v>
      </c>
      <c r="G312">
        <v>7</v>
      </c>
      <c r="H312">
        <v>1</v>
      </c>
      <c r="I312" t="s">
        <v>33</v>
      </c>
      <c r="J312">
        <v>0</v>
      </c>
      <c r="K312">
        <v>48</v>
      </c>
      <c r="L312" t="s">
        <v>20</v>
      </c>
      <c r="M312" t="s">
        <v>21</v>
      </c>
      <c r="N312" t="s">
        <v>30</v>
      </c>
      <c r="O312" t="s">
        <v>36</v>
      </c>
      <c r="P312">
        <v>1.38</v>
      </c>
      <c r="Q312" s="2" t="b">
        <f>FALSE()</f>
        <v>0</v>
      </c>
      <c r="R312">
        <v>1</v>
      </c>
    </row>
    <row r="313" spans="1:18" x14ac:dyDescent="0.25">
      <c r="A313">
        <v>200312</v>
      </c>
      <c r="B313">
        <v>53707</v>
      </c>
      <c r="C313" t="s">
        <v>18</v>
      </c>
      <c r="D313">
        <v>2276.0100000000002</v>
      </c>
      <c r="E313">
        <v>1149</v>
      </c>
      <c r="F313">
        <v>0</v>
      </c>
      <c r="G313">
        <v>3</v>
      </c>
      <c r="H313">
        <v>0</v>
      </c>
      <c r="I313" t="s">
        <v>32</v>
      </c>
      <c r="J313">
        <v>0</v>
      </c>
      <c r="K313">
        <v>68</v>
      </c>
      <c r="L313" t="s">
        <v>24</v>
      </c>
      <c r="M313" t="s">
        <v>25</v>
      </c>
      <c r="N313" t="s">
        <v>22</v>
      </c>
      <c r="O313" t="s">
        <v>27</v>
      </c>
      <c r="P313">
        <v>0.47</v>
      </c>
      <c r="Q313" s="2" t="b">
        <f>FALSE()</f>
        <v>0</v>
      </c>
      <c r="R313">
        <v>0</v>
      </c>
    </row>
    <row r="314" spans="1:18" x14ac:dyDescent="0.25">
      <c r="A314">
        <v>200313</v>
      </c>
      <c r="B314">
        <v>54633</v>
      </c>
      <c r="C314" t="s">
        <v>18</v>
      </c>
      <c r="D314">
        <v>1229.2</v>
      </c>
      <c r="E314">
        <v>859</v>
      </c>
      <c r="F314">
        <v>0</v>
      </c>
      <c r="G314">
        <v>5</v>
      </c>
      <c r="H314">
        <v>0</v>
      </c>
      <c r="I314" t="s">
        <v>32</v>
      </c>
      <c r="J314">
        <v>0</v>
      </c>
      <c r="K314">
        <v>46</v>
      </c>
      <c r="L314" t="s">
        <v>24</v>
      </c>
      <c r="M314" t="s">
        <v>37</v>
      </c>
      <c r="N314" t="s">
        <v>22</v>
      </c>
      <c r="O314" t="s">
        <v>36</v>
      </c>
      <c r="P314">
        <v>0</v>
      </c>
      <c r="Q314" s="2" t="b">
        <f>FALSE()</f>
        <v>0</v>
      </c>
      <c r="R314">
        <v>0</v>
      </c>
    </row>
    <row r="315" spans="1:18" x14ac:dyDescent="0.25">
      <c r="A315">
        <v>200314</v>
      </c>
      <c r="B315">
        <v>54190</v>
      </c>
      <c r="C315" t="s">
        <v>18</v>
      </c>
      <c r="D315">
        <v>3303.1</v>
      </c>
      <c r="E315">
        <v>2852</v>
      </c>
      <c r="F315">
        <v>1</v>
      </c>
      <c r="G315">
        <v>5</v>
      </c>
      <c r="H315">
        <v>0</v>
      </c>
      <c r="I315" t="s">
        <v>33</v>
      </c>
      <c r="J315">
        <v>0</v>
      </c>
      <c r="K315">
        <v>33</v>
      </c>
      <c r="L315" t="s">
        <v>24</v>
      </c>
      <c r="M315" t="s">
        <v>25</v>
      </c>
      <c r="N315" t="s">
        <v>30</v>
      </c>
      <c r="O315" t="s">
        <v>36</v>
      </c>
      <c r="P315">
        <v>0.43</v>
      </c>
      <c r="Q315" s="2" t="b">
        <f>FALSE()</f>
        <v>0</v>
      </c>
      <c r="R315">
        <v>0</v>
      </c>
    </row>
    <row r="316" spans="1:18" x14ac:dyDescent="0.25">
      <c r="A316">
        <v>200315</v>
      </c>
      <c r="B316">
        <v>50476</v>
      </c>
      <c r="C316" t="s">
        <v>34</v>
      </c>
      <c r="D316">
        <v>3495.1</v>
      </c>
      <c r="E316">
        <v>183</v>
      </c>
      <c r="F316">
        <v>1</v>
      </c>
      <c r="G316">
        <v>6</v>
      </c>
      <c r="H316">
        <v>0</v>
      </c>
      <c r="I316" t="s">
        <v>33</v>
      </c>
      <c r="J316">
        <v>0</v>
      </c>
      <c r="K316">
        <v>53</v>
      </c>
      <c r="L316" t="s">
        <v>38</v>
      </c>
      <c r="M316" t="s">
        <v>21</v>
      </c>
      <c r="N316" t="s">
        <v>26</v>
      </c>
      <c r="O316" t="s">
        <v>27</v>
      </c>
      <c r="P316">
        <v>2.67</v>
      </c>
      <c r="Q316" s="2" t="b">
        <f>FALSE()</f>
        <v>0</v>
      </c>
      <c r="R316">
        <v>0</v>
      </c>
    </row>
    <row r="317" spans="1:18" x14ac:dyDescent="0.25">
      <c r="A317">
        <v>200316</v>
      </c>
      <c r="B317">
        <v>54737</v>
      </c>
      <c r="C317" t="s">
        <v>34</v>
      </c>
      <c r="D317">
        <v>1148.3599999999999</v>
      </c>
      <c r="E317">
        <v>152</v>
      </c>
      <c r="F317">
        <v>0</v>
      </c>
      <c r="G317">
        <v>3</v>
      </c>
      <c r="H317">
        <v>0</v>
      </c>
      <c r="I317" t="s">
        <v>32</v>
      </c>
      <c r="J317">
        <v>0</v>
      </c>
      <c r="K317">
        <v>30</v>
      </c>
      <c r="L317" t="s">
        <v>24</v>
      </c>
      <c r="M317" t="s">
        <v>21</v>
      </c>
      <c r="N317" t="s">
        <v>22</v>
      </c>
      <c r="O317" t="s">
        <v>36</v>
      </c>
      <c r="P317">
        <v>0.47</v>
      </c>
      <c r="Q317" s="2" t="b">
        <f>FALSE()</f>
        <v>0</v>
      </c>
      <c r="R317">
        <v>0</v>
      </c>
    </row>
    <row r="318" spans="1:18" x14ac:dyDescent="0.25">
      <c r="A318">
        <v>200317</v>
      </c>
      <c r="B318">
        <v>51205</v>
      </c>
      <c r="C318" t="s">
        <v>18</v>
      </c>
      <c r="D318">
        <v>3277.73</v>
      </c>
      <c r="E318">
        <v>3102</v>
      </c>
      <c r="F318">
        <v>1</v>
      </c>
      <c r="G318">
        <v>2</v>
      </c>
      <c r="H318">
        <v>1</v>
      </c>
      <c r="I318" t="s">
        <v>33</v>
      </c>
      <c r="J318">
        <v>1</v>
      </c>
      <c r="K318">
        <v>80</v>
      </c>
      <c r="L318" t="s">
        <v>20</v>
      </c>
      <c r="M318" t="s">
        <v>25</v>
      </c>
      <c r="N318" t="s">
        <v>30</v>
      </c>
      <c r="O318" t="s">
        <v>36</v>
      </c>
      <c r="P318">
        <v>1.75</v>
      </c>
      <c r="Q318" s="2" t="b">
        <f>FALSE()</f>
        <v>0</v>
      </c>
      <c r="R318">
        <v>0</v>
      </c>
    </row>
    <row r="319" spans="1:18" x14ac:dyDescent="0.25">
      <c r="A319">
        <v>200318</v>
      </c>
      <c r="B319">
        <v>53167</v>
      </c>
      <c r="C319" t="s">
        <v>18</v>
      </c>
      <c r="D319">
        <v>229.19</v>
      </c>
      <c r="E319">
        <v>400</v>
      </c>
      <c r="F319">
        <v>0</v>
      </c>
      <c r="G319">
        <v>2</v>
      </c>
      <c r="H319">
        <v>0</v>
      </c>
      <c r="I319" t="s">
        <v>33</v>
      </c>
      <c r="J319">
        <v>0</v>
      </c>
      <c r="K319">
        <v>48</v>
      </c>
      <c r="L319" t="s">
        <v>24</v>
      </c>
      <c r="M319" t="s">
        <v>25</v>
      </c>
      <c r="N319" t="s">
        <v>22</v>
      </c>
      <c r="O319" t="s">
        <v>27</v>
      </c>
      <c r="P319">
        <v>1.03</v>
      </c>
      <c r="Q319" s="2" t="b">
        <f>FALSE()</f>
        <v>0</v>
      </c>
      <c r="R319">
        <v>0</v>
      </c>
    </row>
    <row r="320" spans="1:18" x14ac:dyDescent="0.25">
      <c r="A320">
        <v>200319</v>
      </c>
      <c r="B320">
        <v>54024</v>
      </c>
      <c r="C320" t="s">
        <v>34</v>
      </c>
      <c r="D320">
        <v>659.18</v>
      </c>
      <c r="E320">
        <v>1337</v>
      </c>
      <c r="F320">
        <v>0</v>
      </c>
      <c r="G320">
        <v>2</v>
      </c>
      <c r="H320">
        <v>0</v>
      </c>
      <c r="I320" t="s">
        <v>33</v>
      </c>
      <c r="J320">
        <v>0</v>
      </c>
      <c r="K320">
        <v>20</v>
      </c>
      <c r="L320" t="s">
        <v>20</v>
      </c>
      <c r="M320" t="s">
        <v>35</v>
      </c>
      <c r="N320" t="s">
        <v>22</v>
      </c>
      <c r="O320" t="s">
        <v>27</v>
      </c>
      <c r="P320">
        <v>2.44</v>
      </c>
      <c r="Q320" s="2" t="b">
        <f>FALSE()</f>
        <v>0</v>
      </c>
      <c r="R320">
        <v>0</v>
      </c>
    </row>
    <row r="321" spans="1:18" x14ac:dyDescent="0.25">
      <c r="A321">
        <v>200320</v>
      </c>
      <c r="B321">
        <v>55574</v>
      </c>
      <c r="C321" t="s">
        <v>28</v>
      </c>
      <c r="D321">
        <v>571.95000000000005</v>
      </c>
      <c r="E321">
        <v>181</v>
      </c>
      <c r="F321">
        <v>1</v>
      </c>
      <c r="G321">
        <v>7</v>
      </c>
      <c r="H321">
        <v>0</v>
      </c>
      <c r="I321" t="s">
        <v>19</v>
      </c>
      <c r="J321">
        <v>1</v>
      </c>
      <c r="K321">
        <v>73</v>
      </c>
      <c r="L321" t="s">
        <v>20</v>
      </c>
      <c r="M321" t="s">
        <v>29</v>
      </c>
      <c r="N321" t="s">
        <v>30</v>
      </c>
      <c r="O321" t="s">
        <v>36</v>
      </c>
      <c r="P321">
        <v>4.45</v>
      </c>
      <c r="Q321" s="2" t="b">
        <f>FALSE()</f>
        <v>0</v>
      </c>
      <c r="R321">
        <v>1</v>
      </c>
    </row>
    <row r="322" spans="1:18" x14ac:dyDescent="0.25">
      <c r="A322">
        <v>200321</v>
      </c>
      <c r="B322">
        <v>55467</v>
      </c>
      <c r="C322" t="s">
        <v>18</v>
      </c>
      <c r="D322">
        <v>1915.31</v>
      </c>
      <c r="E322">
        <v>3585</v>
      </c>
      <c r="F322">
        <v>0</v>
      </c>
      <c r="G322">
        <v>6</v>
      </c>
      <c r="H322">
        <v>1</v>
      </c>
      <c r="I322" t="s">
        <v>33</v>
      </c>
      <c r="J322">
        <v>0</v>
      </c>
      <c r="K322">
        <v>64</v>
      </c>
      <c r="L322" t="s">
        <v>24</v>
      </c>
      <c r="M322" t="s">
        <v>29</v>
      </c>
      <c r="N322" t="s">
        <v>22</v>
      </c>
      <c r="O322" t="s">
        <v>36</v>
      </c>
      <c r="P322">
        <v>3.16</v>
      </c>
      <c r="Q322" s="2" t="b">
        <f>FALSE()</f>
        <v>0</v>
      </c>
      <c r="R322">
        <v>0</v>
      </c>
    </row>
    <row r="323" spans="1:18" x14ac:dyDescent="0.25">
      <c r="A323">
        <v>200322</v>
      </c>
      <c r="B323">
        <v>55466</v>
      </c>
      <c r="C323" t="s">
        <v>34</v>
      </c>
      <c r="D323">
        <v>1323.87</v>
      </c>
      <c r="E323">
        <v>699</v>
      </c>
      <c r="F323">
        <v>1</v>
      </c>
      <c r="G323">
        <v>4</v>
      </c>
      <c r="H323">
        <v>0</v>
      </c>
      <c r="I323" t="s">
        <v>33</v>
      </c>
      <c r="J323">
        <v>0</v>
      </c>
      <c r="K323">
        <v>47</v>
      </c>
      <c r="L323" t="s">
        <v>20</v>
      </c>
      <c r="M323" t="s">
        <v>21</v>
      </c>
      <c r="N323" t="s">
        <v>30</v>
      </c>
      <c r="O323" t="s">
        <v>27</v>
      </c>
      <c r="P323">
        <v>1.1000000000000001</v>
      </c>
      <c r="Q323" s="2" t="b">
        <f>FALSE()</f>
        <v>0</v>
      </c>
      <c r="R323">
        <v>0</v>
      </c>
    </row>
    <row r="324" spans="1:18" x14ac:dyDescent="0.25">
      <c r="A324">
        <v>200323</v>
      </c>
      <c r="B324">
        <v>50249</v>
      </c>
      <c r="C324" t="s">
        <v>18</v>
      </c>
      <c r="D324">
        <v>2616.0100000000002</v>
      </c>
      <c r="E324">
        <v>2442</v>
      </c>
      <c r="F324">
        <v>1</v>
      </c>
      <c r="G324">
        <v>3</v>
      </c>
      <c r="H324">
        <v>0</v>
      </c>
      <c r="I324" t="s">
        <v>32</v>
      </c>
      <c r="J324">
        <v>0</v>
      </c>
      <c r="K324">
        <v>65</v>
      </c>
      <c r="L324" t="s">
        <v>20</v>
      </c>
      <c r="M324" t="s">
        <v>21</v>
      </c>
      <c r="N324" t="s">
        <v>30</v>
      </c>
      <c r="O324" t="s">
        <v>27</v>
      </c>
      <c r="P324">
        <v>3.63</v>
      </c>
      <c r="Q324" s="2" t="b">
        <f>FALSE()</f>
        <v>0</v>
      </c>
      <c r="R324">
        <v>0</v>
      </c>
    </row>
    <row r="325" spans="1:18" x14ac:dyDescent="0.25">
      <c r="A325">
        <v>200324</v>
      </c>
      <c r="B325">
        <v>51254</v>
      </c>
      <c r="C325" t="s">
        <v>34</v>
      </c>
      <c r="D325">
        <v>6015.89</v>
      </c>
      <c r="E325">
        <v>1642</v>
      </c>
      <c r="F325">
        <v>2</v>
      </c>
      <c r="G325">
        <v>8</v>
      </c>
      <c r="H325">
        <v>1</v>
      </c>
      <c r="I325" t="s">
        <v>33</v>
      </c>
      <c r="J325">
        <v>0</v>
      </c>
      <c r="K325">
        <v>74</v>
      </c>
      <c r="L325" t="s">
        <v>20</v>
      </c>
      <c r="M325" t="s">
        <v>21</v>
      </c>
      <c r="N325" t="s">
        <v>22</v>
      </c>
      <c r="O325" t="s">
        <v>36</v>
      </c>
      <c r="P325">
        <v>0.27</v>
      </c>
      <c r="Q325" s="2" t="b">
        <f>FALSE()</f>
        <v>0</v>
      </c>
      <c r="R325">
        <v>1</v>
      </c>
    </row>
    <row r="326" spans="1:18" x14ac:dyDescent="0.25">
      <c r="A326">
        <v>200325</v>
      </c>
      <c r="B326">
        <v>51803</v>
      </c>
      <c r="C326" t="s">
        <v>18</v>
      </c>
      <c r="D326">
        <v>1810.6</v>
      </c>
      <c r="E326">
        <v>2576</v>
      </c>
      <c r="F326">
        <v>1</v>
      </c>
      <c r="G326">
        <v>2</v>
      </c>
      <c r="H326">
        <v>0</v>
      </c>
      <c r="I326" t="s">
        <v>19</v>
      </c>
      <c r="J326">
        <v>0</v>
      </c>
      <c r="K326">
        <v>29</v>
      </c>
      <c r="L326" t="s">
        <v>24</v>
      </c>
      <c r="M326" t="s">
        <v>25</v>
      </c>
      <c r="N326" t="s">
        <v>22</v>
      </c>
      <c r="O326" t="s">
        <v>27</v>
      </c>
      <c r="P326">
        <v>15.49</v>
      </c>
      <c r="Q326" s="2" t="b">
        <f>FALSE()</f>
        <v>0</v>
      </c>
      <c r="R326">
        <v>0</v>
      </c>
    </row>
    <row r="327" spans="1:18" x14ac:dyDescent="0.25">
      <c r="A327">
        <v>200326</v>
      </c>
      <c r="B327">
        <v>50230</v>
      </c>
      <c r="C327" t="s">
        <v>18</v>
      </c>
      <c r="D327">
        <v>2441.87</v>
      </c>
      <c r="E327">
        <v>1617</v>
      </c>
      <c r="F327">
        <v>0</v>
      </c>
      <c r="G327">
        <v>5</v>
      </c>
      <c r="H327">
        <v>0</v>
      </c>
      <c r="I327" t="s">
        <v>19</v>
      </c>
      <c r="J327">
        <v>0</v>
      </c>
      <c r="K327">
        <v>70</v>
      </c>
      <c r="L327" t="s">
        <v>24</v>
      </c>
      <c r="M327" t="s">
        <v>31</v>
      </c>
      <c r="N327" t="s">
        <v>30</v>
      </c>
      <c r="O327" t="s">
        <v>36</v>
      </c>
      <c r="P327">
        <v>4.7300000000000004</v>
      </c>
      <c r="Q327" s="2" t="b">
        <f>FALSE()</f>
        <v>0</v>
      </c>
      <c r="R327">
        <v>0</v>
      </c>
    </row>
    <row r="328" spans="1:18" x14ac:dyDescent="0.25">
      <c r="A328">
        <v>200327</v>
      </c>
      <c r="B328">
        <v>53387</v>
      </c>
      <c r="C328" t="s">
        <v>18</v>
      </c>
      <c r="D328">
        <v>1835.2</v>
      </c>
      <c r="E328">
        <v>2862</v>
      </c>
      <c r="F328">
        <v>0</v>
      </c>
      <c r="G328">
        <v>3</v>
      </c>
      <c r="H328">
        <v>0</v>
      </c>
      <c r="I328" t="s">
        <v>19</v>
      </c>
      <c r="J328">
        <v>0</v>
      </c>
      <c r="K328">
        <v>83</v>
      </c>
      <c r="L328" t="s">
        <v>24</v>
      </c>
      <c r="M328" t="s">
        <v>37</v>
      </c>
      <c r="N328" t="s">
        <v>26</v>
      </c>
      <c r="O328" t="s">
        <v>36</v>
      </c>
      <c r="P328">
        <v>5.51</v>
      </c>
      <c r="Q328" s="2" t="b">
        <f>FALSE()</f>
        <v>0</v>
      </c>
      <c r="R328">
        <v>0</v>
      </c>
    </row>
    <row r="329" spans="1:18" x14ac:dyDescent="0.25">
      <c r="A329">
        <v>200328</v>
      </c>
      <c r="B329">
        <v>51956</v>
      </c>
      <c r="C329" t="s">
        <v>34</v>
      </c>
      <c r="D329">
        <v>6024.17</v>
      </c>
      <c r="E329">
        <v>2985</v>
      </c>
      <c r="F329">
        <v>0</v>
      </c>
      <c r="G329">
        <v>4</v>
      </c>
      <c r="H329">
        <v>0</v>
      </c>
      <c r="I329" t="s">
        <v>19</v>
      </c>
      <c r="J329">
        <v>0</v>
      </c>
      <c r="K329">
        <v>39</v>
      </c>
      <c r="L329" t="s">
        <v>20</v>
      </c>
      <c r="M329" t="s">
        <v>35</v>
      </c>
      <c r="N329" t="s">
        <v>22</v>
      </c>
      <c r="O329" t="s">
        <v>36</v>
      </c>
      <c r="P329">
        <v>3.87</v>
      </c>
      <c r="Q329" s="2" t="b">
        <f>FALSE()</f>
        <v>0</v>
      </c>
      <c r="R329">
        <v>1</v>
      </c>
    </row>
    <row r="330" spans="1:18" x14ac:dyDescent="0.25">
      <c r="A330">
        <v>200329</v>
      </c>
      <c r="B330">
        <v>54952</v>
      </c>
      <c r="C330" t="s">
        <v>18</v>
      </c>
      <c r="D330">
        <v>2031.23</v>
      </c>
      <c r="E330">
        <v>3094</v>
      </c>
      <c r="F330">
        <v>0</v>
      </c>
      <c r="G330">
        <v>4</v>
      </c>
      <c r="H330">
        <v>1</v>
      </c>
      <c r="I330" t="s">
        <v>33</v>
      </c>
      <c r="J330">
        <v>0</v>
      </c>
      <c r="K330">
        <v>79</v>
      </c>
      <c r="L330" t="s">
        <v>20</v>
      </c>
      <c r="M330" t="s">
        <v>31</v>
      </c>
      <c r="N330" t="s">
        <v>22</v>
      </c>
      <c r="O330" t="s">
        <v>36</v>
      </c>
      <c r="P330">
        <v>0.86</v>
      </c>
      <c r="Q330" s="2" t="b">
        <f>FALSE()</f>
        <v>0</v>
      </c>
      <c r="R330">
        <v>0</v>
      </c>
    </row>
    <row r="331" spans="1:18" x14ac:dyDescent="0.25">
      <c r="A331">
        <v>200330</v>
      </c>
      <c r="B331">
        <v>54737</v>
      </c>
      <c r="C331" t="s">
        <v>34</v>
      </c>
      <c r="D331">
        <v>1232.45</v>
      </c>
      <c r="E331">
        <v>3227</v>
      </c>
      <c r="F331">
        <v>0</v>
      </c>
      <c r="G331">
        <v>4</v>
      </c>
      <c r="H331">
        <v>1</v>
      </c>
      <c r="I331" t="s">
        <v>33</v>
      </c>
      <c r="J331">
        <v>0</v>
      </c>
      <c r="K331">
        <v>73</v>
      </c>
      <c r="L331" t="s">
        <v>24</v>
      </c>
      <c r="M331" t="s">
        <v>25</v>
      </c>
      <c r="N331" t="s">
        <v>22</v>
      </c>
      <c r="O331" t="s">
        <v>36</v>
      </c>
      <c r="P331">
        <v>2.11</v>
      </c>
      <c r="Q331" s="2" t="b">
        <f>FALSE()</f>
        <v>0</v>
      </c>
      <c r="R331">
        <v>0</v>
      </c>
    </row>
    <row r="332" spans="1:18" x14ac:dyDescent="0.25">
      <c r="A332">
        <v>200331</v>
      </c>
      <c r="B332">
        <v>55905</v>
      </c>
      <c r="C332" t="s">
        <v>34</v>
      </c>
      <c r="D332">
        <v>3878.51</v>
      </c>
      <c r="E332">
        <v>1045</v>
      </c>
      <c r="F332">
        <v>1</v>
      </c>
      <c r="G332">
        <v>3</v>
      </c>
      <c r="H332">
        <v>0</v>
      </c>
      <c r="I332" t="s">
        <v>19</v>
      </c>
      <c r="J332">
        <v>0</v>
      </c>
      <c r="K332">
        <v>20</v>
      </c>
      <c r="L332" t="s">
        <v>20</v>
      </c>
      <c r="M332" t="s">
        <v>29</v>
      </c>
      <c r="N332" t="s">
        <v>22</v>
      </c>
      <c r="O332" t="s">
        <v>27</v>
      </c>
      <c r="P332">
        <v>2.33</v>
      </c>
      <c r="Q332" s="2" t="b">
        <f>FALSE()</f>
        <v>0</v>
      </c>
      <c r="R332">
        <v>1</v>
      </c>
    </row>
    <row r="333" spans="1:18" x14ac:dyDescent="0.25">
      <c r="A333">
        <v>200332</v>
      </c>
      <c r="B333">
        <v>50108</v>
      </c>
      <c r="C333" t="s">
        <v>34</v>
      </c>
      <c r="D333">
        <v>4312.59</v>
      </c>
      <c r="E333">
        <v>3340</v>
      </c>
      <c r="F333">
        <v>2</v>
      </c>
      <c r="G333">
        <v>4</v>
      </c>
      <c r="H333">
        <v>0</v>
      </c>
      <c r="I333" t="s">
        <v>19</v>
      </c>
      <c r="J333">
        <v>0</v>
      </c>
      <c r="K333">
        <v>42</v>
      </c>
      <c r="L333" t="s">
        <v>24</v>
      </c>
      <c r="M333" t="s">
        <v>29</v>
      </c>
      <c r="N333" t="s">
        <v>22</v>
      </c>
      <c r="O333" t="s">
        <v>27</v>
      </c>
      <c r="P333">
        <v>6.49</v>
      </c>
      <c r="Q333" s="2" t="b">
        <f>FALSE()</f>
        <v>0</v>
      </c>
      <c r="R333">
        <v>1</v>
      </c>
    </row>
    <row r="334" spans="1:18" x14ac:dyDescent="0.25">
      <c r="A334">
        <v>200333</v>
      </c>
      <c r="B334">
        <v>53764</v>
      </c>
      <c r="C334" t="s">
        <v>34</v>
      </c>
      <c r="D334">
        <v>3459.35</v>
      </c>
      <c r="E334">
        <v>1059</v>
      </c>
      <c r="F334">
        <v>0</v>
      </c>
      <c r="G334">
        <v>9</v>
      </c>
      <c r="H334">
        <v>0</v>
      </c>
      <c r="I334" t="s">
        <v>19</v>
      </c>
      <c r="J334">
        <v>0</v>
      </c>
      <c r="K334">
        <v>77</v>
      </c>
      <c r="L334" t="s">
        <v>24</v>
      </c>
      <c r="M334" t="s">
        <v>35</v>
      </c>
      <c r="N334" t="s">
        <v>22</v>
      </c>
      <c r="O334" t="s">
        <v>36</v>
      </c>
      <c r="P334">
        <v>2.14</v>
      </c>
      <c r="Q334" s="2" t="b">
        <f>FALSE()</f>
        <v>0</v>
      </c>
      <c r="R334">
        <v>1</v>
      </c>
    </row>
    <row r="335" spans="1:18" x14ac:dyDescent="0.25">
      <c r="A335">
        <v>200334</v>
      </c>
      <c r="B335">
        <v>52529</v>
      </c>
      <c r="C335" t="s">
        <v>28</v>
      </c>
      <c r="D335">
        <v>905.03</v>
      </c>
      <c r="E335">
        <v>2888</v>
      </c>
      <c r="F335">
        <v>2</v>
      </c>
      <c r="G335">
        <v>4</v>
      </c>
      <c r="H335">
        <v>0</v>
      </c>
      <c r="I335" t="s">
        <v>19</v>
      </c>
      <c r="J335">
        <v>1</v>
      </c>
      <c r="K335">
        <v>29</v>
      </c>
      <c r="L335" t="s">
        <v>20</v>
      </c>
      <c r="M335" t="s">
        <v>21</v>
      </c>
      <c r="N335" t="s">
        <v>26</v>
      </c>
      <c r="O335" t="s">
        <v>23</v>
      </c>
      <c r="P335">
        <v>2.6</v>
      </c>
      <c r="Q335" s="2" t="b">
        <f>FALSE()</f>
        <v>0</v>
      </c>
      <c r="R335">
        <v>0</v>
      </c>
    </row>
    <row r="336" spans="1:18" x14ac:dyDescent="0.25">
      <c r="A336">
        <v>200335</v>
      </c>
      <c r="B336">
        <v>54781</v>
      </c>
      <c r="C336" t="s">
        <v>18</v>
      </c>
      <c r="D336">
        <v>3357.28</v>
      </c>
      <c r="E336">
        <v>588</v>
      </c>
      <c r="F336">
        <v>2</v>
      </c>
      <c r="G336">
        <v>3</v>
      </c>
      <c r="H336">
        <v>0</v>
      </c>
      <c r="I336" t="s">
        <v>32</v>
      </c>
      <c r="J336">
        <v>0</v>
      </c>
      <c r="K336">
        <v>76</v>
      </c>
      <c r="L336" t="s">
        <v>24</v>
      </c>
      <c r="M336" t="s">
        <v>21</v>
      </c>
      <c r="N336" t="s">
        <v>22</v>
      </c>
      <c r="O336" t="s">
        <v>36</v>
      </c>
      <c r="P336">
        <v>0.21</v>
      </c>
      <c r="Q336" s="2" t="b">
        <f>FALSE()</f>
        <v>0</v>
      </c>
      <c r="R336">
        <v>0</v>
      </c>
    </row>
    <row r="337" spans="1:18" x14ac:dyDescent="0.25">
      <c r="A337">
        <v>200336</v>
      </c>
      <c r="B337">
        <v>53171</v>
      </c>
      <c r="C337" t="s">
        <v>18</v>
      </c>
      <c r="D337">
        <v>3078.26</v>
      </c>
      <c r="E337">
        <v>172</v>
      </c>
      <c r="F337">
        <v>1</v>
      </c>
      <c r="G337">
        <v>3</v>
      </c>
      <c r="H337">
        <v>1</v>
      </c>
      <c r="I337" t="s">
        <v>32</v>
      </c>
      <c r="J337">
        <v>0</v>
      </c>
      <c r="K337">
        <v>68</v>
      </c>
      <c r="L337" t="s">
        <v>24</v>
      </c>
      <c r="M337" t="s">
        <v>29</v>
      </c>
      <c r="N337" t="s">
        <v>22</v>
      </c>
      <c r="O337" t="s">
        <v>36</v>
      </c>
      <c r="P337">
        <v>2.56</v>
      </c>
      <c r="Q337" s="2" t="b">
        <f>FALSE()</f>
        <v>0</v>
      </c>
      <c r="R337">
        <v>0</v>
      </c>
    </row>
    <row r="338" spans="1:18" x14ac:dyDescent="0.25">
      <c r="A338">
        <v>200337</v>
      </c>
      <c r="B338">
        <v>53148</v>
      </c>
      <c r="C338" t="s">
        <v>18</v>
      </c>
      <c r="D338">
        <v>4032.82</v>
      </c>
      <c r="E338">
        <v>815</v>
      </c>
      <c r="F338">
        <v>3</v>
      </c>
      <c r="G338">
        <v>4</v>
      </c>
      <c r="H338">
        <v>1</v>
      </c>
      <c r="I338" t="s">
        <v>32</v>
      </c>
      <c r="J338">
        <v>0</v>
      </c>
      <c r="K338">
        <v>45</v>
      </c>
      <c r="L338" t="s">
        <v>24</v>
      </c>
      <c r="M338" t="s">
        <v>35</v>
      </c>
      <c r="N338" t="s">
        <v>26</v>
      </c>
      <c r="O338" t="s">
        <v>36</v>
      </c>
      <c r="P338">
        <v>6.12</v>
      </c>
      <c r="Q338" s="2" t="b">
        <f>FALSE()</f>
        <v>0</v>
      </c>
      <c r="R338">
        <v>1</v>
      </c>
    </row>
    <row r="339" spans="1:18" x14ac:dyDescent="0.25">
      <c r="A339">
        <v>200338</v>
      </c>
      <c r="B339">
        <v>54373</v>
      </c>
      <c r="C339" t="s">
        <v>34</v>
      </c>
      <c r="D339">
        <v>738.03</v>
      </c>
      <c r="E339">
        <v>3431</v>
      </c>
      <c r="F339">
        <v>3</v>
      </c>
      <c r="G339">
        <v>7</v>
      </c>
      <c r="H339">
        <v>0</v>
      </c>
      <c r="I339" t="s">
        <v>32</v>
      </c>
      <c r="J339">
        <v>0</v>
      </c>
      <c r="K339">
        <v>54</v>
      </c>
      <c r="L339" t="s">
        <v>20</v>
      </c>
      <c r="M339" t="s">
        <v>21</v>
      </c>
      <c r="N339" t="s">
        <v>30</v>
      </c>
      <c r="O339" t="s">
        <v>36</v>
      </c>
      <c r="P339">
        <v>0.27</v>
      </c>
      <c r="Q339" s="2" t="b">
        <f>FALSE()</f>
        <v>0</v>
      </c>
      <c r="R339">
        <v>1</v>
      </c>
    </row>
    <row r="340" spans="1:18" x14ac:dyDescent="0.25">
      <c r="A340">
        <v>200339</v>
      </c>
      <c r="B340">
        <v>50786</v>
      </c>
      <c r="C340" t="s">
        <v>18</v>
      </c>
      <c r="D340">
        <v>3367.09</v>
      </c>
      <c r="E340">
        <v>271</v>
      </c>
      <c r="F340">
        <v>3</v>
      </c>
      <c r="G340">
        <v>4</v>
      </c>
      <c r="H340">
        <v>1</v>
      </c>
      <c r="I340" t="s">
        <v>33</v>
      </c>
      <c r="J340">
        <v>0</v>
      </c>
      <c r="K340">
        <v>73</v>
      </c>
      <c r="L340" t="s">
        <v>24</v>
      </c>
      <c r="M340" t="s">
        <v>29</v>
      </c>
      <c r="N340" t="s">
        <v>30</v>
      </c>
      <c r="O340" t="s">
        <v>36</v>
      </c>
      <c r="P340">
        <v>1.1000000000000001</v>
      </c>
      <c r="Q340" s="2" t="b">
        <f>FALSE()</f>
        <v>0</v>
      </c>
      <c r="R340">
        <v>1</v>
      </c>
    </row>
    <row r="341" spans="1:18" x14ac:dyDescent="0.25">
      <c r="A341">
        <v>200340</v>
      </c>
      <c r="B341">
        <v>50214</v>
      </c>
      <c r="C341" t="s">
        <v>28</v>
      </c>
      <c r="D341">
        <v>1546</v>
      </c>
      <c r="E341">
        <v>551</v>
      </c>
      <c r="F341">
        <v>2</v>
      </c>
      <c r="G341">
        <v>3</v>
      </c>
      <c r="H341">
        <v>0</v>
      </c>
      <c r="I341" t="s">
        <v>33</v>
      </c>
      <c r="J341">
        <v>0</v>
      </c>
      <c r="K341">
        <v>40</v>
      </c>
      <c r="L341" t="s">
        <v>24</v>
      </c>
      <c r="M341" t="s">
        <v>21</v>
      </c>
      <c r="N341" t="s">
        <v>26</v>
      </c>
      <c r="O341" t="s">
        <v>36</v>
      </c>
      <c r="P341">
        <v>10.84</v>
      </c>
      <c r="Q341" s="2" t="b">
        <f>FALSE()</f>
        <v>0</v>
      </c>
      <c r="R341">
        <v>0</v>
      </c>
    </row>
    <row r="342" spans="1:18" x14ac:dyDescent="0.25">
      <c r="A342">
        <v>200341</v>
      </c>
      <c r="B342">
        <v>50895</v>
      </c>
      <c r="C342" t="s">
        <v>18</v>
      </c>
      <c r="D342">
        <v>2005.3</v>
      </c>
      <c r="E342">
        <v>662</v>
      </c>
      <c r="F342">
        <v>0</v>
      </c>
      <c r="G342">
        <v>5</v>
      </c>
      <c r="H342">
        <v>0</v>
      </c>
      <c r="I342" t="s">
        <v>19</v>
      </c>
      <c r="J342">
        <v>0</v>
      </c>
      <c r="K342">
        <v>23</v>
      </c>
      <c r="L342" t="s">
        <v>24</v>
      </c>
      <c r="M342" t="s">
        <v>31</v>
      </c>
      <c r="N342" t="s">
        <v>30</v>
      </c>
      <c r="O342" t="s">
        <v>27</v>
      </c>
      <c r="P342">
        <v>1.62</v>
      </c>
      <c r="Q342" s="2" t="b">
        <f>FALSE()</f>
        <v>0</v>
      </c>
      <c r="R342">
        <v>0</v>
      </c>
    </row>
    <row r="343" spans="1:18" x14ac:dyDescent="0.25">
      <c r="A343">
        <v>200342</v>
      </c>
      <c r="B343">
        <v>55905</v>
      </c>
      <c r="C343" t="s">
        <v>28</v>
      </c>
      <c r="D343">
        <v>10728.94</v>
      </c>
      <c r="E343">
        <v>3594</v>
      </c>
      <c r="F343">
        <v>1</v>
      </c>
      <c r="G343">
        <v>5</v>
      </c>
      <c r="H343">
        <v>0</v>
      </c>
      <c r="I343" t="s">
        <v>33</v>
      </c>
      <c r="J343">
        <v>0</v>
      </c>
      <c r="K343">
        <v>81</v>
      </c>
      <c r="L343" t="s">
        <v>20</v>
      </c>
      <c r="M343" t="s">
        <v>21</v>
      </c>
      <c r="N343" t="s">
        <v>22</v>
      </c>
      <c r="O343" t="s">
        <v>36</v>
      </c>
      <c r="P343">
        <v>0.51</v>
      </c>
      <c r="Q343" s="2" t="b">
        <f>TRUE()</f>
        <v>1</v>
      </c>
      <c r="R343">
        <v>1</v>
      </c>
    </row>
    <row r="344" spans="1:18" x14ac:dyDescent="0.25">
      <c r="A344">
        <v>200343</v>
      </c>
      <c r="B344">
        <v>55958</v>
      </c>
      <c r="C344" t="s">
        <v>28</v>
      </c>
      <c r="D344">
        <v>4805.62</v>
      </c>
      <c r="E344">
        <v>1394</v>
      </c>
      <c r="F344">
        <v>2</v>
      </c>
      <c r="G344">
        <v>2</v>
      </c>
      <c r="H344">
        <v>1</v>
      </c>
      <c r="I344" t="s">
        <v>33</v>
      </c>
      <c r="J344">
        <v>0</v>
      </c>
      <c r="K344">
        <v>65</v>
      </c>
      <c r="L344" t="s">
        <v>20</v>
      </c>
      <c r="M344" t="s">
        <v>35</v>
      </c>
      <c r="N344" t="s">
        <v>22</v>
      </c>
      <c r="O344" t="s">
        <v>27</v>
      </c>
      <c r="P344">
        <v>0.03</v>
      </c>
      <c r="Q344" s="2" t="b">
        <f>FALSE()</f>
        <v>0</v>
      </c>
      <c r="R344">
        <v>1</v>
      </c>
    </row>
    <row r="345" spans="1:18" x14ac:dyDescent="0.25">
      <c r="A345">
        <v>200344</v>
      </c>
      <c r="B345">
        <v>54417</v>
      </c>
      <c r="C345" t="s">
        <v>34</v>
      </c>
      <c r="D345">
        <v>4318.3100000000004</v>
      </c>
      <c r="E345">
        <v>1613</v>
      </c>
      <c r="F345">
        <v>1</v>
      </c>
      <c r="G345">
        <v>4</v>
      </c>
      <c r="H345">
        <v>0</v>
      </c>
      <c r="I345" t="s">
        <v>19</v>
      </c>
      <c r="J345">
        <v>1</v>
      </c>
      <c r="K345">
        <v>38</v>
      </c>
      <c r="L345" t="s">
        <v>24</v>
      </c>
      <c r="M345" t="s">
        <v>35</v>
      </c>
      <c r="N345" t="s">
        <v>30</v>
      </c>
      <c r="O345" t="s">
        <v>36</v>
      </c>
      <c r="P345">
        <v>8.64</v>
      </c>
      <c r="Q345" s="2" t="b">
        <f>FALSE()</f>
        <v>0</v>
      </c>
      <c r="R345">
        <v>1</v>
      </c>
    </row>
    <row r="346" spans="1:18" x14ac:dyDescent="0.25">
      <c r="A346">
        <v>200345</v>
      </c>
      <c r="B346">
        <v>54473</v>
      </c>
      <c r="C346" t="s">
        <v>18</v>
      </c>
      <c r="D346">
        <v>149.77000000000001</v>
      </c>
      <c r="E346">
        <v>357</v>
      </c>
      <c r="F346">
        <v>0</v>
      </c>
      <c r="G346">
        <v>7</v>
      </c>
      <c r="H346">
        <v>1</v>
      </c>
      <c r="I346" t="s">
        <v>33</v>
      </c>
      <c r="J346">
        <v>0</v>
      </c>
      <c r="K346">
        <v>27</v>
      </c>
      <c r="L346" t="s">
        <v>24</v>
      </c>
      <c r="M346" t="s">
        <v>31</v>
      </c>
      <c r="N346" t="s">
        <v>22</v>
      </c>
      <c r="O346" t="s">
        <v>36</v>
      </c>
      <c r="P346">
        <v>2.7</v>
      </c>
      <c r="Q346" s="2" t="b">
        <f>FALSE()</f>
        <v>0</v>
      </c>
      <c r="R346">
        <v>1</v>
      </c>
    </row>
    <row r="347" spans="1:18" x14ac:dyDescent="0.25">
      <c r="A347">
        <v>200346</v>
      </c>
      <c r="B347">
        <v>54299</v>
      </c>
      <c r="C347" t="s">
        <v>18</v>
      </c>
      <c r="D347">
        <v>2587.31</v>
      </c>
      <c r="E347">
        <v>1776</v>
      </c>
      <c r="F347">
        <v>0</v>
      </c>
      <c r="G347">
        <v>7</v>
      </c>
      <c r="H347">
        <v>0</v>
      </c>
      <c r="I347" t="s">
        <v>32</v>
      </c>
      <c r="J347">
        <v>1</v>
      </c>
      <c r="K347">
        <v>57</v>
      </c>
      <c r="L347" t="s">
        <v>24</v>
      </c>
      <c r="M347" t="s">
        <v>31</v>
      </c>
      <c r="N347" t="s">
        <v>26</v>
      </c>
      <c r="O347" t="s">
        <v>27</v>
      </c>
      <c r="P347">
        <v>1</v>
      </c>
      <c r="Q347" s="2" t="b">
        <f>FALSE()</f>
        <v>0</v>
      </c>
      <c r="R347">
        <v>1</v>
      </c>
    </row>
    <row r="348" spans="1:18" x14ac:dyDescent="0.25">
      <c r="A348">
        <v>200347</v>
      </c>
      <c r="B348">
        <v>50845</v>
      </c>
      <c r="C348" t="s">
        <v>34</v>
      </c>
      <c r="D348">
        <v>4152.1899999999996</v>
      </c>
      <c r="E348">
        <v>1570</v>
      </c>
      <c r="F348">
        <v>2</v>
      </c>
      <c r="G348">
        <v>3</v>
      </c>
      <c r="H348">
        <v>1</v>
      </c>
      <c r="I348" t="s">
        <v>32</v>
      </c>
      <c r="J348">
        <v>1</v>
      </c>
      <c r="K348">
        <v>37</v>
      </c>
      <c r="L348" t="s">
        <v>20</v>
      </c>
      <c r="M348" t="s">
        <v>29</v>
      </c>
      <c r="N348" t="s">
        <v>22</v>
      </c>
      <c r="O348" t="s">
        <v>36</v>
      </c>
      <c r="P348">
        <v>0.93</v>
      </c>
      <c r="Q348" s="2" t="b">
        <f>FALSE()</f>
        <v>0</v>
      </c>
      <c r="R348">
        <v>1</v>
      </c>
    </row>
    <row r="349" spans="1:18" x14ac:dyDescent="0.25">
      <c r="A349">
        <v>200348</v>
      </c>
      <c r="B349">
        <v>55769</v>
      </c>
      <c r="C349" t="s">
        <v>18</v>
      </c>
      <c r="D349">
        <v>3309.82</v>
      </c>
      <c r="E349">
        <v>673</v>
      </c>
      <c r="F349">
        <v>1</v>
      </c>
      <c r="G349">
        <v>5</v>
      </c>
      <c r="H349">
        <v>0</v>
      </c>
      <c r="I349" t="s">
        <v>33</v>
      </c>
      <c r="J349">
        <v>1</v>
      </c>
      <c r="K349">
        <v>55</v>
      </c>
      <c r="L349" t="s">
        <v>20</v>
      </c>
      <c r="M349" t="s">
        <v>29</v>
      </c>
      <c r="N349" t="s">
        <v>26</v>
      </c>
      <c r="O349" t="s">
        <v>27</v>
      </c>
      <c r="P349">
        <v>3.12</v>
      </c>
      <c r="Q349" s="2" t="b">
        <f>FALSE()</f>
        <v>0</v>
      </c>
      <c r="R349">
        <v>0</v>
      </c>
    </row>
    <row r="350" spans="1:18" x14ac:dyDescent="0.25">
      <c r="A350">
        <v>200349</v>
      </c>
      <c r="B350">
        <v>54865</v>
      </c>
      <c r="C350" t="s">
        <v>28</v>
      </c>
      <c r="D350">
        <v>931.7</v>
      </c>
      <c r="E350">
        <v>1580</v>
      </c>
      <c r="F350">
        <v>2</v>
      </c>
      <c r="G350">
        <v>5</v>
      </c>
      <c r="H350">
        <v>0</v>
      </c>
      <c r="I350" t="s">
        <v>19</v>
      </c>
      <c r="J350">
        <v>0</v>
      </c>
      <c r="K350">
        <v>41</v>
      </c>
      <c r="L350" t="s">
        <v>20</v>
      </c>
      <c r="M350" t="s">
        <v>21</v>
      </c>
      <c r="N350" t="s">
        <v>30</v>
      </c>
      <c r="O350" t="s">
        <v>36</v>
      </c>
      <c r="P350">
        <v>5.47</v>
      </c>
      <c r="Q350" s="2" t="b">
        <f>FALSE()</f>
        <v>0</v>
      </c>
      <c r="R350">
        <v>0</v>
      </c>
    </row>
    <row r="351" spans="1:18" x14ac:dyDescent="0.25">
      <c r="A351">
        <v>200350</v>
      </c>
      <c r="B351">
        <v>53757</v>
      </c>
      <c r="C351" t="s">
        <v>18</v>
      </c>
      <c r="D351">
        <v>5339.8</v>
      </c>
      <c r="E351">
        <v>3365</v>
      </c>
      <c r="F351">
        <v>1</v>
      </c>
      <c r="G351">
        <v>5</v>
      </c>
      <c r="H351">
        <v>1</v>
      </c>
      <c r="I351" t="s">
        <v>33</v>
      </c>
      <c r="J351">
        <v>0</v>
      </c>
      <c r="K351">
        <v>51</v>
      </c>
      <c r="L351" t="s">
        <v>20</v>
      </c>
      <c r="M351" t="s">
        <v>21</v>
      </c>
      <c r="N351" t="s">
        <v>30</v>
      </c>
      <c r="O351" t="s">
        <v>27</v>
      </c>
      <c r="P351">
        <v>1.1299999999999999</v>
      </c>
      <c r="Q351" s="2" t="b">
        <f>FALSE()</f>
        <v>0</v>
      </c>
      <c r="R351">
        <v>1</v>
      </c>
    </row>
    <row r="352" spans="1:18" x14ac:dyDescent="0.25">
      <c r="A352">
        <v>200351</v>
      </c>
      <c r="B352">
        <v>53204</v>
      </c>
      <c r="C352" t="s">
        <v>18</v>
      </c>
      <c r="D352">
        <v>2568.0100000000002</v>
      </c>
      <c r="E352">
        <v>489</v>
      </c>
      <c r="F352">
        <v>0</v>
      </c>
      <c r="G352">
        <v>6</v>
      </c>
      <c r="H352">
        <v>0</v>
      </c>
      <c r="I352" t="s">
        <v>33</v>
      </c>
      <c r="J352">
        <v>0</v>
      </c>
      <c r="K352">
        <v>81</v>
      </c>
      <c r="L352" t="s">
        <v>20</v>
      </c>
      <c r="M352" t="s">
        <v>25</v>
      </c>
      <c r="N352" t="s">
        <v>26</v>
      </c>
      <c r="O352" t="s">
        <v>36</v>
      </c>
      <c r="P352">
        <v>1.84</v>
      </c>
      <c r="Q352" s="2" t="b">
        <f>FALSE()</f>
        <v>0</v>
      </c>
      <c r="R352">
        <v>0</v>
      </c>
    </row>
    <row r="353" spans="1:18" x14ac:dyDescent="0.25">
      <c r="A353">
        <v>200352</v>
      </c>
      <c r="B353">
        <v>51863</v>
      </c>
      <c r="C353" t="s">
        <v>28</v>
      </c>
      <c r="D353">
        <v>3609.42</v>
      </c>
      <c r="E353">
        <v>3582</v>
      </c>
      <c r="F353">
        <v>0</v>
      </c>
      <c r="G353">
        <v>5</v>
      </c>
      <c r="H353">
        <v>0</v>
      </c>
      <c r="I353" t="s">
        <v>33</v>
      </c>
      <c r="J353">
        <v>0</v>
      </c>
      <c r="K353">
        <v>54</v>
      </c>
      <c r="L353" t="s">
        <v>20</v>
      </c>
      <c r="M353" t="s">
        <v>25</v>
      </c>
      <c r="N353" t="s">
        <v>30</v>
      </c>
      <c r="O353" t="s">
        <v>27</v>
      </c>
      <c r="P353">
        <v>0.9</v>
      </c>
      <c r="Q353" s="2" t="b">
        <f>FALSE()</f>
        <v>0</v>
      </c>
      <c r="R353">
        <v>1</v>
      </c>
    </row>
    <row r="354" spans="1:18" x14ac:dyDescent="0.25">
      <c r="A354">
        <v>200353</v>
      </c>
      <c r="B354">
        <v>52789</v>
      </c>
      <c r="C354" t="s">
        <v>18</v>
      </c>
      <c r="D354">
        <v>4114.55</v>
      </c>
      <c r="E354">
        <v>145</v>
      </c>
      <c r="F354">
        <v>0</v>
      </c>
      <c r="G354">
        <v>3</v>
      </c>
      <c r="H354">
        <v>0</v>
      </c>
      <c r="I354" t="s">
        <v>33</v>
      </c>
      <c r="J354">
        <v>0</v>
      </c>
      <c r="K354">
        <v>33</v>
      </c>
      <c r="L354" t="s">
        <v>20</v>
      </c>
      <c r="M354" t="s">
        <v>37</v>
      </c>
      <c r="N354" t="s">
        <v>26</v>
      </c>
      <c r="O354" t="s">
        <v>27</v>
      </c>
      <c r="P354">
        <v>1.63</v>
      </c>
      <c r="Q354" s="2" t="b">
        <f>FALSE()</f>
        <v>0</v>
      </c>
      <c r="R354">
        <v>1</v>
      </c>
    </row>
    <row r="355" spans="1:18" x14ac:dyDescent="0.25">
      <c r="A355">
        <v>200354</v>
      </c>
      <c r="B355">
        <v>54174</v>
      </c>
      <c r="C355" t="s">
        <v>18</v>
      </c>
      <c r="D355">
        <v>1919.01</v>
      </c>
      <c r="E355">
        <v>22</v>
      </c>
      <c r="F355">
        <v>1</v>
      </c>
      <c r="G355">
        <v>1</v>
      </c>
      <c r="H355">
        <v>1</v>
      </c>
      <c r="I355" t="s">
        <v>19</v>
      </c>
      <c r="J355">
        <v>0</v>
      </c>
      <c r="K355">
        <v>38</v>
      </c>
      <c r="L355" t="s">
        <v>38</v>
      </c>
      <c r="M355" t="s">
        <v>31</v>
      </c>
      <c r="N355" t="s">
        <v>22</v>
      </c>
      <c r="O355" t="s">
        <v>36</v>
      </c>
      <c r="P355">
        <v>1.49</v>
      </c>
      <c r="Q355" s="2" t="b">
        <f>FALSE()</f>
        <v>0</v>
      </c>
      <c r="R355">
        <v>0</v>
      </c>
    </row>
    <row r="356" spans="1:18" x14ac:dyDescent="0.25">
      <c r="A356">
        <v>200355</v>
      </c>
      <c r="B356">
        <v>54585</v>
      </c>
      <c r="C356" t="s">
        <v>18</v>
      </c>
      <c r="D356">
        <v>1592.5</v>
      </c>
      <c r="E356">
        <v>2532</v>
      </c>
      <c r="F356">
        <v>1</v>
      </c>
      <c r="G356">
        <v>8</v>
      </c>
      <c r="H356">
        <v>0</v>
      </c>
      <c r="I356" t="s">
        <v>33</v>
      </c>
      <c r="J356">
        <v>0</v>
      </c>
      <c r="K356">
        <v>19</v>
      </c>
      <c r="L356" t="s">
        <v>20</v>
      </c>
      <c r="M356" t="s">
        <v>31</v>
      </c>
      <c r="N356" t="s">
        <v>26</v>
      </c>
      <c r="O356" t="s">
        <v>27</v>
      </c>
      <c r="P356">
        <v>1.51</v>
      </c>
      <c r="Q356" s="2" t="b">
        <f>FALSE()</f>
        <v>0</v>
      </c>
      <c r="R356">
        <v>1</v>
      </c>
    </row>
    <row r="357" spans="1:18" x14ac:dyDescent="0.25">
      <c r="A357">
        <v>200356</v>
      </c>
      <c r="B357">
        <v>54953</v>
      </c>
      <c r="C357" t="s">
        <v>18</v>
      </c>
      <c r="D357">
        <v>3218.98</v>
      </c>
      <c r="E357">
        <v>1205</v>
      </c>
      <c r="F357">
        <v>2</v>
      </c>
      <c r="G357">
        <v>6</v>
      </c>
      <c r="H357">
        <v>1</v>
      </c>
      <c r="I357" t="s">
        <v>33</v>
      </c>
      <c r="J357">
        <v>1</v>
      </c>
      <c r="K357">
        <v>30</v>
      </c>
      <c r="L357" t="s">
        <v>24</v>
      </c>
      <c r="M357" t="s">
        <v>37</v>
      </c>
      <c r="N357" t="s">
        <v>30</v>
      </c>
      <c r="O357" t="s">
        <v>23</v>
      </c>
      <c r="P357">
        <v>1.04</v>
      </c>
      <c r="Q357" s="2" t="b">
        <f>FALSE()</f>
        <v>0</v>
      </c>
      <c r="R357">
        <v>0</v>
      </c>
    </row>
    <row r="358" spans="1:18" x14ac:dyDescent="0.25">
      <c r="A358">
        <v>200357</v>
      </c>
      <c r="B358">
        <v>51778</v>
      </c>
      <c r="C358" t="s">
        <v>28</v>
      </c>
      <c r="D358">
        <v>3020.19</v>
      </c>
      <c r="E358">
        <v>2815</v>
      </c>
      <c r="F358">
        <v>0</v>
      </c>
      <c r="G358">
        <v>4</v>
      </c>
      <c r="H358">
        <v>0</v>
      </c>
      <c r="I358" t="s">
        <v>33</v>
      </c>
      <c r="J358">
        <v>0</v>
      </c>
      <c r="K358">
        <v>62</v>
      </c>
      <c r="L358" t="s">
        <v>24</v>
      </c>
      <c r="M358" t="s">
        <v>35</v>
      </c>
      <c r="N358" t="s">
        <v>30</v>
      </c>
      <c r="O358" t="s">
        <v>27</v>
      </c>
      <c r="P358">
        <v>2.85</v>
      </c>
      <c r="Q358" s="2" t="b">
        <f>FALSE()</f>
        <v>0</v>
      </c>
      <c r="R358">
        <v>0</v>
      </c>
    </row>
    <row r="359" spans="1:18" x14ac:dyDescent="0.25">
      <c r="A359">
        <v>200358</v>
      </c>
      <c r="B359">
        <v>52809</v>
      </c>
      <c r="C359" t="s">
        <v>18</v>
      </c>
      <c r="D359">
        <v>619.46</v>
      </c>
      <c r="E359">
        <v>2270</v>
      </c>
      <c r="F359">
        <v>2</v>
      </c>
      <c r="G359">
        <v>1</v>
      </c>
      <c r="H359">
        <v>0</v>
      </c>
      <c r="I359" t="s">
        <v>19</v>
      </c>
      <c r="J359">
        <v>0</v>
      </c>
      <c r="K359">
        <v>24</v>
      </c>
      <c r="L359" t="s">
        <v>20</v>
      </c>
      <c r="M359" t="s">
        <v>21</v>
      </c>
      <c r="N359" t="s">
        <v>30</v>
      </c>
      <c r="O359" t="s">
        <v>27</v>
      </c>
      <c r="P359">
        <v>0.97</v>
      </c>
      <c r="Q359" s="2" t="b">
        <f>FALSE()</f>
        <v>0</v>
      </c>
      <c r="R359">
        <v>0</v>
      </c>
    </row>
    <row r="360" spans="1:18" x14ac:dyDescent="0.25">
      <c r="A360">
        <v>200359</v>
      </c>
      <c r="B360">
        <v>54868</v>
      </c>
      <c r="C360" t="s">
        <v>34</v>
      </c>
      <c r="D360">
        <v>962.23</v>
      </c>
      <c r="E360">
        <v>2819</v>
      </c>
      <c r="F360">
        <v>4</v>
      </c>
      <c r="G360">
        <v>6</v>
      </c>
      <c r="H360">
        <v>0</v>
      </c>
      <c r="I360" t="s">
        <v>33</v>
      </c>
      <c r="J360">
        <v>0</v>
      </c>
      <c r="K360">
        <v>60</v>
      </c>
      <c r="L360" t="s">
        <v>20</v>
      </c>
      <c r="M360" t="s">
        <v>35</v>
      </c>
      <c r="N360" t="s">
        <v>30</v>
      </c>
      <c r="O360" t="s">
        <v>36</v>
      </c>
      <c r="P360">
        <v>0.35</v>
      </c>
      <c r="Q360" s="2" t="b">
        <f>FALSE()</f>
        <v>0</v>
      </c>
      <c r="R360">
        <v>1</v>
      </c>
    </row>
    <row r="361" spans="1:18" x14ac:dyDescent="0.25">
      <c r="A361">
        <v>200360</v>
      </c>
      <c r="B361">
        <v>51368</v>
      </c>
      <c r="C361" t="s">
        <v>18</v>
      </c>
      <c r="D361">
        <v>1767.3</v>
      </c>
      <c r="E361">
        <v>1554</v>
      </c>
      <c r="F361">
        <v>0</v>
      </c>
      <c r="G361">
        <v>3</v>
      </c>
      <c r="H361">
        <v>0</v>
      </c>
      <c r="I361" t="s">
        <v>19</v>
      </c>
      <c r="J361">
        <v>0</v>
      </c>
      <c r="K361">
        <v>29</v>
      </c>
      <c r="L361" t="s">
        <v>24</v>
      </c>
      <c r="M361" t="s">
        <v>21</v>
      </c>
      <c r="N361" t="s">
        <v>30</v>
      </c>
      <c r="O361" t="s">
        <v>23</v>
      </c>
      <c r="P361">
        <v>3.2</v>
      </c>
      <c r="Q361" s="2" t="b">
        <f>FALSE()</f>
        <v>0</v>
      </c>
      <c r="R361">
        <v>0</v>
      </c>
    </row>
    <row r="362" spans="1:18" x14ac:dyDescent="0.25">
      <c r="A362">
        <v>200361</v>
      </c>
      <c r="B362">
        <v>50826</v>
      </c>
      <c r="C362" t="s">
        <v>18</v>
      </c>
      <c r="D362">
        <v>3209.96</v>
      </c>
      <c r="E362">
        <v>3423</v>
      </c>
      <c r="F362">
        <v>0</v>
      </c>
      <c r="G362">
        <v>5</v>
      </c>
      <c r="H362">
        <v>0</v>
      </c>
      <c r="I362" t="s">
        <v>33</v>
      </c>
      <c r="J362">
        <v>0</v>
      </c>
      <c r="K362">
        <v>55</v>
      </c>
      <c r="L362" t="s">
        <v>20</v>
      </c>
      <c r="M362" t="s">
        <v>31</v>
      </c>
      <c r="N362" t="s">
        <v>22</v>
      </c>
      <c r="O362" t="s">
        <v>36</v>
      </c>
      <c r="P362">
        <v>0.59</v>
      </c>
      <c r="Q362" s="2" t="b">
        <f>FALSE()</f>
        <v>0</v>
      </c>
      <c r="R362">
        <v>0</v>
      </c>
    </row>
    <row r="363" spans="1:18" x14ac:dyDescent="0.25">
      <c r="A363">
        <v>200362</v>
      </c>
      <c r="B363">
        <v>55491</v>
      </c>
      <c r="C363" t="s">
        <v>34</v>
      </c>
      <c r="D363">
        <v>3512.15</v>
      </c>
      <c r="E363">
        <v>644</v>
      </c>
      <c r="F363">
        <v>2</v>
      </c>
      <c r="G363">
        <v>5</v>
      </c>
      <c r="H363">
        <v>0</v>
      </c>
      <c r="I363" t="s">
        <v>19</v>
      </c>
      <c r="J363">
        <v>1</v>
      </c>
      <c r="K363">
        <v>69</v>
      </c>
      <c r="L363" t="s">
        <v>20</v>
      </c>
      <c r="M363" t="s">
        <v>31</v>
      </c>
      <c r="N363" t="s">
        <v>26</v>
      </c>
      <c r="O363" t="s">
        <v>36</v>
      </c>
      <c r="P363">
        <v>9.0399999999999991</v>
      </c>
      <c r="Q363" s="2" t="b">
        <f>FALSE()</f>
        <v>0</v>
      </c>
      <c r="R363">
        <v>0</v>
      </c>
    </row>
    <row r="364" spans="1:18" x14ac:dyDescent="0.25">
      <c r="A364">
        <v>200363</v>
      </c>
      <c r="B364">
        <v>51398</v>
      </c>
      <c r="C364" t="s">
        <v>18</v>
      </c>
      <c r="D364">
        <v>563.79</v>
      </c>
      <c r="E364">
        <v>2741</v>
      </c>
      <c r="F364">
        <v>2</v>
      </c>
      <c r="G364">
        <v>6</v>
      </c>
      <c r="H364">
        <v>1</v>
      </c>
      <c r="I364" t="s">
        <v>33</v>
      </c>
      <c r="J364">
        <v>0</v>
      </c>
      <c r="K364">
        <v>73</v>
      </c>
      <c r="L364" t="s">
        <v>20</v>
      </c>
      <c r="M364" t="s">
        <v>31</v>
      </c>
      <c r="N364" t="s">
        <v>22</v>
      </c>
      <c r="O364" t="s">
        <v>36</v>
      </c>
      <c r="P364">
        <v>0</v>
      </c>
      <c r="Q364" s="2" t="b">
        <f>FALSE()</f>
        <v>0</v>
      </c>
      <c r="R364">
        <v>0</v>
      </c>
    </row>
    <row r="365" spans="1:18" x14ac:dyDescent="0.25">
      <c r="A365">
        <v>200364</v>
      </c>
      <c r="B365">
        <v>55765</v>
      </c>
      <c r="C365" t="s">
        <v>18</v>
      </c>
      <c r="D365">
        <v>2056.84</v>
      </c>
      <c r="E365">
        <v>2617</v>
      </c>
      <c r="F365">
        <v>3</v>
      </c>
      <c r="G365">
        <v>7</v>
      </c>
      <c r="H365">
        <v>0</v>
      </c>
      <c r="I365" t="s">
        <v>33</v>
      </c>
      <c r="J365">
        <v>0</v>
      </c>
      <c r="K365">
        <v>23</v>
      </c>
      <c r="L365" t="s">
        <v>20</v>
      </c>
      <c r="M365" t="s">
        <v>25</v>
      </c>
      <c r="N365" t="s">
        <v>30</v>
      </c>
      <c r="O365" t="s">
        <v>36</v>
      </c>
      <c r="P365">
        <v>0.32</v>
      </c>
      <c r="Q365" s="2" t="b">
        <f>FALSE()</f>
        <v>0</v>
      </c>
      <c r="R365">
        <v>1</v>
      </c>
    </row>
    <row r="366" spans="1:18" x14ac:dyDescent="0.25">
      <c r="A366">
        <v>200365</v>
      </c>
      <c r="B366">
        <v>51728</v>
      </c>
      <c r="C366" t="s">
        <v>18</v>
      </c>
      <c r="D366">
        <v>623.12</v>
      </c>
      <c r="E366">
        <v>1054</v>
      </c>
      <c r="F366">
        <v>0</v>
      </c>
      <c r="G366">
        <v>3</v>
      </c>
      <c r="H366">
        <v>0</v>
      </c>
      <c r="I366" t="s">
        <v>19</v>
      </c>
      <c r="J366">
        <v>0</v>
      </c>
      <c r="K366">
        <v>54</v>
      </c>
      <c r="L366" t="s">
        <v>24</v>
      </c>
      <c r="M366" t="s">
        <v>31</v>
      </c>
      <c r="N366" t="s">
        <v>26</v>
      </c>
      <c r="O366" t="s">
        <v>36</v>
      </c>
      <c r="P366">
        <v>0.56000000000000005</v>
      </c>
      <c r="Q366" s="2" t="b">
        <f>FALSE()</f>
        <v>0</v>
      </c>
      <c r="R366">
        <v>0</v>
      </c>
    </row>
    <row r="367" spans="1:18" x14ac:dyDescent="0.25">
      <c r="A367">
        <v>200366</v>
      </c>
      <c r="B367">
        <v>54331</v>
      </c>
      <c r="C367" t="s">
        <v>28</v>
      </c>
      <c r="D367">
        <v>3062.94</v>
      </c>
      <c r="E367">
        <v>3402</v>
      </c>
      <c r="F367">
        <v>2</v>
      </c>
      <c r="G367">
        <v>3</v>
      </c>
      <c r="H367">
        <v>0</v>
      </c>
      <c r="I367" t="s">
        <v>19</v>
      </c>
      <c r="J367">
        <v>0</v>
      </c>
      <c r="K367">
        <v>43</v>
      </c>
      <c r="L367" t="s">
        <v>20</v>
      </c>
      <c r="M367" t="s">
        <v>31</v>
      </c>
      <c r="N367" t="s">
        <v>22</v>
      </c>
      <c r="O367" t="s">
        <v>36</v>
      </c>
      <c r="P367">
        <v>0.59</v>
      </c>
      <c r="Q367" s="2" t="b">
        <f>FALSE()</f>
        <v>0</v>
      </c>
      <c r="R367">
        <v>0</v>
      </c>
    </row>
    <row r="368" spans="1:18" x14ac:dyDescent="0.25">
      <c r="A368">
        <v>200367</v>
      </c>
      <c r="B368">
        <v>52336</v>
      </c>
      <c r="C368" t="s">
        <v>18</v>
      </c>
      <c r="D368">
        <v>2362.94</v>
      </c>
      <c r="E368">
        <v>516</v>
      </c>
      <c r="F368">
        <v>2</v>
      </c>
      <c r="G368">
        <v>5</v>
      </c>
      <c r="H368">
        <v>0</v>
      </c>
      <c r="I368" t="s">
        <v>19</v>
      </c>
      <c r="J368">
        <v>0</v>
      </c>
      <c r="K368">
        <v>60</v>
      </c>
      <c r="L368" t="s">
        <v>24</v>
      </c>
      <c r="M368" t="s">
        <v>21</v>
      </c>
      <c r="N368" t="s">
        <v>30</v>
      </c>
      <c r="O368" t="s">
        <v>36</v>
      </c>
      <c r="P368">
        <v>0.1</v>
      </c>
      <c r="Q368" s="2" t="b">
        <f>FALSE()</f>
        <v>0</v>
      </c>
      <c r="R368">
        <v>0</v>
      </c>
    </row>
    <row r="369" spans="1:18" x14ac:dyDescent="0.25">
      <c r="A369">
        <v>200368</v>
      </c>
      <c r="B369">
        <v>54529</v>
      </c>
      <c r="C369" t="s">
        <v>18</v>
      </c>
      <c r="D369">
        <v>832.96</v>
      </c>
      <c r="E369">
        <v>1890</v>
      </c>
      <c r="F369">
        <v>1</v>
      </c>
      <c r="G369">
        <v>5</v>
      </c>
      <c r="H369">
        <v>0</v>
      </c>
      <c r="I369" t="s">
        <v>33</v>
      </c>
      <c r="J369">
        <v>0</v>
      </c>
      <c r="K369">
        <v>72</v>
      </c>
      <c r="L369" t="s">
        <v>20</v>
      </c>
      <c r="M369" t="s">
        <v>37</v>
      </c>
      <c r="N369" t="s">
        <v>30</v>
      </c>
      <c r="O369" t="s">
        <v>36</v>
      </c>
      <c r="P369">
        <v>2.33</v>
      </c>
      <c r="Q369" s="2" t="b">
        <f>FALSE()</f>
        <v>0</v>
      </c>
      <c r="R369">
        <v>0</v>
      </c>
    </row>
    <row r="370" spans="1:18" x14ac:dyDescent="0.25">
      <c r="A370">
        <v>200369</v>
      </c>
      <c r="B370">
        <v>51369</v>
      </c>
      <c r="C370" t="s">
        <v>34</v>
      </c>
      <c r="D370">
        <v>2763.88</v>
      </c>
      <c r="E370">
        <v>3609</v>
      </c>
      <c r="F370">
        <v>2</v>
      </c>
      <c r="G370">
        <v>2</v>
      </c>
      <c r="H370">
        <v>0</v>
      </c>
      <c r="I370" t="s">
        <v>19</v>
      </c>
      <c r="J370">
        <v>0</v>
      </c>
      <c r="K370">
        <v>69</v>
      </c>
      <c r="L370" t="s">
        <v>24</v>
      </c>
      <c r="M370" t="s">
        <v>21</v>
      </c>
      <c r="N370" t="s">
        <v>26</v>
      </c>
      <c r="O370" t="s">
        <v>36</v>
      </c>
      <c r="P370">
        <v>2.76</v>
      </c>
      <c r="Q370" s="2" t="b">
        <f>FALSE()</f>
        <v>0</v>
      </c>
      <c r="R370">
        <v>0</v>
      </c>
    </row>
    <row r="371" spans="1:18" x14ac:dyDescent="0.25">
      <c r="A371">
        <v>200370</v>
      </c>
      <c r="B371">
        <v>50702</v>
      </c>
      <c r="C371" t="s">
        <v>34</v>
      </c>
      <c r="D371">
        <v>2000</v>
      </c>
      <c r="E371">
        <v>267</v>
      </c>
      <c r="F371">
        <v>0</v>
      </c>
      <c r="G371">
        <v>2</v>
      </c>
      <c r="H371">
        <v>1</v>
      </c>
      <c r="I371" t="s">
        <v>19</v>
      </c>
      <c r="J371">
        <v>0</v>
      </c>
      <c r="K371">
        <v>45</v>
      </c>
      <c r="L371" t="s">
        <v>20</v>
      </c>
      <c r="M371" t="s">
        <v>21</v>
      </c>
      <c r="N371" t="s">
        <v>22</v>
      </c>
      <c r="O371" t="s">
        <v>27</v>
      </c>
      <c r="P371">
        <v>0.36</v>
      </c>
      <c r="Q371" s="2" t="b">
        <f>FALSE()</f>
        <v>0</v>
      </c>
      <c r="R371">
        <v>0</v>
      </c>
    </row>
    <row r="372" spans="1:18" x14ac:dyDescent="0.25">
      <c r="A372">
        <v>200371</v>
      </c>
      <c r="B372">
        <v>52917</v>
      </c>
      <c r="C372" t="s">
        <v>28</v>
      </c>
      <c r="D372">
        <v>1661.62</v>
      </c>
      <c r="E372">
        <v>2411</v>
      </c>
      <c r="F372">
        <v>1</v>
      </c>
      <c r="G372">
        <v>3</v>
      </c>
      <c r="H372">
        <v>0</v>
      </c>
      <c r="I372" t="s">
        <v>33</v>
      </c>
      <c r="J372">
        <v>0</v>
      </c>
      <c r="K372">
        <v>72</v>
      </c>
      <c r="L372" t="s">
        <v>20</v>
      </c>
      <c r="M372" t="s">
        <v>35</v>
      </c>
      <c r="N372" t="s">
        <v>30</v>
      </c>
      <c r="O372" t="s">
        <v>27</v>
      </c>
      <c r="P372">
        <v>3.61</v>
      </c>
      <c r="Q372" s="2" t="b">
        <f>FALSE()</f>
        <v>0</v>
      </c>
      <c r="R372">
        <v>0</v>
      </c>
    </row>
    <row r="373" spans="1:18" x14ac:dyDescent="0.25">
      <c r="A373">
        <v>200372</v>
      </c>
      <c r="B373">
        <v>51664</v>
      </c>
      <c r="C373" t="s">
        <v>18</v>
      </c>
      <c r="D373">
        <v>2331.84</v>
      </c>
      <c r="E373">
        <v>1711</v>
      </c>
      <c r="F373">
        <v>1</v>
      </c>
      <c r="G373">
        <v>3</v>
      </c>
      <c r="H373">
        <v>0</v>
      </c>
      <c r="I373" t="s">
        <v>33</v>
      </c>
      <c r="J373">
        <v>0</v>
      </c>
      <c r="K373">
        <v>33</v>
      </c>
      <c r="L373" t="s">
        <v>20</v>
      </c>
      <c r="M373" t="s">
        <v>37</v>
      </c>
      <c r="N373" t="s">
        <v>22</v>
      </c>
      <c r="O373" t="s">
        <v>27</v>
      </c>
      <c r="P373">
        <v>2.5099999999999998</v>
      </c>
      <c r="Q373" s="2" t="b">
        <f>FALSE()</f>
        <v>0</v>
      </c>
      <c r="R373">
        <v>0</v>
      </c>
    </row>
    <row r="374" spans="1:18" x14ac:dyDescent="0.25">
      <c r="A374">
        <v>200373</v>
      </c>
      <c r="B374">
        <v>52573</v>
      </c>
      <c r="C374" t="s">
        <v>18</v>
      </c>
      <c r="D374">
        <v>1534.31</v>
      </c>
      <c r="E374">
        <v>1039</v>
      </c>
      <c r="F374">
        <v>0</v>
      </c>
      <c r="G374">
        <v>3</v>
      </c>
      <c r="H374">
        <v>0</v>
      </c>
      <c r="I374" t="s">
        <v>33</v>
      </c>
      <c r="J374">
        <v>1</v>
      </c>
      <c r="K374">
        <v>75</v>
      </c>
      <c r="L374" t="s">
        <v>20</v>
      </c>
      <c r="M374" t="s">
        <v>37</v>
      </c>
      <c r="N374" t="s">
        <v>30</v>
      </c>
      <c r="O374" t="s">
        <v>27</v>
      </c>
      <c r="P374">
        <v>6.51</v>
      </c>
      <c r="Q374" s="2" t="b">
        <f>FALSE()</f>
        <v>0</v>
      </c>
      <c r="R374">
        <v>0</v>
      </c>
    </row>
    <row r="375" spans="1:18" x14ac:dyDescent="0.25">
      <c r="A375">
        <v>200374</v>
      </c>
      <c r="B375">
        <v>55390</v>
      </c>
      <c r="C375" t="s">
        <v>34</v>
      </c>
      <c r="D375">
        <v>4780.68</v>
      </c>
      <c r="E375">
        <v>215</v>
      </c>
      <c r="F375">
        <v>2</v>
      </c>
      <c r="G375">
        <v>8</v>
      </c>
      <c r="H375">
        <v>0</v>
      </c>
      <c r="I375" t="s">
        <v>33</v>
      </c>
      <c r="J375">
        <v>0</v>
      </c>
      <c r="K375">
        <v>71</v>
      </c>
      <c r="L375" t="s">
        <v>20</v>
      </c>
      <c r="M375" t="s">
        <v>25</v>
      </c>
      <c r="N375" t="s">
        <v>26</v>
      </c>
      <c r="O375" t="s">
        <v>36</v>
      </c>
      <c r="P375">
        <v>6.08</v>
      </c>
      <c r="Q375" s="2" t="b">
        <f>FALSE()</f>
        <v>0</v>
      </c>
      <c r="R375">
        <v>1</v>
      </c>
    </row>
    <row r="376" spans="1:18" x14ac:dyDescent="0.25">
      <c r="A376">
        <v>200375</v>
      </c>
      <c r="B376">
        <v>53783</v>
      </c>
      <c r="C376" t="s">
        <v>34</v>
      </c>
      <c r="D376">
        <v>1683.65</v>
      </c>
      <c r="E376">
        <v>2873</v>
      </c>
      <c r="F376">
        <v>1</v>
      </c>
      <c r="G376">
        <v>5</v>
      </c>
      <c r="H376">
        <v>1</v>
      </c>
      <c r="I376" t="s">
        <v>33</v>
      </c>
      <c r="J376">
        <v>1</v>
      </c>
      <c r="K376">
        <v>81</v>
      </c>
      <c r="L376" t="s">
        <v>20</v>
      </c>
      <c r="M376" t="s">
        <v>31</v>
      </c>
      <c r="N376" t="s">
        <v>30</v>
      </c>
      <c r="O376" t="s">
        <v>27</v>
      </c>
      <c r="P376">
        <v>1.1000000000000001</v>
      </c>
      <c r="Q376" s="2" t="b">
        <f>FALSE()</f>
        <v>0</v>
      </c>
      <c r="R376">
        <v>0</v>
      </c>
    </row>
    <row r="377" spans="1:18" x14ac:dyDescent="0.25">
      <c r="A377">
        <v>200376</v>
      </c>
      <c r="B377">
        <v>50787</v>
      </c>
      <c r="C377" t="s">
        <v>34</v>
      </c>
      <c r="D377">
        <v>736.76</v>
      </c>
      <c r="E377">
        <v>28</v>
      </c>
      <c r="F377">
        <v>1</v>
      </c>
      <c r="G377">
        <v>7</v>
      </c>
      <c r="H377">
        <v>1</v>
      </c>
      <c r="I377" t="s">
        <v>19</v>
      </c>
      <c r="J377">
        <v>1</v>
      </c>
      <c r="K377">
        <v>56</v>
      </c>
      <c r="L377" t="s">
        <v>20</v>
      </c>
      <c r="M377" t="s">
        <v>25</v>
      </c>
      <c r="N377" t="s">
        <v>22</v>
      </c>
      <c r="O377" t="s">
        <v>36</v>
      </c>
      <c r="P377">
        <v>0.68</v>
      </c>
      <c r="Q377" s="2" t="b">
        <f>FALSE()</f>
        <v>0</v>
      </c>
      <c r="R377">
        <v>1</v>
      </c>
    </row>
    <row r="378" spans="1:18" x14ac:dyDescent="0.25">
      <c r="A378">
        <v>200377</v>
      </c>
      <c r="B378">
        <v>55161</v>
      </c>
      <c r="C378" t="s">
        <v>18</v>
      </c>
      <c r="D378">
        <v>1813.27</v>
      </c>
      <c r="E378">
        <v>1337</v>
      </c>
      <c r="F378">
        <v>1</v>
      </c>
      <c r="G378">
        <v>3</v>
      </c>
      <c r="H378">
        <v>0</v>
      </c>
      <c r="I378" t="s">
        <v>33</v>
      </c>
      <c r="J378">
        <v>1</v>
      </c>
      <c r="K378">
        <v>25</v>
      </c>
      <c r="L378" t="s">
        <v>20</v>
      </c>
      <c r="M378" t="s">
        <v>21</v>
      </c>
      <c r="N378" t="s">
        <v>22</v>
      </c>
      <c r="O378" t="s">
        <v>27</v>
      </c>
      <c r="P378">
        <v>1.8</v>
      </c>
      <c r="Q378" s="2" t="b">
        <f>FALSE()</f>
        <v>0</v>
      </c>
      <c r="R378">
        <v>0</v>
      </c>
    </row>
    <row r="379" spans="1:18" x14ac:dyDescent="0.25">
      <c r="A379">
        <v>200378</v>
      </c>
      <c r="B379">
        <v>55931</v>
      </c>
      <c r="C379" t="s">
        <v>18</v>
      </c>
      <c r="D379">
        <v>3185.41</v>
      </c>
      <c r="E379">
        <v>2963</v>
      </c>
      <c r="F379">
        <v>4</v>
      </c>
      <c r="G379">
        <v>4</v>
      </c>
      <c r="H379">
        <v>0</v>
      </c>
      <c r="I379" t="s">
        <v>19</v>
      </c>
      <c r="J379">
        <v>1</v>
      </c>
      <c r="K379">
        <v>38</v>
      </c>
      <c r="L379" t="s">
        <v>20</v>
      </c>
      <c r="M379" t="s">
        <v>21</v>
      </c>
      <c r="N379" t="s">
        <v>22</v>
      </c>
      <c r="O379" t="s">
        <v>27</v>
      </c>
      <c r="P379">
        <v>0.75</v>
      </c>
      <c r="Q379" s="2" t="b">
        <f>FALSE()</f>
        <v>0</v>
      </c>
      <c r="R379">
        <v>1</v>
      </c>
    </row>
    <row r="380" spans="1:18" x14ac:dyDescent="0.25">
      <c r="A380">
        <v>200379</v>
      </c>
      <c r="B380">
        <v>50356</v>
      </c>
      <c r="C380" t="s">
        <v>34</v>
      </c>
      <c r="D380">
        <v>4320.2299999999996</v>
      </c>
      <c r="E380">
        <v>2119</v>
      </c>
      <c r="F380">
        <v>2</v>
      </c>
      <c r="G380">
        <v>3</v>
      </c>
      <c r="H380">
        <v>0</v>
      </c>
      <c r="I380" t="s">
        <v>19</v>
      </c>
      <c r="J380">
        <v>0</v>
      </c>
      <c r="K380">
        <v>59</v>
      </c>
      <c r="L380" t="s">
        <v>20</v>
      </c>
      <c r="M380" t="s">
        <v>31</v>
      </c>
      <c r="N380" t="s">
        <v>26</v>
      </c>
      <c r="O380" t="s">
        <v>27</v>
      </c>
      <c r="P380">
        <v>5.0199999999999996</v>
      </c>
      <c r="Q380" s="2" t="b">
        <f>FALSE()</f>
        <v>0</v>
      </c>
      <c r="R380">
        <v>1</v>
      </c>
    </row>
    <row r="381" spans="1:18" x14ac:dyDescent="0.25">
      <c r="A381">
        <v>200380</v>
      </c>
      <c r="B381">
        <v>52686</v>
      </c>
      <c r="C381" t="s">
        <v>18</v>
      </c>
      <c r="D381">
        <v>7687.37</v>
      </c>
      <c r="E381">
        <v>3286</v>
      </c>
      <c r="F381">
        <v>2</v>
      </c>
      <c r="G381">
        <v>2</v>
      </c>
      <c r="H381">
        <v>0</v>
      </c>
      <c r="I381" t="s">
        <v>19</v>
      </c>
      <c r="J381">
        <v>0</v>
      </c>
      <c r="K381">
        <v>51</v>
      </c>
      <c r="L381" t="s">
        <v>24</v>
      </c>
      <c r="M381" t="s">
        <v>25</v>
      </c>
      <c r="N381" t="s">
        <v>22</v>
      </c>
      <c r="O381" t="s">
        <v>27</v>
      </c>
      <c r="P381">
        <v>0.31</v>
      </c>
      <c r="Q381" s="2" t="b">
        <f>TRUE()</f>
        <v>1</v>
      </c>
      <c r="R381">
        <v>1</v>
      </c>
    </row>
    <row r="382" spans="1:18" x14ac:dyDescent="0.25">
      <c r="A382">
        <v>200381</v>
      </c>
      <c r="B382">
        <v>54766</v>
      </c>
      <c r="C382" t="s">
        <v>18</v>
      </c>
      <c r="D382">
        <v>3453.86</v>
      </c>
      <c r="E382">
        <v>1961</v>
      </c>
      <c r="F382">
        <v>1</v>
      </c>
      <c r="G382">
        <v>4</v>
      </c>
      <c r="H382">
        <v>0</v>
      </c>
      <c r="I382" t="s">
        <v>32</v>
      </c>
      <c r="J382">
        <v>0</v>
      </c>
      <c r="K382">
        <v>49</v>
      </c>
      <c r="L382" t="s">
        <v>38</v>
      </c>
      <c r="M382" t="s">
        <v>29</v>
      </c>
      <c r="N382" t="s">
        <v>22</v>
      </c>
      <c r="O382" t="s">
        <v>36</v>
      </c>
      <c r="P382">
        <v>4.04</v>
      </c>
      <c r="Q382" s="2" t="b">
        <f>FALSE()</f>
        <v>0</v>
      </c>
      <c r="R382">
        <v>0</v>
      </c>
    </row>
    <row r="383" spans="1:18" x14ac:dyDescent="0.25">
      <c r="A383">
        <v>200382</v>
      </c>
      <c r="B383">
        <v>54071</v>
      </c>
      <c r="C383" t="s">
        <v>18</v>
      </c>
      <c r="D383">
        <v>2723.25</v>
      </c>
      <c r="E383">
        <v>1857</v>
      </c>
      <c r="F383">
        <v>2</v>
      </c>
      <c r="G383">
        <v>5</v>
      </c>
      <c r="H383">
        <v>0</v>
      </c>
      <c r="I383" t="s">
        <v>32</v>
      </c>
      <c r="J383">
        <v>0</v>
      </c>
      <c r="K383">
        <v>20</v>
      </c>
      <c r="L383" t="s">
        <v>24</v>
      </c>
      <c r="M383" t="s">
        <v>29</v>
      </c>
      <c r="N383" t="s">
        <v>22</v>
      </c>
      <c r="O383" t="s">
        <v>36</v>
      </c>
      <c r="P383">
        <v>0.37</v>
      </c>
      <c r="Q383" s="2" t="b">
        <f>FALSE()</f>
        <v>0</v>
      </c>
      <c r="R383">
        <v>0</v>
      </c>
    </row>
    <row r="384" spans="1:18" x14ac:dyDescent="0.25">
      <c r="A384">
        <v>200383</v>
      </c>
      <c r="B384">
        <v>51625</v>
      </c>
      <c r="C384" t="s">
        <v>18</v>
      </c>
      <c r="D384">
        <v>4083.06</v>
      </c>
      <c r="E384">
        <v>3356</v>
      </c>
      <c r="F384">
        <v>1</v>
      </c>
      <c r="G384">
        <v>3</v>
      </c>
      <c r="H384">
        <v>0</v>
      </c>
      <c r="I384" t="s">
        <v>33</v>
      </c>
      <c r="J384">
        <v>1</v>
      </c>
      <c r="K384">
        <v>59</v>
      </c>
      <c r="L384" t="s">
        <v>20</v>
      </c>
      <c r="M384" t="s">
        <v>31</v>
      </c>
      <c r="N384" t="s">
        <v>22</v>
      </c>
      <c r="O384" t="s">
        <v>36</v>
      </c>
      <c r="P384">
        <v>1.64</v>
      </c>
      <c r="Q384" s="2" t="b">
        <f>FALSE()</f>
        <v>0</v>
      </c>
      <c r="R384">
        <v>1</v>
      </c>
    </row>
    <row r="385" spans="1:18" x14ac:dyDescent="0.25">
      <c r="A385">
        <v>200384</v>
      </c>
      <c r="B385">
        <v>52404</v>
      </c>
      <c r="C385" t="s">
        <v>28</v>
      </c>
      <c r="D385">
        <v>1806.4</v>
      </c>
      <c r="E385">
        <v>1432</v>
      </c>
      <c r="F385">
        <v>0</v>
      </c>
      <c r="G385">
        <v>4</v>
      </c>
      <c r="H385">
        <v>0</v>
      </c>
      <c r="I385" t="s">
        <v>19</v>
      </c>
      <c r="J385">
        <v>0</v>
      </c>
      <c r="K385">
        <v>81</v>
      </c>
      <c r="L385" t="s">
        <v>24</v>
      </c>
      <c r="M385" t="s">
        <v>35</v>
      </c>
      <c r="N385" t="s">
        <v>30</v>
      </c>
      <c r="O385" t="s">
        <v>23</v>
      </c>
      <c r="P385">
        <v>2.77</v>
      </c>
      <c r="Q385" s="2" t="b">
        <f>FALSE()</f>
        <v>0</v>
      </c>
      <c r="R385">
        <v>0</v>
      </c>
    </row>
    <row r="386" spans="1:18" x14ac:dyDescent="0.25">
      <c r="A386">
        <v>200385</v>
      </c>
      <c r="B386">
        <v>50471</v>
      </c>
      <c r="C386" t="s">
        <v>28</v>
      </c>
      <c r="D386">
        <v>3031.14</v>
      </c>
      <c r="E386">
        <v>601</v>
      </c>
      <c r="F386">
        <v>2</v>
      </c>
      <c r="G386">
        <v>5</v>
      </c>
      <c r="H386">
        <v>0</v>
      </c>
      <c r="I386" t="s">
        <v>33</v>
      </c>
      <c r="J386">
        <v>0</v>
      </c>
      <c r="K386">
        <v>62</v>
      </c>
      <c r="L386" t="s">
        <v>20</v>
      </c>
      <c r="M386" t="s">
        <v>29</v>
      </c>
      <c r="N386" t="s">
        <v>22</v>
      </c>
      <c r="O386" t="s">
        <v>36</v>
      </c>
      <c r="P386">
        <v>7.0000000000000007E-2</v>
      </c>
      <c r="Q386" s="2" t="b">
        <f>FALSE()</f>
        <v>0</v>
      </c>
      <c r="R386">
        <v>0</v>
      </c>
    </row>
    <row r="387" spans="1:18" x14ac:dyDescent="0.25">
      <c r="A387">
        <v>200386</v>
      </c>
      <c r="B387">
        <v>51070</v>
      </c>
      <c r="C387" t="s">
        <v>18</v>
      </c>
      <c r="D387">
        <v>3097.29</v>
      </c>
      <c r="E387">
        <v>123</v>
      </c>
      <c r="F387">
        <v>0</v>
      </c>
      <c r="G387">
        <v>1</v>
      </c>
      <c r="H387">
        <v>0</v>
      </c>
      <c r="I387" t="s">
        <v>19</v>
      </c>
      <c r="J387">
        <v>0</v>
      </c>
      <c r="K387">
        <v>47</v>
      </c>
      <c r="L387" t="s">
        <v>24</v>
      </c>
      <c r="M387" t="s">
        <v>21</v>
      </c>
      <c r="N387" t="s">
        <v>22</v>
      </c>
      <c r="O387" t="s">
        <v>36</v>
      </c>
      <c r="P387">
        <v>0.9</v>
      </c>
      <c r="Q387" s="2" t="b">
        <f>FALSE()</f>
        <v>0</v>
      </c>
      <c r="R387">
        <v>0</v>
      </c>
    </row>
    <row r="388" spans="1:18" x14ac:dyDescent="0.25">
      <c r="A388">
        <v>200387</v>
      </c>
      <c r="B388">
        <v>54109</v>
      </c>
      <c r="C388" t="s">
        <v>18</v>
      </c>
      <c r="D388">
        <v>2588.79</v>
      </c>
      <c r="E388">
        <v>1975</v>
      </c>
      <c r="F388">
        <v>0</v>
      </c>
      <c r="G388">
        <v>3</v>
      </c>
      <c r="H388">
        <v>1</v>
      </c>
      <c r="I388" t="s">
        <v>33</v>
      </c>
      <c r="J388">
        <v>0</v>
      </c>
      <c r="K388">
        <v>67</v>
      </c>
      <c r="L388" t="s">
        <v>38</v>
      </c>
      <c r="M388" t="s">
        <v>25</v>
      </c>
      <c r="N388" t="s">
        <v>22</v>
      </c>
      <c r="O388" t="s">
        <v>36</v>
      </c>
      <c r="P388">
        <v>2.5</v>
      </c>
      <c r="Q388" s="2" t="b">
        <f>FALSE()</f>
        <v>0</v>
      </c>
      <c r="R388">
        <v>0</v>
      </c>
    </row>
    <row r="389" spans="1:18" x14ac:dyDescent="0.25">
      <c r="A389">
        <v>200388</v>
      </c>
      <c r="B389">
        <v>55090</v>
      </c>
      <c r="C389" t="s">
        <v>34</v>
      </c>
      <c r="D389">
        <v>293.42</v>
      </c>
      <c r="E389">
        <v>2035</v>
      </c>
      <c r="F389">
        <v>2</v>
      </c>
      <c r="G389">
        <v>3</v>
      </c>
      <c r="H389">
        <v>0</v>
      </c>
      <c r="I389" t="s">
        <v>33</v>
      </c>
      <c r="J389">
        <v>0</v>
      </c>
      <c r="K389">
        <v>61</v>
      </c>
      <c r="L389" t="s">
        <v>24</v>
      </c>
      <c r="M389" t="s">
        <v>21</v>
      </c>
      <c r="N389" t="s">
        <v>22</v>
      </c>
      <c r="O389" t="s">
        <v>36</v>
      </c>
      <c r="P389">
        <v>4.3</v>
      </c>
      <c r="Q389" s="2" t="b">
        <f>FALSE()</f>
        <v>0</v>
      </c>
      <c r="R389">
        <v>0</v>
      </c>
    </row>
    <row r="390" spans="1:18" x14ac:dyDescent="0.25">
      <c r="A390">
        <v>200389</v>
      </c>
      <c r="B390">
        <v>51931</v>
      </c>
      <c r="C390" t="s">
        <v>28</v>
      </c>
      <c r="D390">
        <v>9695.75</v>
      </c>
      <c r="E390">
        <v>1132</v>
      </c>
      <c r="F390">
        <v>0</v>
      </c>
      <c r="G390">
        <v>4</v>
      </c>
      <c r="H390">
        <v>0</v>
      </c>
      <c r="I390" t="s">
        <v>33</v>
      </c>
      <c r="J390">
        <v>0</v>
      </c>
      <c r="K390">
        <v>84</v>
      </c>
      <c r="L390" t="s">
        <v>20</v>
      </c>
      <c r="M390" t="s">
        <v>29</v>
      </c>
      <c r="N390" t="s">
        <v>30</v>
      </c>
      <c r="O390" t="s">
        <v>23</v>
      </c>
      <c r="P390">
        <v>1.29</v>
      </c>
      <c r="Q390" s="2" t="b">
        <f>TRUE()</f>
        <v>1</v>
      </c>
      <c r="R390">
        <v>1</v>
      </c>
    </row>
    <row r="391" spans="1:18" x14ac:dyDescent="0.25">
      <c r="A391">
        <v>200390</v>
      </c>
      <c r="B391">
        <v>50400</v>
      </c>
      <c r="C391" t="s">
        <v>18</v>
      </c>
      <c r="D391">
        <v>1864.2</v>
      </c>
      <c r="E391">
        <v>2139</v>
      </c>
      <c r="F391">
        <v>1</v>
      </c>
      <c r="G391">
        <v>4</v>
      </c>
      <c r="H391">
        <v>0</v>
      </c>
      <c r="I391" t="s">
        <v>33</v>
      </c>
      <c r="J391">
        <v>0</v>
      </c>
      <c r="K391">
        <v>29</v>
      </c>
      <c r="L391" t="s">
        <v>24</v>
      </c>
      <c r="M391" t="s">
        <v>31</v>
      </c>
      <c r="N391" t="s">
        <v>22</v>
      </c>
      <c r="O391" t="s">
        <v>36</v>
      </c>
      <c r="P391">
        <v>0.36</v>
      </c>
      <c r="Q391" s="2" t="b">
        <f>FALSE()</f>
        <v>0</v>
      </c>
      <c r="R391">
        <v>0</v>
      </c>
    </row>
    <row r="392" spans="1:18" x14ac:dyDescent="0.25">
      <c r="A392">
        <v>200391</v>
      </c>
      <c r="B392">
        <v>52608</v>
      </c>
      <c r="C392" t="s">
        <v>18</v>
      </c>
      <c r="D392">
        <v>1069.98</v>
      </c>
      <c r="E392">
        <v>2811</v>
      </c>
      <c r="F392">
        <v>0</v>
      </c>
      <c r="G392">
        <v>5</v>
      </c>
      <c r="H392">
        <v>0</v>
      </c>
      <c r="I392" t="s">
        <v>33</v>
      </c>
      <c r="J392">
        <v>0</v>
      </c>
      <c r="K392">
        <v>38</v>
      </c>
      <c r="L392" t="s">
        <v>20</v>
      </c>
      <c r="M392" t="s">
        <v>25</v>
      </c>
      <c r="N392" t="s">
        <v>26</v>
      </c>
      <c r="O392" t="s">
        <v>36</v>
      </c>
      <c r="P392">
        <v>5</v>
      </c>
      <c r="Q392" s="2" t="b">
        <f>FALSE()</f>
        <v>0</v>
      </c>
      <c r="R392">
        <v>0</v>
      </c>
    </row>
    <row r="393" spans="1:18" x14ac:dyDescent="0.25">
      <c r="A393">
        <v>200392</v>
      </c>
      <c r="B393">
        <v>54313</v>
      </c>
      <c r="C393" t="s">
        <v>34</v>
      </c>
      <c r="D393">
        <v>1347.77</v>
      </c>
      <c r="E393">
        <v>1984</v>
      </c>
      <c r="F393">
        <v>0</v>
      </c>
      <c r="G393">
        <v>4</v>
      </c>
      <c r="H393">
        <v>1</v>
      </c>
      <c r="I393" t="s">
        <v>33</v>
      </c>
      <c r="J393">
        <v>0</v>
      </c>
      <c r="K393">
        <v>53</v>
      </c>
      <c r="L393" t="s">
        <v>24</v>
      </c>
      <c r="M393" t="s">
        <v>35</v>
      </c>
      <c r="N393" t="s">
        <v>22</v>
      </c>
      <c r="O393" t="s">
        <v>36</v>
      </c>
      <c r="P393">
        <v>2.93</v>
      </c>
      <c r="Q393" s="2" t="b">
        <f>FALSE()</f>
        <v>0</v>
      </c>
      <c r="R393">
        <v>0</v>
      </c>
    </row>
    <row r="394" spans="1:18" x14ac:dyDescent="0.25">
      <c r="A394">
        <v>200393</v>
      </c>
      <c r="B394">
        <v>50159</v>
      </c>
      <c r="C394" t="s">
        <v>18</v>
      </c>
      <c r="D394">
        <v>7633.22</v>
      </c>
      <c r="E394">
        <v>2087</v>
      </c>
      <c r="F394">
        <v>0</v>
      </c>
      <c r="G394">
        <v>7</v>
      </c>
      <c r="H394">
        <v>0</v>
      </c>
      <c r="I394" t="s">
        <v>33</v>
      </c>
      <c r="J394">
        <v>1</v>
      </c>
      <c r="K394">
        <v>56</v>
      </c>
      <c r="L394" t="s">
        <v>24</v>
      </c>
      <c r="M394" t="s">
        <v>37</v>
      </c>
      <c r="N394" t="s">
        <v>30</v>
      </c>
      <c r="O394" t="s">
        <v>23</v>
      </c>
      <c r="P394">
        <v>1.81</v>
      </c>
      <c r="Q394" s="2" t="b">
        <f>TRUE()</f>
        <v>1</v>
      </c>
      <c r="R394">
        <v>1</v>
      </c>
    </row>
    <row r="395" spans="1:18" x14ac:dyDescent="0.25">
      <c r="A395">
        <v>200394</v>
      </c>
      <c r="B395">
        <v>54042</v>
      </c>
      <c r="C395" t="s">
        <v>18</v>
      </c>
      <c r="D395">
        <v>333.42</v>
      </c>
      <c r="E395">
        <v>2072</v>
      </c>
      <c r="F395">
        <v>1</v>
      </c>
      <c r="G395">
        <v>3</v>
      </c>
      <c r="H395">
        <v>0</v>
      </c>
      <c r="I395" t="s">
        <v>33</v>
      </c>
      <c r="J395">
        <v>1</v>
      </c>
      <c r="K395">
        <v>32</v>
      </c>
      <c r="L395" t="s">
        <v>20</v>
      </c>
      <c r="M395" t="s">
        <v>35</v>
      </c>
      <c r="N395" t="s">
        <v>26</v>
      </c>
      <c r="O395" t="s">
        <v>36</v>
      </c>
      <c r="P395">
        <v>8.42</v>
      </c>
      <c r="Q395" s="2" t="b">
        <f>FALSE()</f>
        <v>0</v>
      </c>
      <c r="R395">
        <v>0</v>
      </c>
    </row>
    <row r="396" spans="1:18" x14ac:dyDescent="0.25">
      <c r="A396">
        <v>200395</v>
      </c>
      <c r="B396">
        <v>50383</v>
      </c>
      <c r="C396" t="s">
        <v>34</v>
      </c>
      <c r="D396">
        <v>1373.87</v>
      </c>
      <c r="E396">
        <v>3018</v>
      </c>
      <c r="F396">
        <v>2</v>
      </c>
      <c r="G396">
        <v>2</v>
      </c>
      <c r="H396">
        <v>0</v>
      </c>
      <c r="I396" t="s">
        <v>33</v>
      </c>
      <c r="J396">
        <v>0</v>
      </c>
      <c r="K396">
        <v>39</v>
      </c>
      <c r="L396" t="s">
        <v>20</v>
      </c>
      <c r="M396" t="s">
        <v>35</v>
      </c>
      <c r="N396" t="s">
        <v>22</v>
      </c>
      <c r="O396" t="s">
        <v>27</v>
      </c>
      <c r="P396">
        <v>1.91</v>
      </c>
      <c r="Q396" s="2" t="b">
        <f>FALSE()</f>
        <v>0</v>
      </c>
      <c r="R396">
        <v>0</v>
      </c>
    </row>
    <row r="397" spans="1:18" x14ac:dyDescent="0.25">
      <c r="A397">
        <v>200396</v>
      </c>
      <c r="B397">
        <v>51642</v>
      </c>
      <c r="C397" t="s">
        <v>28</v>
      </c>
      <c r="D397">
        <v>2063.65</v>
      </c>
      <c r="E397">
        <v>272</v>
      </c>
      <c r="F397">
        <v>1</v>
      </c>
      <c r="G397">
        <v>3</v>
      </c>
      <c r="H397">
        <v>0</v>
      </c>
      <c r="I397" t="s">
        <v>32</v>
      </c>
      <c r="J397">
        <v>0</v>
      </c>
      <c r="K397">
        <v>34</v>
      </c>
      <c r="L397" t="s">
        <v>24</v>
      </c>
      <c r="M397" t="s">
        <v>37</v>
      </c>
      <c r="N397" t="s">
        <v>22</v>
      </c>
      <c r="O397" t="s">
        <v>27</v>
      </c>
      <c r="P397">
        <v>4.28</v>
      </c>
      <c r="Q397" s="2" t="b">
        <f>FALSE()</f>
        <v>0</v>
      </c>
      <c r="R397">
        <v>0</v>
      </c>
    </row>
    <row r="398" spans="1:18" x14ac:dyDescent="0.25">
      <c r="A398">
        <v>200397</v>
      </c>
      <c r="B398">
        <v>55895</v>
      </c>
      <c r="C398" t="s">
        <v>18</v>
      </c>
      <c r="D398">
        <v>5338.26</v>
      </c>
      <c r="E398">
        <v>1891</v>
      </c>
      <c r="F398">
        <v>3</v>
      </c>
      <c r="G398">
        <v>3</v>
      </c>
      <c r="H398">
        <v>0</v>
      </c>
      <c r="I398" t="s">
        <v>19</v>
      </c>
      <c r="J398">
        <v>0</v>
      </c>
      <c r="K398">
        <v>78</v>
      </c>
      <c r="L398" t="s">
        <v>20</v>
      </c>
      <c r="M398" t="s">
        <v>35</v>
      </c>
      <c r="N398" t="s">
        <v>22</v>
      </c>
      <c r="O398" t="s">
        <v>27</v>
      </c>
      <c r="P398">
        <v>2.66</v>
      </c>
      <c r="Q398" s="2" t="b">
        <f>FALSE()</f>
        <v>0</v>
      </c>
      <c r="R398">
        <v>1</v>
      </c>
    </row>
    <row r="399" spans="1:18" x14ac:dyDescent="0.25">
      <c r="A399">
        <v>200398</v>
      </c>
      <c r="B399">
        <v>55937</v>
      </c>
      <c r="C399" t="s">
        <v>18</v>
      </c>
      <c r="D399">
        <v>2065.61</v>
      </c>
      <c r="E399">
        <v>1855</v>
      </c>
      <c r="F399">
        <v>2</v>
      </c>
      <c r="G399">
        <v>7</v>
      </c>
      <c r="H399">
        <v>1</v>
      </c>
      <c r="I399" t="s">
        <v>32</v>
      </c>
      <c r="J399">
        <v>0</v>
      </c>
      <c r="K399">
        <v>40</v>
      </c>
      <c r="L399" t="s">
        <v>20</v>
      </c>
      <c r="M399" t="s">
        <v>29</v>
      </c>
      <c r="N399" t="s">
        <v>30</v>
      </c>
      <c r="O399" t="s">
        <v>36</v>
      </c>
      <c r="P399">
        <v>1.5</v>
      </c>
      <c r="Q399" s="2" t="b">
        <f>FALSE()</f>
        <v>0</v>
      </c>
      <c r="R399">
        <v>1</v>
      </c>
    </row>
    <row r="400" spans="1:18" x14ac:dyDescent="0.25">
      <c r="A400">
        <v>200399</v>
      </c>
      <c r="B400">
        <v>52843</v>
      </c>
      <c r="C400" t="s">
        <v>18</v>
      </c>
      <c r="D400">
        <v>3764.16</v>
      </c>
      <c r="E400">
        <v>1026</v>
      </c>
      <c r="F400">
        <v>3</v>
      </c>
      <c r="G400">
        <v>4</v>
      </c>
      <c r="H400">
        <v>0</v>
      </c>
      <c r="I400" t="s">
        <v>33</v>
      </c>
      <c r="J400">
        <v>0</v>
      </c>
      <c r="K400">
        <v>39</v>
      </c>
      <c r="L400" t="s">
        <v>20</v>
      </c>
      <c r="M400" t="s">
        <v>35</v>
      </c>
      <c r="N400" t="s">
        <v>22</v>
      </c>
      <c r="O400" t="s">
        <v>27</v>
      </c>
      <c r="P400">
        <v>5.33</v>
      </c>
      <c r="Q400" s="2" t="b">
        <f>FALSE()</f>
        <v>0</v>
      </c>
      <c r="R400">
        <v>1</v>
      </c>
    </row>
    <row r="401" spans="1:18" x14ac:dyDescent="0.25">
      <c r="A401">
        <v>200400</v>
      </c>
      <c r="B401">
        <v>52497</v>
      </c>
      <c r="C401" t="s">
        <v>34</v>
      </c>
      <c r="D401">
        <v>1841.23</v>
      </c>
      <c r="E401">
        <v>1949</v>
      </c>
      <c r="F401">
        <v>0</v>
      </c>
      <c r="G401">
        <v>3</v>
      </c>
      <c r="H401">
        <v>0</v>
      </c>
      <c r="I401" t="s">
        <v>32</v>
      </c>
      <c r="J401">
        <v>0</v>
      </c>
      <c r="K401">
        <v>23</v>
      </c>
      <c r="L401" t="s">
        <v>24</v>
      </c>
      <c r="M401" t="s">
        <v>35</v>
      </c>
      <c r="N401" t="s">
        <v>22</v>
      </c>
      <c r="O401" t="s">
        <v>36</v>
      </c>
      <c r="P401">
        <v>8.3699999999999992</v>
      </c>
      <c r="Q401" s="2" t="b">
        <f>FALSE()</f>
        <v>0</v>
      </c>
      <c r="R401">
        <v>0</v>
      </c>
    </row>
    <row r="402" spans="1:18" x14ac:dyDescent="0.25">
      <c r="A402">
        <v>200401</v>
      </c>
      <c r="B402">
        <v>51763</v>
      </c>
      <c r="C402" t="s">
        <v>28</v>
      </c>
      <c r="D402">
        <v>4370.55</v>
      </c>
      <c r="E402">
        <v>3632</v>
      </c>
      <c r="F402">
        <v>1</v>
      </c>
      <c r="G402">
        <v>4</v>
      </c>
      <c r="H402">
        <v>0</v>
      </c>
      <c r="I402" t="s">
        <v>33</v>
      </c>
      <c r="J402">
        <v>0</v>
      </c>
      <c r="K402">
        <v>47</v>
      </c>
      <c r="L402" t="s">
        <v>24</v>
      </c>
      <c r="M402" t="s">
        <v>35</v>
      </c>
      <c r="N402" t="s">
        <v>30</v>
      </c>
      <c r="O402" t="s">
        <v>36</v>
      </c>
      <c r="P402">
        <v>1.34</v>
      </c>
      <c r="Q402" s="2" t="b">
        <f>FALSE()</f>
        <v>0</v>
      </c>
      <c r="R402">
        <v>1</v>
      </c>
    </row>
    <row r="403" spans="1:18" x14ac:dyDescent="0.25">
      <c r="A403">
        <v>200402</v>
      </c>
      <c r="B403">
        <v>51733</v>
      </c>
      <c r="C403" t="s">
        <v>18</v>
      </c>
      <c r="D403">
        <v>1269.8699999999999</v>
      </c>
      <c r="E403">
        <v>2328</v>
      </c>
      <c r="F403">
        <v>2</v>
      </c>
      <c r="G403">
        <v>5</v>
      </c>
      <c r="H403">
        <v>0</v>
      </c>
      <c r="I403" t="s">
        <v>32</v>
      </c>
      <c r="J403">
        <v>0</v>
      </c>
      <c r="K403">
        <v>32</v>
      </c>
      <c r="L403" t="s">
        <v>20</v>
      </c>
      <c r="M403" t="s">
        <v>21</v>
      </c>
      <c r="N403" t="s">
        <v>26</v>
      </c>
      <c r="O403" t="s">
        <v>27</v>
      </c>
      <c r="P403">
        <v>1.38</v>
      </c>
      <c r="Q403" s="2" t="b">
        <f>FALSE()</f>
        <v>0</v>
      </c>
      <c r="R403">
        <v>0</v>
      </c>
    </row>
    <row r="404" spans="1:18" x14ac:dyDescent="0.25">
      <c r="A404">
        <v>200403</v>
      </c>
      <c r="B404">
        <v>51842</v>
      </c>
      <c r="C404" t="s">
        <v>34</v>
      </c>
      <c r="D404">
        <v>1037.79</v>
      </c>
      <c r="E404">
        <v>197</v>
      </c>
      <c r="F404">
        <v>0</v>
      </c>
      <c r="G404">
        <v>7</v>
      </c>
      <c r="H404">
        <v>0</v>
      </c>
      <c r="I404" t="s">
        <v>19</v>
      </c>
      <c r="J404">
        <v>0</v>
      </c>
      <c r="K404">
        <v>47</v>
      </c>
      <c r="L404" t="s">
        <v>20</v>
      </c>
      <c r="M404" t="s">
        <v>29</v>
      </c>
      <c r="N404" t="s">
        <v>22</v>
      </c>
      <c r="O404" t="s">
        <v>36</v>
      </c>
      <c r="P404">
        <v>2.42</v>
      </c>
      <c r="Q404" s="2" t="b">
        <f>FALSE()</f>
        <v>0</v>
      </c>
      <c r="R404">
        <v>1</v>
      </c>
    </row>
    <row r="405" spans="1:18" x14ac:dyDescent="0.25">
      <c r="A405">
        <v>200404</v>
      </c>
      <c r="B405">
        <v>53619</v>
      </c>
      <c r="C405" t="s">
        <v>18</v>
      </c>
      <c r="D405">
        <v>1698.8</v>
      </c>
      <c r="E405">
        <v>2345</v>
      </c>
      <c r="F405">
        <v>1</v>
      </c>
      <c r="G405">
        <v>3</v>
      </c>
      <c r="H405">
        <v>0</v>
      </c>
      <c r="I405" t="s">
        <v>32</v>
      </c>
      <c r="J405">
        <v>1</v>
      </c>
      <c r="K405">
        <v>80</v>
      </c>
      <c r="L405" t="s">
        <v>20</v>
      </c>
      <c r="M405" t="s">
        <v>35</v>
      </c>
      <c r="N405" t="s">
        <v>30</v>
      </c>
      <c r="O405" t="s">
        <v>23</v>
      </c>
      <c r="P405">
        <v>4.87</v>
      </c>
      <c r="Q405" s="2" t="b">
        <f>FALSE()</f>
        <v>0</v>
      </c>
      <c r="R405">
        <v>0</v>
      </c>
    </row>
    <row r="406" spans="1:18" x14ac:dyDescent="0.25">
      <c r="A406">
        <v>200405</v>
      </c>
      <c r="B406">
        <v>51813</v>
      </c>
      <c r="C406" t="s">
        <v>18</v>
      </c>
      <c r="D406">
        <v>1281.29</v>
      </c>
      <c r="E406">
        <v>1789</v>
      </c>
      <c r="F406">
        <v>1</v>
      </c>
      <c r="G406">
        <v>6</v>
      </c>
      <c r="H406">
        <v>0</v>
      </c>
      <c r="I406" t="s">
        <v>33</v>
      </c>
      <c r="J406">
        <v>0</v>
      </c>
      <c r="K406">
        <v>56</v>
      </c>
      <c r="L406" t="s">
        <v>24</v>
      </c>
      <c r="M406" t="s">
        <v>37</v>
      </c>
      <c r="N406" t="s">
        <v>22</v>
      </c>
      <c r="O406" t="s">
        <v>27</v>
      </c>
      <c r="P406">
        <v>0.23</v>
      </c>
      <c r="Q406" s="2" t="b">
        <f>FALSE()</f>
        <v>0</v>
      </c>
      <c r="R406">
        <v>0</v>
      </c>
    </row>
    <row r="407" spans="1:18" x14ac:dyDescent="0.25">
      <c r="A407">
        <v>200406</v>
      </c>
      <c r="B407">
        <v>53798</v>
      </c>
      <c r="C407" t="s">
        <v>28</v>
      </c>
      <c r="D407">
        <v>2517.2600000000002</v>
      </c>
      <c r="E407">
        <v>1514</v>
      </c>
      <c r="F407">
        <v>1</v>
      </c>
      <c r="G407">
        <v>2</v>
      </c>
      <c r="H407">
        <v>0</v>
      </c>
      <c r="I407" t="s">
        <v>19</v>
      </c>
      <c r="J407">
        <v>0</v>
      </c>
      <c r="K407">
        <v>51</v>
      </c>
      <c r="L407" t="s">
        <v>20</v>
      </c>
      <c r="M407" t="s">
        <v>31</v>
      </c>
      <c r="N407" t="s">
        <v>22</v>
      </c>
      <c r="O407" t="s">
        <v>27</v>
      </c>
      <c r="P407">
        <v>2.82</v>
      </c>
      <c r="Q407" s="2" t="b">
        <f>FALSE()</f>
        <v>0</v>
      </c>
      <c r="R407">
        <v>0</v>
      </c>
    </row>
    <row r="408" spans="1:18" x14ac:dyDescent="0.25">
      <c r="A408">
        <v>200407</v>
      </c>
      <c r="B408">
        <v>54161</v>
      </c>
      <c r="C408" t="s">
        <v>18</v>
      </c>
      <c r="D408">
        <v>1653.82</v>
      </c>
      <c r="E408">
        <v>1203</v>
      </c>
      <c r="F408">
        <v>1</v>
      </c>
      <c r="G408">
        <v>1</v>
      </c>
      <c r="H408">
        <v>1</v>
      </c>
      <c r="I408" t="s">
        <v>33</v>
      </c>
      <c r="J408">
        <v>1</v>
      </c>
      <c r="K408">
        <v>82</v>
      </c>
      <c r="L408" t="s">
        <v>24</v>
      </c>
      <c r="M408" t="s">
        <v>35</v>
      </c>
      <c r="N408" t="s">
        <v>30</v>
      </c>
      <c r="O408" t="s">
        <v>27</v>
      </c>
      <c r="P408">
        <v>8.24</v>
      </c>
      <c r="Q408" s="2" t="b">
        <f>FALSE()</f>
        <v>0</v>
      </c>
      <c r="R408">
        <v>0</v>
      </c>
    </row>
    <row r="409" spans="1:18" x14ac:dyDescent="0.25">
      <c r="A409">
        <v>200408</v>
      </c>
      <c r="B409">
        <v>53189</v>
      </c>
      <c r="C409" t="s">
        <v>28</v>
      </c>
      <c r="D409">
        <v>6712.95</v>
      </c>
      <c r="E409">
        <v>3584</v>
      </c>
      <c r="F409">
        <v>0</v>
      </c>
      <c r="G409">
        <v>5</v>
      </c>
      <c r="H409">
        <v>1</v>
      </c>
      <c r="I409" t="s">
        <v>33</v>
      </c>
      <c r="J409">
        <v>0</v>
      </c>
      <c r="K409">
        <v>71</v>
      </c>
      <c r="L409" t="s">
        <v>24</v>
      </c>
      <c r="M409" t="s">
        <v>21</v>
      </c>
      <c r="N409" t="s">
        <v>22</v>
      </c>
      <c r="O409" t="s">
        <v>36</v>
      </c>
      <c r="P409">
        <v>0.28999999999999998</v>
      </c>
      <c r="Q409" s="2" t="b">
        <f>FALSE()</f>
        <v>0</v>
      </c>
      <c r="R409">
        <v>1</v>
      </c>
    </row>
    <row r="410" spans="1:18" x14ac:dyDescent="0.25">
      <c r="A410">
        <v>200409</v>
      </c>
      <c r="B410">
        <v>52040</v>
      </c>
      <c r="C410" t="s">
        <v>34</v>
      </c>
      <c r="D410">
        <v>805.73</v>
      </c>
      <c r="E410">
        <v>1651</v>
      </c>
      <c r="F410">
        <v>1</v>
      </c>
      <c r="G410">
        <v>2</v>
      </c>
      <c r="H410">
        <v>1</v>
      </c>
      <c r="I410" t="s">
        <v>33</v>
      </c>
      <c r="J410">
        <v>0</v>
      </c>
      <c r="K410">
        <v>47</v>
      </c>
      <c r="L410" t="s">
        <v>24</v>
      </c>
      <c r="M410" t="s">
        <v>29</v>
      </c>
      <c r="N410" t="s">
        <v>22</v>
      </c>
      <c r="O410" t="s">
        <v>36</v>
      </c>
      <c r="P410">
        <v>0.43</v>
      </c>
      <c r="Q410" s="2" t="b">
        <f>FALSE()</f>
        <v>0</v>
      </c>
      <c r="R410">
        <v>0</v>
      </c>
    </row>
    <row r="411" spans="1:18" x14ac:dyDescent="0.25">
      <c r="A411">
        <v>200410</v>
      </c>
      <c r="B411">
        <v>55565</v>
      </c>
      <c r="C411" t="s">
        <v>28</v>
      </c>
      <c r="D411">
        <v>1461.99</v>
      </c>
      <c r="E411">
        <v>3605</v>
      </c>
      <c r="F411">
        <v>0</v>
      </c>
      <c r="G411">
        <v>4</v>
      </c>
      <c r="H411">
        <v>0</v>
      </c>
      <c r="I411" t="s">
        <v>19</v>
      </c>
      <c r="J411">
        <v>0</v>
      </c>
      <c r="K411">
        <v>38</v>
      </c>
      <c r="L411" t="s">
        <v>24</v>
      </c>
      <c r="M411" t="s">
        <v>25</v>
      </c>
      <c r="N411" t="s">
        <v>30</v>
      </c>
      <c r="O411" t="s">
        <v>36</v>
      </c>
      <c r="P411">
        <v>1.28</v>
      </c>
      <c r="Q411" s="2" t="b">
        <f>FALSE()</f>
        <v>0</v>
      </c>
      <c r="R411">
        <v>0</v>
      </c>
    </row>
    <row r="412" spans="1:18" x14ac:dyDescent="0.25">
      <c r="A412">
        <v>200411</v>
      </c>
      <c r="B412">
        <v>51165</v>
      </c>
      <c r="C412" t="s">
        <v>28</v>
      </c>
      <c r="D412">
        <v>1963.73</v>
      </c>
      <c r="E412">
        <v>311</v>
      </c>
      <c r="F412">
        <v>0</v>
      </c>
      <c r="G412">
        <v>6</v>
      </c>
      <c r="H412">
        <v>1</v>
      </c>
      <c r="I412" t="s">
        <v>19</v>
      </c>
      <c r="J412">
        <v>1</v>
      </c>
      <c r="K412">
        <v>39</v>
      </c>
      <c r="L412" t="s">
        <v>20</v>
      </c>
      <c r="M412" t="s">
        <v>31</v>
      </c>
      <c r="N412" t="s">
        <v>22</v>
      </c>
      <c r="O412" t="s">
        <v>36</v>
      </c>
      <c r="P412">
        <v>1.29</v>
      </c>
      <c r="Q412" s="2" t="b">
        <f>FALSE()</f>
        <v>0</v>
      </c>
      <c r="R412">
        <v>0</v>
      </c>
    </row>
    <row r="413" spans="1:18" x14ac:dyDescent="0.25">
      <c r="A413">
        <v>200412</v>
      </c>
      <c r="B413">
        <v>50836</v>
      </c>
      <c r="C413" t="s">
        <v>34</v>
      </c>
      <c r="D413">
        <v>482.51</v>
      </c>
      <c r="E413">
        <v>2128</v>
      </c>
      <c r="F413">
        <v>0</v>
      </c>
      <c r="G413">
        <v>4</v>
      </c>
      <c r="H413">
        <v>0</v>
      </c>
      <c r="I413" t="s">
        <v>19</v>
      </c>
      <c r="J413">
        <v>1</v>
      </c>
      <c r="K413">
        <v>77</v>
      </c>
      <c r="L413" t="s">
        <v>24</v>
      </c>
      <c r="M413" t="s">
        <v>29</v>
      </c>
      <c r="N413" t="s">
        <v>30</v>
      </c>
      <c r="O413" t="s">
        <v>36</v>
      </c>
      <c r="P413">
        <v>0.89</v>
      </c>
      <c r="Q413" s="2" t="b">
        <f>FALSE()</f>
        <v>0</v>
      </c>
      <c r="R413">
        <v>0</v>
      </c>
    </row>
    <row r="414" spans="1:18" x14ac:dyDescent="0.25">
      <c r="A414">
        <v>200413</v>
      </c>
      <c r="B414">
        <v>53893</v>
      </c>
      <c r="C414" t="s">
        <v>18</v>
      </c>
      <c r="D414">
        <v>2083.7399999999998</v>
      </c>
      <c r="E414">
        <v>2186</v>
      </c>
      <c r="F414">
        <v>0</v>
      </c>
      <c r="G414">
        <v>2</v>
      </c>
      <c r="H414">
        <v>0</v>
      </c>
      <c r="I414" t="s">
        <v>33</v>
      </c>
      <c r="J414">
        <v>0</v>
      </c>
      <c r="K414">
        <v>38</v>
      </c>
      <c r="L414" t="s">
        <v>24</v>
      </c>
      <c r="M414" t="s">
        <v>31</v>
      </c>
      <c r="N414" t="s">
        <v>22</v>
      </c>
      <c r="O414" t="s">
        <v>36</v>
      </c>
      <c r="P414">
        <v>1.1000000000000001</v>
      </c>
      <c r="Q414" s="2" t="b">
        <f>FALSE()</f>
        <v>0</v>
      </c>
      <c r="R414">
        <v>0</v>
      </c>
    </row>
    <row r="415" spans="1:18" x14ac:dyDescent="0.25">
      <c r="A415">
        <v>200414</v>
      </c>
      <c r="B415">
        <v>52061</v>
      </c>
      <c r="C415" t="s">
        <v>34</v>
      </c>
      <c r="D415">
        <v>4349</v>
      </c>
      <c r="E415">
        <v>836</v>
      </c>
      <c r="F415">
        <v>2</v>
      </c>
      <c r="G415">
        <v>2</v>
      </c>
      <c r="H415">
        <v>0</v>
      </c>
      <c r="I415" t="s">
        <v>33</v>
      </c>
      <c r="J415">
        <v>0</v>
      </c>
      <c r="K415">
        <v>47</v>
      </c>
      <c r="L415" t="s">
        <v>24</v>
      </c>
      <c r="M415" t="s">
        <v>25</v>
      </c>
      <c r="N415" t="s">
        <v>22</v>
      </c>
      <c r="O415" t="s">
        <v>36</v>
      </c>
      <c r="P415">
        <v>1.18</v>
      </c>
      <c r="Q415" s="2" t="b">
        <f>FALSE()</f>
        <v>0</v>
      </c>
      <c r="R415">
        <v>1</v>
      </c>
    </row>
    <row r="416" spans="1:18" x14ac:dyDescent="0.25">
      <c r="A416">
        <v>200415</v>
      </c>
      <c r="B416">
        <v>54498</v>
      </c>
      <c r="C416" t="s">
        <v>28</v>
      </c>
      <c r="D416">
        <v>4151.32</v>
      </c>
      <c r="E416">
        <v>496</v>
      </c>
      <c r="F416">
        <v>1</v>
      </c>
      <c r="G416">
        <v>7</v>
      </c>
      <c r="H416">
        <v>0</v>
      </c>
      <c r="I416" t="s">
        <v>19</v>
      </c>
      <c r="J416">
        <v>0</v>
      </c>
      <c r="K416">
        <v>65</v>
      </c>
      <c r="L416" t="s">
        <v>20</v>
      </c>
      <c r="M416" t="s">
        <v>31</v>
      </c>
      <c r="N416" t="s">
        <v>30</v>
      </c>
      <c r="O416" t="s">
        <v>27</v>
      </c>
      <c r="P416">
        <v>0.51</v>
      </c>
      <c r="Q416" s="2" t="b">
        <f>FALSE()</f>
        <v>0</v>
      </c>
      <c r="R416">
        <v>1</v>
      </c>
    </row>
    <row r="417" spans="1:18" x14ac:dyDescent="0.25">
      <c r="A417">
        <v>200416</v>
      </c>
      <c r="B417">
        <v>55542</v>
      </c>
      <c r="C417" t="s">
        <v>18</v>
      </c>
      <c r="D417">
        <v>4990.1400000000003</v>
      </c>
      <c r="E417">
        <v>2238</v>
      </c>
      <c r="F417">
        <v>1</v>
      </c>
      <c r="G417">
        <v>4</v>
      </c>
      <c r="H417">
        <v>1</v>
      </c>
      <c r="I417" t="s">
        <v>33</v>
      </c>
      <c r="J417">
        <v>0</v>
      </c>
      <c r="K417">
        <v>38</v>
      </c>
      <c r="L417" t="s">
        <v>24</v>
      </c>
      <c r="M417" t="s">
        <v>25</v>
      </c>
      <c r="N417" t="s">
        <v>30</v>
      </c>
      <c r="O417" t="s">
        <v>27</v>
      </c>
      <c r="P417">
        <v>1.74</v>
      </c>
      <c r="Q417" s="2" t="b">
        <f>FALSE()</f>
        <v>0</v>
      </c>
      <c r="R417">
        <v>1</v>
      </c>
    </row>
    <row r="418" spans="1:18" x14ac:dyDescent="0.25">
      <c r="A418">
        <v>200417</v>
      </c>
      <c r="B418">
        <v>50517</v>
      </c>
      <c r="C418" t="s">
        <v>18</v>
      </c>
      <c r="D418">
        <v>1613.44</v>
      </c>
      <c r="E418">
        <v>716</v>
      </c>
      <c r="F418">
        <v>0</v>
      </c>
      <c r="G418">
        <v>6</v>
      </c>
      <c r="H418">
        <v>0</v>
      </c>
      <c r="I418" t="s">
        <v>32</v>
      </c>
      <c r="J418">
        <v>0</v>
      </c>
      <c r="K418">
        <v>82</v>
      </c>
      <c r="L418" t="s">
        <v>20</v>
      </c>
      <c r="M418" t="s">
        <v>37</v>
      </c>
      <c r="N418" t="s">
        <v>30</v>
      </c>
      <c r="O418" t="s">
        <v>27</v>
      </c>
      <c r="P418">
        <v>0.83</v>
      </c>
      <c r="Q418" s="2" t="b">
        <f>FALSE()</f>
        <v>0</v>
      </c>
      <c r="R418">
        <v>0</v>
      </c>
    </row>
    <row r="419" spans="1:18" x14ac:dyDescent="0.25">
      <c r="A419">
        <v>200418</v>
      </c>
      <c r="B419">
        <v>50763</v>
      </c>
      <c r="C419" t="s">
        <v>28</v>
      </c>
      <c r="D419">
        <v>776.67</v>
      </c>
      <c r="E419">
        <v>116</v>
      </c>
      <c r="F419">
        <v>0</v>
      </c>
      <c r="G419">
        <v>3</v>
      </c>
      <c r="H419">
        <v>0</v>
      </c>
      <c r="I419" t="s">
        <v>33</v>
      </c>
      <c r="J419">
        <v>0</v>
      </c>
      <c r="K419">
        <v>74</v>
      </c>
      <c r="L419" t="s">
        <v>20</v>
      </c>
      <c r="M419" t="s">
        <v>35</v>
      </c>
      <c r="N419" t="s">
        <v>22</v>
      </c>
      <c r="O419" t="s">
        <v>23</v>
      </c>
      <c r="P419">
        <v>2.74</v>
      </c>
      <c r="Q419" s="2" t="b">
        <f>FALSE()</f>
        <v>0</v>
      </c>
      <c r="R419">
        <v>0</v>
      </c>
    </row>
    <row r="420" spans="1:18" x14ac:dyDescent="0.25">
      <c r="A420">
        <v>200419</v>
      </c>
      <c r="B420">
        <v>54600</v>
      </c>
      <c r="C420" t="s">
        <v>18</v>
      </c>
      <c r="D420">
        <v>617.38</v>
      </c>
      <c r="E420">
        <v>1349</v>
      </c>
      <c r="F420">
        <v>1</v>
      </c>
      <c r="G420">
        <v>4</v>
      </c>
      <c r="H420">
        <v>0</v>
      </c>
      <c r="I420" t="s">
        <v>33</v>
      </c>
      <c r="J420">
        <v>0</v>
      </c>
      <c r="K420">
        <v>49</v>
      </c>
      <c r="L420" t="s">
        <v>20</v>
      </c>
      <c r="M420" t="s">
        <v>29</v>
      </c>
      <c r="N420" t="s">
        <v>22</v>
      </c>
      <c r="O420" t="s">
        <v>36</v>
      </c>
      <c r="P420">
        <v>4.54</v>
      </c>
      <c r="Q420" s="2" t="b">
        <f>FALSE()</f>
        <v>0</v>
      </c>
      <c r="R420">
        <v>0</v>
      </c>
    </row>
    <row r="421" spans="1:18" x14ac:dyDescent="0.25">
      <c r="A421">
        <v>200420</v>
      </c>
      <c r="B421">
        <v>55352</v>
      </c>
      <c r="C421" t="s">
        <v>18</v>
      </c>
      <c r="D421">
        <v>1101.78</v>
      </c>
      <c r="E421">
        <v>2884</v>
      </c>
      <c r="F421">
        <v>2</v>
      </c>
      <c r="G421">
        <v>3</v>
      </c>
      <c r="H421">
        <v>0</v>
      </c>
      <c r="I421" t="s">
        <v>19</v>
      </c>
      <c r="J421">
        <v>0</v>
      </c>
      <c r="K421">
        <v>30</v>
      </c>
      <c r="L421" t="s">
        <v>20</v>
      </c>
      <c r="M421" t="s">
        <v>37</v>
      </c>
      <c r="N421" t="s">
        <v>22</v>
      </c>
      <c r="O421" t="s">
        <v>27</v>
      </c>
      <c r="P421">
        <v>2.15</v>
      </c>
      <c r="Q421" s="2" t="b">
        <f>FALSE()</f>
        <v>0</v>
      </c>
      <c r="R421">
        <v>0</v>
      </c>
    </row>
    <row r="422" spans="1:18" x14ac:dyDescent="0.25">
      <c r="A422">
        <v>200421</v>
      </c>
      <c r="B422">
        <v>55386</v>
      </c>
      <c r="C422" t="s">
        <v>28</v>
      </c>
      <c r="D422">
        <v>4084.1</v>
      </c>
      <c r="E422">
        <v>703</v>
      </c>
      <c r="F422">
        <v>2</v>
      </c>
      <c r="G422">
        <v>8</v>
      </c>
      <c r="H422">
        <v>0</v>
      </c>
      <c r="I422" t="s">
        <v>32</v>
      </c>
      <c r="J422">
        <v>0</v>
      </c>
      <c r="K422">
        <v>46</v>
      </c>
      <c r="L422" t="s">
        <v>24</v>
      </c>
      <c r="M422" t="s">
        <v>29</v>
      </c>
      <c r="N422" t="s">
        <v>22</v>
      </c>
      <c r="O422" t="s">
        <v>27</v>
      </c>
      <c r="P422">
        <v>12.5</v>
      </c>
      <c r="Q422" s="2" t="b">
        <f>FALSE()</f>
        <v>0</v>
      </c>
      <c r="R422">
        <v>1</v>
      </c>
    </row>
    <row r="423" spans="1:18" x14ac:dyDescent="0.25">
      <c r="A423">
        <v>200422</v>
      </c>
      <c r="B423">
        <v>52771</v>
      </c>
      <c r="C423" t="s">
        <v>18</v>
      </c>
      <c r="D423">
        <v>586.45000000000005</v>
      </c>
      <c r="E423">
        <v>1433</v>
      </c>
      <c r="F423">
        <v>1</v>
      </c>
      <c r="G423">
        <v>6</v>
      </c>
      <c r="H423">
        <v>1</v>
      </c>
      <c r="I423" t="s">
        <v>33</v>
      </c>
      <c r="J423">
        <v>1</v>
      </c>
      <c r="K423">
        <v>77</v>
      </c>
      <c r="L423" t="s">
        <v>24</v>
      </c>
      <c r="M423" t="s">
        <v>21</v>
      </c>
      <c r="N423" t="s">
        <v>22</v>
      </c>
      <c r="O423" t="s">
        <v>23</v>
      </c>
      <c r="P423">
        <v>0.19</v>
      </c>
      <c r="Q423" s="2" t="b">
        <f>FALSE()</f>
        <v>0</v>
      </c>
      <c r="R423">
        <v>0</v>
      </c>
    </row>
    <row r="424" spans="1:18" x14ac:dyDescent="0.25">
      <c r="A424">
        <v>200423</v>
      </c>
      <c r="B424">
        <v>52955</v>
      </c>
      <c r="C424" t="s">
        <v>18</v>
      </c>
      <c r="D424">
        <v>5269.03</v>
      </c>
      <c r="E424">
        <v>2671</v>
      </c>
      <c r="F424">
        <v>2</v>
      </c>
      <c r="G424">
        <v>6</v>
      </c>
      <c r="H424">
        <v>1</v>
      </c>
      <c r="I424" t="s">
        <v>33</v>
      </c>
      <c r="J424">
        <v>0</v>
      </c>
      <c r="K424">
        <v>37</v>
      </c>
      <c r="L424" t="s">
        <v>24</v>
      </c>
      <c r="M424" t="s">
        <v>37</v>
      </c>
      <c r="N424" t="s">
        <v>22</v>
      </c>
      <c r="O424" t="s">
        <v>27</v>
      </c>
      <c r="P424">
        <v>0.92</v>
      </c>
      <c r="Q424" s="2" t="b">
        <f>FALSE()</f>
        <v>0</v>
      </c>
      <c r="R424">
        <v>1</v>
      </c>
    </row>
    <row r="425" spans="1:18" x14ac:dyDescent="0.25">
      <c r="A425">
        <v>200424</v>
      </c>
      <c r="B425">
        <v>53766</v>
      </c>
      <c r="C425" t="s">
        <v>18</v>
      </c>
      <c r="D425">
        <v>1358.41</v>
      </c>
      <c r="E425">
        <v>2948</v>
      </c>
      <c r="F425">
        <v>1</v>
      </c>
      <c r="G425">
        <v>2</v>
      </c>
      <c r="H425">
        <v>0</v>
      </c>
      <c r="I425" t="s">
        <v>19</v>
      </c>
      <c r="J425">
        <v>1</v>
      </c>
      <c r="K425">
        <v>61</v>
      </c>
      <c r="L425" t="s">
        <v>24</v>
      </c>
      <c r="M425" t="s">
        <v>35</v>
      </c>
      <c r="N425" t="s">
        <v>22</v>
      </c>
      <c r="O425" t="s">
        <v>27</v>
      </c>
      <c r="P425">
        <v>0.31</v>
      </c>
      <c r="Q425" s="2" t="b">
        <f>FALSE()</f>
        <v>0</v>
      </c>
      <c r="R425">
        <v>0</v>
      </c>
    </row>
    <row r="426" spans="1:18" x14ac:dyDescent="0.25">
      <c r="A426">
        <v>200425</v>
      </c>
      <c r="B426">
        <v>51924</v>
      </c>
      <c r="C426" t="s">
        <v>34</v>
      </c>
      <c r="D426">
        <v>5242.72</v>
      </c>
      <c r="E426">
        <v>224</v>
      </c>
      <c r="F426">
        <v>1</v>
      </c>
      <c r="G426">
        <v>3</v>
      </c>
      <c r="H426">
        <v>0</v>
      </c>
      <c r="I426" t="s">
        <v>33</v>
      </c>
      <c r="J426">
        <v>0</v>
      </c>
      <c r="K426">
        <v>48</v>
      </c>
      <c r="L426" t="s">
        <v>24</v>
      </c>
      <c r="M426" t="s">
        <v>29</v>
      </c>
      <c r="N426" t="s">
        <v>22</v>
      </c>
      <c r="O426" t="s">
        <v>36</v>
      </c>
      <c r="P426">
        <v>1.48</v>
      </c>
      <c r="Q426" s="2" t="b">
        <f>FALSE()</f>
        <v>0</v>
      </c>
      <c r="R426">
        <v>1</v>
      </c>
    </row>
    <row r="427" spans="1:18" x14ac:dyDescent="0.25">
      <c r="A427">
        <v>200426</v>
      </c>
      <c r="B427">
        <v>54373</v>
      </c>
      <c r="C427" t="s">
        <v>34</v>
      </c>
      <c r="D427">
        <v>4352.58</v>
      </c>
      <c r="E427">
        <v>2939</v>
      </c>
      <c r="F427">
        <v>1</v>
      </c>
      <c r="G427">
        <v>4</v>
      </c>
      <c r="H427">
        <v>0</v>
      </c>
      <c r="I427" t="s">
        <v>33</v>
      </c>
      <c r="J427">
        <v>0</v>
      </c>
      <c r="K427">
        <v>59</v>
      </c>
      <c r="L427" t="s">
        <v>38</v>
      </c>
      <c r="M427" t="s">
        <v>25</v>
      </c>
      <c r="N427" t="s">
        <v>22</v>
      </c>
      <c r="O427" t="s">
        <v>27</v>
      </c>
      <c r="P427">
        <v>3.82</v>
      </c>
      <c r="Q427" s="2" t="b">
        <f>FALSE()</f>
        <v>0</v>
      </c>
      <c r="R427">
        <v>1</v>
      </c>
    </row>
    <row r="428" spans="1:18" x14ac:dyDescent="0.25">
      <c r="A428">
        <v>200427</v>
      </c>
      <c r="B428">
        <v>52081</v>
      </c>
      <c r="C428" t="s">
        <v>18</v>
      </c>
      <c r="D428">
        <v>2664.56</v>
      </c>
      <c r="E428">
        <v>2234</v>
      </c>
      <c r="F428">
        <v>1</v>
      </c>
      <c r="G428">
        <v>7</v>
      </c>
      <c r="H428">
        <v>0</v>
      </c>
      <c r="I428" t="s">
        <v>32</v>
      </c>
      <c r="J428">
        <v>1</v>
      </c>
      <c r="K428">
        <v>45</v>
      </c>
      <c r="L428" t="s">
        <v>20</v>
      </c>
      <c r="M428" t="s">
        <v>35</v>
      </c>
      <c r="N428" t="s">
        <v>26</v>
      </c>
      <c r="O428" t="s">
        <v>36</v>
      </c>
      <c r="P428">
        <v>0.45</v>
      </c>
      <c r="Q428" s="2" t="b">
        <f>FALSE()</f>
        <v>0</v>
      </c>
      <c r="R428">
        <v>1</v>
      </c>
    </row>
    <row r="429" spans="1:18" x14ac:dyDescent="0.25">
      <c r="A429">
        <v>200428</v>
      </c>
      <c r="B429">
        <v>52412</v>
      </c>
      <c r="C429" t="s">
        <v>18</v>
      </c>
      <c r="D429">
        <v>2277.64</v>
      </c>
      <c r="E429">
        <v>733</v>
      </c>
      <c r="F429">
        <v>1</v>
      </c>
      <c r="G429">
        <v>1</v>
      </c>
      <c r="H429">
        <v>0</v>
      </c>
      <c r="I429" t="s">
        <v>19</v>
      </c>
      <c r="J429">
        <v>0</v>
      </c>
      <c r="K429">
        <v>41</v>
      </c>
      <c r="L429" t="s">
        <v>20</v>
      </c>
      <c r="M429" t="s">
        <v>29</v>
      </c>
      <c r="N429" t="s">
        <v>22</v>
      </c>
      <c r="O429" t="s">
        <v>23</v>
      </c>
      <c r="P429">
        <v>2.54</v>
      </c>
      <c r="Q429" s="2" t="b">
        <f>FALSE()</f>
        <v>0</v>
      </c>
      <c r="R429">
        <v>0</v>
      </c>
    </row>
    <row r="430" spans="1:18" x14ac:dyDescent="0.25">
      <c r="A430">
        <v>200429</v>
      </c>
      <c r="B430">
        <v>51525</v>
      </c>
      <c r="C430" t="s">
        <v>18</v>
      </c>
      <c r="D430">
        <v>3588.2</v>
      </c>
      <c r="E430">
        <v>2739</v>
      </c>
      <c r="F430">
        <v>0</v>
      </c>
      <c r="G430">
        <v>4</v>
      </c>
      <c r="H430">
        <v>1</v>
      </c>
      <c r="I430" t="s">
        <v>19</v>
      </c>
      <c r="J430">
        <v>1</v>
      </c>
      <c r="K430">
        <v>66</v>
      </c>
      <c r="L430" t="s">
        <v>20</v>
      </c>
      <c r="M430" t="s">
        <v>21</v>
      </c>
      <c r="N430" t="s">
        <v>30</v>
      </c>
      <c r="O430" t="s">
        <v>23</v>
      </c>
      <c r="P430">
        <v>0.51</v>
      </c>
      <c r="Q430" s="2" t="b">
        <f>FALSE()</f>
        <v>0</v>
      </c>
      <c r="R430">
        <v>1</v>
      </c>
    </row>
    <row r="431" spans="1:18" x14ac:dyDescent="0.25">
      <c r="A431">
        <v>200430</v>
      </c>
      <c r="B431">
        <v>55724</v>
      </c>
      <c r="C431" t="s">
        <v>34</v>
      </c>
      <c r="D431">
        <v>3546.27</v>
      </c>
      <c r="E431">
        <v>1348</v>
      </c>
      <c r="F431">
        <v>0</v>
      </c>
      <c r="G431">
        <v>3</v>
      </c>
      <c r="H431">
        <v>0</v>
      </c>
      <c r="I431" t="s">
        <v>19</v>
      </c>
      <c r="J431">
        <v>1</v>
      </c>
      <c r="K431">
        <v>56</v>
      </c>
      <c r="L431" t="s">
        <v>24</v>
      </c>
      <c r="M431" t="s">
        <v>29</v>
      </c>
      <c r="N431" t="s">
        <v>26</v>
      </c>
      <c r="O431" t="s">
        <v>36</v>
      </c>
      <c r="P431">
        <v>1.03</v>
      </c>
      <c r="Q431" s="2" t="b">
        <f>FALSE()</f>
        <v>0</v>
      </c>
      <c r="R431">
        <v>0</v>
      </c>
    </row>
    <row r="432" spans="1:18" x14ac:dyDescent="0.25">
      <c r="A432">
        <v>200431</v>
      </c>
      <c r="B432">
        <v>53302</v>
      </c>
      <c r="C432" t="s">
        <v>34</v>
      </c>
      <c r="D432">
        <v>1130.47</v>
      </c>
      <c r="E432">
        <v>3053</v>
      </c>
      <c r="F432">
        <v>1</v>
      </c>
      <c r="G432">
        <v>9</v>
      </c>
      <c r="H432">
        <v>0</v>
      </c>
      <c r="I432" t="s">
        <v>32</v>
      </c>
      <c r="J432">
        <v>0</v>
      </c>
      <c r="K432">
        <v>72</v>
      </c>
      <c r="L432" t="s">
        <v>24</v>
      </c>
      <c r="M432" t="s">
        <v>21</v>
      </c>
      <c r="N432" t="s">
        <v>30</v>
      </c>
      <c r="O432" t="s">
        <v>36</v>
      </c>
      <c r="P432">
        <v>1.39</v>
      </c>
      <c r="Q432" s="2" t="b">
        <f>FALSE()</f>
        <v>0</v>
      </c>
      <c r="R432">
        <v>1</v>
      </c>
    </row>
    <row r="433" spans="1:18" x14ac:dyDescent="0.25">
      <c r="A433">
        <v>200432</v>
      </c>
      <c r="B433">
        <v>53056</v>
      </c>
      <c r="C433" t="s">
        <v>34</v>
      </c>
      <c r="D433">
        <v>584.71</v>
      </c>
      <c r="E433">
        <v>3096</v>
      </c>
      <c r="F433">
        <v>1</v>
      </c>
      <c r="G433">
        <v>7</v>
      </c>
      <c r="H433">
        <v>0</v>
      </c>
      <c r="I433" t="s">
        <v>33</v>
      </c>
      <c r="J433">
        <v>0</v>
      </c>
      <c r="K433">
        <v>75</v>
      </c>
      <c r="L433" t="s">
        <v>24</v>
      </c>
      <c r="M433" t="s">
        <v>21</v>
      </c>
      <c r="N433" t="s">
        <v>22</v>
      </c>
      <c r="O433" t="s">
        <v>36</v>
      </c>
      <c r="P433">
        <v>0.92</v>
      </c>
      <c r="Q433" s="2" t="b">
        <f>FALSE()</f>
        <v>0</v>
      </c>
      <c r="R433">
        <v>1</v>
      </c>
    </row>
    <row r="434" spans="1:18" x14ac:dyDescent="0.25">
      <c r="A434">
        <v>200433</v>
      </c>
      <c r="B434">
        <v>54882</v>
      </c>
      <c r="C434" t="s">
        <v>18</v>
      </c>
      <c r="D434">
        <v>1343.2</v>
      </c>
      <c r="E434">
        <v>1601</v>
      </c>
      <c r="F434">
        <v>1</v>
      </c>
      <c r="G434">
        <v>3</v>
      </c>
      <c r="H434">
        <v>0</v>
      </c>
      <c r="I434" t="s">
        <v>33</v>
      </c>
      <c r="J434">
        <v>0</v>
      </c>
      <c r="K434">
        <v>83</v>
      </c>
      <c r="L434" t="s">
        <v>24</v>
      </c>
      <c r="M434" t="s">
        <v>31</v>
      </c>
      <c r="N434" t="s">
        <v>26</v>
      </c>
      <c r="O434" t="s">
        <v>27</v>
      </c>
      <c r="P434">
        <v>0.84</v>
      </c>
      <c r="Q434" s="2" t="b">
        <f>FALSE()</f>
        <v>0</v>
      </c>
      <c r="R434">
        <v>0</v>
      </c>
    </row>
    <row r="435" spans="1:18" x14ac:dyDescent="0.25">
      <c r="A435">
        <v>200434</v>
      </c>
      <c r="B435">
        <v>55889</v>
      </c>
      <c r="C435" t="s">
        <v>34</v>
      </c>
      <c r="D435">
        <v>1169.08</v>
      </c>
      <c r="E435">
        <v>2845</v>
      </c>
      <c r="F435">
        <v>1</v>
      </c>
      <c r="G435">
        <v>2</v>
      </c>
      <c r="H435">
        <v>1</v>
      </c>
      <c r="I435" t="s">
        <v>33</v>
      </c>
      <c r="J435">
        <v>1</v>
      </c>
      <c r="K435">
        <v>64</v>
      </c>
      <c r="L435" t="s">
        <v>24</v>
      </c>
      <c r="M435" t="s">
        <v>35</v>
      </c>
      <c r="N435" t="s">
        <v>30</v>
      </c>
      <c r="O435" t="s">
        <v>23</v>
      </c>
      <c r="P435">
        <v>0.5</v>
      </c>
      <c r="Q435" s="2" t="b">
        <f>FALSE()</f>
        <v>0</v>
      </c>
      <c r="R435">
        <v>0</v>
      </c>
    </row>
    <row r="436" spans="1:18" x14ac:dyDescent="0.25">
      <c r="A436">
        <v>200435</v>
      </c>
      <c r="B436">
        <v>51410</v>
      </c>
      <c r="C436" t="s">
        <v>34</v>
      </c>
      <c r="D436">
        <v>3594.18</v>
      </c>
      <c r="E436">
        <v>2315</v>
      </c>
      <c r="F436">
        <v>0</v>
      </c>
      <c r="G436">
        <v>1</v>
      </c>
      <c r="H436">
        <v>0</v>
      </c>
      <c r="I436" t="s">
        <v>33</v>
      </c>
      <c r="J436">
        <v>0</v>
      </c>
      <c r="K436">
        <v>62</v>
      </c>
      <c r="L436" t="s">
        <v>20</v>
      </c>
      <c r="M436" t="s">
        <v>35</v>
      </c>
      <c r="N436" t="s">
        <v>26</v>
      </c>
      <c r="O436" t="s">
        <v>36</v>
      </c>
      <c r="P436">
        <v>0.7</v>
      </c>
      <c r="Q436" s="2" t="b">
        <f>FALSE()</f>
        <v>0</v>
      </c>
      <c r="R436">
        <v>1</v>
      </c>
    </row>
    <row r="437" spans="1:18" x14ac:dyDescent="0.25">
      <c r="A437">
        <v>200436</v>
      </c>
      <c r="B437">
        <v>53931</v>
      </c>
      <c r="C437" t="s">
        <v>18</v>
      </c>
      <c r="D437">
        <v>2478.0500000000002</v>
      </c>
      <c r="E437">
        <v>624</v>
      </c>
      <c r="F437">
        <v>1</v>
      </c>
      <c r="G437">
        <v>2</v>
      </c>
      <c r="H437">
        <v>1</v>
      </c>
      <c r="I437" t="s">
        <v>33</v>
      </c>
      <c r="J437">
        <v>0</v>
      </c>
      <c r="K437">
        <v>78</v>
      </c>
      <c r="L437" t="s">
        <v>24</v>
      </c>
      <c r="M437" t="s">
        <v>37</v>
      </c>
      <c r="N437" t="s">
        <v>22</v>
      </c>
      <c r="O437" t="s">
        <v>36</v>
      </c>
      <c r="P437">
        <v>1.79</v>
      </c>
      <c r="Q437" s="2" t="b">
        <f>FALSE()</f>
        <v>0</v>
      </c>
      <c r="R437">
        <v>0</v>
      </c>
    </row>
    <row r="438" spans="1:18" x14ac:dyDescent="0.25">
      <c r="A438">
        <v>200437</v>
      </c>
      <c r="B438">
        <v>53374</v>
      </c>
      <c r="C438" t="s">
        <v>18</v>
      </c>
      <c r="D438">
        <v>1231.3900000000001</v>
      </c>
      <c r="E438">
        <v>2015</v>
      </c>
      <c r="F438">
        <v>1</v>
      </c>
      <c r="G438">
        <v>2</v>
      </c>
      <c r="H438">
        <v>0</v>
      </c>
      <c r="I438" t="s">
        <v>33</v>
      </c>
      <c r="J438">
        <v>0</v>
      </c>
      <c r="K438">
        <v>69</v>
      </c>
      <c r="L438" t="s">
        <v>24</v>
      </c>
      <c r="M438" t="s">
        <v>29</v>
      </c>
      <c r="N438" t="s">
        <v>22</v>
      </c>
      <c r="O438" t="s">
        <v>36</v>
      </c>
      <c r="P438">
        <v>0.4</v>
      </c>
      <c r="Q438" s="2" t="b">
        <f>FALSE()</f>
        <v>0</v>
      </c>
      <c r="R438">
        <v>0</v>
      </c>
    </row>
    <row r="439" spans="1:18" x14ac:dyDescent="0.25">
      <c r="A439">
        <v>200438</v>
      </c>
      <c r="B439">
        <v>50658</v>
      </c>
      <c r="C439" t="s">
        <v>34</v>
      </c>
      <c r="D439">
        <v>862.83</v>
      </c>
      <c r="E439">
        <v>3350</v>
      </c>
      <c r="F439">
        <v>0</v>
      </c>
      <c r="G439">
        <v>3</v>
      </c>
      <c r="H439">
        <v>1</v>
      </c>
      <c r="I439" t="s">
        <v>33</v>
      </c>
      <c r="J439">
        <v>0</v>
      </c>
      <c r="K439">
        <v>66</v>
      </c>
      <c r="L439" t="s">
        <v>20</v>
      </c>
      <c r="M439" t="s">
        <v>35</v>
      </c>
      <c r="N439" t="s">
        <v>22</v>
      </c>
      <c r="O439" t="s">
        <v>36</v>
      </c>
      <c r="P439">
        <v>0.31</v>
      </c>
      <c r="Q439" s="2" t="b">
        <f>FALSE()</f>
        <v>0</v>
      </c>
      <c r="R439">
        <v>0</v>
      </c>
    </row>
    <row r="440" spans="1:18" x14ac:dyDescent="0.25">
      <c r="A440">
        <v>200439</v>
      </c>
      <c r="B440">
        <v>50249</v>
      </c>
      <c r="C440" t="s">
        <v>34</v>
      </c>
      <c r="D440">
        <v>984.19</v>
      </c>
      <c r="E440">
        <v>776</v>
      </c>
      <c r="F440">
        <v>1</v>
      </c>
      <c r="G440">
        <v>1</v>
      </c>
      <c r="H440">
        <v>0</v>
      </c>
      <c r="I440" t="s">
        <v>32</v>
      </c>
      <c r="J440">
        <v>0</v>
      </c>
      <c r="K440">
        <v>47</v>
      </c>
      <c r="L440" t="s">
        <v>20</v>
      </c>
      <c r="M440" t="s">
        <v>31</v>
      </c>
      <c r="N440" t="s">
        <v>26</v>
      </c>
      <c r="O440" t="s">
        <v>23</v>
      </c>
      <c r="P440">
        <v>2.06</v>
      </c>
      <c r="Q440" s="2" t="b">
        <f>FALSE()</f>
        <v>0</v>
      </c>
      <c r="R440">
        <v>0</v>
      </c>
    </row>
    <row r="441" spans="1:18" x14ac:dyDescent="0.25">
      <c r="A441">
        <v>200440</v>
      </c>
      <c r="B441">
        <v>52688</v>
      </c>
      <c r="C441" t="s">
        <v>18</v>
      </c>
      <c r="D441">
        <v>1694.87</v>
      </c>
      <c r="E441">
        <v>1760</v>
      </c>
      <c r="F441">
        <v>0</v>
      </c>
      <c r="G441">
        <v>6</v>
      </c>
      <c r="H441">
        <v>0</v>
      </c>
      <c r="I441" t="s">
        <v>33</v>
      </c>
      <c r="J441">
        <v>0</v>
      </c>
      <c r="K441">
        <v>40</v>
      </c>
      <c r="L441" t="s">
        <v>20</v>
      </c>
      <c r="M441" t="s">
        <v>35</v>
      </c>
      <c r="N441" t="s">
        <v>22</v>
      </c>
      <c r="O441" t="s">
        <v>36</v>
      </c>
      <c r="P441">
        <v>3.39</v>
      </c>
      <c r="Q441" s="2" t="b">
        <f>FALSE()</f>
        <v>0</v>
      </c>
      <c r="R441">
        <v>0</v>
      </c>
    </row>
    <row r="442" spans="1:18" x14ac:dyDescent="0.25">
      <c r="A442">
        <v>200441</v>
      </c>
      <c r="B442">
        <v>50272</v>
      </c>
      <c r="C442" t="s">
        <v>34</v>
      </c>
      <c r="D442">
        <v>1713.62</v>
      </c>
      <c r="E442">
        <v>530</v>
      </c>
      <c r="F442">
        <v>2</v>
      </c>
      <c r="G442">
        <v>3</v>
      </c>
      <c r="H442">
        <v>1</v>
      </c>
      <c r="I442" t="s">
        <v>33</v>
      </c>
      <c r="J442">
        <v>0</v>
      </c>
      <c r="K442">
        <v>67</v>
      </c>
      <c r="L442" t="s">
        <v>24</v>
      </c>
      <c r="M442" t="s">
        <v>21</v>
      </c>
      <c r="N442" t="s">
        <v>22</v>
      </c>
      <c r="O442" t="s">
        <v>27</v>
      </c>
      <c r="P442">
        <v>5.0999999999999996</v>
      </c>
      <c r="Q442" s="2" t="b">
        <f>FALSE()</f>
        <v>0</v>
      </c>
      <c r="R442">
        <v>0</v>
      </c>
    </row>
    <row r="443" spans="1:18" x14ac:dyDescent="0.25">
      <c r="A443">
        <v>200442</v>
      </c>
      <c r="B443">
        <v>51279</v>
      </c>
      <c r="C443" t="s">
        <v>18</v>
      </c>
      <c r="D443">
        <v>4206.67</v>
      </c>
      <c r="E443">
        <v>2660</v>
      </c>
      <c r="F443">
        <v>0</v>
      </c>
      <c r="G443">
        <v>5</v>
      </c>
      <c r="H443">
        <v>1</v>
      </c>
      <c r="I443" t="s">
        <v>19</v>
      </c>
      <c r="J443">
        <v>0</v>
      </c>
      <c r="K443">
        <v>49</v>
      </c>
      <c r="L443" t="s">
        <v>24</v>
      </c>
      <c r="M443" t="s">
        <v>31</v>
      </c>
      <c r="N443" t="s">
        <v>22</v>
      </c>
      <c r="O443" t="s">
        <v>36</v>
      </c>
      <c r="P443">
        <v>7.3</v>
      </c>
      <c r="Q443" s="2" t="b">
        <f>FALSE()</f>
        <v>0</v>
      </c>
      <c r="R443">
        <v>1</v>
      </c>
    </row>
    <row r="444" spans="1:18" x14ac:dyDescent="0.25">
      <c r="A444">
        <v>200443</v>
      </c>
      <c r="B444">
        <v>51418</v>
      </c>
      <c r="C444" t="s">
        <v>28</v>
      </c>
      <c r="D444">
        <v>2466.29</v>
      </c>
      <c r="E444">
        <v>2069</v>
      </c>
      <c r="F444">
        <v>1</v>
      </c>
      <c r="G444">
        <v>6</v>
      </c>
      <c r="H444">
        <v>0</v>
      </c>
      <c r="I444" t="s">
        <v>33</v>
      </c>
      <c r="J444">
        <v>0</v>
      </c>
      <c r="K444">
        <v>19</v>
      </c>
      <c r="L444" t="s">
        <v>24</v>
      </c>
      <c r="M444" t="s">
        <v>35</v>
      </c>
      <c r="N444" t="s">
        <v>22</v>
      </c>
      <c r="O444" t="s">
        <v>36</v>
      </c>
      <c r="P444">
        <v>0.54</v>
      </c>
      <c r="Q444" s="2" t="b">
        <f>FALSE()</f>
        <v>0</v>
      </c>
      <c r="R444">
        <v>0</v>
      </c>
    </row>
    <row r="445" spans="1:18" x14ac:dyDescent="0.25">
      <c r="A445">
        <v>200444</v>
      </c>
      <c r="B445">
        <v>55016</v>
      </c>
      <c r="C445" t="s">
        <v>18</v>
      </c>
      <c r="D445">
        <v>284.45</v>
      </c>
      <c r="E445">
        <v>79</v>
      </c>
      <c r="F445">
        <v>2</v>
      </c>
      <c r="G445">
        <v>2</v>
      </c>
      <c r="H445">
        <v>1</v>
      </c>
      <c r="I445" t="s">
        <v>19</v>
      </c>
      <c r="J445">
        <v>0</v>
      </c>
      <c r="K445">
        <v>69</v>
      </c>
      <c r="L445" t="s">
        <v>24</v>
      </c>
      <c r="M445" t="s">
        <v>37</v>
      </c>
      <c r="N445" t="s">
        <v>30</v>
      </c>
      <c r="O445" t="s">
        <v>23</v>
      </c>
      <c r="P445">
        <v>3.81</v>
      </c>
      <c r="Q445" s="2" t="b">
        <f>FALSE()</f>
        <v>0</v>
      </c>
      <c r="R445">
        <v>0</v>
      </c>
    </row>
    <row r="446" spans="1:18" x14ac:dyDescent="0.25">
      <c r="A446">
        <v>200445</v>
      </c>
      <c r="B446">
        <v>52657</v>
      </c>
      <c r="C446" t="s">
        <v>34</v>
      </c>
      <c r="D446">
        <v>3039.59</v>
      </c>
      <c r="E446">
        <v>3541</v>
      </c>
      <c r="F446">
        <v>1</v>
      </c>
      <c r="G446">
        <v>7</v>
      </c>
      <c r="H446">
        <v>1</v>
      </c>
      <c r="I446" t="s">
        <v>33</v>
      </c>
      <c r="J446">
        <v>0</v>
      </c>
      <c r="K446">
        <v>37</v>
      </c>
      <c r="L446" t="s">
        <v>24</v>
      </c>
      <c r="M446" t="s">
        <v>31</v>
      </c>
      <c r="N446" t="s">
        <v>30</v>
      </c>
      <c r="O446" t="s">
        <v>27</v>
      </c>
      <c r="P446">
        <v>6.92</v>
      </c>
      <c r="Q446" s="2" t="b">
        <f>FALSE()</f>
        <v>0</v>
      </c>
      <c r="R446">
        <v>1</v>
      </c>
    </row>
    <row r="447" spans="1:18" x14ac:dyDescent="0.25">
      <c r="A447">
        <v>200446</v>
      </c>
      <c r="B447">
        <v>55258</v>
      </c>
      <c r="C447" t="s">
        <v>18</v>
      </c>
      <c r="D447">
        <v>1878.9</v>
      </c>
      <c r="E447">
        <v>1764</v>
      </c>
      <c r="F447">
        <v>2</v>
      </c>
      <c r="G447">
        <v>5</v>
      </c>
      <c r="H447">
        <v>1</v>
      </c>
      <c r="I447" t="s">
        <v>33</v>
      </c>
      <c r="J447">
        <v>0</v>
      </c>
      <c r="K447">
        <v>74</v>
      </c>
      <c r="L447" t="s">
        <v>24</v>
      </c>
      <c r="M447" t="s">
        <v>37</v>
      </c>
      <c r="N447" t="s">
        <v>30</v>
      </c>
      <c r="O447" t="s">
        <v>36</v>
      </c>
      <c r="P447">
        <v>0.5</v>
      </c>
      <c r="Q447" s="2" t="b">
        <f>FALSE()</f>
        <v>0</v>
      </c>
      <c r="R447">
        <v>0</v>
      </c>
    </row>
    <row r="448" spans="1:18" x14ac:dyDescent="0.25">
      <c r="A448">
        <v>200447</v>
      </c>
      <c r="B448">
        <v>55410</v>
      </c>
      <c r="C448" t="s">
        <v>28</v>
      </c>
      <c r="D448">
        <v>1573.04</v>
      </c>
      <c r="E448">
        <v>985</v>
      </c>
      <c r="F448">
        <v>2</v>
      </c>
      <c r="G448">
        <v>5</v>
      </c>
      <c r="H448">
        <v>0</v>
      </c>
      <c r="I448" t="s">
        <v>32</v>
      </c>
      <c r="J448">
        <v>1</v>
      </c>
      <c r="K448">
        <v>42</v>
      </c>
      <c r="L448" t="s">
        <v>24</v>
      </c>
      <c r="M448" t="s">
        <v>25</v>
      </c>
      <c r="N448" t="s">
        <v>22</v>
      </c>
      <c r="O448" t="s">
        <v>36</v>
      </c>
      <c r="P448">
        <v>3.94</v>
      </c>
      <c r="Q448" s="2" t="b">
        <f>FALSE()</f>
        <v>0</v>
      </c>
      <c r="R448">
        <v>0</v>
      </c>
    </row>
    <row r="449" spans="1:18" x14ac:dyDescent="0.25">
      <c r="A449">
        <v>200448</v>
      </c>
      <c r="B449">
        <v>54684</v>
      </c>
      <c r="C449" t="s">
        <v>34</v>
      </c>
      <c r="D449">
        <v>962.41</v>
      </c>
      <c r="E449">
        <v>1381</v>
      </c>
      <c r="F449">
        <v>2</v>
      </c>
      <c r="G449">
        <v>5</v>
      </c>
      <c r="H449">
        <v>0</v>
      </c>
      <c r="I449" t="s">
        <v>32</v>
      </c>
      <c r="J449">
        <v>0</v>
      </c>
      <c r="K449">
        <v>30</v>
      </c>
      <c r="L449" t="s">
        <v>24</v>
      </c>
      <c r="M449" t="s">
        <v>21</v>
      </c>
      <c r="N449" t="s">
        <v>30</v>
      </c>
      <c r="O449" t="s">
        <v>23</v>
      </c>
      <c r="P449">
        <v>0.68</v>
      </c>
      <c r="Q449" s="2" t="b">
        <f>FALSE()</f>
        <v>0</v>
      </c>
      <c r="R449">
        <v>0</v>
      </c>
    </row>
    <row r="450" spans="1:18" x14ac:dyDescent="0.25">
      <c r="A450">
        <v>200449</v>
      </c>
      <c r="B450">
        <v>52744</v>
      </c>
      <c r="C450" t="s">
        <v>18</v>
      </c>
      <c r="D450">
        <v>1527.46</v>
      </c>
      <c r="E450">
        <v>2517</v>
      </c>
      <c r="F450">
        <v>2</v>
      </c>
      <c r="G450">
        <v>3</v>
      </c>
      <c r="H450">
        <v>0</v>
      </c>
      <c r="I450" t="s">
        <v>19</v>
      </c>
      <c r="J450">
        <v>0</v>
      </c>
      <c r="K450">
        <v>79</v>
      </c>
      <c r="L450" t="s">
        <v>20</v>
      </c>
      <c r="M450" t="s">
        <v>25</v>
      </c>
      <c r="N450" t="s">
        <v>30</v>
      </c>
      <c r="O450" t="s">
        <v>27</v>
      </c>
      <c r="P450">
        <v>1.04</v>
      </c>
      <c r="Q450" s="2" t="b">
        <f>FALSE()</f>
        <v>0</v>
      </c>
      <c r="R450">
        <v>0</v>
      </c>
    </row>
    <row r="451" spans="1:18" x14ac:dyDescent="0.25">
      <c r="A451">
        <v>200450</v>
      </c>
      <c r="B451">
        <v>51887</v>
      </c>
      <c r="C451" t="s">
        <v>18</v>
      </c>
      <c r="D451">
        <v>919.09</v>
      </c>
      <c r="E451">
        <v>383</v>
      </c>
      <c r="F451">
        <v>1</v>
      </c>
      <c r="G451">
        <v>6</v>
      </c>
      <c r="H451">
        <v>0</v>
      </c>
      <c r="I451" t="s">
        <v>33</v>
      </c>
      <c r="J451">
        <v>1</v>
      </c>
      <c r="K451">
        <v>43</v>
      </c>
      <c r="L451" t="s">
        <v>24</v>
      </c>
      <c r="M451" t="s">
        <v>21</v>
      </c>
      <c r="N451" t="s">
        <v>26</v>
      </c>
      <c r="O451" t="s">
        <v>36</v>
      </c>
      <c r="P451">
        <v>3.07</v>
      </c>
      <c r="Q451" s="2" t="b">
        <f>FALSE()</f>
        <v>0</v>
      </c>
      <c r="R451">
        <v>0</v>
      </c>
    </row>
    <row r="452" spans="1:18" x14ac:dyDescent="0.25">
      <c r="A452">
        <v>200451</v>
      </c>
      <c r="B452">
        <v>53420</v>
      </c>
      <c r="C452" t="s">
        <v>18</v>
      </c>
      <c r="D452">
        <v>3635.44</v>
      </c>
      <c r="E452">
        <v>1620</v>
      </c>
      <c r="F452">
        <v>2</v>
      </c>
      <c r="G452">
        <v>8</v>
      </c>
      <c r="H452">
        <v>0</v>
      </c>
      <c r="I452" t="s">
        <v>32</v>
      </c>
      <c r="J452">
        <v>1</v>
      </c>
      <c r="K452">
        <v>56</v>
      </c>
      <c r="L452" t="s">
        <v>20</v>
      </c>
      <c r="M452" t="s">
        <v>37</v>
      </c>
      <c r="N452" t="s">
        <v>26</v>
      </c>
      <c r="O452" t="s">
        <v>27</v>
      </c>
      <c r="P452">
        <v>0.53</v>
      </c>
      <c r="Q452" s="2" t="b">
        <f>FALSE()</f>
        <v>0</v>
      </c>
      <c r="R452">
        <v>1</v>
      </c>
    </row>
    <row r="453" spans="1:18" x14ac:dyDescent="0.25">
      <c r="A453">
        <v>200452</v>
      </c>
      <c r="B453">
        <v>55742</v>
      </c>
      <c r="C453" t="s">
        <v>34</v>
      </c>
      <c r="D453">
        <v>2070.63</v>
      </c>
      <c r="E453">
        <v>492</v>
      </c>
      <c r="F453">
        <v>1</v>
      </c>
      <c r="G453">
        <v>4</v>
      </c>
      <c r="H453">
        <v>0</v>
      </c>
      <c r="I453" t="s">
        <v>33</v>
      </c>
      <c r="J453">
        <v>0</v>
      </c>
      <c r="K453">
        <v>19</v>
      </c>
      <c r="L453" t="s">
        <v>24</v>
      </c>
      <c r="M453" t="s">
        <v>35</v>
      </c>
      <c r="N453" t="s">
        <v>22</v>
      </c>
      <c r="O453" t="s">
        <v>27</v>
      </c>
      <c r="P453">
        <v>4.18</v>
      </c>
      <c r="Q453" s="2" t="b">
        <f>FALSE()</f>
        <v>0</v>
      </c>
      <c r="R453">
        <v>0</v>
      </c>
    </row>
    <row r="454" spans="1:18" x14ac:dyDescent="0.25">
      <c r="A454">
        <v>200453</v>
      </c>
      <c r="B454">
        <v>55055</v>
      </c>
      <c r="C454" t="s">
        <v>34</v>
      </c>
      <c r="D454">
        <v>1587.06</v>
      </c>
      <c r="E454">
        <v>3636</v>
      </c>
      <c r="F454">
        <v>1</v>
      </c>
      <c r="G454">
        <v>4</v>
      </c>
      <c r="H454">
        <v>0</v>
      </c>
      <c r="I454" t="s">
        <v>33</v>
      </c>
      <c r="J454">
        <v>0</v>
      </c>
      <c r="K454">
        <v>71</v>
      </c>
      <c r="L454" t="s">
        <v>20</v>
      </c>
      <c r="M454" t="s">
        <v>25</v>
      </c>
      <c r="N454" t="s">
        <v>30</v>
      </c>
      <c r="O454" t="s">
        <v>23</v>
      </c>
      <c r="P454">
        <v>1.28</v>
      </c>
      <c r="Q454" s="2" t="b">
        <f>FALSE()</f>
        <v>0</v>
      </c>
      <c r="R454">
        <v>0</v>
      </c>
    </row>
    <row r="455" spans="1:18" x14ac:dyDescent="0.25">
      <c r="A455">
        <v>200454</v>
      </c>
      <c r="B455">
        <v>50348</v>
      </c>
      <c r="C455" t="s">
        <v>34</v>
      </c>
      <c r="D455">
        <v>603.38</v>
      </c>
      <c r="E455">
        <v>982</v>
      </c>
      <c r="F455">
        <v>0</v>
      </c>
      <c r="G455">
        <v>3</v>
      </c>
      <c r="H455">
        <v>1</v>
      </c>
      <c r="I455" t="s">
        <v>19</v>
      </c>
      <c r="J455">
        <v>0</v>
      </c>
      <c r="K455">
        <v>35</v>
      </c>
      <c r="L455" t="s">
        <v>20</v>
      </c>
      <c r="M455" t="s">
        <v>29</v>
      </c>
      <c r="N455" t="s">
        <v>30</v>
      </c>
      <c r="O455" t="s">
        <v>27</v>
      </c>
      <c r="P455">
        <v>1.79</v>
      </c>
      <c r="Q455" s="2" t="b">
        <f>FALSE()</f>
        <v>0</v>
      </c>
      <c r="R455">
        <v>0</v>
      </c>
    </row>
    <row r="456" spans="1:18" x14ac:dyDescent="0.25">
      <c r="A456">
        <v>200455</v>
      </c>
      <c r="B456">
        <v>53182</v>
      </c>
      <c r="C456" t="s">
        <v>28</v>
      </c>
      <c r="D456">
        <v>4525.07</v>
      </c>
      <c r="E456">
        <v>407</v>
      </c>
      <c r="F456">
        <v>1</v>
      </c>
      <c r="G456">
        <v>3</v>
      </c>
      <c r="H456">
        <v>1</v>
      </c>
      <c r="I456" t="s">
        <v>19</v>
      </c>
      <c r="J456">
        <v>1</v>
      </c>
      <c r="K456">
        <v>44</v>
      </c>
      <c r="L456" t="s">
        <v>20</v>
      </c>
      <c r="M456" t="s">
        <v>25</v>
      </c>
      <c r="N456" t="s">
        <v>30</v>
      </c>
      <c r="O456" t="s">
        <v>36</v>
      </c>
      <c r="P456">
        <v>1.02</v>
      </c>
      <c r="Q456" s="2" t="b">
        <f>FALSE()</f>
        <v>0</v>
      </c>
      <c r="R456">
        <v>1</v>
      </c>
    </row>
    <row r="457" spans="1:18" x14ac:dyDescent="0.25">
      <c r="A457">
        <v>200456</v>
      </c>
      <c r="B457">
        <v>52284</v>
      </c>
      <c r="C457" t="s">
        <v>34</v>
      </c>
      <c r="D457">
        <v>5630.9</v>
      </c>
      <c r="E457">
        <v>1285</v>
      </c>
      <c r="F457">
        <v>0</v>
      </c>
      <c r="G457">
        <v>1</v>
      </c>
      <c r="H457">
        <v>0</v>
      </c>
      <c r="I457" t="s">
        <v>19</v>
      </c>
      <c r="J457">
        <v>0</v>
      </c>
      <c r="K457">
        <v>83</v>
      </c>
      <c r="L457" t="s">
        <v>20</v>
      </c>
      <c r="M457" t="s">
        <v>35</v>
      </c>
      <c r="N457" t="s">
        <v>22</v>
      </c>
      <c r="O457" t="s">
        <v>36</v>
      </c>
      <c r="P457">
        <v>5.38</v>
      </c>
      <c r="Q457" s="2" t="b">
        <f>FALSE()</f>
        <v>0</v>
      </c>
      <c r="R457">
        <v>1</v>
      </c>
    </row>
    <row r="458" spans="1:18" x14ac:dyDescent="0.25">
      <c r="A458">
        <v>200457</v>
      </c>
      <c r="B458">
        <v>51059</v>
      </c>
      <c r="C458" t="s">
        <v>34</v>
      </c>
      <c r="D458">
        <v>2475.41</v>
      </c>
      <c r="E458">
        <v>19</v>
      </c>
      <c r="F458">
        <v>0</v>
      </c>
      <c r="G458">
        <v>3</v>
      </c>
      <c r="H458">
        <v>1</v>
      </c>
      <c r="I458" t="s">
        <v>19</v>
      </c>
      <c r="J458">
        <v>0</v>
      </c>
      <c r="K458">
        <v>31</v>
      </c>
      <c r="L458" t="s">
        <v>24</v>
      </c>
      <c r="M458" t="s">
        <v>35</v>
      </c>
      <c r="N458" t="s">
        <v>22</v>
      </c>
      <c r="O458" t="s">
        <v>27</v>
      </c>
      <c r="P458">
        <v>1.5</v>
      </c>
      <c r="Q458" s="2" t="b">
        <f>FALSE()</f>
        <v>0</v>
      </c>
      <c r="R458">
        <v>0</v>
      </c>
    </row>
    <row r="459" spans="1:18" x14ac:dyDescent="0.25">
      <c r="A459">
        <v>200458</v>
      </c>
      <c r="B459">
        <v>53114</v>
      </c>
      <c r="C459" t="s">
        <v>18</v>
      </c>
      <c r="D459">
        <v>959.08</v>
      </c>
      <c r="E459">
        <v>1580</v>
      </c>
      <c r="F459">
        <v>1</v>
      </c>
      <c r="G459">
        <v>7</v>
      </c>
      <c r="H459">
        <v>1</v>
      </c>
      <c r="I459" t="s">
        <v>19</v>
      </c>
      <c r="J459">
        <v>0</v>
      </c>
      <c r="K459">
        <v>19</v>
      </c>
      <c r="L459" t="s">
        <v>24</v>
      </c>
      <c r="M459" t="s">
        <v>29</v>
      </c>
      <c r="N459" t="s">
        <v>26</v>
      </c>
      <c r="O459" t="s">
        <v>36</v>
      </c>
      <c r="P459">
        <v>9.9600000000000009</v>
      </c>
      <c r="Q459" s="2" t="b">
        <f>FALSE()</f>
        <v>0</v>
      </c>
      <c r="R459">
        <v>1</v>
      </c>
    </row>
    <row r="460" spans="1:18" x14ac:dyDescent="0.25">
      <c r="A460">
        <v>200459</v>
      </c>
      <c r="B460">
        <v>55752</v>
      </c>
      <c r="C460" t="s">
        <v>28</v>
      </c>
      <c r="D460">
        <v>3467.43</v>
      </c>
      <c r="E460">
        <v>3415</v>
      </c>
      <c r="F460">
        <v>0</v>
      </c>
      <c r="G460">
        <v>2</v>
      </c>
      <c r="H460">
        <v>0</v>
      </c>
      <c r="I460" t="s">
        <v>19</v>
      </c>
      <c r="J460">
        <v>0</v>
      </c>
      <c r="K460">
        <v>55</v>
      </c>
      <c r="L460" t="s">
        <v>24</v>
      </c>
      <c r="M460" t="s">
        <v>25</v>
      </c>
      <c r="N460" t="s">
        <v>26</v>
      </c>
      <c r="O460" t="s">
        <v>27</v>
      </c>
      <c r="P460">
        <v>6.38</v>
      </c>
      <c r="Q460" s="2" t="b">
        <f>FALSE()</f>
        <v>0</v>
      </c>
      <c r="R460">
        <v>0</v>
      </c>
    </row>
    <row r="461" spans="1:18" x14ac:dyDescent="0.25">
      <c r="A461">
        <v>200460</v>
      </c>
      <c r="B461">
        <v>51382</v>
      </c>
      <c r="C461" t="s">
        <v>34</v>
      </c>
      <c r="D461">
        <v>1483.82</v>
      </c>
      <c r="E461">
        <v>2513</v>
      </c>
      <c r="F461">
        <v>2</v>
      </c>
      <c r="G461">
        <v>2</v>
      </c>
      <c r="H461">
        <v>1</v>
      </c>
      <c r="I461" t="s">
        <v>33</v>
      </c>
      <c r="J461">
        <v>0</v>
      </c>
      <c r="K461">
        <v>24</v>
      </c>
      <c r="L461" t="s">
        <v>20</v>
      </c>
      <c r="M461" t="s">
        <v>29</v>
      </c>
      <c r="N461" t="s">
        <v>26</v>
      </c>
      <c r="O461" t="s">
        <v>27</v>
      </c>
      <c r="P461">
        <v>1.29</v>
      </c>
      <c r="Q461" s="2" t="b">
        <f>FALSE()</f>
        <v>0</v>
      </c>
      <c r="R461">
        <v>0</v>
      </c>
    </row>
    <row r="462" spans="1:18" x14ac:dyDescent="0.25">
      <c r="A462">
        <v>200461</v>
      </c>
      <c r="B462">
        <v>53317</v>
      </c>
      <c r="C462" t="s">
        <v>18</v>
      </c>
      <c r="D462">
        <v>690.74</v>
      </c>
      <c r="E462">
        <v>1575</v>
      </c>
      <c r="F462">
        <v>0</v>
      </c>
      <c r="G462">
        <v>6</v>
      </c>
      <c r="H462">
        <v>0</v>
      </c>
      <c r="I462" t="s">
        <v>19</v>
      </c>
      <c r="J462">
        <v>0</v>
      </c>
      <c r="K462">
        <v>46</v>
      </c>
      <c r="L462" t="s">
        <v>24</v>
      </c>
      <c r="M462" t="s">
        <v>25</v>
      </c>
      <c r="N462" t="s">
        <v>26</v>
      </c>
      <c r="O462" t="s">
        <v>27</v>
      </c>
      <c r="P462">
        <v>1.95</v>
      </c>
      <c r="Q462" s="2" t="b">
        <f>FALSE()</f>
        <v>0</v>
      </c>
      <c r="R462">
        <v>0</v>
      </c>
    </row>
    <row r="463" spans="1:18" x14ac:dyDescent="0.25">
      <c r="A463">
        <v>200462</v>
      </c>
      <c r="B463">
        <v>50886</v>
      </c>
      <c r="C463" t="s">
        <v>18</v>
      </c>
      <c r="D463">
        <v>1286.48</v>
      </c>
      <c r="E463">
        <v>2242</v>
      </c>
      <c r="F463">
        <v>0</v>
      </c>
      <c r="G463">
        <v>3</v>
      </c>
      <c r="H463">
        <v>1</v>
      </c>
      <c r="I463" t="s">
        <v>33</v>
      </c>
      <c r="J463">
        <v>0</v>
      </c>
      <c r="K463">
        <v>79</v>
      </c>
      <c r="L463" t="s">
        <v>20</v>
      </c>
      <c r="M463" t="s">
        <v>25</v>
      </c>
      <c r="N463" t="s">
        <v>26</v>
      </c>
      <c r="O463" t="s">
        <v>36</v>
      </c>
      <c r="P463">
        <v>5.32</v>
      </c>
      <c r="Q463" s="2" t="b">
        <f>FALSE()</f>
        <v>0</v>
      </c>
      <c r="R463">
        <v>0</v>
      </c>
    </row>
    <row r="464" spans="1:18" x14ac:dyDescent="0.25">
      <c r="A464">
        <v>200463</v>
      </c>
      <c r="B464">
        <v>54745</v>
      </c>
      <c r="C464" t="s">
        <v>18</v>
      </c>
      <c r="D464">
        <v>4584.16</v>
      </c>
      <c r="E464">
        <v>3345</v>
      </c>
      <c r="F464">
        <v>2</v>
      </c>
      <c r="G464">
        <v>5</v>
      </c>
      <c r="H464">
        <v>1</v>
      </c>
      <c r="I464" t="s">
        <v>33</v>
      </c>
      <c r="J464">
        <v>1</v>
      </c>
      <c r="K464">
        <v>65</v>
      </c>
      <c r="L464" t="s">
        <v>24</v>
      </c>
      <c r="M464" t="s">
        <v>29</v>
      </c>
      <c r="N464" t="s">
        <v>30</v>
      </c>
      <c r="O464" t="s">
        <v>36</v>
      </c>
      <c r="P464">
        <v>0.99</v>
      </c>
      <c r="Q464" s="2" t="b">
        <f>FALSE()</f>
        <v>0</v>
      </c>
      <c r="R464">
        <v>1</v>
      </c>
    </row>
    <row r="465" spans="1:18" x14ac:dyDescent="0.25">
      <c r="A465">
        <v>200464</v>
      </c>
      <c r="B465">
        <v>53313</v>
      </c>
      <c r="C465" t="s">
        <v>34</v>
      </c>
      <c r="D465">
        <v>4208</v>
      </c>
      <c r="E465">
        <v>1722</v>
      </c>
      <c r="F465">
        <v>2</v>
      </c>
      <c r="G465">
        <v>4</v>
      </c>
      <c r="H465">
        <v>0</v>
      </c>
      <c r="I465" t="s">
        <v>33</v>
      </c>
      <c r="J465">
        <v>0</v>
      </c>
      <c r="K465">
        <v>31</v>
      </c>
      <c r="L465" t="s">
        <v>24</v>
      </c>
      <c r="M465" t="s">
        <v>35</v>
      </c>
      <c r="N465" t="s">
        <v>22</v>
      </c>
      <c r="O465" t="s">
        <v>36</v>
      </c>
      <c r="P465">
        <v>16.68</v>
      </c>
      <c r="Q465" s="2" t="b">
        <f>FALSE()</f>
        <v>0</v>
      </c>
      <c r="R465">
        <v>1</v>
      </c>
    </row>
    <row r="466" spans="1:18" x14ac:dyDescent="0.25">
      <c r="A466">
        <v>200465</v>
      </c>
      <c r="B466">
        <v>51687</v>
      </c>
      <c r="C466" t="s">
        <v>18</v>
      </c>
      <c r="D466">
        <v>1100.57</v>
      </c>
      <c r="E466">
        <v>616</v>
      </c>
      <c r="F466">
        <v>1</v>
      </c>
      <c r="G466">
        <v>2</v>
      </c>
      <c r="H466">
        <v>1</v>
      </c>
      <c r="I466" t="s">
        <v>33</v>
      </c>
      <c r="J466">
        <v>0</v>
      </c>
      <c r="K466">
        <v>39</v>
      </c>
      <c r="L466" t="s">
        <v>20</v>
      </c>
      <c r="M466" t="s">
        <v>25</v>
      </c>
      <c r="N466" t="s">
        <v>30</v>
      </c>
      <c r="O466" t="s">
        <v>36</v>
      </c>
      <c r="P466">
        <v>0.05</v>
      </c>
      <c r="Q466" s="2" t="b">
        <f>FALSE()</f>
        <v>0</v>
      </c>
      <c r="R466">
        <v>0</v>
      </c>
    </row>
    <row r="467" spans="1:18" x14ac:dyDescent="0.25">
      <c r="A467">
        <v>200466</v>
      </c>
      <c r="B467">
        <v>54577</v>
      </c>
      <c r="C467" t="s">
        <v>18</v>
      </c>
      <c r="D467">
        <v>3523.46</v>
      </c>
      <c r="E467">
        <v>129</v>
      </c>
      <c r="F467">
        <v>4</v>
      </c>
      <c r="G467">
        <v>3</v>
      </c>
      <c r="H467">
        <v>0</v>
      </c>
      <c r="I467" t="s">
        <v>33</v>
      </c>
      <c r="J467">
        <v>0</v>
      </c>
      <c r="K467">
        <v>57</v>
      </c>
      <c r="L467" t="s">
        <v>20</v>
      </c>
      <c r="M467" t="s">
        <v>21</v>
      </c>
      <c r="N467" t="s">
        <v>22</v>
      </c>
      <c r="O467" t="s">
        <v>36</v>
      </c>
      <c r="P467">
        <v>4.01</v>
      </c>
      <c r="Q467" s="2" t="b">
        <f>FALSE()</f>
        <v>0</v>
      </c>
      <c r="R467">
        <v>1</v>
      </c>
    </row>
    <row r="468" spans="1:18" x14ac:dyDescent="0.25">
      <c r="A468">
        <v>200467</v>
      </c>
      <c r="B468">
        <v>54373</v>
      </c>
      <c r="C468" t="s">
        <v>34</v>
      </c>
      <c r="D468">
        <v>2648.27</v>
      </c>
      <c r="E468">
        <v>3441</v>
      </c>
      <c r="F468">
        <v>0</v>
      </c>
      <c r="G468">
        <v>8</v>
      </c>
      <c r="H468">
        <v>0</v>
      </c>
      <c r="I468" t="s">
        <v>33</v>
      </c>
      <c r="J468">
        <v>0</v>
      </c>
      <c r="K468">
        <v>83</v>
      </c>
      <c r="L468" t="s">
        <v>20</v>
      </c>
      <c r="M468" t="s">
        <v>37</v>
      </c>
      <c r="N468" t="s">
        <v>22</v>
      </c>
      <c r="O468" t="s">
        <v>27</v>
      </c>
      <c r="P468">
        <v>4.82</v>
      </c>
      <c r="Q468" s="2" t="b">
        <f>FALSE()</f>
        <v>0</v>
      </c>
      <c r="R468">
        <v>1</v>
      </c>
    </row>
    <row r="469" spans="1:18" x14ac:dyDescent="0.25">
      <c r="A469">
        <v>200468</v>
      </c>
      <c r="B469">
        <v>55259</v>
      </c>
      <c r="C469" t="s">
        <v>18</v>
      </c>
      <c r="D469">
        <v>2935.14</v>
      </c>
      <c r="E469">
        <v>476</v>
      </c>
      <c r="F469">
        <v>1</v>
      </c>
      <c r="G469">
        <v>8</v>
      </c>
      <c r="H469">
        <v>0</v>
      </c>
      <c r="I469" t="s">
        <v>19</v>
      </c>
      <c r="J469">
        <v>0</v>
      </c>
      <c r="K469">
        <v>27</v>
      </c>
      <c r="L469" t="s">
        <v>24</v>
      </c>
      <c r="M469" t="s">
        <v>25</v>
      </c>
      <c r="N469" t="s">
        <v>26</v>
      </c>
      <c r="O469" t="s">
        <v>36</v>
      </c>
      <c r="P469">
        <v>5.28</v>
      </c>
      <c r="Q469" s="2" t="b">
        <f>FALSE()</f>
        <v>0</v>
      </c>
      <c r="R469">
        <v>1</v>
      </c>
    </row>
    <row r="470" spans="1:18" x14ac:dyDescent="0.25">
      <c r="A470">
        <v>200469</v>
      </c>
      <c r="B470">
        <v>52746</v>
      </c>
      <c r="C470" t="s">
        <v>34</v>
      </c>
      <c r="D470">
        <v>1846.08</v>
      </c>
      <c r="E470">
        <v>1763</v>
      </c>
      <c r="F470">
        <v>1</v>
      </c>
      <c r="G470">
        <v>3</v>
      </c>
      <c r="H470">
        <v>0</v>
      </c>
      <c r="I470" t="s">
        <v>19</v>
      </c>
      <c r="J470">
        <v>0</v>
      </c>
      <c r="K470">
        <v>27</v>
      </c>
      <c r="L470" t="s">
        <v>24</v>
      </c>
      <c r="M470" t="s">
        <v>29</v>
      </c>
      <c r="N470" t="s">
        <v>22</v>
      </c>
      <c r="O470" t="s">
        <v>23</v>
      </c>
      <c r="P470">
        <v>5.91</v>
      </c>
      <c r="Q470" s="2" t="b">
        <f>FALSE()</f>
        <v>0</v>
      </c>
      <c r="R470">
        <v>0</v>
      </c>
    </row>
    <row r="471" spans="1:18" x14ac:dyDescent="0.25">
      <c r="A471">
        <v>200470</v>
      </c>
      <c r="B471">
        <v>51912</v>
      </c>
      <c r="C471" t="s">
        <v>28</v>
      </c>
      <c r="D471">
        <v>2957.18</v>
      </c>
      <c r="E471">
        <v>1608</v>
      </c>
      <c r="F471">
        <v>2</v>
      </c>
      <c r="G471">
        <v>4</v>
      </c>
      <c r="H471">
        <v>0</v>
      </c>
      <c r="I471" t="s">
        <v>33</v>
      </c>
      <c r="J471">
        <v>0</v>
      </c>
      <c r="K471">
        <v>22</v>
      </c>
      <c r="L471" t="s">
        <v>24</v>
      </c>
      <c r="M471" t="s">
        <v>35</v>
      </c>
      <c r="N471" t="s">
        <v>30</v>
      </c>
      <c r="O471" t="s">
        <v>27</v>
      </c>
      <c r="P471">
        <v>0.83</v>
      </c>
      <c r="Q471" s="2" t="b">
        <f>FALSE()</f>
        <v>0</v>
      </c>
      <c r="R471">
        <v>0</v>
      </c>
    </row>
    <row r="472" spans="1:18" x14ac:dyDescent="0.25">
      <c r="A472">
        <v>200471</v>
      </c>
      <c r="B472">
        <v>53359</v>
      </c>
      <c r="C472" t="s">
        <v>18</v>
      </c>
      <c r="D472">
        <v>4839.6000000000004</v>
      </c>
      <c r="E472">
        <v>3076</v>
      </c>
      <c r="F472">
        <v>0</v>
      </c>
      <c r="G472">
        <v>1</v>
      </c>
      <c r="H472">
        <v>1</v>
      </c>
      <c r="I472" t="s">
        <v>33</v>
      </c>
      <c r="J472">
        <v>0</v>
      </c>
      <c r="K472">
        <v>36</v>
      </c>
      <c r="L472" t="s">
        <v>20</v>
      </c>
      <c r="M472" t="s">
        <v>31</v>
      </c>
      <c r="N472" t="s">
        <v>22</v>
      </c>
      <c r="O472" t="s">
        <v>23</v>
      </c>
      <c r="P472">
        <v>2.73</v>
      </c>
      <c r="Q472" s="2" t="b">
        <f>FALSE()</f>
        <v>0</v>
      </c>
      <c r="R472">
        <v>1</v>
      </c>
    </row>
    <row r="473" spans="1:18" x14ac:dyDescent="0.25">
      <c r="A473">
        <v>200472</v>
      </c>
      <c r="B473">
        <v>52598</v>
      </c>
      <c r="C473" t="s">
        <v>34</v>
      </c>
      <c r="D473">
        <v>1818.05</v>
      </c>
      <c r="E473">
        <v>2158</v>
      </c>
      <c r="F473">
        <v>1</v>
      </c>
      <c r="G473">
        <v>5</v>
      </c>
      <c r="H473">
        <v>0</v>
      </c>
      <c r="I473" t="s">
        <v>33</v>
      </c>
      <c r="J473">
        <v>0</v>
      </c>
      <c r="K473">
        <v>29</v>
      </c>
      <c r="L473" t="s">
        <v>20</v>
      </c>
      <c r="M473" t="s">
        <v>25</v>
      </c>
      <c r="N473" t="s">
        <v>22</v>
      </c>
      <c r="O473" t="s">
        <v>36</v>
      </c>
      <c r="P473">
        <v>0.95</v>
      </c>
      <c r="Q473" s="2" t="b">
        <f>FALSE()</f>
        <v>0</v>
      </c>
      <c r="R473">
        <v>0</v>
      </c>
    </row>
    <row r="474" spans="1:18" x14ac:dyDescent="0.25">
      <c r="A474">
        <v>200473</v>
      </c>
      <c r="B474">
        <v>54559</v>
      </c>
      <c r="C474" t="s">
        <v>34</v>
      </c>
      <c r="D474">
        <v>1747.75</v>
      </c>
      <c r="E474">
        <v>3276</v>
      </c>
      <c r="F474">
        <v>0</v>
      </c>
      <c r="G474">
        <v>3</v>
      </c>
      <c r="H474">
        <v>0</v>
      </c>
      <c r="I474" t="s">
        <v>33</v>
      </c>
      <c r="J474">
        <v>0</v>
      </c>
      <c r="K474">
        <v>81</v>
      </c>
      <c r="L474" t="s">
        <v>24</v>
      </c>
      <c r="M474" t="s">
        <v>31</v>
      </c>
      <c r="N474" t="s">
        <v>30</v>
      </c>
      <c r="O474" t="s">
        <v>36</v>
      </c>
      <c r="P474">
        <v>9.0399999999999991</v>
      </c>
      <c r="Q474" s="2" t="b">
        <f>FALSE()</f>
        <v>0</v>
      </c>
      <c r="R474">
        <v>0</v>
      </c>
    </row>
    <row r="475" spans="1:18" x14ac:dyDescent="0.25">
      <c r="A475">
        <v>200474</v>
      </c>
      <c r="B475">
        <v>55904</v>
      </c>
      <c r="C475" t="s">
        <v>18</v>
      </c>
      <c r="D475">
        <v>2980.01</v>
      </c>
      <c r="E475">
        <v>1261</v>
      </c>
      <c r="F475">
        <v>2</v>
      </c>
      <c r="G475">
        <v>6</v>
      </c>
      <c r="H475">
        <v>0</v>
      </c>
      <c r="I475" t="s">
        <v>33</v>
      </c>
      <c r="J475">
        <v>0</v>
      </c>
      <c r="K475">
        <v>66</v>
      </c>
      <c r="L475" t="s">
        <v>24</v>
      </c>
      <c r="M475" t="s">
        <v>25</v>
      </c>
      <c r="N475" t="s">
        <v>22</v>
      </c>
      <c r="O475" t="s">
        <v>23</v>
      </c>
      <c r="P475">
        <v>0.01</v>
      </c>
      <c r="Q475" s="2" t="b">
        <f>FALSE()</f>
        <v>0</v>
      </c>
      <c r="R475">
        <v>0</v>
      </c>
    </row>
    <row r="476" spans="1:18" x14ac:dyDescent="0.25">
      <c r="A476">
        <v>200475</v>
      </c>
      <c r="B476">
        <v>54386</v>
      </c>
      <c r="C476" t="s">
        <v>18</v>
      </c>
      <c r="D476">
        <v>3070.77</v>
      </c>
      <c r="E476">
        <v>2909</v>
      </c>
      <c r="F476">
        <v>0</v>
      </c>
      <c r="G476">
        <v>2</v>
      </c>
      <c r="H476">
        <v>1</v>
      </c>
      <c r="I476" t="s">
        <v>19</v>
      </c>
      <c r="J476">
        <v>1</v>
      </c>
      <c r="K476">
        <v>63</v>
      </c>
      <c r="L476" t="s">
        <v>20</v>
      </c>
      <c r="M476" t="s">
        <v>29</v>
      </c>
      <c r="N476" t="s">
        <v>22</v>
      </c>
      <c r="O476" t="s">
        <v>36</v>
      </c>
      <c r="P476">
        <v>2.11</v>
      </c>
      <c r="Q476" s="2" t="b">
        <f>FALSE()</f>
        <v>0</v>
      </c>
      <c r="R476">
        <v>0</v>
      </c>
    </row>
    <row r="477" spans="1:18" x14ac:dyDescent="0.25">
      <c r="A477">
        <v>200476</v>
      </c>
      <c r="B477">
        <v>55220</v>
      </c>
      <c r="C477" t="s">
        <v>34</v>
      </c>
      <c r="D477">
        <v>1436.91</v>
      </c>
      <c r="E477">
        <v>1427</v>
      </c>
      <c r="F477">
        <v>1</v>
      </c>
      <c r="G477">
        <v>6</v>
      </c>
      <c r="H477">
        <v>0</v>
      </c>
      <c r="I477" t="s">
        <v>33</v>
      </c>
      <c r="J477">
        <v>1</v>
      </c>
      <c r="K477">
        <v>21</v>
      </c>
      <c r="L477" t="s">
        <v>24</v>
      </c>
      <c r="M477" t="s">
        <v>25</v>
      </c>
      <c r="N477" t="s">
        <v>30</v>
      </c>
      <c r="O477" t="s">
        <v>27</v>
      </c>
      <c r="P477">
        <v>0.08</v>
      </c>
      <c r="Q477" s="2" t="b">
        <f>FALSE()</f>
        <v>0</v>
      </c>
      <c r="R477">
        <v>0</v>
      </c>
    </row>
    <row r="478" spans="1:18" x14ac:dyDescent="0.25">
      <c r="A478">
        <v>200477</v>
      </c>
      <c r="B478">
        <v>51244</v>
      </c>
      <c r="C478" t="s">
        <v>18</v>
      </c>
      <c r="D478">
        <v>1079.76</v>
      </c>
      <c r="E478">
        <v>1699</v>
      </c>
      <c r="F478">
        <v>0</v>
      </c>
      <c r="G478">
        <v>3</v>
      </c>
      <c r="H478">
        <v>0</v>
      </c>
      <c r="I478" t="s">
        <v>19</v>
      </c>
      <c r="J478">
        <v>0</v>
      </c>
      <c r="K478">
        <v>75</v>
      </c>
      <c r="L478" t="s">
        <v>20</v>
      </c>
      <c r="M478" t="s">
        <v>21</v>
      </c>
      <c r="N478" t="s">
        <v>22</v>
      </c>
      <c r="O478" t="s">
        <v>36</v>
      </c>
      <c r="P478">
        <v>1.6</v>
      </c>
      <c r="Q478" s="2" t="b">
        <f>FALSE()</f>
        <v>0</v>
      </c>
      <c r="R478">
        <v>0</v>
      </c>
    </row>
    <row r="479" spans="1:18" x14ac:dyDescent="0.25">
      <c r="A479">
        <v>200478</v>
      </c>
      <c r="B479">
        <v>55701</v>
      </c>
      <c r="C479" t="s">
        <v>28</v>
      </c>
      <c r="D479">
        <v>2729.63</v>
      </c>
      <c r="E479">
        <v>2264</v>
      </c>
      <c r="F479">
        <v>5</v>
      </c>
      <c r="G479">
        <v>2</v>
      </c>
      <c r="H479">
        <v>0</v>
      </c>
      <c r="I479" t="s">
        <v>32</v>
      </c>
      <c r="J479">
        <v>0</v>
      </c>
      <c r="K479">
        <v>30</v>
      </c>
      <c r="L479" t="s">
        <v>24</v>
      </c>
      <c r="M479" t="s">
        <v>25</v>
      </c>
      <c r="N479" t="s">
        <v>22</v>
      </c>
      <c r="O479" t="s">
        <v>36</v>
      </c>
      <c r="P479">
        <v>0.84</v>
      </c>
      <c r="Q479" s="2" t="b">
        <f>FALSE()</f>
        <v>0</v>
      </c>
      <c r="R479">
        <v>1</v>
      </c>
    </row>
    <row r="480" spans="1:18" x14ac:dyDescent="0.25">
      <c r="A480">
        <v>200479</v>
      </c>
      <c r="B480">
        <v>50446</v>
      </c>
      <c r="C480" t="s">
        <v>28</v>
      </c>
      <c r="D480">
        <v>2607.67</v>
      </c>
      <c r="E480">
        <v>814</v>
      </c>
      <c r="F480">
        <v>2</v>
      </c>
      <c r="G480">
        <v>4</v>
      </c>
      <c r="H480">
        <v>0</v>
      </c>
      <c r="I480" t="s">
        <v>33</v>
      </c>
      <c r="J480">
        <v>0</v>
      </c>
      <c r="K480">
        <v>24</v>
      </c>
      <c r="L480" t="s">
        <v>24</v>
      </c>
      <c r="M480" t="s">
        <v>29</v>
      </c>
      <c r="N480" t="s">
        <v>22</v>
      </c>
      <c r="O480" t="s">
        <v>36</v>
      </c>
      <c r="P480">
        <v>2.1</v>
      </c>
      <c r="Q480" s="2" t="b">
        <f>FALSE()</f>
        <v>0</v>
      </c>
      <c r="R480">
        <v>0</v>
      </c>
    </row>
    <row r="481" spans="1:18" x14ac:dyDescent="0.25">
      <c r="A481">
        <v>200480</v>
      </c>
      <c r="B481">
        <v>55119</v>
      </c>
      <c r="C481" t="s">
        <v>28</v>
      </c>
      <c r="D481">
        <v>3881.05</v>
      </c>
      <c r="E481">
        <v>3307</v>
      </c>
      <c r="F481">
        <v>1</v>
      </c>
      <c r="G481">
        <v>2</v>
      </c>
      <c r="H481">
        <v>0</v>
      </c>
      <c r="I481" t="s">
        <v>33</v>
      </c>
      <c r="J481">
        <v>1</v>
      </c>
      <c r="K481">
        <v>25</v>
      </c>
      <c r="L481" t="s">
        <v>20</v>
      </c>
      <c r="M481" t="s">
        <v>37</v>
      </c>
      <c r="N481" t="s">
        <v>30</v>
      </c>
      <c r="O481" t="s">
        <v>36</v>
      </c>
      <c r="P481">
        <v>2.48</v>
      </c>
      <c r="Q481" s="2" t="b">
        <f>FALSE()</f>
        <v>0</v>
      </c>
      <c r="R481">
        <v>1</v>
      </c>
    </row>
    <row r="482" spans="1:18" x14ac:dyDescent="0.25">
      <c r="A482">
        <v>200481</v>
      </c>
      <c r="B482">
        <v>55943</v>
      </c>
      <c r="C482" t="s">
        <v>18</v>
      </c>
      <c r="D482">
        <v>1384.81</v>
      </c>
      <c r="E482">
        <v>3238</v>
      </c>
      <c r="F482">
        <v>1</v>
      </c>
      <c r="G482">
        <v>4</v>
      </c>
      <c r="H482">
        <v>0</v>
      </c>
      <c r="I482" t="s">
        <v>33</v>
      </c>
      <c r="J482">
        <v>1</v>
      </c>
      <c r="K482">
        <v>81</v>
      </c>
      <c r="L482" t="s">
        <v>20</v>
      </c>
      <c r="M482" t="s">
        <v>31</v>
      </c>
      <c r="N482" t="s">
        <v>22</v>
      </c>
      <c r="O482" t="s">
        <v>36</v>
      </c>
      <c r="P482">
        <v>2.96</v>
      </c>
      <c r="Q482" s="2" t="b">
        <f>FALSE()</f>
        <v>0</v>
      </c>
      <c r="R482">
        <v>0</v>
      </c>
    </row>
    <row r="483" spans="1:18" x14ac:dyDescent="0.25">
      <c r="A483">
        <v>200482</v>
      </c>
      <c r="B483">
        <v>52238</v>
      </c>
      <c r="C483" t="s">
        <v>18</v>
      </c>
      <c r="D483">
        <v>2941.71</v>
      </c>
      <c r="E483">
        <v>426</v>
      </c>
      <c r="F483">
        <v>1</v>
      </c>
      <c r="G483">
        <v>4</v>
      </c>
      <c r="H483">
        <v>0</v>
      </c>
      <c r="I483" t="s">
        <v>33</v>
      </c>
      <c r="J483">
        <v>0</v>
      </c>
      <c r="K483">
        <v>64</v>
      </c>
      <c r="L483" t="s">
        <v>24</v>
      </c>
      <c r="M483" t="s">
        <v>25</v>
      </c>
      <c r="N483" t="s">
        <v>30</v>
      </c>
      <c r="O483" t="s">
        <v>27</v>
      </c>
      <c r="P483">
        <v>0.69</v>
      </c>
      <c r="Q483" s="2" t="b">
        <f>FALSE()</f>
        <v>0</v>
      </c>
      <c r="R483">
        <v>0</v>
      </c>
    </row>
    <row r="484" spans="1:18" x14ac:dyDescent="0.25">
      <c r="A484">
        <v>200483</v>
      </c>
      <c r="B484">
        <v>51249</v>
      </c>
      <c r="C484" t="s">
        <v>34</v>
      </c>
      <c r="D484">
        <v>1240.82</v>
      </c>
      <c r="E484">
        <v>1339</v>
      </c>
      <c r="F484">
        <v>2</v>
      </c>
      <c r="G484">
        <v>7</v>
      </c>
      <c r="H484">
        <v>0</v>
      </c>
      <c r="I484" t="s">
        <v>19</v>
      </c>
      <c r="J484">
        <v>0</v>
      </c>
      <c r="K484">
        <v>75</v>
      </c>
      <c r="L484" t="s">
        <v>24</v>
      </c>
      <c r="M484" t="s">
        <v>29</v>
      </c>
      <c r="N484" t="s">
        <v>30</v>
      </c>
      <c r="O484" t="s">
        <v>27</v>
      </c>
      <c r="P484">
        <v>4.38</v>
      </c>
      <c r="Q484" s="2" t="b">
        <f>FALSE()</f>
        <v>0</v>
      </c>
      <c r="R484">
        <v>1</v>
      </c>
    </row>
    <row r="485" spans="1:18" x14ac:dyDescent="0.25">
      <c r="A485">
        <v>200484</v>
      </c>
      <c r="B485">
        <v>53701</v>
      </c>
      <c r="C485" t="s">
        <v>34</v>
      </c>
      <c r="D485">
        <v>4290.79</v>
      </c>
      <c r="E485">
        <v>1365</v>
      </c>
      <c r="F485">
        <v>0</v>
      </c>
      <c r="G485">
        <v>2</v>
      </c>
      <c r="H485">
        <v>0</v>
      </c>
      <c r="I485" t="s">
        <v>33</v>
      </c>
      <c r="J485">
        <v>1</v>
      </c>
      <c r="K485">
        <v>71</v>
      </c>
      <c r="L485" t="s">
        <v>24</v>
      </c>
      <c r="M485" t="s">
        <v>29</v>
      </c>
      <c r="N485" t="s">
        <v>30</v>
      </c>
      <c r="O485" t="s">
        <v>36</v>
      </c>
      <c r="P485">
        <v>1.72</v>
      </c>
      <c r="Q485" s="2" t="b">
        <f>FALSE()</f>
        <v>0</v>
      </c>
      <c r="R485">
        <v>1</v>
      </c>
    </row>
    <row r="486" spans="1:18" x14ac:dyDescent="0.25">
      <c r="A486">
        <v>200485</v>
      </c>
      <c r="B486">
        <v>52576</v>
      </c>
      <c r="C486" t="s">
        <v>34</v>
      </c>
      <c r="D486">
        <v>3511.42</v>
      </c>
      <c r="E486">
        <v>3083</v>
      </c>
      <c r="F486">
        <v>3</v>
      </c>
      <c r="G486">
        <v>1</v>
      </c>
      <c r="H486">
        <v>0</v>
      </c>
      <c r="I486" t="s">
        <v>33</v>
      </c>
      <c r="J486">
        <v>1</v>
      </c>
      <c r="K486">
        <v>19</v>
      </c>
      <c r="L486" t="s">
        <v>20</v>
      </c>
      <c r="M486" t="s">
        <v>21</v>
      </c>
      <c r="N486" t="s">
        <v>26</v>
      </c>
      <c r="O486" t="s">
        <v>27</v>
      </c>
      <c r="P486">
        <v>9.2899999999999991</v>
      </c>
      <c r="Q486" s="2" t="b">
        <f>FALSE()</f>
        <v>0</v>
      </c>
      <c r="R486">
        <v>1</v>
      </c>
    </row>
    <row r="487" spans="1:18" x14ac:dyDescent="0.25">
      <c r="A487">
        <v>200486</v>
      </c>
      <c r="B487">
        <v>55854</v>
      </c>
      <c r="C487" t="s">
        <v>34</v>
      </c>
      <c r="D487">
        <v>3248.84</v>
      </c>
      <c r="E487">
        <v>640</v>
      </c>
      <c r="F487">
        <v>3</v>
      </c>
      <c r="G487">
        <v>4</v>
      </c>
      <c r="H487">
        <v>0</v>
      </c>
      <c r="I487" t="s">
        <v>33</v>
      </c>
      <c r="J487">
        <v>0</v>
      </c>
      <c r="K487">
        <v>43</v>
      </c>
      <c r="L487" t="s">
        <v>24</v>
      </c>
      <c r="M487" t="s">
        <v>29</v>
      </c>
      <c r="N487" t="s">
        <v>30</v>
      </c>
      <c r="O487" t="s">
        <v>36</v>
      </c>
      <c r="P487">
        <v>2.83</v>
      </c>
      <c r="Q487" s="2" t="b">
        <f>FALSE()</f>
        <v>0</v>
      </c>
      <c r="R487">
        <v>1</v>
      </c>
    </row>
    <row r="488" spans="1:18" x14ac:dyDescent="0.25">
      <c r="A488">
        <v>200487</v>
      </c>
      <c r="B488">
        <v>50783</v>
      </c>
      <c r="C488" t="s">
        <v>28</v>
      </c>
      <c r="D488">
        <v>3949.26</v>
      </c>
      <c r="E488">
        <v>2552</v>
      </c>
      <c r="F488">
        <v>2</v>
      </c>
      <c r="G488">
        <v>4</v>
      </c>
      <c r="H488">
        <v>0</v>
      </c>
      <c r="I488" t="s">
        <v>32</v>
      </c>
      <c r="J488">
        <v>0</v>
      </c>
      <c r="K488">
        <v>41</v>
      </c>
      <c r="L488" t="s">
        <v>24</v>
      </c>
      <c r="M488" t="s">
        <v>25</v>
      </c>
      <c r="N488" t="s">
        <v>22</v>
      </c>
      <c r="O488" t="s">
        <v>36</v>
      </c>
      <c r="P488">
        <v>9.89</v>
      </c>
      <c r="Q488" s="2" t="b">
        <f>FALSE()</f>
        <v>0</v>
      </c>
      <c r="R488">
        <v>1</v>
      </c>
    </row>
    <row r="489" spans="1:18" x14ac:dyDescent="0.25">
      <c r="A489">
        <v>200488</v>
      </c>
      <c r="B489">
        <v>51592</v>
      </c>
      <c r="C489" t="s">
        <v>18</v>
      </c>
      <c r="D489">
        <v>839.15</v>
      </c>
      <c r="E489">
        <v>166</v>
      </c>
      <c r="F489">
        <v>3</v>
      </c>
      <c r="G489">
        <v>6</v>
      </c>
      <c r="H489">
        <v>1</v>
      </c>
      <c r="I489" t="s">
        <v>19</v>
      </c>
      <c r="J489">
        <v>0</v>
      </c>
      <c r="K489">
        <v>63</v>
      </c>
      <c r="L489" t="s">
        <v>20</v>
      </c>
      <c r="M489" t="s">
        <v>37</v>
      </c>
      <c r="N489" t="s">
        <v>22</v>
      </c>
      <c r="O489" t="s">
        <v>23</v>
      </c>
      <c r="P489">
        <v>6.72</v>
      </c>
      <c r="Q489" s="2" t="b">
        <f>FALSE()</f>
        <v>0</v>
      </c>
      <c r="R489">
        <v>1</v>
      </c>
    </row>
    <row r="490" spans="1:18" x14ac:dyDescent="0.25">
      <c r="A490">
        <v>200489</v>
      </c>
      <c r="B490">
        <v>54100</v>
      </c>
      <c r="C490" t="s">
        <v>18</v>
      </c>
      <c r="D490">
        <v>3645.24</v>
      </c>
      <c r="E490">
        <v>3262</v>
      </c>
      <c r="F490">
        <v>1</v>
      </c>
      <c r="G490">
        <v>4</v>
      </c>
      <c r="H490">
        <v>0</v>
      </c>
      <c r="I490" t="s">
        <v>33</v>
      </c>
      <c r="J490">
        <v>0</v>
      </c>
      <c r="K490">
        <v>21</v>
      </c>
      <c r="L490" t="s">
        <v>20</v>
      </c>
      <c r="M490" t="s">
        <v>25</v>
      </c>
      <c r="N490" t="s">
        <v>30</v>
      </c>
      <c r="O490" t="s">
        <v>36</v>
      </c>
      <c r="P490">
        <v>1.34</v>
      </c>
      <c r="Q490" s="2" t="b">
        <f>FALSE()</f>
        <v>0</v>
      </c>
      <c r="R490">
        <v>1</v>
      </c>
    </row>
    <row r="491" spans="1:18" x14ac:dyDescent="0.25">
      <c r="A491">
        <v>200490</v>
      </c>
      <c r="B491">
        <v>52406</v>
      </c>
      <c r="C491" t="s">
        <v>28</v>
      </c>
      <c r="D491">
        <v>3138.73</v>
      </c>
      <c r="E491">
        <v>3137</v>
      </c>
      <c r="F491">
        <v>1</v>
      </c>
      <c r="G491">
        <v>2</v>
      </c>
      <c r="H491">
        <v>0</v>
      </c>
      <c r="I491" t="s">
        <v>33</v>
      </c>
      <c r="J491">
        <v>0</v>
      </c>
      <c r="K491">
        <v>67</v>
      </c>
      <c r="L491" t="s">
        <v>20</v>
      </c>
      <c r="M491" t="s">
        <v>35</v>
      </c>
      <c r="N491" t="s">
        <v>26</v>
      </c>
      <c r="O491" t="s">
        <v>27</v>
      </c>
      <c r="P491">
        <v>0.16</v>
      </c>
      <c r="Q491" s="2" t="b">
        <f>FALSE()</f>
        <v>0</v>
      </c>
      <c r="R491">
        <v>0</v>
      </c>
    </row>
    <row r="492" spans="1:18" x14ac:dyDescent="0.25">
      <c r="A492">
        <v>200491</v>
      </c>
      <c r="B492">
        <v>50629</v>
      </c>
      <c r="C492" t="s">
        <v>18</v>
      </c>
      <c r="D492">
        <v>2554.4</v>
      </c>
      <c r="E492">
        <v>2986</v>
      </c>
      <c r="F492">
        <v>1</v>
      </c>
      <c r="G492">
        <v>4</v>
      </c>
      <c r="H492">
        <v>0</v>
      </c>
      <c r="I492" t="s">
        <v>19</v>
      </c>
      <c r="J492">
        <v>0</v>
      </c>
      <c r="K492">
        <v>43</v>
      </c>
      <c r="L492" t="s">
        <v>20</v>
      </c>
      <c r="M492" t="s">
        <v>25</v>
      </c>
      <c r="N492" t="s">
        <v>22</v>
      </c>
      <c r="O492" t="s">
        <v>36</v>
      </c>
      <c r="P492">
        <v>0.45</v>
      </c>
      <c r="Q492" s="2" t="b">
        <f>FALSE()</f>
        <v>0</v>
      </c>
      <c r="R492">
        <v>0</v>
      </c>
    </row>
    <row r="493" spans="1:18" x14ac:dyDescent="0.25">
      <c r="A493">
        <v>200492</v>
      </c>
      <c r="B493">
        <v>52648</v>
      </c>
      <c r="C493" t="s">
        <v>28</v>
      </c>
      <c r="D493">
        <v>2457.98</v>
      </c>
      <c r="E493">
        <v>2166</v>
      </c>
      <c r="F493">
        <v>1</v>
      </c>
      <c r="G493">
        <v>1</v>
      </c>
      <c r="H493">
        <v>1</v>
      </c>
      <c r="I493" t="s">
        <v>19</v>
      </c>
      <c r="J493">
        <v>0</v>
      </c>
      <c r="K493">
        <v>19</v>
      </c>
      <c r="L493" t="s">
        <v>24</v>
      </c>
      <c r="M493" t="s">
        <v>35</v>
      </c>
      <c r="N493" t="s">
        <v>30</v>
      </c>
      <c r="O493" t="s">
        <v>36</v>
      </c>
      <c r="P493">
        <v>1.71</v>
      </c>
      <c r="Q493" s="2" t="b">
        <f>FALSE()</f>
        <v>0</v>
      </c>
      <c r="R493">
        <v>0</v>
      </c>
    </row>
    <row r="494" spans="1:18" x14ac:dyDescent="0.25">
      <c r="A494">
        <v>200493</v>
      </c>
      <c r="B494">
        <v>50704</v>
      </c>
      <c r="C494" t="s">
        <v>18</v>
      </c>
      <c r="D494">
        <v>1171.8</v>
      </c>
      <c r="E494">
        <v>3062</v>
      </c>
      <c r="F494">
        <v>1</v>
      </c>
      <c r="G494">
        <v>7</v>
      </c>
      <c r="H494">
        <v>0</v>
      </c>
      <c r="I494" t="s">
        <v>32</v>
      </c>
      <c r="J494">
        <v>0</v>
      </c>
      <c r="K494">
        <v>48</v>
      </c>
      <c r="L494" t="s">
        <v>24</v>
      </c>
      <c r="M494" t="s">
        <v>31</v>
      </c>
      <c r="N494" t="s">
        <v>22</v>
      </c>
      <c r="O494" t="s">
        <v>36</v>
      </c>
      <c r="P494">
        <v>1.49</v>
      </c>
      <c r="Q494" s="2" t="b">
        <f>FALSE()</f>
        <v>0</v>
      </c>
      <c r="R494">
        <v>1</v>
      </c>
    </row>
    <row r="495" spans="1:18" x14ac:dyDescent="0.25">
      <c r="A495">
        <v>200494</v>
      </c>
      <c r="B495">
        <v>51079</v>
      </c>
      <c r="C495" t="s">
        <v>34</v>
      </c>
      <c r="D495">
        <v>2571.7199999999998</v>
      </c>
      <c r="E495">
        <v>2208</v>
      </c>
      <c r="F495">
        <v>0</v>
      </c>
      <c r="G495">
        <v>6</v>
      </c>
      <c r="H495">
        <v>0</v>
      </c>
      <c r="I495" t="s">
        <v>19</v>
      </c>
      <c r="J495">
        <v>0</v>
      </c>
      <c r="K495">
        <v>74</v>
      </c>
      <c r="L495" t="s">
        <v>24</v>
      </c>
      <c r="M495" t="s">
        <v>29</v>
      </c>
      <c r="N495" t="s">
        <v>26</v>
      </c>
      <c r="O495" t="s">
        <v>27</v>
      </c>
      <c r="P495">
        <v>1.47</v>
      </c>
      <c r="Q495" s="2" t="b">
        <f>FALSE()</f>
        <v>0</v>
      </c>
      <c r="R495">
        <v>0</v>
      </c>
    </row>
    <row r="496" spans="1:18" x14ac:dyDescent="0.25">
      <c r="A496">
        <v>200495</v>
      </c>
      <c r="B496">
        <v>51482</v>
      </c>
      <c r="C496" t="s">
        <v>28</v>
      </c>
      <c r="D496">
        <v>1620.65</v>
      </c>
      <c r="E496">
        <v>3358</v>
      </c>
      <c r="F496">
        <v>0</v>
      </c>
      <c r="G496">
        <v>3</v>
      </c>
      <c r="H496">
        <v>0</v>
      </c>
      <c r="I496" t="s">
        <v>33</v>
      </c>
      <c r="J496">
        <v>0</v>
      </c>
      <c r="K496">
        <v>58</v>
      </c>
      <c r="L496" t="s">
        <v>24</v>
      </c>
      <c r="M496" t="s">
        <v>37</v>
      </c>
      <c r="N496" t="s">
        <v>26</v>
      </c>
      <c r="O496" t="s">
        <v>27</v>
      </c>
      <c r="P496">
        <v>2.85</v>
      </c>
      <c r="Q496" s="2" t="b">
        <f>FALSE()</f>
        <v>0</v>
      </c>
      <c r="R496">
        <v>0</v>
      </c>
    </row>
    <row r="497" spans="1:18" x14ac:dyDescent="0.25">
      <c r="A497">
        <v>200496</v>
      </c>
      <c r="B497">
        <v>52736</v>
      </c>
      <c r="C497" t="s">
        <v>28</v>
      </c>
      <c r="D497">
        <v>2056.64</v>
      </c>
      <c r="E497">
        <v>712</v>
      </c>
      <c r="F497">
        <v>1</v>
      </c>
      <c r="G497">
        <v>3</v>
      </c>
      <c r="H497">
        <v>0</v>
      </c>
      <c r="I497" t="s">
        <v>32</v>
      </c>
      <c r="J497">
        <v>0</v>
      </c>
      <c r="K497">
        <v>33</v>
      </c>
      <c r="L497" t="s">
        <v>20</v>
      </c>
      <c r="M497" t="s">
        <v>35</v>
      </c>
      <c r="N497" t="s">
        <v>22</v>
      </c>
      <c r="O497" t="s">
        <v>36</v>
      </c>
      <c r="P497">
        <v>13.19</v>
      </c>
      <c r="Q497" s="2" t="b">
        <f>FALSE()</f>
        <v>0</v>
      </c>
      <c r="R497">
        <v>0</v>
      </c>
    </row>
    <row r="498" spans="1:18" x14ac:dyDescent="0.25">
      <c r="A498">
        <v>200497</v>
      </c>
      <c r="B498">
        <v>51888</v>
      </c>
      <c r="C498" t="s">
        <v>18</v>
      </c>
      <c r="D498">
        <v>6016.92</v>
      </c>
      <c r="E498">
        <v>3476</v>
      </c>
      <c r="F498">
        <v>2</v>
      </c>
      <c r="G498">
        <v>4</v>
      </c>
      <c r="H498">
        <v>0</v>
      </c>
      <c r="I498" t="s">
        <v>32</v>
      </c>
      <c r="J498">
        <v>0</v>
      </c>
      <c r="K498">
        <v>82</v>
      </c>
      <c r="L498" t="s">
        <v>24</v>
      </c>
      <c r="M498" t="s">
        <v>37</v>
      </c>
      <c r="N498" t="s">
        <v>22</v>
      </c>
      <c r="O498" t="s">
        <v>27</v>
      </c>
      <c r="P498">
        <v>1.24</v>
      </c>
      <c r="Q498" s="2" t="b">
        <f>FALSE()</f>
        <v>0</v>
      </c>
      <c r="R498">
        <v>1</v>
      </c>
    </row>
    <row r="499" spans="1:18" x14ac:dyDescent="0.25">
      <c r="A499">
        <v>200498</v>
      </c>
      <c r="B499">
        <v>55413</v>
      </c>
      <c r="C499" t="s">
        <v>18</v>
      </c>
      <c r="D499">
        <v>8546.0499999999993</v>
      </c>
      <c r="E499">
        <v>1420</v>
      </c>
      <c r="F499">
        <v>0</v>
      </c>
      <c r="G499">
        <v>6</v>
      </c>
      <c r="H499">
        <v>0</v>
      </c>
      <c r="I499" t="s">
        <v>33</v>
      </c>
      <c r="J499">
        <v>0</v>
      </c>
      <c r="K499">
        <v>25</v>
      </c>
      <c r="L499" t="s">
        <v>20</v>
      </c>
      <c r="M499" t="s">
        <v>25</v>
      </c>
      <c r="N499" t="s">
        <v>26</v>
      </c>
      <c r="O499" t="s">
        <v>27</v>
      </c>
      <c r="P499">
        <v>0.45</v>
      </c>
      <c r="Q499" s="2" t="b">
        <f>TRUE()</f>
        <v>1</v>
      </c>
      <c r="R499">
        <v>1</v>
      </c>
    </row>
    <row r="500" spans="1:18" x14ac:dyDescent="0.25">
      <c r="A500">
        <v>200499</v>
      </c>
      <c r="B500">
        <v>53824</v>
      </c>
      <c r="C500" t="s">
        <v>34</v>
      </c>
      <c r="D500">
        <v>890.66</v>
      </c>
      <c r="E500">
        <v>380</v>
      </c>
      <c r="F500">
        <v>3</v>
      </c>
      <c r="G500">
        <v>5</v>
      </c>
      <c r="H500">
        <v>0</v>
      </c>
      <c r="I500" t="s">
        <v>19</v>
      </c>
      <c r="J500">
        <v>0</v>
      </c>
      <c r="K500">
        <v>63</v>
      </c>
      <c r="L500" t="s">
        <v>24</v>
      </c>
      <c r="M500" t="s">
        <v>35</v>
      </c>
      <c r="N500" t="s">
        <v>22</v>
      </c>
      <c r="O500" t="s">
        <v>23</v>
      </c>
      <c r="P500">
        <v>1.47</v>
      </c>
      <c r="Q500" s="2" t="b">
        <f>FALSE()</f>
        <v>0</v>
      </c>
      <c r="R500">
        <v>1</v>
      </c>
    </row>
    <row r="501" spans="1:18" x14ac:dyDescent="0.25">
      <c r="A501">
        <v>200500</v>
      </c>
      <c r="B501">
        <v>50458</v>
      </c>
      <c r="C501" t="s">
        <v>18</v>
      </c>
      <c r="D501">
        <v>1968.74</v>
      </c>
      <c r="E501">
        <v>297</v>
      </c>
      <c r="F501">
        <v>1</v>
      </c>
      <c r="G501">
        <v>3</v>
      </c>
      <c r="H501">
        <v>0</v>
      </c>
      <c r="I501" t="s">
        <v>33</v>
      </c>
      <c r="J501">
        <v>0</v>
      </c>
      <c r="K501">
        <v>26</v>
      </c>
      <c r="L501" t="s">
        <v>20</v>
      </c>
      <c r="M501" t="s">
        <v>35</v>
      </c>
      <c r="N501" t="s">
        <v>22</v>
      </c>
      <c r="O501" t="s">
        <v>23</v>
      </c>
      <c r="P501">
        <v>2.11</v>
      </c>
      <c r="Q501" s="2" t="b">
        <f>FALSE()</f>
        <v>0</v>
      </c>
      <c r="R501">
        <v>0</v>
      </c>
    </row>
    <row r="502" spans="1:18" x14ac:dyDescent="0.25">
      <c r="A502">
        <v>200501</v>
      </c>
      <c r="B502">
        <v>55634</v>
      </c>
      <c r="C502" t="s">
        <v>18</v>
      </c>
      <c r="D502">
        <v>8645.48</v>
      </c>
      <c r="E502">
        <v>2214</v>
      </c>
      <c r="F502">
        <v>0</v>
      </c>
      <c r="G502">
        <v>5</v>
      </c>
      <c r="H502">
        <v>0</v>
      </c>
      <c r="I502" t="s">
        <v>33</v>
      </c>
      <c r="J502">
        <v>0</v>
      </c>
      <c r="K502">
        <v>27</v>
      </c>
      <c r="L502" t="s">
        <v>20</v>
      </c>
      <c r="M502" t="s">
        <v>31</v>
      </c>
      <c r="N502" t="s">
        <v>22</v>
      </c>
      <c r="O502" t="s">
        <v>23</v>
      </c>
      <c r="P502">
        <v>2.41</v>
      </c>
      <c r="Q502" s="2" t="b">
        <f>TRUE()</f>
        <v>1</v>
      </c>
      <c r="R502">
        <v>1</v>
      </c>
    </row>
    <row r="503" spans="1:18" x14ac:dyDescent="0.25">
      <c r="A503">
        <v>200502</v>
      </c>
      <c r="B503">
        <v>51235</v>
      </c>
      <c r="C503" t="s">
        <v>18</v>
      </c>
      <c r="D503">
        <v>1258.54</v>
      </c>
      <c r="E503">
        <v>723</v>
      </c>
      <c r="F503">
        <v>1</v>
      </c>
      <c r="G503">
        <v>5</v>
      </c>
      <c r="H503">
        <v>0</v>
      </c>
      <c r="I503" t="s">
        <v>19</v>
      </c>
      <c r="J503">
        <v>0</v>
      </c>
      <c r="K503">
        <v>27</v>
      </c>
      <c r="L503" t="s">
        <v>20</v>
      </c>
      <c r="M503" t="s">
        <v>31</v>
      </c>
      <c r="N503" t="s">
        <v>22</v>
      </c>
      <c r="O503" t="s">
        <v>36</v>
      </c>
      <c r="P503">
        <v>2.16</v>
      </c>
      <c r="Q503" s="2" t="b">
        <f>FALSE()</f>
        <v>0</v>
      </c>
      <c r="R503">
        <v>0</v>
      </c>
    </row>
    <row r="504" spans="1:18" x14ac:dyDescent="0.25">
      <c r="A504">
        <v>200503</v>
      </c>
      <c r="B504">
        <v>54169</v>
      </c>
      <c r="C504" t="s">
        <v>18</v>
      </c>
      <c r="D504">
        <v>2878.91</v>
      </c>
      <c r="E504">
        <v>3273</v>
      </c>
      <c r="F504">
        <v>1</v>
      </c>
      <c r="G504">
        <v>4</v>
      </c>
      <c r="H504">
        <v>0</v>
      </c>
      <c r="I504" t="s">
        <v>19</v>
      </c>
      <c r="J504">
        <v>0</v>
      </c>
      <c r="K504">
        <v>27</v>
      </c>
      <c r="L504" t="s">
        <v>24</v>
      </c>
      <c r="M504" t="s">
        <v>25</v>
      </c>
      <c r="N504" t="s">
        <v>22</v>
      </c>
      <c r="O504" t="s">
        <v>27</v>
      </c>
      <c r="P504">
        <v>0.06</v>
      </c>
      <c r="Q504" s="2" t="b">
        <f>FALSE()</f>
        <v>0</v>
      </c>
      <c r="R504">
        <v>0</v>
      </c>
    </row>
    <row r="505" spans="1:18" x14ac:dyDescent="0.25">
      <c r="A505">
        <v>200504</v>
      </c>
      <c r="B505">
        <v>50105</v>
      </c>
      <c r="C505" t="s">
        <v>28</v>
      </c>
      <c r="D505">
        <v>1275.94</v>
      </c>
      <c r="E505">
        <v>843</v>
      </c>
      <c r="F505">
        <v>2</v>
      </c>
      <c r="G505">
        <v>1</v>
      </c>
      <c r="H505">
        <v>1</v>
      </c>
      <c r="I505" t="s">
        <v>32</v>
      </c>
      <c r="J505">
        <v>0</v>
      </c>
      <c r="K505">
        <v>64</v>
      </c>
      <c r="L505" t="s">
        <v>20</v>
      </c>
      <c r="M505" t="s">
        <v>35</v>
      </c>
      <c r="N505" t="s">
        <v>26</v>
      </c>
      <c r="O505" t="s">
        <v>23</v>
      </c>
      <c r="P505">
        <v>5.68</v>
      </c>
      <c r="Q505" s="2" t="b">
        <f>FALSE()</f>
        <v>0</v>
      </c>
      <c r="R505">
        <v>0</v>
      </c>
    </row>
    <row r="506" spans="1:18" x14ac:dyDescent="0.25">
      <c r="A506">
        <v>200505</v>
      </c>
      <c r="B506">
        <v>53535</v>
      </c>
      <c r="C506" t="s">
        <v>34</v>
      </c>
      <c r="D506">
        <v>3031.99</v>
      </c>
      <c r="E506">
        <v>3382</v>
      </c>
      <c r="F506">
        <v>2</v>
      </c>
      <c r="G506">
        <v>6</v>
      </c>
      <c r="H506">
        <v>0</v>
      </c>
      <c r="I506" t="s">
        <v>33</v>
      </c>
      <c r="J506">
        <v>0</v>
      </c>
      <c r="K506">
        <v>53</v>
      </c>
      <c r="L506" t="s">
        <v>20</v>
      </c>
      <c r="M506" t="s">
        <v>29</v>
      </c>
      <c r="N506" t="s">
        <v>22</v>
      </c>
      <c r="O506" t="s">
        <v>27</v>
      </c>
      <c r="P506">
        <v>0.65</v>
      </c>
      <c r="Q506" s="2" t="b">
        <f>FALSE()</f>
        <v>0</v>
      </c>
      <c r="R506">
        <v>0</v>
      </c>
    </row>
    <row r="507" spans="1:18" x14ac:dyDescent="0.25">
      <c r="A507">
        <v>200506</v>
      </c>
      <c r="B507">
        <v>53674</v>
      </c>
      <c r="C507" t="s">
        <v>28</v>
      </c>
      <c r="D507">
        <v>3679.02</v>
      </c>
      <c r="E507">
        <v>984</v>
      </c>
      <c r="F507">
        <v>0</v>
      </c>
      <c r="G507">
        <v>1</v>
      </c>
      <c r="H507">
        <v>1</v>
      </c>
      <c r="I507" t="s">
        <v>19</v>
      </c>
      <c r="J507">
        <v>0</v>
      </c>
      <c r="K507">
        <v>46</v>
      </c>
      <c r="L507" t="s">
        <v>24</v>
      </c>
      <c r="M507" t="s">
        <v>35</v>
      </c>
      <c r="N507" t="s">
        <v>22</v>
      </c>
      <c r="O507" t="s">
        <v>27</v>
      </c>
      <c r="P507">
        <v>6.96</v>
      </c>
      <c r="Q507" s="2" t="b">
        <f>FALSE()</f>
        <v>0</v>
      </c>
      <c r="R507">
        <v>1</v>
      </c>
    </row>
    <row r="508" spans="1:18" x14ac:dyDescent="0.25">
      <c r="A508">
        <v>200507</v>
      </c>
      <c r="B508">
        <v>54748</v>
      </c>
      <c r="C508" t="s">
        <v>18</v>
      </c>
      <c r="D508">
        <v>2836.3</v>
      </c>
      <c r="E508">
        <v>2097</v>
      </c>
      <c r="F508">
        <v>1</v>
      </c>
      <c r="G508">
        <v>4</v>
      </c>
      <c r="H508">
        <v>0</v>
      </c>
      <c r="I508" t="s">
        <v>33</v>
      </c>
      <c r="J508">
        <v>1</v>
      </c>
      <c r="K508">
        <v>67</v>
      </c>
      <c r="L508" t="s">
        <v>20</v>
      </c>
      <c r="M508" t="s">
        <v>37</v>
      </c>
      <c r="N508" t="s">
        <v>22</v>
      </c>
      <c r="O508" t="s">
        <v>23</v>
      </c>
      <c r="P508">
        <v>0.83</v>
      </c>
      <c r="Q508" s="2" t="b">
        <f>FALSE()</f>
        <v>0</v>
      </c>
      <c r="R508">
        <v>0</v>
      </c>
    </row>
    <row r="509" spans="1:18" x14ac:dyDescent="0.25">
      <c r="A509">
        <v>200508</v>
      </c>
      <c r="B509">
        <v>51723</v>
      </c>
      <c r="C509" t="s">
        <v>18</v>
      </c>
      <c r="D509">
        <v>4248.0200000000004</v>
      </c>
      <c r="E509">
        <v>1800</v>
      </c>
      <c r="F509">
        <v>0</v>
      </c>
      <c r="G509">
        <v>8</v>
      </c>
      <c r="H509">
        <v>0</v>
      </c>
      <c r="I509" t="s">
        <v>33</v>
      </c>
      <c r="J509">
        <v>0</v>
      </c>
      <c r="K509">
        <v>29</v>
      </c>
      <c r="L509" t="s">
        <v>24</v>
      </c>
      <c r="M509" t="s">
        <v>29</v>
      </c>
      <c r="N509" t="s">
        <v>26</v>
      </c>
      <c r="O509" t="s">
        <v>27</v>
      </c>
      <c r="P509">
        <v>2.4900000000000002</v>
      </c>
      <c r="Q509" s="2" t="b">
        <f>FALSE()</f>
        <v>0</v>
      </c>
      <c r="R509">
        <v>1</v>
      </c>
    </row>
    <row r="510" spans="1:18" x14ac:dyDescent="0.25">
      <c r="A510">
        <v>200509</v>
      </c>
      <c r="B510">
        <v>50609</v>
      </c>
      <c r="C510" t="s">
        <v>34</v>
      </c>
      <c r="D510">
        <v>2193.77</v>
      </c>
      <c r="E510">
        <v>3396</v>
      </c>
      <c r="F510">
        <v>3</v>
      </c>
      <c r="G510">
        <v>2</v>
      </c>
      <c r="H510">
        <v>1</v>
      </c>
      <c r="I510" t="s">
        <v>33</v>
      </c>
      <c r="J510">
        <v>1</v>
      </c>
      <c r="K510">
        <v>27</v>
      </c>
      <c r="L510" t="s">
        <v>24</v>
      </c>
      <c r="M510" t="s">
        <v>21</v>
      </c>
      <c r="N510" t="s">
        <v>22</v>
      </c>
      <c r="O510" t="s">
        <v>27</v>
      </c>
      <c r="P510">
        <v>2.0499999999999998</v>
      </c>
      <c r="Q510" s="2" t="b">
        <f>FALSE()</f>
        <v>0</v>
      </c>
      <c r="R510">
        <v>1</v>
      </c>
    </row>
    <row r="511" spans="1:18" x14ac:dyDescent="0.25">
      <c r="A511">
        <v>200510</v>
      </c>
      <c r="B511">
        <v>54483</v>
      </c>
      <c r="C511" t="s">
        <v>18</v>
      </c>
      <c r="D511">
        <v>5907.86</v>
      </c>
      <c r="E511">
        <v>2101</v>
      </c>
      <c r="F511">
        <v>2</v>
      </c>
      <c r="G511">
        <v>9</v>
      </c>
      <c r="H511">
        <v>0</v>
      </c>
      <c r="I511" t="s">
        <v>33</v>
      </c>
      <c r="J511">
        <v>1</v>
      </c>
      <c r="K511">
        <v>81</v>
      </c>
      <c r="L511" t="s">
        <v>24</v>
      </c>
      <c r="M511" t="s">
        <v>25</v>
      </c>
      <c r="N511" t="s">
        <v>22</v>
      </c>
      <c r="O511" t="s">
        <v>36</v>
      </c>
      <c r="P511">
        <v>6.31</v>
      </c>
      <c r="Q511" s="2" t="b">
        <f>FALSE()</f>
        <v>0</v>
      </c>
      <c r="R511">
        <v>1</v>
      </c>
    </row>
    <row r="512" spans="1:18" x14ac:dyDescent="0.25">
      <c r="A512">
        <v>200511</v>
      </c>
      <c r="B512">
        <v>51579</v>
      </c>
      <c r="C512" t="s">
        <v>34</v>
      </c>
      <c r="D512">
        <v>2088.98</v>
      </c>
      <c r="E512">
        <v>1301</v>
      </c>
      <c r="F512">
        <v>1</v>
      </c>
      <c r="G512">
        <v>3</v>
      </c>
      <c r="H512">
        <v>0</v>
      </c>
      <c r="I512" t="s">
        <v>19</v>
      </c>
      <c r="J512">
        <v>1</v>
      </c>
      <c r="K512">
        <v>23</v>
      </c>
      <c r="L512" t="s">
        <v>20</v>
      </c>
      <c r="M512" t="s">
        <v>37</v>
      </c>
      <c r="N512" t="s">
        <v>30</v>
      </c>
      <c r="O512" t="s">
        <v>36</v>
      </c>
      <c r="P512">
        <v>3.81</v>
      </c>
      <c r="Q512" s="2" t="b">
        <f>FALSE()</f>
        <v>0</v>
      </c>
      <c r="R512">
        <v>0</v>
      </c>
    </row>
    <row r="513" spans="1:18" x14ac:dyDescent="0.25">
      <c r="A513">
        <v>200512</v>
      </c>
      <c r="B513">
        <v>54813</v>
      </c>
      <c r="C513" t="s">
        <v>28</v>
      </c>
      <c r="D513">
        <v>1756.84</v>
      </c>
      <c r="E513">
        <v>2874</v>
      </c>
      <c r="F513">
        <v>2</v>
      </c>
      <c r="G513">
        <v>2</v>
      </c>
      <c r="H513">
        <v>0</v>
      </c>
      <c r="I513" t="s">
        <v>19</v>
      </c>
      <c r="J513">
        <v>0</v>
      </c>
      <c r="K513">
        <v>30</v>
      </c>
      <c r="L513" t="s">
        <v>20</v>
      </c>
      <c r="M513" t="s">
        <v>31</v>
      </c>
      <c r="N513" t="s">
        <v>22</v>
      </c>
      <c r="O513" t="s">
        <v>23</v>
      </c>
      <c r="P513">
        <v>8.1300000000000008</v>
      </c>
      <c r="Q513" s="2" t="b">
        <f>FALSE()</f>
        <v>0</v>
      </c>
      <c r="R513">
        <v>0</v>
      </c>
    </row>
    <row r="514" spans="1:18" x14ac:dyDescent="0.25">
      <c r="A514">
        <v>200513</v>
      </c>
      <c r="B514">
        <v>54935</v>
      </c>
      <c r="C514" t="s">
        <v>18</v>
      </c>
      <c r="D514">
        <v>1006.32</v>
      </c>
      <c r="E514">
        <v>138</v>
      </c>
      <c r="F514">
        <v>1</v>
      </c>
      <c r="G514">
        <v>5</v>
      </c>
      <c r="H514">
        <v>0</v>
      </c>
      <c r="I514" t="s">
        <v>33</v>
      </c>
      <c r="J514">
        <v>0</v>
      </c>
      <c r="K514">
        <v>25</v>
      </c>
      <c r="L514" t="s">
        <v>20</v>
      </c>
      <c r="M514" t="s">
        <v>21</v>
      </c>
      <c r="N514" t="s">
        <v>30</v>
      </c>
      <c r="O514" t="s">
        <v>27</v>
      </c>
      <c r="P514">
        <v>2.0699999999999998</v>
      </c>
      <c r="Q514" s="2" t="b">
        <f>FALSE()</f>
        <v>0</v>
      </c>
      <c r="R514">
        <v>0</v>
      </c>
    </row>
    <row r="515" spans="1:18" x14ac:dyDescent="0.25">
      <c r="A515">
        <v>200514</v>
      </c>
      <c r="B515">
        <v>53559</v>
      </c>
      <c r="C515" t="s">
        <v>18</v>
      </c>
      <c r="D515">
        <v>1517.49</v>
      </c>
      <c r="E515">
        <v>3601</v>
      </c>
      <c r="F515">
        <v>3</v>
      </c>
      <c r="G515">
        <v>5</v>
      </c>
      <c r="H515">
        <v>0</v>
      </c>
      <c r="I515" t="s">
        <v>19</v>
      </c>
      <c r="J515">
        <v>0</v>
      </c>
      <c r="K515">
        <v>28</v>
      </c>
      <c r="L515" t="s">
        <v>24</v>
      </c>
      <c r="M515" t="s">
        <v>29</v>
      </c>
      <c r="N515" t="s">
        <v>30</v>
      </c>
      <c r="O515" t="s">
        <v>36</v>
      </c>
      <c r="P515">
        <v>1.31</v>
      </c>
      <c r="Q515" s="2" t="b">
        <f>FALSE()</f>
        <v>0</v>
      </c>
      <c r="R515">
        <v>1</v>
      </c>
    </row>
    <row r="516" spans="1:18" x14ac:dyDescent="0.25">
      <c r="A516">
        <v>200515</v>
      </c>
      <c r="B516">
        <v>55019</v>
      </c>
      <c r="C516" t="s">
        <v>34</v>
      </c>
      <c r="D516">
        <v>6294.9</v>
      </c>
      <c r="E516">
        <v>750</v>
      </c>
      <c r="F516">
        <v>0</v>
      </c>
      <c r="G516">
        <v>5</v>
      </c>
      <c r="H516">
        <v>1</v>
      </c>
      <c r="I516" t="s">
        <v>33</v>
      </c>
      <c r="J516">
        <v>0</v>
      </c>
      <c r="K516">
        <v>63</v>
      </c>
      <c r="L516" t="s">
        <v>20</v>
      </c>
      <c r="M516" t="s">
        <v>31</v>
      </c>
      <c r="N516" t="s">
        <v>26</v>
      </c>
      <c r="O516" t="s">
        <v>27</v>
      </c>
      <c r="P516">
        <v>2.92</v>
      </c>
      <c r="Q516" s="2" t="b">
        <f>FALSE()</f>
        <v>0</v>
      </c>
      <c r="R516">
        <v>1</v>
      </c>
    </row>
    <row r="517" spans="1:18" x14ac:dyDescent="0.25">
      <c r="A517">
        <v>200516</v>
      </c>
      <c r="B517">
        <v>54586</v>
      </c>
      <c r="C517" t="s">
        <v>34</v>
      </c>
      <c r="D517">
        <v>3701.74</v>
      </c>
      <c r="E517">
        <v>3172</v>
      </c>
      <c r="F517">
        <v>2</v>
      </c>
      <c r="G517">
        <v>4</v>
      </c>
      <c r="H517">
        <v>0</v>
      </c>
      <c r="I517" t="s">
        <v>19</v>
      </c>
      <c r="J517">
        <v>0</v>
      </c>
      <c r="K517">
        <v>50</v>
      </c>
      <c r="L517" t="s">
        <v>24</v>
      </c>
      <c r="M517" t="s">
        <v>25</v>
      </c>
      <c r="N517" t="s">
        <v>22</v>
      </c>
      <c r="O517" t="s">
        <v>36</v>
      </c>
      <c r="P517">
        <v>5.54</v>
      </c>
      <c r="Q517" s="2" t="b">
        <f>FALSE()</f>
        <v>0</v>
      </c>
      <c r="R517">
        <v>1</v>
      </c>
    </row>
    <row r="518" spans="1:18" x14ac:dyDescent="0.25">
      <c r="A518">
        <v>200517</v>
      </c>
      <c r="B518">
        <v>54306</v>
      </c>
      <c r="C518" t="s">
        <v>34</v>
      </c>
      <c r="D518">
        <v>5286.61</v>
      </c>
      <c r="E518">
        <v>1263</v>
      </c>
      <c r="F518">
        <v>2</v>
      </c>
      <c r="G518">
        <v>5</v>
      </c>
      <c r="H518">
        <v>0</v>
      </c>
      <c r="I518" t="s">
        <v>33</v>
      </c>
      <c r="J518">
        <v>0</v>
      </c>
      <c r="K518">
        <v>24</v>
      </c>
      <c r="L518" t="s">
        <v>20</v>
      </c>
      <c r="M518" t="s">
        <v>29</v>
      </c>
      <c r="N518" t="s">
        <v>26</v>
      </c>
      <c r="O518" t="s">
        <v>23</v>
      </c>
      <c r="P518">
        <v>5.29</v>
      </c>
      <c r="Q518" s="2" t="b">
        <f>FALSE()</f>
        <v>0</v>
      </c>
      <c r="R518">
        <v>1</v>
      </c>
    </row>
    <row r="519" spans="1:18" x14ac:dyDescent="0.25">
      <c r="A519">
        <v>200518</v>
      </c>
      <c r="B519">
        <v>53083</v>
      </c>
      <c r="C519" t="s">
        <v>18</v>
      </c>
      <c r="D519">
        <v>2758.05</v>
      </c>
      <c r="E519">
        <v>1425</v>
      </c>
      <c r="F519">
        <v>0</v>
      </c>
      <c r="G519">
        <v>5</v>
      </c>
      <c r="H519">
        <v>0</v>
      </c>
      <c r="I519" t="s">
        <v>33</v>
      </c>
      <c r="J519">
        <v>1</v>
      </c>
      <c r="K519">
        <v>43</v>
      </c>
      <c r="L519" t="s">
        <v>24</v>
      </c>
      <c r="M519" t="s">
        <v>29</v>
      </c>
      <c r="N519" t="s">
        <v>26</v>
      </c>
      <c r="O519" t="s">
        <v>36</v>
      </c>
      <c r="P519">
        <v>1.03</v>
      </c>
      <c r="Q519" s="2" t="b">
        <f>FALSE()</f>
        <v>0</v>
      </c>
      <c r="R519">
        <v>0</v>
      </c>
    </row>
    <row r="520" spans="1:18" x14ac:dyDescent="0.25">
      <c r="A520">
        <v>200519</v>
      </c>
      <c r="B520">
        <v>54825</v>
      </c>
      <c r="C520" t="s">
        <v>18</v>
      </c>
      <c r="D520">
        <v>8129.31</v>
      </c>
      <c r="E520">
        <v>3051</v>
      </c>
      <c r="F520">
        <v>1</v>
      </c>
      <c r="G520">
        <v>3</v>
      </c>
      <c r="H520">
        <v>0</v>
      </c>
      <c r="I520" t="s">
        <v>33</v>
      </c>
      <c r="J520">
        <v>1</v>
      </c>
      <c r="K520">
        <v>23</v>
      </c>
      <c r="L520" t="s">
        <v>24</v>
      </c>
      <c r="M520" t="s">
        <v>21</v>
      </c>
      <c r="N520" t="s">
        <v>26</v>
      </c>
      <c r="O520" t="s">
        <v>36</v>
      </c>
      <c r="P520">
        <v>0.81</v>
      </c>
      <c r="Q520" s="2" t="b">
        <f>TRUE()</f>
        <v>1</v>
      </c>
      <c r="R520">
        <v>1</v>
      </c>
    </row>
    <row r="521" spans="1:18" x14ac:dyDescent="0.25">
      <c r="A521">
        <v>200520</v>
      </c>
      <c r="B521">
        <v>50767</v>
      </c>
      <c r="C521" t="s">
        <v>18</v>
      </c>
      <c r="D521">
        <v>1166.76</v>
      </c>
      <c r="E521">
        <v>3192</v>
      </c>
      <c r="F521">
        <v>2</v>
      </c>
      <c r="G521">
        <v>5</v>
      </c>
      <c r="H521">
        <v>1</v>
      </c>
      <c r="I521" t="s">
        <v>33</v>
      </c>
      <c r="J521">
        <v>0</v>
      </c>
      <c r="K521">
        <v>23</v>
      </c>
      <c r="L521" t="s">
        <v>24</v>
      </c>
      <c r="M521" t="s">
        <v>21</v>
      </c>
      <c r="N521" t="s">
        <v>30</v>
      </c>
      <c r="O521" t="s">
        <v>36</v>
      </c>
      <c r="P521">
        <v>7.91</v>
      </c>
      <c r="Q521" s="2" t="b">
        <f>FALSE()</f>
        <v>0</v>
      </c>
      <c r="R521">
        <v>0</v>
      </c>
    </row>
    <row r="522" spans="1:18" x14ac:dyDescent="0.25">
      <c r="A522">
        <v>200521</v>
      </c>
      <c r="B522">
        <v>53420</v>
      </c>
      <c r="C522" t="s">
        <v>18</v>
      </c>
      <c r="D522">
        <v>4657.7</v>
      </c>
      <c r="E522">
        <v>1976</v>
      </c>
      <c r="F522">
        <v>1</v>
      </c>
      <c r="G522">
        <v>7</v>
      </c>
      <c r="H522">
        <v>0</v>
      </c>
      <c r="I522" t="s">
        <v>33</v>
      </c>
      <c r="J522">
        <v>0</v>
      </c>
      <c r="K522">
        <v>41</v>
      </c>
      <c r="L522" t="s">
        <v>20</v>
      </c>
      <c r="M522" t="s">
        <v>29</v>
      </c>
      <c r="N522" t="s">
        <v>26</v>
      </c>
      <c r="O522" t="s">
        <v>36</v>
      </c>
      <c r="P522">
        <v>1.1000000000000001</v>
      </c>
      <c r="Q522" s="2" t="b">
        <f>FALSE()</f>
        <v>0</v>
      </c>
      <c r="R522">
        <v>1</v>
      </c>
    </row>
    <row r="523" spans="1:18" x14ac:dyDescent="0.25">
      <c r="A523">
        <v>200522</v>
      </c>
      <c r="B523">
        <v>53010</v>
      </c>
      <c r="C523" t="s">
        <v>18</v>
      </c>
      <c r="D523">
        <v>1397.73</v>
      </c>
      <c r="E523">
        <v>2161</v>
      </c>
      <c r="F523">
        <v>0</v>
      </c>
      <c r="G523">
        <v>6</v>
      </c>
      <c r="H523">
        <v>0</v>
      </c>
      <c r="I523" t="s">
        <v>19</v>
      </c>
      <c r="J523">
        <v>0</v>
      </c>
      <c r="K523">
        <v>46</v>
      </c>
      <c r="L523" t="s">
        <v>24</v>
      </c>
      <c r="M523" t="s">
        <v>37</v>
      </c>
      <c r="N523" t="s">
        <v>26</v>
      </c>
      <c r="O523" t="s">
        <v>27</v>
      </c>
      <c r="P523">
        <v>0.61</v>
      </c>
      <c r="Q523" s="2" t="b">
        <f>FALSE()</f>
        <v>0</v>
      </c>
      <c r="R523">
        <v>0</v>
      </c>
    </row>
    <row r="524" spans="1:18" x14ac:dyDescent="0.25">
      <c r="A524">
        <v>200523</v>
      </c>
      <c r="B524">
        <v>54230</v>
      </c>
      <c r="C524" t="s">
        <v>28</v>
      </c>
      <c r="D524">
        <v>1933.91</v>
      </c>
      <c r="E524">
        <v>604</v>
      </c>
      <c r="F524">
        <v>1</v>
      </c>
      <c r="G524">
        <v>4</v>
      </c>
      <c r="H524">
        <v>0</v>
      </c>
      <c r="I524" t="s">
        <v>33</v>
      </c>
      <c r="J524">
        <v>0</v>
      </c>
      <c r="K524">
        <v>44</v>
      </c>
      <c r="L524" t="s">
        <v>20</v>
      </c>
      <c r="M524" t="s">
        <v>35</v>
      </c>
      <c r="N524" t="s">
        <v>26</v>
      </c>
      <c r="O524" t="s">
        <v>36</v>
      </c>
      <c r="P524">
        <v>1.22</v>
      </c>
      <c r="Q524" s="2" t="b">
        <f>FALSE()</f>
        <v>0</v>
      </c>
      <c r="R524">
        <v>0</v>
      </c>
    </row>
    <row r="525" spans="1:18" x14ac:dyDescent="0.25">
      <c r="A525">
        <v>200524</v>
      </c>
      <c r="B525">
        <v>51870</v>
      </c>
      <c r="C525" t="s">
        <v>18</v>
      </c>
      <c r="D525">
        <v>2689.32</v>
      </c>
      <c r="E525">
        <v>2357</v>
      </c>
      <c r="F525">
        <v>2</v>
      </c>
      <c r="G525">
        <v>2</v>
      </c>
      <c r="H525">
        <v>0</v>
      </c>
      <c r="I525" t="s">
        <v>32</v>
      </c>
      <c r="J525">
        <v>0</v>
      </c>
      <c r="K525">
        <v>35</v>
      </c>
      <c r="L525" t="s">
        <v>20</v>
      </c>
      <c r="M525" t="s">
        <v>25</v>
      </c>
      <c r="N525" t="s">
        <v>22</v>
      </c>
      <c r="O525" t="s">
        <v>23</v>
      </c>
      <c r="P525">
        <v>2.2999999999999998</v>
      </c>
      <c r="Q525" s="2" t="b">
        <f>FALSE()</f>
        <v>0</v>
      </c>
      <c r="R525">
        <v>0</v>
      </c>
    </row>
    <row r="526" spans="1:18" x14ac:dyDescent="0.25">
      <c r="A526">
        <v>200525</v>
      </c>
      <c r="B526">
        <v>53635</v>
      </c>
      <c r="C526" t="s">
        <v>34</v>
      </c>
      <c r="D526">
        <v>3378.71</v>
      </c>
      <c r="E526">
        <v>3553</v>
      </c>
      <c r="F526">
        <v>2</v>
      </c>
      <c r="G526">
        <v>2</v>
      </c>
      <c r="H526">
        <v>1</v>
      </c>
      <c r="I526" t="s">
        <v>33</v>
      </c>
      <c r="J526">
        <v>0</v>
      </c>
      <c r="K526">
        <v>29</v>
      </c>
      <c r="L526" t="s">
        <v>24</v>
      </c>
      <c r="M526" t="s">
        <v>21</v>
      </c>
      <c r="N526" t="s">
        <v>26</v>
      </c>
      <c r="O526" t="s">
        <v>36</v>
      </c>
      <c r="P526">
        <v>1.84</v>
      </c>
      <c r="Q526" s="2" t="b">
        <f>FALSE()</f>
        <v>0</v>
      </c>
      <c r="R526">
        <v>0</v>
      </c>
    </row>
    <row r="527" spans="1:18" x14ac:dyDescent="0.25">
      <c r="A527">
        <v>200526</v>
      </c>
      <c r="B527">
        <v>50087</v>
      </c>
      <c r="C527" t="s">
        <v>34</v>
      </c>
      <c r="D527">
        <v>6064.46</v>
      </c>
      <c r="E527">
        <v>1591</v>
      </c>
      <c r="F527">
        <v>2</v>
      </c>
      <c r="G527">
        <v>5</v>
      </c>
      <c r="H527">
        <v>0</v>
      </c>
      <c r="I527" t="s">
        <v>19</v>
      </c>
      <c r="J527">
        <v>0</v>
      </c>
      <c r="K527">
        <v>73</v>
      </c>
      <c r="L527" t="s">
        <v>20</v>
      </c>
      <c r="M527" t="s">
        <v>31</v>
      </c>
      <c r="N527" t="s">
        <v>30</v>
      </c>
      <c r="O527" t="s">
        <v>36</v>
      </c>
      <c r="P527">
        <v>1.75</v>
      </c>
      <c r="Q527" s="2" t="b">
        <f>FALSE()</f>
        <v>0</v>
      </c>
      <c r="R527">
        <v>1</v>
      </c>
    </row>
    <row r="528" spans="1:18" x14ac:dyDescent="0.25">
      <c r="A528">
        <v>200527</v>
      </c>
      <c r="B528">
        <v>53258</v>
      </c>
      <c r="C528" t="s">
        <v>18</v>
      </c>
      <c r="D528">
        <v>3435.6</v>
      </c>
      <c r="E528">
        <v>1655</v>
      </c>
      <c r="F528">
        <v>1</v>
      </c>
      <c r="G528">
        <v>4</v>
      </c>
      <c r="H528">
        <v>1</v>
      </c>
      <c r="I528" t="s">
        <v>19</v>
      </c>
      <c r="J528">
        <v>0</v>
      </c>
      <c r="K528">
        <v>74</v>
      </c>
      <c r="L528" t="s">
        <v>20</v>
      </c>
      <c r="M528" t="s">
        <v>29</v>
      </c>
      <c r="N528" t="s">
        <v>30</v>
      </c>
      <c r="O528" t="s">
        <v>36</v>
      </c>
      <c r="P528">
        <v>0.96</v>
      </c>
      <c r="Q528" s="2" t="b">
        <f>FALSE()</f>
        <v>0</v>
      </c>
      <c r="R528">
        <v>0</v>
      </c>
    </row>
    <row r="529" spans="1:18" x14ac:dyDescent="0.25">
      <c r="A529">
        <v>200528</v>
      </c>
      <c r="B529">
        <v>54731</v>
      </c>
      <c r="C529" t="s">
        <v>18</v>
      </c>
      <c r="D529">
        <v>4974.8599999999997</v>
      </c>
      <c r="E529">
        <v>2490</v>
      </c>
      <c r="F529">
        <v>1</v>
      </c>
      <c r="G529">
        <v>6</v>
      </c>
      <c r="H529">
        <v>1</v>
      </c>
      <c r="I529" t="s">
        <v>33</v>
      </c>
      <c r="J529">
        <v>0</v>
      </c>
      <c r="K529">
        <v>37</v>
      </c>
      <c r="L529" t="s">
        <v>20</v>
      </c>
      <c r="M529" t="s">
        <v>37</v>
      </c>
      <c r="N529" t="s">
        <v>22</v>
      </c>
      <c r="O529" t="s">
        <v>27</v>
      </c>
      <c r="P529">
        <v>3.03</v>
      </c>
      <c r="Q529" s="2" t="b">
        <f>FALSE()</f>
        <v>0</v>
      </c>
      <c r="R529">
        <v>1</v>
      </c>
    </row>
    <row r="530" spans="1:18" x14ac:dyDescent="0.25">
      <c r="A530">
        <v>200529</v>
      </c>
      <c r="B530">
        <v>53849</v>
      </c>
      <c r="C530" t="s">
        <v>18</v>
      </c>
      <c r="D530">
        <v>1879.44</v>
      </c>
      <c r="E530">
        <v>3361</v>
      </c>
      <c r="F530">
        <v>0</v>
      </c>
      <c r="G530">
        <v>6</v>
      </c>
      <c r="H530">
        <v>1</v>
      </c>
      <c r="I530" t="s">
        <v>19</v>
      </c>
      <c r="J530">
        <v>0</v>
      </c>
      <c r="K530">
        <v>62</v>
      </c>
      <c r="L530" t="s">
        <v>20</v>
      </c>
      <c r="M530" t="s">
        <v>21</v>
      </c>
      <c r="N530" t="s">
        <v>26</v>
      </c>
      <c r="O530" t="s">
        <v>23</v>
      </c>
      <c r="P530">
        <v>0.21</v>
      </c>
      <c r="Q530" s="2" t="b">
        <f>FALSE()</f>
        <v>0</v>
      </c>
      <c r="R530">
        <v>0</v>
      </c>
    </row>
    <row r="531" spans="1:18" x14ac:dyDescent="0.25">
      <c r="A531">
        <v>200530</v>
      </c>
      <c r="B531">
        <v>55576</v>
      </c>
      <c r="C531" t="s">
        <v>18</v>
      </c>
      <c r="D531">
        <v>896.46</v>
      </c>
      <c r="E531">
        <v>1382</v>
      </c>
      <c r="F531">
        <v>1</v>
      </c>
      <c r="G531">
        <v>1</v>
      </c>
      <c r="H531">
        <v>0</v>
      </c>
      <c r="I531" t="s">
        <v>33</v>
      </c>
      <c r="J531">
        <v>0</v>
      </c>
      <c r="K531">
        <v>33</v>
      </c>
      <c r="L531" t="s">
        <v>20</v>
      </c>
      <c r="M531" t="s">
        <v>21</v>
      </c>
      <c r="N531" t="s">
        <v>22</v>
      </c>
      <c r="O531" t="s">
        <v>36</v>
      </c>
      <c r="P531">
        <v>0.06</v>
      </c>
      <c r="Q531" s="2" t="b">
        <f>FALSE()</f>
        <v>0</v>
      </c>
      <c r="R531">
        <v>0</v>
      </c>
    </row>
    <row r="532" spans="1:18" x14ac:dyDescent="0.25">
      <c r="A532">
        <v>200531</v>
      </c>
      <c r="B532">
        <v>52371</v>
      </c>
      <c r="C532" t="s">
        <v>18</v>
      </c>
      <c r="D532">
        <v>5187.04</v>
      </c>
      <c r="E532">
        <v>77</v>
      </c>
      <c r="F532">
        <v>0</v>
      </c>
      <c r="G532">
        <v>4</v>
      </c>
      <c r="H532">
        <v>1</v>
      </c>
      <c r="I532" t="s">
        <v>33</v>
      </c>
      <c r="J532">
        <v>0</v>
      </c>
      <c r="K532">
        <v>24</v>
      </c>
      <c r="L532" t="s">
        <v>20</v>
      </c>
      <c r="M532" t="s">
        <v>37</v>
      </c>
      <c r="N532" t="s">
        <v>22</v>
      </c>
      <c r="O532" t="s">
        <v>36</v>
      </c>
      <c r="P532">
        <v>2.04</v>
      </c>
      <c r="Q532" s="2" t="b">
        <f>FALSE()</f>
        <v>0</v>
      </c>
      <c r="R532">
        <v>1</v>
      </c>
    </row>
    <row r="533" spans="1:18" x14ac:dyDescent="0.25">
      <c r="A533">
        <v>200532</v>
      </c>
      <c r="B533">
        <v>51020</v>
      </c>
      <c r="C533" t="s">
        <v>34</v>
      </c>
      <c r="D533">
        <v>1932.35</v>
      </c>
      <c r="E533">
        <v>2338</v>
      </c>
      <c r="F533">
        <v>3</v>
      </c>
      <c r="G533">
        <v>5</v>
      </c>
      <c r="H533">
        <v>0</v>
      </c>
      <c r="I533" t="s">
        <v>33</v>
      </c>
      <c r="J533">
        <v>0</v>
      </c>
      <c r="K533">
        <v>63</v>
      </c>
      <c r="L533" t="s">
        <v>24</v>
      </c>
      <c r="M533" t="s">
        <v>35</v>
      </c>
      <c r="N533" t="s">
        <v>22</v>
      </c>
      <c r="O533" t="s">
        <v>36</v>
      </c>
      <c r="P533">
        <v>9.65</v>
      </c>
      <c r="Q533" s="2" t="b">
        <f>FALSE()</f>
        <v>0</v>
      </c>
      <c r="R533">
        <v>1</v>
      </c>
    </row>
    <row r="534" spans="1:18" x14ac:dyDescent="0.25">
      <c r="A534">
        <v>200533</v>
      </c>
      <c r="B534">
        <v>54060</v>
      </c>
      <c r="C534" t="s">
        <v>18</v>
      </c>
      <c r="D534">
        <v>1129.3499999999999</v>
      </c>
      <c r="E534">
        <v>1967</v>
      </c>
      <c r="F534">
        <v>0</v>
      </c>
      <c r="G534">
        <v>2</v>
      </c>
      <c r="H534">
        <v>0</v>
      </c>
      <c r="I534" t="s">
        <v>33</v>
      </c>
      <c r="J534">
        <v>1</v>
      </c>
      <c r="K534">
        <v>67</v>
      </c>
      <c r="L534" t="s">
        <v>24</v>
      </c>
      <c r="M534" t="s">
        <v>35</v>
      </c>
      <c r="N534" t="s">
        <v>30</v>
      </c>
      <c r="O534" t="s">
        <v>36</v>
      </c>
      <c r="P534">
        <v>3.09</v>
      </c>
      <c r="Q534" s="2" t="b">
        <f>FALSE()</f>
        <v>0</v>
      </c>
      <c r="R534">
        <v>0</v>
      </c>
    </row>
    <row r="535" spans="1:18" x14ac:dyDescent="0.25">
      <c r="A535">
        <v>200534</v>
      </c>
      <c r="B535">
        <v>50039</v>
      </c>
      <c r="C535" t="s">
        <v>34</v>
      </c>
      <c r="D535">
        <v>1799.4</v>
      </c>
      <c r="E535">
        <v>2481</v>
      </c>
      <c r="F535">
        <v>2</v>
      </c>
      <c r="G535">
        <v>3</v>
      </c>
      <c r="H535">
        <v>0</v>
      </c>
      <c r="I535" t="s">
        <v>33</v>
      </c>
      <c r="J535">
        <v>0</v>
      </c>
      <c r="K535">
        <v>50</v>
      </c>
      <c r="L535" t="s">
        <v>20</v>
      </c>
      <c r="M535" t="s">
        <v>21</v>
      </c>
      <c r="N535" t="s">
        <v>30</v>
      </c>
      <c r="O535" t="s">
        <v>23</v>
      </c>
      <c r="P535">
        <v>7.88</v>
      </c>
      <c r="Q535" s="2" t="b">
        <f>FALSE()</f>
        <v>0</v>
      </c>
      <c r="R535">
        <v>0</v>
      </c>
    </row>
    <row r="536" spans="1:18" x14ac:dyDescent="0.25">
      <c r="A536">
        <v>200535</v>
      </c>
      <c r="B536">
        <v>54737</v>
      </c>
      <c r="C536" t="s">
        <v>18</v>
      </c>
      <c r="D536">
        <v>2866.47</v>
      </c>
      <c r="E536">
        <v>206</v>
      </c>
      <c r="F536">
        <v>1</v>
      </c>
      <c r="G536">
        <v>3</v>
      </c>
      <c r="H536">
        <v>1</v>
      </c>
      <c r="I536" t="s">
        <v>33</v>
      </c>
      <c r="J536">
        <v>0</v>
      </c>
      <c r="K536">
        <v>29</v>
      </c>
      <c r="L536" t="s">
        <v>20</v>
      </c>
      <c r="M536" t="s">
        <v>31</v>
      </c>
      <c r="N536" t="s">
        <v>30</v>
      </c>
      <c r="O536" t="s">
        <v>36</v>
      </c>
      <c r="P536">
        <v>2.2599999999999998</v>
      </c>
      <c r="Q536" s="2" t="b">
        <f>FALSE()</f>
        <v>0</v>
      </c>
      <c r="R536">
        <v>0</v>
      </c>
    </row>
    <row r="537" spans="1:18" x14ac:dyDescent="0.25">
      <c r="A537">
        <v>200536</v>
      </c>
      <c r="B537">
        <v>51280</v>
      </c>
      <c r="C537" t="s">
        <v>18</v>
      </c>
      <c r="D537">
        <v>3299.21</v>
      </c>
      <c r="E537">
        <v>1550</v>
      </c>
      <c r="F537">
        <v>1</v>
      </c>
      <c r="G537">
        <v>3</v>
      </c>
      <c r="H537">
        <v>0</v>
      </c>
      <c r="I537" t="s">
        <v>33</v>
      </c>
      <c r="J537">
        <v>0</v>
      </c>
      <c r="K537">
        <v>80</v>
      </c>
      <c r="L537" t="s">
        <v>24</v>
      </c>
      <c r="M537" t="s">
        <v>37</v>
      </c>
      <c r="N537" t="s">
        <v>30</v>
      </c>
      <c r="O537" t="s">
        <v>36</v>
      </c>
      <c r="P537">
        <v>1.87</v>
      </c>
      <c r="Q537" s="2" t="b">
        <f>FALSE()</f>
        <v>0</v>
      </c>
      <c r="R537">
        <v>0</v>
      </c>
    </row>
    <row r="538" spans="1:18" x14ac:dyDescent="0.25">
      <c r="A538">
        <v>200537</v>
      </c>
      <c r="B538">
        <v>54724</v>
      </c>
      <c r="C538" t="s">
        <v>18</v>
      </c>
      <c r="D538">
        <v>2859.75</v>
      </c>
      <c r="E538">
        <v>3570</v>
      </c>
      <c r="F538">
        <v>3</v>
      </c>
      <c r="G538">
        <v>5</v>
      </c>
      <c r="H538">
        <v>0</v>
      </c>
      <c r="I538" t="s">
        <v>33</v>
      </c>
      <c r="J538">
        <v>0</v>
      </c>
      <c r="K538">
        <v>50</v>
      </c>
      <c r="L538" t="s">
        <v>24</v>
      </c>
      <c r="M538" t="s">
        <v>21</v>
      </c>
      <c r="N538" t="s">
        <v>30</v>
      </c>
      <c r="O538" t="s">
        <v>27</v>
      </c>
      <c r="P538">
        <v>6.55</v>
      </c>
      <c r="Q538" s="2" t="b">
        <f>FALSE()</f>
        <v>0</v>
      </c>
      <c r="R538">
        <v>1</v>
      </c>
    </row>
    <row r="539" spans="1:18" x14ac:dyDescent="0.25">
      <c r="A539">
        <v>200538</v>
      </c>
      <c r="B539">
        <v>51838</v>
      </c>
      <c r="C539" t="s">
        <v>18</v>
      </c>
      <c r="D539">
        <v>917.8</v>
      </c>
      <c r="E539">
        <v>1589</v>
      </c>
      <c r="F539">
        <v>1</v>
      </c>
      <c r="G539">
        <v>2</v>
      </c>
      <c r="H539">
        <v>0</v>
      </c>
      <c r="I539" t="s">
        <v>33</v>
      </c>
      <c r="J539">
        <v>0</v>
      </c>
      <c r="K539">
        <v>52</v>
      </c>
      <c r="L539" t="s">
        <v>24</v>
      </c>
      <c r="M539" t="s">
        <v>37</v>
      </c>
      <c r="N539" t="s">
        <v>30</v>
      </c>
      <c r="O539" t="s">
        <v>27</v>
      </c>
      <c r="P539">
        <v>3.31</v>
      </c>
      <c r="Q539" s="2" t="b">
        <f>FALSE()</f>
        <v>0</v>
      </c>
      <c r="R539">
        <v>0</v>
      </c>
    </row>
    <row r="540" spans="1:18" x14ac:dyDescent="0.25">
      <c r="A540">
        <v>200539</v>
      </c>
      <c r="B540">
        <v>54990</v>
      </c>
      <c r="C540" t="s">
        <v>28</v>
      </c>
      <c r="D540">
        <v>1775.67</v>
      </c>
      <c r="E540">
        <v>2602</v>
      </c>
      <c r="F540">
        <v>1</v>
      </c>
      <c r="G540">
        <v>5</v>
      </c>
      <c r="H540">
        <v>0</v>
      </c>
      <c r="I540" t="s">
        <v>32</v>
      </c>
      <c r="J540">
        <v>0</v>
      </c>
      <c r="K540">
        <v>19</v>
      </c>
      <c r="L540" t="s">
        <v>24</v>
      </c>
      <c r="M540" t="s">
        <v>31</v>
      </c>
      <c r="N540" t="s">
        <v>26</v>
      </c>
      <c r="O540" t="s">
        <v>36</v>
      </c>
      <c r="P540">
        <v>0.62</v>
      </c>
      <c r="Q540" s="2" t="b">
        <f>FALSE()</f>
        <v>0</v>
      </c>
      <c r="R540">
        <v>0</v>
      </c>
    </row>
    <row r="541" spans="1:18" x14ac:dyDescent="0.25">
      <c r="A541">
        <v>200540</v>
      </c>
      <c r="B541">
        <v>51687</v>
      </c>
      <c r="C541" t="s">
        <v>18</v>
      </c>
      <c r="D541">
        <v>3536.17</v>
      </c>
      <c r="E541">
        <v>922</v>
      </c>
      <c r="F541">
        <v>0</v>
      </c>
      <c r="G541">
        <v>6</v>
      </c>
      <c r="H541">
        <v>0</v>
      </c>
      <c r="I541" t="s">
        <v>19</v>
      </c>
      <c r="J541">
        <v>0</v>
      </c>
      <c r="K541">
        <v>59</v>
      </c>
      <c r="L541" t="s">
        <v>20</v>
      </c>
      <c r="M541" t="s">
        <v>35</v>
      </c>
      <c r="N541" t="s">
        <v>22</v>
      </c>
      <c r="O541" t="s">
        <v>36</v>
      </c>
      <c r="P541">
        <v>0.62</v>
      </c>
      <c r="Q541" s="2" t="b">
        <f>FALSE()</f>
        <v>0</v>
      </c>
      <c r="R541">
        <v>0</v>
      </c>
    </row>
    <row r="542" spans="1:18" x14ac:dyDescent="0.25">
      <c r="A542">
        <v>200541</v>
      </c>
      <c r="B542">
        <v>51291</v>
      </c>
      <c r="C542" t="s">
        <v>34</v>
      </c>
      <c r="D542">
        <v>1273.83</v>
      </c>
      <c r="E542">
        <v>382</v>
      </c>
      <c r="F542">
        <v>2</v>
      </c>
      <c r="G542">
        <v>9</v>
      </c>
      <c r="H542">
        <v>0</v>
      </c>
      <c r="I542" t="s">
        <v>33</v>
      </c>
      <c r="J542">
        <v>0</v>
      </c>
      <c r="K542">
        <v>41</v>
      </c>
      <c r="L542" t="s">
        <v>20</v>
      </c>
      <c r="M542" t="s">
        <v>21</v>
      </c>
      <c r="N542" t="s">
        <v>22</v>
      </c>
      <c r="O542" t="s">
        <v>27</v>
      </c>
      <c r="P542">
        <v>2.2599999999999998</v>
      </c>
      <c r="Q542" s="2" t="b">
        <f>FALSE()</f>
        <v>0</v>
      </c>
      <c r="R542">
        <v>1</v>
      </c>
    </row>
    <row r="543" spans="1:18" x14ac:dyDescent="0.25">
      <c r="A543">
        <v>200542</v>
      </c>
      <c r="B543">
        <v>53911</v>
      </c>
      <c r="C543" t="s">
        <v>34</v>
      </c>
      <c r="D543">
        <v>3299.71</v>
      </c>
      <c r="E543">
        <v>3372</v>
      </c>
      <c r="F543">
        <v>2</v>
      </c>
      <c r="G543">
        <v>4</v>
      </c>
      <c r="H543">
        <v>0</v>
      </c>
      <c r="I543" t="s">
        <v>33</v>
      </c>
      <c r="J543">
        <v>1</v>
      </c>
      <c r="K543">
        <v>55</v>
      </c>
      <c r="L543" t="s">
        <v>20</v>
      </c>
      <c r="M543" t="s">
        <v>29</v>
      </c>
      <c r="N543" t="s">
        <v>30</v>
      </c>
      <c r="O543" t="s">
        <v>36</v>
      </c>
      <c r="P543">
        <v>3.88</v>
      </c>
      <c r="Q543" s="2" t="b">
        <f>FALSE()</f>
        <v>0</v>
      </c>
      <c r="R543">
        <v>0</v>
      </c>
    </row>
    <row r="544" spans="1:18" x14ac:dyDescent="0.25">
      <c r="A544">
        <v>200543</v>
      </c>
      <c r="B544">
        <v>50966</v>
      </c>
      <c r="C544" t="s">
        <v>34</v>
      </c>
      <c r="D544">
        <v>4802.7299999999996</v>
      </c>
      <c r="E544">
        <v>526</v>
      </c>
      <c r="F544">
        <v>2</v>
      </c>
      <c r="G544">
        <v>3</v>
      </c>
      <c r="H544">
        <v>0</v>
      </c>
      <c r="I544" t="s">
        <v>33</v>
      </c>
      <c r="J544">
        <v>0</v>
      </c>
      <c r="K544">
        <v>57</v>
      </c>
      <c r="L544" t="s">
        <v>20</v>
      </c>
      <c r="M544" t="s">
        <v>25</v>
      </c>
      <c r="N544" t="s">
        <v>26</v>
      </c>
      <c r="O544" t="s">
        <v>36</v>
      </c>
      <c r="P544">
        <v>0.72</v>
      </c>
      <c r="Q544" s="2" t="b">
        <f>FALSE()</f>
        <v>0</v>
      </c>
      <c r="R544">
        <v>1</v>
      </c>
    </row>
    <row r="545" spans="1:18" x14ac:dyDescent="0.25">
      <c r="A545">
        <v>200544</v>
      </c>
      <c r="B545">
        <v>55934</v>
      </c>
      <c r="C545" t="s">
        <v>28</v>
      </c>
      <c r="D545">
        <v>3175.82</v>
      </c>
      <c r="E545">
        <v>370</v>
      </c>
      <c r="F545">
        <v>1</v>
      </c>
      <c r="G545">
        <v>7</v>
      </c>
      <c r="H545">
        <v>0</v>
      </c>
      <c r="I545" t="s">
        <v>33</v>
      </c>
      <c r="J545">
        <v>0</v>
      </c>
      <c r="K545">
        <v>53</v>
      </c>
      <c r="L545" t="s">
        <v>20</v>
      </c>
      <c r="M545" t="s">
        <v>35</v>
      </c>
      <c r="N545" t="s">
        <v>22</v>
      </c>
      <c r="O545" t="s">
        <v>27</v>
      </c>
      <c r="P545">
        <v>2.33</v>
      </c>
      <c r="Q545" s="2" t="b">
        <f>FALSE()</f>
        <v>0</v>
      </c>
      <c r="R545">
        <v>1</v>
      </c>
    </row>
    <row r="546" spans="1:18" x14ac:dyDescent="0.25">
      <c r="A546">
        <v>200545</v>
      </c>
      <c r="B546">
        <v>53126</v>
      </c>
      <c r="C546" t="s">
        <v>18</v>
      </c>
      <c r="D546">
        <v>3939.92</v>
      </c>
      <c r="E546">
        <v>134</v>
      </c>
      <c r="F546">
        <v>3</v>
      </c>
      <c r="G546">
        <v>4</v>
      </c>
      <c r="H546">
        <v>0</v>
      </c>
      <c r="I546" t="s">
        <v>19</v>
      </c>
      <c r="J546">
        <v>0</v>
      </c>
      <c r="K546">
        <v>80</v>
      </c>
      <c r="L546" t="s">
        <v>20</v>
      </c>
      <c r="M546" t="s">
        <v>25</v>
      </c>
      <c r="N546" t="s">
        <v>22</v>
      </c>
      <c r="O546" t="s">
        <v>36</v>
      </c>
      <c r="P546">
        <v>2.27</v>
      </c>
      <c r="Q546" s="2" t="b">
        <f>FALSE()</f>
        <v>0</v>
      </c>
      <c r="R546">
        <v>1</v>
      </c>
    </row>
    <row r="547" spans="1:18" x14ac:dyDescent="0.25">
      <c r="A547">
        <v>200546</v>
      </c>
      <c r="B547">
        <v>54306</v>
      </c>
      <c r="C547" t="s">
        <v>28</v>
      </c>
      <c r="D547">
        <v>1398.83</v>
      </c>
      <c r="E547">
        <v>2057</v>
      </c>
      <c r="F547">
        <v>1</v>
      </c>
      <c r="G547">
        <v>3</v>
      </c>
      <c r="H547">
        <v>0</v>
      </c>
      <c r="I547" t="s">
        <v>33</v>
      </c>
      <c r="J547">
        <v>0</v>
      </c>
      <c r="K547">
        <v>42</v>
      </c>
      <c r="L547" t="s">
        <v>24</v>
      </c>
      <c r="M547" t="s">
        <v>35</v>
      </c>
      <c r="N547" t="s">
        <v>30</v>
      </c>
      <c r="O547" t="s">
        <v>27</v>
      </c>
      <c r="P547">
        <v>0.9</v>
      </c>
      <c r="Q547" s="2" t="b">
        <f>FALSE()</f>
        <v>0</v>
      </c>
      <c r="R547">
        <v>0</v>
      </c>
    </row>
    <row r="548" spans="1:18" x14ac:dyDescent="0.25">
      <c r="A548">
        <v>200547</v>
      </c>
      <c r="B548">
        <v>55717</v>
      </c>
      <c r="C548" t="s">
        <v>34</v>
      </c>
      <c r="D548">
        <v>3513.46</v>
      </c>
      <c r="E548">
        <v>2390</v>
      </c>
      <c r="F548">
        <v>0</v>
      </c>
      <c r="G548">
        <v>3</v>
      </c>
      <c r="H548">
        <v>0</v>
      </c>
      <c r="I548" t="s">
        <v>33</v>
      </c>
      <c r="J548">
        <v>1</v>
      </c>
      <c r="K548">
        <v>82</v>
      </c>
      <c r="L548" t="s">
        <v>24</v>
      </c>
      <c r="M548" t="s">
        <v>25</v>
      </c>
      <c r="N548" t="s">
        <v>30</v>
      </c>
      <c r="O548" t="s">
        <v>36</v>
      </c>
      <c r="P548">
        <v>3.54</v>
      </c>
      <c r="Q548" s="2" t="b">
        <f>FALSE()</f>
        <v>0</v>
      </c>
      <c r="R548">
        <v>0</v>
      </c>
    </row>
    <row r="549" spans="1:18" x14ac:dyDescent="0.25">
      <c r="A549">
        <v>200548</v>
      </c>
      <c r="B549">
        <v>50067</v>
      </c>
      <c r="C549" t="s">
        <v>28</v>
      </c>
      <c r="D549">
        <v>3882</v>
      </c>
      <c r="E549">
        <v>708</v>
      </c>
      <c r="F549">
        <v>1</v>
      </c>
      <c r="G549">
        <v>5</v>
      </c>
      <c r="H549">
        <v>0</v>
      </c>
      <c r="I549" t="s">
        <v>33</v>
      </c>
      <c r="J549">
        <v>0</v>
      </c>
      <c r="K549">
        <v>84</v>
      </c>
      <c r="L549" t="s">
        <v>20</v>
      </c>
      <c r="M549" t="s">
        <v>25</v>
      </c>
      <c r="N549" t="s">
        <v>26</v>
      </c>
      <c r="O549" t="s">
        <v>23</v>
      </c>
      <c r="P549">
        <v>0.78</v>
      </c>
      <c r="Q549" s="2" t="b">
        <f>FALSE()</f>
        <v>0</v>
      </c>
      <c r="R549">
        <v>1</v>
      </c>
    </row>
    <row r="550" spans="1:18" x14ac:dyDescent="0.25">
      <c r="A550">
        <v>200549</v>
      </c>
      <c r="B550">
        <v>50054</v>
      </c>
      <c r="C550" t="s">
        <v>18</v>
      </c>
      <c r="D550">
        <v>5929.51</v>
      </c>
      <c r="E550">
        <v>3074</v>
      </c>
      <c r="F550">
        <v>2</v>
      </c>
      <c r="G550">
        <v>5</v>
      </c>
      <c r="H550">
        <v>0</v>
      </c>
      <c r="I550" t="s">
        <v>32</v>
      </c>
      <c r="J550">
        <v>1</v>
      </c>
      <c r="K550">
        <v>74</v>
      </c>
      <c r="L550" t="s">
        <v>20</v>
      </c>
      <c r="M550" t="s">
        <v>29</v>
      </c>
      <c r="N550" t="s">
        <v>22</v>
      </c>
      <c r="O550" t="s">
        <v>27</v>
      </c>
      <c r="P550">
        <v>3.65</v>
      </c>
      <c r="Q550" s="2" t="b">
        <f>FALSE()</f>
        <v>0</v>
      </c>
      <c r="R550">
        <v>1</v>
      </c>
    </row>
    <row r="551" spans="1:18" x14ac:dyDescent="0.25">
      <c r="A551">
        <v>200550</v>
      </c>
      <c r="B551">
        <v>52924</v>
      </c>
      <c r="C551" t="s">
        <v>18</v>
      </c>
      <c r="D551">
        <v>4433.59</v>
      </c>
      <c r="E551">
        <v>672</v>
      </c>
      <c r="F551">
        <v>3</v>
      </c>
      <c r="G551">
        <v>2</v>
      </c>
      <c r="H551">
        <v>0</v>
      </c>
      <c r="I551" t="s">
        <v>19</v>
      </c>
      <c r="J551">
        <v>0</v>
      </c>
      <c r="K551">
        <v>52</v>
      </c>
      <c r="L551" t="s">
        <v>20</v>
      </c>
      <c r="M551" t="s">
        <v>35</v>
      </c>
      <c r="N551" t="s">
        <v>30</v>
      </c>
      <c r="O551" t="s">
        <v>36</v>
      </c>
      <c r="P551">
        <v>0.32</v>
      </c>
      <c r="Q551" s="2" t="b">
        <f>FALSE()</f>
        <v>0</v>
      </c>
      <c r="R551">
        <v>1</v>
      </c>
    </row>
    <row r="552" spans="1:18" x14ac:dyDescent="0.25">
      <c r="A552">
        <v>200551</v>
      </c>
      <c r="B552">
        <v>53887</v>
      </c>
      <c r="C552" t="s">
        <v>18</v>
      </c>
      <c r="D552">
        <v>243.97</v>
      </c>
      <c r="E552">
        <v>2842</v>
      </c>
      <c r="F552">
        <v>1</v>
      </c>
      <c r="G552">
        <v>4</v>
      </c>
      <c r="H552">
        <v>0</v>
      </c>
      <c r="I552" t="s">
        <v>33</v>
      </c>
      <c r="J552">
        <v>0</v>
      </c>
      <c r="K552">
        <v>35</v>
      </c>
      <c r="L552" t="s">
        <v>24</v>
      </c>
      <c r="M552" t="s">
        <v>37</v>
      </c>
      <c r="N552" t="s">
        <v>22</v>
      </c>
      <c r="O552" t="s">
        <v>36</v>
      </c>
      <c r="P552">
        <v>2.52</v>
      </c>
      <c r="Q552" s="2" t="b">
        <f>FALSE()</f>
        <v>0</v>
      </c>
      <c r="R552">
        <v>0</v>
      </c>
    </row>
    <row r="553" spans="1:18" x14ac:dyDescent="0.25">
      <c r="A553">
        <v>200552</v>
      </c>
      <c r="B553">
        <v>52987</v>
      </c>
      <c r="C553" t="s">
        <v>28</v>
      </c>
      <c r="D553">
        <v>2612.12</v>
      </c>
      <c r="E553">
        <v>3585</v>
      </c>
      <c r="F553">
        <v>2</v>
      </c>
      <c r="G553">
        <v>0</v>
      </c>
      <c r="H553">
        <v>0</v>
      </c>
      <c r="I553" t="s">
        <v>33</v>
      </c>
      <c r="J553">
        <v>0</v>
      </c>
      <c r="K553">
        <v>28</v>
      </c>
      <c r="L553" t="s">
        <v>24</v>
      </c>
      <c r="M553" t="s">
        <v>29</v>
      </c>
      <c r="N553" t="s">
        <v>22</v>
      </c>
      <c r="O553" t="s">
        <v>23</v>
      </c>
      <c r="P553">
        <v>7.67</v>
      </c>
      <c r="Q553" s="2" t="b">
        <f>FALSE()</f>
        <v>0</v>
      </c>
      <c r="R553">
        <v>0</v>
      </c>
    </row>
    <row r="554" spans="1:18" x14ac:dyDescent="0.25">
      <c r="A554">
        <v>200553</v>
      </c>
      <c r="B554">
        <v>54100</v>
      </c>
      <c r="C554" t="s">
        <v>18</v>
      </c>
      <c r="D554">
        <v>1965.08</v>
      </c>
      <c r="E554">
        <v>1410</v>
      </c>
      <c r="F554">
        <v>1</v>
      </c>
      <c r="G554">
        <v>9</v>
      </c>
      <c r="H554">
        <v>1</v>
      </c>
      <c r="I554" t="s">
        <v>33</v>
      </c>
      <c r="J554">
        <v>1</v>
      </c>
      <c r="K554">
        <v>47</v>
      </c>
      <c r="L554" t="s">
        <v>20</v>
      </c>
      <c r="M554" t="s">
        <v>21</v>
      </c>
      <c r="N554" t="s">
        <v>22</v>
      </c>
      <c r="O554" t="s">
        <v>36</v>
      </c>
      <c r="P554">
        <v>0.76</v>
      </c>
      <c r="Q554" s="2" t="b">
        <f>FALSE()</f>
        <v>0</v>
      </c>
      <c r="R554">
        <v>1</v>
      </c>
    </row>
    <row r="555" spans="1:18" x14ac:dyDescent="0.25">
      <c r="A555">
        <v>200554</v>
      </c>
      <c r="B555">
        <v>51482</v>
      </c>
      <c r="C555" t="s">
        <v>18</v>
      </c>
      <c r="D555">
        <v>1542.79</v>
      </c>
      <c r="E555">
        <v>587</v>
      </c>
      <c r="F555">
        <v>1</v>
      </c>
      <c r="G555">
        <v>6</v>
      </c>
      <c r="H555">
        <v>0</v>
      </c>
      <c r="I555" t="s">
        <v>33</v>
      </c>
      <c r="J555">
        <v>0</v>
      </c>
      <c r="K555">
        <v>77</v>
      </c>
      <c r="L555" t="s">
        <v>20</v>
      </c>
      <c r="M555" t="s">
        <v>37</v>
      </c>
      <c r="N555" t="s">
        <v>30</v>
      </c>
      <c r="O555" t="s">
        <v>23</v>
      </c>
      <c r="P555">
        <v>3.63</v>
      </c>
      <c r="Q555" s="2" t="b">
        <f>FALSE()</f>
        <v>0</v>
      </c>
      <c r="R555">
        <v>0</v>
      </c>
    </row>
    <row r="556" spans="1:18" x14ac:dyDescent="0.25">
      <c r="A556">
        <v>200555</v>
      </c>
      <c r="B556">
        <v>54237</v>
      </c>
      <c r="C556" t="s">
        <v>18</v>
      </c>
      <c r="D556">
        <v>1399.72</v>
      </c>
      <c r="E556">
        <v>2646</v>
      </c>
      <c r="F556">
        <v>0</v>
      </c>
      <c r="G556">
        <v>1</v>
      </c>
      <c r="H556">
        <v>0</v>
      </c>
      <c r="I556" t="s">
        <v>33</v>
      </c>
      <c r="J556">
        <v>0</v>
      </c>
      <c r="K556">
        <v>19</v>
      </c>
      <c r="L556" t="s">
        <v>20</v>
      </c>
      <c r="M556" t="s">
        <v>29</v>
      </c>
      <c r="N556" t="s">
        <v>22</v>
      </c>
      <c r="O556" t="s">
        <v>36</v>
      </c>
      <c r="P556">
        <v>2.2799999999999998</v>
      </c>
      <c r="Q556" s="2" t="b">
        <f>FALSE()</f>
        <v>0</v>
      </c>
      <c r="R556">
        <v>0</v>
      </c>
    </row>
    <row r="557" spans="1:18" x14ac:dyDescent="0.25">
      <c r="A557">
        <v>200556</v>
      </c>
      <c r="B557">
        <v>54195</v>
      </c>
      <c r="C557" t="s">
        <v>28</v>
      </c>
      <c r="D557">
        <v>2085.86</v>
      </c>
      <c r="E557">
        <v>1719</v>
      </c>
      <c r="F557">
        <v>1</v>
      </c>
      <c r="G557">
        <v>0</v>
      </c>
      <c r="H557">
        <v>0</v>
      </c>
      <c r="I557" t="s">
        <v>32</v>
      </c>
      <c r="J557">
        <v>0</v>
      </c>
      <c r="K557">
        <v>62</v>
      </c>
      <c r="L557" t="s">
        <v>20</v>
      </c>
      <c r="M557" t="s">
        <v>21</v>
      </c>
      <c r="N557" t="s">
        <v>22</v>
      </c>
      <c r="O557" t="s">
        <v>27</v>
      </c>
      <c r="P557">
        <v>1.79</v>
      </c>
      <c r="Q557" s="2" t="b">
        <f>FALSE()</f>
        <v>0</v>
      </c>
      <c r="R557">
        <v>0</v>
      </c>
    </row>
    <row r="558" spans="1:18" x14ac:dyDescent="0.25">
      <c r="A558">
        <v>200557</v>
      </c>
      <c r="B558">
        <v>50960</v>
      </c>
      <c r="C558" t="s">
        <v>18</v>
      </c>
      <c r="D558">
        <v>2109.5100000000002</v>
      </c>
      <c r="E558">
        <v>2446</v>
      </c>
      <c r="F558">
        <v>1</v>
      </c>
      <c r="G558">
        <v>3</v>
      </c>
      <c r="H558">
        <v>0</v>
      </c>
      <c r="I558" t="s">
        <v>33</v>
      </c>
      <c r="J558">
        <v>0</v>
      </c>
      <c r="K558">
        <v>22</v>
      </c>
      <c r="L558" t="s">
        <v>24</v>
      </c>
      <c r="M558" t="s">
        <v>29</v>
      </c>
      <c r="N558" t="s">
        <v>30</v>
      </c>
      <c r="O558" t="s">
        <v>23</v>
      </c>
      <c r="P558">
        <v>7.17</v>
      </c>
      <c r="Q558" s="2" t="b">
        <f>FALSE()</f>
        <v>0</v>
      </c>
      <c r="R558">
        <v>0</v>
      </c>
    </row>
    <row r="559" spans="1:18" x14ac:dyDescent="0.25">
      <c r="A559">
        <v>200558</v>
      </c>
      <c r="B559">
        <v>55582</v>
      </c>
      <c r="C559" t="s">
        <v>34</v>
      </c>
      <c r="D559">
        <v>3139.5</v>
      </c>
      <c r="E559">
        <v>3273</v>
      </c>
      <c r="F559">
        <v>0</v>
      </c>
      <c r="G559">
        <v>3</v>
      </c>
      <c r="H559">
        <v>1</v>
      </c>
      <c r="I559" t="s">
        <v>19</v>
      </c>
      <c r="J559">
        <v>0</v>
      </c>
      <c r="K559">
        <v>82</v>
      </c>
      <c r="L559" t="s">
        <v>24</v>
      </c>
      <c r="M559" t="s">
        <v>25</v>
      </c>
      <c r="N559" t="s">
        <v>26</v>
      </c>
      <c r="O559" t="s">
        <v>27</v>
      </c>
      <c r="P559">
        <v>1.1100000000000001</v>
      </c>
      <c r="Q559" s="2" t="b">
        <f>FALSE()</f>
        <v>0</v>
      </c>
      <c r="R559">
        <v>0</v>
      </c>
    </row>
    <row r="560" spans="1:18" x14ac:dyDescent="0.25">
      <c r="A560">
        <v>200559</v>
      </c>
      <c r="B560">
        <v>55846</v>
      </c>
      <c r="C560" t="s">
        <v>28</v>
      </c>
      <c r="D560">
        <v>775.78</v>
      </c>
      <c r="E560">
        <v>1048</v>
      </c>
      <c r="F560">
        <v>0</v>
      </c>
      <c r="G560">
        <v>3</v>
      </c>
      <c r="H560">
        <v>1</v>
      </c>
      <c r="I560" t="s">
        <v>33</v>
      </c>
      <c r="J560">
        <v>0</v>
      </c>
      <c r="K560">
        <v>32</v>
      </c>
      <c r="L560" t="s">
        <v>24</v>
      </c>
      <c r="M560" t="s">
        <v>25</v>
      </c>
      <c r="N560" t="s">
        <v>22</v>
      </c>
      <c r="O560" t="s">
        <v>27</v>
      </c>
      <c r="P560">
        <v>3.66</v>
      </c>
      <c r="Q560" s="2" t="b">
        <f>FALSE()</f>
        <v>0</v>
      </c>
      <c r="R560">
        <v>0</v>
      </c>
    </row>
    <row r="561" spans="1:18" x14ac:dyDescent="0.25">
      <c r="A561">
        <v>200560</v>
      </c>
      <c r="B561">
        <v>52657</v>
      </c>
      <c r="C561" t="s">
        <v>34</v>
      </c>
      <c r="D561">
        <v>2526.8200000000002</v>
      </c>
      <c r="E561">
        <v>241</v>
      </c>
      <c r="F561">
        <v>1</v>
      </c>
      <c r="G561">
        <v>3</v>
      </c>
      <c r="H561">
        <v>0</v>
      </c>
      <c r="I561" t="s">
        <v>33</v>
      </c>
      <c r="J561">
        <v>1</v>
      </c>
      <c r="K561">
        <v>62</v>
      </c>
      <c r="L561" t="s">
        <v>24</v>
      </c>
      <c r="M561" t="s">
        <v>31</v>
      </c>
      <c r="N561" t="s">
        <v>26</v>
      </c>
      <c r="O561" t="s">
        <v>36</v>
      </c>
      <c r="P561">
        <v>3.32</v>
      </c>
      <c r="Q561" s="2" t="b">
        <f>FALSE()</f>
        <v>0</v>
      </c>
      <c r="R561">
        <v>0</v>
      </c>
    </row>
    <row r="562" spans="1:18" x14ac:dyDescent="0.25">
      <c r="A562">
        <v>200561</v>
      </c>
      <c r="B562">
        <v>54721</v>
      </c>
      <c r="C562" t="s">
        <v>34</v>
      </c>
      <c r="D562">
        <v>4861.7</v>
      </c>
      <c r="E562">
        <v>2144</v>
      </c>
      <c r="F562">
        <v>1</v>
      </c>
      <c r="G562">
        <v>3</v>
      </c>
      <c r="H562">
        <v>1</v>
      </c>
      <c r="I562" t="s">
        <v>33</v>
      </c>
      <c r="J562">
        <v>0</v>
      </c>
      <c r="K562">
        <v>69</v>
      </c>
      <c r="L562" t="s">
        <v>24</v>
      </c>
      <c r="M562" t="s">
        <v>21</v>
      </c>
      <c r="N562" t="s">
        <v>22</v>
      </c>
      <c r="O562" t="s">
        <v>36</v>
      </c>
      <c r="P562">
        <v>9.39</v>
      </c>
      <c r="Q562" s="2" t="b">
        <f>FALSE()</f>
        <v>0</v>
      </c>
      <c r="R562">
        <v>1</v>
      </c>
    </row>
    <row r="563" spans="1:18" x14ac:dyDescent="0.25">
      <c r="A563">
        <v>200562</v>
      </c>
      <c r="B563">
        <v>51250</v>
      </c>
      <c r="C563" t="s">
        <v>18</v>
      </c>
      <c r="D563">
        <v>7051.08</v>
      </c>
      <c r="E563">
        <v>361</v>
      </c>
      <c r="F563">
        <v>1</v>
      </c>
      <c r="G563">
        <v>5</v>
      </c>
      <c r="H563">
        <v>1</v>
      </c>
      <c r="I563" t="s">
        <v>33</v>
      </c>
      <c r="J563">
        <v>0</v>
      </c>
      <c r="K563">
        <v>27</v>
      </c>
      <c r="L563" t="s">
        <v>24</v>
      </c>
      <c r="M563" t="s">
        <v>37</v>
      </c>
      <c r="N563" t="s">
        <v>30</v>
      </c>
      <c r="O563" t="s">
        <v>27</v>
      </c>
      <c r="P563">
        <v>6.43</v>
      </c>
      <c r="Q563" s="2" t="b">
        <f>TRUE()</f>
        <v>1</v>
      </c>
      <c r="R563">
        <v>1</v>
      </c>
    </row>
    <row r="564" spans="1:18" x14ac:dyDescent="0.25">
      <c r="A564">
        <v>200563</v>
      </c>
      <c r="B564">
        <v>51186</v>
      </c>
      <c r="C564" t="s">
        <v>18</v>
      </c>
      <c r="D564">
        <v>2524.0500000000002</v>
      </c>
      <c r="E564">
        <v>1017</v>
      </c>
      <c r="F564">
        <v>1</v>
      </c>
      <c r="G564">
        <v>1</v>
      </c>
      <c r="H564">
        <v>0</v>
      </c>
      <c r="I564" t="s">
        <v>33</v>
      </c>
      <c r="J564">
        <v>1</v>
      </c>
      <c r="K564">
        <v>78</v>
      </c>
      <c r="L564" t="s">
        <v>24</v>
      </c>
      <c r="M564" t="s">
        <v>31</v>
      </c>
      <c r="N564" t="s">
        <v>30</v>
      </c>
      <c r="O564" t="s">
        <v>27</v>
      </c>
      <c r="P564">
        <v>2.1</v>
      </c>
      <c r="Q564" s="2" t="b">
        <f>FALSE()</f>
        <v>0</v>
      </c>
      <c r="R564">
        <v>0</v>
      </c>
    </row>
    <row r="565" spans="1:18" x14ac:dyDescent="0.25">
      <c r="A565">
        <v>200564</v>
      </c>
      <c r="B565">
        <v>55521</v>
      </c>
      <c r="C565" t="s">
        <v>18</v>
      </c>
      <c r="D565">
        <v>6062.07</v>
      </c>
      <c r="E565">
        <v>3111</v>
      </c>
      <c r="F565">
        <v>3</v>
      </c>
      <c r="G565">
        <v>4</v>
      </c>
      <c r="H565">
        <v>0</v>
      </c>
      <c r="I565" t="s">
        <v>19</v>
      </c>
      <c r="J565">
        <v>0</v>
      </c>
      <c r="K565">
        <v>77</v>
      </c>
      <c r="L565" t="s">
        <v>20</v>
      </c>
      <c r="M565" t="s">
        <v>21</v>
      </c>
      <c r="N565" t="s">
        <v>22</v>
      </c>
      <c r="O565" t="s">
        <v>23</v>
      </c>
      <c r="P565">
        <v>0.73</v>
      </c>
      <c r="Q565" s="2" t="b">
        <f>FALSE()</f>
        <v>0</v>
      </c>
      <c r="R565">
        <v>1</v>
      </c>
    </row>
    <row r="566" spans="1:18" x14ac:dyDescent="0.25">
      <c r="A566">
        <v>200565</v>
      </c>
      <c r="B566">
        <v>55654</v>
      </c>
      <c r="C566" t="s">
        <v>34</v>
      </c>
      <c r="D566">
        <v>865.62</v>
      </c>
      <c r="E566">
        <v>1325</v>
      </c>
      <c r="F566">
        <v>2</v>
      </c>
      <c r="G566">
        <v>4</v>
      </c>
      <c r="H566">
        <v>0</v>
      </c>
      <c r="I566" t="s">
        <v>19</v>
      </c>
      <c r="J566">
        <v>0</v>
      </c>
      <c r="K566">
        <v>82</v>
      </c>
      <c r="L566" t="s">
        <v>24</v>
      </c>
      <c r="M566" t="s">
        <v>35</v>
      </c>
      <c r="N566" t="s">
        <v>22</v>
      </c>
      <c r="O566" t="s">
        <v>23</v>
      </c>
      <c r="P566">
        <v>7.76</v>
      </c>
      <c r="Q566" s="2" t="b">
        <f>FALSE()</f>
        <v>0</v>
      </c>
      <c r="R566">
        <v>0</v>
      </c>
    </row>
    <row r="567" spans="1:18" x14ac:dyDescent="0.25">
      <c r="A567">
        <v>200566</v>
      </c>
      <c r="B567">
        <v>50413</v>
      </c>
      <c r="C567" t="s">
        <v>18</v>
      </c>
      <c r="D567">
        <v>2059.77</v>
      </c>
      <c r="E567">
        <v>253</v>
      </c>
      <c r="F567">
        <v>2</v>
      </c>
      <c r="G567">
        <v>0</v>
      </c>
      <c r="H567">
        <v>0</v>
      </c>
      <c r="I567" t="s">
        <v>33</v>
      </c>
      <c r="J567">
        <v>0</v>
      </c>
      <c r="K567">
        <v>37</v>
      </c>
      <c r="L567" t="s">
        <v>20</v>
      </c>
      <c r="M567" t="s">
        <v>35</v>
      </c>
      <c r="N567" t="s">
        <v>26</v>
      </c>
      <c r="O567" t="s">
        <v>27</v>
      </c>
      <c r="P567">
        <v>2.59</v>
      </c>
      <c r="Q567" s="2" t="b">
        <f>FALSE()</f>
        <v>0</v>
      </c>
      <c r="R567">
        <v>0</v>
      </c>
    </row>
    <row r="568" spans="1:18" x14ac:dyDescent="0.25">
      <c r="A568">
        <v>200567</v>
      </c>
      <c r="B568">
        <v>55983</v>
      </c>
      <c r="C568" t="s">
        <v>18</v>
      </c>
      <c r="D568">
        <v>1452.7</v>
      </c>
      <c r="E568">
        <v>256</v>
      </c>
      <c r="F568">
        <v>0</v>
      </c>
      <c r="G568">
        <v>3</v>
      </c>
      <c r="H568">
        <v>0</v>
      </c>
      <c r="I568" t="s">
        <v>19</v>
      </c>
      <c r="J568">
        <v>0</v>
      </c>
      <c r="K568">
        <v>65</v>
      </c>
      <c r="L568" t="s">
        <v>24</v>
      </c>
      <c r="M568" t="s">
        <v>25</v>
      </c>
      <c r="N568" t="s">
        <v>22</v>
      </c>
      <c r="O568" t="s">
        <v>27</v>
      </c>
      <c r="P568">
        <v>4.45</v>
      </c>
      <c r="Q568" s="2" t="b">
        <f>FALSE()</f>
        <v>0</v>
      </c>
      <c r="R568">
        <v>0</v>
      </c>
    </row>
    <row r="569" spans="1:18" x14ac:dyDescent="0.25">
      <c r="A569">
        <v>200568</v>
      </c>
      <c r="B569">
        <v>54049</v>
      </c>
      <c r="C569" t="s">
        <v>34</v>
      </c>
      <c r="D569">
        <v>230.6</v>
      </c>
      <c r="E569">
        <v>981</v>
      </c>
      <c r="F569">
        <v>2</v>
      </c>
      <c r="G569">
        <v>7</v>
      </c>
      <c r="H569">
        <v>0</v>
      </c>
      <c r="I569" t="s">
        <v>32</v>
      </c>
      <c r="J569">
        <v>0</v>
      </c>
      <c r="K569">
        <v>35</v>
      </c>
      <c r="L569" t="s">
        <v>24</v>
      </c>
      <c r="M569" t="s">
        <v>21</v>
      </c>
      <c r="N569" t="s">
        <v>22</v>
      </c>
      <c r="O569" t="s">
        <v>36</v>
      </c>
      <c r="P569">
        <v>0.28999999999999998</v>
      </c>
      <c r="Q569" s="2" t="b">
        <f>FALSE()</f>
        <v>0</v>
      </c>
      <c r="R569">
        <v>1</v>
      </c>
    </row>
    <row r="570" spans="1:18" x14ac:dyDescent="0.25">
      <c r="A570">
        <v>200569</v>
      </c>
      <c r="B570">
        <v>52592</v>
      </c>
      <c r="C570" t="s">
        <v>34</v>
      </c>
      <c r="D570">
        <v>3922.2</v>
      </c>
      <c r="E570">
        <v>3623</v>
      </c>
      <c r="F570">
        <v>0</v>
      </c>
      <c r="G570">
        <v>1</v>
      </c>
      <c r="H570">
        <v>0</v>
      </c>
      <c r="I570" t="s">
        <v>32</v>
      </c>
      <c r="J570">
        <v>0</v>
      </c>
      <c r="K570">
        <v>32</v>
      </c>
      <c r="L570" t="s">
        <v>20</v>
      </c>
      <c r="M570" t="s">
        <v>21</v>
      </c>
      <c r="N570" t="s">
        <v>22</v>
      </c>
      <c r="O570" t="s">
        <v>36</v>
      </c>
      <c r="P570">
        <v>2.17</v>
      </c>
      <c r="Q570" s="2" t="b">
        <f>FALSE()</f>
        <v>0</v>
      </c>
      <c r="R570">
        <v>1</v>
      </c>
    </row>
    <row r="571" spans="1:18" x14ac:dyDescent="0.25">
      <c r="A571">
        <v>200570</v>
      </c>
      <c r="B571">
        <v>52189</v>
      </c>
      <c r="C571" t="s">
        <v>34</v>
      </c>
      <c r="D571">
        <v>2502.65</v>
      </c>
      <c r="E571">
        <v>1030</v>
      </c>
      <c r="F571">
        <v>0</v>
      </c>
      <c r="G571">
        <v>3</v>
      </c>
      <c r="H571">
        <v>0</v>
      </c>
      <c r="I571" t="s">
        <v>33</v>
      </c>
      <c r="J571">
        <v>0</v>
      </c>
      <c r="K571">
        <v>39</v>
      </c>
      <c r="L571" t="s">
        <v>24</v>
      </c>
      <c r="M571" t="s">
        <v>31</v>
      </c>
      <c r="N571" t="s">
        <v>22</v>
      </c>
      <c r="O571" t="s">
        <v>36</v>
      </c>
      <c r="P571">
        <v>1.1299999999999999</v>
      </c>
      <c r="Q571" s="2" t="b">
        <f>FALSE()</f>
        <v>0</v>
      </c>
      <c r="R571">
        <v>0</v>
      </c>
    </row>
    <row r="572" spans="1:18" x14ac:dyDescent="0.25">
      <c r="A572">
        <v>200571</v>
      </c>
      <c r="B572">
        <v>51402</v>
      </c>
      <c r="C572" t="s">
        <v>18</v>
      </c>
      <c r="D572">
        <v>6726.92</v>
      </c>
      <c r="E572">
        <v>1773</v>
      </c>
      <c r="F572">
        <v>0</v>
      </c>
      <c r="G572">
        <v>1</v>
      </c>
      <c r="H572">
        <v>0</v>
      </c>
      <c r="I572" t="s">
        <v>19</v>
      </c>
      <c r="J572">
        <v>1</v>
      </c>
      <c r="K572">
        <v>66</v>
      </c>
      <c r="L572" t="s">
        <v>24</v>
      </c>
      <c r="M572" t="s">
        <v>35</v>
      </c>
      <c r="N572" t="s">
        <v>30</v>
      </c>
      <c r="O572" t="s">
        <v>23</v>
      </c>
      <c r="P572">
        <v>1.46</v>
      </c>
      <c r="Q572" s="2" t="b">
        <f>FALSE()</f>
        <v>0</v>
      </c>
      <c r="R572">
        <v>1</v>
      </c>
    </row>
    <row r="573" spans="1:18" x14ac:dyDescent="0.25">
      <c r="A573">
        <v>200572</v>
      </c>
      <c r="B573">
        <v>50178</v>
      </c>
      <c r="C573" t="s">
        <v>34</v>
      </c>
      <c r="D573">
        <v>2252</v>
      </c>
      <c r="E573">
        <v>819</v>
      </c>
      <c r="F573">
        <v>0</v>
      </c>
      <c r="G573">
        <v>1</v>
      </c>
      <c r="H573">
        <v>0</v>
      </c>
      <c r="I573" t="s">
        <v>33</v>
      </c>
      <c r="J573">
        <v>1</v>
      </c>
      <c r="K573">
        <v>33</v>
      </c>
      <c r="L573" t="s">
        <v>20</v>
      </c>
      <c r="M573" t="s">
        <v>37</v>
      </c>
      <c r="N573" t="s">
        <v>30</v>
      </c>
      <c r="O573" t="s">
        <v>36</v>
      </c>
      <c r="P573">
        <v>0.02</v>
      </c>
      <c r="Q573" s="2" t="b">
        <f>FALSE()</f>
        <v>0</v>
      </c>
      <c r="R573">
        <v>0</v>
      </c>
    </row>
    <row r="574" spans="1:18" x14ac:dyDescent="0.25">
      <c r="A574">
        <v>200573</v>
      </c>
      <c r="B574">
        <v>54876</v>
      </c>
      <c r="C574" t="s">
        <v>34</v>
      </c>
      <c r="D574">
        <v>4146.34</v>
      </c>
      <c r="E574">
        <v>851</v>
      </c>
      <c r="F574">
        <v>1</v>
      </c>
      <c r="G574">
        <v>2</v>
      </c>
      <c r="H574">
        <v>0</v>
      </c>
      <c r="I574" t="s">
        <v>32</v>
      </c>
      <c r="J574">
        <v>1</v>
      </c>
      <c r="K574">
        <v>62</v>
      </c>
      <c r="L574" t="s">
        <v>24</v>
      </c>
      <c r="M574" t="s">
        <v>25</v>
      </c>
      <c r="N574" t="s">
        <v>26</v>
      </c>
      <c r="O574" t="s">
        <v>23</v>
      </c>
      <c r="P574">
        <v>0.47</v>
      </c>
      <c r="Q574" s="2" t="b">
        <f>FALSE()</f>
        <v>0</v>
      </c>
      <c r="R574">
        <v>1</v>
      </c>
    </row>
    <row r="575" spans="1:18" x14ac:dyDescent="0.25">
      <c r="A575">
        <v>200574</v>
      </c>
      <c r="B575">
        <v>54485</v>
      </c>
      <c r="C575" t="s">
        <v>28</v>
      </c>
      <c r="D575">
        <v>2239.9699999999998</v>
      </c>
      <c r="E575">
        <v>2132</v>
      </c>
      <c r="F575">
        <v>1</v>
      </c>
      <c r="G575">
        <v>2</v>
      </c>
      <c r="H575">
        <v>1</v>
      </c>
      <c r="I575" t="s">
        <v>33</v>
      </c>
      <c r="J575">
        <v>0</v>
      </c>
      <c r="K575">
        <v>79</v>
      </c>
      <c r="L575" t="s">
        <v>20</v>
      </c>
      <c r="M575" t="s">
        <v>25</v>
      </c>
      <c r="N575" t="s">
        <v>26</v>
      </c>
      <c r="O575" t="s">
        <v>36</v>
      </c>
      <c r="P575">
        <v>1.74</v>
      </c>
      <c r="Q575" s="2" t="b">
        <f>FALSE()</f>
        <v>0</v>
      </c>
      <c r="R575">
        <v>0</v>
      </c>
    </row>
    <row r="576" spans="1:18" x14ac:dyDescent="0.25">
      <c r="A576">
        <v>200575</v>
      </c>
      <c r="B576">
        <v>52245</v>
      </c>
      <c r="C576" t="s">
        <v>18</v>
      </c>
      <c r="D576">
        <v>2910.94</v>
      </c>
      <c r="E576">
        <v>1428</v>
      </c>
      <c r="F576">
        <v>0</v>
      </c>
      <c r="G576">
        <v>6</v>
      </c>
      <c r="H576">
        <v>0</v>
      </c>
      <c r="I576" t="s">
        <v>33</v>
      </c>
      <c r="J576">
        <v>0</v>
      </c>
      <c r="K576">
        <v>55</v>
      </c>
      <c r="L576" t="s">
        <v>20</v>
      </c>
      <c r="M576" t="s">
        <v>29</v>
      </c>
      <c r="N576" t="s">
        <v>30</v>
      </c>
      <c r="O576" t="s">
        <v>23</v>
      </c>
      <c r="P576">
        <v>6.78</v>
      </c>
      <c r="Q576" s="2" t="b">
        <f>FALSE()</f>
        <v>0</v>
      </c>
      <c r="R576">
        <v>0</v>
      </c>
    </row>
    <row r="577" spans="1:18" x14ac:dyDescent="0.25">
      <c r="A577">
        <v>200576</v>
      </c>
      <c r="B577">
        <v>50403</v>
      </c>
      <c r="C577" t="s">
        <v>18</v>
      </c>
      <c r="D577">
        <v>1072.42</v>
      </c>
      <c r="E577">
        <v>2795</v>
      </c>
      <c r="F577">
        <v>0</v>
      </c>
      <c r="G577">
        <v>8</v>
      </c>
      <c r="H577">
        <v>0</v>
      </c>
      <c r="I577" t="s">
        <v>33</v>
      </c>
      <c r="J577">
        <v>0</v>
      </c>
      <c r="K577">
        <v>29</v>
      </c>
      <c r="L577" t="s">
        <v>20</v>
      </c>
      <c r="M577" t="s">
        <v>35</v>
      </c>
      <c r="N577" t="s">
        <v>30</v>
      </c>
      <c r="O577" t="s">
        <v>36</v>
      </c>
      <c r="P577">
        <v>1.74</v>
      </c>
      <c r="Q577" s="2" t="b">
        <f>FALSE()</f>
        <v>0</v>
      </c>
      <c r="R577">
        <v>1</v>
      </c>
    </row>
    <row r="578" spans="1:18" x14ac:dyDescent="0.25">
      <c r="A578">
        <v>200577</v>
      </c>
      <c r="B578">
        <v>52423</v>
      </c>
      <c r="C578" t="s">
        <v>34</v>
      </c>
      <c r="D578">
        <v>1229.3499999999999</v>
      </c>
      <c r="E578">
        <v>2393</v>
      </c>
      <c r="F578">
        <v>0</v>
      </c>
      <c r="G578">
        <v>3</v>
      </c>
      <c r="H578">
        <v>0</v>
      </c>
      <c r="I578" t="s">
        <v>19</v>
      </c>
      <c r="J578">
        <v>0</v>
      </c>
      <c r="K578">
        <v>18</v>
      </c>
      <c r="L578" t="s">
        <v>20</v>
      </c>
      <c r="M578" t="s">
        <v>37</v>
      </c>
      <c r="N578" t="s">
        <v>30</v>
      </c>
      <c r="O578" t="s">
        <v>23</v>
      </c>
      <c r="P578">
        <v>2.58</v>
      </c>
      <c r="Q578" s="2" t="b">
        <f>FALSE()</f>
        <v>0</v>
      </c>
      <c r="R578">
        <v>0</v>
      </c>
    </row>
    <row r="579" spans="1:18" x14ac:dyDescent="0.25">
      <c r="A579">
        <v>200578</v>
      </c>
      <c r="B579">
        <v>51881</v>
      </c>
      <c r="C579" t="s">
        <v>34</v>
      </c>
      <c r="D579">
        <v>784.57</v>
      </c>
      <c r="E579">
        <v>2739</v>
      </c>
      <c r="F579">
        <v>1</v>
      </c>
      <c r="G579">
        <v>5</v>
      </c>
      <c r="H579">
        <v>0</v>
      </c>
      <c r="I579" t="s">
        <v>19</v>
      </c>
      <c r="J579">
        <v>0</v>
      </c>
      <c r="K579">
        <v>72</v>
      </c>
      <c r="L579" t="s">
        <v>20</v>
      </c>
      <c r="M579" t="s">
        <v>29</v>
      </c>
      <c r="N579" t="s">
        <v>22</v>
      </c>
      <c r="O579" t="s">
        <v>36</v>
      </c>
      <c r="P579">
        <v>5.07</v>
      </c>
      <c r="Q579" s="2" t="b">
        <f>FALSE()</f>
        <v>0</v>
      </c>
      <c r="R579">
        <v>0</v>
      </c>
    </row>
    <row r="580" spans="1:18" x14ac:dyDescent="0.25">
      <c r="A580">
        <v>200579</v>
      </c>
      <c r="B580">
        <v>51240</v>
      </c>
      <c r="C580" t="s">
        <v>18</v>
      </c>
      <c r="D580">
        <v>3330.64</v>
      </c>
      <c r="E580">
        <v>373</v>
      </c>
      <c r="F580">
        <v>1</v>
      </c>
      <c r="G580">
        <v>1</v>
      </c>
      <c r="H580">
        <v>0</v>
      </c>
      <c r="I580" t="s">
        <v>19</v>
      </c>
      <c r="J580">
        <v>0</v>
      </c>
      <c r="K580">
        <v>57</v>
      </c>
      <c r="L580" t="s">
        <v>24</v>
      </c>
      <c r="M580" t="s">
        <v>37</v>
      </c>
      <c r="N580" t="s">
        <v>22</v>
      </c>
      <c r="O580" t="s">
        <v>36</v>
      </c>
      <c r="P580">
        <v>1.78</v>
      </c>
      <c r="Q580" s="2" t="b">
        <f>FALSE()</f>
        <v>0</v>
      </c>
      <c r="R580">
        <v>0</v>
      </c>
    </row>
    <row r="581" spans="1:18" x14ac:dyDescent="0.25">
      <c r="A581">
        <v>200580</v>
      </c>
      <c r="B581">
        <v>55824</v>
      </c>
      <c r="C581" t="s">
        <v>34</v>
      </c>
      <c r="D581">
        <v>3221.78</v>
      </c>
      <c r="E581">
        <v>3370</v>
      </c>
      <c r="F581">
        <v>1</v>
      </c>
      <c r="G581">
        <v>2</v>
      </c>
      <c r="H581">
        <v>0</v>
      </c>
      <c r="I581" t="s">
        <v>33</v>
      </c>
      <c r="J581">
        <v>0</v>
      </c>
      <c r="K581">
        <v>19</v>
      </c>
      <c r="L581" t="s">
        <v>24</v>
      </c>
      <c r="M581" t="s">
        <v>29</v>
      </c>
      <c r="N581" t="s">
        <v>26</v>
      </c>
      <c r="O581" t="s">
        <v>27</v>
      </c>
      <c r="P581">
        <v>4.2300000000000004</v>
      </c>
      <c r="Q581" s="2" t="b">
        <f>FALSE()</f>
        <v>0</v>
      </c>
      <c r="R581">
        <v>0</v>
      </c>
    </row>
    <row r="582" spans="1:18" x14ac:dyDescent="0.25">
      <c r="A582">
        <v>200581</v>
      </c>
      <c r="B582">
        <v>50079</v>
      </c>
      <c r="C582" t="s">
        <v>18</v>
      </c>
      <c r="D582">
        <v>5124.03</v>
      </c>
      <c r="E582">
        <v>254</v>
      </c>
      <c r="F582">
        <v>1</v>
      </c>
      <c r="G582">
        <v>6</v>
      </c>
      <c r="H582">
        <v>0</v>
      </c>
      <c r="I582" t="s">
        <v>33</v>
      </c>
      <c r="J582">
        <v>0</v>
      </c>
      <c r="K582">
        <v>28</v>
      </c>
      <c r="L582" t="s">
        <v>24</v>
      </c>
      <c r="M582" t="s">
        <v>31</v>
      </c>
      <c r="N582" t="s">
        <v>22</v>
      </c>
      <c r="O582" t="s">
        <v>36</v>
      </c>
      <c r="P582">
        <v>5.04</v>
      </c>
      <c r="Q582" s="2" t="b">
        <f>FALSE()</f>
        <v>0</v>
      </c>
      <c r="R582">
        <v>1</v>
      </c>
    </row>
    <row r="583" spans="1:18" x14ac:dyDescent="0.25">
      <c r="A583">
        <v>200582</v>
      </c>
      <c r="B583">
        <v>55366</v>
      </c>
      <c r="C583" t="s">
        <v>18</v>
      </c>
      <c r="D583">
        <v>570.63</v>
      </c>
      <c r="E583">
        <v>1715</v>
      </c>
      <c r="F583">
        <v>2</v>
      </c>
      <c r="G583">
        <v>9</v>
      </c>
      <c r="H583">
        <v>1</v>
      </c>
      <c r="I583" t="s">
        <v>33</v>
      </c>
      <c r="J583">
        <v>0</v>
      </c>
      <c r="K583">
        <v>67</v>
      </c>
      <c r="L583" t="s">
        <v>20</v>
      </c>
      <c r="M583" t="s">
        <v>29</v>
      </c>
      <c r="N583" t="s">
        <v>26</v>
      </c>
      <c r="O583" t="s">
        <v>36</v>
      </c>
      <c r="P583">
        <v>3.43</v>
      </c>
      <c r="Q583" s="2" t="b">
        <f>FALSE()</f>
        <v>0</v>
      </c>
      <c r="R583">
        <v>1</v>
      </c>
    </row>
    <row r="584" spans="1:18" x14ac:dyDescent="0.25">
      <c r="A584">
        <v>200583</v>
      </c>
      <c r="B584">
        <v>50901</v>
      </c>
      <c r="C584" t="s">
        <v>18</v>
      </c>
      <c r="D584">
        <v>4199</v>
      </c>
      <c r="E584">
        <v>3523</v>
      </c>
      <c r="F584">
        <v>0</v>
      </c>
      <c r="G584">
        <v>2</v>
      </c>
      <c r="H584">
        <v>1</v>
      </c>
      <c r="I584" t="s">
        <v>19</v>
      </c>
      <c r="J584">
        <v>0</v>
      </c>
      <c r="K584">
        <v>78</v>
      </c>
      <c r="L584" t="s">
        <v>24</v>
      </c>
      <c r="M584" t="s">
        <v>35</v>
      </c>
      <c r="N584" t="s">
        <v>22</v>
      </c>
      <c r="O584" t="s">
        <v>36</v>
      </c>
      <c r="P584">
        <v>10.57</v>
      </c>
      <c r="Q584" s="2" t="b">
        <f>FALSE()</f>
        <v>0</v>
      </c>
      <c r="R584">
        <v>1</v>
      </c>
    </row>
    <row r="585" spans="1:18" x14ac:dyDescent="0.25">
      <c r="A585">
        <v>200584</v>
      </c>
      <c r="B585">
        <v>52204</v>
      </c>
      <c r="C585" t="s">
        <v>34</v>
      </c>
      <c r="D585">
        <v>1734.58</v>
      </c>
      <c r="E585">
        <v>1215</v>
      </c>
      <c r="F585">
        <v>2</v>
      </c>
      <c r="G585">
        <v>5</v>
      </c>
      <c r="H585">
        <v>1</v>
      </c>
      <c r="I585" t="s">
        <v>32</v>
      </c>
      <c r="J585">
        <v>0</v>
      </c>
      <c r="K585">
        <v>23</v>
      </c>
      <c r="L585" t="s">
        <v>24</v>
      </c>
      <c r="M585" t="s">
        <v>25</v>
      </c>
      <c r="N585" t="s">
        <v>22</v>
      </c>
      <c r="O585" t="s">
        <v>27</v>
      </c>
      <c r="P585">
        <v>5.22</v>
      </c>
      <c r="Q585" s="2" t="b">
        <f>FALSE()</f>
        <v>0</v>
      </c>
      <c r="R585">
        <v>0</v>
      </c>
    </row>
    <row r="586" spans="1:18" x14ac:dyDescent="0.25">
      <c r="A586">
        <v>200585</v>
      </c>
      <c r="B586">
        <v>51715</v>
      </c>
      <c r="C586" t="s">
        <v>34</v>
      </c>
      <c r="D586">
        <v>3340.11</v>
      </c>
      <c r="E586">
        <v>2625</v>
      </c>
      <c r="F586">
        <v>0</v>
      </c>
      <c r="G586">
        <v>3</v>
      </c>
      <c r="H586">
        <v>0</v>
      </c>
      <c r="I586" t="s">
        <v>33</v>
      </c>
      <c r="J586">
        <v>0</v>
      </c>
      <c r="K586">
        <v>31</v>
      </c>
      <c r="L586" t="s">
        <v>20</v>
      </c>
      <c r="M586" t="s">
        <v>25</v>
      </c>
      <c r="N586" t="s">
        <v>22</v>
      </c>
      <c r="O586" t="s">
        <v>36</v>
      </c>
      <c r="P586">
        <v>0.71</v>
      </c>
      <c r="Q586" s="2" t="b">
        <f>FALSE()</f>
        <v>0</v>
      </c>
      <c r="R586">
        <v>0</v>
      </c>
    </row>
    <row r="587" spans="1:18" x14ac:dyDescent="0.25">
      <c r="A587">
        <v>200586</v>
      </c>
      <c r="B587">
        <v>51005</v>
      </c>
      <c r="C587" t="s">
        <v>34</v>
      </c>
      <c r="D587">
        <v>6095.58</v>
      </c>
      <c r="E587">
        <v>2470</v>
      </c>
      <c r="F587">
        <v>1</v>
      </c>
      <c r="G587">
        <v>3</v>
      </c>
      <c r="H587">
        <v>0</v>
      </c>
      <c r="I587" t="s">
        <v>19</v>
      </c>
      <c r="J587">
        <v>0</v>
      </c>
      <c r="K587">
        <v>71</v>
      </c>
      <c r="L587" t="s">
        <v>24</v>
      </c>
      <c r="M587" t="s">
        <v>25</v>
      </c>
      <c r="N587" t="s">
        <v>30</v>
      </c>
      <c r="O587" t="s">
        <v>36</v>
      </c>
      <c r="P587">
        <v>5.89</v>
      </c>
      <c r="Q587" s="2" t="b">
        <f>FALSE()</f>
        <v>0</v>
      </c>
      <c r="R587">
        <v>1</v>
      </c>
    </row>
    <row r="588" spans="1:18" x14ac:dyDescent="0.25">
      <c r="A588">
        <v>200587</v>
      </c>
      <c r="B588">
        <v>50037</v>
      </c>
      <c r="C588" t="s">
        <v>18</v>
      </c>
      <c r="D588">
        <v>5142.1499999999996</v>
      </c>
      <c r="E588">
        <v>3022</v>
      </c>
      <c r="F588">
        <v>1</v>
      </c>
      <c r="G588">
        <v>4</v>
      </c>
      <c r="H588">
        <v>0</v>
      </c>
      <c r="I588" t="s">
        <v>33</v>
      </c>
      <c r="J588">
        <v>0</v>
      </c>
      <c r="K588">
        <v>31</v>
      </c>
      <c r="L588" t="s">
        <v>20</v>
      </c>
      <c r="M588" t="s">
        <v>31</v>
      </c>
      <c r="N588" t="s">
        <v>26</v>
      </c>
      <c r="O588" t="s">
        <v>36</v>
      </c>
      <c r="P588">
        <v>5.98</v>
      </c>
      <c r="Q588" s="2" t="b">
        <f>FALSE()</f>
        <v>0</v>
      </c>
      <c r="R588">
        <v>1</v>
      </c>
    </row>
    <row r="589" spans="1:18" x14ac:dyDescent="0.25">
      <c r="A589">
        <v>200588</v>
      </c>
      <c r="B589">
        <v>53664</v>
      </c>
      <c r="C589" t="s">
        <v>18</v>
      </c>
      <c r="D589">
        <v>2488.52</v>
      </c>
      <c r="E589">
        <v>3632</v>
      </c>
      <c r="F589">
        <v>0</v>
      </c>
      <c r="G589">
        <v>4</v>
      </c>
      <c r="H589">
        <v>0</v>
      </c>
      <c r="I589" t="s">
        <v>19</v>
      </c>
      <c r="J589">
        <v>0</v>
      </c>
      <c r="K589">
        <v>70</v>
      </c>
      <c r="L589" t="s">
        <v>24</v>
      </c>
      <c r="M589" t="s">
        <v>21</v>
      </c>
      <c r="N589" t="s">
        <v>26</v>
      </c>
      <c r="O589" t="s">
        <v>27</v>
      </c>
      <c r="P589">
        <v>1.78</v>
      </c>
      <c r="Q589" s="2" t="b">
        <f>FALSE()</f>
        <v>0</v>
      </c>
      <c r="R589">
        <v>0</v>
      </c>
    </row>
    <row r="590" spans="1:18" x14ac:dyDescent="0.25">
      <c r="A590">
        <v>200589</v>
      </c>
      <c r="B590">
        <v>55714</v>
      </c>
      <c r="C590" t="s">
        <v>34</v>
      </c>
      <c r="D590">
        <v>2889.38</v>
      </c>
      <c r="E590">
        <v>678</v>
      </c>
      <c r="F590">
        <v>1</v>
      </c>
      <c r="G590">
        <v>4</v>
      </c>
      <c r="H590">
        <v>1</v>
      </c>
      <c r="I590" t="s">
        <v>33</v>
      </c>
      <c r="J590">
        <v>0</v>
      </c>
      <c r="K590">
        <v>40</v>
      </c>
      <c r="L590" t="s">
        <v>20</v>
      </c>
      <c r="M590" t="s">
        <v>25</v>
      </c>
      <c r="N590" t="s">
        <v>26</v>
      </c>
      <c r="O590" t="s">
        <v>36</v>
      </c>
      <c r="P590">
        <v>2.2200000000000002</v>
      </c>
      <c r="Q590" s="2" t="b">
        <f>FALSE()</f>
        <v>0</v>
      </c>
      <c r="R590">
        <v>0</v>
      </c>
    </row>
    <row r="591" spans="1:18" x14ac:dyDescent="0.25">
      <c r="A591">
        <v>200590</v>
      </c>
      <c r="B591">
        <v>53203</v>
      </c>
      <c r="C591" t="s">
        <v>34</v>
      </c>
      <c r="D591">
        <v>6108.3</v>
      </c>
      <c r="E591">
        <v>3108</v>
      </c>
      <c r="F591">
        <v>0</v>
      </c>
      <c r="G591">
        <v>2</v>
      </c>
      <c r="H591">
        <v>0</v>
      </c>
      <c r="I591" t="s">
        <v>33</v>
      </c>
      <c r="J591">
        <v>0</v>
      </c>
      <c r="K591">
        <v>60</v>
      </c>
      <c r="L591" t="s">
        <v>24</v>
      </c>
      <c r="M591" t="s">
        <v>25</v>
      </c>
      <c r="N591" t="s">
        <v>22</v>
      </c>
      <c r="O591" t="s">
        <v>27</v>
      </c>
      <c r="P591">
        <v>5.2</v>
      </c>
      <c r="Q591" s="2" t="b">
        <f>FALSE()</f>
        <v>0</v>
      </c>
      <c r="R591">
        <v>1</v>
      </c>
    </row>
    <row r="592" spans="1:18" x14ac:dyDescent="0.25">
      <c r="A592">
        <v>200591</v>
      </c>
      <c r="B592">
        <v>54834</v>
      </c>
      <c r="C592" t="s">
        <v>18</v>
      </c>
      <c r="D592">
        <v>1244</v>
      </c>
      <c r="E592">
        <v>3164</v>
      </c>
      <c r="F592">
        <v>2</v>
      </c>
      <c r="G592">
        <v>4</v>
      </c>
      <c r="H592">
        <v>0</v>
      </c>
      <c r="I592" t="s">
        <v>32</v>
      </c>
      <c r="J592">
        <v>0</v>
      </c>
      <c r="K592">
        <v>33</v>
      </c>
      <c r="L592" t="s">
        <v>24</v>
      </c>
      <c r="M592" t="s">
        <v>29</v>
      </c>
      <c r="N592" t="s">
        <v>22</v>
      </c>
      <c r="O592" t="s">
        <v>23</v>
      </c>
      <c r="P592">
        <v>3.56</v>
      </c>
      <c r="Q592" s="2" t="b">
        <f>FALSE()</f>
        <v>0</v>
      </c>
      <c r="R592">
        <v>0</v>
      </c>
    </row>
    <row r="593" spans="1:18" x14ac:dyDescent="0.25">
      <c r="A593">
        <v>200592</v>
      </c>
      <c r="B593">
        <v>51908</v>
      </c>
      <c r="C593" t="s">
        <v>34</v>
      </c>
      <c r="D593">
        <v>1056.3900000000001</v>
      </c>
      <c r="E593">
        <v>2198</v>
      </c>
      <c r="F593">
        <v>2</v>
      </c>
      <c r="G593">
        <v>1</v>
      </c>
      <c r="H593">
        <v>0</v>
      </c>
      <c r="I593" t="s">
        <v>19</v>
      </c>
      <c r="J593">
        <v>0</v>
      </c>
      <c r="K593">
        <v>23</v>
      </c>
      <c r="L593" t="s">
        <v>20</v>
      </c>
      <c r="M593" t="s">
        <v>35</v>
      </c>
      <c r="N593" t="s">
        <v>30</v>
      </c>
      <c r="O593" t="s">
        <v>23</v>
      </c>
      <c r="P593">
        <v>4.16</v>
      </c>
      <c r="Q593" s="2" t="b">
        <f>FALSE()</f>
        <v>0</v>
      </c>
      <c r="R593">
        <v>0</v>
      </c>
    </row>
    <row r="594" spans="1:18" x14ac:dyDescent="0.25">
      <c r="A594">
        <v>200593</v>
      </c>
      <c r="B594">
        <v>50267</v>
      </c>
      <c r="C594" t="s">
        <v>34</v>
      </c>
      <c r="D594">
        <v>1075.07</v>
      </c>
      <c r="E594">
        <v>425</v>
      </c>
      <c r="F594">
        <v>1</v>
      </c>
      <c r="G594">
        <v>3</v>
      </c>
      <c r="H594">
        <v>1</v>
      </c>
      <c r="I594" t="s">
        <v>19</v>
      </c>
      <c r="J594">
        <v>0</v>
      </c>
      <c r="K594">
        <v>27</v>
      </c>
      <c r="L594" t="s">
        <v>24</v>
      </c>
      <c r="M594" t="s">
        <v>25</v>
      </c>
      <c r="N594" t="s">
        <v>30</v>
      </c>
      <c r="O594" t="s">
        <v>36</v>
      </c>
      <c r="P594">
        <v>1.94</v>
      </c>
      <c r="Q594" s="2" t="b">
        <f>FALSE()</f>
        <v>0</v>
      </c>
      <c r="R594">
        <v>0</v>
      </c>
    </row>
    <row r="595" spans="1:18" x14ac:dyDescent="0.25">
      <c r="A595">
        <v>200594</v>
      </c>
      <c r="B595">
        <v>54938</v>
      </c>
      <c r="C595" t="s">
        <v>18</v>
      </c>
      <c r="D595">
        <v>2108.83</v>
      </c>
      <c r="E595">
        <v>3013</v>
      </c>
      <c r="F595">
        <v>0</v>
      </c>
      <c r="G595">
        <v>3</v>
      </c>
      <c r="H595">
        <v>1</v>
      </c>
      <c r="I595" t="s">
        <v>33</v>
      </c>
      <c r="J595">
        <v>0</v>
      </c>
      <c r="K595">
        <v>33</v>
      </c>
      <c r="L595" t="s">
        <v>20</v>
      </c>
      <c r="M595" t="s">
        <v>21</v>
      </c>
      <c r="N595" t="s">
        <v>22</v>
      </c>
      <c r="O595" t="s">
        <v>36</v>
      </c>
      <c r="P595">
        <v>2.2400000000000002</v>
      </c>
      <c r="Q595" s="2" t="b">
        <f>FALSE()</f>
        <v>0</v>
      </c>
      <c r="R595">
        <v>0</v>
      </c>
    </row>
    <row r="596" spans="1:18" x14ac:dyDescent="0.25">
      <c r="A596">
        <v>200595</v>
      </c>
      <c r="B596">
        <v>54518</v>
      </c>
      <c r="C596" t="s">
        <v>18</v>
      </c>
      <c r="D596">
        <v>1638.87</v>
      </c>
      <c r="E596">
        <v>1378</v>
      </c>
      <c r="F596">
        <v>1</v>
      </c>
      <c r="G596">
        <v>5</v>
      </c>
      <c r="H596">
        <v>1</v>
      </c>
      <c r="I596" t="s">
        <v>32</v>
      </c>
      <c r="J596">
        <v>0</v>
      </c>
      <c r="K596">
        <v>36</v>
      </c>
      <c r="L596" t="s">
        <v>24</v>
      </c>
      <c r="M596" t="s">
        <v>31</v>
      </c>
      <c r="N596" t="s">
        <v>22</v>
      </c>
      <c r="O596" t="s">
        <v>36</v>
      </c>
      <c r="P596">
        <v>2</v>
      </c>
      <c r="Q596" s="2" t="b">
        <f>FALSE()</f>
        <v>0</v>
      </c>
      <c r="R596">
        <v>0</v>
      </c>
    </row>
    <row r="597" spans="1:18" x14ac:dyDescent="0.25">
      <c r="A597">
        <v>200596</v>
      </c>
      <c r="B597">
        <v>54286</v>
      </c>
      <c r="C597" t="s">
        <v>28</v>
      </c>
      <c r="D597">
        <v>2919.4</v>
      </c>
      <c r="E597">
        <v>1044</v>
      </c>
      <c r="F597">
        <v>0</v>
      </c>
      <c r="G597">
        <v>6</v>
      </c>
      <c r="H597">
        <v>0</v>
      </c>
      <c r="I597" t="s">
        <v>32</v>
      </c>
      <c r="J597">
        <v>1</v>
      </c>
      <c r="K597">
        <v>73</v>
      </c>
      <c r="L597" t="s">
        <v>24</v>
      </c>
      <c r="M597" t="s">
        <v>35</v>
      </c>
      <c r="N597" t="s">
        <v>22</v>
      </c>
      <c r="O597" t="s">
        <v>27</v>
      </c>
      <c r="P597">
        <v>5.44</v>
      </c>
      <c r="Q597" s="2" t="b">
        <f>FALSE()</f>
        <v>0</v>
      </c>
      <c r="R597">
        <v>0</v>
      </c>
    </row>
    <row r="598" spans="1:18" x14ac:dyDescent="0.25">
      <c r="A598">
        <v>200597</v>
      </c>
      <c r="B598">
        <v>53879</v>
      </c>
      <c r="C598" t="s">
        <v>34</v>
      </c>
      <c r="D598">
        <v>1587.77</v>
      </c>
      <c r="E598">
        <v>2197</v>
      </c>
      <c r="F598">
        <v>1</v>
      </c>
      <c r="G598">
        <v>9</v>
      </c>
      <c r="H598">
        <v>0</v>
      </c>
      <c r="I598" t="s">
        <v>33</v>
      </c>
      <c r="J598">
        <v>0</v>
      </c>
      <c r="K598">
        <v>57</v>
      </c>
      <c r="L598" t="s">
        <v>24</v>
      </c>
      <c r="M598" t="s">
        <v>21</v>
      </c>
      <c r="N598" t="s">
        <v>26</v>
      </c>
      <c r="O598" t="s">
        <v>27</v>
      </c>
      <c r="P598">
        <v>1.25</v>
      </c>
      <c r="Q598" s="2" t="b">
        <f>FALSE()</f>
        <v>0</v>
      </c>
      <c r="R598">
        <v>1</v>
      </c>
    </row>
    <row r="599" spans="1:18" x14ac:dyDescent="0.25">
      <c r="A599">
        <v>200598</v>
      </c>
      <c r="B599">
        <v>55538</v>
      </c>
      <c r="C599" t="s">
        <v>34</v>
      </c>
      <c r="D599">
        <v>1207.96</v>
      </c>
      <c r="E599">
        <v>1155</v>
      </c>
      <c r="F599">
        <v>1</v>
      </c>
      <c r="G599">
        <v>3</v>
      </c>
      <c r="H599">
        <v>0</v>
      </c>
      <c r="I599" t="s">
        <v>33</v>
      </c>
      <c r="J599">
        <v>0</v>
      </c>
      <c r="K599">
        <v>64</v>
      </c>
      <c r="L599" t="s">
        <v>24</v>
      </c>
      <c r="M599" t="s">
        <v>37</v>
      </c>
      <c r="N599" t="s">
        <v>30</v>
      </c>
      <c r="O599" t="s">
        <v>36</v>
      </c>
      <c r="P599">
        <v>1.37</v>
      </c>
      <c r="Q599" s="2" t="b">
        <f>FALSE()</f>
        <v>0</v>
      </c>
      <c r="R599">
        <v>0</v>
      </c>
    </row>
    <row r="600" spans="1:18" x14ac:dyDescent="0.25">
      <c r="A600">
        <v>200599</v>
      </c>
      <c r="B600">
        <v>50155</v>
      </c>
      <c r="C600" t="s">
        <v>18</v>
      </c>
      <c r="D600">
        <v>1182.3599999999999</v>
      </c>
      <c r="E600">
        <v>771</v>
      </c>
      <c r="F600">
        <v>3</v>
      </c>
      <c r="G600">
        <v>7</v>
      </c>
      <c r="H600">
        <v>0</v>
      </c>
      <c r="I600" t="s">
        <v>33</v>
      </c>
      <c r="J600">
        <v>0</v>
      </c>
      <c r="K600">
        <v>26</v>
      </c>
      <c r="L600" t="s">
        <v>20</v>
      </c>
      <c r="M600" t="s">
        <v>21</v>
      </c>
      <c r="N600" t="s">
        <v>30</v>
      </c>
      <c r="O600" t="s">
        <v>36</v>
      </c>
      <c r="P600">
        <v>0.37</v>
      </c>
      <c r="Q600" s="2" t="b">
        <f>FALSE()</f>
        <v>0</v>
      </c>
      <c r="R600">
        <v>1</v>
      </c>
    </row>
    <row r="601" spans="1:18" x14ac:dyDescent="0.25">
      <c r="A601">
        <v>200600</v>
      </c>
      <c r="B601">
        <v>53879</v>
      </c>
      <c r="C601" t="s">
        <v>34</v>
      </c>
      <c r="D601">
        <v>294.06</v>
      </c>
      <c r="E601">
        <v>3540</v>
      </c>
      <c r="F601">
        <v>1</v>
      </c>
      <c r="G601">
        <v>8</v>
      </c>
      <c r="H601">
        <v>1</v>
      </c>
      <c r="I601" t="s">
        <v>33</v>
      </c>
      <c r="J601">
        <v>0</v>
      </c>
      <c r="K601">
        <v>81</v>
      </c>
      <c r="L601" t="s">
        <v>20</v>
      </c>
      <c r="M601" t="s">
        <v>29</v>
      </c>
      <c r="N601" t="s">
        <v>22</v>
      </c>
      <c r="O601" t="s">
        <v>23</v>
      </c>
      <c r="P601">
        <v>8.6999999999999993</v>
      </c>
      <c r="Q601" s="2" t="b">
        <f>FALSE()</f>
        <v>0</v>
      </c>
      <c r="R601">
        <v>1</v>
      </c>
    </row>
    <row r="602" spans="1:18" x14ac:dyDescent="0.25">
      <c r="A602">
        <v>200601</v>
      </c>
      <c r="B602">
        <v>55783</v>
      </c>
      <c r="C602" t="s">
        <v>18</v>
      </c>
      <c r="D602">
        <v>1438.73</v>
      </c>
      <c r="E602">
        <v>2416</v>
      </c>
      <c r="F602">
        <v>0</v>
      </c>
      <c r="G602">
        <v>1</v>
      </c>
      <c r="H602">
        <v>0</v>
      </c>
      <c r="I602" t="s">
        <v>19</v>
      </c>
      <c r="J602">
        <v>0</v>
      </c>
      <c r="K602">
        <v>32</v>
      </c>
      <c r="L602" t="s">
        <v>24</v>
      </c>
      <c r="M602" t="s">
        <v>31</v>
      </c>
      <c r="N602" t="s">
        <v>30</v>
      </c>
      <c r="O602" t="s">
        <v>27</v>
      </c>
      <c r="P602">
        <v>3.61</v>
      </c>
      <c r="Q602" s="2" t="b">
        <f>FALSE()</f>
        <v>0</v>
      </c>
      <c r="R602">
        <v>0</v>
      </c>
    </row>
    <row r="603" spans="1:18" x14ac:dyDescent="0.25">
      <c r="A603">
        <v>200602</v>
      </c>
      <c r="B603">
        <v>50723</v>
      </c>
      <c r="C603" t="s">
        <v>18</v>
      </c>
      <c r="D603">
        <v>1726.96</v>
      </c>
      <c r="E603">
        <v>126</v>
      </c>
      <c r="F603">
        <v>2</v>
      </c>
      <c r="G603">
        <v>3</v>
      </c>
      <c r="H603">
        <v>0</v>
      </c>
      <c r="I603" t="s">
        <v>33</v>
      </c>
      <c r="J603">
        <v>0</v>
      </c>
      <c r="K603">
        <v>31</v>
      </c>
      <c r="L603" t="s">
        <v>24</v>
      </c>
      <c r="M603" t="s">
        <v>29</v>
      </c>
      <c r="N603" t="s">
        <v>30</v>
      </c>
      <c r="O603" t="s">
        <v>27</v>
      </c>
      <c r="P603">
        <v>1.78</v>
      </c>
      <c r="Q603" s="2" t="b">
        <f>FALSE()</f>
        <v>0</v>
      </c>
      <c r="R603">
        <v>0</v>
      </c>
    </row>
    <row r="604" spans="1:18" x14ac:dyDescent="0.25">
      <c r="A604">
        <v>200603</v>
      </c>
      <c r="B604">
        <v>50817</v>
      </c>
      <c r="C604" t="s">
        <v>18</v>
      </c>
      <c r="D604">
        <v>1696.7</v>
      </c>
      <c r="E604">
        <v>886</v>
      </c>
      <c r="F604">
        <v>1</v>
      </c>
      <c r="G604">
        <v>4</v>
      </c>
      <c r="H604">
        <v>0</v>
      </c>
      <c r="I604" t="s">
        <v>33</v>
      </c>
      <c r="J604">
        <v>0</v>
      </c>
      <c r="K604">
        <v>76</v>
      </c>
      <c r="L604" t="s">
        <v>20</v>
      </c>
      <c r="M604" t="s">
        <v>29</v>
      </c>
      <c r="N604" t="s">
        <v>30</v>
      </c>
      <c r="O604" t="s">
        <v>23</v>
      </c>
      <c r="P604">
        <v>12.66</v>
      </c>
      <c r="Q604" s="2" t="b">
        <f>FALSE()</f>
        <v>0</v>
      </c>
      <c r="R604">
        <v>0</v>
      </c>
    </row>
    <row r="605" spans="1:18" x14ac:dyDescent="0.25">
      <c r="A605">
        <v>200604</v>
      </c>
      <c r="B605">
        <v>55054</v>
      </c>
      <c r="C605" t="s">
        <v>18</v>
      </c>
      <c r="D605">
        <v>2137.11</v>
      </c>
      <c r="E605">
        <v>417</v>
      </c>
      <c r="F605">
        <v>2</v>
      </c>
      <c r="G605">
        <v>6</v>
      </c>
      <c r="H605">
        <v>0</v>
      </c>
      <c r="I605" t="s">
        <v>19</v>
      </c>
      <c r="J605">
        <v>0</v>
      </c>
      <c r="K605">
        <v>75</v>
      </c>
      <c r="L605" t="s">
        <v>20</v>
      </c>
      <c r="M605" t="s">
        <v>29</v>
      </c>
      <c r="N605" t="s">
        <v>22</v>
      </c>
      <c r="O605" t="s">
        <v>36</v>
      </c>
      <c r="P605">
        <v>0.67</v>
      </c>
      <c r="Q605" s="2" t="b">
        <f>FALSE()</f>
        <v>0</v>
      </c>
      <c r="R605">
        <v>0</v>
      </c>
    </row>
    <row r="606" spans="1:18" x14ac:dyDescent="0.25">
      <c r="A606">
        <v>200605</v>
      </c>
      <c r="B606">
        <v>50938</v>
      </c>
      <c r="C606" t="s">
        <v>18</v>
      </c>
      <c r="D606">
        <v>2215.1</v>
      </c>
      <c r="E606">
        <v>1536</v>
      </c>
      <c r="F606">
        <v>1</v>
      </c>
      <c r="G606">
        <v>4</v>
      </c>
      <c r="H606">
        <v>1</v>
      </c>
      <c r="I606" t="s">
        <v>19</v>
      </c>
      <c r="J606">
        <v>0</v>
      </c>
      <c r="K606">
        <v>72</v>
      </c>
      <c r="L606" t="s">
        <v>24</v>
      </c>
      <c r="M606" t="s">
        <v>29</v>
      </c>
      <c r="N606" t="s">
        <v>22</v>
      </c>
      <c r="O606" t="s">
        <v>23</v>
      </c>
      <c r="P606">
        <v>1.64</v>
      </c>
      <c r="Q606" s="2" t="b">
        <f>FALSE()</f>
        <v>0</v>
      </c>
      <c r="R606">
        <v>0</v>
      </c>
    </row>
    <row r="607" spans="1:18" x14ac:dyDescent="0.25">
      <c r="A607">
        <v>200606</v>
      </c>
      <c r="B607">
        <v>55284</v>
      </c>
      <c r="C607" t="s">
        <v>34</v>
      </c>
      <c r="D607">
        <v>3489.84</v>
      </c>
      <c r="E607">
        <v>541</v>
      </c>
      <c r="F607">
        <v>0</v>
      </c>
      <c r="G607">
        <v>6</v>
      </c>
      <c r="H607">
        <v>0</v>
      </c>
      <c r="I607" t="s">
        <v>19</v>
      </c>
      <c r="J607">
        <v>1</v>
      </c>
      <c r="K607">
        <v>77</v>
      </c>
      <c r="L607" t="s">
        <v>24</v>
      </c>
      <c r="M607" t="s">
        <v>35</v>
      </c>
      <c r="N607" t="s">
        <v>30</v>
      </c>
      <c r="O607" t="s">
        <v>36</v>
      </c>
      <c r="P607">
        <v>1.79</v>
      </c>
      <c r="Q607" s="2" t="b">
        <f>FALSE()</f>
        <v>0</v>
      </c>
      <c r="R607">
        <v>0</v>
      </c>
    </row>
    <row r="608" spans="1:18" x14ac:dyDescent="0.25">
      <c r="A608">
        <v>200607</v>
      </c>
      <c r="B608">
        <v>52942</v>
      </c>
      <c r="C608" t="s">
        <v>34</v>
      </c>
      <c r="D608">
        <v>3011.85</v>
      </c>
      <c r="E608">
        <v>1045</v>
      </c>
      <c r="F608">
        <v>1</v>
      </c>
      <c r="G608">
        <v>7</v>
      </c>
      <c r="H608">
        <v>0</v>
      </c>
      <c r="I608" t="s">
        <v>33</v>
      </c>
      <c r="J608">
        <v>0</v>
      </c>
      <c r="K608">
        <v>52</v>
      </c>
      <c r="L608" t="s">
        <v>24</v>
      </c>
      <c r="M608" t="s">
        <v>37</v>
      </c>
      <c r="N608" t="s">
        <v>22</v>
      </c>
      <c r="O608" t="s">
        <v>23</v>
      </c>
      <c r="P608">
        <v>0.38</v>
      </c>
      <c r="Q608" s="2" t="b">
        <f>FALSE()</f>
        <v>0</v>
      </c>
      <c r="R608">
        <v>1</v>
      </c>
    </row>
    <row r="609" spans="1:18" x14ac:dyDescent="0.25">
      <c r="A609">
        <v>200608</v>
      </c>
      <c r="B609">
        <v>54728</v>
      </c>
      <c r="C609" t="s">
        <v>18</v>
      </c>
      <c r="D609">
        <v>2878.76</v>
      </c>
      <c r="E609">
        <v>2385</v>
      </c>
      <c r="F609">
        <v>1</v>
      </c>
      <c r="G609">
        <v>3</v>
      </c>
      <c r="H609">
        <v>0</v>
      </c>
      <c r="I609" t="s">
        <v>33</v>
      </c>
      <c r="J609">
        <v>0</v>
      </c>
      <c r="K609">
        <v>18</v>
      </c>
      <c r="L609" t="s">
        <v>24</v>
      </c>
      <c r="M609" t="s">
        <v>37</v>
      </c>
      <c r="N609" t="s">
        <v>22</v>
      </c>
      <c r="O609" t="s">
        <v>27</v>
      </c>
      <c r="P609">
        <v>2.85</v>
      </c>
      <c r="Q609" s="2" t="b">
        <f>FALSE()</f>
        <v>0</v>
      </c>
      <c r="R609">
        <v>0</v>
      </c>
    </row>
    <row r="610" spans="1:18" x14ac:dyDescent="0.25">
      <c r="A610">
        <v>200609</v>
      </c>
      <c r="B610">
        <v>55854</v>
      </c>
      <c r="C610" t="s">
        <v>18</v>
      </c>
      <c r="D610">
        <v>4587</v>
      </c>
      <c r="E610">
        <v>2999</v>
      </c>
      <c r="F610">
        <v>4</v>
      </c>
      <c r="G610">
        <v>3</v>
      </c>
      <c r="H610">
        <v>0</v>
      </c>
      <c r="I610" t="s">
        <v>19</v>
      </c>
      <c r="J610">
        <v>0</v>
      </c>
      <c r="K610">
        <v>21</v>
      </c>
      <c r="L610" t="s">
        <v>20</v>
      </c>
      <c r="M610" t="s">
        <v>37</v>
      </c>
      <c r="N610" t="s">
        <v>26</v>
      </c>
      <c r="O610" t="s">
        <v>36</v>
      </c>
      <c r="P610">
        <v>1.7</v>
      </c>
      <c r="Q610" s="2" t="b">
        <f>FALSE()</f>
        <v>0</v>
      </c>
      <c r="R610">
        <v>1</v>
      </c>
    </row>
    <row r="611" spans="1:18" x14ac:dyDescent="0.25">
      <c r="A611">
        <v>200610</v>
      </c>
      <c r="B611">
        <v>55401</v>
      </c>
      <c r="C611" t="s">
        <v>28</v>
      </c>
      <c r="D611">
        <v>1873.17</v>
      </c>
      <c r="E611">
        <v>3525</v>
      </c>
      <c r="F611">
        <v>2</v>
      </c>
      <c r="G611">
        <v>4</v>
      </c>
      <c r="H611">
        <v>0</v>
      </c>
      <c r="I611" t="s">
        <v>33</v>
      </c>
      <c r="J611">
        <v>1</v>
      </c>
      <c r="K611">
        <v>34</v>
      </c>
      <c r="L611" t="s">
        <v>20</v>
      </c>
      <c r="M611" t="s">
        <v>35</v>
      </c>
      <c r="N611" t="s">
        <v>26</v>
      </c>
      <c r="O611" t="s">
        <v>27</v>
      </c>
      <c r="P611">
        <v>4.2699999999999996</v>
      </c>
      <c r="Q611" s="2" t="b">
        <f>FALSE()</f>
        <v>0</v>
      </c>
      <c r="R611">
        <v>0</v>
      </c>
    </row>
    <row r="612" spans="1:18" x14ac:dyDescent="0.25">
      <c r="A612">
        <v>200611</v>
      </c>
      <c r="B612">
        <v>52701</v>
      </c>
      <c r="C612" t="s">
        <v>18</v>
      </c>
      <c r="D612">
        <v>710.02</v>
      </c>
      <c r="E612">
        <v>663</v>
      </c>
      <c r="F612">
        <v>3</v>
      </c>
      <c r="G612">
        <v>2</v>
      </c>
      <c r="H612">
        <v>0</v>
      </c>
      <c r="I612" t="s">
        <v>33</v>
      </c>
      <c r="J612">
        <v>1</v>
      </c>
      <c r="K612">
        <v>61</v>
      </c>
      <c r="L612" t="s">
        <v>20</v>
      </c>
      <c r="M612" t="s">
        <v>31</v>
      </c>
      <c r="N612" t="s">
        <v>30</v>
      </c>
      <c r="O612" t="s">
        <v>27</v>
      </c>
      <c r="P612">
        <v>0.02</v>
      </c>
      <c r="Q612" s="2" t="b">
        <f>FALSE()</f>
        <v>0</v>
      </c>
      <c r="R612">
        <v>1</v>
      </c>
    </row>
    <row r="613" spans="1:18" x14ac:dyDescent="0.25">
      <c r="A613">
        <v>200612</v>
      </c>
      <c r="B613">
        <v>50076</v>
      </c>
      <c r="C613" t="s">
        <v>34</v>
      </c>
      <c r="D613">
        <v>736.96</v>
      </c>
      <c r="E613">
        <v>602</v>
      </c>
      <c r="F613">
        <v>2</v>
      </c>
      <c r="G613">
        <v>5</v>
      </c>
      <c r="H613">
        <v>0</v>
      </c>
      <c r="I613" t="s">
        <v>19</v>
      </c>
      <c r="J613">
        <v>0</v>
      </c>
      <c r="K613">
        <v>78</v>
      </c>
      <c r="L613" t="s">
        <v>24</v>
      </c>
      <c r="M613" t="s">
        <v>35</v>
      </c>
      <c r="N613" t="s">
        <v>26</v>
      </c>
      <c r="O613" t="s">
        <v>23</v>
      </c>
      <c r="P613">
        <v>1.27</v>
      </c>
      <c r="Q613" s="2" t="b">
        <f>FALSE()</f>
        <v>0</v>
      </c>
      <c r="R613">
        <v>0</v>
      </c>
    </row>
    <row r="614" spans="1:18" x14ac:dyDescent="0.25">
      <c r="A614">
        <v>200613</v>
      </c>
      <c r="B614">
        <v>54373</v>
      </c>
      <c r="C614" t="s">
        <v>34</v>
      </c>
      <c r="D614">
        <v>3448.89</v>
      </c>
      <c r="E614">
        <v>3235</v>
      </c>
      <c r="F614">
        <v>0</v>
      </c>
      <c r="G614">
        <v>3</v>
      </c>
      <c r="H614">
        <v>0</v>
      </c>
      <c r="I614" t="s">
        <v>19</v>
      </c>
      <c r="J614">
        <v>0</v>
      </c>
      <c r="K614">
        <v>75</v>
      </c>
      <c r="L614" t="s">
        <v>20</v>
      </c>
      <c r="M614" t="s">
        <v>25</v>
      </c>
      <c r="N614" t="s">
        <v>30</v>
      </c>
      <c r="O614" t="s">
        <v>27</v>
      </c>
      <c r="P614">
        <v>3.26</v>
      </c>
      <c r="Q614" s="2" t="b">
        <f>FALSE()</f>
        <v>0</v>
      </c>
      <c r="R614">
        <v>0</v>
      </c>
    </row>
    <row r="615" spans="1:18" x14ac:dyDescent="0.25">
      <c r="A615">
        <v>200614</v>
      </c>
      <c r="B615">
        <v>51434</v>
      </c>
      <c r="C615" t="s">
        <v>34</v>
      </c>
      <c r="D615">
        <v>3071.89</v>
      </c>
      <c r="E615">
        <v>887</v>
      </c>
      <c r="F615">
        <v>1</v>
      </c>
      <c r="G615">
        <v>3</v>
      </c>
      <c r="H615">
        <v>1</v>
      </c>
      <c r="I615" t="s">
        <v>33</v>
      </c>
      <c r="J615">
        <v>0</v>
      </c>
      <c r="K615">
        <v>23</v>
      </c>
      <c r="L615" t="s">
        <v>24</v>
      </c>
      <c r="M615" t="s">
        <v>29</v>
      </c>
      <c r="N615" t="s">
        <v>22</v>
      </c>
      <c r="O615" t="s">
        <v>36</v>
      </c>
      <c r="P615">
        <v>0.9</v>
      </c>
      <c r="Q615" s="2" t="b">
        <f>FALSE()</f>
        <v>0</v>
      </c>
      <c r="R615">
        <v>0</v>
      </c>
    </row>
    <row r="616" spans="1:18" x14ac:dyDescent="0.25">
      <c r="A616">
        <v>200615</v>
      </c>
      <c r="B616">
        <v>51853</v>
      </c>
      <c r="C616" t="s">
        <v>34</v>
      </c>
      <c r="D616">
        <v>1781.38</v>
      </c>
      <c r="E616">
        <v>1195</v>
      </c>
      <c r="F616">
        <v>1</v>
      </c>
      <c r="G616">
        <v>1</v>
      </c>
      <c r="H616">
        <v>0</v>
      </c>
      <c r="I616" t="s">
        <v>32</v>
      </c>
      <c r="J616">
        <v>0</v>
      </c>
      <c r="K616">
        <v>30</v>
      </c>
      <c r="L616" t="s">
        <v>20</v>
      </c>
      <c r="M616" t="s">
        <v>29</v>
      </c>
      <c r="N616" t="s">
        <v>30</v>
      </c>
      <c r="O616" t="s">
        <v>27</v>
      </c>
      <c r="P616">
        <v>5.82</v>
      </c>
      <c r="Q616" s="2" t="b">
        <f>FALSE()</f>
        <v>0</v>
      </c>
      <c r="R616">
        <v>0</v>
      </c>
    </row>
    <row r="617" spans="1:18" x14ac:dyDescent="0.25">
      <c r="A617">
        <v>200616</v>
      </c>
      <c r="B617">
        <v>54834</v>
      </c>
      <c r="C617" t="s">
        <v>34</v>
      </c>
      <c r="D617">
        <v>2123.0300000000002</v>
      </c>
      <c r="E617">
        <v>399</v>
      </c>
      <c r="F617">
        <v>1</v>
      </c>
      <c r="G617">
        <v>3</v>
      </c>
      <c r="H617">
        <v>0</v>
      </c>
      <c r="I617" t="s">
        <v>19</v>
      </c>
      <c r="J617">
        <v>0</v>
      </c>
      <c r="K617">
        <v>47</v>
      </c>
      <c r="L617" t="s">
        <v>20</v>
      </c>
      <c r="M617" t="s">
        <v>35</v>
      </c>
      <c r="N617" t="s">
        <v>26</v>
      </c>
      <c r="O617" t="s">
        <v>36</v>
      </c>
      <c r="P617">
        <v>1.36</v>
      </c>
      <c r="Q617" s="2" t="b">
        <f>FALSE()</f>
        <v>0</v>
      </c>
      <c r="R617">
        <v>0</v>
      </c>
    </row>
    <row r="618" spans="1:18" x14ac:dyDescent="0.25">
      <c r="A618">
        <v>200617</v>
      </c>
      <c r="B618">
        <v>54719</v>
      </c>
      <c r="C618" t="s">
        <v>34</v>
      </c>
      <c r="D618">
        <v>985.88</v>
      </c>
      <c r="E618">
        <v>1895</v>
      </c>
      <c r="F618">
        <v>2</v>
      </c>
      <c r="G618">
        <v>3</v>
      </c>
      <c r="H618">
        <v>0</v>
      </c>
      <c r="I618" t="s">
        <v>32</v>
      </c>
      <c r="J618">
        <v>0</v>
      </c>
      <c r="K618">
        <v>29</v>
      </c>
      <c r="L618" t="s">
        <v>24</v>
      </c>
      <c r="M618" t="s">
        <v>37</v>
      </c>
      <c r="N618" t="s">
        <v>22</v>
      </c>
      <c r="O618" t="s">
        <v>23</v>
      </c>
      <c r="P618">
        <v>1.86</v>
      </c>
      <c r="Q618" s="2" t="b">
        <f>FALSE()</f>
        <v>0</v>
      </c>
      <c r="R618">
        <v>0</v>
      </c>
    </row>
    <row r="619" spans="1:18" x14ac:dyDescent="0.25">
      <c r="A619">
        <v>200618</v>
      </c>
      <c r="B619">
        <v>52570</v>
      </c>
      <c r="C619" t="s">
        <v>34</v>
      </c>
      <c r="D619">
        <v>524.38</v>
      </c>
      <c r="E619">
        <v>2194</v>
      </c>
      <c r="F619">
        <v>2</v>
      </c>
      <c r="G619">
        <v>4</v>
      </c>
      <c r="H619">
        <v>1</v>
      </c>
      <c r="I619" t="s">
        <v>33</v>
      </c>
      <c r="J619">
        <v>1</v>
      </c>
      <c r="K619">
        <v>80</v>
      </c>
      <c r="L619" t="s">
        <v>20</v>
      </c>
      <c r="M619" t="s">
        <v>31</v>
      </c>
      <c r="N619" t="s">
        <v>26</v>
      </c>
      <c r="O619" t="s">
        <v>36</v>
      </c>
      <c r="P619">
        <v>0.95</v>
      </c>
      <c r="Q619" s="2" t="b">
        <f>FALSE()</f>
        <v>0</v>
      </c>
      <c r="R619">
        <v>0</v>
      </c>
    </row>
    <row r="620" spans="1:18" x14ac:dyDescent="0.25">
      <c r="A620">
        <v>200619</v>
      </c>
      <c r="B620">
        <v>51666</v>
      </c>
      <c r="C620" t="s">
        <v>28</v>
      </c>
      <c r="D620">
        <v>3920.14</v>
      </c>
      <c r="E620">
        <v>2420</v>
      </c>
      <c r="F620">
        <v>0</v>
      </c>
      <c r="G620">
        <v>4</v>
      </c>
      <c r="H620">
        <v>0</v>
      </c>
      <c r="I620" t="s">
        <v>32</v>
      </c>
      <c r="J620">
        <v>0</v>
      </c>
      <c r="K620">
        <v>19</v>
      </c>
      <c r="L620" t="s">
        <v>20</v>
      </c>
      <c r="M620" t="s">
        <v>25</v>
      </c>
      <c r="N620" t="s">
        <v>22</v>
      </c>
      <c r="O620" t="s">
        <v>36</v>
      </c>
      <c r="P620">
        <v>1.17</v>
      </c>
      <c r="Q620" s="2" t="b">
        <f>FALSE()</f>
        <v>0</v>
      </c>
      <c r="R620">
        <v>1</v>
      </c>
    </row>
    <row r="621" spans="1:18" x14ac:dyDescent="0.25">
      <c r="A621">
        <v>200620</v>
      </c>
      <c r="B621">
        <v>53565</v>
      </c>
      <c r="C621" t="s">
        <v>34</v>
      </c>
      <c r="D621">
        <v>870.43</v>
      </c>
      <c r="E621">
        <v>614</v>
      </c>
      <c r="F621">
        <v>0</v>
      </c>
      <c r="G621">
        <v>1</v>
      </c>
      <c r="H621">
        <v>0</v>
      </c>
      <c r="I621" t="s">
        <v>33</v>
      </c>
      <c r="J621">
        <v>0</v>
      </c>
      <c r="K621">
        <v>77</v>
      </c>
      <c r="L621" t="s">
        <v>20</v>
      </c>
      <c r="M621" t="s">
        <v>35</v>
      </c>
      <c r="N621" t="s">
        <v>22</v>
      </c>
      <c r="O621" t="s">
        <v>36</v>
      </c>
      <c r="P621">
        <v>0.05</v>
      </c>
      <c r="Q621" s="2" t="b">
        <f>FALSE()</f>
        <v>0</v>
      </c>
      <c r="R621">
        <v>0</v>
      </c>
    </row>
    <row r="622" spans="1:18" x14ac:dyDescent="0.25">
      <c r="A622">
        <v>200621</v>
      </c>
      <c r="B622">
        <v>54517</v>
      </c>
      <c r="C622" t="s">
        <v>18</v>
      </c>
      <c r="D622">
        <v>2689</v>
      </c>
      <c r="E622">
        <v>694</v>
      </c>
      <c r="F622">
        <v>1</v>
      </c>
      <c r="G622">
        <v>6</v>
      </c>
      <c r="H622">
        <v>0</v>
      </c>
      <c r="I622" t="s">
        <v>32</v>
      </c>
      <c r="J622">
        <v>0</v>
      </c>
      <c r="K622">
        <v>52</v>
      </c>
      <c r="L622" t="s">
        <v>20</v>
      </c>
      <c r="M622" t="s">
        <v>21</v>
      </c>
      <c r="N622" t="s">
        <v>22</v>
      </c>
      <c r="O622" t="s">
        <v>27</v>
      </c>
      <c r="P622">
        <v>0.25</v>
      </c>
      <c r="Q622" s="2" t="b">
        <f>FALSE()</f>
        <v>0</v>
      </c>
      <c r="R622">
        <v>0</v>
      </c>
    </row>
    <row r="623" spans="1:18" x14ac:dyDescent="0.25">
      <c r="A623">
        <v>200622</v>
      </c>
      <c r="B623">
        <v>53313</v>
      </c>
      <c r="C623" t="s">
        <v>34</v>
      </c>
      <c r="D623">
        <v>429.7</v>
      </c>
      <c r="E623">
        <v>1631</v>
      </c>
      <c r="F623">
        <v>2</v>
      </c>
      <c r="G623">
        <v>2</v>
      </c>
      <c r="H623">
        <v>0</v>
      </c>
      <c r="I623" t="s">
        <v>33</v>
      </c>
      <c r="J623">
        <v>0</v>
      </c>
      <c r="K623">
        <v>47</v>
      </c>
      <c r="L623" t="s">
        <v>20</v>
      </c>
      <c r="M623" t="s">
        <v>21</v>
      </c>
      <c r="N623" t="s">
        <v>22</v>
      </c>
      <c r="O623" t="s">
        <v>23</v>
      </c>
      <c r="P623">
        <v>3.33</v>
      </c>
      <c r="Q623" s="2" t="b">
        <f>FALSE()</f>
        <v>0</v>
      </c>
      <c r="R623">
        <v>0</v>
      </c>
    </row>
    <row r="624" spans="1:18" x14ac:dyDescent="0.25">
      <c r="A624">
        <v>200623</v>
      </c>
      <c r="B624">
        <v>53537</v>
      </c>
      <c r="C624" t="s">
        <v>34</v>
      </c>
      <c r="D624">
        <v>1312.17</v>
      </c>
      <c r="E624">
        <v>1578</v>
      </c>
      <c r="F624">
        <v>2</v>
      </c>
      <c r="G624">
        <v>8</v>
      </c>
      <c r="H624">
        <v>0</v>
      </c>
      <c r="I624" t="s">
        <v>19</v>
      </c>
      <c r="J624">
        <v>0</v>
      </c>
      <c r="K624">
        <v>58</v>
      </c>
      <c r="L624" t="s">
        <v>20</v>
      </c>
      <c r="M624" t="s">
        <v>25</v>
      </c>
      <c r="N624" t="s">
        <v>22</v>
      </c>
      <c r="O624" t="s">
        <v>27</v>
      </c>
      <c r="P624">
        <v>1.1299999999999999</v>
      </c>
      <c r="Q624" s="2" t="b">
        <f>FALSE()</f>
        <v>0</v>
      </c>
      <c r="R624">
        <v>1</v>
      </c>
    </row>
    <row r="625" spans="1:18" x14ac:dyDescent="0.25">
      <c r="A625">
        <v>200624</v>
      </c>
      <c r="B625">
        <v>54840</v>
      </c>
      <c r="C625" t="s">
        <v>18</v>
      </c>
      <c r="D625">
        <v>3799.21</v>
      </c>
      <c r="E625">
        <v>253</v>
      </c>
      <c r="F625">
        <v>0</v>
      </c>
      <c r="G625">
        <v>4</v>
      </c>
      <c r="H625">
        <v>0</v>
      </c>
      <c r="I625" t="s">
        <v>33</v>
      </c>
      <c r="J625">
        <v>1</v>
      </c>
      <c r="K625">
        <v>36</v>
      </c>
      <c r="L625" t="s">
        <v>20</v>
      </c>
      <c r="M625" t="s">
        <v>37</v>
      </c>
      <c r="N625" t="s">
        <v>22</v>
      </c>
      <c r="O625" t="s">
        <v>36</v>
      </c>
      <c r="P625">
        <v>1.76</v>
      </c>
      <c r="Q625" s="2" t="b">
        <f>FALSE()</f>
        <v>0</v>
      </c>
      <c r="R625">
        <v>1</v>
      </c>
    </row>
    <row r="626" spans="1:18" x14ac:dyDescent="0.25">
      <c r="A626">
        <v>200625</v>
      </c>
      <c r="B626">
        <v>50098</v>
      </c>
      <c r="C626" t="s">
        <v>28</v>
      </c>
      <c r="D626">
        <v>2556.9699999999998</v>
      </c>
      <c r="E626">
        <v>773</v>
      </c>
      <c r="F626">
        <v>1</v>
      </c>
      <c r="G626">
        <v>4</v>
      </c>
      <c r="H626">
        <v>1</v>
      </c>
      <c r="I626" t="s">
        <v>33</v>
      </c>
      <c r="J626">
        <v>0</v>
      </c>
      <c r="K626">
        <v>79</v>
      </c>
      <c r="L626" t="s">
        <v>38</v>
      </c>
      <c r="M626" t="s">
        <v>21</v>
      </c>
      <c r="N626" t="s">
        <v>22</v>
      </c>
      <c r="O626" t="s">
        <v>27</v>
      </c>
      <c r="P626">
        <v>3.34</v>
      </c>
      <c r="Q626" s="2" t="b">
        <f>FALSE()</f>
        <v>0</v>
      </c>
      <c r="R626">
        <v>0</v>
      </c>
    </row>
    <row r="627" spans="1:18" x14ac:dyDescent="0.25">
      <c r="A627">
        <v>200626</v>
      </c>
      <c r="B627">
        <v>50292</v>
      </c>
      <c r="C627" t="s">
        <v>18</v>
      </c>
      <c r="D627">
        <v>420.81</v>
      </c>
      <c r="E627">
        <v>1430</v>
      </c>
      <c r="F627">
        <v>1</v>
      </c>
      <c r="G627">
        <v>2</v>
      </c>
      <c r="H627">
        <v>1</v>
      </c>
      <c r="I627" t="s">
        <v>32</v>
      </c>
      <c r="J627">
        <v>0</v>
      </c>
      <c r="K627">
        <v>84</v>
      </c>
      <c r="L627" t="s">
        <v>24</v>
      </c>
      <c r="M627" t="s">
        <v>21</v>
      </c>
      <c r="N627" t="s">
        <v>30</v>
      </c>
      <c r="O627" t="s">
        <v>27</v>
      </c>
      <c r="P627">
        <v>1.83</v>
      </c>
      <c r="Q627" s="2" t="b">
        <f>FALSE()</f>
        <v>0</v>
      </c>
      <c r="R627">
        <v>0</v>
      </c>
    </row>
    <row r="628" spans="1:18" x14ac:dyDescent="0.25">
      <c r="A628">
        <v>200627</v>
      </c>
      <c r="B628">
        <v>53905</v>
      </c>
      <c r="C628" t="s">
        <v>34</v>
      </c>
      <c r="D628">
        <v>3309.15</v>
      </c>
      <c r="E628">
        <v>247</v>
      </c>
      <c r="F628">
        <v>1</v>
      </c>
      <c r="G628">
        <v>1</v>
      </c>
      <c r="H628">
        <v>1</v>
      </c>
      <c r="I628" t="s">
        <v>19</v>
      </c>
      <c r="J628">
        <v>0</v>
      </c>
      <c r="K628">
        <v>19</v>
      </c>
      <c r="L628" t="s">
        <v>24</v>
      </c>
      <c r="M628" t="s">
        <v>35</v>
      </c>
      <c r="N628" t="s">
        <v>30</v>
      </c>
      <c r="O628" t="s">
        <v>36</v>
      </c>
      <c r="P628">
        <v>3.46</v>
      </c>
      <c r="Q628" s="2" t="b">
        <f>FALSE()</f>
        <v>0</v>
      </c>
      <c r="R628">
        <v>0</v>
      </c>
    </row>
    <row r="629" spans="1:18" x14ac:dyDescent="0.25">
      <c r="A629">
        <v>200628</v>
      </c>
      <c r="B629">
        <v>54720</v>
      </c>
      <c r="C629" t="s">
        <v>18</v>
      </c>
      <c r="D629">
        <v>2402.5500000000002</v>
      </c>
      <c r="E629">
        <v>112</v>
      </c>
      <c r="F629">
        <v>1</v>
      </c>
      <c r="G629">
        <v>2</v>
      </c>
      <c r="H629">
        <v>0</v>
      </c>
      <c r="I629" t="s">
        <v>19</v>
      </c>
      <c r="J629">
        <v>0</v>
      </c>
      <c r="K629">
        <v>84</v>
      </c>
      <c r="L629" t="s">
        <v>20</v>
      </c>
      <c r="M629" t="s">
        <v>35</v>
      </c>
      <c r="N629" t="s">
        <v>26</v>
      </c>
      <c r="O629" t="s">
        <v>36</v>
      </c>
      <c r="P629">
        <v>3.09</v>
      </c>
      <c r="Q629" s="2" t="b">
        <f>FALSE()</f>
        <v>0</v>
      </c>
      <c r="R629">
        <v>0</v>
      </c>
    </row>
    <row r="630" spans="1:18" x14ac:dyDescent="0.25">
      <c r="A630">
        <v>200629</v>
      </c>
      <c r="B630">
        <v>51229</v>
      </c>
      <c r="C630" t="s">
        <v>34</v>
      </c>
      <c r="D630">
        <v>5693.07</v>
      </c>
      <c r="E630">
        <v>1032</v>
      </c>
      <c r="F630">
        <v>1</v>
      </c>
      <c r="G630">
        <v>5</v>
      </c>
      <c r="H630">
        <v>0</v>
      </c>
      <c r="I630" t="s">
        <v>32</v>
      </c>
      <c r="J630">
        <v>0</v>
      </c>
      <c r="K630">
        <v>41</v>
      </c>
      <c r="L630" t="s">
        <v>24</v>
      </c>
      <c r="M630" t="s">
        <v>21</v>
      </c>
      <c r="N630" t="s">
        <v>30</v>
      </c>
      <c r="O630" t="s">
        <v>36</v>
      </c>
      <c r="P630">
        <v>1.39</v>
      </c>
      <c r="Q630" s="2" t="b">
        <f>FALSE()</f>
        <v>0</v>
      </c>
      <c r="R630">
        <v>1</v>
      </c>
    </row>
    <row r="631" spans="1:18" x14ac:dyDescent="0.25">
      <c r="A631">
        <v>200630</v>
      </c>
      <c r="B631">
        <v>54174</v>
      </c>
      <c r="C631" t="s">
        <v>18</v>
      </c>
      <c r="D631">
        <v>3290.79</v>
      </c>
      <c r="E631">
        <v>322</v>
      </c>
      <c r="F631">
        <v>2</v>
      </c>
      <c r="G631">
        <v>3</v>
      </c>
      <c r="H631">
        <v>0</v>
      </c>
      <c r="I631" t="s">
        <v>33</v>
      </c>
      <c r="J631">
        <v>0</v>
      </c>
      <c r="K631">
        <v>39</v>
      </c>
      <c r="L631" t="s">
        <v>20</v>
      </c>
      <c r="M631" t="s">
        <v>35</v>
      </c>
      <c r="N631" t="s">
        <v>22</v>
      </c>
      <c r="O631" t="s">
        <v>36</v>
      </c>
      <c r="P631">
        <v>2.4900000000000002</v>
      </c>
      <c r="Q631" s="2" t="b">
        <f>FALSE()</f>
        <v>0</v>
      </c>
      <c r="R631">
        <v>0</v>
      </c>
    </row>
    <row r="632" spans="1:18" x14ac:dyDescent="0.25">
      <c r="A632">
        <v>200631</v>
      </c>
      <c r="B632">
        <v>52616</v>
      </c>
      <c r="C632" t="s">
        <v>34</v>
      </c>
      <c r="D632">
        <v>522.78</v>
      </c>
      <c r="E632">
        <v>3514</v>
      </c>
      <c r="F632">
        <v>1</v>
      </c>
      <c r="G632">
        <v>5</v>
      </c>
      <c r="H632">
        <v>0</v>
      </c>
      <c r="I632" t="s">
        <v>32</v>
      </c>
      <c r="J632">
        <v>1</v>
      </c>
      <c r="K632">
        <v>18</v>
      </c>
      <c r="L632" t="s">
        <v>20</v>
      </c>
      <c r="M632" t="s">
        <v>37</v>
      </c>
      <c r="N632" t="s">
        <v>26</v>
      </c>
      <c r="O632" t="s">
        <v>36</v>
      </c>
      <c r="P632">
        <v>7.0000000000000007E-2</v>
      </c>
      <c r="Q632" s="2" t="b">
        <f>FALSE()</f>
        <v>0</v>
      </c>
      <c r="R632">
        <v>0</v>
      </c>
    </row>
    <row r="633" spans="1:18" x14ac:dyDescent="0.25">
      <c r="A633">
        <v>200632</v>
      </c>
      <c r="B633">
        <v>53278</v>
      </c>
      <c r="C633" t="s">
        <v>18</v>
      </c>
      <c r="D633">
        <v>5739</v>
      </c>
      <c r="E633">
        <v>580</v>
      </c>
      <c r="F633">
        <v>1</v>
      </c>
      <c r="G633">
        <v>0</v>
      </c>
      <c r="H633">
        <v>0</v>
      </c>
      <c r="I633" t="s">
        <v>19</v>
      </c>
      <c r="J633">
        <v>0</v>
      </c>
      <c r="K633">
        <v>71</v>
      </c>
      <c r="L633" t="s">
        <v>24</v>
      </c>
      <c r="M633" t="s">
        <v>25</v>
      </c>
      <c r="N633" t="s">
        <v>30</v>
      </c>
      <c r="O633" t="s">
        <v>27</v>
      </c>
      <c r="P633">
        <v>2.0299999999999998</v>
      </c>
      <c r="Q633" s="2" t="b">
        <f>FALSE()</f>
        <v>0</v>
      </c>
      <c r="R633">
        <v>1</v>
      </c>
    </row>
    <row r="634" spans="1:18" x14ac:dyDescent="0.25">
      <c r="A634">
        <v>200633</v>
      </c>
      <c r="B634">
        <v>51747</v>
      </c>
      <c r="C634" t="s">
        <v>34</v>
      </c>
      <c r="D634">
        <v>3362.47</v>
      </c>
      <c r="E634">
        <v>3259</v>
      </c>
      <c r="F634">
        <v>2</v>
      </c>
      <c r="G634">
        <v>2</v>
      </c>
      <c r="H634">
        <v>0</v>
      </c>
      <c r="I634" t="s">
        <v>33</v>
      </c>
      <c r="J634">
        <v>0</v>
      </c>
      <c r="K634">
        <v>73</v>
      </c>
      <c r="L634" t="s">
        <v>24</v>
      </c>
      <c r="M634" t="s">
        <v>29</v>
      </c>
      <c r="N634" t="s">
        <v>22</v>
      </c>
      <c r="O634" t="s">
        <v>23</v>
      </c>
      <c r="P634">
        <v>1.01</v>
      </c>
      <c r="Q634" s="2" t="b">
        <f>FALSE()</f>
        <v>0</v>
      </c>
      <c r="R634">
        <v>0</v>
      </c>
    </row>
    <row r="635" spans="1:18" x14ac:dyDescent="0.25">
      <c r="A635">
        <v>200634</v>
      </c>
      <c r="B635">
        <v>55182</v>
      </c>
      <c r="C635" t="s">
        <v>18</v>
      </c>
      <c r="D635">
        <v>4049.48</v>
      </c>
      <c r="E635">
        <v>984</v>
      </c>
      <c r="F635">
        <v>1</v>
      </c>
      <c r="G635">
        <v>8</v>
      </c>
      <c r="H635">
        <v>0</v>
      </c>
      <c r="I635" t="s">
        <v>33</v>
      </c>
      <c r="J635">
        <v>0</v>
      </c>
      <c r="K635">
        <v>84</v>
      </c>
      <c r="L635" t="s">
        <v>24</v>
      </c>
      <c r="M635" t="s">
        <v>37</v>
      </c>
      <c r="N635" t="s">
        <v>22</v>
      </c>
      <c r="O635" t="s">
        <v>36</v>
      </c>
      <c r="P635">
        <v>2.95</v>
      </c>
      <c r="Q635" s="2" t="b">
        <f>FALSE()</f>
        <v>0</v>
      </c>
      <c r="R635">
        <v>1</v>
      </c>
    </row>
    <row r="636" spans="1:18" x14ac:dyDescent="0.25">
      <c r="A636">
        <v>200635</v>
      </c>
      <c r="B636">
        <v>55585</v>
      </c>
      <c r="C636" t="s">
        <v>34</v>
      </c>
      <c r="D636">
        <v>2853.8</v>
      </c>
      <c r="E636">
        <v>615</v>
      </c>
      <c r="F636">
        <v>1</v>
      </c>
      <c r="G636">
        <v>6</v>
      </c>
      <c r="H636">
        <v>0</v>
      </c>
      <c r="I636" t="s">
        <v>32</v>
      </c>
      <c r="J636">
        <v>0</v>
      </c>
      <c r="K636">
        <v>28</v>
      </c>
      <c r="L636" t="s">
        <v>20</v>
      </c>
      <c r="M636" t="s">
        <v>31</v>
      </c>
      <c r="N636" t="s">
        <v>22</v>
      </c>
      <c r="O636" t="s">
        <v>36</v>
      </c>
      <c r="P636">
        <v>0.21</v>
      </c>
      <c r="Q636" s="2" t="b">
        <f>FALSE()</f>
        <v>0</v>
      </c>
      <c r="R636">
        <v>0</v>
      </c>
    </row>
    <row r="637" spans="1:18" x14ac:dyDescent="0.25">
      <c r="A637">
        <v>200636</v>
      </c>
      <c r="B637">
        <v>53907</v>
      </c>
      <c r="C637" t="s">
        <v>28</v>
      </c>
      <c r="D637">
        <v>2491.2199999999998</v>
      </c>
      <c r="E637">
        <v>2904</v>
      </c>
      <c r="F637">
        <v>1</v>
      </c>
      <c r="G637">
        <v>4</v>
      </c>
      <c r="H637">
        <v>0</v>
      </c>
      <c r="I637" t="s">
        <v>33</v>
      </c>
      <c r="J637">
        <v>0</v>
      </c>
      <c r="K637">
        <v>58</v>
      </c>
      <c r="L637" t="s">
        <v>20</v>
      </c>
      <c r="M637" t="s">
        <v>29</v>
      </c>
      <c r="N637" t="s">
        <v>30</v>
      </c>
      <c r="O637" t="s">
        <v>27</v>
      </c>
      <c r="P637">
        <v>6.17</v>
      </c>
      <c r="Q637" s="2" t="b">
        <f>FALSE()</f>
        <v>0</v>
      </c>
      <c r="R637">
        <v>0</v>
      </c>
    </row>
    <row r="638" spans="1:18" x14ac:dyDescent="0.25">
      <c r="A638">
        <v>200637</v>
      </c>
      <c r="B638">
        <v>55840</v>
      </c>
      <c r="C638" t="s">
        <v>28</v>
      </c>
      <c r="D638">
        <v>2598.9699999999998</v>
      </c>
      <c r="E638">
        <v>115</v>
      </c>
      <c r="F638">
        <v>0</v>
      </c>
      <c r="G638">
        <v>4</v>
      </c>
      <c r="H638">
        <v>0</v>
      </c>
      <c r="I638" t="s">
        <v>32</v>
      </c>
      <c r="J638">
        <v>1</v>
      </c>
      <c r="K638">
        <v>65</v>
      </c>
      <c r="L638" t="s">
        <v>20</v>
      </c>
      <c r="M638" t="s">
        <v>37</v>
      </c>
      <c r="N638" t="s">
        <v>30</v>
      </c>
      <c r="O638" t="s">
        <v>36</v>
      </c>
      <c r="P638">
        <v>3.9</v>
      </c>
      <c r="Q638" s="2" t="b">
        <f>FALSE()</f>
        <v>0</v>
      </c>
      <c r="R638">
        <v>0</v>
      </c>
    </row>
    <row r="639" spans="1:18" x14ac:dyDescent="0.25">
      <c r="A639">
        <v>200638</v>
      </c>
      <c r="B639">
        <v>55808</v>
      </c>
      <c r="C639" t="s">
        <v>34</v>
      </c>
      <c r="D639">
        <v>2779.17</v>
      </c>
      <c r="E639">
        <v>790</v>
      </c>
      <c r="F639">
        <v>3</v>
      </c>
      <c r="G639">
        <v>11</v>
      </c>
      <c r="H639">
        <v>0</v>
      </c>
      <c r="I639" t="s">
        <v>19</v>
      </c>
      <c r="J639">
        <v>0</v>
      </c>
      <c r="K639">
        <v>57</v>
      </c>
      <c r="L639" t="s">
        <v>24</v>
      </c>
      <c r="M639" t="s">
        <v>35</v>
      </c>
      <c r="N639" t="s">
        <v>26</v>
      </c>
      <c r="O639" t="s">
        <v>27</v>
      </c>
      <c r="P639">
        <v>7.02</v>
      </c>
      <c r="Q639" s="2" t="b">
        <f>FALSE()</f>
        <v>0</v>
      </c>
      <c r="R639">
        <v>1</v>
      </c>
    </row>
    <row r="640" spans="1:18" x14ac:dyDescent="0.25">
      <c r="A640">
        <v>200639</v>
      </c>
      <c r="B640">
        <v>54064</v>
      </c>
      <c r="C640" t="s">
        <v>18</v>
      </c>
      <c r="D640">
        <v>4858.92</v>
      </c>
      <c r="E640">
        <v>1196</v>
      </c>
      <c r="F640">
        <v>1</v>
      </c>
      <c r="G640">
        <v>6</v>
      </c>
      <c r="H640">
        <v>0</v>
      </c>
      <c r="I640" t="s">
        <v>19</v>
      </c>
      <c r="J640">
        <v>1</v>
      </c>
      <c r="K640">
        <v>57</v>
      </c>
      <c r="L640" t="s">
        <v>20</v>
      </c>
      <c r="M640" t="s">
        <v>21</v>
      </c>
      <c r="N640" t="s">
        <v>30</v>
      </c>
      <c r="O640" t="s">
        <v>36</v>
      </c>
      <c r="P640">
        <v>4.1100000000000003</v>
      </c>
      <c r="Q640" s="2" t="b">
        <f>FALSE()</f>
        <v>0</v>
      </c>
      <c r="R640">
        <v>1</v>
      </c>
    </row>
    <row r="641" spans="1:18" x14ac:dyDescent="0.25">
      <c r="A641">
        <v>200640</v>
      </c>
      <c r="B641">
        <v>53408</v>
      </c>
      <c r="C641" t="s">
        <v>28</v>
      </c>
      <c r="D641">
        <v>3443.97</v>
      </c>
      <c r="E641">
        <v>717</v>
      </c>
      <c r="F641">
        <v>1</v>
      </c>
      <c r="G641">
        <v>2</v>
      </c>
      <c r="H641">
        <v>0</v>
      </c>
      <c r="I641" t="s">
        <v>19</v>
      </c>
      <c r="J641">
        <v>1</v>
      </c>
      <c r="K641">
        <v>76</v>
      </c>
      <c r="L641" t="s">
        <v>20</v>
      </c>
      <c r="M641" t="s">
        <v>29</v>
      </c>
      <c r="N641" t="s">
        <v>30</v>
      </c>
      <c r="O641" t="s">
        <v>27</v>
      </c>
      <c r="P641">
        <v>0.15</v>
      </c>
      <c r="Q641" s="2" t="b">
        <f>FALSE()</f>
        <v>0</v>
      </c>
      <c r="R641">
        <v>0</v>
      </c>
    </row>
    <row r="642" spans="1:18" x14ac:dyDescent="0.25">
      <c r="A642">
        <v>200641</v>
      </c>
      <c r="B642">
        <v>52191</v>
      </c>
      <c r="C642" t="s">
        <v>18</v>
      </c>
      <c r="D642">
        <v>1741.05</v>
      </c>
      <c r="E642">
        <v>1748</v>
      </c>
      <c r="F642">
        <v>0</v>
      </c>
      <c r="G642">
        <v>2</v>
      </c>
      <c r="H642">
        <v>1</v>
      </c>
      <c r="I642" t="s">
        <v>33</v>
      </c>
      <c r="J642">
        <v>0</v>
      </c>
      <c r="K642">
        <v>35</v>
      </c>
      <c r="L642" t="s">
        <v>20</v>
      </c>
      <c r="M642" t="s">
        <v>37</v>
      </c>
      <c r="N642" t="s">
        <v>22</v>
      </c>
      <c r="O642" t="s">
        <v>23</v>
      </c>
      <c r="P642">
        <v>3.16</v>
      </c>
      <c r="Q642" s="2" t="b">
        <f>FALSE()</f>
        <v>0</v>
      </c>
      <c r="R642">
        <v>0</v>
      </c>
    </row>
    <row r="643" spans="1:18" x14ac:dyDescent="0.25">
      <c r="A643">
        <v>200642</v>
      </c>
      <c r="B643">
        <v>51767</v>
      </c>
      <c r="C643" t="s">
        <v>18</v>
      </c>
      <c r="D643">
        <v>3185.02</v>
      </c>
      <c r="E643">
        <v>985</v>
      </c>
      <c r="F643">
        <v>0</v>
      </c>
      <c r="G643">
        <v>4</v>
      </c>
      <c r="H643">
        <v>1</v>
      </c>
      <c r="I643" t="s">
        <v>32</v>
      </c>
      <c r="J643">
        <v>1</v>
      </c>
      <c r="K643">
        <v>51</v>
      </c>
      <c r="L643" t="s">
        <v>24</v>
      </c>
      <c r="M643" t="s">
        <v>25</v>
      </c>
      <c r="N643" t="s">
        <v>22</v>
      </c>
      <c r="O643" t="s">
        <v>27</v>
      </c>
      <c r="P643">
        <v>0.41</v>
      </c>
      <c r="Q643" s="2" t="b">
        <f>FALSE()</f>
        <v>0</v>
      </c>
      <c r="R643">
        <v>0</v>
      </c>
    </row>
    <row r="644" spans="1:18" x14ac:dyDescent="0.25">
      <c r="A644">
        <v>200643</v>
      </c>
      <c r="B644">
        <v>50211</v>
      </c>
      <c r="C644" t="s">
        <v>34</v>
      </c>
      <c r="D644">
        <v>3355.56</v>
      </c>
      <c r="E644">
        <v>2254</v>
      </c>
      <c r="F644">
        <v>0</v>
      </c>
      <c r="G644">
        <v>2</v>
      </c>
      <c r="H644">
        <v>0</v>
      </c>
      <c r="I644" t="s">
        <v>33</v>
      </c>
      <c r="J644">
        <v>0</v>
      </c>
      <c r="K644">
        <v>67</v>
      </c>
      <c r="L644" t="s">
        <v>20</v>
      </c>
      <c r="M644" t="s">
        <v>29</v>
      </c>
      <c r="N644" t="s">
        <v>30</v>
      </c>
      <c r="O644" t="s">
        <v>23</v>
      </c>
      <c r="P644">
        <v>6.85</v>
      </c>
      <c r="Q644" s="2" t="b">
        <f>FALSE()</f>
        <v>0</v>
      </c>
      <c r="R644">
        <v>0</v>
      </c>
    </row>
    <row r="645" spans="1:18" x14ac:dyDescent="0.25">
      <c r="A645">
        <v>200644</v>
      </c>
      <c r="B645">
        <v>53846</v>
      </c>
      <c r="C645" t="s">
        <v>34</v>
      </c>
      <c r="D645">
        <v>1954.42</v>
      </c>
      <c r="E645">
        <v>575</v>
      </c>
      <c r="F645">
        <v>1</v>
      </c>
      <c r="G645">
        <v>4</v>
      </c>
      <c r="H645">
        <v>0</v>
      </c>
      <c r="I645" t="s">
        <v>19</v>
      </c>
      <c r="J645">
        <v>1</v>
      </c>
      <c r="K645">
        <v>60</v>
      </c>
      <c r="L645" t="s">
        <v>24</v>
      </c>
      <c r="M645" t="s">
        <v>35</v>
      </c>
      <c r="N645" t="s">
        <v>30</v>
      </c>
      <c r="O645" t="s">
        <v>27</v>
      </c>
      <c r="P645">
        <v>2.38</v>
      </c>
      <c r="Q645" s="2" t="b">
        <f>FALSE()</f>
        <v>0</v>
      </c>
      <c r="R645">
        <v>0</v>
      </c>
    </row>
    <row r="646" spans="1:18" x14ac:dyDescent="0.25">
      <c r="A646">
        <v>200645</v>
      </c>
      <c r="B646">
        <v>50179</v>
      </c>
      <c r="C646" t="s">
        <v>34</v>
      </c>
      <c r="D646">
        <v>343.4</v>
      </c>
      <c r="E646">
        <v>2544</v>
      </c>
      <c r="F646">
        <v>2</v>
      </c>
      <c r="G646">
        <v>3</v>
      </c>
      <c r="H646">
        <v>1</v>
      </c>
      <c r="I646" t="s">
        <v>33</v>
      </c>
      <c r="J646">
        <v>0</v>
      </c>
      <c r="K646">
        <v>37</v>
      </c>
      <c r="L646" t="s">
        <v>24</v>
      </c>
      <c r="M646" t="s">
        <v>37</v>
      </c>
      <c r="N646" t="s">
        <v>26</v>
      </c>
      <c r="O646" t="s">
        <v>27</v>
      </c>
      <c r="P646">
        <v>1.69</v>
      </c>
      <c r="Q646" s="2" t="b">
        <f>FALSE()</f>
        <v>0</v>
      </c>
      <c r="R646">
        <v>0</v>
      </c>
    </row>
    <row r="647" spans="1:18" x14ac:dyDescent="0.25">
      <c r="A647">
        <v>200646</v>
      </c>
      <c r="B647">
        <v>51425</v>
      </c>
      <c r="C647" t="s">
        <v>18</v>
      </c>
      <c r="D647">
        <v>2208.54</v>
      </c>
      <c r="E647">
        <v>3356</v>
      </c>
      <c r="F647">
        <v>1</v>
      </c>
      <c r="G647">
        <v>2</v>
      </c>
      <c r="H647">
        <v>1</v>
      </c>
      <c r="I647" t="s">
        <v>19</v>
      </c>
      <c r="J647">
        <v>0</v>
      </c>
      <c r="K647">
        <v>37</v>
      </c>
      <c r="L647" t="s">
        <v>20</v>
      </c>
      <c r="M647" t="s">
        <v>37</v>
      </c>
      <c r="N647" t="s">
        <v>22</v>
      </c>
      <c r="O647" t="s">
        <v>23</v>
      </c>
      <c r="P647">
        <v>1.05</v>
      </c>
      <c r="Q647" s="2" t="b">
        <f>FALSE()</f>
        <v>0</v>
      </c>
      <c r="R647">
        <v>0</v>
      </c>
    </row>
    <row r="648" spans="1:18" x14ac:dyDescent="0.25">
      <c r="A648">
        <v>200647</v>
      </c>
      <c r="B648">
        <v>51270</v>
      </c>
      <c r="C648" t="s">
        <v>18</v>
      </c>
      <c r="D648">
        <v>596.22</v>
      </c>
      <c r="E648">
        <v>1196</v>
      </c>
      <c r="F648">
        <v>0</v>
      </c>
      <c r="G648">
        <v>7</v>
      </c>
      <c r="H648">
        <v>0</v>
      </c>
      <c r="I648" t="s">
        <v>32</v>
      </c>
      <c r="J648">
        <v>0</v>
      </c>
      <c r="K648">
        <v>18</v>
      </c>
      <c r="L648" t="s">
        <v>24</v>
      </c>
      <c r="M648" t="s">
        <v>37</v>
      </c>
      <c r="N648" t="s">
        <v>30</v>
      </c>
      <c r="O648" t="s">
        <v>27</v>
      </c>
      <c r="P648">
        <v>0.89</v>
      </c>
      <c r="Q648" s="2" t="b">
        <f>FALSE()</f>
        <v>0</v>
      </c>
      <c r="R648">
        <v>1</v>
      </c>
    </row>
    <row r="649" spans="1:18" x14ac:dyDescent="0.25">
      <c r="A649">
        <v>200648</v>
      </c>
      <c r="B649">
        <v>54292</v>
      </c>
      <c r="C649" t="s">
        <v>18</v>
      </c>
      <c r="D649">
        <v>1305.03</v>
      </c>
      <c r="E649">
        <v>1284</v>
      </c>
      <c r="F649">
        <v>0</v>
      </c>
      <c r="G649">
        <v>4</v>
      </c>
      <c r="H649">
        <v>0</v>
      </c>
      <c r="I649" t="s">
        <v>33</v>
      </c>
      <c r="J649">
        <v>0</v>
      </c>
      <c r="K649">
        <v>80</v>
      </c>
      <c r="L649" t="s">
        <v>24</v>
      </c>
      <c r="M649" t="s">
        <v>21</v>
      </c>
      <c r="N649" t="s">
        <v>30</v>
      </c>
      <c r="O649" t="s">
        <v>27</v>
      </c>
      <c r="P649">
        <v>0.38</v>
      </c>
      <c r="Q649" s="2" t="b">
        <f>FALSE()</f>
        <v>0</v>
      </c>
      <c r="R649">
        <v>0</v>
      </c>
    </row>
    <row r="650" spans="1:18" x14ac:dyDescent="0.25">
      <c r="A650">
        <v>200649</v>
      </c>
      <c r="B650">
        <v>52939</v>
      </c>
      <c r="C650" t="s">
        <v>28</v>
      </c>
      <c r="D650">
        <v>457.33</v>
      </c>
      <c r="E650">
        <v>3505</v>
      </c>
      <c r="F650">
        <v>1</v>
      </c>
      <c r="G650">
        <v>3</v>
      </c>
      <c r="H650">
        <v>0</v>
      </c>
      <c r="I650" t="s">
        <v>19</v>
      </c>
      <c r="J650">
        <v>1</v>
      </c>
      <c r="K650">
        <v>67</v>
      </c>
      <c r="L650" t="s">
        <v>20</v>
      </c>
      <c r="M650" t="s">
        <v>29</v>
      </c>
      <c r="N650" t="s">
        <v>22</v>
      </c>
      <c r="O650" t="s">
        <v>27</v>
      </c>
      <c r="P650">
        <v>3.98</v>
      </c>
      <c r="Q650" s="2" t="b">
        <f>FALSE()</f>
        <v>0</v>
      </c>
      <c r="R650">
        <v>0</v>
      </c>
    </row>
    <row r="651" spans="1:18" x14ac:dyDescent="0.25">
      <c r="A651">
        <v>200650</v>
      </c>
      <c r="B651">
        <v>53638</v>
      </c>
      <c r="C651" t="s">
        <v>18</v>
      </c>
      <c r="D651">
        <v>541.58000000000004</v>
      </c>
      <c r="E651">
        <v>1599</v>
      </c>
      <c r="F651">
        <v>1</v>
      </c>
      <c r="G651">
        <v>4</v>
      </c>
      <c r="H651">
        <v>0</v>
      </c>
      <c r="I651" t="s">
        <v>19</v>
      </c>
      <c r="J651">
        <v>1</v>
      </c>
      <c r="K651">
        <v>50</v>
      </c>
      <c r="L651" t="s">
        <v>20</v>
      </c>
      <c r="M651" t="s">
        <v>25</v>
      </c>
      <c r="N651" t="s">
        <v>22</v>
      </c>
      <c r="O651" t="s">
        <v>36</v>
      </c>
      <c r="P651">
        <v>1.64</v>
      </c>
      <c r="Q651" s="2" t="b">
        <f>FALSE()</f>
        <v>0</v>
      </c>
      <c r="R651">
        <v>0</v>
      </c>
    </row>
    <row r="652" spans="1:18" x14ac:dyDescent="0.25">
      <c r="A652">
        <v>200651</v>
      </c>
      <c r="B652">
        <v>51447</v>
      </c>
      <c r="C652" t="s">
        <v>18</v>
      </c>
      <c r="D652">
        <v>4096.92</v>
      </c>
      <c r="E652">
        <v>350</v>
      </c>
      <c r="F652">
        <v>1</v>
      </c>
      <c r="G652">
        <v>3</v>
      </c>
      <c r="H652">
        <v>0</v>
      </c>
      <c r="I652" t="s">
        <v>19</v>
      </c>
      <c r="J652">
        <v>1</v>
      </c>
      <c r="K652">
        <v>52</v>
      </c>
      <c r="L652" t="s">
        <v>20</v>
      </c>
      <c r="M652" t="s">
        <v>21</v>
      </c>
      <c r="N652" t="s">
        <v>22</v>
      </c>
      <c r="O652" t="s">
        <v>36</v>
      </c>
      <c r="P652">
        <v>0.95</v>
      </c>
      <c r="Q652" s="2" t="b">
        <f>FALSE()</f>
        <v>0</v>
      </c>
      <c r="R652">
        <v>1</v>
      </c>
    </row>
    <row r="653" spans="1:18" x14ac:dyDescent="0.25">
      <c r="A653">
        <v>200652</v>
      </c>
      <c r="B653">
        <v>53841</v>
      </c>
      <c r="C653" t="s">
        <v>18</v>
      </c>
      <c r="D653">
        <v>1736.54</v>
      </c>
      <c r="E653">
        <v>2451</v>
      </c>
      <c r="F653">
        <v>0</v>
      </c>
      <c r="G653">
        <v>3</v>
      </c>
      <c r="H653">
        <v>0</v>
      </c>
      <c r="I653" t="s">
        <v>33</v>
      </c>
      <c r="J653">
        <v>0</v>
      </c>
      <c r="K653">
        <v>83</v>
      </c>
      <c r="L653" t="s">
        <v>24</v>
      </c>
      <c r="M653" t="s">
        <v>35</v>
      </c>
      <c r="N653" t="s">
        <v>22</v>
      </c>
      <c r="O653" t="s">
        <v>27</v>
      </c>
      <c r="P653">
        <v>0.56000000000000005</v>
      </c>
      <c r="Q653" s="2" t="b">
        <f>FALSE()</f>
        <v>0</v>
      </c>
      <c r="R653">
        <v>0</v>
      </c>
    </row>
    <row r="654" spans="1:18" x14ac:dyDescent="0.25">
      <c r="A654">
        <v>200653</v>
      </c>
      <c r="B654">
        <v>53507</v>
      </c>
      <c r="C654" t="s">
        <v>18</v>
      </c>
      <c r="D654">
        <v>5427.93</v>
      </c>
      <c r="E654">
        <v>1202</v>
      </c>
      <c r="F654">
        <v>0</v>
      </c>
      <c r="G654">
        <v>4</v>
      </c>
      <c r="H654">
        <v>0</v>
      </c>
      <c r="I654" t="s">
        <v>19</v>
      </c>
      <c r="J654">
        <v>1</v>
      </c>
      <c r="K654">
        <v>40</v>
      </c>
      <c r="L654" t="s">
        <v>20</v>
      </c>
      <c r="M654" t="s">
        <v>29</v>
      </c>
      <c r="N654" t="s">
        <v>26</v>
      </c>
      <c r="O654" t="s">
        <v>27</v>
      </c>
      <c r="P654">
        <v>3.37</v>
      </c>
      <c r="Q654" s="2" t="b">
        <f>FALSE()</f>
        <v>0</v>
      </c>
      <c r="R654">
        <v>1</v>
      </c>
    </row>
    <row r="655" spans="1:18" x14ac:dyDescent="0.25">
      <c r="A655">
        <v>200654</v>
      </c>
      <c r="B655">
        <v>53490</v>
      </c>
      <c r="C655" t="s">
        <v>34</v>
      </c>
      <c r="D655">
        <v>360.37</v>
      </c>
      <c r="E655">
        <v>357</v>
      </c>
      <c r="F655">
        <v>2</v>
      </c>
      <c r="G655">
        <v>4</v>
      </c>
      <c r="H655">
        <v>0</v>
      </c>
      <c r="I655" t="s">
        <v>33</v>
      </c>
      <c r="J655">
        <v>0</v>
      </c>
      <c r="K655">
        <v>75</v>
      </c>
      <c r="L655" t="s">
        <v>20</v>
      </c>
      <c r="M655" t="s">
        <v>31</v>
      </c>
      <c r="N655" t="s">
        <v>22</v>
      </c>
      <c r="O655" t="s">
        <v>36</v>
      </c>
      <c r="P655">
        <v>3.67</v>
      </c>
      <c r="Q655" s="2" t="b">
        <f>FALSE()</f>
        <v>0</v>
      </c>
      <c r="R655">
        <v>0</v>
      </c>
    </row>
    <row r="656" spans="1:18" x14ac:dyDescent="0.25">
      <c r="A656">
        <v>200655</v>
      </c>
      <c r="B656">
        <v>53709</v>
      </c>
      <c r="C656" t="s">
        <v>34</v>
      </c>
      <c r="D656">
        <v>1494.67</v>
      </c>
      <c r="E656">
        <v>3478</v>
      </c>
      <c r="F656">
        <v>2</v>
      </c>
      <c r="G656">
        <v>11</v>
      </c>
      <c r="H656">
        <v>0</v>
      </c>
      <c r="I656" t="s">
        <v>19</v>
      </c>
      <c r="J656">
        <v>0</v>
      </c>
      <c r="K656">
        <v>39</v>
      </c>
      <c r="L656" t="s">
        <v>20</v>
      </c>
      <c r="M656" t="s">
        <v>29</v>
      </c>
      <c r="N656" t="s">
        <v>26</v>
      </c>
      <c r="O656" t="s">
        <v>36</v>
      </c>
      <c r="P656">
        <v>9.74</v>
      </c>
      <c r="Q656" s="2" t="b">
        <f>FALSE()</f>
        <v>0</v>
      </c>
      <c r="R656">
        <v>1</v>
      </c>
    </row>
    <row r="657" spans="1:18" x14ac:dyDescent="0.25">
      <c r="A657">
        <v>200656</v>
      </c>
      <c r="B657">
        <v>54239</v>
      </c>
      <c r="C657" t="s">
        <v>28</v>
      </c>
      <c r="D657">
        <v>780.46</v>
      </c>
      <c r="E657">
        <v>1503</v>
      </c>
      <c r="F657">
        <v>1</v>
      </c>
      <c r="G657">
        <v>4</v>
      </c>
      <c r="H657">
        <v>0</v>
      </c>
      <c r="I657" t="s">
        <v>19</v>
      </c>
      <c r="J657">
        <v>0</v>
      </c>
      <c r="K657">
        <v>73</v>
      </c>
      <c r="L657" t="s">
        <v>24</v>
      </c>
      <c r="M657" t="s">
        <v>37</v>
      </c>
      <c r="N657" t="s">
        <v>22</v>
      </c>
      <c r="O657" t="s">
        <v>27</v>
      </c>
      <c r="P657">
        <v>4.07</v>
      </c>
      <c r="Q657" s="2" t="b">
        <f>FALSE()</f>
        <v>0</v>
      </c>
      <c r="R657">
        <v>0</v>
      </c>
    </row>
    <row r="658" spans="1:18" x14ac:dyDescent="0.25">
      <c r="A658">
        <v>200657</v>
      </c>
      <c r="B658">
        <v>54428</v>
      </c>
      <c r="C658" t="s">
        <v>18</v>
      </c>
      <c r="D658">
        <v>1891.55</v>
      </c>
      <c r="E658">
        <v>2415</v>
      </c>
      <c r="F658">
        <v>1</v>
      </c>
      <c r="G658">
        <v>8</v>
      </c>
      <c r="H658">
        <v>0</v>
      </c>
      <c r="I658" t="s">
        <v>33</v>
      </c>
      <c r="J658">
        <v>1</v>
      </c>
      <c r="K658">
        <v>55</v>
      </c>
      <c r="L658" t="s">
        <v>38</v>
      </c>
      <c r="M658" t="s">
        <v>35</v>
      </c>
      <c r="N658" t="s">
        <v>30</v>
      </c>
      <c r="O658" t="s">
        <v>36</v>
      </c>
      <c r="P658">
        <v>3.72</v>
      </c>
      <c r="Q658" s="2" t="b">
        <f>FALSE()</f>
        <v>0</v>
      </c>
      <c r="R658">
        <v>1</v>
      </c>
    </row>
    <row r="659" spans="1:18" x14ac:dyDescent="0.25">
      <c r="A659">
        <v>200658</v>
      </c>
      <c r="B659">
        <v>51695</v>
      </c>
      <c r="C659" t="s">
        <v>18</v>
      </c>
      <c r="D659">
        <v>4315.34</v>
      </c>
      <c r="E659">
        <v>1133</v>
      </c>
      <c r="F659">
        <v>3</v>
      </c>
      <c r="G659">
        <v>2</v>
      </c>
      <c r="H659">
        <v>0</v>
      </c>
      <c r="I659" t="s">
        <v>33</v>
      </c>
      <c r="J659">
        <v>0</v>
      </c>
      <c r="K659">
        <v>74</v>
      </c>
      <c r="L659" t="s">
        <v>20</v>
      </c>
      <c r="M659" t="s">
        <v>35</v>
      </c>
      <c r="N659" t="s">
        <v>22</v>
      </c>
      <c r="O659" t="s">
        <v>27</v>
      </c>
      <c r="P659">
        <v>4.25</v>
      </c>
      <c r="Q659" s="2" t="b">
        <f>FALSE()</f>
        <v>0</v>
      </c>
      <c r="R659">
        <v>1</v>
      </c>
    </row>
    <row r="660" spans="1:18" x14ac:dyDescent="0.25">
      <c r="A660">
        <v>200659</v>
      </c>
      <c r="B660">
        <v>51169</v>
      </c>
      <c r="C660" t="s">
        <v>18</v>
      </c>
      <c r="D660">
        <v>5289.36</v>
      </c>
      <c r="E660">
        <v>1662</v>
      </c>
      <c r="F660">
        <v>0</v>
      </c>
      <c r="G660">
        <v>5</v>
      </c>
      <c r="H660">
        <v>0</v>
      </c>
      <c r="I660" t="s">
        <v>19</v>
      </c>
      <c r="J660">
        <v>0</v>
      </c>
      <c r="K660">
        <v>71</v>
      </c>
      <c r="L660" t="s">
        <v>20</v>
      </c>
      <c r="M660" t="s">
        <v>31</v>
      </c>
      <c r="N660" t="s">
        <v>30</v>
      </c>
      <c r="O660" t="s">
        <v>36</v>
      </c>
      <c r="P660">
        <v>5.41</v>
      </c>
      <c r="Q660" s="2" t="b">
        <f>FALSE()</f>
        <v>0</v>
      </c>
      <c r="R660">
        <v>1</v>
      </c>
    </row>
    <row r="661" spans="1:18" x14ac:dyDescent="0.25">
      <c r="A661">
        <v>200660</v>
      </c>
      <c r="B661">
        <v>51703</v>
      </c>
      <c r="C661" t="s">
        <v>28</v>
      </c>
      <c r="D661">
        <v>1802.91</v>
      </c>
      <c r="E661">
        <v>709</v>
      </c>
      <c r="F661">
        <v>0</v>
      </c>
      <c r="G661">
        <v>2</v>
      </c>
      <c r="H661">
        <v>0</v>
      </c>
      <c r="I661" t="s">
        <v>32</v>
      </c>
      <c r="J661">
        <v>1</v>
      </c>
      <c r="K661">
        <v>18</v>
      </c>
      <c r="L661" t="s">
        <v>24</v>
      </c>
      <c r="M661" t="s">
        <v>31</v>
      </c>
      <c r="N661" t="s">
        <v>30</v>
      </c>
      <c r="O661" t="s">
        <v>27</v>
      </c>
      <c r="P661">
        <v>2.61</v>
      </c>
      <c r="Q661" s="2" t="b">
        <f>FALSE()</f>
        <v>0</v>
      </c>
      <c r="R661">
        <v>0</v>
      </c>
    </row>
    <row r="662" spans="1:18" x14ac:dyDescent="0.25">
      <c r="A662">
        <v>200661</v>
      </c>
      <c r="B662">
        <v>55957</v>
      </c>
      <c r="C662" t="s">
        <v>18</v>
      </c>
      <c r="D662">
        <v>4504.32</v>
      </c>
      <c r="E662">
        <v>967</v>
      </c>
      <c r="F662">
        <v>3</v>
      </c>
      <c r="G662">
        <v>4</v>
      </c>
      <c r="H662">
        <v>0</v>
      </c>
      <c r="I662" t="s">
        <v>33</v>
      </c>
      <c r="J662">
        <v>0</v>
      </c>
      <c r="K662">
        <v>31</v>
      </c>
      <c r="L662" t="s">
        <v>38</v>
      </c>
      <c r="M662" t="s">
        <v>21</v>
      </c>
      <c r="N662" t="s">
        <v>30</v>
      </c>
      <c r="O662" t="s">
        <v>23</v>
      </c>
      <c r="P662">
        <v>2.79</v>
      </c>
      <c r="Q662" s="2" t="b">
        <f>FALSE()</f>
        <v>0</v>
      </c>
      <c r="R662">
        <v>1</v>
      </c>
    </row>
    <row r="663" spans="1:18" x14ac:dyDescent="0.25">
      <c r="A663">
        <v>200662</v>
      </c>
      <c r="B663">
        <v>54230</v>
      </c>
      <c r="C663" t="s">
        <v>34</v>
      </c>
      <c r="D663">
        <v>5079.62</v>
      </c>
      <c r="E663">
        <v>1416</v>
      </c>
      <c r="F663">
        <v>2</v>
      </c>
      <c r="G663">
        <v>3</v>
      </c>
      <c r="H663">
        <v>1</v>
      </c>
      <c r="I663" t="s">
        <v>33</v>
      </c>
      <c r="J663">
        <v>0</v>
      </c>
      <c r="K663">
        <v>76</v>
      </c>
      <c r="L663" t="s">
        <v>24</v>
      </c>
      <c r="M663" t="s">
        <v>21</v>
      </c>
      <c r="N663" t="s">
        <v>30</v>
      </c>
      <c r="O663" t="s">
        <v>36</v>
      </c>
      <c r="P663">
        <v>2.14</v>
      </c>
      <c r="Q663" s="2" t="b">
        <f>FALSE()</f>
        <v>0</v>
      </c>
      <c r="R663">
        <v>1</v>
      </c>
    </row>
    <row r="664" spans="1:18" x14ac:dyDescent="0.25">
      <c r="A664">
        <v>200663</v>
      </c>
      <c r="B664">
        <v>50918</v>
      </c>
      <c r="C664" t="s">
        <v>34</v>
      </c>
      <c r="D664">
        <v>3167.3</v>
      </c>
      <c r="E664">
        <v>3092</v>
      </c>
      <c r="F664">
        <v>2</v>
      </c>
      <c r="G664">
        <v>4</v>
      </c>
      <c r="H664">
        <v>1</v>
      </c>
      <c r="I664" t="s">
        <v>33</v>
      </c>
      <c r="J664">
        <v>0</v>
      </c>
      <c r="K664">
        <v>75</v>
      </c>
      <c r="L664" t="s">
        <v>20</v>
      </c>
      <c r="M664" t="s">
        <v>29</v>
      </c>
      <c r="N664" t="s">
        <v>30</v>
      </c>
      <c r="O664" t="s">
        <v>27</v>
      </c>
      <c r="P664">
        <v>0.2</v>
      </c>
      <c r="Q664" s="2" t="b">
        <f>FALSE()</f>
        <v>0</v>
      </c>
      <c r="R664">
        <v>0</v>
      </c>
    </row>
    <row r="665" spans="1:18" x14ac:dyDescent="0.25">
      <c r="A665">
        <v>200664</v>
      </c>
      <c r="B665">
        <v>51917</v>
      </c>
      <c r="C665" t="s">
        <v>34</v>
      </c>
      <c r="D665">
        <v>4217.29</v>
      </c>
      <c r="E665">
        <v>557</v>
      </c>
      <c r="F665">
        <v>0</v>
      </c>
      <c r="G665">
        <v>7</v>
      </c>
      <c r="H665">
        <v>0</v>
      </c>
      <c r="I665" t="s">
        <v>19</v>
      </c>
      <c r="J665">
        <v>0</v>
      </c>
      <c r="K665">
        <v>40</v>
      </c>
      <c r="L665" t="s">
        <v>20</v>
      </c>
      <c r="M665" t="s">
        <v>35</v>
      </c>
      <c r="N665" t="s">
        <v>26</v>
      </c>
      <c r="O665" t="s">
        <v>36</v>
      </c>
      <c r="P665">
        <v>0.47</v>
      </c>
      <c r="Q665" s="2" t="b">
        <f>FALSE()</f>
        <v>0</v>
      </c>
      <c r="R665">
        <v>1</v>
      </c>
    </row>
    <row r="666" spans="1:18" x14ac:dyDescent="0.25">
      <c r="A666">
        <v>200665</v>
      </c>
      <c r="B666">
        <v>52867</v>
      </c>
      <c r="C666" t="s">
        <v>34</v>
      </c>
      <c r="D666">
        <v>4304.99</v>
      </c>
      <c r="E666">
        <v>2944</v>
      </c>
      <c r="F666">
        <v>2</v>
      </c>
      <c r="G666">
        <v>6</v>
      </c>
      <c r="H666">
        <v>0</v>
      </c>
      <c r="I666" t="s">
        <v>19</v>
      </c>
      <c r="J666">
        <v>0</v>
      </c>
      <c r="K666">
        <v>28</v>
      </c>
      <c r="L666" t="s">
        <v>20</v>
      </c>
      <c r="M666" t="s">
        <v>21</v>
      </c>
      <c r="N666" t="s">
        <v>30</v>
      </c>
      <c r="O666" t="s">
        <v>36</v>
      </c>
      <c r="P666">
        <v>8.6999999999999993</v>
      </c>
      <c r="Q666" s="2" t="b">
        <f>FALSE()</f>
        <v>0</v>
      </c>
      <c r="R666">
        <v>1</v>
      </c>
    </row>
    <row r="667" spans="1:18" x14ac:dyDescent="0.25">
      <c r="A667">
        <v>200666</v>
      </c>
      <c r="B667">
        <v>55083</v>
      </c>
      <c r="C667" t="s">
        <v>18</v>
      </c>
      <c r="D667">
        <v>3016.62</v>
      </c>
      <c r="E667">
        <v>1347</v>
      </c>
      <c r="F667">
        <v>2</v>
      </c>
      <c r="G667">
        <v>2</v>
      </c>
      <c r="H667">
        <v>0</v>
      </c>
      <c r="I667" t="s">
        <v>33</v>
      </c>
      <c r="J667">
        <v>0</v>
      </c>
      <c r="K667">
        <v>79</v>
      </c>
      <c r="L667" t="s">
        <v>24</v>
      </c>
      <c r="M667" t="s">
        <v>25</v>
      </c>
      <c r="N667" t="s">
        <v>22</v>
      </c>
      <c r="O667" t="s">
        <v>36</v>
      </c>
      <c r="P667">
        <v>4.17</v>
      </c>
      <c r="Q667" s="2" t="b">
        <f>FALSE()</f>
        <v>0</v>
      </c>
      <c r="R667">
        <v>0</v>
      </c>
    </row>
    <row r="668" spans="1:18" x14ac:dyDescent="0.25">
      <c r="A668">
        <v>200667</v>
      </c>
      <c r="B668">
        <v>54192</v>
      </c>
      <c r="C668" t="s">
        <v>34</v>
      </c>
      <c r="D668">
        <v>614.37</v>
      </c>
      <c r="E668">
        <v>3323</v>
      </c>
      <c r="F668">
        <v>1</v>
      </c>
      <c r="G668">
        <v>7</v>
      </c>
      <c r="H668">
        <v>0</v>
      </c>
      <c r="I668" t="s">
        <v>33</v>
      </c>
      <c r="J668">
        <v>0</v>
      </c>
      <c r="K668">
        <v>42</v>
      </c>
      <c r="L668" t="s">
        <v>20</v>
      </c>
      <c r="M668" t="s">
        <v>29</v>
      </c>
      <c r="N668" t="s">
        <v>30</v>
      </c>
      <c r="O668" t="s">
        <v>27</v>
      </c>
      <c r="P668">
        <v>1.7</v>
      </c>
      <c r="Q668" s="2" t="b">
        <f>FALSE()</f>
        <v>0</v>
      </c>
      <c r="R668">
        <v>1</v>
      </c>
    </row>
    <row r="669" spans="1:18" x14ac:dyDescent="0.25">
      <c r="A669">
        <v>200668</v>
      </c>
      <c r="B669">
        <v>53753</v>
      </c>
      <c r="C669" t="s">
        <v>18</v>
      </c>
      <c r="D669">
        <v>2832.21</v>
      </c>
      <c r="E669">
        <v>1764</v>
      </c>
      <c r="F669">
        <v>2</v>
      </c>
      <c r="G669">
        <v>4</v>
      </c>
      <c r="H669">
        <v>1</v>
      </c>
      <c r="I669" t="s">
        <v>33</v>
      </c>
      <c r="J669">
        <v>0</v>
      </c>
      <c r="K669">
        <v>24</v>
      </c>
      <c r="L669" t="s">
        <v>24</v>
      </c>
      <c r="M669" t="s">
        <v>29</v>
      </c>
      <c r="N669" t="s">
        <v>26</v>
      </c>
      <c r="O669" t="s">
        <v>27</v>
      </c>
      <c r="P669">
        <v>4.01</v>
      </c>
      <c r="Q669" s="2" t="b">
        <f>FALSE()</f>
        <v>0</v>
      </c>
      <c r="R669">
        <v>0</v>
      </c>
    </row>
    <row r="670" spans="1:18" x14ac:dyDescent="0.25">
      <c r="A670">
        <v>200669</v>
      </c>
      <c r="B670">
        <v>52268</v>
      </c>
      <c r="C670" t="s">
        <v>18</v>
      </c>
      <c r="D670">
        <v>4751.41</v>
      </c>
      <c r="E670">
        <v>1289</v>
      </c>
      <c r="F670">
        <v>2</v>
      </c>
      <c r="G670">
        <v>5</v>
      </c>
      <c r="H670">
        <v>0</v>
      </c>
      <c r="I670" t="s">
        <v>33</v>
      </c>
      <c r="J670">
        <v>0</v>
      </c>
      <c r="K670">
        <v>24</v>
      </c>
      <c r="L670" t="s">
        <v>20</v>
      </c>
      <c r="M670" t="s">
        <v>25</v>
      </c>
      <c r="N670" t="s">
        <v>30</v>
      </c>
      <c r="O670" t="s">
        <v>23</v>
      </c>
      <c r="P670">
        <v>1.43</v>
      </c>
      <c r="Q670" s="2" t="b">
        <f>FALSE()</f>
        <v>0</v>
      </c>
      <c r="R670">
        <v>1</v>
      </c>
    </row>
    <row r="671" spans="1:18" x14ac:dyDescent="0.25">
      <c r="A671">
        <v>200670</v>
      </c>
      <c r="B671">
        <v>53560</v>
      </c>
      <c r="C671" t="s">
        <v>18</v>
      </c>
      <c r="D671">
        <v>1353.61</v>
      </c>
      <c r="E671">
        <v>1138</v>
      </c>
      <c r="F671">
        <v>0</v>
      </c>
      <c r="G671">
        <v>4</v>
      </c>
      <c r="H671">
        <v>0</v>
      </c>
      <c r="I671" t="s">
        <v>33</v>
      </c>
      <c r="J671">
        <v>0</v>
      </c>
      <c r="K671">
        <v>70</v>
      </c>
      <c r="L671" t="s">
        <v>20</v>
      </c>
      <c r="M671" t="s">
        <v>35</v>
      </c>
      <c r="N671" t="s">
        <v>30</v>
      </c>
      <c r="O671" t="s">
        <v>27</v>
      </c>
      <c r="P671">
        <v>1.28</v>
      </c>
      <c r="Q671" s="2" t="b">
        <f>FALSE()</f>
        <v>0</v>
      </c>
      <c r="R671">
        <v>0</v>
      </c>
    </row>
    <row r="672" spans="1:18" x14ac:dyDescent="0.25">
      <c r="A672">
        <v>200671</v>
      </c>
      <c r="B672">
        <v>52202</v>
      </c>
      <c r="C672" t="s">
        <v>18</v>
      </c>
      <c r="D672">
        <v>1209.06</v>
      </c>
      <c r="E672">
        <v>2853</v>
      </c>
      <c r="F672">
        <v>3</v>
      </c>
      <c r="G672">
        <v>4</v>
      </c>
      <c r="H672">
        <v>0</v>
      </c>
      <c r="I672" t="s">
        <v>33</v>
      </c>
      <c r="J672">
        <v>0</v>
      </c>
      <c r="K672">
        <v>30</v>
      </c>
      <c r="L672" t="s">
        <v>20</v>
      </c>
      <c r="M672" t="s">
        <v>29</v>
      </c>
      <c r="N672" t="s">
        <v>26</v>
      </c>
      <c r="O672" t="s">
        <v>23</v>
      </c>
      <c r="P672">
        <v>1.72</v>
      </c>
      <c r="Q672" s="2" t="b">
        <f>FALSE()</f>
        <v>0</v>
      </c>
      <c r="R672">
        <v>1</v>
      </c>
    </row>
    <row r="673" spans="1:18" x14ac:dyDescent="0.25">
      <c r="A673">
        <v>200672</v>
      </c>
      <c r="B673">
        <v>55898</v>
      </c>
      <c r="C673" t="s">
        <v>18</v>
      </c>
      <c r="D673">
        <v>3180.19</v>
      </c>
      <c r="E673">
        <v>183</v>
      </c>
      <c r="F673">
        <v>1</v>
      </c>
      <c r="G673">
        <v>5</v>
      </c>
      <c r="H673">
        <v>0</v>
      </c>
      <c r="I673" t="s">
        <v>32</v>
      </c>
      <c r="J673">
        <v>1</v>
      </c>
      <c r="K673">
        <v>42</v>
      </c>
      <c r="L673" t="s">
        <v>24</v>
      </c>
      <c r="M673" t="s">
        <v>29</v>
      </c>
      <c r="N673" t="s">
        <v>26</v>
      </c>
      <c r="O673" t="s">
        <v>27</v>
      </c>
      <c r="P673">
        <v>6.03</v>
      </c>
      <c r="Q673" s="2" t="b">
        <f>FALSE()</f>
        <v>0</v>
      </c>
      <c r="R673">
        <v>0</v>
      </c>
    </row>
    <row r="674" spans="1:18" x14ac:dyDescent="0.25">
      <c r="A674">
        <v>200673</v>
      </c>
      <c r="B674">
        <v>51241</v>
      </c>
      <c r="C674" t="s">
        <v>34</v>
      </c>
      <c r="D674">
        <v>1712</v>
      </c>
      <c r="E674">
        <v>2447</v>
      </c>
      <c r="F674">
        <v>0</v>
      </c>
      <c r="G674">
        <v>2</v>
      </c>
      <c r="H674">
        <v>0</v>
      </c>
      <c r="I674" t="s">
        <v>19</v>
      </c>
      <c r="J674">
        <v>1</v>
      </c>
      <c r="K674">
        <v>62</v>
      </c>
      <c r="L674" t="s">
        <v>24</v>
      </c>
      <c r="M674" t="s">
        <v>31</v>
      </c>
      <c r="N674" t="s">
        <v>30</v>
      </c>
      <c r="O674" t="s">
        <v>23</v>
      </c>
      <c r="P674">
        <v>5.37</v>
      </c>
      <c r="Q674" s="2" t="b">
        <f>FALSE()</f>
        <v>0</v>
      </c>
      <c r="R674">
        <v>0</v>
      </c>
    </row>
    <row r="675" spans="1:18" x14ac:dyDescent="0.25">
      <c r="A675">
        <v>200674</v>
      </c>
      <c r="B675">
        <v>51960</v>
      </c>
      <c r="C675" t="s">
        <v>28</v>
      </c>
      <c r="D675">
        <v>2789.27</v>
      </c>
      <c r="E675">
        <v>2911</v>
      </c>
      <c r="F675">
        <v>0</v>
      </c>
      <c r="G675">
        <v>6</v>
      </c>
      <c r="H675">
        <v>1</v>
      </c>
      <c r="I675" t="s">
        <v>33</v>
      </c>
      <c r="J675">
        <v>0</v>
      </c>
      <c r="K675">
        <v>44</v>
      </c>
      <c r="L675" t="s">
        <v>24</v>
      </c>
      <c r="M675" t="s">
        <v>25</v>
      </c>
      <c r="N675" t="s">
        <v>22</v>
      </c>
      <c r="O675" t="s">
        <v>36</v>
      </c>
      <c r="P675">
        <v>3.82</v>
      </c>
      <c r="Q675" s="2" t="b">
        <f>FALSE()</f>
        <v>0</v>
      </c>
      <c r="R675">
        <v>0</v>
      </c>
    </row>
    <row r="676" spans="1:18" x14ac:dyDescent="0.25">
      <c r="A676">
        <v>200675</v>
      </c>
      <c r="B676">
        <v>55399</v>
      </c>
      <c r="C676" t="s">
        <v>18</v>
      </c>
      <c r="D676">
        <v>1797.36</v>
      </c>
      <c r="E676">
        <v>708</v>
      </c>
      <c r="F676">
        <v>1</v>
      </c>
      <c r="G676">
        <v>3</v>
      </c>
      <c r="H676">
        <v>1</v>
      </c>
      <c r="I676" t="s">
        <v>33</v>
      </c>
      <c r="J676">
        <v>0</v>
      </c>
      <c r="K676">
        <v>26</v>
      </c>
      <c r="L676" t="s">
        <v>20</v>
      </c>
      <c r="M676" t="s">
        <v>35</v>
      </c>
      <c r="N676" t="s">
        <v>22</v>
      </c>
      <c r="O676" t="s">
        <v>36</v>
      </c>
      <c r="P676">
        <v>10.119999999999999</v>
      </c>
      <c r="Q676" s="2" t="b">
        <f>FALSE()</f>
        <v>0</v>
      </c>
      <c r="R676">
        <v>0</v>
      </c>
    </row>
    <row r="677" spans="1:18" x14ac:dyDescent="0.25">
      <c r="A677">
        <v>200676</v>
      </c>
      <c r="B677">
        <v>54006</v>
      </c>
      <c r="C677" t="s">
        <v>18</v>
      </c>
      <c r="D677">
        <v>765.16</v>
      </c>
      <c r="E677">
        <v>3251</v>
      </c>
      <c r="F677">
        <v>1</v>
      </c>
      <c r="G677">
        <v>4</v>
      </c>
      <c r="H677">
        <v>0</v>
      </c>
      <c r="I677" t="s">
        <v>19</v>
      </c>
      <c r="J677">
        <v>0</v>
      </c>
      <c r="K677">
        <v>19</v>
      </c>
      <c r="L677" t="s">
        <v>24</v>
      </c>
      <c r="M677" t="s">
        <v>29</v>
      </c>
      <c r="N677" t="s">
        <v>30</v>
      </c>
      <c r="O677" t="s">
        <v>23</v>
      </c>
      <c r="P677">
        <v>23.09</v>
      </c>
      <c r="Q677" s="2" t="b">
        <f>FALSE()</f>
        <v>0</v>
      </c>
      <c r="R677">
        <v>0</v>
      </c>
    </row>
    <row r="678" spans="1:18" x14ac:dyDescent="0.25">
      <c r="A678">
        <v>200677</v>
      </c>
      <c r="B678">
        <v>51137</v>
      </c>
      <c r="C678" t="s">
        <v>18</v>
      </c>
      <c r="D678">
        <v>5240.8900000000003</v>
      </c>
      <c r="E678">
        <v>2488</v>
      </c>
      <c r="F678">
        <v>2</v>
      </c>
      <c r="G678">
        <v>5</v>
      </c>
      <c r="H678">
        <v>0</v>
      </c>
      <c r="I678" t="s">
        <v>19</v>
      </c>
      <c r="J678">
        <v>1</v>
      </c>
      <c r="K678">
        <v>70</v>
      </c>
      <c r="L678" t="s">
        <v>24</v>
      </c>
      <c r="M678" t="s">
        <v>21</v>
      </c>
      <c r="N678" t="s">
        <v>22</v>
      </c>
      <c r="O678" t="s">
        <v>23</v>
      </c>
      <c r="P678">
        <v>2.56</v>
      </c>
      <c r="Q678" s="2" t="b">
        <f>FALSE()</f>
        <v>0</v>
      </c>
      <c r="R678">
        <v>1</v>
      </c>
    </row>
    <row r="679" spans="1:18" x14ac:dyDescent="0.25">
      <c r="A679">
        <v>200678</v>
      </c>
      <c r="B679">
        <v>50231</v>
      </c>
      <c r="C679" t="s">
        <v>34</v>
      </c>
      <c r="D679">
        <v>5328.61</v>
      </c>
      <c r="E679">
        <v>747</v>
      </c>
      <c r="F679">
        <v>1</v>
      </c>
      <c r="G679">
        <v>1</v>
      </c>
      <c r="H679">
        <v>1</v>
      </c>
      <c r="I679" t="s">
        <v>19</v>
      </c>
      <c r="J679">
        <v>0</v>
      </c>
      <c r="K679">
        <v>55</v>
      </c>
      <c r="L679" t="s">
        <v>20</v>
      </c>
      <c r="M679" t="s">
        <v>25</v>
      </c>
      <c r="N679" t="s">
        <v>30</v>
      </c>
      <c r="O679" t="s">
        <v>27</v>
      </c>
      <c r="P679">
        <v>6.28</v>
      </c>
      <c r="Q679" s="2" t="b">
        <f>FALSE()</f>
        <v>0</v>
      </c>
      <c r="R679">
        <v>1</v>
      </c>
    </row>
    <row r="680" spans="1:18" x14ac:dyDescent="0.25">
      <c r="A680">
        <v>200679</v>
      </c>
      <c r="B680">
        <v>51405</v>
      </c>
      <c r="C680" t="s">
        <v>28</v>
      </c>
      <c r="D680">
        <v>2031.28</v>
      </c>
      <c r="E680">
        <v>876</v>
      </c>
      <c r="F680">
        <v>1</v>
      </c>
      <c r="G680">
        <v>4</v>
      </c>
      <c r="H680">
        <v>0</v>
      </c>
      <c r="I680" t="s">
        <v>33</v>
      </c>
      <c r="J680">
        <v>0</v>
      </c>
      <c r="K680">
        <v>26</v>
      </c>
      <c r="L680" t="s">
        <v>24</v>
      </c>
      <c r="M680" t="s">
        <v>21</v>
      </c>
      <c r="N680" t="s">
        <v>26</v>
      </c>
      <c r="O680" t="s">
        <v>27</v>
      </c>
      <c r="P680">
        <v>3.63</v>
      </c>
      <c r="Q680" s="2" t="b">
        <f>FALSE()</f>
        <v>0</v>
      </c>
      <c r="R680">
        <v>0</v>
      </c>
    </row>
    <row r="681" spans="1:18" x14ac:dyDescent="0.25">
      <c r="A681">
        <v>200680</v>
      </c>
      <c r="B681">
        <v>53584</v>
      </c>
      <c r="C681" t="s">
        <v>18</v>
      </c>
      <c r="D681">
        <v>2641.49</v>
      </c>
      <c r="E681">
        <v>2773</v>
      </c>
      <c r="F681">
        <v>2</v>
      </c>
      <c r="G681">
        <v>2</v>
      </c>
      <c r="H681">
        <v>0</v>
      </c>
      <c r="I681" t="s">
        <v>33</v>
      </c>
      <c r="J681">
        <v>0</v>
      </c>
      <c r="K681">
        <v>37</v>
      </c>
      <c r="L681" t="s">
        <v>24</v>
      </c>
      <c r="M681" t="s">
        <v>37</v>
      </c>
      <c r="N681" t="s">
        <v>26</v>
      </c>
      <c r="O681" t="s">
        <v>36</v>
      </c>
      <c r="P681">
        <v>8.31</v>
      </c>
      <c r="Q681" s="2" t="b">
        <f>FALSE()</f>
        <v>0</v>
      </c>
      <c r="R681">
        <v>0</v>
      </c>
    </row>
    <row r="682" spans="1:18" x14ac:dyDescent="0.25">
      <c r="A682">
        <v>200681</v>
      </c>
      <c r="B682">
        <v>52489</v>
      </c>
      <c r="C682" t="s">
        <v>28</v>
      </c>
      <c r="D682">
        <v>5988.79</v>
      </c>
      <c r="E682">
        <v>570</v>
      </c>
      <c r="F682">
        <v>0</v>
      </c>
      <c r="G682">
        <v>3</v>
      </c>
      <c r="H682">
        <v>1</v>
      </c>
      <c r="I682" t="s">
        <v>33</v>
      </c>
      <c r="J682">
        <v>1</v>
      </c>
      <c r="K682">
        <v>23</v>
      </c>
      <c r="L682" t="s">
        <v>24</v>
      </c>
      <c r="M682" t="s">
        <v>29</v>
      </c>
      <c r="N682" t="s">
        <v>22</v>
      </c>
      <c r="O682" t="s">
        <v>27</v>
      </c>
      <c r="P682">
        <v>1.1399999999999999</v>
      </c>
      <c r="Q682" s="2" t="b">
        <f>FALSE()</f>
        <v>0</v>
      </c>
      <c r="R682">
        <v>1</v>
      </c>
    </row>
    <row r="683" spans="1:18" x14ac:dyDescent="0.25">
      <c r="A683">
        <v>200682</v>
      </c>
      <c r="B683">
        <v>55674</v>
      </c>
      <c r="C683" t="s">
        <v>18</v>
      </c>
      <c r="D683">
        <v>758.49</v>
      </c>
      <c r="E683">
        <v>316</v>
      </c>
      <c r="F683">
        <v>2</v>
      </c>
      <c r="G683">
        <v>6</v>
      </c>
      <c r="H683">
        <v>1</v>
      </c>
      <c r="I683" t="s">
        <v>32</v>
      </c>
      <c r="J683">
        <v>0</v>
      </c>
      <c r="K683">
        <v>41</v>
      </c>
      <c r="L683" t="s">
        <v>20</v>
      </c>
      <c r="M683" t="s">
        <v>31</v>
      </c>
      <c r="N683" t="s">
        <v>30</v>
      </c>
      <c r="O683" t="s">
        <v>36</v>
      </c>
      <c r="P683">
        <v>4.4400000000000004</v>
      </c>
      <c r="Q683" s="2" t="b">
        <f>FALSE()</f>
        <v>0</v>
      </c>
      <c r="R683">
        <v>0</v>
      </c>
    </row>
    <row r="684" spans="1:18" x14ac:dyDescent="0.25">
      <c r="A684">
        <v>200683</v>
      </c>
      <c r="B684">
        <v>50223</v>
      </c>
      <c r="C684" t="s">
        <v>18</v>
      </c>
      <c r="D684">
        <v>11132.05</v>
      </c>
      <c r="E684">
        <v>3245</v>
      </c>
      <c r="F684">
        <v>1</v>
      </c>
      <c r="G684">
        <v>2</v>
      </c>
      <c r="H684">
        <v>0</v>
      </c>
      <c r="I684" t="s">
        <v>33</v>
      </c>
      <c r="J684">
        <v>0</v>
      </c>
      <c r="K684">
        <v>38</v>
      </c>
      <c r="L684" t="s">
        <v>20</v>
      </c>
      <c r="M684" t="s">
        <v>31</v>
      </c>
      <c r="N684" t="s">
        <v>30</v>
      </c>
      <c r="O684" t="s">
        <v>36</v>
      </c>
      <c r="P684">
        <v>0.53</v>
      </c>
      <c r="Q684" s="2" t="b">
        <f>TRUE()</f>
        <v>1</v>
      </c>
      <c r="R684">
        <v>1</v>
      </c>
    </row>
    <row r="685" spans="1:18" x14ac:dyDescent="0.25">
      <c r="A685">
        <v>200684</v>
      </c>
      <c r="B685">
        <v>53936</v>
      </c>
      <c r="C685" t="s">
        <v>28</v>
      </c>
      <c r="D685">
        <v>3113.22</v>
      </c>
      <c r="E685">
        <v>2554</v>
      </c>
      <c r="F685">
        <v>1</v>
      </c>
      <c r="G685">
        <v>1</v>
      </c>
      <c r="H685">
        <v>0</v>
      </c>
      <c r="I685" t="s">
        <v>19</v>
      </c>
      <c r="J685">
        <v>0</v>
      </c>
      <c r="K685">
        <v>64</v>
      </c>
      <c r="L685" t="s">
        <v>20</v>
      </c>
      <c r="M685" t="s">
        <v>25</v>
      </c>
      <c r="N685" t="s">
        <v>26</v>
      </c>
      <c r="O685" t="s">
        <v>36</v>
      </c>
      <c r="P685">
        <v>1.76</v>
      </c>
      <c r="Q685" s="2" t="b">
        <f>FALSE()</f>
        <v>0</v>
      </c>
      <c r="R685">
        <v>0</v>
      </c>
    </row>
    <row r="686" spans="1:18" x14ac:dyDescent="0.25">
      <c r="A686">
        <v>200685</v>
      </c>
      <c r="B686">
        <v>52409</v>
      </c>
      <c r="C686" t="s">
        <v>18</v>
      </c>
      <c r="D686">
        <v>667.35</v>
      </c>
      <c r="E686">
        <v>1026</v>
      </c>
      <c r="F686">
        <v>4</v>
      </c>
      <c r="G686">
        <v>7</v>
      </c>
      <c r="H686">
        <v>0</v>
      </c>
      <c r="I686" t="s">
        <v>32</v>
      </c>
      <c r="J686">
        <v>0</v>
      </c>
      <c r="K686">
        <v>54</v>
      </c>
      <c r="L686" t="s">
        <v>20</v>
      </c>
      <c r="M686" t="s">
        <v>21</v>
      </c>
      <c r="N686" t="s">
        <v>26</v>
      </c>
      <c r="O686" t="s">
        <v>36</v>
      </c>
      <c r="P686">
        <v>0.01</v>
      </c>
      <c r="Q686" s="2" t="b">
        <f>FALSE()</f>
        <v>0</v>
      </c>
      <c r="R686">
        <v>1</v>
      </c>
    </row>
    <row r="687" spans="1:18" x14ac:dyDescent="0.25">
      <c r="A687">
        <v>200686</v>
      </c>
      <c r="B687">
        <v>52057</v>
      </c>
      <c r="C687" t="s">
        <v>34</v>
      </c>
      <c r="D687">
        <v>994.64</v>
      </c>
      <c r="E687">
        <v>479</v>
      </c>
      <c r="F687">
        <v>3</v>
      </c>
      <c r="G687">
        <v>6</v>
      </c>
      <c r="H687">
        <v>0</v>
      </c>
      <c r="I687" t="s">
        <v>19</v>
      </c>
      <c r="J687">
        <v>1</v>
      </c>
      <c r="K687">
        <v>39</v>
      </c>
      <c r="L687" t="s">
        <v>20</v>
      </c>
      <c r="M687" t="s">
        <v>25</v>
      </c>
      <c r="N687" t="s">
        <v>26</v>
      </c>
      <c r="O687" t="s">
        <v>36</v>
      </c>
      <c r="P687">
        <v>1.77</v>
      </c>
      <c r="Q687" s="2" t="b">
        <f>FALSE()</f>
        <v>0</v>
      </c>
      <c r="R687">
        <v>1</v>
      </c>
    </row>
    <row r="688" spans="1:18" x14ac:dyDescent="0.25">
      <c r="A688">
        <v>200687</v>
      </c>
      <c r="B688">
        <v>52843</v>
      </c>
      <c r="C688" t="s">
        <v>34</v>
      </c>
      <c r="D688">
        <v>890.46</v>
      </c>
      <c r="E688">
        <v>1736</v>
      </c>
      <c r="F688">
        <v>0</v>
      </c>
      <c r="G688">
        <v>6</v>
      </c>
      <c r="H688">
        <v>1</v>
      </c>
      <c r="I688" t="s">
        <v>19</v>
      </c>
      <c r="J688">
        <v>0</v>
      </c>
      <c r="K688">
        <v>22</v>
      </c>
      <c r="L688" t="s">
        <v>24</v>
      </c>
      <c r="M688" t="s">
        <v>29</v>
      </c>
      <c r="N688" t="s">
        <v>22</v>
      </c>
      <c r="O688" t="s">
        <v>27</v>
      </c>
      <c r="P688">
        <v>3.87</v>
      </c>
      <c r="Q688" s="2" t="b">
        <f>FALSE()</f>
        <v>0</v>
      </c>
      <c r="R688">
        <v>0</v>
      </c>
    </row>
    <row r="689" spans="1:18" x14ac:dyDescent="0.25">
      <c r="A689">
        <v>200688</v>
      </c>
      <c r="B689">
        <v>51489</v>
      </c>
      <c r="C689" t="s">
        <v>18</v>
      </c>
      <c r="D689">
        <v>2400.63</v>
      </c>
      <c r="E689">
        <v>1817</v>
      </c>
      <c r="F689">
        <v>2</v>
      </c>
      <c r="G689">
        <v>2</v>
      </c>
      <c r="H689">
        <v>0</v>
      </c>
      <c r="I689" t="s">
        <v>33</v>
      </c>
      <c r="J689">
        <v>0</v>
      </c>
      <c r="K689">
        <v>72</v>
      </c>
      <c r="L689" t="s">
        <v>24</v>
      </c>
      <c r="M689" t="s">
        <v>29</v>
      </c>
      <c r="N689" t="s">
        <v>30</v>
      </c>
      <c r="O689" t="s">
        <v>23</v>
      </c>
      <c r="P689">
        <v>8.0500000000000007</v>
      </c>
      <c r="Q689" s="2" t="b">
        <f>FALSE()</f>
        <v>0</v>
      </c>
      <c r="R689">
        <v>0</v>
      </c>
    </row>
    <row r="690" spans="1:18" x14ac:dyDescent="0.25">
      <c r="A690">
        <v>200689</v>
      </c>
      <c r="B690">
        <v>50071</v>
      </c>
      <c r="C690" t="s">
        <v>34</v>
      </c>
      <c r="D690">
        <v>2103.92</v>
      </c>
      <c r="E690">
        <v>2175</v>
      </c>
      <c r="F690">
        <v>0</v>
      </c>
      <c r="G690">
        <v>6</v>
      </c>
      <c r="H690">
        <v>1</v>
      </c>
      <c r="I690" t="s">
        <v>33</v>
      </c>
      <c r="J690">
        <v>0</v>
      </c>
      <c r="K690">
        <v>80</v>
      </c>
      <c r="L690" t="s">
        <v>20</v>
      </c>
      <c r="M690" t="s">
        <v>25</v>
      </c>
      <c r="N690" t="s">
        <v>22</v>
      </c>
      <c r="O690" t="s">
        <v>27</v>
      </c>
      <c r="P690">
        <v>6.22</v>
      </c>
      <c r="Q690" s="2" t="b">
        <f>FALSE()</f>
        <v>0</v>
      </c>
      <c r="R690">
        <v>0</v>
      </c>
    </row>
    <row r="691" spans="1:18" x14ac:dyDescent="0.25">
      <c r="A691">
        <v>200690</v>
      </c>
      <c r="B691">
        <v>52986</v>
      </c>
      <c r="C691" t="s">
        <v>34</v>
      </c>
      <c r="D691">
        <v>3905.53</v>
      </c>
      <c r="E691">
        <v>274</v>
      </c>
      <c r="F691">
        <v>1</v>
      </c>
      <c r="G691">
        <v>4</v>
      </c>
      <c r="H691">
        <v>0</v>
      </c>
      <c r="I691" t="s">
        <v>33</v>
      </c>
      <c r="J691">
        <v>1</v>
      </c>
      <c r="K691">
        <v>18</v>
      </c>
      <c r="L691" t="s">
        <v>20</v>
      </c>
      <c r="M691" t="s">
        <v>37</v>
      </c>
      <c r="N691" t="s">
        <v>30</v>
      </c>
      <c r="O691" t="s">
        <v>23</v>
      </c>
      <c r="P691">
        <v>2.1</v>
      </c>
      <c r="Q691" s="2" t="b">
        <f>FALSE()</f>
        <v>0</v>
      </c>
      <c r="R691">
        <v>1</v>
      </c>
    </row>
    <row r="692" spans="1:18" x14ac:dyDescent="0.25">
      <c r="A692">
        <v>200691</v>
      </c>
      <c r="B692">
        <v>51339</v>
      </c>
      <c r="C692" t="s">
        <v>34</v>
      </c>
      <c r="D692">
        <v>1684.83</v>
      </c>
      <c r="E692">
        <v>631</v>
      </c>
      <c r="F692">
        <v>1</v>
      </c>
      <c r="G692">
        <v>7</v>
      </c>
      <c r="H692">
        <v>0</v>
      </c>
      <c r="I692" t="s">
        <v>33</v>
      </c>
      <c r="J692">
        <v>0</v>
      </c>
      <c r="K692">
        <v>69</v>
      </c>
      <c r="L692" t="s">
        <v>20</v>
      </c>
      <c r="M692" t="s">
        <v>21</v>
      </c>
      <c r="N692" t="s">
        <v>30</v>
      </c>
      <c r="O692" t="s">
        <v>36</v>
      </c>
      <c r="P692">
        <v>7.59</v>
      </c>
      <c r="Q692" s="2" t="b">
        <f>FALSE()</f>
        <v>0</v>
      </c>
      <c r="R692">
        <v>1</v>
      </c>
    </row>
    <row r="693" spans="1:18" x14ac:dyDescent="0.25">
      <c r="A693">
        <v>200692</v>
      </c>
      <c r="B693">
        <v>53745</v>
      </c>
      <c r="C693" t="s">
        <v>34</v>
      </c>
      <c r="D693">
        <v>1606.46</v>
      </c>
      <c r="E693">
        <v>3011</v>
      </c>
      <c r="F693">
        <v>4</v>
      </c>
      <c r="G693">
        <v>5</v>
      </c>
      <c r="H693">
        <v>1</v>
      </c>
      <c r="I693" t="s">
        <v>33</v>
      </c>
      <c r="J693">
        <v>1</v>
      </c>
      <c r="K693">
        <v>84</v>
      </c>
      <c r="L693" t="s">
        <v>24</v>
      </c>
      <c r="M693" t="s">
        <v>37</v>
      </c>
      <c r="N693" t="s">
        <v>30</v>
      </c>
      <c r="O693" t="s">
        <v>23</v>
      </c>
      <c r="P693">
        <v>2.14</v>
      </c>
      <c r="Q693" s="2" t="b">
        <f>FALSE()</f>
        <v>0</v>
      </c>
      <c r="R693">
        <v>1</v>
      </c>
    </row>
    <row r="694" spans="1:18" x14ac:dyDescent="0.25">
      <c r="A694">
        <v>200693</v>
      </c>
      <c r="B694">
        <v>53391</v>
      </c>
      <c r="C694" t="s">
        <v>34</v>
      </c>
      <c r="D694">
        <v>2138.4699999999998</v>
      </c>
      <c r="E694">
        <v>1185</v>
      </c>
      <c r="F694">
        <v>1</v>
      </c>
      <c r="G694">
        <v>4</v>
      </c>
      <c r="H694">
        <v>1</v>
      </c>
      <c r="I694" t="s">
        <v>32</v>
      </c>
      <c r="J694">
        <v>0</v>
      </c>
      <c r="K694">
        <v>35</v>
      </c>
      <c r="L694" t="s">
        <v>24</v>
      </c>
      <c r="M694" t="s">
        <v>37</v>
      </c>
      <c r="N694" t="s">
        <v>30</v>
      </c>
      <c r="O694" t="s">
        <v>36</v>
      </c>
      <c r="P694">
        <v>4.1900000000000004</v>
      </c>
      <c r="Q694" s="2" t="b">
        <f>FALSE()</f>
        <v>0</v>
      </c>
      <c r="R694">
        <v>0</v>
      </c>
    </row>
    <row r="695" spans="1:18" x14ac:dyDescent="0.25">
      <c r="A695">
        <v>200694</v>
      </c>
      <c r="B695">
        <v>52549</v>
      </c>
      <c r="C695" t="s">
        <v>18</v>
      </c>
      <c r="D695">
        <v>1077.3900000000001</v>
      </c>
      <c r="E695">
        <v>3020</v>
      </c>
      <c r="F695">
        <v>0</v>
      </c>
      <c r="G695">
        <v>3</v>
      </c>
      <c r="H695">
        <v>0</v>
      </c>
      <c r="I695" t="s">
        <v>19</v>
      </c>
      <c r="J695">
        <v>0</v>
      </c>
      <c r="K695">
        <v>38</v>
      </c>
      <c r="L695" t="s">
        <v>24</v>
      </c>
      <c r="M695" t="s">
        <v>35</v>
      </c>
      <c r="N695" t="s">
        <v>26</v>
      </c>
      <c r="O695" t="s">
        <v>36</v>
      </c>
      <c r="P695">
        <v>0.68</v>
      </c>
      <c r="Q695" s="2" t="b">
        <f>FALSE()</f>
        <v>0</v>
      </c>
      <c r="R695">
        <v>0</v>
      </c>
    </row>
    <row r="696" spans="1:18" x14ac:dyDescent="0.25">
      <c r="A696">
        <v>200695</v>
      </c>
      <c r="B696">
        <v>55881</v>
      </c>
      <c r="C696" t="s">
        <v>34</v>
      </c>
      <c r="D696">
        <v>3142.4</v>
      </c>
      <c r="E696">
        <v>221</v>
      </c>
      <c r="F696">
        <v>2</v>
      </c>
      <c r="G696">
        <v>2</v>
      </c>
      <c r="H696">
        <v>0</v>
      </c>
      <c r="I696" t="s">
        <v>33</v>
      </c>
      <c r="J696">
        <v>1</v>
      </c>
      <c r="K696">
        <v>26</v>
      </c>
      <c r="L696" t="s">
        <v>20</v>
      </c>
      <c r="M696" t="s">
        <v>37</v>
      </c>
      <c r="N696" t="s">
        <v>22</v>
      </c>
      <c r="O696" t="s">
        <v>23</v>
      </c>
      <c r="P696">
        <v>1.85</v>
      </c>
      <c r="Q696" s="2" t="b">
        <f>FALSE()</f>
        <v>0</v>
      </c>
      <c r="R696">
        <v>0</v>
      </c>
    </row>
    <row r="697" spans="1:18" x14ac:dyDescent="0.25">
      <c r="A697">
        <v>200696</v>
      </c>
      <c r="B697">
        <v>52909</v>
      </c>
      <c r="C697" t="s">
        <v>18</v>
      </c>
      <c r="D697">
        <v>2162.96</v>
      </c>
      <c r="E697">
        <v>1612</v>
      </c>
      <c r="F697">
        <v>1</v>
      </c>
      <c r="G697">
        <v>2</v>
      </c>
      <c r="H697">
        <v>0</v>
      </c>
      <c r="I697" t="s">
        <v>33</v>
      </c>
      <c r="J697">
        <v>0</v>
      </c>
      <c r="K697">
        <v>40</v>
      </c>
      <c r="L697" t="s">
        <v>20</v>
      </c>
      <c r="M697" t="s">
        <v>31</v>
      </c>
      <c r="N697" t="s">
        <v>22</v>
      </c>
      <c r="O697" t="s">
        <v>36</v>
      </c>
      <c r="P697">
        <v>1.93</v>
      </c>
      <c r="Q697" s="2" t="b">
        <f>FALSE()</f>
        <v>0</v>
      </c>
      <c r="R697">
        <v>0</v>
      </c>
    </row>
    <row r="698" spans="1:18" x14ac:dyDescent="0.25">
      <c r="A698">
        <v>200697</v>
      </c>
      <c r="B698">
        <v>51039</v>
      </c>
      <c r="C698" t="s">
        <v>18</v>
      </c>
      <c r="D698">
        <v>8285.1200000000008</v>
      </c>
      <c r="E698">
        <v>3319</v>
      </c>
      <c r="F698">
        <v>1</v>
      </c>
      <c r="G698">
        <v>3</v>
      </c>
      <c r="H698">
        <v>0</v>
      </c>
      <c r="I698" t="s">
        <v>33</v>
      </c>
      <c r="J698">
        <v>0</v>
      </c>
      <c r="K698">
        <v>66</v>
      </c>
      <c r="L698" t="s">
        <v>24</v>
      </c>
      <c r="M698" t="s">
        <v>35</v>
      </c>
      <c r="N698" t="s">
        <v>30</v>
      </c>
      <c r="O698" t="s">
        <v>23</v>
      </c>
      <c r="P698">
        <v>0.57999999999999996</v>
      </c>
      <c r="Q698" s="2" t="b">
        <f>TRUE()</f>
        <v>1</v>
      </c>
      <c r="R698">
        <v>1</v>
      </c>
    </row>
    <row r="699" spans="1:18" x14ac:dyDescent="0.25">
      <c r="A699">
        <v>200698</v>
      </c>
      <c r="B699">
        <v>54379</v>
      </c>
      <c r="C699" t="s">
        <v>18</v>
      </c>
      <c r="D699">
        <v>5411.17</v>
      </c>
      <c r="E699">
        <v>3170</v>
      </c>
      <c r="F699">
        <v>1</v>
      </c>
      <c r="G699">
        <v>3</v>
      </c>
      <c r="H699">
        <v>0</v>
      </c>
      <c r="I699" t="s">
        <v>19</v>
      </c>
      <c r="J699">
        <v>0</v>
      </c>
      <c r="K699">
        <v>18</v>
      </c>
      <c r="L699" t="s">
        <v>24</v>
      </c>
      <c r="M699" t="s">
        <v>21</v>
      </c>
      <c r="N699" t="s">
        <v>30</v>
      </c>
      <c r="O699" t="s">
        <v>36</v>
      </c>
      <c r="P699">
        <v>4.67</v>
      </c>
      <c r="Q699" s="2" t="b">
        <f>FALSE()</f>
        <v>0</v>
      </c>
      <c r="R699">
        <v>1</v>
      </c>
    </row>
    <row r="700" spans="1:18" x14ac:dyDescent="0.25">
      <c r="A700">
        <v>200699</v>
      </c>
      <c r="B700">
        <v>52904</v>
      </c>
      <c r="C700" t="s">
        <v>18</v>
      </c>
      <c r="D700">
        <v>1921.56</v>
      </c>
      <c r="E700">
        <v>1539</v>
      </c>
      <c r="F700">
        <v>0</v>
      </c>
      <c r="G700">
        <v>4</v>
      </c>
      <c r="H700">
        <v>0</v>
      </c>
      <c r="I700" t="s">
        <v>33</v>
      </c>
      <c r="J700">
        <v>0</v>
      </c>
      <c r="K700">
        <v>44</v>
      </c>
      <c r="L700" t="s">
        <v>24</v>
      </c>
      <c r="M700" t="s">
        <v>21</v>
      </c>
      <c r="N700" t="s">
        <v>30</v>
      </c>
      <c r="O700" t="s">
        <v>23</v>
      </c>
      <c r="P700">
        <v>7.0000000000000007E-2</v>
      </c>
      <c r="Q700" s="2" t="b">
        <f>FALSE()</f>
        <v>0</v>
      </c>
      <c r="R700">
        <v>0</v>
      </c>
    </row>
    <row r="701" spans="1:18" x14ac:dyDescent="0.25">
      <c r="A701">
        <v>200700</v>
      </c>
      <c r="B701">
        <v>53927</v>
      </c>
      <c r="C701" t="s">
        <v>18</v>
      </c>
      <c r="D701">
        <v>3577.51</v>
      </c>
      <c r="E701">
        <v>1449</v>
      </c>
      <c r="F701">
        <v>4</v>
      </c>
      <c r="G701">
        <v>5</v>
      </c>
      <c r="H701">
        <v>0</v>
      </c>
      <c r="I701" t="s">
        <v>19</v>
      </c>
      <c r="J701">
        <v>1</v>
      </c>
      <c r="K701">
        <v>22</v>
      </c>
      <c r="L701" t="s">
        <v>20</v>
      </c>
      <c r="M701" t="s">
        <v>37</v>
      </c>
      <c r="N701" t="s">
        <v>22</v>
      </c>
      <c r="O701" t="s">
        <v>23</v>
      </c>
      <c r="P701">
        <v>2.83</v>
      </c>
      <c r="Q701" s="2" t="b">
        <f>FALSE()</f>
        <v>0</v>
      </c>
      <c r="R701">
        <v>1</v>
      </c>
    </row>
    <row r="702" spans="1:18" x14ac:dyDescent="0.25">
      <c r="A702">
        <v>200701</v>
      </c>
      <c r="B702">
        <v>50322</v>
      </c>
      <c r="C702" t="s">
        <v>18</v>
      </c>
      <c r="D702">
        <v>2765.63</v>
      </c>
      <c r="E702">
        <v>1149</v>
      </c>
      <c r="F702">
        <v>1</v>
      </c>
      <c r="G702">
        <v>4</v>
      </c>
      <c r="H702">
        <v>1</v>
      </c>
      <c r="I702" t="s">
        <v>19</v>
      </c>
      <c r="J702">
        <v>1</v>
      </c>
      <c r="K702">
        <v>72</v>
      </c>
      <c r="L702" t="s">
        <v>24</v>
      </c>
      <c r="M702" t="s">
        <v>35</v>
      </c>
      <c r="N702" t="s">
        <v>30</v>
      </c>
      <c r="O702" t="s">
        <v>27</v>
      </c>
      <c r="P702">
        <v>0.77</v>
      </c>
      <c r="Q702" s="2" t="b">
        <f>FALSE()</f>
        <v>0</v>
      </c>
      <c r="R702">
        <v>0</v>
      </c>
    </row>
    <row r="703" spans="1:18" x14ac:dyDescent="0.25">
      <c r="A703">
        <v>200702</v>
      </c>
      <c r="B703">
        <v>51062</v>
      </c>
      <c r="C703" t="s">
        <v>28</v>
      </c>
      <c r="D703">
        <v>3495.6</v>
      </c>
      <c r="E703">
        <v>1593</v>
      </c>
      <c r="F703">
        <v>1</v>
      </c>
      <c r="G703">
        <v>2</v>
      </c>
      <c r="H703">
        <v>0</v>
      </c>
      <c r="I703" t="s">
        <v>33</v>
      </c>
      <c r="J703">
        <v>0</v>
      </c>
      <c r="K703">
        <v>26</v>
      </c>
      <c r="L703" t="s">
        <v>20</v>
      </c>
      <c r="M703" t="s">
        <v>25</v>
      </c>
      <c r="N703" t="s">
        <v>22</v>
      </c>
      <c r="O703" t="s">
        <v>36</v>
      </c>
      <c r="P703">
        <v>5.73</v>
      </c>
      <c r="Q703" s="2" t="b">
        <f>FALSE()</f>
        <v>0</v>
      </c>
      <c r="R703">
        <v>0</v>
      </c>
    </row>
    <row r="704" spans="1:18" x14ac:dyDescent="0.25">
      <c r="A704">
        <v>200703</v>
      </c>
      <c r="B704">
        <v>53139</v>
      </c>
      <c r="C704" t="s">
        <v>28</v>
      </c>
      <c r="D704">
        <v>1593.13</v>
      </c>
      <c r="E704">
        <v>1766</v>
      </c>
      <c r="F704">
        <v>2</v>
      </c>
      <c r="G704">
        <v>3</v>
      </c>
      <c r="H704">
        <v>0</v>
      </c>
      <c r="I704" t="s">
        <v>33</v>
      </c>
      <c r="J704">
        <v>1</v>
      </c>
      <c r="K704">
        <v>59</v>
      </c>
      <c r="L704" t="s">
        <v>20</v>
      </c>
      <c r="M704" t="s">
        <v>31</v>
      </c>
      <c r="N704" t="s">
        <v>22</v>
      </c>
      <c r="O704" t="s">
        <v>27</v>
      </c>
      <c r="P704">
        <v>2.68</v>
      </c>
      <c r="Q704" s="2" t="b">
        <f>FALSE()</f>
        <v>0</v>
      </c>
      <c r="R704">
        <v>0</v>
      </c>
    </row>
    <row r="705" spans="1:18" x14ac:dyDescent="0.25">
      <c r="A705">
        <v>200704</v>
      </c>
      <c r="B705">
        <v>52634</v>
      </c>
      <c r="C705" t="s">
        <v>34</v>
      </c>
      <c r="D705">
        <v>3578.99</v>
      </c>
      <c r="E705">
        <v>1141</v>
      </c>
      <c r="F705">
        <v>2</v>
      </c>
      <c r="G705">
        <v>5</v>
      </c>
      <c r="H705">
        <v>1</v>
      </c>
      <c r="I705" t="s">
        <v>19</v>
      </c>
      <c r="J705">
        <v>0</v>
      </c>
      <c r="K705">
        <v>62</v>
      </c>
      <c r="L705" t="s">
        <v>24</v>
      </c>
      <c r="M705" t="s">
        <v>21</v>
      </c>
      <c r="N705" t="s">
        <v>22</v>
      </c>
      <c r="O705" t="s">
        <v>27</v>
      </c>
      <c r="P705">
        <v>4.68</v>
      </c>
      <c r="Q705" s="2" t="b">
        <f>FALSE()</f>
        <v>0</v>
      </c>
      <c r="R705">
        <v>1</v>
      </c>
    </row>
    <row r="706" spans="1:18" x14ac:dyDescent="0.25">
      <c r="A706">
        <v>200705</v>
      </c>
      <c r="B706">
        <v>50310</v>
      </c>
      <c r="C706" t="s">
        <v>18</v>
      </c>
      <c r="D706">
        <v>2418.1799999999998</v>
      </c>
      <c r="E706">
        <v>1065</v>
      </c>
      <c r="F706">
        <v>1</v>
      </c>
      <c r="G706">
        <v>5</v>
      </c>
      <c r="H706">
        <v>0</v>
      </c>
      <c r="I706" t="s">
        <v>33</v>
      </c>
      <c r="J706">
        <v>0</v>
      </c>
      <c r="K706">
        <v>43</v>
      </c>
      <c r="L706" t="s">
        <v>24</v>
      </c>
      <c r="M706" t="s">
        <v>29</v>
      </c>
      <c r="N706" t="s">
        <v>22</v>
      </c>
      <c r="O706" t="s">
        <v>27</v>
      </c>
      <c r="P706">
        <v>3.52</v>
      </c>
      <c r="Q706" s="2" t="b">
        <f>FALSE()</f>
        <v>0</v>
      </c>
      <c r="R706">
        <v>0</v>
      </c>
    </row>
    <row r="707" spans="1:18" x14ac:dyDescent="0.25">
      <c r="A707">
        <v>200706</v>
      </c>
      <c r="B707">
        <v>50418</v>
      </c>
      <c r="C707" t="s">
        <v>28</v>
      </c>
      <c r="D707">
        <v>1669.83</v>
      </c>
      <c r="E707">
        <v>54</v>
      </c>
      <c r="F707">
        <v>1</v>
      </c>
      <c r="G707">
        <v>3</v>
      </c>
      <c r="H707">
        <v>0</v>
      </c>
      <c r="I707" t="s">
        <v>33</v>
      </c>
      <c r="J707">
        <v>0</v>
      </c>
      <c r="K707">
        <v>31</v>
      </c>
      <c r="L707" t="s">
        <v>24</v>
      </c>
      <c r="M707" t="s">
        <v>21</v>
      </c>
      <c r="N707" t="s">
        <v>22</v>
      </c>
      <c r="O707" t="s">
        <v>36</v>
      </c>
      <c r="P707">
        <v>3.16</v>
      </c>
      <c r="Q707" s="2" t="b">
        <f>FALSE()</f>
        <v>0</v>
      </c>
      <c r="R707">
        <v>0</v>
      </c>
    </row>
    <row r="708" spans="1:18" x14ac:dyDescent="0.25">
      <c r="A708">
        <v>200707</v>
      </c>
      <c r="B708">
        <v>54042</v>
      </c>
      <c r="C708" t="s">
        <v>18</v>
      </c>
      <c r="D708">
        <v>2018.46</v>
      </c>
      <c r="E708">
        <v>2930</v>
      </c>
      <c r="F708">
        <v>0</v>
      </c>
      <c r="G708">
        <v>11</v>
      </c>
      <c r="H708">
        <v>0</v>
      </c>
      <c r="I708" t="s">
        <v>19</v>
      </c>
      <c r="J708">
        <v>1</v>
      </c>
      <c r="K708">
        <v>32</v>
      </c>
      <c r="L708" t="s">
        <v>20</v>
      </c>
      <c r="M708" t="s">
        <v>29</v>
      </c>
      <c r="N708" t="s">
        <v>26</v>
      </c>
      <c r="O708" t="s">
        <v>36</v>
      </c>
      <c r="P708">
        <v>6.64</v>
      </c>
      <c r="Q708" s="2" t="b">
        <f>FALSE()</f>
        <v>0</v>
      </c>
      <c r="R708">
        <v>1</v>
      </c>
    </row>
    <row r="709" spans="1:18" x14ac:dyDescent="0.25">
      <c r="A709">
        <v>200708</v>
      </c>
      <c r="B709">
        <v>54752</v>
      </c>
      <c r="C709" t="s">
        <v>34</v>
      </c>
      <c r="D709">
        <v>1553.79</v>
      </c>
      <c r="E709">
        <v>3481</v>
      </c>
      <c r="F709">
        <v>2</v>
      </c>
      <c r="G709">
        <v>3</v>
      </c>
      <c r="H709">
        <v>1</v>
      </c>
      <c r="I709" t="s">
        <v>33</v>
      </c>
      <c r="J709">
        <v>0</v>
      </c>
      <c r="K709">
        <v>30</v>
      </c>
      <c r="L709" t="s">
        <v>24</v>
      </c>
      <c r="M709" t="s">
        <v>31</v>
      </c>
      <c r="N709" t="s">
        <v>26</v>
      </c>
      <c r="O709" t="s">
        <v>23</v>
      </c>
      <c r="P709">
        <v>1.56</v>
      </c>
      <c r="Q709" s="2" t="b">
        <f>FALSE()</f>
        <v>0</v>
      </c>
      <c r="R709">
        <v>0</v>
      </c>
    </row>
    <row r="710" spans="1:18" x14ac:dyDescent="0.25">
      <c r="A710">
        <v>200709</v>
      </c>
      <c r="B710">
        <v>53936</v>
      </c>
      <c r="C710" t="s">
        <v>28</v>
      </c>
      <c r="D710">
        <v>4287.62</v>
      </c>
      <c r="E710">
        <v>238</v>
      </c>
      <c r="F710">
        <v>1</v>
      </c>
      <c r="G710">
        <v>5</v>
      </c>
      <c r="H710">
        <v>0</v>
      </c>
      <c r="I710" t="s">
        <v>32</v>
      </c>
      <c r="J710">
        <v>0</v>
      </c>
      <c r="K710">
        <v>52</v>
      </c>
      <c r="L710" t="s">
        <v>20</v>
      </c>
      <c r="M710" t="s">
        <v>29</v>
      </c>
      <c r="N710" t="s">
        <v>26</v>
      </c>
      <c r="O710" t="s">
        <v>27</v>
      </c>
      <c r="P710">
        <v>0.44</v>
      </c>
      <c r="Q710" s="2" t="b">
        <f>FALSE()</f>
        <v>0</v>
      </c>
      <c r="R710">
        <v>1</v>
      </c>
    </row>
    <row r="711" spans="1:18" x14ac:dyDescent="0.25">
      <c r="A711">
        <v>200710</v>
      </c>
      <c r="B711">
        <v>51729</v>
      </c>
      <c r="C711" t="s">
        <v>18</v>
      </c>
      <c r="D711">
        <v>1619.26</v>
      </c>
      <c r="E711">
        <v>2430</v>
      </c>
      <c r="F711">
        <v>1</v>
      </c>
      <c r="G711">
        <v>6</v>
      </c>
      <c r="H711">
        <v>0</v>
      </c>
      <c r="I711" t="s">
        <v>33</v>
      </c>
      <c r="J711">
        <v>1</v>
      </c>
      <c r="K711">
        <v>42</v>
      </c>
      <c r="L711" t="s">
        <v>20</v>
      </c>
      <c r="M711" t="s">
        <v>31</v>
      </c>
      <c r="N711" t="s">
        <v>22</v>
      </c>
      <c r="O711" t="s">
        <v>36</v>
      </c>
      <c r="P711">
        <v>2.65</v>
      </c>
      <c r="Q711" s="2" t="b">
        <f>FALSE()</f>
        <v>0</v>
      </c>
      <c r="R711">
        <v>0</v>
      </c>
    </row>
    <row r="712" spans="1:18" x14ac:dyDescent="0.25">
      <c r="A712">
        <v>200711</v>
      </c>
      <c r="B712">
        <v>52334</v>
      </c>
      <c r="C712" t="s">
        <v>18</v>
      </c>
      <c r="D712">
        <v>2507.25</v>
      </c>
      <c r="E712">
        <v>2379</v>
      </c>
      <c r="F712">
        <v>3</v>
      </c>
      <c r="G712">
        <v>3</v>
      </c>
      <c r="H712">
        <v>0</v>
      </c>
      <c r="I712" t="s">
        <v>32</v>
      </c>
      <c r="J712">
        <v>0</v>
      </c>
      <c r="K712">
        <v>78</v>
      </c>
      <c r="L712" t="s">
        <v>24</v>
      </c>
      <c r="M712" t="s">
        <v>35</v>
      </c>
      <c r="N712" t="s">
        <v>26</v>
      </c>
      <c r="O712" t="s">
        <v>36</v>
      </c>
      <c r="P712">
        <v>0.4</v>
      </c>
      <c r="Q712" s="2" t="b">
        <f>FALSE()</f>
        <v>0</v>
      </c>
      <c r="R712">
        <v>1</v>
      </c>
    </row>
    <row r="713" spans="1:18" x14ac:dyDescent="0.25">
      <c r="A713">
        <v>200712</v>
      </c>
      <c r="B713">
        <v>52084</v>
      </c>
      <c r="C713" t="s">
        <v>18</v>
      </c>
      <c r="D713">
        <v>3026.39</v>
      </c>
      <c r="E713">
        <v>426</v>
      </c>
      <c r="F713">
        <v>3</v>
      </c>
      <c r="G713">
        <v>6</v>
      </c>
      <c r="H713">
        <v>0</v>
      </c>
      <c r="I713" t="s">
        <v>19</v>
      </c>
      <c r="J713">
        <v>0</v>
      </c>
      <c r="K713">
        <v>31</v>
      </c>
      <c r="L713" t="s">
        <v>24</v>
      </c>
      <c r="M713" t="s">
        <v>21</v>
      </c>
      <c r="N713" t="s">
        <v>30</v>
      </c>
      <c r="O713" t="s">
        <v>36</v>
      </c>
      <c r="P713">
        <v>7.44</v>
      </c>
      <c r="Q713" s="2" t="b">
        <f>FALSE()</f>
        <v>0</v>
      </c>
      <c r="R713">
        <v>1</v>
      </c>
    </row>
    <row r="714" spans="1:18" x14ac:dyDescent="0.25">
      <c r="A714">
        <v>200713</v>
      </c>
      <c r="B714">
        <v>51468</v>
      </c>
      <c r="C714" t="s">
        <v>34</v>
      </c>
      <c r="D714">
        <v>7728.13</v>
      </c>
      <c r="E714">
        <v>1814</v>
      </c>
      <c r="F714">
        <v>3</v>
      </c>
      <c r="G714">
        <v>3</v>
      </c>
      <c r="H714">
        <v>0</v>
      </c>
      <c r="I714" t="s">
        <v>32</v>
      </c>
      <c r="J714">
        <v>1</v>
      </c>
      <c r="K714">
        <v>41</v>
      </c>
      <c r="L714" t="s">
        <v>24</v>
      </c>
      <c r="M714" t="s">
        <v>37</v>
      </c>
      <c r="N714" t="s">
        <v>30</v>
      </c>
      <c r="O714" t="s">
        <v>27</v>
      </c>
      <c r="P714">
        <v>0.56999999999999995</v>
      </c>
      <c r="Q714" s="2" t="b">
        <f>TRUE()</f>
        <v>1</v>
      </c>
      <c r="R714">
        <v>1</v>
      </c>
    </row>
    <row r="715" spans="1:18" x14ac:dyDescent="0.25">
      <c r="A715">
        <v>200714</v>
      </c>
      <c r="B715">
        <v>52069</v>
      </c>
      <c r="C715" t="s">
        <v>28</v>
      </c>
      <c r="D715">
        <v>761.77</v>
      </c>
      <c r="E715">
        <v>634</v>
      </c>
      <c r="F715">
        <v>4</v>
      </c>
      <c r="G715">
        <v>4</v>
      </c>
      <c r="H715">
        <v>0</v>
      </c>
      <c r="I715" t="s">
        <v>19</v>
      </c>
      <c r="J715">
        <v>0</v>
      </c>
      <c r="K715">
        <v>50</v>
      </c>
      <c r="L715" t="s">
        <v>20</v>
      </c>
      <c r="M715" t="s">
        <v>25</v>
      </c>
      <c r="N715" t="s">
        <v>26</v>
      </c>
      <c r="O715" t="s">
        <v>23</v>
      </c>
      <c r="P715">
        <v>0.93</v>
      </c>
      <c r="Q715" s="2" t="b">
        <f>FALSE()</f>
        <v>0</v>
      </c>
      <c r="R715">
        <v>1</v>
      </c>
    </row>
    <row r="716" spans="1:18" x14ac:dyDescent="0.25">
      <c r="A716">
        <v>200715</v>
      </c>
      <c r="B716">
        <v>51319</v>
      </c>
      <c r="C716" t="s">
        <v>18</v>
      </c>
      <c r="D716">
        <v>1790.83</v>
      </c>
      <c r="E716">
        <v>459</v>
      </c>
      <c r="F716">
        <v>0</v>
      </c>
      <c r="G716">
        <v>9</v>
      </c>
      <c r="H716">
        <v>0</v>
      </c>
      <c r="I716" t="s">
        <v>19</v>
      </c>
      <c r="J716">
        <v>0</v>
      </c>
      <c r="K716">
        <v>83</v>
      </c>
      <c r="L716" t="s">
        <v>24</v>
      </c>
      <c r="M716" t="s">
        <v>29</v>
      </c>
      <c r="N716" t="s">
        <v>30</v>
      </c>
      <c r="O716" t="s">
        <v>36</v>
      </c>
      <c r="P716">
        <v>2.8</v>
      </c>
      <c r="Q716" s="2" t="b">
        <f>FALSE()</f>
        <v>0</v>
      </c>
      <c r="R716">
        <v>1</v>
      </c>
    </row>
    <row r="717" spans="1:18" x14ac:dyDescent="0.25">
      <c r="A717">
        <v>200716</v>
      </c>
      <c r="B717">
        <v>53978</v>
      </c>
      <c r="C717" t="s">
        <v>18</v>
      </c>
      <c r="D717">
        <v>3501.67</v>
      </c>
      <c r="E717">
        <v>1677</v>
      </c>
      <c r="F717">
        <v>1</v>
      </c>
      <c r="G717">
        <v>4</v>
      </c>
      <c r="H717">
        <v>0</v>
      </c>
      <c r="I717" t="s">
        <v>33</v>
      </c>
      <c r="J717">
        <v>1</v>
      </c>
      <c r="K717">
        <v>23</v>
      </c>
      <c r="L717" t="s">
        <v>24</v>
      </c>
      <c r="M717" t="s">
        <v>29</v>
      </c>
      <c r="N717" t="s">
        <v>22</v>
      </c>
      <c r="O717" t="s">
        <v>36</v>
      </c>
      <c r="P717">
        <v>3.9</v>
      </c>
      <c r="Q717" s="2" t="b">
        <f>FALSE()</f>
        <v>0</v>
      </c>
      <c r="R717">
        <v>0</v>
      </c>
    </row>
    <row r="718" spans="1:18" x14ac:dyDescent="0.25">
      <c r="A718">
        <v>200717</v>
      </c>
      <c r="B718">
        <v>54646</v>
      </c>
      <c r="C718" t="s">
        <v>28</v>
      </c>
      <c r="D718">
        <v>2082.58</v>
      </c>
      <c r="E718">
        <v>1613</v>
      </c>
      <c r="F718">
        <v>0</v>
      </c>
      <c r="G718">
        <v>1</v>
      </c>
      <c r="H718">
        <v>0</v>
      </c>
      <c r="I718" t="s">
        <v>33</v>
      </c>
      <c r="J718">
        <v>1</v>
      </c>
      <c r="K718">
        <v>58</v>
      </c>
      <c r="L718" t="s">
        <v>24</v>
      </c>
      <c r="M718" t="s">
        <v>25</v>
      </c>
      <c r="N718" t="s">
        <v>22</v>
      </c>
      <c r="O718" t="s">
        <v>23</v>
      </c>
      <c r="P718">
        <v>7.07</v>
      </c>
      <c r="Q718" s="2" t="b">
        <f>FALSE()</f>
        <v>0</v>
      </c>
      <c r="R718">
        <v>0</v>
      </c>
    </row>
    <row r="719" spans="1:18" x14ac:dyDescent="0.25">
      <c r="A719">
        <v>200718</v>
      </c>
      <c r="B719">
        <v>55045</v>
      </c>
      <c r="C719" t="s">
        <v>18</v>
      </c>
      <c r="D719">
        <v>1315.24</v>
      </c>
      <c r="E719">
        <v>2034</v>
      </c>
      <c r="F719">
        <v>0</v>
      </c>
      <c r="G719">
        <v>4</v>
      </c>
      <c r="H719">
        <v>1</v>
      </c>
      <c r="I719" t="s">
        <v>19</v>
      </c>
      <c r="J719">
        <v>1</v>
      </c>
      <c r="K719">
        <v>71</v>
      </c>
      <c r="L719" t="s">
        <v>20</v>
      </c>
      <c r="M719" t="s">
        <v>35</v>
      </c>
      <c r="N719" t="s">
        <v>26</v>
      </c>
      <c r="O719" t="s">
        <v>27</v>
      </c>
      <c r="P719">
        <v>0.16</v>
      </c>
      <c r="Q719" s="2" t="b">
        <f>FALSE()</f>
        <v>0</v>
      </c>
      <c r="R719">
        <v>0</v>
      </c>
    </row>
    <row r="720" spans="1:18" x14ac:dyDescent="0.25">
      <c r="A720">
        <v>200719</v>
      </c>
      <c r="B720">
        <v>52788</v>
      </c>
      <c r="C720" t="s">
        <v>18</v>
      </c>
      <c r="D720">
        <v>1055.67</v>
      </c>
      <c r="E720">
        <v>66</v>
      </c>
      <c r="F720">
        <v>3</v>
      </c>
      <c r="G720">
        <v>3</v>
      </c>
      <c r="H720">
        <v>0</v>
      </c>
      <c r="I720" t="s">
        <v>33</v>
      </c>
      <c r="J720">
        <v>0</v>
      </c>
      <c r="K720">
        <v>78</v>
      </c>
      <c r="L720" t="s">
        <v>24</v>
      </c>
      <c r="M720" t="s">
        <v>31</v>
      </c>
      <c r="N720" t="s">
        <v>26</v>
      </c>
      <c r="O720" t="s">
        <v>23</v>
      </c>
      <c r="P720">
        <v>1.81</v>
      </c>
      <c r="Q720" s="2" t="b">
        <f>FALSE()</f>
        <v>0</v>
      </c>
      <c r="R720">
        <v>1</v>
      </c>
    </row>
    <row r="721" spans="1:18" x14ac:dyDescent="0.25">
      <c r="A721">
        <v>200720</v>
      </c>
      <c r="B721">
        <v>53229</v>
      </c>
      <c r="C721" t="s">
        <v>34</v>
      </c>
      <c r="D721">
        <v>2211.5</v>
      </c>
      <c r="E721">
        <v>743</v>
      </c>
      <c r="F721">
        <v>1</v>
      </c>
      <c r="G721">
        <v>3</v>
      </c>
      <c r="H721">
        <v>1</v>
      </c>
      <c r="I721" t="s">
        <v>33</v>
      </c>
      <c r="J721">
        <v>0</v>
      </c>
      <c r="K721">
        <v>26</v>
      </c>
      <c r="L721" t="s">
        <v>20</v>
      </c>
      <c r="M721" t="s">
        <v>35</v>
      </c>
      <c r="N721" t="s">
        <v>30</v>
      </c>
      <c r="O721" t="s">
        <v>36</v>
      </c>
      <c r="P721">
        <v>0.02</v>
      </c>
      <c r="Q721" s="2" t="b">
        <f>FALSE()</f>
        <v>0</v>
      </c>
      <c r="R721">
        <v>0</v>
      </c>
    </row>
    <row r="722" spans="1:18" x14ac:dyDescent="0.25">
      <c r="A722">
        <v>200721</v>
      </c>
      <c r="B722">
        <v>52243</v>
      </c>
      <c r="C722" t="s">
        <v>18</v>
      </c>
      <c r="D722">
        <v>2239.12</v>
      </c>
      <c r="E722">
        <v>1625</v>
      </c>
      <c r="F722">
        <v>2</v>
      </c>
      <c r="G722">
        <v>3</v>
      </c>
      <c r="H722">
        <v>1</v>
      </c>
      <c r="I722" t="s">
        <v>33</v>
      </c>
      <c r="J722">
        <v>0</v>
      </c>
      <c r="K722">
        <v>64</v>
      </c>
      <c r="L722" t="s">
        <v>20</v>
      </c>
      <c r="M722" t="s">
        <v>31</v>
      </c>
      <c r="N722" t="s">
        <v>22</v>
      </c>
      <c r="O722" t="s">
        <v>36</v>
      </c>
      <c r="P722">
        <v>2.2599999999999998</v>
      </c>
      <c r="Q722" s="2" t="b">
        <f>FALSE()</f>
        <v>0</v>
      </c>
      <c r="R722">
        <v>0</v>
      </c>
    </row>
    <row r="723" spans="1:18" x14ac:dyDescent="0.25">
      <c r="A723">
        <v>200722</v>
      </c>
      <c r="B723">
        <v>52527</v>
      </c>
      <c r="C723" t="s">
        <v>28</v>
      </c>
      <c r="D723">
        <v>7105.61</v>
      </c>
      <c r="E723">
        <v>3016</v>
      </c>
      <c r="F723">
        <v>0</v>
      </c>
      <c r="G723">
        <v>3</v>
      </c>
      <c r="H723">
        <v>1</v>
      </c>
      <c r="I723" t="s">
        <v>33</v>
      </c>
      <c r="J723">
        <v>0</v>
      </c>
      <c r="K723">
        <v>44</v>
      </c>
      <c r="L723" t="s">
        <v>24</v>
      </c>
      <c r="M723" t="s">
        <v>31</v>
      </c>
      <c r="N723" t="s">
        <v>30</v>
      </c>
      <c r="O723" t="s">
        <v>23</v>
      </c>
      <c r="P723">
        <v>1.46</v>
      </c>
      <c r="Q723" s="2" t="b">
        <f>TRUE()</f>
        <v>1</v>
      </c>
      <c r="R723">
        <v>1</v>
      </c>
    </row>
    <row r="724" spans="1:18" x14ac:dyDescent="0.25">
      <c r="A724">
        <v>200723</v>
      </c>
      <c r="B724">
        <v>55860</v>
      </c>
      <c r="C724" t="s">
        <v>28</v>
      </c>
      <c r="D724">
        <v>8478.16</v>
      </c>
      <c r="E724">
        <v>921</v>
      </c>
      <c r="F724">
        <v>1</v>
      </c>
      <c r="G724">
        <v>3</v>
      </c>
      <c r="H724">
        <v>1</v>
      </c>
      <c r="I724" t="s">
        <v>19</v>
      </c>
      <c r="J724">
        <v>0</v>
      </c>
      <c r="K724">
        <v>72</v>
      </c>
      <c r="L724" t="s">
        <v>24</v>
      </c>
      <c r="M724" t="s">
        <v>35</v>
      </c>
      <c r="N724" t="s">
        <v>22</v>
      </c>
      <c r="O724" t="s">
        <v>36</v>
      </c>
      <c r="P724">
        <v>3.04</v>
      </c>
      <c r="Q724" s="2" t="b">
        <f>TRUE()</f>
        <v>1</v>
      </c>
      <c r="R724">
        <v>1</v>
      </c>
    </row>
    <row r="725" spans="1:18" x14ac:dyDescent="0.25">
      <c r="A725">
        <v>200724</v>
      </c>
      <c r="B725">
        <v>51564</v>
      </c>
      <c r="C725" t="s">
        <v>28</v>
      </c>
      <c r="D725">
        <v>3516.68</v>
      </c>
      <c r="E725">
        <v>1539</v>
      </c>
      <c r="F725">
        <v>0</v>
      </c>
      <c r="G725">
        <v>4</v>
      </c>
      <c r="H725">
        <v>0</v>
      </c>
      <c r="I725" t="s">
        <v>33</v>
      </c>
      <c r="J725">
        <v>1</v>
      </c>
      <c r="K725">
        <v>56</v>
      </c>
      <c r="L725" t="s">
        <v>24</v>
      </c>
      <c r="M725" t="s">
        <v>21</v>
      </c>
      <c r="N725" t="s">
        <v>22</v>
      </c>
      <c r="O725" t="s">
        <v>27</v>
      </c>
      <c r="P725">
        <v>4.0599999999999996</v>
      </c>
      <c r="Q725" s="2" t="b">
        <f>FALSE()</f>
        <v>0</v>
      </c>
      <c r="R725">
        <v>0</v>
      </c>
    </row>
    <row r="726" spans="1:18" x14ac:dyDescent="0.25">
      <c r="A726">
        <v>200725</v>
      </c>
      <c r="B726">
        <v>55551</v>
      </c>
      <c r="C726" t="s">
        <v>18</v>
      </c>
      <c r="D726">
        <v>2434.41</v>
      </c>
      <c r="E726">
        <v>1496</v>
      </c>
      <c r="F726">
        <v>0</v>
      </c>
      <c r="G726">
        <v>5</v>
      </c>
      <c r="H726">
        <v>1</v>
      </c>
      <c r="I726" t="s">
        <v>19</v>
      </c>
      <c r="J726">
        <v>0</v>
      </c>
      <c r="K726">
        <v>57</v>
      </c>
      <c r="L726" t="s">
        <v>20</v>
      </c>
      <c r="M726" t="s">
        <v>21</v>
      </c>
      <c r="N726" t="s">
        <v>26</v>
      </c>
      <c r="O726" t="s">
        <v>27</v>
      </c>
      <c r="P726">
        <v>3.51</v>
      </c>
      <c r="Q726" s="2" t="b">
        <f>FALSE()</f>
        <v>0</v>
      </c>
      <c r="R726">
        <v>0</v>
      </c>
    </row>
    <row r="727" spans="1:18" x14ac:dyDescent="0.25">
      <c r="A727">
        <v>200726</v>
      </c>
      <c r="B727">
        <v>52839</v>
      </c>
      <c r="C727" t="s">
        <v>18</v>
      </c>
      <c r="D727">
        <v>2072.0300000000002</v>
      </c>
      <c r="E727">
        <v>1137</v>
      </c>
      <c r="F727">
        <v>2</v>
      </c>
      <c r="G727">
        <v>2</v>
      </c>
      <c r="H727">
        <v>0</v>
      </c>
      <c r="I727" t="s">
        <v>33</v>
      </c>
      <c r="J727">
        <v>0</v>
      </c>
      <c r="K727">
        <v>28</v>
      </c>
      <c r="L727" t="s">
        <v>24</v>
      </c>
      <c r="M727" t="s">
        <v>25</v>
      </c>
      <c r="N727" t="s">
        <v>26</v>
      </c>
      <c r="O727" t="s">
        <v>27</v>
      </c>
      <c r="P727">
        <v>2.54</v>
      </c>
      <c r="Q727" s="2" t="b">
        <f>FALSE()</f>
        <v>0</v>
      </c>
      <c r="R727">
        <v>0</v>
      </c>
    </row>
    <row r="728" spans="1:18" x14ac:dyDescent="0.25">
      <c r="A728">
        <v>200727</v>
      </c>
      <c r="B728">
        <v>50201</v>
      </c>
      <c r="C728" t="s">
        <v>34</v>
      </c>
      <c r="D728">
        <v>1512.07</v>
      </c>
      <c r="E728">
        <v>2435</v>
      </c>
      <c r="F728">
        <v>0</v>
      </c>
      <c r="G728">
        <v>0</v>
      </c>
      <c r="H728">
        <v>1</v>
      </c>
      <c r="I728" t="s">
        <v>19</v>
      </c>
      <c r="J728">
        <v>1</v>
      </c>
      <c r="K728">
        <v>42</v>
      </c>
      <c r="L728" t="s">
        <v>20</v>
      </c>
      <c r="M728" t="s">
        <v>31</v>
      </c>
      <c r="N728" t="s">
        <v>30</v>
      </c>
      <c r="O728" t="s">
        <v>23</v>
      </c>
      <c r="P728">
        <v>1.19</v>
      </c>
      <c r="Q728" s="2" t="b">
        <f>FALSE()</f>
        <v>0</v>
      </c>
      <c r="R728">
        <v>0</v>
      </c>
    </row>
    <row r="729" spans="1:18" x14ac:dyDescent="0.25">
      <c r="A729">
        <v>200728</v>
      </c>
      <c r="B729">
        <v>51147</v>
      </c>
      <c r="C729" t="s">
        <v>18</v>
      </c>
      <c r="D729">
        <v>3992.32</v>
      </c>
      <c r="E729">
        <v>3468</v>
      </c>
      <c r="F729">
        <v>2</v>
      </c>
      <c r="G729">
        <v>2</v>
      </c>
      <c r="H729">
        <v>0</v>
      </c>
      <c r="I729" t="s">
        <v>33</v>
      </c>
      <c r="J729">
        <v>0</v>
      </c>
      <c r="K729">
        <v>32</v>
      </c>
      <c r="L729" t="s">
        <v>24</v>
      </c>
      <c r="M729" t="s">
        <v>29</v>
      </c>
      <c r="N729" t="s">
        <v>30</v>
      </c>
      <c r="O729" t="s">
        <v>27</v>
      </c>
      <c r="P729">
        <v>1.72</v>
      </c>
      <c r="Q729" s="2" t="b">
        <f>FALSE()</f>
        <v>0</v>
      </c>
      <c r="R729">
        <v>1</v>
      </c>
    </row>
    <row r="730" spans="1:18" x14ac:dyDescent="0.25">
      <c r="A730">
        <v>200729</v>
      </c>
      <c r="B730">
        <v>53793</v>
      </c>
      <c r="C730" t="s">
        <v>34</v>
      </c>
      <c r="D730">
        <v>4316.07</v>
      </c>
      <c r="E730">
        <v>232</v>
      </c>
      <c r="F730">
        <v>2</v>
      </c>
      <c r="G730">
        <v>3</v>
      </c>
      <c r="H730">
        <v>0</v>
      </c>
      <c r="I730" t="s">
        <v>19</v>
      </c>
      <c r="J730">
        <v>0</v>
      </c>
      <c r="K730">
        <v>45</v>
      </c>
      <c r="L730" t="s">
        <v>24</v>
      </c>
      <c r="M730" t="s">
        <v>37</v>
      </c>
      <c r="N730" t="s">
        <v>22</v>
      </c>
      <c r="O730" t="s">
        <v>36</v>
      </c>
      <c r="P730">
        <v>3.39</v>
      </c>
      <c r="Q730" s="2" t="b">
        <f>FALSE()</f>
        <v>0</v>
      </c>
      <c r="R730">
        <v>1</v>
      </c>
    </row>
    <row r="731" spans="1:18" x14ac:dyDescent="0.25">
      <c r="A731">
        <v>200730</v>
      </c>
      <c r="B731">
        <v>50899</v>
      </c>
      <c r="C731" t="s">
        <v>28</v>
      </c>
      <c r="D731">
        <v>674.08</v>
      </c>
      <c r="E731">
        <v>960</v>
      </c>
      <c r="F731">
        <v>1</v>
      </c>
      <c r="G731">
        <v>5</v>
      </c>
      <c r="H731">
        <v>0</v>
      </c>
      <c r="I731" t="s">
        <v>33</v>
      </c>
      <c r="J731">
        <v>0</v>
      </c>
      <c r="K731">
        <v>34</v>
      </c>
      <c r="L731" t="s">
        <v>20</v>
      </c>
      <c r="M731" t="s">
        <v>37</v>
      </c>
      <c r="N731" t="s">
        <v>22</v>
      </c>
      <c r="O731" t="s">
        <v>23</v>
      </c>
      <c r="P731">
        <v>4.08</v>
      </c>
      <c r="Q731" s="2" t="b">
        <f>FALSE()</f>
        <v>0</v>
      </c>
      <c r="R731">
        <v>0</v>
      </c>
    </row>
    <row r="732" spans="1:18" x14ac:dyDescent="0.25">
      <c r="A732">
        <v>200731</v>
      </c>
      <c r="B732">
        <v>51079</v>
      </c>
      <c r="C732" t="s">
        <v>18</v>
      </c>
      <c r="D732">
        <v>5956.31</v>
      </c>
      <c r="E732">
        <v>169</v>
      </c>
      <c r="F732">
        <v>0</v>
      </c>
      <c r="G732">
        <v>2</v>
      </c>
      <c r="H732">
        <v>0</v>
      </c>
      <c r="I732" t="s">
        <v>33</v>
      </c>
      <c r="J732">
        <v>0</v>
      </c>
      <c r="K732">
        <v>53</v>
      </c>
      <c r="L732" t="s">
        <v>24</v>
      </c>
      <c r="M732" t="s">
        <v>29</v>
      </c>
      <c r="N732" t="s">
        <v>22</v>
      </c>
      <c r="O732" t="s">
        <v>27</v>
      </c>
      <c r="P732">
        <v>3.03</v>
      </c>
      <c r="Q732" s="2" t="b">
        <f>FALSE()</f>
        <v>0</v>
      </c>
      <c r="R732">
        <v>1</v>
      </c>
    </row>
    <row r="733" spans="1:18" x14ac:dyDescent="0.25">
      <c r="A733">
        <v>200732</v>
      </c>
      <c r="B733">
        <v>55696</v>
      </c>
      <c r="C733" t="s">
        <v>18</v>
      </c>
      <c r="D733">
        <v>6751.49</v>
      </c>
      <c r="E733">
        <v>598</v>
      </c>
      <c r="F733">
        <v>0</v>
      </c>
      <c r="G733">
        <v>5</v>
      </c>
      <c r="H733">
        <v>0</v>
      </c>
      <c r="I733" t="s">
        <v>19</v>
      </c>
      <c r="J733">
        <v>1</v>
      </c>
      <c r="K733">
        <v>40</v>
      </c>
      <c r="L733" t="s">
        <v>20</v>
      </c>
      <c r="M733" t="s">
        <v>25</v>
      </c>
      <c r="N733" t="s">
        <v>26</v>
      </c>
      <c r="O733" t="s">
        <v>27</v>
      </c>
      <c r="P733">
        <v>1.08</v>
      </c>
      <c r="Q733" s="2" t="b">
        <f>FALSE()</f>
        <v>0</v>
      </c>
      <c r="R733">
        <v>1</v>
      </c>
    </row>
    <row r="734" spans="1:18" x14ac:dyDescent="0.25">
      <c r="A734">
        <v>200733</v>
      </c>
      <c r="B734">
        <v>54959</v>
      </c>
      <c r="C734" t="s">
        <v>18</v>
      </c>
      <c r="D734">
        <v>3647.16</v>
      </c>
      <c r="E734">
        <v>2066</v>
      </c>
      <c r="F734">
        <v>0</v>
      </c>
      <c r="G734">
        <v>2</v>
      </c>
      <c r="H734">
        <v>0</v>
      </c>
      <c r="I734" t="s">
        <v>33</v>
      </c>
      <c r="J734">
        <v>0</v>
      </c>
      <c r="K734">
        <v>74</v>
      </c>
      <c r="L734" t="s">
        <v>20</v>
      </c>
      <c r="M734" t="s">
        <v>29</v>
      </c>
      <c r="N734" t="s">
        <v>26</v>
      </c>
      <c r="O734" t="s">
        <v>27</v>
      </c>
      <c r="P734">
        <v>1.41</v>
      </c>
      <c r="Q734" s="2" t="b">
        <f>FALSE()</f>
        <v>0</v>
      </c>
      <c r="R734">
        <v>1</v>
      </c>
    </row>
    <row r="735" spans="1:18" x14ac:dyDescent="0.25">
      <c r="A735">
        <v>200734</v>
      </c>
      <c r="B735">
        <v>51517</v>
      </c>
      <c r="C735" t="s">
        <v>34</v>
      </c>
      <c r="D735">
        <v>1289.21</v>
      </c>
      <c r="E735">
        <v>627</v>
      </c>
      <c r="F735">
        <v>0</v>
      </c>
      <c r="G735">
        <v>6</v>
      </c>
      <c r="H735">
        <v>0</v>
      </c>
      <c r="I735" t="s">
        <v>32</v>
      </c>
      <c r="J735">
        <v>0</v>
      </c>
      <c r="K735">
        <v>38</v>
      </c>
      <c r="L735" t="s">
        <v>24</v>
      </c>
      <c r="M735" t="s">
        <v>25</v>
      </c>
      <c r="N735" t="s">
        <v>22</v>
      </c>
      <c r="O735" t="s">
        <v>23</v>
      </c>
      <c r="P735">
        <v>4.68</v>
      </c>
      <c r="Q735" s="2" t="b">
        <f>FALSE()</f>
        <v>0</v>
      </c>
      <c r="R735">
        <v>0</v>
      </c>
    </row>
    <row r="736" spans="1:18" x14ac:dyDescent="0.25">
      <c r="A736">
        <v>200735</v>
      </c>
      <c r="B736">
        <v>50934</v>
      </c>
      <c r="C736" t="s">
        <v>34</v>
      </c>
      <c r="D736">
        <v>1948.23</v>
      </c>
      <c r="E736">
        <v>1148</v>
      </c>
      <c r="F736">
        <v>1</v>
      </c>
      <c r="G736">
        <v>1</v>
      </c>
      <c r="H736">
        <v>0</v>
      </c>
      <c r="I736" t="s">
        <v>33</v>
      </c>
      <c r="J736">
        <v>1</v>
      </c>
      <c r="K736">
        <v>75</v>
      </c>
      <c r="L736" t="s">
        <v>20</v>
      </c>
      <c r="M736" t="s">
        <v>21</v>
      </c>
      <c r="N736" t="s">
        <v>30</v>
      </c>
      <c r="O736" t="s">
        <v>36</v>
      </c>
      <c r="P736">
        <v>1.77</v>
      </c>
      <c r="Q736" s="2" t="b">
        <f>FALSE()</f>
        <v>0</v>
      </c>
      <c r="R736">
        <v>0</v>
      </c>
    </row>
    <row r="737" spans="1:18" x14ac:dyDescent="0.25">
      <c r="A737">
        <v>200736</v>
      </c>
      <c r="B737">
        <v>52326</v>
      </c>
      <c r="C737" t="s">
        <v>34</v>
      </c>
      <c r="D737">
        <v>970.01</v>
      </c>
      <c r="E737">
        <v>1916</v>
      </c>
      <c r="F737">
        <v>1</v>
      </c>
      <c r="G737">
        <v>2</v>
      </c>
      <c r="H737">
        <v>0</v>
      </c>
      <c r="I737" t="s">
        <v>19</v>
      </c>
      <c r="J737">
        <v>0</v>
      </c>
      <c r="K737">
        <v>20</v>
      </c>
      <c r="L737" t="s">
        <v>24</v>
      </c>
      <c r="M737" t="s">
        <v>29</v>
      </c>
      <c r="N737" t="s">
        <v>30</v>
      </c>
      <c r="O737" t="s">
        <v>36</v>
      </c>
      <c r="P737">
        <v>4.92</v>
      </c>
      <c r="Q737" s="2" t="b">
        <f>FALSE()</f>
        <v>0</v>
      </c>
      <c r="R737">
        <v>0</v>
      </c>
    </row>
    <row r="738" spans="1:18" x14ac:dyDescent="0.25">
      <c r="A738">
        <v>200737</v>
      </c>
      <c r="B738">
        <v>54779</v>
      </c>
      <c r="C738" t="s">
        <v>18</v>
      </c>
      <c r="D738">
        <v>3086.61</v>
      </c>
      <c r="E738">
        <v>2710</v>
      </c>
      <c r="F738">
        <v>0</v>
      </c>
      <c r="G738">
        <v>7</v>
      </c>
      <c r="H738">
        <v>0</v>
      </c>
      <c r="I738" t="s">
        <v>33</v>
      </c>
      <c r="J738">
        <v>0</v>
      </c>
      <c r="K738">
        <v>52</v>
      </c>
      <c r="L738" t="s">
        <v>20</v>
      </c>
      <c r="M738" t="s">
        <v>21</v>
      </c>
      <c r="N738" t="s">
        <v>30</v>
      </c>
      <c r="O738" t="s">
        <v>36</v>
      </c>
      <c r="P738">
        <v>1.29</v>
      </c>
      <c r="Q738" s="2" t="b">
        <f>FALSE()</f>
        <v>0</v>
      </c>
      <c r="R738">
        <v>1</v>
      </c>
    </row>
    <row r="739" spans="1:18" x14ac:dyDescent="0.25">
      <c r="A739">
        <v>200738</v>
      </c>
      <c r="B739">
        <v>52783</v>
      </c>
      <c r="C739" t="s">
        <v>34</v>
      </c>
      <c r="D739">
        <v>4917.1400000000003</v>
      </c>
      <c r="E739">
        <v>785</v>
      </c>
      <c r="F739">
        <v>0</v>
      </c>
      <c r="G739">
        <v>4</v>
      </c>
      <c r="H739">
        <v>1</v>
      </c>
      <c r="I739" t="s">
        <v>19</v>
      </c>
      <c r="J739">
        <v>0</v>
      </c>
      <c r="K739">
        <v>19</v>
      </c>
      <c r="L739" t="s">
        <v>24</v>
      </c>
      <c r="M739" t="s">
        <v>35</v>
      </c>
      <c r="N739" t="s">
        <v>30</v>
      </c>
      <c r="O739" t="s">
        <v>36</v>
      </c>
      <c r="P739">
        <v>7.64</v>
      </c>
      <c r="Q739" s="2" t="b">
        <f>FALSE()</f>
        <v>0</v>
      </c>
      <c r="R739">
        <v>1</v>
      </c>
    </row>
    <row r="740" spans="1:18" x14ac:dyDescent="0.25">
      <c r="A740">
        <v>200739</v>
      </c>
      <c r="B740">
        <v>54888</v>
      </c>
      <c r="C740" t="s">
        <v>34</v>
      </c>
      <c r="D740">
        <v>1188.47</v>
      </c>
      <c r="E740">
        <v>917</v>
      </c>
      <c r="F740">
        <v>0</v>
      </c>
      <c r="G740">
        <v>3</v>
      </c>
      <c r="H740">
        <v>0</v>
      </c>
      <c r="I740" t="s">
        <v>33</v>
      </c>
      <c r="J740">
        <v>0</v>
      </c>
      <c r="K740">
        <v>28</v>
      </c>
      <c r="L740" t="s">
        <v>24</v>
      </c>
      <c r="M740" t="s">
        <v>25</v>
      </c>
      <c r="N740" t="s">
        <v>22</v>
      </c>
      <c r="O740" t="s">
        <v>23</v>
      </c>
      <c r="P740">
        <v>2.35</v>
      </c>
      <c r="Q740" s="2" t="b">
        <f>FALSE()</f>
        <v>0</v>
      </c>
      <c r="R740">
        <v>0</v>
      </c>
    </row>
    <row r="741" spans="1:18" x14ac:dyDescent="0.25">
      <c r="A741">
        <v>200740</v>
      </c>
      <c r="B741">
        <v>50421</v>
      </c>
      <c r="C741" t="s">
        <v>34</v>
      </c>
      <c r="D741">
        <v>2193.0100000000002</v>
      </c>
      <c r="E741">
        <v>486</v>
      </c>
      <c r="F741">
        <v>1</v>
      </c>
      <c r="G741">
        <v>4</v>
      </c>
      <c r="H741">
        <v>1</v>
      </c>
      <c r="I741" t="s">
        <v>33</v>
      </c>
      <c r="J741">
        <v>0</v>
      </c>
      <c r="K741">
        <v>56</v>
      </c>
      <c r="L741" t="s">
        <v>24</v>
      </c>
      <c r="M741" t="s">
        <v>25</v>
      </c>
      <c r="N741" t="s">
        <v>30</v>
      </c>
      <c r="O741" t="s">
        <v>36</v>
      </c>
      <c r="P741">
        <v>4.4400000000000004</v>
      </c>
      <c r="Q741" s="2" t="b">
        <f>FALSE()</f>
        <v>0</v>
      </c>
      <c r="R741">
        <v>0</v>
      </c>
    </row>
    <row r="742" spans="1:18" x14ac:dyDescent="0.25">
      <c r="A742">
        <v>200741</v>
      </c>
      <c r="B742">
        <v>53003</v>
      </c>
      <c r="C742" t="s">
        <v>18</v>
      </c>
      <c r="D742">
        <v>4437.95</v>
      </c>
      <c r="E742">
        <v>227</v>
      </c>
      <c r="F742">
        <v>0</v>
      </c>
      <c r="G742">
        <v>3</v>
      </c>
      <c r="H742">
        <v>0</v>
      </c>
      <c r="I742" t="s">
        <v>32</v>
      </c>
      <c r="J742">
        <v>0</v>
      </c>
      <c r="K742">
        <v>75</v>
      </c>
      <c r="L742" t="s">
        <v>20</v>
      </c>
      <c r="M742" t="s">
        <v>31</v>
      </c>
      <c r="N742" t="s">
        <v>30</v>
      </c>
      <c r="O742" t="s">
        <v>36</v>
      </c>
      <c r="P742">
        <v>0.74</v>
      </c>
      <c r="Q742" s="2" t="b">
        <f>FALSE()</f>
        <v>0</v>
      </c>
      <c r="R742">
        <v>1</v>
      </c>
    </row>
    <row r="743" spans="1:18" x14ac:dyDescent="0.25">
      <c r="A743">
        <v>200742</v>
      </c>
      <c r="B743">
        <v>55829</v>
      </c>
      <c r="C743" t="s">
        <v>28</v>
      </c>
      <c r="D743">
        <v>4189.99</v>
      </c>
      <c r="E743">
        <v>3057</v>
      </c>
      <c r="F743">
        <v>1</v>
      </c>
      <c r="G743">
        <v>2</v>
      </c>
      <c r="H743">
        <v>1</v>
      </c>
      <c r="I743" t="s">
        <v>19</v>
      </c>
      <c r="J743">
        <v>1</v>
      </c>
      <c r="K743">
        <v>27</v>
      </c>
      <c r="L743" t="s">
        <v>38</v>
      </c>
      <c r="M743" t="s">
        <v>31</v>
      </c>
      <c r="N743" t="s">
        <v>30</v>
      </c>
      <c r="O743" t="s">
        <v>36</v>
      </c>
      <c r="P743">
        <v>6.86</v>
      </c>
      <c r="Q743" s="2" t="b">
        <f>FALSE()</f>
        <v>0</v>
      </c>
      <c r="R743">
        <v>1</v>
      </c>
    </row>
    <row r="744" spans="1:18" x14ac:dyDescent="0.25">
      <c r="A744">
        <v>200743</v>
      </c>
      <c r="B744">
        <v>53700</v>
      </c>
      <c r="C744" t="s">
        <v>34</v>
      </c>
      <c r="D744">
        <v>4920.9399999999996</v>
      </c>
      <c r="E744">
        <v>97</v>
      </c>
      <c r="F744">
        <v>0</v>
      </c>
      <c r="G744">
        <v>7</v>
      </c>
      <c r="H744">
        <v>0</v>
      </c>
      <c r="I744" t="s">
        <v>19</v>
      </c>
      <c r="J744">
        <v>0</v>
      </c>
      <c r="K744">
        <v>79</v>
      </c>
      <c r="L744" t="s">
        <v>20</v>
      </c>
      <c r="M744" t="s">
        <v>25</v>
      </c>
      <c r="N744" t="s">
        <v>26</v>
      </c>
      <c r="O744" t="s">
        <v>23</v>
      </c>
      <c r="P744">
        <v>3.75</v>
      </c>
      <c r="Q744" s="2" t="b">
        <f>FALSE()</f>
        <v>0</v>
      </c>
      <c r="R744">
        <v>1</v>
      </c>
    </row>
    <row r="745" spans="1:18" x14ac:dyDescent="0.25">
      <c r="A745">
        <v>200744</v>
      </c>
      <c r="B745">
        <v>53065</v>
      </c>
      <c r="C745" t="s">
        <v>34</v>
      </c>
      <c r="D745">
        <v>1067.33</v>
      </c>
      <c r="E745">
        <v>952</v>
      </c>
      <c r="F745">
        <v>1</v>
      </c>
      <c r="G745">
        <v>3</v>
      </c>
      <c r="H745">
        <v>0</v>
      </c>
      <c r="I745" t="s">
        <v>19</v>
      </c>
      <c r="J745">
        <v>0</v>
      </c>
      <c r="K745">
        <v>31</v>
      </c>
      <c r="L745" t="s">
        <v>20</v>
      </c>
      <c r="M745" t="s">
        <v>37</v>
      </c>
      <c r="N745" t="s">
        <v>30</v>
      </c>
      <c r="O745" t="s">
        <v>36</v>
      </c>
      <c r="P745">
        <v>7.17</v>
      </c>
      <c r="Q745" s="2" t="b">
        <f>FALSE()</f>
        <v>0</v>
      </c>
      <c r="R745">
        <v>0</v>
      </c>
    </row>
    <row r="746" spans="1:18" x14ac:dyDescent="0.25">
      <c r="A746">
        <v>200745</v>
      </c>
      <c r="B746">
        <v>54047</v>
      </c>
      <c r="C746" t="s">
        <v>18</v>
      </c>
      <c r="D746">
        <v>2123.89</v>
      </c>
      <c r="E746">
        <v>387</v>
      </c>
      <c r="F746">
        <v>1</v>
      </c>
      <c r="G746">
        <v>4</v>
      </c>
      <c r="H746">
        <v>0</v>
      </c>
      <c r="I746" t="s">
        <v>33</v>
      </c>
      <c r="J746">
        <v>0</v>
      </c>
      <c r="K746">
        <v>78</v>
      </c>
      <c r="L746" t="s">
        <v>20</v>
      </c>
      <c r="M746" t="s">
        <v>31</v>
      </c>
      <c r="N746" t="s">
        <v>30</v>
      </c>
      <c r="O746" t="s">
        <v>23</v>
      </c>
      <c r="P746">
        <v>0.67</v>
      </c>
      <c r="Q746" s="2" t="b">
        <f>FALSE()</f>
        <v>0</v>
      </c>
      <c r="R746">
        <v>0</v>
      </c>
    </row>
    <row r="747" spans="1:18" x14ac:dyDescent="0.25">
      <c r="A747">
        <v>200746</v>
      </c>
      <c r="B747">
        <v>51906</v>
      </c>
      <c r="C747" t="s">
        <v>18</v>
      </c>
      <c r="D747">
        <v>1760.64</v>
      </c>
      <c r="E747">
        <v>900</v>
      </c>
      <c r="F747">
        <v>0</v>
      </c>
      <c r="G747">
        <v>1</v>
      </c>
      <c r="H747">
        <v>0</v>
      </c>
      <c r="I747" t="s">
        <v>33</v>
      </c>
      <c r="J747">
        <v>0</v>
      </c>
      <c r="K747">
        <v>55</v>
      </c>
      <c r="L747" t="s">
        <v>20</v>
      </c>
      <c r="M747" t="s">
        <v>25</v>
      </c>
      <c r="N747" t="s">
        <v>26</v>
      </c>
      <c r="O747" t="s">
        <v>27</v>
      </c>
      <c r="P747">
        <v>1.49</v>
      </c>
      <c r="Q747" s="2" t="b">
        <f>FALSE()</f>
        <v>0</v>
      </c>
      <c r="R747">
        <v>0</v>
      </c>
    </row>
    <row r="748" spans="1:18" x14ac:dyDescent="0.25">
      <c r="A748">
        <v>200747</v>
      </c>
      <c r="B748">
        <v>50098</v>
      </c>
      <c r="C748" t="s">
        <v>34</v>
      </c>
      <c r="D748">
        <v>777.51</v>
      </c>
      <c r="E748">
        <v>1850</v>
      </c>
      <c r="F748">
        <v>1</v>
      </c>
      <c r="G748">
        <v>5</v>
      </c>
      <c r="H748">
        <v>0</v>
      </c>
      <c r="I748" t="s">
        <v>33</v>
      </c>
      <c r="J748">
        <v>0</v>
      </c>
      <c r="K748">
        <v>43</v>
      </c>
      <c r="L748" t="s">
        <v>24</v>
      </c>
      <c r="M748" t="s">
        <v>35</v>
      </c>
      <c r="N748" t="s">
        <v>22</v>
      </c>
      <c r="O748" t="s">
        <v>27</v>
      </c>
      <c r="P748">
        <v>0.42</v>
      </c>
      <c r="Q748" s="2" t="b">
        <f>FALSE()</f>
        <v>0</v>
      </c>
      <c r="R748">
        <v>0</v>
      </c>
    </row>
    <row r="749" spans="1:18" x14ac:dyDescent="0.25">
      <c r="A749">
        <v>200748</v>
      </c>
      <c r="B749">
        <v>52778</v>
      </c>
      <c r="C749" t="s">
        <v>28</v>
      </c>
      <c r="D749">
        <v>1065.28</v>
      </c>
      <c r="E749">
        <v>123</v>
      </c>
      <c r="F749">
        <v>0</v>
      </c>
      <c r="G749">
        <v>7</v>
      </c>
      <c r="H749">
        <v>0</v>
      </c>
      <c r="I749" t="s">
        <v>33</v>
      </c>
      <c r="J749">
        <v>0</v>
      </c>
      <c r="K749">
        <v>22</v>
      </c>
      <c r="L749" t="s">
        <v>20</v>
      </c>
      <c r="M749" t="s">
        <v>31</v>
      </c>
      <c r="N749" t="s">
        <v>22</v>
      </c>
      <c r="O749" t="s">
        <v>27</v>
      </c>
      <c r="P749">
        <v>6.8</v>
      </c>
      <c r="Q749" s="2" t="b">
        <f>FALSE()</f>
        <v>0</v>
      </c>
      <c r="R749">
        <v>1</v>
      </c>
    </row>
    <row r="750" spans="1:18" x14ac:dyDescent="0.25">
      <c r="A750">
        <v>200749</v>
      </c>
      <c r="B750">
        <v>53396</v>
      </c>
      <c r="C750" t="s">
        <v>18</v>
      </c>
      <c r="D750">
        <v>2669.64</v>
      </c>
      <c r="E750">
        <v>127</v>
      </c>
      <c r="F750">
        <v>1</v>
      </c>
      <c r="G750">
        <v>1</v>
      </c>
      <c r="H750">
        <v>0</v>
      </c>
      <c r="I750" t="s">
        <v>19</v>
      </c>
      <c r="J750">
        <v>0</v>
      </c>
      <c r="K750">
        <v>66</v>
      </c>
      <c r="L750" t="s">
        <v>20</v>
      </c>
      <c r="M750" t="s">
        <v>31</v>
      </c>
      <c r="N750" t="s">
        <v>26</v>
      </c>
      <c r="O750" t="s">
        <v>27</v>
      </c>
      <c r="P750">
        <v>1.82</v>
      </c>
      <c r="Q750" s="2" t="b">
        <f>FALSE()</f>
        <v>0</v>
      </c>
      <c r="R750">
        <v>0</v>
      </c>
    </row>
    <row r="751" spans="1:18" x14ac:dyDescent="0.25">
      <c r="A751">
        <v>200750</v>
      </c>
      <c r="B751">
        <v>55447</v>
      </c>
      <c r="C751" t="s">
        <v>18</v>
      </c>
      <c r="D751">
        <v>2048.35</v>
      </c>
      <c r="E751">
        <v>2955</v>
      </c>
      <c r="F751">
        <v>1</v>
      </c>
      <c r="G751">
        <v>2</v>
      </c>
      <c r="H751">
        <v>1</v>
      </c>
      <c r="I751" t="s">
        <v>33</v>
      </c>
      <c r="J751">
        <v>1</v>
      </c>
      <c r="K751">
        <v>59</v>
      </c>
      <c r="L751" t="s">
        <v>24</v>
      </c>
      <c r="M751" t="s">
        <v>21</v>
      </c>
      <c r="N751" t="s">
        <v>22</v>
      </c>
      <c r="O751" t="s">
        <v>23</v>
      </c>
      <c r="P751">
        <v>0.6</v>
      </c>
      <c r="Q751" s="2" t="b">
        <f>FALSE()</f>
        <v>0</v>
      </c>
      <c r="R751">
        <v>0</v>
      </c>
    </row>
    <row r="752" spans="1:18" x14ac:dyDescent="0.25">
      <c r="A752">
        <v>200751</v>
      </c>
      <c r="B752">
        <v>50264</v>
      </c>
      <c r="C752" t="s">
        <v>34</v>
      </c>
      <c r="D752">
        <v>2576.14</v>
      </c>
      <c r="E752">
        <v>2246</v>
      </c>
      <c r="F752">
        <v>2</v>
      </c>
      <c r="G752">
        <v>2</v>
      </c>
      <c r="H752">
        <v>0</v>
      </c>
      <c r="I752" t="s">
        <v>33</v>
      </c>
      <c r="J752">
        <v>1</v>
      </c>
      <c r="K752">
        <v>37</v>
      </c>
      <c r="L752" t="s">
        <v>24</v>
      </c>
      <c r="M752" t="s">
        <v>31</v>
      </c>
      <c r="N752" t="s">
        <v>26</v>
      </c>
      <c r="O752" t="s">
        <v>36</v>
      </c>
      <c r="P752">
        <v>4.49</v>
      </c>
      <c r="Q752" s="2" t="b">
        <f>FALSE()</f>
        <v>0</v>
      </c>
      <c r="R752">
        <v>0</v>
      </c>
    </row>
    <row r="753" spans="1:18" x14ac:dyDescent="0.25">
      <c r="A753">
        <v>200752</v>
      </c>
      <c r="B753">
        <v>52747</v>
      </c>
      <c r="C753" t="s">
        <v>18</v>
      </c>
      <c r="D753">
        <v>1864.56</v>
      </c>
      <c r="E753">
        <v>404</v>
      </c>
      <c r="F753">
        <v>0</v>
      </c>
      <c r="G753">
        <v>5</v>
      </c>
      <c r="H753">
        <v>0</v>
      </c>
      <c r="I753" t="s">
        <v>33</v>
      </c>
      <c r="J753">
        <v>0</v>
      </c>
      <c r="K753">
        <v>81</v>
      </c>
      <c r="L753" t="s">
        <v>20</v>
      </c>
      <c r="M753" t="s">
        <v>25</v>
      </c>
      <c r="N753" t="s">
        <v>30</v>
      </c>
      <c r="O753" t="s">
        <v>27</v>
      </c>
      <c r="P753">
        <v>1.68</v>
      </c>
      <c r="Q753" s="2" t="b">
        <f>FALSE()</f>
        <v>0</v>
      </c>
      <c r="R753">
        <v>0</v>
      </c>
    </row>
    <row r="754" spans="1:18" x14ac:dyDescent="0.25">
      <c r="A754">
        <v>200753</v>
      </c>
      <c r="B754">
        <v>54909</v>
      </c>
      <c r="C754" t="s">
        <v>18</v>
      </c>
      <c r="D754">
        <v>835.62</v>
      </c>
      <c r="E754">
        <v>913</v>
      </c>
      <c r="F754">
        <v>2</v>
      </c>
      <c r="G754">
        <v>2</v>
      </c>
      <c r="H754">
        <v>0</v>
      </c>
      <c r="I754" t="s">
        <v>32</v>
      </c>
      <c r="J754">
        <v>0</v>
      </c>
      <c r="K754">
        <v>57</v>
      </c>
      <c r="L754" t="s">
        <v>24</v>
      </c>
      <c r="M754" t="s">
        <v>37</v>
      </c>
      <c r="N754" t="s">
        <v>22</v>
      </c>
      <c r="O754" t="s">
        <v>36</v>
      </c>
      <c r="P754">
        <v>1.7</v>
      </c>
      <c r="Q754" s="2" t="b">
        <f>FALSE()</f>
        <v>0</v>
      </c>
      <c r="R754">
        <v>0</v>
      </c>
    </row>
    <row r="755" spans="1:18" x14ac:dyDescent="0.25">
      <c r="A755">
        <v>200754</v>
      </c>
      <c r="B755">
        <v>53923</v>
      </c>
      <c r="C755" t="s">
        <v>34</v>
      </c>
      <c r="D755">
        <v>7400.81</v>
      </c>
      <c r="E755">
        <v>1417</v>
      </c>
      <c r="F755">
        <v>0</v>
      </c>
      <c r="G755">
        <v>3</v>
      </c>
      <c r="H755">
        <v>1</v>
      </c>
      <c r="I755" t="s">
        <v>33</v>
      </c>
      <c r="J755">
        <v>0</v>
      </c>
      <c r="K755">
        <v>70</v>
      </c>
      <c r="L755" t="s">
        <v>20</v>
      </c>
      <c r="M755" t="s">
        <v>25</v>
      </c>
      <c r="N755" t="s">
        <v>22</v>
      </c>
      <c r="O755" t="s">
        <v>36</v>
      </c>
      <c r="P755">
        <v>3.81</v>
      </c>
      <c r="Q755" s="2" t="b">
        <f>TRUE()</f>
        <v>1</v>
      </c>
      <c r="R755">
        <v>1</v>
      </c>
    </row>
    <row r="756" spans="1:18" x14ac:dyDescent="0.25">
      <c r="A756">
        <v>200755</v>
      </c>
      <c r="B756">
        <v>53740</v>
      </c>
      <c r="C756" t="s">
        <v>18</v>
      </c>
      <c r="D756">
        <v>1126.68</v>
      </c>
      <c r="E756">
        <v>1195</v>
      </c>
      <c r="F756">
        <v>0</v>
      </c>
      <c r="G756">
        <v>2</v>
      </c>
      <c r="H756">
        <v>0</v>
      </c>
      <c r="I756" t="s">
        <v>33</v>
      </c>
      <c r="J756">
        <v>1</v>
      </c>
      <c r="K756">
        <v>84</v>
      </c>
      <c r="L756" t="s">
        <v>24</v>
      </c>
      <c r="M756" t="s">
        <v>31</v>
      </c>
      <c r="N756" t="s">
        <v>22</v>
      </c>
      <c r="O756" t="s">
        <v>23</v>
      </c>
      <c r="P756">
        <v>10.220000000000001</v>
      </c>
      <c r="Q756" s="2" t="b">
        <f>FALSE()</f>
        <v>0</v>
      </c>
      <c r="R756">
        <v>0</v>
      </c>
    </row>
    <row r="757" spans="1:18" x14ac:dyDescent="0.25">
      <c r="A757">
        <v>200756</v>
      </c>
      <c r="B757">
        <v>52949</v>
      </c>
      <c r="C757" t="s">
        <v>18</v>
      </c>
      <c r="D757">
        <v>377.69</v>
      </c>
      <c r="E757">
        <v>1792</v>
      </c>
      <c r="F757">
        <v>2</v>
      </c>
      <c r="G757">
        <v>3</v>
      </c>
      <c r="H757">
        <v>0</v>
      </c>
      <c r="I757" t="s">
        <v>19</v>
      </c>
      <c r="J757">
        <v>1</v>
      </c>
      <c r="K757">
        <v>45</v>
      </c>
      <c r="L757" t="s">
        <v>20</v>
      </c>
      <c r="M757" t="s">
        <v>25</v>
      </c>
      <c r="N757" t="s">
        <v>30</v>
      </c>
      <c r="O757" t="s">
        <v>27</v>
      </c>
      <c r="P757">
        <v>1.81</v>
      </c>
      <c r="Q757" s="2" t="b">
        <f>FALSE()</f>
        <v>0</v>
      </c>
      <c r="R757">
        <v>0</v>
      </c>
    </row>
    <row r="758" spans="1:18" x14ac:dyDescent="0.25">
      <c r="A758">
        <v>200757</v>
      </c>
      <c r="B758">
        <v>50556</v>
      </c>
      <c r="C758" t="s">
        <v>28</v>
      </c>
      <c r="D758">
        <v>5046.4399999999996</v>
      </c>
      <c r="E758">
        <v>2182</v>
      </c>
      <c r="F758">
        <v>0</v>
      </c>
      <c r="G758">
        <v>5</v>
      </c>
      <c r="H758">
        <v>0</v>
      </c>
      <c r="I758" t="s">
        <v>19</v>
      </c>
      <c r="J758">
        <v>0</v>
      </c>
      <c r="K758">
        <v>56</v>
      </c>
      <c r="L758" t="s">
        <v>20</v>
      </c>
      <c r="M758" t="s">
        <v>21</v>
      </c>
      <c r="N758" t="s">
        <v>26</v>
      </c>
      <c r="O758" t="s">
        <v>23</v>
      </c>
      <c r="P758">
        <v>1.98</v>
      </c>
      <c r="Q758" s="2" t="b">
        <f>FALSE()</f>
        <v>0</v>
      </c>
      <c r="R758">
        <v>1</v>
      </c>
    </row>
    <row r="759" spans="1:18" x14ac:dyDescent="0.25">
      <c r="A759">
        <v>200758</v>
      </c>
      <c r="B759">
        <v>53156</v>
      </c>
      <c r="C759" t="s">
        <v>28</v>
      </c>
      <c r="D759">
        <v>1077.76</v>
      </c>
      <c r="E759">
        <v>1450</v>
      </c>
      <c r="F759">
        <v>2</v>
      </c>
      <c r="G759">
        <v>3</v>
      </c>
      <c r="H759">
        <v>0</v>
      </c>
      <c r="I759" t="s">
        <v>33</v>
      </c>
      <c r="J759">
        <v>0</v>
      </c>
      <c r="K759">
        <v>26</v>
      </c>
      <c r="L759" t="s">
        <v>20</v>
      </c>
      <c r="M759" t="s">
        <v>37</v>
      </c>
      <c r="N759" t="s">
        <v>22</v>
      </c>
      <c r="O759" t="s">
        <v>27</v>
      </c>
      <c r="P759">
        <v>1.86</v>
      </c>
      <c r="Q759" s="2" t="b">
        <f>FALSE()</f>
        <v>0</v>
      </c>
      <c r="R759">
        <v>0</v>
      </c>
    </row>
    <row r="760" spans="1:18" x14ac:dyDescent="0.25">
      <c r="A760">
        <v>200759</v>
      </c>
      <c r="B760">
        <v>54534</v>
      </c>
      <c r="C760" t="s">
        <v>34</v>
      </c>
      <c r="D760">
        <v>1137.5999999999999</v>
      </c>
      <c r="E760">
        <v>3386</v>
      </c>
      <c r="F760">
        <v>2</v>
      </c>
      <c r="G760">
        <v>7</v>
      </c>
      <c r="H760">
        <v>0</v>
      </c>
      <c r="I760" t="s">
        <v>19</v>
      </c>
      <c r="J760">
        <v>0</v>
      </c>
      <c r="K760">
        <v>37</v>
      </c>
      <c r="L760" t="s">
        <v>20</v>
      </c>
      <c r="M760" t="s">
        <v>31</v>
      </c>
      <c r="N760" t="s">
        <v>22</v>
      </c>
      <c r="O760" t="s">
        <v>23</v>
      </c>
      <c r="P760">
        <v>3.48</v>
      </c>
      <c r="Q760" s="2" t="b">
        <f>FALSE()</f>
        <v>0</v>
      </c>
      <c r="R760">
        <v>1</v>
      </c>
    </row>
    <row r="761" spans="1:18" x14ac:dyDescent="0.25">
      <c r="A761">
        <v>200760</v>
      </c>
      <c r="B761">
        <v>55135</v>
      </c>
      <c r="C761" t="s">
        <v>34</v>
      </c>
      <c r="D761">
        <v>3041.59</v>
      </c>
      <c r="E761">
        <v>3372</v>
      </c>
      <c r="F761">
        <v>2</v>
      </c>
      <c r="G761">
        <v>3</v>
      </c>
      <c r="H761">
        <v>0</v>
      </c>
      <c r="I761" t="s">
        <v>19</v>
      </c>
      <c r="J761">
        <v>1</v>
      </c>
      <c r="K761">
        <v>65</v>
      </c>
      <c r="L761" t="s">
        <v>20</v>
      </c>
      <c r="M761" t="s">
        <v>25</v>
      </c>
      <c r="N761" t="s">
        <v>22</v>
      </c>
      <c r="O761" t="s">
        <v>36</v>
      </c>
      <c r="P761">
        <v>4.97</v>
      </c>
      <c r="Q761" s="2" t="b">
        <f>FALSE()</f>
        <v>0</v>
      </c>
      <c r="R761">
        <v>0</v>
      </c>
    </row>
    <row r="762" spans="1:18" x14ac:dyDescent="0.25">
      <c r="A762">
        <v>200761</v>
      </c>
      <c r="B762">
        <v>52125</v>
      </c>
      <c r="C762" t="s">
        <v>34</v>
      </c>
      <c r="D762">
        <v>5786.23</v>
      </c>
      <c r="E762">
        <v>1705</v>
      </c>
      <c r="F762">
        <v>1</v>
      </c>
      <c r="G762">
        <v>5</v>
      </c>
      <c r="H762">
        <v>0</v>
      </c>
      <c r="I762" t="s">
        <v>33</v>
      </c>
      <c r="J762">
        <v>0</v>
      </c>
      <c r="K762">
        <v>41</v>
      </c>
      <c r="L762" t="s">
        <v>24</v>
      </c>
      <c r="M762" t="s">
        <v>35</v>
      </c>
      <c r="N762" t="s">
        <v>26</v>
      </c>
      <c r="O762" t="s">
        <v>23</v>
      </c>
      <c r="P762">
        <v>14.43</v>
      </c>
      <c r="Q762" s="2" t="b">
        <f>FALSE()</f>
        <v>0</v>
      </c>
      <c r="R762">
        <v>1</v>
      </c>
    </row>
    <row r="763" spans="1:18" x14ac:dyDescent="0.25">
      <c r="A763">
        <v>200762</v>
      </c>
      <c r="B763">
        <v>52675</v>
      </c>
      <c r="C763" t="s">
        <v>18</v>
      </c>
      <c r="D763">
        <v>1330.86</v>
      </c>
      <c r="E763">
        <v>2120</v>
      </c>
      <c r="F763">
        <v>3</v>
      </c>
      <c r="G763">
        <v>3</v>
      </c>
      <c r="H763">
        <v>1</v>
      </c>
      <c r="I763" t="s">
        <v>33</v>
      </c>
      <c r="J763">
        <v>0</v>
      </c>
      <c r="K763">
        <v>73</v>
      </c>
      <c r="L763" t="s">
        <v>24</v>
      </c>
      <c r="M763" t="s">
        <v>35</v>
      </c>
      <c r="N763" t="s">
        <v>30</v>
      </c>
      <c r="O763" t="s">
        <v>27</v>
      </c>
      <c r="P763">
        <v>4.49</v>
      </c>
      <c r="Q763" s="2" t="b">
        <f>FALSE()</f>
        <v>0</v>
      </c>
      <c r="R763">
        <v>1</v>
      </c>
    </row>
    <row r="764" spans="1:18" x14ac:dyDescent="0.25">
      <c r="A764">
        <v>200763</v>
      </c>
      <c r="B764">
        <v>50207</v>
      </c>
      <c r="C764" t="s">
        <v>34</v>
      </c>
      <c r="D764">
        <v>143.94</v>
      </c>
      <c r="E764">
        <v>2478</v>
      </c>
      <c r="F764">
        <v>0</v>
      </c>
      <c r="G764">
        <v>7</v>
      </c>
      <c r="H764">
        <v>0</v>
      </c>
      <c r="I764" t="s">
        <v>33</v>
      </c>
      <c r="J764">
        <v>0</v>
      </c>
      <c r="K764">
        <v>31</v>
      </c>
      <c r="L764" t="s">
        <v>20</v>
      </c>
      <c r="M764" t="s">
        <v>35</v>
      </c>
      <c r="N764" t="s">
        <v>22</v>
      </c>
      <c r="O764" t="s">
        <v>36</v>
      </c>
      <c r="P764">
        <v>1.26</v>
      </c>
      <c r="Q764" s="2" t="b">
        <f>FALSE()</f>
        <v>0</v>
      </c>
      <c r="R764">
        <v>1</v>
      </c>
    </row>
    <row r="765" spans="1:18" x14ac:dyDescent="0.25">
      <c r="A765">
        <v>200764</v>
      </c>
      <c r="B765">
        <v>53251</v>
      </c>
      <c r="C765" t="s">
        <v>34</v>
      </c>
      <c r="D765">
        <v>637.69000000000005</v>
      </c>
      <c r="E765">
        <v>3436</v>
      </c>
      <c r="F765">
        <v>1</v>
      </c>
      <c r="G765">
        <v>2</v>
      </c>
      <c r="H765">
        <v>0</v>
      </c>
      <c r="I765" t="s">
        <v>33</v>
      </c>
      <c r="J765">
        <v>0</v>
      </c>
      <c r="K765">
        <v>79</v>
      </c>
      <c r="L765" t="s">
        <v>24</v>
      </c>
      <c r="M765" t="s">
        <v>21</v>
      </c>
      <c r="N765" t="s">
        <v>22</v>
      </c>
      <c r="O765" t="s">
        <v>27</v>
      </c>
      <c r="P765">
        <v>1.19</v>
      </c>
      <c r="Q765" s="2" t="b">
        <f>FALSE()</f>
        <v>0</v>
      </c>
      <c r="R765">
        <v>0</v>
      </c>
    </row>
    <row r="766" spans="1:18" x14ac:dyDescent="0.25">
      <c r="A766">
        <v>200765</v>
      </c>
      <c r="B766">
        <v>55191</v>
      </c>
      <c r="C766" t="s">
        <v>18</v>
      </c>
      <c r="D766">
        <v>1206.51</v>
      </c>
      <c r="E766">
        <v>699</v>
      </c>
      <c r="F766">
        <v>3</v>
      </c>
      <c r="G766">
        <v>3</v>
      </c>
      <c r="H766">
        <v>0</v>
      </c>
      <c r="I766" t="s">
        <v>19</v>
      </c>
      <c r="J766">
        <v>0</v>
      </c>
      <c r="K766">
        <v>27</v>
      </c>
      <c r="L766" t="s">
        <v>24</v>
      </c>
      <c r="M766" t="s">
        <v>25</v>
      </c>
      <c r="N766" t="s">
        <v>30</v>
      </c>
      <c r="O766" t="s">
        <v>23</v>
      </c>
      <c r="P766">
        <v>0.82</v>
      </c>
      <c r="Q766" s="2" t="b">
        <f>FALSE()</f>
        <v>0</v>
      </c>
      <c r="R766">
        <v>1</v>
      </c>
    </row>
    <row r="767" spans="1:18" x14ac:dyDescent="0.25">
      <c r="A767">
        <v>200766</v>
      </c>
      <c r="B767">
        <v>52279</v>
      </c>
      <c r="C767" t="s">
        <v>34</v>
      </c>
      <c r="D767">
        <v>3289.46</v>
      </c>
      <c r="E767">
        <v>809</v>
      </c>
      <c r="F767">
        <v>2</v>
      </c>
      <c r="G767">
        <v>1</v>
      </c>
      <c r="H767">
        <v>0</v>
      </c>
      <c r="I767" t="s">
        <v>33</v>
      </c>
      <c r="J767">
        <v>0</v>
      </c>
      <c r="K767">
        <v>23</v>
      </c>
      <c r="L767" t="s">
        <v>24</v>
      </c>
      <c r="M767" t="s">
        <v>29</v>
      </c>
      <c r="N767" t="s">
        <v>30</v>
      </c>
      <c r="O767" t="s">
        <v>36</v>
      </c>
      <c r="P767">
        <v>0.39</v>
      </c>
      <c r="Q767" s="2" t="b">
        <f>FALSE()</f>
        <v>0</v>
      </c>
      <c r="R767">
        <v>0</v>
      </c>
    </row>
    <row r="768" spans="1:18" x14ac:dyDescent="0.25">
      <c r="A768">
        <v>200767</v>
      </c>
      <c r="B768">
        <v>55495</v>
      </c>
      <c r="C768" t="s">
        <v>34</v>
      </c>
      <c r="D768">
        <v>1758.96</v>
      </c>
      <c r="E768">
        <v>277</v>
      </c>
      <c r="F768">
        <v>1</v>
      </c>
      <c r="G768">
        <v>3</v>
      </c>
      <c r="H768">
        <v>0</v>
      </c>
      <c r="I768" t="s">
        <v>19</v>
      </c>
      <c r="J768">
        <v>1</v>
      </c>
      <c r="K768">
        <v>23</v>
      </c>
      <c r="L768" t="s">
        <v>24</v>
      </c>
      <c r="M768" t="s">
        <v>35</v>
      </c>
      <c r="N768" t="s">
        <v>26</v>
      </c>
      <c r="O768" t="s">
        <v>23</v>
      </c>
      <c r="P768">
        <v>0.53</v>
      </c>
      <c r="Q768" s="2" t="b">
        <f>FALSE()</f>
        <v>0</v>
      </c>
      <c r="R768">
        <v>0</v>
      </c>
    </row>
    <row r="769" spans="1:18" x14ac:dyDescent="0.25">
      <c r="A769">
        <v>200768</v>
      </c>
      <c r="B769">
        <v>55181</v>
      </c>
      <c r="C769" t="s">
        <v>18</v>
      </c>
      <c r="D769">
        <v>667.05</v>
      </c>
      <c r="E769">
        <v>1498</v>
      </c>
      <c r="F769">
        <v>2</v>
      </c>
      <c r="G769">
        <v>5</v>
      </c>
      <c r="H769">
        <v>1</v>
      </c>
      <c r="I769" t="s">
        <v>32</v>
      </c>
      <c r="J769">
        <v>1</v>
      </c>
      <c r="K769">
        <v>58</v>
      </c>
      <c r="L769" t="s">
        <v>24</v>
      </c>
      <c r="M769" t="s">
        <v>21</v>
      </c>
      <c r="N769" t="s">
        <v>26</v>
      </c>
      <c r="O769" t="s">
        <v>27</v>
      </c>
      <c r="P769">
        <v>0.72</v>
      </c>
      <c r="Q769" s="2" t="b">
        <f>FALSE()</f>
        <v>0</v>
      </c>
      <c r="R769">
        <v>0</v>
      </c>
    </row>
    <row r="770" spans="1:18" x14ac:dyDescent="0.25">
      <c r="A770">
        <v>200769</v>
      </c>
      <c r="B770">
        <v>53416</v>
      </c>
      <c r="C770" t="s">
        <v>34</v>
      </c>
      <c r="D770">
        <v>495.78</v>
      </c>
      <c r="E770">
        <v>2148</v>
      </c>
      <c r="F770">
        <v>0</v>
      </c>
      <c r="G770">
        <v>5</v>
      </c>
      <c r="H770">
        <v>0</v>
      </c>
      <c r="I770" t="s">
        <v>33</v>
      </c>
      <c r="J770">
        <v>0</v>
      </c>
      <c r="K770">
        <v>68</v>
      </c>
      <c r="L770" t="s">
        <v>24</v>
      </c>
      <c r="M770" t="s">
        <v>21</v>
      </c>
      <c r="N770" t="s">
        <v>22</v>
      </c>
      <c r="O770" t="s">
        <v>36</v>
      </c>
      <c r="P770">
        <v>2.56</v>
      </c>
      <c r="Q770" s="2" t="b">
        <f>FALSE()</f>
        <v>0</v>
      </c>
      <c r="R770">
        <v>0</v>
      </c>
    </row>
    <row r="771" spans="1:18" x14ac:dyDescent="0.25">
      <c r="A771">
        <v>200770</v>
      </c>
      <c r="B771">
        <v>52632</v>
      </c>
      <c r="C771" t="s">
        <v>34</v>
      </c>
      <c r="D771">
        <v>3097.79</v>
      </c>
      <c r="E771">
        <v>2736</v>
      </c>
      <c r="F771">
        <v>1</v>
      </c>
      <c r="G771">
        <v>2</v>
      </c>
      <c r="H771">
        <v>0</v>
      </c>
      <c r="I771" t="s">
        <v>33</v>
      </c>
      <c r="J771">
        <v>0</v>
      </c>
      <c r="K771">
        <v>37</v>
      </c>
      <c r="L771" t="s">
        <v>24</v>
      </c>
      <c r="M771" t="s">
        <v>37</v>
      </c>
      <c r="N771" t="s">
        <v>26</v>
      </c>
      <c r="O771" t="s">
        <v>27</v>
      </c>
      <c r="P771">
        <v>0.52</v>
      </c>
      <c r="Q771" s="2" t="b">
        <f>FALSE()</f>
        <v>0</v>
      </c>
      <c r="R771">
        <v>0</v>
      </c>
    </row>
    <row r="772" spans="1:18" x14ac:dyDescent="0.25">
      <c r="A772">
        <v>200771</v>
      </c>
      <c r="B772">
        <v>51312</v>
      </c>
      <c r="C772" t="s">
        <v>18</v>
      </c>
      <c r="D772">
        <v>1407.49</v>
      </c>
      <c r="E772">
        <v>3081</v>
      </c>
      <c r="F772">
        <v>3</v>
      </c>
      <c r="G772">
        <v>3</v>
      </c>
      <c r="H772">
        <v>0</v>
      </c>
      <c r="I772" t="s">
        <v>19</v>
      </c>
      <c r="J772">
        <v>0</v>
      </c>
      <c r="K772">
        <v>31</v>
      </c>
      <c r="L772" t="s">
        <v>20</v>
      </c>
      <c r="M772" t="s">
        <v>21</v>
      </c>
      <c r="N772" t="s">
        <v>22</v>
      </c>
      <c r="O772" t="s">
        <v>36</v>
      </c>
      <c r="P772">
        <v>0.08</v>
      </c>
      <c r="Q772" s="2" t="b">
        <f>FALSE()</f>
        <v>0</v>
      </c>
      <c r="R772">
        <v>1</v>
      </c>
    </row>
    <row r="773" spans="1:18" x14ac:dyDescent="0.25">
      <c r="A773">
        <v>200772</v>
      </c>
      <c r="B773">
        <v>55921</v>
      </c>
      <c r="C773" t="s">
        <v>34</v>
      </c>
      <c r="D773">
        <v>1713.66</v>
      </c>
      <c r="E773">
        <v>2760</v>
      </c>
      <c r="F773">
        <v>1</v>
      </c>
      <c r="G773">
        <v>3</v>
      </c>
      <c r="H773">
        <v>1</v>
      </c>
      <c r="I773" t="s">
        <v>33</v>
      </c>
      <c r="J773">
        <v>1</v>
      </c>
      <c r="K773">
        <v>20</v>
      </c>
      <c r="L773" t="s">
        <v>24</v>
      </c>
      <c r="M773" t="s">
        <v>25</v>
      </c>
      <c r="N773" t="s">
        <v>22</v>
      </c>
      <c r="O773" t="s">
        <v>23</v>
      </c>
      <c r="P773">
        <v>1.5</v>
      </c>
      <c r="Q773" s="2" t="b">
        <f>FALSE()</f>
        <v>0</v>
      </c>
      <c r="R773">
        <v>0</v>
      </c>
    </row>
    <row r="774" spans="1:18" x14ac:dyDescent="0.25">
      <c r="A774">
        <v>200773</v>
      </c>
      <c r="B774">
        <v>50499</v>
      </c>
      <c r="C774" t="s">
        <v>34</v>
      </c>
      <c r="D774">
        <v>1831.09</v>
      </c>
      <c r="E774">
        <v>3320</v>
      </c>
      <c r="F774">
        <v>1</v>
      </c>
      <c r="G774">
        <v>7</v>
      </c>
      <c r="H774">
        <v>0</v>
      </c>
      <c r="I774" t="s">
        <v>32</v>
      </c>
      <c r="J774">
        <v>0</v>
      </c>
      <c r="K774">
        <v>75</v>
      </c>
      <c r="L774" t="s">
        <v>24</v>
      </c>
      <c r="M774" t="s">
        <v>31</v>
      </c>
      <c r="N774" t="s">
        <v>26</v>
      </c>
      <c r="O774" t="s">
        <v>27</v>
      </c>
      <c r="P774">
        <v>6.04</v>
      </c>
      <c r="Q774" s="2" t="b">
        <f>FALSE()</f>
        <v>0</v>
      </c>
      <c r="R774">
        <v>1</v>
      </c>
    </row>
    <row r="775" spans="1:18" x14ac:dyDescent="0.25">
      <c r="A775">
        <v>200774</v>
      </c>
      <c r="B775">
        <v>54321</v>
      </c>
      <c r="C775" t="s">
        <v>34</v>
      </c>
      <c r="D775">
        <v>4155.24</v>
      </c>
      <c r="E775">
        <v>3152</v>
      </c>
      <c r="F775">
        <v>1</v>
      </c>
      <c r="G775">
        <v>5</v>
      </c>
      <c r="H775">
        <v>1</v>
      </c>
      <c r="I775" t="s">
        <v>33</v>
      </c>
      <c r="J775">
        <v>0</v>
      </c>
      <c r="K775">
        <v>32</v>
      </c>
      <c r="L775" t="s">
        <v>38</v>
      </c>
      <c r="M775" t="s">
        <v>29</v>
      </c>
      <c r="N775" t="s">
        <v>26</v>
      </c>
      <c r="O775" t="s">
        <v>36</v>
      </c>
      <c r="P775">
        <v>5.86</v>
      </c>
      <c r="Q775" s="2" t="b">
        <f>FALSE()</f>
        <v>0</v>
      </c>
      <c r="R775">
        <v>1</v>
      </c>
    </row>
    <row r="776" spans="1:18" x14ac:dyDescent="0.25">
      <c r="A776">
        <v>200775</v>
      </c>
      <c r="B776">
        <v>52828</v>
      </c>
      <c r="C776" t="s">
        <v>34</v>
      </c>
      <c r="D776">
        <v>188.14</v>
      </c>
      <c r="E776">
        <v>2181</v>
      </c>
      <c r="F776">
        <v>1</v>
      </c>
      <c r="G776">
        <v>5</v>
      </c>
      <c r="H776">
        <v>0</v>
      </c>
      <c r="I776" t="s">
        <v>33</v>
      </c>
      <c r="J776">
        <v>0</v>
      </c>
      <c r="K776">
        <v>53</v>
      </c>
      <c r="L776" t="s">
        <v>24</v>
      </c>
      <c r="M776" t="s">
        <v>25</v>
      </c>
      <c r="N776" t="s">
        <v>22</v>
      </c>
      <c r="O776" t="s">
        <v>23</v>
      </c>
      <c r="P776">
        <v>2.39</v>
      </c>
      <c r="Q776" s="2" t="b">
        <f>FALSE()</f>
        <v>0</v>
      </c>
      <c r="R776">
        <v>0</v>
      </c>
    </row>
    <row r="777" spans="1:18" x14ac:dyDescent="0.25">
      <c r="A777">
        <v>200776</v>
      </c>
      <c r="B777">
        <v>50792</v>
      </c>
      <c r="C777" t="s">
        <v>34</v>
      </c>
      <c r="D777">
        <v>2489.94</v>
      </c>
      <c r="E777">
        <v>512</v>
      </c>
      <c r="F777">
        <v>0</v>
      </c>
      <c r="G777">
        <v>4</v>
      </c>
      <c r="H777">
        <v>0</v>
      </c>
      <c r="I777" t="s">
        <v>33</v>
      </c>
      <c r="J777">
        <v>0</v>
      </c>
      <c r="K777">
        <v>84</v>
      </c>
      <c r="L777" t="s">
        <v>20</v>
      </c>
      <c r="M777" t="s">
        <v>37</v>
      </c>
      <c r="N777" t="s">
        <v>22</v>
      </c>
      <c r="O777" t="s">
        <v>27</v>
      </c>
      <c r="P777">
        <v>2.54</v>
      </c>
      <c r="Q777" s="2" t="b">
        <f>FALSE()</f>
        <v>0</v>
      </c>
      <c r="R777">
        <v>0</v>
      </c>
    </row>
    <row r="778" spans="1:18" x14ac:dyDescent="0.25">
      <c r="A778">
        <v>200777</v>
      </c>
      <c r="B778">
        <v>54388</v>
      </c>
      <c r="C778" t="s">
        <v>18</v>
      </c>
      <c r="D778">
        <v>736.04</v>
      </c>
      <c r="E778">
        <v>36</v>
      </c>
      <c r="F778">
        <v>1</v>
      </c>
      <c r="G778">
        <v>3</v>
      </c>
      <c r="H778">
        <v>0</v>
      </c>
      <c r="I778" t="s">
        <v>19</v>
      </c>
      <c r="J778">
        <v>0</v>
      </c>
      <c r="K778">
        <v>44</v>
      </c>
      <c r="L778" t="s">
        <v>20</v>
      </c>
      <c r="M778" t="s">
        <v>29</v>
      </c>
      <c r="N778" t="s">
        <v>30</v>
      </c>
      <c r="O778" t="s">
        <v>36</v>
      </c>
      <c r="P778">
        <v>0.7</v>
      </c>
      <c r="Q778" s="2" t="b">
        <f>FALSE()</f>
        <v>0</v>
      </c>
      <c r="R778">
        <v>0</v>
      </c>
    </row>
    <row r="779" spans="1:18" x14ac:dyDescent="0.25">
      <c r="A779">
        <v>200778</v>
      </c>
      <c r="B779">
        <v>55989</v>
      </c>
      <c r="C779" t="s">
        <v>18</v>
      </c>
      <c r="D779">
        <v>622.36</v>
      </c>
      <c r="E779">
        <v>1875</v>
      </c>
      <c r="F779">
        <v>1</v>
      </c>
      <c r="G779">
        <v>4</v>
      </c>
      <c r="H779">
        <v>1</v>
      </c>
      <c r="I779" t="s">
        <v>33</v>
      </c>
      <c r="J779">
        <v>1</v>
      </c>
      <c r="K779">
        <v>56</v>
      </c>
      <c r="L779" t="s">
        <v>20</v>
      </c>
      <c r="M779" t="s">
        <v>25</v>
      </c>
      <c r="N779" t="s">
        <v>30</v>
      </c>
      <c r="O779" t="s">
        <v>23</v>
      </c>
      <c r="P779">
        <v>0.4</v>
      </c>
      <c r="Q779" s="2" t="b">
        <f>FALSE()</f>
        <v>0</v>
      </c>
      <c r="R779">
        <v>0</v>
      </c>
    </row>
    <row r="780" spans="1:18" x14ac:dyDescent="0.25">
      <c r="A780">
        <v>200779</v>
      </c>
      <c r="B780">
        <v>50546</v>
      </c>
      <c r="C780" t="s">
        <v>18</v>
      </c>
      <c r="D780">
        <v>3283.74</v>
      </c>
      <c r="E780">
        <v>908</v>
      </c>
      <c r="F780">
        <v>2</v>
      </c>
      <c r="G780">
        <v>4</v>
      </c>
      <c r="H780">
        <v>0</v>
      </c>
      <c r="I780" t="s">
        <v>33</v>
      </c>
      <c r="J780">
        <v>0</v>
      </c>
      <c r="K780">
        <v>36</v>
      </c>
      <c r="L780" t="s">
        <v>20</v>
      </c>
      <c r="M780" t="s">
        <v>21</v>
      </c>
      <c r="N780" t="s">
        <v>22</v>
      </c>
      <c r="O780" t="s">
        <v>36</v>
      </c>
      <c r="P780">
        <v>1.99</v>
      </c>
      <c r="Q780" s="2" t="b">
        <f>FALSE()</f>
        <v>0</v>
      </c>
      <c r="R780">
        <v>0</v>
      </c>
    </row>
    <row r="781" spans="1:18" x14ac:dyDescent="0.25">
      <c r="A781">
        <v>200780</v>
      </c>
      <c r="B781">
        <v>51066</v>
      </c>
      <c r="C781" t="s">
        <v>18</v>
      </c>
      <c r="D781">
        <v>3187.81</v>
      </c>
      <c r="E781">
        <v>3225</v>
      </c>
      <c r="F781">
        <v>0</v>
      </c>
      <c r="G781">
        <v>4</v>
      </c>
      <c r="H781">
        <v>0</v>
      </c>
      <c r="I781" t="s">
        <v>19</v>
      </c>
      <c r="J781">
        <v>0</v>
      </c>
      <c r="K781">
        <v>61</v>
      </c>
      <c r="L781" t="s">
        <v>20</v>
      </c>
      <c r="M781" t="s">
        <v>25</v>
      </c>
      <c r="N781" t="s">
        <v>26</v>
      </c>
      <c r="O781" t="s">
        <v>27</v>
      </c>
      <c r="P781">
        <v>4.37</v>
      </c>
      <c r="Q781" s="2" t="b">
        <f>FALSE()</f>
        <v>0</v>
      </c>
      <c r="R781">
        <v>0</v>
      </c>
    </row>
    <row r="782" spans="1:18" x14ac:dyDescent="0.25">
      <c r="A782">
        <v>200781</v>
      </c>
      <c r="B782">
        <v>52230</v>
      </c>
      <c r="C782" t="s">
        <v>18</v>
      </c>
      <c r="D782">
        <v>3408.16</v>
      </c>
      <c r="E782">
        <v>3115</v>
      </c>
      <c r="F782">
        <v>4</v>
      </c>
      <c r="G782">
        <v>4</v>
      </c>
      <c r="H782">
        <v>0</v>
      </c>
      <c r="I782" t="s">
        <v>33</v>
      </c>
      <c r="J782">
        <v>0</v>
      </c>
      <c r="K782">
        <v>57</v>
      </c>
      <c r="L782" t="s">
        <v>20</v>
      </c>
      <c r="M782" t="s">
        <v>25</v>
      </c>
      <c r="N782" t="s">
        <v>22</v>
      </c>
      <c r="O782" t="s">
        <v>23</v>
      </c>
      <c r="P782">
        <v>5.22</v>
      </c>
      <c r="Q782" s="2" t="b">
        <f>FALSE()</f>
        <v>0</v>
      </c>
      <c r="R782">
        <v>1</v>
      </c>
    </row>
    <row r="783" spans="1:18" x14ac:dyDescent="0.25">
      <c r="A783">
        <v>200782</v>
      </c>
      <c r="B783">
        <v>53763</v>
      </c>
      <c r="C783" t="s">
        <v>18</v>
      </c>
      <c r="D783">
        <v>832.49</v>
      </c>
      <c r="E783">
        <v>1377</v>
      </c>
      <c r="F783">
        <v>2</v>
      </c>
      <c r="G783">
        <v>5</v>
      </c>
      <c r="H783">
        <v>1</v>
      </c>
      <c r="I783" t="s">
        <v>19</v>
      </c>
      <c r="J783">
        <v>1</v>
      </c>
      <c r="K783">
        <v>54</v>
      </c>
      <c r="L783" t="s">
        <v>20</v>
      </c>
      <c r="M783" t="s">
        <v>37</v>
      </c>
      <c r="N783" t="s">
        <v>30</v>
      </c>
      <c r="O783" t="s">
        <v>23</v>
      </c>
      <c r="P783">
        <v>7.84</v>
      </c>
      <c r="Q783" s="2" t="b">
        <f>FALSE()</f>
        <v>0</v>
      </c>
      <c r="R783">
        <v>0</v>
      </c>
    </row>
    <row r="784" spans="1:18" x14ac:dyDescent="0.25">
      <c r="A784">
        <v>200783</v>
      </c>
      <c r="B784">
        <v>54711</v>
      </c>
      <c r="C784" t="s">
        <v>18</v>
      </c>
      <c r="D784">
        <v>1495.08</v>
      </c>
      <c r="E784">
        <v>1141</v>
      </c>
      <c r="F784">
        <v>0</v>
      </c>
      <c r="G784">
        <v>2</v>
      </c>
      <c r="H784">
        <v>0</v>
      </c>
      <c r="I784" t="s">
        <v>19</v>
      </c>
      <c r="J784">
        <v>0</v>
      </c>
      <c r="K784">
        <v>18</v>
      </c>
      <c r="L784" t="s">
        <v>20</v>
      </c>
      <c r="M784" t="s">
        <v>35</v>
      </c>
      <c r="N784" t="s">
        <v>22</v>
      </c>
      <c r="O784" t="s">
        <v>36</v>
      </c>
      <c r="P784">
        <v>1.23</v>
      </c>
      <c r="Q784" s="2" t="b">
        <f>FALSE()</f>
        <v>0</v>
      </c>
      <c r="R784">
        <v>0</v>
      </c>
    </row>
    <row r="785" spans="1:18" x14ac:dyDescent="0.25">
      <c r="A785">
        <v>200784</v>
      </c>
      <c r="B785">
        <v>52334</v>
      </c>
      <c r="C785" t="s">
        <v>18</v>
      </c>
      <c r="D785">
        <v>713.15</v>
      </c>
      <c r="E785">
        <v>1751</v>
      </c>
      <c r="F785">
        <v>1</v>
      </c>
      <c r="G785">
        <v>7</v>
      </c>
      <c r="H785">
        <v>0</v>
      </c>
      <c r="I785" t="s">
        <v>19</v>
      </c>
      <c r="J785">
        <v>0</v>
      </c>
      <c r="K785">
        <v>22</v>
      </c>
      <c r="L785" t="s">
        <v>24</v>
      </c>
      <c r="M785" t="s">
        <v>35</v>
      </c>
      <c r="N785" t="s">
        <v>22</v>
      </c>
      <c r="O785" t="s">
        <v>36</v>
      </c>
      <c r="P785">
        <v>2.4</v>
      </c>
      <c r="Q785" s="2" t="b">
        <f>FALSE()</f>
        <v>0</v>
      </c>
      <c r="R785">
        <v>1</v>
      </c>
    </row>
    <row r="786" spans="1:18" x14ac:dyDescent="0.25">
      <c r="A786">
        <v>200785</v>
      </c>
      <c r="B786">
        <v>51007</v>
      </c>
      <c r="C786" t="s">
        <v>34</v>
      </c>
      <c r="D786">
        <v>2366.13</v>
      </c>
      <c r="E786">
        <v>2028</v>
      </c>
      <c r="F786">
        <v>2</v>
      </c>
      <c r="G786">
        <v>2</v>
      </c>
      <c r="H786">
        <v>0</v>
      </c>
      <c r="I786" t="s">
        <v>32</v>
      </c>
      <c r="J786">
        <v>0</v>
      </c>
      <c r="K786">
        <v>45</v>
      </c>
      <c r="L786" t="s">
        <v>20</v>
      </c>
      <c r="M786" t="s">
        <v>37</v>
      </c>
      <c r="N786" t="s">
        <v>22</v>
      </c>
      <c r="O786" t="s">
        <v>27</v>
      </c>
      <c r="P786">
        <v>1.99</v>
      </c>
      <c r="Q786" s="2" t="b">
        <f>FALSE()</f>
        <v>0</v>
      </c>
      <c r="R786">
        <v>0</v>
      </c>
    </row>
    <row r="787" spans="1:18" x14ac:dyDescent="0.25">
      <c r="A787">
        <v>200786</v>
      </c>
      <c r="B787">
        <v>53672</v>
      </c>
      <c r="C787" t="s">
        <v>18</v>
      </c>
      <c r="D787">
        <v>529.64</v>
      </c>
      <c r="E787">
        <v>2776</v>
      </c>
      <c r="F787">
        <v>2</v>
      </c>
      <c r="G787">
        <v>4</v>
      </c>
      <c r="H787">
        <v>0</v>
      </c>
      <c r="I787" t="s">
        <v>33</v>
      </c>
      <c r="J787">
        <v>0</v>
      </c>
      <c r="K787">
        <v>42</v>
      </c>
      <c r="L787" t="s">
        <v>20</v>
      </c>
      <c r="M787" t="s">
        <v>29</v>
      </c>
      <c r="N787" t="s">
        <v>26</v>
      </c>
      <c r="O787" t="s">
        <v>36</v>
      </c>
      <c r="P787">
        <v>1.48</v>
      </c>
      <c r="Q787" s="2" t="b">
        <f>FALSE()</f>
        <v>0</v>
      </c>
      <c r="R787">
        <v>0</v>
      </c>
    </row>
    <row r="788" spans="1:18" x14ac:dyDescent="0.25">
      <c r="A788">
        <v>200787</v>
      </c>
      <c r="B788">
        <v>54588</v>
      </c>
      <c r="C788" t="s">
        <v>18</v>
      </c>
      <c r="D788">
        <v>1382.19</v>
      </c>
      <c r="E788">
        <v>1765</v>
      </c>
      <c r="F788">
        <v>2</v>
      </c>
      <c r="G788">
        <v>5</v>
      </c>
      <c r="H788">
        <v>0</v>
      </c>
      <c r="I788" t="s">
        <v>33</v>
      </c>
      <c r="J788">
        <v>0</v>
      </c>
      <c r="K788">
        <v>40</v>
      </c>
      <c r="L788" t="s">
        <v>20</v>
      </c>
      <c r="M788" t="s">
        <v>31</v>
      </c>
      <c r="N788" t="s">
        <v>22</v>
      </c>
      <c r="O788" t="s">
        <v>23</v>
      </c>
      <c r="P788">
        <v>4.5599999999999996</v>
      </c>
      <c r="Q788" s="2" t="b">
        <f>FALSE()</f>
        <v>0</v>
      </c>
      <c r="R788">
        <v>0</v>
      </c>
    </row>
    <row r="789" spans="1:18" x14ac:dyDescent="0.25">
      <c r="A789">
        <v>200788</v>
      </c>
      <c r="B789">
        <v>54262</v>
      </c>
      <c r="C789" t="s">
        <v>18</v>
      </c>
      <c r="D789">
        <v>2577.33</v>
      </c>
      <c r="E789">
        <v>1618</v>
      </c>
      <c r="F789">
        <v>2</v>
      </c>
      <c r="G789">
        <v>5</v>
      </c>
      <c r="H789">
        <v>0</v>
      </c>
      <c r="I789" t="s">
        <v>19</v>
      </c>
      <c r="J789">
        <v>0</v>
      </c>
      <c r="K789">
        <v>76</v>
      </c>
      <c r="L789" t="s">
        <v>24</v>
      </c>
      <c r="M789" t="s">
        <v>21</v>
      </c>
      <c r="N789" t="s">
        <v>22</v>
      </c>
      <c r="O789" t="s">
        <v>36</v>
      </c>
      <c r="P789">
        <v>2.81</v>
      </c>
      <c r="Q789" s="2" t="b">
        <f>FALSE()</f>
        <v>0</v>
      </c>
      <c r="R789">
        <v>0</v>
      </c>
    </row>
    <row r="790" spans="1:18" x14ac:dyDescent="0.25">
      <c r="A790">
        <v>200789</v>
      </c>
      <c r="B790">
        <v>50069</v>
      </c>
      <c r="C790" t="s">
        <v>28</v>
      </c>
      <c r="D790">
        <v>1087.47</v>
      </c>
      <c r="E790">
        <v>3471</v>
      </c>
      <c r="F790">
        <v>0</v>
      </c>
      <c r="G790">
        <v>5</v>
      </c>
      <c r="H790">
        <v>0</v>
      </c>
      <c r="I790" t="s">
        <v>33</v>
      </c>
      <c r="J790">
        <v>0</v>
      </c>
      <c r="K790">
        <v>67</v>
      </c>
      <c r="L790" t="s">
        <v>24</v>
      </c>
      <c r="M790" t="s">
        <v>31</v>
      </c>
      <c r="N790" t="s">
        <v>22</v>
      </c>
      <c r="O790" t="s">
        <v>36</v>
      </c>
      <c r="P790">
        <v>1.79</v>
      </c>
      <c r="Q790" s="2" t="b">
        <f>FALSE()</f>
        <v>0</v>
      </c>
      <c r="R790">
        <v>0</v>
      </c>
    </row>
    <row r="791" spans="1:18" x14ac:dyDescent="0.25">
      <c r="A791">
        <v>200790</v>
      </c>
      <c r="B791">
        <v>50438</v>
      </c>
      <c r="C791" t="s">
        <v>28</v>
      </c>
      <c r="D791">
        <v>1218.51</v>
      </c>
      <c r="E791">
        <v>1352</v>
      </c>
      <c r="F791">
        <v>1</v>
      </c>
      <c r="G791">
        <v>5</v>
      </c>
      <c r="H791">
        <v>1</v>
      </c>
      <c r="I791" t="s">
        <v>33</v>
      </c>
      <c r="J791">
        <v>0</v>
      </c>
      <c r="K791">
        <v>52</v>
      </c>
      <c r="L791" t="s">
        <v>20</v>
      </c>
      <c r="M791" t="s">
        <v>25</v>
      </c>
      <c r="N791" t="s">
        <v>26</v>
      </c>
      <c r="O791" t="s">
        <v>23</v>
      </c>
      <c r="P791">
        <v>0.6</v>
      </c>
      <c r="Q791" s="2" t="b">
        <f>FALSE()</f>
        <v>0</v>
      </c>
      <c r="R791">
        <v>0</v>
      </c>
    </row>
    <row r="792" spans="1:18" x14ac:dyDescent="0.25">
      <c r="A792">
        <v>200791</v>
      </c>
      <c r="B792">
        <v>55913</v>
      </c>
      <c r="C792" t="s">
        <v>34</v>
      </c>
      <c r="D792">
        <v>1085.6199999999999</v>
      </c>
      <c r="E792">
        <v>2243</v>
      </c>
      <c r="F792">
        <v>1</v>
      </c>
      <c r="G792">
        <v>5</v>
      </c>
      <c r="H792">
        <v>0</v>
      </c>
      <c r="I792" t="s">
        <v>32</v>
      </c>
      <c r="J792">
        <v>0</v>
      </c>
      <c r="K792">
        <v>81</v>
      </c>
      <c r="L792" t="s">
        <v>20</v>
      </c>
      <c r="M792" t="s">
        <v>29</v>
      </c>
      <c r="N792" t="s">
        <v>30</v>
      </c>
      <c r="O792" t="s">
        <v>23</v>
      </c>
      <c r="P792">
        <v>0.23</v>
      </c>
      <c r="Q792" s="2" t="b">
        <f>FALSE()</f>
        <v>0</v>
      </c>
      <c r="R792">
        <v>0</v>
      </c>
    </row>
    <row r="793" spans="1:18" x14ac:dyDescent="0.25">
      <c r="A793">
        <v>200792</v>
      </c>
      <c r="B793">
        <v>54281</v>
      </c>
      <c r="C793" t="s">
        <v>34</v>
      </c>
      <c r="D793">
        <v>2302.2399999999998</v>
      </c>
      <c r="E793">
        <v>1541</v>
      </c>
      <c r="F793">
        <v>2</v>
      </c>
      <c r="G793">
        <v>2</v>
      </c>
      <c r="H793">
        <v>1</v>
      </c>
      <c r="I793" t="s">
        <v>33</v>
      </c>
      <c r="J793">
        <v>0</v>
      </c>
      <c r="K793">
        <v>60</v>
      </c>
      <c r="L793" t="s">
        <v>20</v>
      </c>
      <c r="M793" t="s">
        <v>31</v>
      </c>
      <c r="N793" t="s">
        <v>26</v>
      </c>
      <c r="O793" t="s">
        <v>36</v>
      </c>
      <c r="P793">
        <v>0.18</v>
      </c>
      <c r="Q793" s="2" t="b">
        <f>FALSE()</f>
        <v>0</v>
      </c>
      <c r="R793">
        <v>0</v>
      </c>
    </row>
    <row r="794" spans="1:18" x14ac:dyDescent="0.25">
      <c r="A794">
        <v>200793</v>
      </c>
      <c r="B794">
        <v>50590</v>
      </c>
      <c r="C794" t="s">
        <v>18</v>
      </c>
      <c r="D794">
        <v>2824.7</v>
      </c>
      <c r="E794">
        <v>1269</v>
      </c>
      <c r="F794">
        <v>2</v>
      </c>
      <c r="G794">
        <v>3</v>
      </c>
      <c r="H794">
        <v>0</v>
      </c>
      <c r="I794" t="s">
        <v>33</v>
      </c>
      <c r="J794">
        <v>0</v>
      </c>
      <c r="K794">
        <v>77</v>
      </c>
      <c r="L794" t="s">
        <v>20</v>
      </c>
      <c r="M794" t="s">
        <v>35</v>
      </c>
      <c r="N794" t="s">
        <v>30</v>
      </c>
      <c r="O794" t="s">
        <v>27</v>
      </c>
      <c r="P794">
        <v>1.91</v>
      </c>
      <c r="Q794" s="2" t="b">
        <f>FALSE()</f>
        <v>0</v>
      </c>
      <c r="R794">
        <v>0</v>
      </c>
    </row>
    <row r="795" spans="1:18" x14ac:dyDescent="0.25">
      <c r="A795">
        <v>200794</v>
      </c>
      <c r="B795">
        <v>53666</v>
      </c>
      <c r="C795" t="s">
        <v>18</v>
      </c>
      <c r="D795">
        <v>1564.58</v>
      </c>
      <c r="E795">
        <v>3267</v>
      </c>
      <c r="F795">
        <v>0</v>
      </c>
      <c r="G795">
        <v>2</v>
      </c>
      <c r="H795">
        <v>0</v>
      </c>
      <c r="I795" t="s">
        <v>33</v>
      </c>
      <c r="J795">
        <v>0</v>
      </c>
      <c r="K795">
        <v>66</v>
      </c>
      <c r="L795" t="s">
        <v>24</v>
      </c>
      <c r="M795" t="s">
        <v>31</v>
      </c>
      <c r="N795" t="s">
        <v>26</v>
      </c>
      <c r="O795" t="s">
        <v>27</v>
      </c>
      <c r="P795">
        <v>0.28000000000000003</v>
      </c>
      <c r="Q795" s="2" t="b">
        <f>FALSE()</f>
        <v>0</v>
      </c>
      <c r="R795">
        <v>0</v>
      </c>
    </row>
    <row r="796" spans="1:18" x14ac:dyDescent="0.25">
      <c r="A796">
        <v>200795</v>
      </c>
      <c r="B796">
        <v>54147</v>
      </c>
      <c r="C796" t="s">
        <v>18</v>
      </c>
      <c r="D796">
        <v>1450.04</v>
      </c>
      <c r="E796">
        <v>2113</v>
      </c>
      <c r="F796">
        <v>1</v>
      </c>
      <c r="G796">
        <v>9</v>
      </c>
      <c r="H796">
        <v>0</v>
      </c>
      <c r="I796" t="s">
        <v>19</v>
      </c>
      <c r="J796">
        <v>0</v>
      </c>
      <c r="K796">
        <v>33</v>
      </c>
      <c r="L796" t="s">
        <v>20</v>
      </c>
      <c r="M796" t="s">
        <v>37</v>
      </c>
      <c r="N796" t="s">
        <v>22</v>
      </c>
      <c r="O796" t="s">
        <v>36</v>
      </c>
      <c r="P796">
        <v>7.23</v>
      </c>
      <c r="Q796" s="2" t="b">
        <f>FALSE()</f>
        <v>0</v>
      </c>
      <c r="R796">
        <v>1</v>
      </c>
    </row>
    <row r="797" spans="1:18" x14ac:dyDescent="0.25">
      <c r="A797">
        <v>200796</v>
      </c>
      <c r="B797">
        <v>53587</v>
      </c>
      <c r="C797" t="s">
        <v>18</v>
      </c>
      <c r="D797">
        <v>1732.12</v>
      </c>
      <c r="E797">
        <v>2689</v>
      </c>
      <c r="F797">
        <v>0</v>
      </c>
      <c r="G797">
        <v>0</v>
      </c>
      <c r="H797">
        <v>1</v>
      </c>
      <c r="I797" t="s">
        <v>32</v>
      </c>
      <c r="J797">
        <v>0</v>
      </c>
      <c r="K797">
        <v>80</v>
      </c>
      <c r="L797" t="s">
        <v>20</v>
      </c>
      <c r="M797" t="s">
        <v>29</v>
      </c>
      <c r="N797" t="s">
        <v>22</v>
      </c>
      <c r="O797" t="s">
        <v>36</v>
      </c>
      <c r="P797">
        <v>10.98</v>
      </c>
      <c r="Q797" s="2" t="b">
        <f>FALSE()</f>
        <v>0</v>
      </c>
      <c r="R797">
        <v>0</v>
      </c>
    </row>
    <row r="798" spans="1:18" x14ac:dyDescent="0.25">
      <c r="A798">
        <v>200797</v>
      </c>
      <c r="B798">
        <v>51970</v>
      </c>
      <c r="C798" t="s">
        <v>34</v>
      </c>
      <c r="D798">
        <v>4552.55</v>
      </c>
      <c r="E798">
        <v>1844</v>
      </c>
      <c r="F798">
        <v>0</v>
      </c>
      <c r="G798">
        <v>3</v>
      </c>
      <c r="H798">
        <v>0</v>
      </c>
      <c r="I798" t="s">
        <v>19</v>
      </c>
      <c r="J798">
        <v>0</v>
      </c>
      <c r="K798">
        <v>28</v>
      </c>
      <c r="L798" t="s">
        <v>20</v>
      </c>
      <c r="M798" t="s">
        <v>29</v>
      </c>
      <c r="N798" t="s">
        <v>30</v>
      </c>
      <c r="O798" t="s">
        <v>27</v>
      </c>
      <c r="P798">
        <v>0.76</v>
      </c>
      <c r="Q798" s="2" t="b">
        <f>FALSE()</f>
        <v>0</v>
      </c>
      <c r="R798">
        <v>1</v>
      </c>
    </row>
    <row r="799" spans="1:18" x14ac:dyDescent="0.25">
      <c r="A799">
        <v>200798</v>
      </c>
      <c r="B799">
        <v>50576</v>
      </c>
      <c r="C799" t="s">
        <v>34</v>
      </c>
      <c r="D799">
        <v>2155.1799999999998</v>
      </c>
      <c r="E799">
        <v>1465</v>
      </c>
      <c r="F799">
        <v>2</v>
      </c>
      <c r="G799">
        <v>3</v>
      </c>
      <c r="H799">
        <v>0</v>
      </c>
      <c r="I799" t="s">
        <v>32</v>
      </c>
      <c r="J799">
        <v>0</v>
      </c>
      <c r="K799">
        <v>80</v>
      </c>
      <c r="L799" t="s">
        <v>24</v>
      </c>
      <c r="M799" t="s">
        <v>21</v>
      </c>
      <c r="N799" t="s">
        <v>22</v>
      </c>
      <c r="O799" t="s">
        <v>36</v>
      </c>
      <c r="P799">
        <v>0.55000000000000004</v>
      </c>
      <c r="Q799" s="2" t="b">
        <f>FALSE()</f>
        <v>0</v>
      </c>
      <c r="R799">
        <v>0</v>
      </c>
    </row>
    <row r="800" spans="1:18" x14ac:dyDescent="0.25">
      <c r="A800">
        <v>200799</v>
      </c>
      <c r="B800">
        <v>50731</v>
      </c>
      <c r="C800" t="s">
        <v>18</v>
      </c>
      <c r="D800">
        <v>3092.47</v>
      </c>
      <c r="E800">
        <v>3193</v>
      </c>
      <c r="F800">
        <v>4</v>
      </c>
      <c r="G800">
        <v>6</v>
      </c>
      <c r="H800">
        <v>0</v>
      </c>
      <c r="I800" t="s">
        <v>33</v>
      </c>
      <c r="J800">
        <v>0</v>
      </c>
      <c r="K800">
        <v>55</v>
      </c>
      <c r="L800" t="s">
        <v>24</v>
      </c>
      <c r="M800" t="s">
        <v>31</v>
      </c>
      <c r="N800" t="s">
        <v>26</v>
      </c>
      <c r="O800" t="s">
        <v>23</v>
      </c>
      <c r="P800">
        <v>1.74</v>
      </c>
      <c r="Q800" s="2" t="b">
        <f>FALSE()</f>
        <v>0</v>
      </c>
      <c r="R800">
        <v>1</v>
      </c>
    </row>
    <row r="801" spans="1:18" x14ac:dyDescent="0.25">
      <c r="A801">
        <v>200800</v>
      </c>
      <c r="B801">
        <v>53969</v>
      </c>
      <c r="C801" t="s">
        <v>18</v>
      </c>
      <c r="D801">
        <v>2000.54</v>
      </c>
      <c r="E801">
        <v>201</v>
      </c>
      <c r="F801">
        <v>2</v>
      </c>
      <c r="G801">
        <v>3</v>
      </c>
      <c r="H801">
        <v>0</v>
      </c>
      <c r="I801" t="s">
        <v>33</v>
      </c>
      <c r="J801">
        <v>1</v>
      </c>
      <c r="K801">
        <v>26</v>
      </c>
      <c r="L801" t="s">
        <v>20</v>
      </c>
      <c r="M801" t="s">
        <v>21</v>
      </c>
      <c r="N801" t="s">
        <v>26</v>
      </c>
      <c r="O801" t="s">
        <v>36</v>
      </c>
      <c r="P801">
        <v>0.71</v>
      </c>
      <c r="Q801" s="2" t="b">
        <f>FALSE()</f>
        <v>0</v>
      </c>
      <c r="R801">
        <v>0</v>
      </c>
    </row>
    <row r="802" spans="1:18" x14ac:dyDescent="0.25">
      <c r="A802">
        <v>200801</v>
      </c>
      <c r="B802">
        <v>52913</v>
      </c>
      <c r="C802" t="s">
        <v>28</v>
      </c>
      <c r="D802">
        <v>1432.22</v>
      </c>
      <c r="E802">
        <v>3303</v>
      </c>
      <c r="F802">
        <v>2</v>
      </c>
      <c r="G802">
        <v>5</v>
      </c>
      <c r="H802">
        <v>1</v>
      </c>
      <c r="I802" t="s">
        <v>33</v>
      </c>
      <c r="J802">
        <v>1</v>
      </c>
      <c r="K802">
        <v>36</v>
      </c>
      <c r="L802" t="s">
        <v>24</v>
      </c>
      <c r="M802" t="s">
        <v>37</v>
      </c>
      <c r="N802" t="s">
        <v>26</v>
      </c>
      <c r="O802" t="s">
        <v>23</v>
      </c>
      <c r="P802">
        <v>2.2000000000000002</v>
      </c>
      <c r="Q802" s="2" t="b">
        <f>FALSE()</f>
        <v>0</v>
      </c>
      <c r="R802">
        <v>0</v>
      </c>
    </row>
    <row r="803" spans="1:18" x14ac:dyDescent="0.25">
      <c r="A803">
        <v>200802</v>
      </c>
      <c r="B803">
        <v>50222</v>
      </c>
      <c r="C803" t="s">
        <v>28</v>
      </c>
      <c r="D803">
        <v>1091.1099999999999</v>
      </c>
      <c r="E803">
        <v>408</v>
      </c>
      <c r="F803">
        <v>0</v>
      </c>
      <c r="G803">
        <v>2</v>
      </c>
      <c r="H803">
        <v>0</v>
      </c>
      <c r="I803" t="s">
        <v>19</v>
      </c>
      <c r="J803">
        <v>0</v>
      </c>
      <c r="K803">
        <v>65</v>
      </c>
      <c r="L803" t="s">
        <v>38</v>
      </c>
      <c r="M803" t="s">
        <v>37</v>
      </c>
      <c r="N803" t="s">
        <v>30</v>
      </c>
      <c r="O803" t="s">
        <v>36</v>
      </c>
      <c r="P803">
        <v>0.46</v>
      </c>
      <c r="Q803" s="2" t="b">
        <f>FALSE()</f>
        <v>0</v>
      </c>
      <c r="R803">
        <v>0</v>
      </c>
    </row>
    <row r="804" spans="1:18" x14ac:dyDescent="0.25">
      <c r="A804">
        <v>200803</v>
      </c>
      <c r="B804">
        <v>53156</v>
      </c>
      <c r="C804" t="s">
        <v>18</v>
      </c>
      <c r="D804">
        <v>1580.19</v>
      </c>
      <c r="E804">
        <v>3071</v>
      </c>
      <c r="F804">
        <v>0</v>
      </c>
      <c r="G804">
        <v>4</v>
      </c>
      <c r="H804">
        <v>0</v>
      </c>
      <c r="I804" t="s">
        <v>19</v>
      </c>
      <c r="J804">
        <v>0</v>
      </c>
      <c r="K804">
        <v>58</v>
      </c>
      <c r="L804" t="s">
        <v>24</v>
      </c>
      <c r="M804" t="s">
        <v>21</v>
      </c>
      <c r="N804" t="s">
        <v>30</v>
      </c>
      <c r="O804" t="s">
        <v>27</v>
      </c>
      <c r="P804">
        <v>0.89</v>
      </c>
      <c r="Q804" s="2" t="b">
        <f>FALSE()</f>
        <v>0</v>
      </c>
      <c r="R804">
        <v>0</v>
      </c>
    </row>
    <row r="805" spans="1:18" x14ac:dyDescent="0.25">
      <c r="A805">
        <v>200804</v>
      </c>
      <c r="B805">
        <v>51524</v>
      </c>
      <c r="C805" t="s">
        <v>34</v>
      </c>
      <c r="D805">
        <v>2122.02</v>
      </c>
      <c r="E805">
        <v>2497</v>
      </c>
      <c r="F805">
        <v>0</v>
      </c>
      <c r="G805">
        <v>6</v>
      </c>
      <c r="H805">
        <v>0</v>
      </c>
      <c r="I805" t="s">
        <v>33</v>
      </c>
      <c r="J805">
        <v>1</v>
      </c>
      <c r="K805">
        <v>70</v>
      </c>
      <c r="L805" t="s">
        <v>20</v>
      </c>
      <c r="M805" t="s">
        <v>35</v>
      </c>
      <c r="N805" t="s">
        <v>22</v>
      </c>
      <c r="O805" t="s">
        <v>23</v>
      </c>
      <c r="P805">
        <v>0.5</v>
      </c>
      <c r="Q805" s="2" t="b">
        <f>FALSE()</f>
        <v>0</v>
      </c>
      <c r="R805">
        <v>0</v>
      </c>
    </row>
    <row r="806" spans="1:18" x14ac:dyDescent="0.25">
      <c r="A806">
        <v>200805</v>
      </c>
      <c r="B806">
        <v>52844</v>
      </c>
      <c r="C806" t="s">
        <v>18</v>
      </c>
      <c r="D806">
        <v>2609.7399999999998</v>
      </c>
      <c r="E806">
        <v>1611</v>
      </c>
      <c r="F806">
        <v>0</v>
      </c>
      <c r="G806">
        <v>3</v>
      </c>
      <c r="H806">
        <v>0</v>
      </c>
      <c r="I806" t="s">
        <v>33</v>
      </c>
      <c r="J806">
        <v>0</v>
      </c>
      <c r="K806">
        <v>50</v>
      </c>
      <c r="L806" t="s">
        <v>20</v>
      </c>
      <c r="M806" t="s">
        <v>29</v>
      </c>
      <c r="N806" t="s">
        <v>30</v>
      </c>
      <c r="O806" t="s">
        <v>36</v>
      </c>
      <c r="P806">
        <v>0.79</v>
      </c>
      <c r="Q806" s="2" t="b">
        <f>FALSE()</f>
        <v>0</v>
      </c>
      <c r="R806">
        <v>0</v>
      </c>
    </row>
    <row r="807" spans="1:18" x14ac:dyDescent="0.25">
      <c r="A807">
        <v>200806</v>
      </c>
      <c r="B807">
        <v>51431</v>
      </c>
      <c r="C807" t="s">
        <v>34</v>
      </c>
      <c r="D807">
        <v>4375</v>
      </c>
      <c r="E807">
        <v>3281</v>
      </c>
      <c r="F807">
        <v>2</v>
      </c>
      <c r="G807">
        <v>5</v>
      </c>
      <c r="H807">
        <v>1</v>
      </c>
      <c r="I807" t="s">
        <v>33</v>
      </c>
      <c r="J807">
        <v>0</v>
      </c>
      <c r="K807">
        <v>26</v>
      </c>
      <c r="L807" t="s">
        <v>24</v>
      </c>
      <c r="M807" t="s">
        <v>35</v>
      </c>
      <c r="N807" t="s">
        <v>30</v>
      </c>
      <c r="O807" t="s">
        <v>36</v>
      </c>
      <c r="P807">
        <v>6.65</v>
      </c>
      <c r="Q807" s="2" t="b">
        <f>FALSE()</f>
        <v>0</v>
      </c>
      <c r="R807">
        <v>1</v>
      </c>
    </row>
    <row r="808" spans="1:18" x14ac:dyDescent="0.25">
      <c r="A808">
        <v>200807</v>
      </c>
      <c r="B808">
        <v>54397</v>
      </c>
      <c r="C808" t="s">
        <v>34</v>
      </c>
      <c r="D808">
        <v>2030.62</v>
      </c>
      <c r="E808">
        <v>2147</v>
      </c>
      <c r="F808">
        <v>0</v>
      </c>
      <c r="G808">
        <v>3</v>
      </c>
      <c r="H808">
        <v>1</v>
      </c>
      <c r="I808" t="s">
        <v>19</v>
      </c>
      <c r="J808">
        <v>0</v>
      </c>
      <c r="K808">
        <v>45</v>
      </c>
      <c r="L808" t="s">
        <v>24</v>
      </c>
      <c r="M808" t="s">
        <v>37</v>
      </c>
      <c r="N808" t="s">
        <v>22</v>
      </c>
      <c r="O808" t="s">
        <v>27</v>
      </c>
      <c r="P808">
        <v>2.38</v>
      </c>
      <c r="Q808" s="2" t="b">
        <f>FALSE()</f>
        <v>0</v>
      </c>
      <c r="R808">
        <v>0</v>
      </c>
    </row>
    <row r="809" spans="1:18" x14ac:dyDescent="0.25">
      <c r="A809">
        <v>200808</v>
      </c>
      <c r="B809">
        <v>52087</v>
      </c>
      <c r="C809" t="s">
        <v>18</v>
      </c>
      <c r="D809">
        <v>3825.79</v>
      </c>
      <c r="E809">
        <v>3539</v>
      </c>
      <c r="F809">
        <v>0</v>
      </c>
      <c r="G809">
        <v>6</v>
      </c>
      <c r="H809">
        <v>1</v>
      </c>
      <c r="I809" t="s">
        <v>33</v>
      </c>
      <c r="J809">
        <v>0</v>
      </c>
      <c r="K809">
        <v>66</v>
      </c>
      <c r="L809" t="s">
        <v>38</v>
      </c>
      <c r="M809" t="s">
        <v>21</v>
      </c>
      <c r="N809" t="s">
        <v>22</v>
      </c>
      <c r="O809" t="s">
        <v>27</v>
      </c>
      <c r="P809">
        <v>0.13</v>
      </c>
      <c r="Q809" s="2" t="b">
        <f>FALSE()</f>
        <v>0</v>
      </c>
      <c r="R809">
        <v>1</v>
      </c>
    </row>
    <row r="810" spans="1:18" x14ac:dyDescent="0.25">
      <c r="A810">
        <v>200809</v>
      </c>
      <c r="B810">
        <v>54262</v>
      </c>
      <c r="C810" t="s">
        <v>34</v>
      </c>
      <c r="D810">
        <v>452.06</v>
      </c>
      <c r="E810">
        <v>717</v>
      </c>
      <c r="F810">
        <v>2</v>
      </c>
      <c r="G810">
        <v>3</v>
      </c>
      <c r="H810">
        <v>0</v>
      </c>
      <c r="I810" t="s">
        <v>33</v>
      </c>
      <c r="J810">
        <v>1</v>
      </c>
      <c r="K810">
        <v>25</v>
      </c>
      <c r="L810" t="s">
        <v>20</v>
      </c>
      <c r="M810" t="s">
        <v>35</v>
      </c>
      <c r="N810" t="s">
        <v>30</v>
      </c>
      <c r="O810" t="s">
        <v>27</v>
      </c>
      <c r="P810">
        <v>0.35</v>
      </c>
      <c r="Q810" s="2" t="b">
        <f>FALSE()</f>
        <v>0</v>
      </c>
      <c r="R810">
        <v>0</v>
      </c>
    </row>
    <row r="811" spans="1:18" x14ac:dyDescent="0.25">
      <c r="A811">
        <v>200810</v>
      </c>
      <c r="B811">
        <v>53690</v>
      </c>
      <c r="C811" t="s">
        <v>34</v>
      </c>
      <c r="D811">
        <v>781.04</v>
      </c>
      <c r="E811">
        <v>1964</v>
      </c>
      <c r="F811">
        <v>0</v>
      </c>
      <c r="G811">
        <v>5</v>
      </c>
      <c r="H811">
        <v>1</v>
      </c>
      <c r="I811" t="s">
        <v>33</v>
      </c>
      <c r="J811">
        <v>1</v>
      </c>
      <c r="K811">
        <v>33</v>
      </c>
      <c r="L811" t="s">
        <v>24</v>
      </c>
      <c r="M811" t="s">
        <v>31</v>
      </c>
      <c r="N811" t="s">
        <v>30</v>
      </c>
      <c r="O811" t="s">
        <v>36</v>
      </c>
      <c r="P811">
        <v>1.48</v>
      </c>
      <c r="Q811" s="2" t="b">
        <f>FALSE()</f>
        <v>0</v>
      </c>
      <c r="R811">
        <v>0</v>
      </c>
    </row>
    <row r="812" spans="1:18" x14ac:dyDescent="0.25">
      <c r="A812">
        <v>200811</v>
      </c>
      <c r="B812">
        <v>51242</v>
      </c>
      <c r="C812" t="s">
        <v>18</v>
      </c>
      <c r="D812">
        <v>3881.69</v>
      </c>
      <c r="E812">
        <v>654</v>
      </c>
      <c r="F812">
        <v>0</v>
      </c>
      <c r="G812">
        <v>4</v>
      </c>
      <c r="H812">
        <v>0</v>
      </c>
      <c r="I812" t="s">
        <v>33</v>
      </c>
      <c r="J812">
        <v>0</v>
      </c>
      <c r="K812">
        <v>43</v>
      </c>
      <c r="L812" t="s">
        <v>20</v>
      </c>
      <c r="M812" t="s">
        <v>35</v>
      </c>
      <c r="N812" t="s">
        <v>22</v>
      </c>
      <c r="O812" t="s">
        <v>23</v>
      </c>
      <c r="P812">
        <v>0.98</v>
      </c>
      <c r="Q812" s="2" t="b">
        <f>FALSE()</f>
        <v>0</v>
      </c>
      <c r="R812">
        <v>1</v>
      </c>
    </row>
    <row r="813" spans="1:18" x14ac:dyDescent="0.25">
      <c r="A813">
        <v>200812</v>
      </c>
      <c r="B813">
        <v>53084</v>
      </c>
      <c r="C813" t="s">
        <v>34</v>
      </c>
      <c r="D813">
        <v>2746.94</v>
      </c>
      <c r="E813">
        <v>696</v>
      </c>
      <c r="F813">
        <v>1</v>
      </c>
      <c r="G813">
        <v>13</v>
      </c>
      <c r="H813">
        <v>0</v>
      </c>
      <c r="I813" t="s">
        <v>33</v>
      </c>
      <c r="J813">
        <v>0</v>
      </c>
      <c r="K813">
        <v>49</v>
      </c>
      <c r="L813" t="s">
        <v>20</v>
      </c>
      <c r="M813" t="s">
        <v>21</v>
      </c>
      <c r="N813" t="s">
        <v>22</v>
      </c>
      <c r="O813" t="s">
        <v>27</v>
      </c>
      <c r="P813">
        <v>0.16</v>
      </c>
      <c r="Q813" s="2" t="b">
        <f>FALSE()</f>
        <v>0</v>
      </c>
      <c r="R813">
        <v>1</v>
      </c>
    </row>
    <row r="814" spans="1:18" x14ac:dyDescent="0.25">
      <c r="A814">
        <v>200813</v>
      </c>
      <c r="B814">
        <v>52159</v>
      </c>
      <c r="C814" t="s">
        <v>28</v>
      </c>
      <c r="D814">
        <v>550.79999999999995</v>
      </c>
      <c r="E814">
        <v>1565</v>
      </c>
      <c r="F814">
        <v>2</v>
      </c>
      <c r="G814">
        <v>5</v>
      </c>
      <c r="H814">
        <v>1</v>
      </c>
      <c r="I814" t="s">
        <v>19</v>
      </c>
      <c r="J814">
        <v>0</v>
      </c>
      <c r="K814">
        <v>65</v>
      </c>
      <c r="L814" t="s">
        <v>24</v>
      </c>
      <c r="M814" t="s">
        <v>37</v>
      </c>
      <c r="N814" t="s">
        <v>22</v>
      </c>
      <c r="O814" t="s">
        <v>23</v>
      </c>
      <c r="P814">
        <v>2.67</v>
      </c>
      <c r="Q814" s="2" t="b">
        <f>FALSE()</f>
        <v>0</v>
      </c>
      <c r="R814">
        <v>0</v>
      </c>
    </row>
    <row r="815" spans="1:18" x14ac:dyDescent="0.25">
      <c r="A815">
        <v>200814</v>
      </c>
      <c r="B815">
        <v>53293</v>
      </c>
      <c r="C815" t="s">
        <v>18</v>
      </c>
      <c r="D815">
        <v>2728.68</v>
      </c>
      <c r="E815">
        <v>114</v>
      </c>
      <c r="F815">
        <v>1</v>
      </c>
      <c r="G815">
        <v>6</v>
      </c>
      <c r="H815">
        <v>0</v>
      </c>
      <c r="I815" t="s">
        <v>33</v>
      </c>
      <c r="J815">
        <v>0</v>
      </c>
      <c r="K815">
        <v>30</v>
      </c>
      <c r="L815" t="s">
        <v>24</v>
      </c>
      <c r="M815" t="s">
        <v>37</v>
      </c>
      <c r="N815" t="s">
        <v>26</v>
      </c>
      <c r="O815" t="s">
        <v>23</v>
      </c>
      <c r="P815">
        <v>3.07</v>
      </c>
      <c r="Q815" s="2" t="b">
        <f>FALSE()</f>
        <v>0</v>
      </c>
      <c r="R815">
        <v>0</v>
      </c>
    </row>
    <row r="816" spans="1:18" x14ac:dyDescent="0.25">
      <c r="A816">
        <v>200815</v>
      </c>
      <c r="B816">
        <v>53731</v>
      </c>
      <c r="C816" t="s">
        <v>18</v>
      </c>
      <c r="D816">
        <v>1108.56</v>
      </c>
      <c r="E816">
        <v>27</v>
      </c>
      <c r="F816">
        <v>1</v>
      </c>
      <c r="G816">
        <v>5</v>
      </c>
      <c r="H816">
        <v>0</v>
      </c>
      <c r="I816" t="s">
        <v>19</v>
      </c>
      <c r="J816">
        <v>0</v>
      </c>
      <c r="K816">
        <v>78</v>
      </c>
      <c r="L816" t="s">
        <v>24</v>
      </c>
      <c r="M816" t="s">
        <v>35</v>
      </c>
      <c r="N816" t="s">
        <v>30</v>
      </c>
      <c r="O816" t="s">
        <v>27</v>
      </c>
      <c r="P816">
        <v>0.9</v>
      </c>
      <c r="Q816" s="2" t="b">
        <f>FALSE()</f>
        <v>0</v>
      </c>
      <c r="R816">
        <v>0</v>
      </c>
    </row>
    <row r="817" spans="1:18" x14ac:dyDescent="0.25">
      <c r="A817">
        <v>200816</v>
      </c>
      <c r="B817">
        <v>52639</v>
      </c>
      <c r="C817" t="s">
        <v>34</v>
      </c>
      <c r="D817">
        <v>2524.52</v>
      </c>
      <c r="E817">
        <v>1443</v>
      </c>
      <c r="F817">
        <v>0</v>
      </c>
      <c r="G817">
        <v>5</v>
      </c>
      <c r="H817">
        <v>0</v>
      </c>
      <c r="I817" t="s">
        <v>32</v>
      </c>
      <c r="J817">
        <v>0</v>
      </c>
      <c r="K817">
        <v>38</v>
      </c>
      <c r="L817" t="s">
        <v>20</v>
      </c>
      <c r="M817" t="s">
        <v>25</v>
      </c>
      <c r="N817" t="s">
        <v>22</v>
      </c>
      <c r="O817" t="s">
        <v>27</v>
      </c>
      <c r="P817">
        <v>1.06</v>
      </c>
      <c r="Q817" s="2" t="b">
        <f>FALSE()</f>
        <v>0</v>
      </c>
      <c r="R817">
        <v>0</v>
      </c>
    </row>
    <row r="818" spans="1:18" x14ac:dyDescent="0.25">
      <c r="A818">
        <v>200817</v>
      </c>
      <c r="B818">
        <v>52239</v>
      </c>
      <c r="C818" t="s">
        <v>28</v>
      </c>
      <c r="D818">
        <v>3276.75</v>
      </c>
      <c r="E818">
        <v>2078</v>
      </c>
      <c r="F818">
        <v>1</v>
      </c>
      <c r="G818">
        <v>5</v>
      </c>
      <c r="H818">
        <v>0</v>
      </c>
      <c r="I818" t="s">
        <v>32</v>
      </c>
      <c r="J818">
        <v>1</v>
      </c>
      <c r="K818">
        <v>48</v>
      </c>
      <c r="L818" t="s">
        <v>20</v>
      </c>
      <c r="M818" t="s">
        <v>29</v>
      </c>
      <c r="N818" t="s">
        <v>22</v>
      </c>
      <c r="O818" t="s">
        <v>23</v>
      </c>
      <c r="P818">
        <v>1.92</v>
      </c>
      <c r="Q818" s="2" t="b">
        <f>FALSE()</f>
        <v>0</v>
      </c>
      <c r="R818">
        <v>0</v>
      </c>
    </row>
    <row r="819" spans="1:18" x14ac:dyDescent="0.25">
      <c r="A819">
        <v>200818</v>
      </c>
      <c r="B819">
        <v>54107</v>
      </c>
      <c r="C819" t="s">
        <v>18</v>
      </c>
      <c r="D819">
        <v>1846.14</v>
      </c>
      <c r="E819">
        <v>2612</v>
      </c>
      <c r="F819">
        <v>2</v>
      </c>
      <c r="G819">
        <v>3</v>
      </c>
      <c r="H819">
        <v>1</v>
      </c>
      <c r="I819" t="s">
        <v>32</v>
      </c>
      <c r="J819">
        <v>1</v>
      </c>
      <c r="K819">
        <v>42</v>
      </c>
      <c r="L819" t="s">
        <v>20</v>
      </c>
      <c r="M819" t="s">
        <v>25</v>
      </c>
      <c r="N819" t="s">
        <v>30</v>
      </c>
      <c r="O819" t="s">
        <v>27</v>
      </c>
      <c r="P819">
        <v>3.4</v>
      </c>
      <c r="Q819" s="2" t="b">
        <f>FALSE()</f>
        <v>0</v>
      </c>
      <c r="R819">
        <v>0</v>
      </c>
    </row>
    <row r="820" spans="1:18" x14ac:dyDescent="0.25">
      <c r="A820">
        <v>200819</v>
      </c>
      <c r="B820">
        <v>50551</v>
      </c>
      <c r="C820" t="s">
        <v>34</v>
      </c>
      <c r="D820">
        <v>1417</v>
      </c>
      <c r="E820">
        <v>732</v>
      </c>
      <c r="F820">
        <v>3</v>
      </c>
      <c r="G820">
        <v>2</v>
      </c>
      <c r="H820">
        <v>0</v>
      </c>
      <c r="I820" t="s">
        <v>33</v>
      </c>
      <c r="J820">
        <v>0</v>
      </c>
      <c r="K820">
        <v>53</v>
      </c>
      <c r="L820" t="s">
        <v>20</v>
      </c>
      <c r="M820" t="s">
        <v>31</v>
      </c>
      <c r="N820" t="s">
        <v>22</v>
      </c>
      <c r="O820" t="s">
        <v>36</v>
      </c>
      <c r="P820">
        <v>0.74</v>
      </c>
      <c r="Q820" s="2" t="b">
        <f>FALSE()</f>
        <v>0</v>
      </c>
      <c r="R820">
        <v>1</v>
      </c>
    </row>
    <row r="821" spans="1:18" x14ac:dyDescent="0.25">
      <c r="A821">
        <v>200820</v>
      </c>
      <c r="B821">
        <v>52217</v>
      </c>
      <c r="C821" t="s">
        <v>34</v>
      </c>
      <c r="D821">
        <v>4129.54</v>
      </c>
      <c r="E821">
        <v>2152</v>
      </c>
      <c r="F821">
        <v>1</v>
      </c>
      <c r="G821">
        <v>4</v>
      </c>
      <c r="H821">
        <v>1</v>
      </c>
      <c r="I821" t="s">
        <v>33</v>
      </c>
      <c r="J821">
        <v>0</v>
      </c>
      <c r="K821">
        <v>24</v>
      </c>
      <c r="L821" t="s">
        <v>24</v>
      </c>
      <c r="M821" t="s">
        <v>25</v>
      </c>
      <c r="N821" t="s">
        <v>22</v>
      </c>
      <c r="O821" t="s">
        <v>27</v>
      </c>
      <c r="P821">
        <v>1.76</v>
      </c>
      <c r="Q821" s="2" t="b">
        <f>FALSE()</f>
        <v>0</v>
      </c>
      <c r="R821">
        <v>1</v>
      </c>
    </row>
    <row r="822" spans="1:18" x14ac:dyDescent="0.25">
      <c r="A822">
        <v>200821</v>
      </c>
      <c r="B822">
        <v>51352</v>
      </c>
      <c r="C822" t="s">
        <v>18</v>
      </c>
      <c r="D822">
        <v>6113.1</v>
      </c>
      <c r="E822">
        <v>2854</v>
      </c>
      <c r="F822">
        <v>1</v>
      </c>
      <c r="G822">
        <v>1</v>
      </c>
      <c r="H822">
        <v>1</v>
      </c>
      <c r="I822" t="s">
        <v>32</v>
      </c>
      <c r="J822">
        <v>1</v>
      </c>
      <c r="K822">
        <v>19</v>
      </c>
      <c r="L822" t="s">
        <v>20</v>
      </c>
      <c r="M822" t="s">
        <v>31</v>
      </c>
      <c r="N822" t="s">
        <v>30</v>
      </c>
      <c r="O822" t="s">
        <v>23</v>
      </c>
      <c r="P822">
        <v>0.36</v>
      </c>
      <c r="Q822" s="2" t="b">
        <f>FALSE()</f>
        <v>0</v>
      </c>
      <c r="R822">
        <v>1</v>
      </c>
    </row>
    <row r="823" spans="1:18" x14ac:dyDescent="0.25">
      <c r="A823">
        <v>200822</v>
      </c>
      <c r="B823">
        <v>51855</v>
      </c>
      <c r="C823" t="s">
        <v>18</v>
      </c>
      <c r="D823">
        <v>882.39</v>
      </c>
      <c r="E823">
        <v>3515</v>
      </c>
      <c r="F823">
        <v>0</v>
      </c>
      <c r="G823">
        <v>8</v>
      </c>
      <c r="H823">
        <v>1</v>
      </c>
      <c r="I823" t="s">
        <v>32</v>
      </c>
      <c r="J823">
        <v>1</v>
      </c>
      <c r="K823">
        <v>57</v>
      </c>
      <c r="L823" t="s">
        <v>20</v>
      </c>
      <c r="M823" t="s">
        <v>29</v>
      </c>
      <c r="N823" t="s">
        <v>30</v>
      </c>
      <c r="O823" t="s">
        <v>27</v>
      </c>
      <c r="P823">
        <v>0.5</v>
      </c>
      <c r="Q823" s="2" t="b">
        <f>FALSE()</f>
        <v>0</v>
      </c>
      <c r="R823">
        <v>1</v>
      </c>
    </row>
    <row r="824" spans="1:18" x14ac:dyDescent="0.25">
      <c r="A824">
        <v>200823</v>
      </c>
      <c r="B824">
        <v>55358</v>
      </c>
      <c r="C824" t="s">
        <v>18</v>
      </c>
      <c r="D824">
        <v>5244.9</v>
      </c>
      <c r="E824">
        <v>1241</v>
      </c>
      <c r="F824">
        <v>1</v>
      </c>
      <c r="G824">
        <v>2</v>
      </c>
      <c r="H824">
        <v>0</v>
      </c>
      <c r="I824" t="s">
        <v>33</v>
      </c>
      <c r="J824">
        <v>0</v>
      </c>
      <c r="K824">
        <v>28</v>
      </c>
      <c r="L824" t="s">
        <v>24</v>
      </c>
      <c r="M824" t="s">
        <v>25</v>
      </c>
      <c r="N824" t="s">
        <v>30</v>
      </c>
      <c r="O824" t="s">
        <v>36</v>
      </c>
      <c r="P824">
        <v>2.58</v>
      </c>
      <c r="Q824" s="2" t="b">
        <f>FALSE()</f>
        <v>0</v>
      </c>
      <c r="R824">
        <v>1</v>
      </c>
    </row>
    <row r="825" spans="1:18" x14ac:dyDescent="0.25">
      <c r="A825">
        <v>200824</v>
      </c>
      <c r="B825">
        <v>51733</v>
      </c>
      <c r="C825" t="s">
        <v>18</v>
      </c>
      <c r="D825">
        <v>2617.15</v>
      </c>
      <c r="E825">
        <v>2910</v>
      </c>
      <c r="F825">
        <v>1</v>
      </c>
      <c r="G825">
        <v>8</v>
      </c>
      <c r="H825">
        <v>0</v>
      </c>
      <c r="I825" t="s">
        <v>19</v>
      </c>
      <c r="J825">
        <v>0</v>
      </c>
      <c r="K825">
        <v>42</v>
      </c>
      <c r="L825" t="s">
        <v>20</v>
      </c>
      <c r="M825" t="s">
        <v>37</v>
      </c>
      <c r="N825" t="s">
        <v>22</v>
      </c>
      <c r="O825" t="s">
        <v>36</v>
      </c>
      <c r="P825">
        <v>5.22</v>
      </c>
      <c r="Q825" s="2" t="b">
        <f>FALSE()</f>
        <v>0</v>
      </c>
      <c r="R825">
        <v>1</v>
      </c>
    </row>
    <row r="826" spans="1:18" x14ac:dyDescent="0.25">
      <c r="A826">
        <v>200825</v>
      </c>
      <c r="B826">
        <v>50423</v>
      </c>
      <c r="C826" t="s">
        <v>34</v>
      </c>
      <c r="D826">
        <v>2366.56</v>
      </c>
      <c r="E826">
        <v>483</v>
      </c>
      <c r="F826">
        <v>1</v>
      </c>
      <c r="G826">
        <v>0</v>
      </c>
      <c r="H826">
        <v>0</v>
      </c>
      <c r="I826" t="s">
        <v>32</v>
      </c>
      <c r="J826">
        <v>1</v>
      </c>
      <c r="K826">
        <v>19</v>
      </c>
      <c r="L826" t="s">
        <v>24</v>
      </c>
      <c r="M826" t="s">
        <v>25</v>
      </c>
      <c r="N826" t="s">
        <v>26</v>
      </c>
      <c r="O826" t="s">
        <v>36</v>
      </c>
      <c r="P826">
        <v>1.83</v>
      </c>
      <c r="Q826" s="2" t="b">
        <f>FALSE()</f>
        <v>0</v>
      </c>
      <c r="R826">
        <v>0</v>
      </c>
    </row>
    <row r="827" spans="1:18" x14ac:dyDescent="0.25">
      <c r="A827">
        <v>200826</v>
      </c>
      <c r="B827">
        <v>54125</v>
      </c>
      <c r="C827" t="s">
        <v>28</v>
      </c>
      <c r="D827">
        <v>1579.89</v>
      </c>
      <c r="E827">
        <v>675</v>
      </c>
      <c r="F827">
        <v>3</v>
      </c>
      <c r="G827">
        <v>5</v>
      </c>
      <c r="H827">
        <v>0</v>
      </c>
      <c r="I827" t="s">
        <v>33</v>
      </c>
      <c r="J827">
        <v>1</v>
      </c>
      <c r="K827">
        <v>80</v>
      </c>
      <c r="L827" t="s">
        <v>24</v>
      </c>
      <c r="M827" t="s">
        <v>37</v>
      </c>
      <c r="N827" t="s">
        <v>30</v>
      </c>
      <c r="O827" t="s">
        <v>27</v>
      </c>
      <c r="P827">
        <v>1.03</v>
      </c>
      <c r="Q827" s="2" t="b">
        <f>FALSE()</f>
        <v>0</v>
      </c>
      <c r="R827">
        <v>1</v>
      </c>
    </row>
    <row r="828" spans="1:18" x14ac:dyDescent="0.25">
      <c r="A828">
        <v>200827</v>
      </c>
      <c r="B828">
        <v>54902</v>
      </c>
      <c r="C828" t="s">
        <v>18</v>
      </c>
      <c r="D828">
        <v>86.6</v>
      </c>
      <c r="E828">
        <v>348</v>
      </c>
      <c r="F828">
        <v>1</v>
      </c>
      <c r="G828">
        <v>2</v>
      </c>
      <c r="H828">
        <v>1</v>
      </c>
      <c r="I828" t="s">
        <v>33</v>
      </c>
      <c r="J828">
        <v>0</v>
      </c>
      <c r="K828">
        <v>48</v>
      </c>
      <c r="L828" t="s">
        <v>20</v>
      </c>
      <c r="M828" t="s">
        <v>37</v>
      </c>
      <c r="N828" t="s">
        <v>26</v>
      </c>
      <c r="O828" t="s">
        <v>36</v>
      </c>
      <c r="P828">
        <v>5.91</v>
      </c>
      <c r="Q828" s="2" t="b">
        <f>FALSE()</f>
        <v>0</v>
      </c>
      <c r="R828">
        <v>0</v>
      </c>
    </row>
    <row r="829" spans="1:18" x14ac:dyDescent="0.25">
      <c r="A829">
        <v>200828</v>
      </c>
      <c r="B829">
        <v>54307</v>
      </c>
      <c r="C829" t="s">
        <v>34</v>
      </c>
      <c r="D829">
        <v>2010.34</v>
      </c>
      <c r="E829">
        <v>511</v>
      </c>
      <c r="F829">
        <v>1</v>
      </c>
      <c r="G829">
        <v>3</v>
      </c>
      <c r="H829">
        <v>0</v>
      </c>
      <c r="I829" t="s">
        <v>32</v>
      </c>
      <c r="J829">
        <v>0</v>
      </c>
      <c r="K829">
        <v>37</v>
      </c>
      <c r="L829" t="s">
        <v>24</v>
      </c>
      <c r="M829" t="s">
        <v>25</v>
      </c>
      <c r="N829" t="s">
        <v>30</v>
      </c>
      <c r="O829" t="s">
        <v>27</v>
      </c>
      <c r="P829">
        <v>0.17</v>
      </c>
      <c r="Q829" s="2" t="b">
        <f>FALSE()</f>
        <v>0</v>
      </c>
      <c r="R829">
        <v>0</v>
      </c>
    </row>
    <row r="830" spans="1:18" x14ac:dyDescent="0.25">
      <c r="A830">
        <v>200829</v>
      </c>
      <c r="B830">
        <v>51878</v>
      </c>
      <c r="C830" t="s">
        <v>18</v>
      </c>
      <c r="D830">
        <v>3392.41</v>
      </c>
      <c r="E830">
        <v>2202</v>
      </c>
      <c r="F830">
        <v>0</v>
      </c>
      <c r="G830">
        <v>5</v>
      </c>
      <c r="H830">
        <v>0</v>
      </c>
      <c r="I830" t="s">
        <v>33</v>
      </c>
      <c r="J830">
        <v>0</v>
      </c>
      <c r="K830">
        <v>78</v>
      </c>
      <c r="L830" t="s">
        <v>24</v>
      </c>
      <c r="M830" t="s">
        <v>37</v>
      </c>
      <c r="N830" t="s">
        <v>22</v>
      </c>
      <c r="O830" t="s">
        <v>27</v>
      </c>
      <c r="P830">
        <v>0.89</v>
      </c>
      <c r="Q830" s="2" t="b">
        <f>FALSE()</f>
        <v>0</v>
      </c>
      <c r="R830">
        <v>0</v>
      </c>
    </row>
    <row r="831" spans="1:18" x14ac:dyDescent="0.25">
      <c r="A831">
        <v>200830</v>
      </c>
      <c r="B831">
        <v>51650</v>
      </c>
      <c r="C831" t="s">
        <v>34</v>
      </c>
      <c r="D831">
        <v>1752.51</v>
      </c>
      <c r="E831">
        <v>2644</v>
      </c>
      <c r="F831">
        <v>2</v>
      </c>
      <c r="G831">
        <v>3</v>
      </c>
      <c r="H831">
        <v>0</v>
      </c>
      <c r="I831" t="s">
        <v>32</v>
      </c>
      <c r="J831">
        <v>0</v>
      </c>
      <c r="K831">
        <v>52</v>
      </c>
      <c r="L831" t="s">
        <v>20</v>
      </c>
      <c r="M831" t="s">
        <v>25</v>
      </c>
      <c r="N831" t="s">
        <v>30</v>
      </c>
      <c r="O831" t="s">
        <v>27</v>
      </c>
      <c r="P831">
        <v>1.02</v>
      </c>
      <c r="Q831" s="2" t="b">
        <f>FALSE()</f>
        <v>0</v>
      </c>
      <c r="R831">
        <v>0</v>
      </c>
    </row>
    <row r="832" spans="1:18" x14ac:dyDescent="0.25">
      <c r="A832">
        <v>200831</v>
      </c>
      <c r="B832">
        <v>52236</v>
      </c>
      <c r="C832" t="s">
        <v>18</v>
      </c>
      <c r="D832">
        <v>7148.31</v>
      </c>
      <c r="E832">
        <v>24</v>
      </c>
      <c r="F832">
        <v>4</v>
      </c>
      <c r="G832">
        <v>1</v>
      </c>
      <c r="H832">
        <v>0</v>
      </c>
      <c r="I832" t="s">
        <v>32</v>
      </c>
      <c r="J832">
        <v>0</v>
      </c>
      <c r="K832">
        <v>62</v>
      </c>
      <c r="L832" t="s">
        <v>38</v>
      </c>
      <c r="M832" t="s">
        <v>29</v>
      </c>
      <c r="N832" t="s">
        <v>22</v>
      </c>
      <c r="O832" t="s">
        <v>36</v>
      </c>
      <c r="P832">
        <v>5.89</v>
      </c>
      <c r="Q832" s="2" t="b">
        <f>TRUE()</f>
        <v>1</v>
      </c>
      <c r="R832">
        <v>1</v>
      </c>
    </row>
    <row r="833" spans="1:18" x14ac:dyDescent="0.25">
      <c r="A833">
        <v>200832</v>
      </c>
      <c r="B833">
        <v>50144</v>
      </c>
      <c r="C833" t="s">
        <v>28</v>
      </c>
      <c r="D833">
        <v>5504.14</v>
      </c>
      <c r="E833">
        <v>309</v>
      </c>
      <c r="F833">
        <v>2</v>
      </c>
      <c r="G833">
        <v>2</v>
      </c>
      <c r="H833">
        <v>0</v>
      </c>
      <c r="I833" t="s">
        <v>33</v>
      </c>
      <c r="J833">
        <v>0</v>
      </c>
      <c r="K833">
        <v>47</v>
      </c>
      <c r="L833" t="s">
        <v>20</v>
      </c>
      <c r="M833" t="s">
        <v>35</v>
      </c>
      <c r="N833" t="s">
        <v>26</v>
      </c>
      <c r="O833" t="s">
        <v>27</v>
      </c>
      <c r="P833">
        <v>5.12</v>
      </c>
      <c r="Q833" s="2" t="b">
        <f>FALSE()</f>
        <v>0</v>
      </c>
      <c r="R833">
        <v>1</v>
      </c>
    </row>
    <row r="834" spans="1:18" x14ac:dyDescent="0.25">
      <c r="A834">
        <v>200833</v>
      </c>
      <c r="B834">
        <v>51914</v>
      </c>
      <c r="C834" t="s">
        <v>28</v>
      </c>
      <c r="D834">
        <v>221.99</v>
      </c>
      <c r="E834">
        <v>3568</v>
      </c>
      <c r="F834">
        <v>0</v>
      </c>
      <c r="G834">
        <v>4</v>
      </c>
      <c r="H834">
        <v>0</v>
      </c>
      <c r="I834" t="s">
        <v>33</v>
      </c>
      <c r="J834">
        <v>0</v>
      </c>
      <c r="K834">
        <v>33</v>
      </c>
      <c r="L834" t="s">
        <v>24</v>
      </c>
      <c r="M834" t="s">
        <v>31</v>
      </c>
      <c r="N834" t="s">
        <v>30</v>
      </c>
      <c r="O834" t="s">
        <v>23</v>
      </c>
      <c r="P834">
        <v>0.37</v>
      </c>
      <c r="Q834" s="2" t="b">
        <f>FALSE()</f>
        <v>0</v>
      </c>
      <c r="R834">
        <v>0</v>
      </c>
    </row>
    <row r="835" spans="1:18" x14ac:dyDescent="0.25">
      <c r="A835">
        <v>200834</v>
      </c>
      <c r="B835">
        <v>52715</v>
      </c>
      <c r="C835" t="s">
        <v>34</v>
      </c>
      <c r="D835">
        <v>1927.36</v>
      </c>
      <c r="E835">
        <v>1161</v>
      </c>
      <c r="F835">
        <v>1</v>
      </c>
      <c r="G835">
        <v>3</v>
      </c>
      <c r="H835">
        <v>0</v>
      </c>
      <c r="I835" t="s">
        <v>33</v>
      </c>
      <c r="J835">
        <v>0</v>
      </c>
      <c r="K835">
        <v>20</v>
      </c>
      <c r="L835" t="s">
        <v>20</v>
      </c>
      <c r="M835" t="s">
        <v>29</v>
      </c>
      <c r="N835" t="s">
        <v>22</v>
      </c>
      <c r="O835" t="s">
        <v>36</v>
      </c>
      <c r="P835">
        <v>4.3899999999999997</v>
      </c>
      <c r="Q835" s="2" t="b">
        <f>FALSE()</f>
        <v>0</v>
      </c>
      <c r="R835">
        <v>0</v>
      </c>
    </row>
    <row r="836" spans="1:18" x14ac:dyDescent="0.25">
      <c r="A836">
        <v>200835</v>
      </c>
      <c r="B836">
        <v>55790</v>
      </c>
      <c r="C836" t="s">
        <v>18</v>
      </c>
      <c r="D836">
        <v>1987.58</v>
      </c>
      <c r="E836">
        <v>3448</v>
      </c>
      <c r="F836">
        <v>1</v>
      </c>
      <c r="G836">
        <v>4</v>
      </c>
      <c r="H836">
        <v>0</v>
      </c>
      <c r="I836" t="s">
        <v>32</v>
      </c>
      <c r="J836">
        <v>0</v>
      </c>
      <c r="K836">
        <v>57</v>
      </c>
      <c r="L836" t="s">
        <v>24</v>
      </c>
      <c r="M836" t="s">
        <v>35</v>
      </c>
      <c r="N836" t="s">
        <v>30</v>
      </c>
      <c r="O836" t="s">
        <v>27</v>
      </c>
      <c r="P836">
        <v>1.46</v>
      </c>
      <c r="Q836" s="2" t="b">
        <f>FALSE()</f>
        <v>0</v>
      </c>
      <c r="R836">
        <v>0</v>
      </c>
    </row>
    <row r="837" spans="1:18" x14ac:dyDescent="0.25">
      <c r="A837">
        <v>200836</v>
      </c>
      <c r="B837">
        <v>52391</v>
      </c>
      <c r="C837" t="s">
        <v>28</v>
      </c>
      <c r="D837">
        <v>6536.6</v>
      </c>
      <c r="E837">
        <v>344</v>
      </c>
      <c r="F837">
        <v>1</v>
      </c>
      <c r="G837">
        <v>6</v>
      </c>
      <c r="H837">
        <v>1</v>
      </c>
      <c r="I837" t="s">
        <v>33</v>
      </c>
      <c r="J837">
        <v>0</v>
      </c>
      <c r="K837">
        <v>65</v>
      </c>
      <c r="L837" t="s">
        <v>20</v>
      </c>
      <c r="M837" t="s">
        <v>37</v>
      </c>
      <c r="N837" t="s">
        <v>30</v>
      </c>
      <c r="O837" t="s">
        <v>27</v>
      </c>
      <c r="P837">
        <v>4.6900000000000004</v>
      </c>
      <c r="Q837" s="2" t="b">
        <f>FALSE()</f>
        <v>0</v>
      </c>
      <c r="R837">
        <v>1</v>
      </c>
    </row>
    <row r="838" spans="1:18" x14ac:dyDescent="0.25">
      <c r="A838">
        <v>200837</v>
      </c>
      <c r="B838">
        <v>53508</v>
      </c>
      <c r="C838" t="s">
        <v>34</v>
      </c>
      <c r="D838">
        <v>1179.56</v>
      </c>
      <c r="E838">
        <v>2636</v>
      </c>
      <c r="F838">
        <v>1</v>
      </c>
      <c r="G838">
        <v>2</v>
      </c>
      <c r="H838">
        <v>0</v>
      </c>
      <c r="I838" t="s">
        <v>33</v>
      </c>
      <c r="J838">
        <v>0</v>
      </c>
      <c r="K838">
        <v>74</v>
      </c>
      <c r="L838" t="s">
        <v>20</v>
      </c>
      <c r="M838" t="s">
        <v>37</v>
      </c>
      <c r="N838" t="s">
        <v>30</v>
      </c>
      <c r="O838" t="s">
        <v>27</v>
      </c>
      <c r="P838">
        <v>1.5</v>
      </c>
      <c r="Q838" s="2" t="b">
        <f>FALSE()</f>
        <v>0</v>
      </c>
      <c r="R838">
        <v>0</v>
      </c>
    </row>
    <row r="839" spans="1:18" x14ac:dyDescent="0.25">
      <c r="A839">
        <v>200838</v>
      </c>
      <c r="B839">
        <v>54052</v>
      </c>
      <c r="C839" t="s">
        <v>34</v>
      </c>
      <c r="D839">
        <v>2228.5100000000002</v>
      </c>
      <c r="E839">
        <v>3561</v>
      </c>
      <c r="F839">
        <v>0</v>
      </c>
      <c r="G839">
        <v>4</v>
      </c>
      <c r="H839">
        <v>1</v>
      </c>
      <c r="I839" t="s">
        <v>19</v>
      </c>
      <c r="J839">
        <v>0</v>
      </c>
      <c r="K839">
        <v>39</v>
      </c>
      <c r="L839" t="s">
        <v>24</v>
      </c>
      <c r="M839" t="s">
        <v>25</v>
      </c>
      <c r="N839" t="s">
        <v>22</v>
      </c>
      <c r="O839" t="s">
        <v>27</v>
      </c>
      <c r="P839">
        <v>6.22</v>
      </c>
      <c r="Q839" s="2" t="b">
        <f>FALSE()</f>
        <v>0</v>
      </c>
      <c r="R839">
        <v>0</v>
      </c>
    </row>
    <row r="840" spans="1:18" x14ac:dyDescent="0.25">
      <c r="A840">
        <v>200839</v>
      </c>
      <c r="B840">
        <v>52278</v>
      </c>
      <c r="C840" t="s">
        <v>28</v>
      </c>
      <c r="D840">
        <v>6451.94</v>
      </c>
      <c r="E840">
        <v>2152</v>
      </c>
      <c r="F840">
        <v>0</v>
      </c>
      <c r="G840">
        <v>3</v>
      </c>
      <c r="H840">
        <v>0</v>
      </c>
      <c r="I840" t="s">
        <v>19</v>
      </c>
      <c r="J840">
        <v>0</v>
      </c>
      <c r="K840">
        <v>31</v>
      </c>
      <c r="L840" t="s">
        <v>20</v>
      </c>
      <c r="M840" t="s">
        <v>21</v>
      </c>
      <c r="N840" t="s">
        <v>30</v>
      </c>
      <c r="O840" t="s">
        <v>27</v>
      </c>
      <c r="P840">
        <v>0.13</v>
      </c>
      <c r="Q840" s="2" t="b">
        <f>FALSE()</f>
        <v>0</v>
      </c>
      <c r="R840">
        <v>1</v>
      </c>
    </row>
    <row r="841" spans="1:18" x14ac:dyDescent="0.25">
      <c r="A841">
        <v>200840</v>
      </c>
      <c r="B841">
        <v>52422</v>
      </c>
      <c r="C841" t="s">
        <v>34</v>
      </c>
      <c r="D841">
        <v>1351.42</v>
      </c>
      <c r="E841">
        <v>1814</v>
      </c>
      <c r="F841">
        <v>1</v>
      </c>
      <c r="G841">
        <v>2</v>
      </c>
      <c r="H841">
        <v>0</v>
      </c>
      <c r="I841" t="s">
        <v>33</v>
      </c>
      <c r="J841">
        <v>1</v>
      </c>
      <c r="K841">
        <v>83</v>
      </c>
      <c r="L841" t="s">
        <v>20</v>
      </c>
      <c r="M841" t="s">
        <v>29</v>
      </c>
      <c r="N841" t="s">
        <v>22</v>
      </c>
      <c r="O841" t="s">
        <v>27</v>
      </c>
      <c r="P841">
        <v>2.44</v>
      </c>
      <c r="Q841" s="2" t="b">
        <f>FALSE()</f>
        <v>0</v>
      </c>
      <c r="R841">
        <v>0</v>
      </c>
    </row>
    <row r="842" spans="1:18" x14ac:dyDescent="0.25">
      <c r="A842">
        <v>200841</v>
      </c>
      <c r="B842">
        <v>51652</v>
      </c>
      <c r="C842" t="s">
        <v>28</v>
      </c>
      <c r="D842">
        <v>1910.07</v>
      </c>
      <c r="E842">
        <v>3120</v>
      </c>
      <c r="F842">
        <v>1</v>
      </c>
      <c r="G842">
        <v>4</v>
      </c>
      <c r="H842">
        <v>0</v>
      </c>
      <c r="I842" t="s">
        <v>19</v>
      </c>
      <c r="J842">
        <v>0</v>
      </c>
      <c r="K842">
        <v>47</v>
      </c>
      <c r="L842" t="s">
        <v>20</v>
      </c>
      <c r="M842" t="s">
        <v>37</v>
      </c>
      <c r="N842" t="s">
        <v>30</v>
      </c>
      <c r="O842" t="s">
        <v>36</v>
      </c>
      <c r="P842">
        <v>2.11</v>
      </c>
      <c r="Q842" s="2" t="b">
        <f>FALSE()</f>
        <v>0</v>
      </c>
      <c r="R842">
        <v>0</v>
      </c>
    </row>
    <row r="843" spans="1:18" x14ac:dyDescent="0.25">
      <c r="A843">
        <v>200842</v>
      </c>
      <c r="B843">
        <v>53440</v>
      </c>
      <c r="C843" t="s">
        <v>34</v>
      </c>
      <c r="D843">
        <v>5605.35</v>
      </c>
      <c r="E843">
        <v>2408</v>
      </c>
      <c r="F843">
        <v>1</v>
      </c>
      <c r="G843">
        <v>4</v>
      </c>
      <c r="H843">
        <v>1</v>
      </c>
      <c r="I843" t="s">
        <v>32</v>
      </c>
      <c r="J843">
        <v>0</v>
      </c>
      <c r="K843">
        <v>63</v>
      </c>
      <c r="L843" t="s">
        <v>24</v>
      </c>
      <c r="M843" t="s">
        <v>35</v>
      </c>
      <c r="N843" t="s">
        <v>22</v>
      </c>
      <c r="O843" t="s">
        <v>36</v>
      </c>
      <c r="P843">
        <v>4.68</v>
      </c>
      <c r="Q843" s="2" t="b">
        <f>FALSE()</f>
        <v>0</v>
      </c>
      <c r="R843">
        <v>1</v>
      </c>
    </row>
    <row r="844" spans="1:18" x14ac:dyDescent="0.25">
      <c r="A844">
        <v>200843</v>
      </c>
      <c r="B844">
        <v>55646</v>
      </c>
      <c r="C844" t="s">
        <v>18</v>
      </c>
      <c r="D844">
        <v>2387.9</v>
      </c>
      <c r="E844">
        <v>2553</v>
      </c>
      <c r="F844">
        <v>1</v>
      </c>
      <c r="G844">
        <v>4</v>
      </c>
      <c r="H844">
        <v>0</v>
      </c>
      <c r="I844" t="s">
        <v>19</v>
      </c>
      <c r="J844">
        <v>0</v>
      </c>
      <c r="K844">
        <v>21</v>
      </c>
      <c r="L844" t="s">
        <v>20</v>
      </c>
      <c r="M844" t="s">
        <v>29</v>
      </c>
      <c r="N844" t="s">
        <v>22</v>
      </c>
      <c r="O844" t="s">
        <v>27</v>
      </c>
      <c r="P844">
        <v>0.38</v>
      </c>
      <c r="Q844" s="2" t="b">
        <f>FALSE()</f>
        <v>0</v>
      </c>
      <c r="R844">
        <v>0</v>
      </c>
    </row>
    <row r="845" spans="1:18" x14ac:dyDescent="0.25">
      <c r="A845">
        <v>200844</v>
      </c>
      <c r="B845">
        <v>52689</v>
      </c>
      <c r="C845" t="s">
        <v>18</v>
      </c>
      <c r="D845">
        <v>4822.91</v>
      </c>
      <c r="E845">
        <v>2966</v>
      </c>
      <c r="F845">
        <v>0</v>
      </c>
      <c r="G845">
        <v>4</v>
      </c>
      <c r="H845">
        <v>1</v>
      </c>
      <c r="I845" t="s">
        <v>19</v>
      </c>
      <c r="J845">
        <v>0</v>
      </c>
      <c r="K845">
        <v>67</v>
      </c>
      <c r="L845" t="s">
        <v>24</v>
      </c>
      <c r="M845" t="s">
        <v>21</v>
      </c>
      <c r="N845" t="s">
        <v>22</v>
      </c>
      <c r="O845" t="s">
        <v>27</v>
      </c>
      <c r="P845">
        <v>3.39</v>
      </c>
      <c r="Q845" s="2" t="b">
        <f>FALSE()</f>
        <v>0</v>
      </c>
      <c r="R845">
        <v>1</v>
      </c>
    </row>
    <row r="846" spans="1:18" x14ac:dyDescent="0.25">
      <c r="A846">
        <v>200845</v>
      </c>
      <c r="B846">
        <v>53410</v>
      </c>
      <c r="C846" t="s">
        <v>18</v>
      </c>
      <c r="D846">
        <v>2734.2</v>
      </c>
      <c r="E846">
        <v>1462</v>
      </c>
      <c r="F846">
        <v>2</v>
      </c>
      <c r="G846">
        <v>4</v>
      </c>
      <c r="H846">
        <v>0</v>
      </c>
      <c r="I846" t="s">
        <v>33</v>
      </c>
      <c r="J846">
        <v>0</v>
      </c>
      <c r="K846">
        <v>67</v>
      </c>
      <c r="L846" t="s">
        <v>24</v>
      </c>
      <c r="M846" t="s">
        <v>29</v>
      </c>
      <c r="N846" t="s">
        <v>30</v>
      </c>
      <c r="O846" t="s">
        <v>36</v>
      </c>
      <c r="P846">
        <v>0.56000000000000005</v>
      </c>
      <c r="Q846" s="2" t="b">
        <f>FALSE()</f>
        <v>0</v>
      </c>
      <c r="R846">
        <v>0</v>
      </c>
    </row>
    <row r="847" spans="1:18" x14ac:dyDescent="0.25">
      <c r="A847">
        <v>200846</v>
      </c>
      <c r="B847">
        <v>55769</v>
      </c>
      <c r="C847" t="s">
        <v>18</v>
      </c>
      <c r="D847">
        <v>1185.8699999999999</v>
      </c>
      <c r="E847">
        <v>3491</v>
      </c>
      <c r="F847">
        <v>0</v>
      </c>
      <c r="G847">
        <v>7</v>
      </c>
      <c r="H847">
        <v>0</v>
      </c>
      <c r="I847" t="s">
        <v>19</v>
      </c>
      <c r="J847">
        <v>1</v>
      </c>
      <c r="K847">
        <v>60</v>
      </c>
      <c r="L847" t="s">
        <v>20</v>
      </c>
      <c r="M847" t="s">
        <v>37</v>
      </c>
      <c r="N847" t="s">
        <v>22</v>
      </c>
      <c r="O847" t="s">
        <v>23</v>
      </c>
      <c r="P847">
        <v>9.36</v>
      </c>
      <c r="Q847" s="2" t="b">
        <f>FALSE()</f>
        <v>0</v>
      </c>
      <c r="R847">
        <v>1</v>
      </c>
    </row>
    <row r="848" spans="1:18" x14ac:dyDescent="0.25">
      <c r="A848">
        <v>200847</v>
      </c>
      <c r="B848">
        <v>53759</v>
      </c>
      <c r="C848" t="s">
        <v>28</v>
      </c>
      <c r="D848">
        <v>4178.29</v>
      </c>
      <c r="E848">
        <v>599</v>
      </c>
      <c r="F848">
        <v>0</v>
      </c>
      <c r="G848">
        <v>2</v>
      </c>
      <c r="H848">
        <v>1</v>
      </c>
      <c r="I848" t="s">
        <v>33</v>
      </c>
      <c r="J848">
        <v>0</v>
      </c>
      <c r="K848">
        <v>30</v>
      </c>
      <c r="L848" t="s">
        <v>38</v>
      </c>
      <c r="M848" t="s">
        <v>35</v>
      </c>
      <c r="N848" t="s">
        <v>30</v>
      </c>
      <c r="O848" t="s">
        <v>36</v>
      </c>
      <c r="P848">
        <v>8.4600000000000009</v>
      </c>
      <c r="Q848" s="2" t="b">
        <f>FALSE()</f>
        <v>0</v>
      </c>
      <c r="R848">
        <v>1</v>
      </c>
    </row>
    <row r="849" spans="1:18" x14ac:dyDescent="0.25">
      <c r="A849">
        <v>200848</v>
      </c>
      <c r="B849">
        <v>52078</v>
      </c>
      <c r="C849" t="s">
        <v>18</v>
      </c>
      <c r="D849">
        <v>3680.76</v>
      </c>
      <c r="E849">
        <v>2542</v>
      </c>
      <c r="F849">
        <v>1</v>
      </c>
      <c r="G849">
        <v>5</v>
      </c>
      <c r="H849">
        <v>1</v>
      </c>
      <c r="I849" t="s">
        <v>33</v>
      </c>
      <c r="J849">
        <v>0</v>
      </c>
      <c r="K849">
        <v>57</v>
      </c>
      <c r="L849" t="s">
        <v>20</v>
      </c>
      <c r="M849" t="s">
        <v>21</v>
      </c>
      <c r="N849" t="s">
        <v>22</v>
      </c>
      <c r="O849" t="s">
        <v>36</v>
      </c>
      <c r="P849">
        <v>0.44</v>
      </c>
      <c r="Q849" s="2" t="b">
        <f>FALSE()</f>
        <v>0</v>
      </c>
      <c r="R849">
        <v>1</v>
      </c>
    </row>
    <row r="850" spans="1:18" x14ac:dyDescent="0.25">
      <c r="A850">
        <v>200849</v>
      </c>
      <c r="B850">
        <v>55491</v>
      </c>
      <c r="C850" t="s">
        <v>34</v>
      </c>
      <c r="D850">
        <v>861.85</v>
      </c>
      <c r="E850">
        <v>531</v>
      </c>
      <c r="F850">
        <v>2</v>
      </c>
      <c r="G850">
        <v>9</v>
      </c>
      <c r="H850">
        <v>0</v>
      </c>
      <c r="I850" t="s">
        <v>19</v>
      </c>
      <c r="J850">
        <v>0</v>
      </c>
      <c r="K850">
        <v>54</v>
      </c>
      <c r="L850" t="s">
        <v>24</v>
      </c>
      <c r="M850" t="s">
        <v>29</v>
      </c>
      <c r="N850" t="s">
        <v>26</v>
      </c>
      <c r="O850" t="s">
        <v>36</v>
      </c>
      <c r="P850">
        <v>2.41</v>
      </c>
      <c r="Q850" s="2" t="b">
        <f>FALSE()</f>
        <v>0</v>
      </c>
      <c r="R850">
        <v>1</v>
      </c>
    </row>
    <row r="851" spans="1:18" x14ac:dyDescent="0.25">
      <c r="A851">
        <v>200850</v>
      </c>
      <c r="B851">
        <v>50177</v>
      </c>
      <c r="C851" t="s">
        <v>18</v>
      </c>
      <c r="D851">
        <v>2560.92</v>
      </c>
      <c r="E851">
        <v>3283</v>
      </c>
      <c r="F851">
        <v>1</v>
      </c>
      <c r="G851">
        <v>6</v>
      </c>
      <c r="H851">
        <v>0</v>
      </c>
      <c r="I851" t="s">
        <v>33</v>
      </c>
      <c r="J851">
        <v>1</v>
      </c>
      <c r="K851">
        <v>44</v>
      </c>
      <c r="L851" t="s">
        <v>38</v>
      </c>
      <c r="M851" t="s">
        <v>31</v>
      </c>
      <c r="N851" t="s">
        <v>30</v>
      </c>
      <c r="O851" t="s">
        <v>36</v>
      </c>
      <c r="P851">
        <v>0.59</v>
      </c>
      <c r="Q851" s="2" t="b">
        <f>FALSE()</f>
        <v>0</v>
      </c>
      <c r="R851">
        <v>0</v>
      </c>
    </row>
    <row r="852" spans="1:18" x14ac:dyDescent="0.25">
      <c r="A852">
        <v>200851</v>
      </c>
      <c r="B852">
        <v>53739</v>
      </c>
      <c r="C852" t="s">
        <v>34</v>
      </c>
      <c r="D852">
        <v>2110.73</v>
      </c>
      <c r="E852">
        <v>1585</v>
      </c>
      <c r="F852">
        <v>2</v>
      </c>
      <c r="G852">
        <v>3</v>
      </c>
      <c r="H852">
        <v>0</v>
      </c>
      <c r="I852" t="s">
        <v>33</v>
      </c>
      <c r="J852">
        <v>0</v>
      </c>
      <c r="K852">
        <v>44</v>
      </c>
      <c r="L852" t="s">
        <v>24</v>
      </c>
      <c r="M852" t="s">
        <v>21</v>
      </c>
      <c r="N852" t="s">
        <v>30</v>
      </c>
      <c r="O852" t="s">
        <v>36</v>
      </c>
      <c r="P852">
        <v>6.17</v>
      </c>
      <c r="Q852" s="2" t="b">
        <f>FALSE()</f>
        <v>0</v>
      </c>
      <c r="R852">
        <v>0</v>
      </c>
    </row>
    <row r="853" spans="1:18" x14ac:dyDescent="0.25">
      <c r="A853">
        <v>200852</v>
      </c>
      <c r="B853">
        <v>54499</v>
      </c>
      <c r="C853" t="s">
        <v>18</v>
      </c>
      <c r="D853">
        <v>1765.1</v>
      </c>
      <c r="E853">
        <v>3084</v>
      </c>
      <c r="F853">
        <v>2</v>
      </c>
      <c r="G853">
        <v>2</v>
      </c>
      <c r="H853">
        <v>0</v>
      </c>
      <c r="I853" t="s">
        <v>32</v>
      </c>
      <c r="J853">
        <v>0</v>
      </c>
      <c r="K853">
        <v>28</v>
      </c>
      <c r="L853" t="s">
        <v>24</v>
      </c>
      <c r="M853" t="s">
        <v>21</v>
      </c>
      <c r="N853" t="s">
        <v>26</v>
      </c>
      <c r="O853" t="s">
        <v>27</v>
      </c>
      <c r="P853">
        <v>2.93</v>
      </c>
      <c r="Q853" s="2" t="b">
        <f>FALSE()</f>
        <v>0</v>
      </c>
      <c r="R853">
        <v>0</v>
      </c>
    </row>
    <row r="854" spans="1:18" x14ac:dyDescent="0.25">
      <c r="A854">
        <v>200853</v>
      </c>
      <c r="B854">
        <v>55875</v>
      </c>
      <c r="C854" t="s">
        <v>28</v>
      </c>
      <c r="D854">
        <v>2272.42</v>
      </c>
      <c r="E854">
        <v>1288</v>
      </c>
      <c r="F854">
        <v>0</v>
      </c>
      <c r="G854">
        <v>4</v>
      </c>
      <c r="H854">
        <v>1</v>
      </c>
      <c r="I854" t="s">
        <v>33</v>
      </c>
      <c r="J854">
        <v>0</v>
      </c>
      <c r="K854">
        <v>84</v>
      </c>
      <c r="L854" t="s">
        <v>24</v>
      </c>
      <c r="M854" t="s">
        <v>25</v>
      </c>
      <c r="N854" t="s">
        <v>30</v>
      </c>
      <c r="O854" t="s">
        <v>23</v>
      </c>
      <c r="P854">
        <v>0.01</v>
      </c>
      <c r="Q854" s="2" t="b">
        <f>FALSE()</f>
        <v>0</v>
      </c>
      <c r="R854">
        <v>0</v>
      </c>
    </row>
    <row r="855" spans="1:18" x14ac:dyDescent="0.25">
      <c r="A855">
        <v>200854</v>
      </c>
      <c r="B855">
        <v>50998</v>
      </c>
      <c r="C855" t="s">
        <v>18</v>
      </c>
      <c r="D855">
        <v>1717.01</v>
      </c>
      <c r="E855">
        <v>2220</v>
      </c>
      <c r="F855">
        <v>0</v>
      </c>
      <c r="G855">
        <v>5</v>
      </c>
      <c r="H855">
        <v>0</v>
      </c>
      <c r="I855" t="s">
        <v>33</v>
      </c>
      <c r="J855">
        <v>0</v>
      </c>
      <c r="K855">
        <v>30</v>
      </c>
      <c r="L855" t="s">
        <v>20</v>
      </c>
      <c r="M855" t="s">
        <v>25</v>
      </c>
      <c r="N855" t="s">
        <v>30</v>
      </c>
      <c r="O855" t="s">
        <v>36</v>
      </c>
      <c r="P855">
        <v>1.63</v>
      </c>
      <c r="Q855" s="2" t="b">
        <f>FALSE()</f>
        <v>0</v>
      </c>
      <c r="R855">
        <v>0</v>
      </c>
    </row>
    <row r="856" spans="1:18" x14ac:dyDescent="0.25">
      <c r="A856">
        <v>200855</v>
      </c>
      <c r="B856">
        <v>55149</v>
      </c>
      <c r="C856" t="s">
        <v>34</v>
      </c>
      <c r="D856">
        <v>2492.87</v>
      </c>
      <c r="E856">
        <v>1234</v>
      </c>
      <c r="F856">
        <v>1</v>
      </c>
      <c r="G856">
        <v>6</v>
      </c>
      <c r="H856">
        <v>0</v>
      </c>
      <c r="I856" t="s">
        <v>33</v>
      </c>
      <c r="J856">
        <v>0</v>
      </c>
      <c r="K856">
        <v>63</v>
      </c>
      <c r="L856" t="s">
        <v>20</v>
      </c>
      <c r="M856" t="s">
        <v>37</v>
      </c>
      <c r="N856" t="s">
        <v>26</v>
      </c>
      <c r="O856" t="s">
        <v>27</v>
      </c>
      <c r="P856">
        <v>0.92</v>
      </c>
      <c r="Q856" s="2" t="b">
        <f>FALSE()</f>
        <v>0</v>
      </c>
      <c r="R856">
        <v>0</v>
      </c>
    </row>
    <row r="857" spans="1:18" x14ac:dyDescent="0.25">
      <c r="A857">
        <v>200856</v>
      </c>
      <c r="B857">
        <v>53981</v>
      </c>
      <c r="C857" t="s">
        <v>18</v>
      </c>
      <c r="D857">
        <v>4841.72</v>
      </c>
      <c r="E857">
        <v>1817</v>
      </c>
      <c r="F857">
        <v>0</v>
      </c>
      <c r="G857">
        <v>7</v>
      </c>
      <c r="H857">
        <v>1</v>
      </c>
      <c r="I857" t="s">
        <v>19</v>
      </c>
      <c r="J857">
        <v>1</v>
      </c>
      <c r="K857">
        <v>19</v>
      </c>
      <c r="L857" t="s">
        <v>24</v>
      </c>
      <c r="M857" t="s">
        <v>35</v>
      </c>
      <c r="N857" t="s">
        <v>30</v>
      </c>
      <c r="O857" t="s">
        <v>27</v>
      </c>
      <c r="P857">
        <v>1.3</v>
      </c>
      <c r="Q857" s="2" t="b">
        <f>FALSE()</f>
        <v>0</v>
      </c>
      <c r="R857">
        <v>1</v>
      </c>
    </row>
    <row r="858" spans="1:18" x14ac:dyDescent="0.25">
      <c r="A858">
        <v>200857</v>
      </c>
      <c r="B858">
        <v>50552</v>
      </c>
      <c r="C858" t="s">
        <v>18</v>
      </c>
      <c r="D858">
        <v>4305.01</v>
      </c>
      <c r="E858">
        <v>2671</v>
      </c>
      <c r="F858">
        <v>2</v>
      </c>
      <c r="G858">
        <v>6</v>
      </c>
      <c r="H858">
        <v>0</v>
      </c>
      <c r="I858" t="s">
        <v>33</v>
      </c>
      <c r="J858">
        <v>0</v>
      </c>
      <c r="K858">
        <v>44</v>
      </c>
      <c r="L858" t="s">
        <v>20</v>
      </c>
      <c r="M858" t="s">
        <v>35</v>
      </c>
      <c r="N858" t="s">
        <v>22</v>
      </c>
      <c r="O858" t="s">
        <v>27</v>
      </c>
      <c r="P858">
        <v>3.22</v>
      </c>
      <c r="Q858" s="2" t="b">
        <f>FALSE()</f>
        <v>0</v>
      </c>
      <c r="R858">
        <v>1</v>
      </c>
    </row>
    <row r="859" spans="1:18" x14ac:dyDescent="0.25">
      <c r="A859">
        <v>200858</v>
      </c>
      <c r="B859">
        <v>52836</v>
      </c>
      <c r="C859" t="s">
        <v>18</v>
      </c>
      <c r="D859">
        <v>3378.82</v>
      </c>
      <c r="E859">
        <v>350</v>
      </c>
      <c r="F859">
        <v>2</v>
      </c>
      <c r="G859">
        <v>5</v>
      </c>
      <c r="H859">
        <v>0</v>
      </c>
      <c r="I859" t="s">
        <v>33</v>
      </c>
      <c r="J859">
        <v>0</v>
      </c>
      <c r="K859">
        <v>49</v>
      </c>
      <c r="L859" t="s">
        <v>20</v>
      </c>
      <c r="M859" t="s">
        <v>21</v>
      </c>
      <c r="N859" t="s">
        <v>30</v>
      </c>
      <c r="O859" t="s">
        <v>27</v>
      </c>
      <c r="P859">
        <v>2.78</v>
      </c>
      <c r="Q859" s="2" t="b">
        <f>FALSE()</f>
        <v>0</v>
      </c>
      <c r="R859">
        <v>0</v>
      </c>
    </row>
    <row r="860" spans="1:18" x14ac:dyDescent="0.25">
      <c r="A860">
        <v>200859</v>
      </c>
      <c r="B860">
        <v>54774</v>
      </c>
      <c r="C860" t="s">
        <v>18</v>
      </c>
      <c r="D860">
        <v>3026.99</v>
      </c>
      <c r="E860">
        <v>1850</v>
      </c>
      <c r="F860">
        <v>0</v>
      </c>
      <c r="G860">
        <v>6</v>
      </c>
      <c r="H860">
        <v>0</v>
      </c>
      <c r="I860" t="s">
        <v>19</v>
      </c>
      <c r="J860">
        <v>0</v>
      </c>
      <c r="K860">
        <v>75</v>
      </c>
      <c r="L860" t="s">
        <v>20</v>
      </c>
      <c r="M860" t="s">
        <v>37</v>
      </c>
      <c r="N860" t="s">
        <v>26</v>
      </c>
      <c r="O860" t="s">
        <v>36</v>
      </c>
      <c r="P860">
        <v>0.11</v>
      </c>
      <c r="Q860" s="2" t="b">
        <f>FALSE()</f>
        <v>0</v>
      </c>
      <c r="R860">
        <v>0</v>
      </c>
    </row>
    <row r="861" spans="1:18" x14ac:dyDescent="0.25">
      <c r="A861">
        <v>200860</v>
      </c>
      <c r="B861">
        <v>53029</v>
      </c>
      <c r="C861" t="s">
        <v>34</v>
      </c>
      <c r="D861">
        <v>1361.05</v>
      </c>
      <c r="E861">
        <v>1945</v>
      </c>
      <c r="F861">
        <v>0</v>
      </c>
      <c r="G861">
        <v>2</v>
      </c>
      <c r="H861">
        <v>0</v>
      </c>
      <c r="I861" t="s">
        <v>32</v>
      </c>
      <c r="J861">
        <v>0</v>
      </c>
      <c r="K861">
        <v>20</v>
      </c>
      <c r="L861" t="s">
        <v>20</v>
      </c>
      <c r="M861" t="s">
        <v>29</v>
      </c>
      <c r="N861" t="s">
        <v>22</v>
      </c>
      <c r="O861" t="s">
        <v>27</v>
      </c>
      <c r="P861">
        <v>8.17</v>
      </c>
      <c r="Q861" s="2" t="b">
        <f>FALSE()</f>
        <v>0</v>
      </c>
      <c r="R861">
        <v>0</v>
      </c>
    </row>
    <row r="862" spans="1:18" x14ac:dyDescent="0.25">
      <c r="A862">
        <v>200861</v>
      </c>
      <c r="B862">
        <v>53318</v>
      </c>
      <c r="C862" t="s">
        <v>18</v>
      </c>
      <c r="D862">
        <v>5651.87</v>
      </c>
      <c r="E862">
        <v>3075</v>
      </c>
      <c r="F862">
        <v>0</v>
      </c>
      <c r="G862">
        <v>3</v>
      </c>
      <c r="H862">
        <v>0</v>
      </c>
      <c r="I862" t="s">
        <v>33</v>
      </c>
      <c r="J862">
        <v>0</v>
      </c>
      <c r="K862">
        <v>80</v>
      </c>
      <c r="L862" t="s">
        <v>24</v>
      </c>
      <c r="M862" t="s">
        <v>29</v>
      </c>
      <c r="N862" t="s">
        <v>30</v>
      </c>
      <c r="O862" t="s">
        <v>36</v>
      </c>
      <c r="P862">
        <v>3.66</v>
      </c>
      <c r="Q862" s="2" t="b">
        <f>FALSE()</f>
        <v>0</v>
      </c>
      <c r="R862">
        <v>1</v>
      </c>
    </row>
    <row r="863" spans="1:18" x14ac:dyDescent="0.25">
      <c r="A863">
        <v>200862</v>
      </c>
      <c r="B863">
        <v>50868</v>
      </c>
      <c r="C863" t="s">
        <v>18</v>
      </c>
      <c r="D863">
        <v>2970.17</v>
      </c>
      <c r="E863">
        <v>1569</v>
      </c>
      <c r="F863">
        <v>1</v>
      </c>
      <c r="G863">
        <v>2</v>
      </c>
      <c r="H863">
        <v>0</v>
      </c>
      <c r="I863" t="s">
        <v>32</v>
      </c>
      <c r="J863">
        <v>0</v>
      </c>
      <c r="K863">
        <v>81</v>
      </c>
      <c r="L863" t="s">
        <v>24</v>
      </c>
      <c r="M863" t="s">
        <v>37</v>
      </c>
      <c r="N863" t="s">
        <v>26</v>
      </c>
      <c r="O863" t="s">
        <v>36</v>
      </c>
      <c r="P863">
        <v>1.84</v>
      </c>
      <c r="Q863" s="2" t="b">
        <f>FALSE()</f>
        <v>0</v>
      </c>
      <c r="R863">
        <v>0</v>
      </c>
    </row>
    <row r="864" spans="1:18" x14ac:dyDescent="0.25">
      <c r="A864">
        <v>200863</v>
      </c>
      <c r="B864">
        <v>52369</v>
      </c>
      <c r="C864" t="s">
        <v>18</v>
      </c>
      <c r="D864">
        <v>1242.77</v>
      </c>
      <c r="E864">
        <v>600</v>
      </c>
      <c r="F864">
        <v>0</v>
      </c>
      <c r="G864">
        <v>4</v>
      </c>
      <c r="H864">
        <v>0</v>
      </c>
      <c r="I864" t="s">
        <v>33</v>
      </c>
      <c r="J864">
        <v>0</v>
      </c>
      <c r="K864">
        <v>60</v>
      </c>
      <c r="L864" t="s">
        <v>24</v>
      </c>
      <c r="M864" t="s">
        <v>37</v>
      </c>
      <c r="N864" t="s">
        <v>30</v>
      </c>
      <c r="O864" t="s">
        <v>36</v>
      </c>
      <c r="P864">
        <v>1.56</v>
      </c>
      <c r="Q864" s="2" t="b">
        <f>FALSE()</f>
        <v>0</v>
      </c>
      <c r="R864">
        <v>0</v>
      </c>
    </row>
    <row r="865" spans="1:18" x14ac:dyDescent="0.25">
      <c r="A865">
        <v>200864</v>
      </c>
      <c r="B865">
        <v>55774</v>
      </c>
      <c r="C865" t="s">
        <v>34</v>
      </c>
      <c r="D865">
        <v>1425.21</v>
      </c>
      <c r="E865">
        <v>1715</v>
      </c>
      <c r="F865">
        <v>1</v>
      </c>
      <c r="G865">
        <v>2</v>
      </c>
      <c r="H865">
        <v>0</v>
      </c>
      <c r="I865" t="s">
        <v>33</v>
      </c>
      <c r="J865">
        <v>0</v>
      </c>
      <c r="K865">
        <v>46</v>
      </c>
      <c r="L865" t="s">
        <v>20</v>
      </c>
      <c r="M865" t="s">
        <v>35</v>
      </c>
      <c r="N865" t="s">
        <v>26</v>
      </c>
      <c r="O865" t="s">
        <v>36</v>
      </c>
      <c r="P865">
        <v>0.51</v>
      </c>
      <c r="Q865" s="2" t="b">
        <f>FALSE()</f>
        <v>0</v>
      </c>
      <c r="R865">
        <v>0</v>
      </c>
    </row>
    <row r="866" spans="1:18" x14ac:dyDescent="0.25">
      <c r="A866">
        <v>200865</v>
      </c>
      <c r="B866">
        <v>54426</v>
      </c>
      <c r="C866" t="s">
        <v>18</v>
      </c>
      <c r="D866">
        <v>1125.56</v>
      </c>
      <c r="E866">
        <v>751</v>
      </c>
      <c r="F866">
        <v>0</v>
      </c>
      <c r="G866">
        <v>7</v>
      </c>
      <c r="H866">
        <v>1</v>
      </c>
      <c r="I866" t="s">
        <v>33</v>
      </c>
      <c r="J866">
        <v>1</v>
      </c>
      <c r="K866">
        <v>29</v>
      </c>
      <c r="L866" t="s">
        <v>20</v>
      </c>
      <c r="M866" t="s">
        <v>25</v>
      </c>
      <c r="N866" t="s">
        <v>26</v>
      </c>
      <c r="O866" t="s">
        <v>27</v>
      </c>
      <c r="P866">
        <v>3.46</v>
      </c>
      <c r="Q866" s="2" t="b">
        <f>FALSE()</f>
        <v>0</v>
      </c>
      <c r="R866">
        <v>1</v>
      </c>
    </row>
    <row r="867" spans="1:18" x14ac:dyDescent="0.25">
      <c r="A867">
        <v>200866</v>
      </c>
      <c r="B867">
        <v>54544</v>
      </c>
      <c r="C867" t="s">
        <v>34</v>
      </c>
      <c r="D867">
        <v>4282.7299999999996</v>
      </c>
      <c r="E867">
        <v>2724</v>
      </c>
      <c r="F867">
        <v>0</v>
      </c>
      <c r="G867">
        <v>7</v>
      </c>
      <c r="H867">
        <v>0</v>
      </c>
      <c r="I867" t="s">
        <v>19</v>
      </c>
      <c r="J867">
        <v>0</v>
      </c>
      <c r="K867">
        <v>33</v>
      </c>
      <c r="L867" t="s">
        <v>20</v>
      </c>
      <c r="M867" t="s">
        <v>37</v>
      </c>
      <c r="N867" t="s">
        <v>22</v>
      </c>
      <c r="O867" t="s">
        <v>36</v>
      </c>
      <c r="P867">
        <v>0.71</v>
      </c>
      <c r="Q867" s="2" t="b">
        <f>FALSE()</f>
        <v>0</v>
      </c>
      <c r="R867">
        <v>1</v>
      </c>
    </row>
    <row r="868" spans="1:18" x14ac:dyDescent="0.25">
      <c r="A868">
        <v>200867</v>
      </c>
      <c r="B868">
        <v>50372</v>
      </c>
      <c r="C868" t="s">
        <v>18</v>
      </c>
      <c r="D868">
        <v>5089.7</v>
      </c>
      <c r="E868">
        <v>2541</v>
      </c>
      <c r="F868">
        <v>1</v>
      </c>
      <c r="G868">
        <v>6</v>
      </c>
      <c r="H868">
        <v>0</v>
      </c>
      <c r="I868" t="s">
        <v>33</v>
      </c>
      <c r="J868">
        <v>0</v>
      </c>
      <c r="K868">
        <v>64</v>
      </c>
      <c r="L868" t="s">
        <v>20</v>
      </c>
      <c r="M868" t="s">
        <v>35</v>
      </c>
      <c r="N868" t="s">
        <v>22</v>
      </c>
      <c r="O868" t="s">
        <v>36</v>
      </c>
      <c r="P868">
        <v>4.04</v>
      </c>
      <c r="Q868" s="2" t="b">
        <f>FALSE()</f>
        <v>0</v>
      </c>
      <c r="R868">
        <v>1</v>
      </c>
    </row>
    <row r="869" spans="1:18" x14ac:dyDescent="0.25">
      <c r="A869">
        <v>200868</v>
      </c>
      <c r="B869">
        <v>51903</v>
      </c>
      <c r="C869" t="s">
        <v>18</v>
      </c>
      <c r="D869">
        <v>567.49</v>
      </c>
      <c r="E869">
        <v>3456</v>
      </c>
      <c r="F869">
        <v>2</v>
      </c>
      <c r="G869">
        <v>4</v>
      </c>
      <c r="H869">
        <v>1</v>
      </c>
      <c r="I869" t="s">
        <v>19</v>
      </c>
      <c r="J869">
        <v>0</v>
      </c>
      <c r="K869">
        <v>68</v>
      </c>
      <c r="L869" t="s">
        <v>20</v>
      </c>
      <c r="M869" t="s">
        <v>37</v>
      </c>
      <c r="N869" t="s">
        <v>26</v>
      </c>
      <c r="O869" t="s">
        <v>27</v>
      </c>
      <c r="P869">
        <v>2.88</v>
      </c>
      <c r="Q869" s="2" t="b">
        <f>FALSE()</f>
        <v>0</v>
      </c>
      <c r="R869">
        <v>0</v>
      </c>
    </row>
    <row r="870" spans="1:18" x14ac:dyDescent="0.25">
      <c r="A870">
        <v>200869</v>
      </c>
      <c r="B870">
        <v>52564</v>
      </c>
      <c r="C870" t="s">
        <v>34</v>
      </c>
      <c r="D870">
        <v>7685.74</v>
      </c>
      <c r="E870">
        <v>2957</v>
      </c>
      <c r="F870">
        <v>1</v>
      </c>
      <c r="G870">
        <v>4</v>
      </c>
      <c r="H870">
        <v>0</v>
      </c>
      <c r="I870" t="s">
        <v>33</v>
      </c>
      <c r="J870">
        <v>0</v>
      </c>
      <c r="K870">
        <v>49</v>
      </c>
      <c r="L870" t="s">
        <v>24</v>
      </c>
      <c r="M870" t="s">
        <v>25</v>
      </c>
      <c r="N870" t="s">
        <v>22</v>
      </c>
      <c r="O870" t="s">
        <v>36</v>
      </c>
      <c r="P870">
        <v>9.3699999999999992</v>
      </c>
      <c r="Q870" s="2" t="b">
        <f>TRUE()</f>
        <v>1</v>
      </c>
      <c r="R870">
        <v>1</v>
      </c>
    </row>
    <row r="871" spans="1:18" x14ac:dyDescent="0.25">
      <c r="A871">
        <v>200870</v>
      </c>
      <c r="B871">
        <v>50230</v>
      </c>
      <c r="C871" t="s">
        <v>18</v>
      </c>
      <c r="D871">
        <v>1089.05</v>
      </c>
      <c r="E871">
        <v>920</v>
      </c>
      <c r="F871">
        <v>1</v>
      </c>
      <c r="G871">
        <v>2</v>
      </c>
      <c r="H871">
        <v>0</v>
      </c>
      <c r="I871" t="s">
        <v>33</v>
      </c>
      <c r="J871">
        <v>0</v>
      </c>
      <c r="K871">
        <v>27</v>
      </c>
      <c r="L871" t="s">
        <v>24</v>
      </c>
      <c r="M871" t="s">
        <v>25</v>
      </c>
      <c r="N871" t="s">
        <v>30</v>
      </c>
      <c r="O871" t="s">
        <v>27</v>
      </c>
      <c r="P871">
        <v>1.8</v>
      </c>
      <c r="Q871" s="2" t="b">
        <f>FALSE()</f>
        <v>0</v>
      </c>
      <c r="R871">
        <v>0</v>
      </c>
    </row>
    <row r="872" spans="1:18" x14ac:dyDescent="0.25">
      <c r="A872">
        <v>200871</v>
      </c>
      <c r="B872">
        <v>53304</v>
      </c>
      <c r="C872" t="s">
        <v>28</v>
      </c>
      <c r="D872">
        <v>2746.52</v>
      </c>
      <c r="E872">
        <v>2888</v>
      </c>
      <c r="F872">
        <v>0</v>
      </c>
      <c r="G872">
        <v>1</v>
      </c>
      <c r="H872">
        <v>0</v>
      </c>
      <c r="I872" t="s">
        <v>19</v>
      </c>
      <c r="J872">
        <v>0</v>
      </c>
      <c r="K872">
        <v>42</v>
      </c>
      <c r="L872" t="s">
        <v>20</v>
      </c>
      <c r="M872" t="s">
        <v>21</v>
      </c>
      <c r="N872" t="s">
        <v>26</v>
      </c>
      <c r="O872" t="s">
        <v>23</v>
      </c>
      <c r="P872">
        <v>0.91</v>
      </c>
      <c r="Q872" s="2" t="b">
        <f>FALSE()</f>
        <v>0</v>
      </c>
      <c r="R872">
        <v>0</v>
      </c>
    </row>
    <row r="873" spans="1:18" x14ac:dyDescent="0.25">
      <c r="A873">
        <v>200872</v>
      </c>
      <c r="B873">
        <v>54148</v>
      </c>
      <c r="C873" t="s">
        <v>34</v>
      </c>
      <c r="D873">
        <v>1464.32</v>
      </c>
      <c r="E873">
        <v>3491</v>
      </c>
      <c r="F873">
        <v>0</v>
      </c>
      <c r="G873">
        <v>7</v>
      </c>
      <c r="H873">
        <v>0</v>
      </c>
      <c r="I873" t="s">
        <v>33</v>
      </c>
      <c r="J873">
        <v>0</v>
      </c>
      <c r="K873">
        <v>68</v>
      </c>
      <c r="L873" t="s">
        <v>20</v>
      </c>
      <c r="M873" t="s">
        <v>37</v>
      </c>
      <c r="N873" t="s">
        <v>22</v>
      </c>
      <c r="O873" t="s">
        <v>36</v>
      </c>
      <c r="P873">
        <v>1.24</v>
      </c>
      <c r="Q873" s="2" t="b">
        <f>FALSE()</f>
        <v>0</v>
      </c>
      <c r="R873">
        <v>1</v>
      </c>
    </row>
    <row r="874" spans="1:18" x14ac:dyDescent="0.25">
      <c r="A874">
        <v>200873</v>
      </c>
      <c r="B874">
        <v>50811</v>
      </c>
      <c r="C874" t="s">
        <v>18</v>
      </c>
      <c r="D874">
        <v>2126.37</v>
      </c>
      <c r="E874">
        <v>658</v>
      </c>
      <c r="F874">
        <v>1</v>
      </c>
      <c r="G874">
        <v>4</v>
      </c>
      <c r="H874">
        <v>0</v>
      </c>
      <c r="I874" t="s">
        <v>19</v>
      </c>
      <c r="J874">
        <v>1</v>
      </c>
      <c r="K874">
        <v>48</v>
      </c>
      <c r="L874" t="s">
        <v>20</v>
      </c>
      <c r="M874" t="s">
        <v>35</v>
      </c>
      <c r="N874" t="s">
        <v>22</v>
      </c>
      <c r="O874" t="s">
        <v>27</v>
      </c>
      <c r="P874">
        <v>1.81</v>
      </c>
      <c r="Q874" s="2" t="b">
        <f>FALSE()</f>
        <v>0</v>
      </c>
      <c r="R874">
        <v>0</v>
      </c>
    </row>
    <row r="875" spans="1:18" x14ac:dyDescent="0.25">
      <c r="A875">
        <v>200874</v>
      </c>
      <c r="B875">
        <v>54362</v>
      </c>
      <c r="C875" t="s">
        <v>28</v>
      </c>
      <c r="D875">
        <v>633.94000000000005</v>
      </c>
      <c r="E875">
        <v>1669</v>
      </c>
      <c r="F875">
        <v>0</v>
      </c>
      <c r="G875">
        <v>1</v>
      </c>
      <c r="H875">
        <v>0</v>
      </c>
      <c r="I875" t="s">
        <v>33</v>
      </c>
      <c r="J875">
        <v>0</v>
      </c>
      <c r="K875">
        <v>43</v>
      </c>
      <c r="L875" t="s">
        <v>24</v>
      </c>
      <c r="M875" t="s">
        <v>25</v>
      </c>
      <c r="N875" t="s">
        <v>30</v>
      </c>
      <c r="O875" t="s">
        <v>23</v>
      </c>
      <c r="P875">
        <v>1.5</v>
      </c>
      <c r="Q875" s="2" t="b">
        <f>FALSE()</f>
        <v>0</v>
      </c>
      <c r="R875">
        <v>0</v>
      </c>
    </row>
    <row r="876" spans="1:18" x14ac:dyDescent="0.25">
      <c r="A876">
        <v>200875</v>
      </c>
      <c r="B876">
        <v>50369</v>
      </c>
      <c r="C876" t="s">
        <v>18</v>
      </c>
      <c r="D876">
        <v>1932.79</v>
      </c>
      <c r="E876">
        <v>2535</v>
      </c>
      <c r="F876">
        <v>1</v>
      </c>
      <c r="G876">
        <v>4</v>
      </c>
      <c r="H876">
        <v>0</v>
      </c>
      <c r="I876" t="s">
        <v>33</v>
      </c>
      <c r="J876">
        <v>0</v>
      </c>
      <c r="K876">
        <v>67</v>
      </c>
      <c r="L876" t="s">
        <v>24</v>
      </c>
      <c r="M876" t="s">
        <v>37</v>
      </c>
      <c r="N876" t="s">
        <v>26</v>
      </c>
      <c r="O876" t="s">
        <v>36</v>
      </c>
      <c r="P876">
        <v>1.85</v>
      </c>
      <c r="Q876" s="2" t="b">
        <f>FALSE()</f>
        <v>0</v>
      </c>
      <c r="R876">
        <v>0</v>
      </c>
    </row>
    <row r="877" spans="1:18" x14ac:dyDescent="0.25">
      <c r="A877">
        <v>200876</v>
      </c>
      <c r="B877">
        <v>55949</v>
      </c>
      <c r="C877" t="s">
        <v>18</v>
      </c>
      <c r="D877">
        <v>2547.0700000000002</v>
      </c>
      <c r="E877">
        <v>1349</v>
      </c>
      <c r="F877">
        <v>1</v>
      </c>
      <c r="G877">
        <v>7</v>
      </c>
      <c r="H877">
        <v>1</v>
      </c>
      <c r="I877" t="s">
        <v>33</v>
      </c>
      <c r="J877">
        <v>0</v>
      </c>
      <c r="K877">
        <v>60</v>
      </c>
      <c r="L877" t="s">
        <v>24</v>
      </c>
      <c r="M877" t="s">
        <v>21</v>
      </c>
      <c r="N877" t="s">
        <v>22</v>
      </c>
      <c r="O877" t="s">
        <v>23</v>
      </c>
      <c r="P877">
        <v>2.75</v>
      </c>
      <c r="Q877" s="2" t="b">
        <f>FALSE()</f>
        <v>0</v>
      </c>
      <c r="R877">
        <v>1</v>
      </c>
    </row>
    <row r="878" spans="1:18" x14ac:dyDescent="0.25">
      <c r="A878">
        <v>200877</v>
      </c>
      <c r="B878">
        <v>52752</v>
      </c>
      <c r="C878" t="s">
        <v>28</v>
      </c>
      <c r="D878">
        <v>2428.85</v>
      </c>
      <c r="E878">
        <v>2373</v>
      </c>
      <c r="F878">
        <v>1</v>
      </c>
      <c r="G878">
        <v>8</v>
      </c>
      <c r="H878">
        <v>0</v>
      </c>
      <c r="I878" t="s">
        <v>33</v>
      </c>
      <c r="J878">
        <v>0</v>
      </c>
      <c r="K878">
        <v>40</v>
      </c>
      <c r="L878" t="s">
        <v>20</v>
      </c>
      <c r="M878" t="s">
        <v>21</v>
      </c>
      <c r="N878" t="s">
        <v>26</v>
      </c>
      <c r="O878" t="s">
        <v>27</v>
      </c>
      <c r="P878">
        <v>7.19</v>
      </c>
      <c r="Q878" s="2" t="b">
        <f>FALSE()</f>
        <v>0</v>
      </c>
      <c r="R878">
        <v>1</v>
      </c>
    </row>
    <row r="879" spans="1:18" x14ac:dyDescent="0.25">
      <c r="A879">
        <v>200878</v>
      </c>
      <c r="B879">
        <v>54697</v>
      </c>
      <c r="C879" t="s">
        <v>34</v>
      </c>
      <c r="D879">
        <v>1691.85</v>
      </c>
      <c r="E879">
        <v>2617</v>
      </c>
      <c r="F879">
        <v>1</v>
      </c>
      <c r="G879">
        <v>4</v>
      </c>
      <c r="H879">
        <v>0</v>
      </c>
      <c r="I879" t="s">
        <v>33</v>
      </c>
      <c r="J879">
        <v>0</v>
      </c>
      <c r="K879">
        <v>37</v>
      </c>
      <c r="L879" t="s">
        <v>20</v>
      </c>
      <c r="M879" t="s">
        <v>35</v>
      </c>
      <c r="N879" t="s">
        <v>26</v>
      </c>
      <c r="O879" t="s">
        <v>23</v>
      </c>
      <c r="P879">
        <v>0.45</v>
      </c>
      <c r="Q879" s="2" t="b">
        <f>FALSE()</f>
        <v>0</v>
      </c>
      <c r="R879">
        <v>0</v>
      </c>
    </row>
    <row r="880" spans="1:18" x14ac:dyDescent="0.25">
      <c r="A880">
        <v>200879</v>
      </c>
      <c r="B880">
        <v>50531</v>
      </c>
      <c r="C880" t="s">
        <v>18</v>
      </c>
      <c r="D880">
        <v>5566.12</v>
      </c>
      <c r="E880">
        <v>2228</v>
      </c>
      <c r="F880">
        <v>3</v>
      </c>
      <c r="G880">
        <v>2</v>
      </c>
      <c r="H880">
        <v>0</v>
      </c>
      <c r="I880" t="s">
        <v>19</v>
      </c>
      <c r="J880">
        <v>1</v>
      </c>
      <c r="K880">
        <v>51</v>
      </c>
      <c r="L880" t="s">
        <v>24</v>
      </c>
      <c r="M880" t="s">
        <v>21</v>
      </c>
      <c r="N880" t="s">
        <v>22</v>
      </c>
      <c r="O880" t="s">
        <v>36</v>
      </c>
      <c r="P880">
        <v>0.27</v>
      </c>
      <c r="Q880" s="2" t="b">
        <f>FALSE()</f>
        <v>0</v>
      </c>
      <c r="R880">
        <v>1</v>
      </c>
    </row>
    <row r="881" spans="1:18" x14ac:dyDescent="0.25">
      <c r="A881">
        <v>200880</v>
      </c>
      <c r="B881">
        <v>54149</v>
      </c>
      <c r="C881" t="s">
        <v>34</v>
      </c>
      <c r="D881">
        <v>292.32</v>
      </c>
      <c r="E881">
        <v>3415</v>
      </c>
      <c r="F881">
        <v>1</v>
      </c>
      <c r="G881">
        <v>3</v>
      </c>
      <c r="H881">
        <v>0</v>
      </c>
      <c r="I881" t="s">
        <v>19</v>
      </c>
      <c r="J881">
        <v>0</v>
      </c>
      <c r="K881">
        <v>43</v>
      </c>
      <c r="L881" t="s">
        <v>24</v>
      </c>
      <c r="M881" t="s">
        <v>37</v>
      </c>
      <c r="N881" t="s">
        <v>22</v>
      </c>
      <c r="O881" t="s">
        <v>23</v>
      </c>
      <c r="P881">
        <v>0.03</v>
      </c>
      <c r="Q881" s="2" t="b">
        <f>FALSE()</f>
        <v>0</v>
      </c>
      <c r="R881">
        <v>0</v>
      </c>
    </row>
    <row r="882" spans="1:18" x14ac:dyDescent="0.25">
      <c r="A882">
        <v>200881</v>
      </c>
      <c r="B882">
        <v>55739</v>
      </c>
      <c r="C882" t="s">
        <v>34</v>
      </c>
      <c r="D882">
        <v>5321.14</v>
      </c>
      <c r="E882">
        <v>2766</v>
      </c>
      <c r="F882">
        <v>1</v>
      </c>
      <c r="G882">
        <v>1</v>
      </c>
      <c r="H882">
        <v>0</v>
      </c>
      <c r="I882" t="s">
        <v>19</v>
      </c>
      <c r="J882">
        <v>0</v>
      </c>
      <c r="K882">
        <v>84</v>
      </c>
      <c r="L882" t="s">
        <v>24</v>
      </c>
      <c r="M882" t="s">
        <v>35</v>
      </c>
      <c r="N882" t="s">
        <v>30</v>
      </c>
      <c r="O882" t="s">
        <v>27</v>
      </c>
      <c r="P882">
        <v>10.99</v>
      </c>
      <c r="Q882" s="2" t="b">
        <f>FALSE()</f>
        <v>0</v>
      </c>
      <c r="R882">
        <v>1</v>
      </c>
    </row>
    <row r="883" spans="1:18" x14ac:dyDescent="0.25">
      <c r="A883">
        <v>200882</v>
      </c>
      <c r="B883">
        <v>51392</v>
      </c>
      <c r="C883" t="s">
        <v>18</v>
      </c>
      <c r="D883">
        <v>4085.21</v>
      </c>
      <c r="E883">
        <v>2401</v>
      </c>
      <c r="F883">
        <v>2</v>
      </c>
      <c r="G883">
        <v>1</v>
      </c>
      <c r="H883">
        <v>0</v>
      </c>
      <c r="I883" t="s">
        <v>19</v>
      </c>
      <c r="J883">
        <v>0</v>
      </c>
      <c r="K883">
        <v>41</v>
      </c>
      <c r="L883" t="s">
        <v>24</v>
      </c>
      <c r="M883" t="s">
        <v>29</v>
      </c>
      <c r="N883" t="s">
        <v>30</v>
      </c>
      <c r="O883" t="s">
        <v>36</v>
      </c>
      <c r="P883">
        <v>6.67</v>
      </c>
      <c r="Q883" s="2" t="b">
        <f>FALSE()</f>
        <v>0</v>
      </c>
      <c r="R883">
        <v>1</v>
      </c>
    </row>
    <row r="884" spans="1:18" x14ac:dyDescent="0.25">
      <c r="A884">
        <v>200883</v>
      </c>
      <c r="B884">
        <v>52229</v>
      </c>
      <c r="C884" t="s">
        <v>18</v>
      </c>
      <c r="D884">
        <v>1153.82</v>
      </c>
      <c r="E884">
        <v>1096</v>
      </c>
      <c r="F884">
        <v>0</v>
      </c>
      <c r="G884">
        <v>4</v>
      </c>
      <c r="H884">
        <v>0</v>
      </c>
      <c r="I884" t="s">
        <v>33</v>
      </c>
      <c r="J884">
        <v>0</v>
      </c>
      <c r="K884">
        <v>65</v>
      </c>
      <c r="L884" t="s">
        <v>24</v>
      </c>
      <c r="M884" t="s">
        <v>35</v>
      </c>
      <c r="N884" t="s">
        <v>22</v>
      </c>
      <c r="O884" t="s">
        <v>27</v>
      </c>
      <c r="P884">
        <v>2.4700000000000002</v>
      </c>
      <c r="Q884" s="2" t="b">
        <f>FALSE()</f>
        <v>0</v>
      </c>
      <c r="R884">
        <v>0</v>
      </c>
    </row>
    <row r="885" spans="1:18" x14ac:dyDescent="0.25">
      <c r="A885">
        <v>200884</v>
      </c>
      <c r="B885">
        <v>51250</v>
      </c>
      <c r="C885" t="s">
        <v>18</v>
      </c>
      <c r="D885">
        <v>1785.34</v>
      </c>
      <c r="E885">
        <v>895</v>
      </c>
      <c r="F885">
        <v>2</v>
      </c>
      <c r="G885">
        <v>3</v>
      </c>
      <c r="H885">
        <v>0</v>
      </c>
      <c r="I885" t="s">
        <v>33</v>
      </c>
      <c r="J885">
        <v>0</v>
      </c>
      <c r="K885">
        <v>27</v>
      </c>
      <c r="L885" t="s">
        <v>24</v>
      </c>
      <c r="M885" t="s">
        <v>25</v>
      </c>
      <c r="N885" t="s">
        <v>22</v>
      </c>
      <c r="O885" t="s">
        <v>36</v>
      </c>
      <c r="P885">
        <v>4.5</v>
      </c>
      <c r="Q885" s="2" t="b">
        <f>FALSE()</f>
        <v>0</v>
      </c>
      <c r="R885">
        <v>0</v>
      </c>
    </row>
    <row r="886" spans="1:18" x14ac:dyDescent="0.25">
      <c r="A886">
        <v>200885</v>
      </c>
      <c r="B886">
        <v>51030</v>
      </c>
      <c r="C886" t="s">
        <v>18</v>
      </c>
      <c r="D886">
        <v>731.39</v>
      </c>
      <c r="E886">
        <v>1512</v>
      </c>
      <c r="F886">
        <v>0</v>
      </c>
      <c r="G886">
        <v>7</v>
      </c>
      <c r="H886">
        <v>0</v>
      </c>
      <c r="I886" t="s">
        <v>33</v>
      </c>
      <c r="J886">
        <v>0</v>
      </c>
      <c r="K886">
        <v>49</v>
      </c>
      <c r="L886" t="s">
        <v>20</v>
      </c>
      <c r="M886" t="s">
        <v>25</v>
      </c>
      <c r="N886" t="s">
        <v>22</v>
      </c>
      <c r="O886" t="s">
        <v>36</v>
      </c>
      <c r="P886">
        <v>2.86</v>
      </c>
      <c r="Q886" s="2" t="b">
        <f>FALSE()</f>
        <v>0</v>
      </c>
      <c r="R886">
        <v>1</v>
      </c>
    </row>
    <row r="887" spans="1:18" x14ac:dyDescent="0.25">
      <c r="A887">
        <v>200886</v>
      </c>
      <c r="B887">
        <v>50841</v>
      </c>
      <c r="C887" t="s">
        <v>18</v>
      </c>
      <c r="D887">
        <v>2795.36</v>
      </c>
      <c r="E887">
        <v>3471</v>
      </c>
      <c r="F887">
        <v>1</v>
      </c>
      <c r="G887">
        <v>3</v>
      </c>
      <c r="H887">
        <v>0</v>
      </c>
      <c r="I887" t="s">
        <v>32</v>
      </c>
      <c r="J887">
        <v>0</v>
      </c>
      <c r="K887">
        <v>72</v>
      </c>
      <c r="L887" t="s">
        <v>24</v>
      </c>
      <c r="M887" t="s">
        <v>21</v>
      </c>
      <c r="N887" t="s">
        <v>22</v>
      </c>
      <c r="O887" t="s">
        <v>36</v>
      </c>
      <c r="P887">
        <v>4.0599999999999996</v>
      </c>
      <c r="Q887" s="2" t="b">
        <f>FALSE()</f>
        <v>0</v>
      </c>
      <c r="R887">
        <v>0</v>
      </c>
    </row>
    <row r="888" spans="1:18" x14ac:dyDescent="0.25">
      <c r="A888">
        <v>200887</v>
      </c>
      <c r="B888">
        <v>52165</v>
      </c>
      <c r="C888" t="s">
        <v>18</v>
      </c>
      <c r="D888">
        <v>3823.45</v>
      </c>
      <c r="E888">
        <v>3498</v>
      </c>
      <c r="F888">
        <v>1</v>
      </c>
      <c r="G888">
        <v>6</v>
      </c>
      <c r="H888">
        <v>0</v>
      </c>
      <c r="I888" t="s">
        <v>33</v>
      </c>
      <c r="J888">
        <v>1</v>
      </c>
      <c r="K888">
        <v>82</v>
      </c>
      <c r="L888" t="s">
        <v>24</v>
      </c>
      <c r="M888" t="s">
        <v>29</v>
      </c>
      <c r="N888" t="s">
        <v>30</v>
      </c>
      <c r="O888" t="s">
        <v>23</v>
      </c>
      <c r="P888">
        <v>4.13</v>
      </c>
      <c r="Q888" s="2" t="b">
        <f>FALSE()</f>
        <v>0</v>
      </c>
      <c r="R888">
        <v>1</v>
      </c>
    </row>
    <row r="889" spans="1:18" x14ac:dyDescent="0.25">
      <c r="A889">
        <v>200888</v>
      </c>
      <c r="B889">
        <v>55646</v>
      </c>
      <c r="C889" t="s">
        <v>34</v>
      </c>
      <c r="D889">
        <v>3548.73</v>
      </c>
      <c r="E889">
        <v>739</v>
      </c>
      <c r="F889">
        <v>1</v>
      </c>
      <c r="G889">
        <v>0</v>
      </c>
      <c r="H889">
        <v>0</v>
      </c>
      <c r="I889" t="s">
        <v>33</v>
      </c>
      <c r="J889">
        <v>0</v>
      </c>
      <c r="K889">
        <v>66</v>
      </c>
      <c r="L889" t="s">
        <v>20</v>
      </c>
      <c r="M889" t="s">
        <v>31</v>
      </c>
      <c r="N889" t="s">
        <v>22</v>
      </c>
      <c r="O889" t="s">
        <v>36</v>
      </c>
      <c r="P889">
        <v>7.02</v>
      </c>
      <c r="Q889" s="2" t="b">
        <f>FALSE()</f>
        <v>0</v>
      </c>
      <c r="R889">
        <v>0</v>
      </c>
    </row>
    <row r="890" spans="1:18" x14ac:dyDescent="0.25">
      <c r="A890">
        <v>200889</v>
      </c>
      <c r="B890">
        <v>50660</v>
      </c>
      <c r="C890" t="s">
        <v>34</v>
      </c>
      <c r="D890">
        <v>4714.6899999999996</v>
      </c>
      <c r="E890">
        <v>190</v>
      </c>
      <c r="F890">
        <v>0</v>
      </c>
      <c r="G890">
        <v>4</v>
      </c>
      <c r="H890">
        <v>0</v>
      </c>
      <c r="I890" t="s">
        <v>19</v>
      </c>
      <c r="J890">
        <v>1</v>
      </c>
      <c r="K890">
        <v>50</v>
      </c>
      <c r="L890" t="s">
        <v>24</v>
      </c>
      <c r="M890" t="s">
        <v>35</v>
      </c>
      <c r="N890" t="s">
        <v>26</v>
      </c>
      <c r="O890" t="s">
        <v>27</v>
      </c>
      <c r="P890">
        <v>1.26</v>
      </c>
      <c r="Q890" s="2" t="b">
        <f>FALSE()</f>
        <v>0</v>
      </c>
      <c r="R890">
        <v>1</v>
      </c>
    </row>
    <row r="891" spans="1:18" x14ac:dyDescent="0.25">
      <c r="A891">
        <v>200890</v>
      </c>
      <c r="B891">
        <v>54359</v>
      </c>
      <c r="C891" t="s">
        <v>18</v>
      </c>
      <c r="D891">
        <v>5192.72</v>
      </c>
      <c r="E891">
        <v>2065</v>
      </c>
      <c r="F891">
        <v>1</v>
      </c>
      <c r="G891">
        <v>7</v>
      </c>
      <c r="H891">
        <v>0</v>
      </c>
      <c r="I891" t="s">
        <v>33</v>
      </c>
      <c r="J891">
        <v>0</v>
      </c>
      <c r="K891">
        <v>23</v>
      </c>
      <c r="L891" t="s">
        <v>20</v>
      </c>
      <c r="M891" t="s">
        <v>31</v>
      </c>
      <c r="N891" t="s">
        <v>30</v>
      </c>
      <c r="O891" t="s">
        <v>23</v>
      </c>
      <c r="P891">
        <v>0.38</v>
      </c>
      <c r="Q891" s="2" t="b">
        <f>FALSE()</f>
        <v>0</v>
      </c>
      <c r="R891">
        <v>1</v>
      </c>
    </row>
    <row r="892" spans="1:18" x14ac:dyDescent="0.25">
      <c r="A892">
        <v>200891</v>
      </c>
      <c r="B892">
        <v>53047</v>
      </c>
      <c r="C892" t="s">
        <v>34</v>
      </c>
      <c r="D892">
        <v>1851.98</v>
      </c>
      <c r="E892">
        <v>2389</v>
      </c>
      <c r="F892">
        <v>3</v>
      </c>
      <c r="G892">
        <v>3</v>
      </c>
      <c r="H892">
        <v>0</v>
      </c>
      <c r="I892" t="s">
        <v>19</v>
      </c>
      <c r="J892">
        <v>0</v>
      </c>
      <c r="K892">
        <v>80</v>
      </c>
      <c r="L892" t="s">
        <v>24</v>
      </c>
      <c r="M892" t="s">
        <v>29</v>
      </c>
      <c r="N892" t="s">
        <v>30</v>
      </c>
      <c r="O892" t="s">
        <v>23</v>
      </c>
      <c r="P892">
        <v>1.88</v>
      </c>
      <c r="Q892" s="2" t="b">
        <f>FALSE()</f>
        <v>0</v>
      </c>
      <c r="R892">
        <v>1</v>
      </c>
    </row>
    <row r="893" spans="1:18" x14ac:dyDescent="0.25">
      <c r="A893">
        <v>200892</v>
      </c>
      <c r="B893">
        <v>51077</v>
      </c>
      <c r="C893" t="s">
        <v>18</v>
      </c>
      <c r="D893">
        <v>2982.21</v>
      </c>
      <c r="E893">
        <v>3373</v>
      </c>
      <c r="F893">
        <v>0</v>
      </c>
      <c r="G893">
        <v>6</v>
      </c>
      <c r="H893">
        <v>0</v>
      </c>
      <c r="I893" t="s">
        <v>32</v>
      </c>
      <c r="J893">
        <v>0</v>
      </c>
      <c r="K893">
        <v>80</v>
      </c>
      <c r="L893" t="s">
        <v>24</v>
      </c>
      <c r="M893" t="s">
        <v>37</v>
      </c>
      <c r="N893" t="s">
        <v>22</v>
      </c>
      <c r="O893" t="s">
        <v>36</v>
      </c>
      <c r="P893">
        <v>1.56</v>
      </c>
      <c r="Q893" s="2" t="b">
        <f>FALSE()</f>
        <v>0</v>
      </c>
      <c r="R893">
        <v>0</v>
      </c>
    </row>
    <row r="894" spans="1:18" x14ac:dyDescent="0.25">
      <c r="A894">
        <v>200893</v>
      </c>
      <c r="B894">
        <v>52539</v>
      </c>
      <c r="C894" t="s">
        <v>34</v>
      </c>
      <c r="D894">
        <v>397.74</v>
      </c>
      <c r="E894">
        <v>2605</v>
      </c>
      <c r="F894">
        <v>2</v>
      </c>
      <c r="G894">
        <v>4</v>
      </c>
      <c r="H894">
        <v>0</v>
      </c>
      <c r="I894" t="s">
        <v>33</v>
      </c>
      <c r="J894">
        <v>0</v>
      </c>
      <c r="K894">
        <v>22</v>
      </c>
      <c r="L894" t="s">
        <v>20</v>
      </c>
      <c r="M894" t="s">
        <v>25</v>
      </c>
      <c r="N894" t="s">
        <v>30</v>
      </c>
      <c r="O894" t="s">
        <v>27</v>
      </c>
      <c r="P894">
        <v>1.84</v>
      </c>
      <c r="Q894" s="2" t="b">
        <f>FALSE()</f>
        <v>0</v>
      </c>
      <c r="R894">
        <v>0</v>
      </c>
    </row>
    <row r="895" spans="1:18" x14ac:dyDescent="0.25">
      <c r="A895">
        <v>200894</v>
      </c>
      <c r="B895">
        <v>54086</v>
      </c>
      <c r="C895" t="s">
        <v>18</v>
      </c>
      <c r="D895">
        <v>2110.62</v>
      </c>
      <c r="E895">
        <v>1912</v>
      </c>
      <c r="F895">
        <v>4</v>
      </c>
      <c r="G895">
        <v>3</v>
      </c>
      <c r="H895">
        <v>0</v>
      </c>
      <c r="I895" t="s">
        <v>33</v>
      </c>
      <c r="J895">
        <v>0</v>
      </c>
      <c r="K895">
        <v>62</v>
      </c>
      <c r="L895" t="s">
        <v>24</v>
      </c>
      <c r="M895" t="s">
        <v>35</v>
      </c>
      <c r="N895" t="s">
        <v>22</v>
      </c>
      <c r="O895" t="s">
        <v>36</v>
      </c>
      <c r="P895">
        <v>1.4</v>
      </c>
      <c r="Q895" s="2" t="b">
        <f>FALSE()</f>
        <v>0</v>
      </c>
      <c r="R895">
        <v>1</v>
      </c>
    </row>
    <row r="896" spans="1:18" x14ac:dyDescent="0.25">
      <c r="A896">
        <v>200895</v>
      </c>
      <c r="B896">
        <v>54862</v>
      </c>
      <c r="C896" t="s">
        <v>18</v>
      </c>
      <c r="D896">
        <v>1573.86</v>
      </c>
      <c r="E896">
        <v>1318</v>
      </c>
      <c r="F896">
        <v>3</v>
      </c>
      <c r="G896">
        <v>2</v>
      </c>
      <c r="H896">
        <v>0</v>
      </c>
      <c r="I896" t="s">
        <v>32</v>
      </c>
      <c r="J896">
        <v>1</v>
      </c>
      <c r="K896">
        <v>35</v>
      </c>
      <c r="L896" t="s">
        <v>20</v>
      </c>
      <c r="M896" t="s">
        <v>29</v>
      </c>
      <c r="N896" t="s">
        <v>26</v>
      </c>
      <c r="O896" t="s">
        <v>27</v>
      </c>
      <c r="P896">
        <v>2.64</v>
      </c>
      <c r="Q896" s="2" t="b">
        <f>FALSE()</f>
        <v>0</v>
      </c>
      <c r="R896">
        <v>1</v>
      </c>
    </row>
    <row r="897" spans="1:18" x14ac:dyDescent="0.25">
      <c r="A897">
        <v>200896</v>
      </c>
      <c r="B897">
        <v>55291</v>
      </c>
      <c r="C897" t="s">
        <v>18</v>
      </c>
      <c r="D897">
        <v>1007.55</v>
      </c>
      <c r="E897">
        <v>2334</v>
      </c>
      <c r="F897">
        <v>1</v>
      </c>
      <c r="G897">
        <v>3</v>
      </c>
      <c r="H897">
        <v>0</v>
      </c>
      <c r="I897" t="s">
        <v>19</v>
      </c>
      <c r="J897">
        <v>0</v>
      </c>
      <c r="K897">
        <v>29</v>
      </c>
      <c r="L897" t="s">
        <v>24</v>
      </c>
      <c r="M897" t="s">
        <v>25</v>
      </c>
      <c r="N897" t="s">
        <v>22</v>
      </c>
      <c r="O897" t="s">
        <v>27</v>
      </c>
      <c r="P897">
        <v>1.99</v>
      </c>
      <c r="Q897" s="2" t="b">
        <f>FALSE()</f>
        <v>0</v>
      </c>
      <c r="R897">
        <v>0</v>
      </c>
    </row>
    <row r="898" spans="1:18" x14ac:dyDescent="0.25">
      <c r="A898">
        <v>200897</v>
      </c>
      <c r="B898">
        <v>54652</v>
      </c>
      <c r="C898" t="s">
        <v>28</v>
      </c>
      <c r="D898">
        <v>2557.2600000000002</v>
      </c>
      <c r="E898">
        <v>1939</v>
      </c>
      <c r="F898">
        <v>2</v>
      </c>
      <c r="G898">
        <v>2</v>
      </c>
      <c r="H898">
        <v>0</v>
      </c>
      <c r="I898" t="s">
        <v>33</v>
      </c>
      <c r="J898">
        <v>0</v>
      </c>
      <c r="K898">
        <v>50</v>
      </c>
      <c r="L898" t="s">
        <v>24</v>
      </c>
      <c r="M898" t="s">
        <v>21</v>
      </c>
      <c r="N898" t="s">
        <v>30</v>
      </c>
      <c r="O898" t="s">
        <v>36</v>
      </c>
      <c r="P898">
        <v>0.2</v>
      </c>
      <c r="Q898" s="2" t="b">
        <f>FALSE()</f>
        <v>0</v>
      </c>
      <c r="R898">
        <v>0</v>
      </c>
    </row>
    <row r="899" spans="1:18" x14ac:dyDescent="0.25">
      <c r="A899">
        <v>200898</v>
      </c>
      <c r="B899">
        <v>55388</v>
      </c>
      <c r="C899" t="s">
        <v>18</v>
      </c>
      <c r="D899">
        <v>520.49</v>
      </c>
      <c r="E899">
        <v>1592</v>
      </c>
      <c r="F899">
        <v>0</v>
      </c>
      <c r="G899">
        <v>3</v>
      </c>
      <c r="H899">
        <v>0</v>
      </c>
      <c r="I899" t="s">
        <v>32</v>
      </c>
      <c r="J899">
        <v>0</v>
      </c>
      <c r="K899">
        <v>79</v>
      </c>
      <c r="L899" t="s">
        <v>24</v>
      </c>
      <c r="M899" t="s">
        <v>35</v>
      </c>
      <c r="N899" t="s">
        <v>30</v>
      </c>
      <c r="O899" t="s">
        <v>36</v>
      </c>
      <c r="P899">
        <v>2.74</v>
      </c>
      <c r="Q899" s="2" t="b">
        <f>FALSE()</f>
        <v>0</v>
      </c>
      <c r="R899">
        <v>0</v>
      </c>
    </row>
    <row r="900" spans="1:18" x14ac:dyDescent="0.25">
      <c r="A900">
        <v>200899</v>
      </c>
      <c r="B900">
        <v>51550</v>
      </c>
      <c r="C900" t="s">
        <v>18</v>
      </c>
      <c r="D900">
        <v>183.59</v>
      </c>
      <c r="E900">
        <v>1859</v>
      </c>
      <c r="F900">
        <v>1</v>
      </c>
      <c r="G900">
        <v>5</v>
      </c>
      <c r="H900">
        <v>1</v>
      </c>
      <c r="I900" t="s">
        <v>19</v>
      </c>
      <c r="J900">
        <v>0</v>
      </c>
      <c r="K900">
        <v>52</v>
      </c>
      <c r="L900" t="s">
        <v>24</v>
      </c>
      <c r="M900" t="s">
        <v>21</v>
      </c>
      <c r="N900" t="s">
        <v>26</v>
      </c>
      <c r="O900" t="s">
        <v>27</v>
      </c>
      <c r="P900">
        <v>6</v>
      </c>
      <c r="Q900" s="2" t="b">
        <f>FALSE()</f>
        <v>0</v>
      </c>
      <c r="R900">
        <v>0</v>
      </c>
    </row>
    <row r="901" spans="1:18" x14ac:dyDescent="0.25">
      <c r="A901">
        <v>200900</v>
      </c>
      <c r="B901">
        <v>51359</v>
      </c>
      <c r="C901" t="s">
        <v>18</v>
      </c>
      <c r="D901">
        <v>3512.76</v>
      </c>
      <c r="E901">
        <v>1869</v>
      </c>
      <c r="F901">
        <v>0</v>
      </c>
      <c r="G901">
        <v>3</v>
      </c>
      <c r="H901">
        <v>0</v>
      </c>
      <c r="I901" t="s">
        <v>33</v>
      </c>
      <c r="J901">
        <v>1</v>
      </c>
      <c r="K901">
        <v>42</v>
      </c>
      <c r="L901" t="s">
        <v>24</v>
      </c>
      <c r="M901" t="s">
        <v>21</v>
      </c>
      <c r="N901" t="s">
        <v>22</v>
      </c>
      <c r="O901" t="s">
        <v>27</v>
      </c>
      <c r="P901">
        <v>0.61</v>
      </c>
      <c r="Q901" s="2" t="b">
        <f>FALSE()</f>
        <v>0</v>
      </c>
      <c r="R901">
        <v>0</v>
      </c>
    </row>
    <row r="902" spans="1:18" x14ac:dyDescent="0.25">
      <c r="A902">
        <v>200901</v>
      </c>
      <c r="B902">
        <v>51099</v>
      </c>
      <c r="C902" t="s">
        <v>18</v>
      </c>
      <c r="D902">
        <v>658.54</v>
      </c>
      <c r="E902">
        <v>810</v>
      </c>
      <c r="F902">
        <v>2</v>
      </c>
      <c r="G902">
        <v>1</v>
      </c>
      <c r="H902">
        <v>1</v>
      </c>
      <c r="I902" t="s">
        <v>33</v>
      </c>
      <c r="J902">
        <v>0</v>
      </c>
      <c r="K902">
        <v>61</v>
      </c>
      <c r="L902" t="s">
        <v>20</v>
      </c>
      <c r="M902" t="s">
        <v>31</v>
      </c>
      <c r="N902" t="s">
        <v>30</v>
      </c>
      <c r="O902" t="s">
        <v>23</v>
      </c>
      <c r="P902">
        <v>2.82</v>
      </c>
      <c r="Q902" s="2" t="b">
        <f>FALSE()</f>
        <v>0</v>
      </c>
      <c r="R902">
        <v>0</v>
      </c>
    </row>
    <row r="903" spans="1:18" x14ac:dyDescent="0.25">
      <c r="A903">
        <v>200902</v>
      </c>
      <c r="B903">
        <v>51007</v>
      </c>
      <c r="C903" t="s">
        <v>18</v>
      </c>
      <c r="D903">
        <v>4621.78</v>
      </c>
      <c r="E903">
        <v>3053</v>
      </c>
      <c r="F903">
        <v>2</v>
      </c>
      <c r="G903">
        <v>3</v>
      </c>
      <c r="H903">
        <v>0</v>
      </c>
      <c r="I903" t="s">
        <v>33</v>
      </c>
      <c r="J903">
        <v>1</v>
      </c>
      <c r="K903">
        <v>18</v>
      </c>
      <c r="L903" t="s">
        <v>20</v>
      </c>
      <c r="M903" t="s">
        <v>37</v>
      </c>
      <c r="N903" t="s">
        <v>22</v>
      </c>
      <c r="O903" t="s">
        <v>27</v>
      </c>
      <c r="P903">
        <v>0.48</v>
      </c>
      <c r="Q903" s="2" t="b">
        <f>FALSE()</f>
        <v>0</v>
      </c>
      <c r="R903">
        <v>1</v>
      </c>
    </row>
    <row r="904" spans="1:18" x14ac:dyDescent="0.25">
      <c r="A904">
        <v>200903</v>
      </c>
      <c r="B904">
        <v>50160</v>
      </c>
      <c r="C904" t="s">
        <v>34</v>
      </c>
      <c r="D904">
        <v>1860.16</v>
      </c>
      <c r="E904">
        <v>3242</v>
      </c>
      <c r="F904">
        <v>1</v>
      </c>
      <c r="G904">
        <v>2</v>
      </c>
      <c r="H904">
        <v>1</v>
      </c>
      <c r="I904" t="s">
        <v>19</v>
      </c>
      <c r="J904">
        <v>1</v>
      </c>
      <c r="K904">
        <v>73</v>
      </c>
      <c r="L904" t="s">
        <v>24</v>
      </c>
      <c r="M904" t="s">
        <v>37</v>
      </c>
      <c r="N904" t="s">
        <v>22</v>
      </c>
      <c r="O904" t="s">
        <v>23</v>
      </c>
      <c r="P904">
        <v>6.95</v>
      </c>
      <c r="Q904" s="2" t="b">
        <f>FALSE()</f>
        <v>0</v>
      </c>
      <c r="R904">
        <v>0</v>
      </c>
    </row>
    <row r="905" spans="1:18" x14ac:dyDescent="0.25">
      <c r="A905">
        <v>200904</v>
      </c>
      <c r="B905">
        <v>52213</v>
      </c>
      <c r="C905" t="s">
        <v>34</v>
      </c>
      <c r="D905">
        <v>4585.93</v>
      </c>
      <c r="E905">
        <v>2012</v>
      </c>
      <c r="F905">
        <v>1</v>
      </c>
      <c r="G905">
        <v>6</v>
      </c>
      <c r="H905">
        <v>0</v>
      </c>
      <c r="I905" t="s">
        <v>32</v>
      </c>
      <c r="J905">
        <v>0</v>
      </c>
      <c r="K905">
        <v>58</v>
      </c>
      <c r="L905" t="s">
        <v>20</v>
      </c>
      <c r="M905" t="s">
        <v>31</v>
      </c>
      <c r="N905" t="s">
        <v>22</v>
      </c>
      <c r="O905" t="s">
        <v>27</v>
      </c>
      <c r="P905">
        <v>1.86</v>
      </c>
      <c r="Q905" s="2" t="b">
        <f>FALSE()</f>
        <v>0</v>
      </c>
      <c r="R905">
        <v>1</v>
      </c>
    </row>
    <row r="906" spans="1:18" x14ac:dyDescent="0.25">
      <c r="A906">
        <v>200905</v>
      </c>
      <c r="B906">
        <v>55988</v>
      </c>
      <c r="C906" t="s">
        <v>34</v>
      </c>
      <c r="D906">
        <v>6087.04</v>
      </c>
      <c r="E906">
        <v>3605</v>
      </c>
      <c r="F906">
        <v>0</v>
      </c>
      <c r="G906">
        <v>7</v>
      </c>
      <c r="H906">
        <v>0</v>
      </c>
      <c r="I906" t="s">
        <v>33</v>
      </c>
      <c r="J906">
        <v>0</v>
      </c>
      <c r="K906">
        <v>36</v>
      </c>
      <c r="L906" t="s">
        <v>20</v>
      </c>
      <c r="M906" t="s">
        <v>37</v>
      </c>
      <c r="N906" t="s">
        <v>26</v>
      </c>
      <c r="O906" t="s">
        <v>36</v>
      </c>
      <c r="P906">
        <v>8.01</v>
      </c>
      <c r="Q906" s="2" t="b">
        <f>FALSE()</f>
        <v>0</v>
      </c>
      <c r="R906">
        <v>1</v>
      </c>
    </row>
    <row r="907" spans="1:18" x14ac:dyDescent="0.25">
      <c r="A907">
        <v>200906</v>
      </c>
      <c r="B907">
        <v>52268</v>
      </c>
      <c r="C907" t="s">
        <v>18</v>
      </c>
      <c r="D907">
        <v>1087.94</v>
      </c>
      <c r="E907">
        <v>2201</v>
      </c>
      <c r="F907">
        <v>3</v>
      </c>
      <c r="G907">
        <v>7</v>
      </c>
      <c r="H907">
        <v>0</v>
      </c>
      <c r="I907" t="s">
        <v>32</v>
      </c>
      <c r="J907">
        <v>0</v>
      </c>
      <c r="K907">
        <v>81</v>
      </c>
      <c r="L907" t="s">
        <v>20</v>
      </c>
      <c r="M907" t="s">
        <v>31</v>
      </c>
      <c r="N907" t="s">
        <v>30</v>
      </c>
      <c r="O907" t="s">
        <v>36</v>
      </c>
      <c r="P907">
        <v>4.71</v>
      </c>
      <c r="Q907" s="2" t="b">
        <f>FALSE()</f>
        <v>0</v>
      </c>
      <c r="R907">
        <v>1</v>
      </c>
    </row>
    <row r="908" spans="1:18" x14ac:dyDescent="0.25">
      <c r="A908">
        <v>200907</v>
      </c>
      <c r="B908">
        <v>53474</v>
      </c>
      <c r="C908" t="s">
        <v>34</v>
      </c>
      <c r="D908">
        <v>82.42</v>
      </c>
      <c r="E908">
        <v>1805</v>
      </c>
      <c r="F908">
        <v>1</v>
      </c>
      <c r="G908">
        <v>8</v>
      </c>
      <c r="H908">
        <v>0</v>
      </c>
      <c r="I908" t="s">
        <v>33</v>
      </c>
      <c r="J908">
        <v>0</v>
      </c>
      <c r="K908">
        <v>46</v>
      </c>
      <c r="L908" t="s">
        <v>24</v>
      </c>
      <c r="M908" t="s">
        <v>25</v>
      </c>
      <c r="N908" t="s">
        <v>22</v>
      </c>
      <c r="O908" t="s">
        <v>27</v>
      </c>
      <c r="P908">
        <v>0.51</v>
      </c>
      <c r="Q908" s="2" t="b">
        <f>FALSE()</f>
        <v>0</v>
      </c>
      <c r="R908">
        <v>1</v>
      </c>
    </row>
    <row r="909" spans="1:18" x14ac:dyDescent="0.25">
      <c r="A909">
        <v>200908</v>
      </c>
      <c r="B909">
        <v>53314</v>
      </c>
      <c r="C909" t="s">
        <v>34</v>
      </c>
      <c r="D909">
        <v>4285.87</v>
      </c>
      <c r="E909">
        <v>1721</v>
      </c>
      <c r="F909">
        <v>2</v>
      </c>
      <c r="G909">
        <v>4</v>
      </c>
      <c r="H909">
        <v>0</v>
      </c>
      <c r="I909" t="s">
        <v>19</v>
      </c>
      <c r="J909">
        <v>1</v>
      </c>
      <c r="K909">
        <v>42</v>
      </c>
      <c r="L909" t="s">
        <v>24</v>
      </c>
      <c r="M909" t="s">
        <v>31</v>
      </c>
      <c r="N909" t="s">
        <v>22</v>
      </c>
      <c r="O909" t="s">
        <v>36</v>
      </c>
      <c r="P909">
        <v>2.8</v>
      </c>
      <c r="Q909" s="2" t="b">
        <f>FALSE()</f>
        <v>0</v>
      </c>
      <c r="R909">
        <v>1</v>
      </c>
    </row>
    <row r="910" spans="1:18" x14ac:dyDescent="0.25">
      <c r="A910">
        <v>200909</v>
      </c>
      <c r="B910">
        <v>52799</v>
      </c>
      <c r="C910" t="s">
        <v>28</v>
      </c>
      <c r="D910">
        <v>2270.89</v>
      </c>
      <c r="E910">
        <v>1637</v>
      </c>
      <c r="F910">
        <v>0</v>
      </c>
      <c r="G910">
        <v>6</v>
      </c>
      <c r="H910">
        <v>1</v>
      </c>
      <c r="I910" t="s">
        <v>33</v>
      </c>
      <c r="J910">
        <v>0</v>
      </c>
      <c r="K910">
        <v>37</v>
      </c>
      <c r="L910" t="s">
        <v>24</v>
      </c>
      <c r="M910" t="s">
        <v>29</v>
      </c>
      <c r="N910" t="s">
        <v>22</v>
      </c>
      <c r="O910" t="s">
        <v>27</v>
      </c>
      <c r="P910">
        <v>4.9400000000000004</v>
      </c>
      <c r="Q910" s="2" t="b">
        <f>FALSE()</f>
        <v>0</v>
      </c>
      <c r="R910">
        <v>0</v>
      </c>
    </row>
    <row r="911" spans="1:18" x14ac:dyDescent="0.25">
      <c r="A911">
        <v>200910</v>
      </c>
      <c r="B911">
        <v>50476</v>
      </c>
      <c r="C911" t="s">
        <v>18</v>
      </c>
      <c r="D911">
        <v>2500.87</v>
      </c>
      <c r="E911">
        <v>730</v>
      </c>
      <c r="F911">
        <v>0</v>
      </c>
      <c r="G911">
        <v>4</v>
      </c>
      <c r="H911">
        <v>0</v>
      </c>
      <c r="I911" t="s">
        <v>19</v>
      </c>
      <c r="J911">
        <v>0</v>
      </c>
      <c r="K911">
        <v>60</v>
      </c>
      <c r="L911" t="s">
        <v>20</v>
      </c>
      <c r="M911" t="s">
        <v>25</v>
      </c>
      <c r="N911" t="s">
        <v>30</v>
      </c>
      <c r="O911" t="s">
        <v>23</v>
      </c>
      <c r="P911">
        <v>0.23</v>
      </c>
      <c r="Q911" s="2" t="b">
        <f>FALSE()</f>
        <v>0</v>
      </c>
      <c r="R911">
        <v>0</v>
      </c>
    </row>
    <row r="912" spans="1:18" x14ac:dyDescent="0.25">
      <c r="A912">
        <v>200911</v>
      </c>
      <c r="B912">
        <v>54413</v>
      </c>
      <c r="C912" t="s">
        <v>18</v>
      </c>
      <c r="D912">
        <v>3220.61</v>
      </c>
      <c r="E912">
        <v>2399</v>
      </c>
      <c r="F912">
        <v>0</v>
      </c>
      <c r="G912">
        <v>3</v>
      </c>
      <c r="H912">
        <v>1</v>
      </c>
      <c r="I912" t="s">
        <v>32</v>
      </c>
      <c r="J912">
        <v>0</v>
      </c>
      <c r="K912">
        <v>24</v>
      </c>
      <c r="L912" t="s">
        <v>20</v>
      </c>
      <c r="M912" t="s">
        <v>37</v>
      </c>
      <c r="N912" t="s">
        <v>22</v>
      </c>
      <c r="O912" t="s">
        <v>36</v>
      </c>
      <c r="P912">
        <v>1.26</v>
      </c>
      <c r="Q912" s="2" t="b">
        <f>FALSE()</f>
        <v>0</v>
      </c>
      <c r="R912">
        <v>0</v>
      </c>
    </row>
    <row r="913" spans="1:18" x14ac:dyDescent="0.25">
      <c r="A913">
        <v>200912</v>
      </c>
      <c r="B913">
        <v>55893</v>
      </c>
      <c r="C913" t="s">
        <v>18</v>
      </c>
      <c r="D913">
        <v>795.91</v>
      </c>
      <c r="E913">
        <v>847</v>
      </c>
      <c r="F913">
        <v>0</v>
      </c>
      <c r="G913">
        <v>6</v>
      </c>
      <c r="H913">
        <v>0</v>
      </c>
      <c r="I913" t="s">
        <v>33</v>
      </c>
      <c r="J913">
        <v>0</v>
      </c>
      <c r="K913">
        <v>56</v>
      </c>
      <c r="L913" t="s">
        <v>20</v>
      </c>
      <c r="M913" t="s">
        <v>35</v>
      </c>
      <c r="N913" t="s">
        <v>22</v>
      </c>
      <c r="O913" t="s">
        <v>27</v>
      </c>
      <c r="P913">
        <v>2.15</v>
      </c>
      <c r="Q913" s="2" t="b">
        <f>FALSE()</f>
        <v>0</v>
      </c>
      <c r="R913">
        <v>0</v>
      </c>
    </row>
    <row r="914" spans="1:18" x14ac:dyDescent="0.25">
      <c r="A914">
        <v>200913</v>
      </c>
      <c r="B914">
        <v>55795</v>
      </c>
      <c r="C914" t="s">
        <v>18</v>
      </c>
      <c r="D914">
        <v>194.81</v>
      </c>
      <c r="E914">
        <v>287</v>
      </c>
      <c r="F914">
        <v>0</v>
      </c>
      <c r="G914">
        <v>2</v>
      </c>
      <c r="H914">
        <v>1</v>
      </c>
      <c r="I914" t="s">
        <v>19</v>
      </c>
      <c r="J914">
        <v>1</v>
      </c>
      <c r="K914">
        <v>58</v>
      </c>
      <c r="L914" t="s">
        <v>20</v>
      </c>
      <c r="M914" t="s">
        <v>29</v>
      </c>
      <c r="N914" t="s">
        <v>30</v>
      </c>
      <c r="O914" t="s">
        <v>23</v>
      </c>
      <c r="P914">
        <v>1.54</v>
      </c>
      <c r="Q914" s="2" t="b">
        <f>FALSE()</f>
        <v>0</v>
      </c>
      <c r="R914">
        <v>0</v>
      </c>
    </row>
    <row r="915" spans="1:18" x14ac:dyDescent="0.25">
      <c r="A915">
        <v>200914</v>
      </c>
      <c r="B915">
        <v>54014</v>
      </c>
      <c r="C915" t="s">
        <v>34</v>
      </c>
      <c r="D915">
        <v>1381.25</v>
      </c>
      <c r="E915">
        <v>882</v>
      </c>
      <c r="F915">
        <v>3</v>
      </c>
      <c r="G915">
        <v>2</v>
      </c>
      <c r="H915">
        <v>0</v>
      </c>
      <c r="I915" t="s">
        <v>33</v>
      </c>
      <c r="J915">
        <v>0</v>
      </c>
      <c r="K915">
        <v>25</v>
      </c>
      <c r="L915" t="s">
        <v>24</v>
      </c>
      <c r="M915" t="s">
        <v>35</v>
      </c>
      <c r="N915" t="s">
        <v>22</v>
      </c>
      <c r="O915" t="s">
        <v>36</v>
      </c>
      <c r="P915">
        <v>12.01</v>
      </c>
      <c r="Q915" s="2" t="b">
        <f>FALSE()</f>
        <v>0</v>
      </c>
      <c r="R915">
        <v>1</v>
      </c>
    </row>
    <row r="916" spans="1:18" x14ac:dyDescent="0.25">
      <c r="A916">
        <v>200915</v>
      </c>
      <c r="B916">
        <v>53726</v>
      </c>
      <c r="C916" t="s">
        <v>28</v>
      </c>
      <c r="D916">
        <v>2827.57</v>
      </c>
      <c r="E916">
        <v>2764</v>
      </c>
      <c r="F916">
        <v>3</v>
      </c>
      <c r="G916">
        <v>6</v>
      </c>
      <c r="H916">
        <v>0</v>
      </c>
      <c r="I916" t="s">
        <v>33</v>
      </c>
      <c r="J916">
        <v>0</v>
      </c>
      <c r="K916">
        <v>20</v>
      </c>
      <c r="L916" t="s">
        <v>24</v>
      </c>
      <c r="M916" t="s">
        <v>21</v>
      </c>
      <c r="N916" t="s">
        <v>22</v>
      </c>
      <c r="O916" t="s">
        <v>23</v>
      </c>
      <c r="P916">
        <v>0.52</v>
      </c>
      <c r="Q916" s="2" t="b">
        <f>FALSE()</f>
        <v>0</v>
      </c>
      <c r="R916">
        <v>1</v>
      </c>
    </row>
    <row r="917" spans="1:18" x14ac:dyDescent="0.25">
      <c r="A917">
        <v>200916</v>
      </c>
      <c r="B917">
        <v>51086</v>
      </c>
      <c r="C917" t="s">
        <v>34</v>
      </c>
      <c r="D917">
        <v>3166.93</v>
      </c>
      <c r="E917">
        <v>2986</v>
      </c>
      <c r="F917">
        <v>1</v>
      </c>
      <c r="G917">
        <v>4</v>
      </c>
      <c r="H917">
        <v>0</v>
      </c>
      <c r="I917" t="s">
        <v>19</v>
      </c>
      <c r="J917">
        <v>0</v>
      </c>
      <c r="K917">
        <v>21</v>
      </c>
      <c r="L917" t="s">
        <v>24</v>
      </c>
      <c r="M917" t="s">
        <v>35</v>
      </c>
      <c r="N917" t="s">
        <v>26</v>
      </c>
      <c r="O917" t="s">
        <v>36</v>
      </c>
      <c r="P917">
        <v>1.27</v>
      </c>
      <c r="Q917" s="2" t="b">
        <f>FALSE()</f>
        <v>0</v>
      </c>
      <c r="R917">
        <v>0</v>
      </c>
    </row>
    <row r="918" spans="1:18" x14ac:dyDescent="0.25">
      <c r="A918">
        <v>200917</v>
      </c>
      <c r="B918">
        <v>54204</v>
      </c>
      <c r="C918" t="s">
        <v>18</v>
      </c>
      <c r="D918">
        <v>297.95</v>
      </c>
      <c r="E918">
        <v>2553</v>
      </c>
      <c r="F918">
        <v>1</v>
      </c>
      <c r="G918">
        <v>4</v>
      </c>
      <c r="H918">
        <v>0</v>
      </c>
      <c r="I918" t="s">
        <v>33</v>
      </c>
      <c r="J918">
        <v>0</v>
      </c>
      <c r="K918">
        <v>35</v>
      </c>
      <c r="L918" t="s">
        <v>20</v>
      </c>
      <c r="M918" t="s">
        <v>37</v>
      </c>
      <c r="N918" t="s">
        <v>30</v>
      </c>
      <c r="O918" t="s">
        <v>36</v>
      </c>
      <c r="P918">
        <v>0.19</v>
      </c>
      <c r="Q918" s="2" t="b">
        <f>FALSE()</f>
        <v>0</v>
      </c>
      <c r="R918">
        <v>0</v>
      </c>
    </row>
    <row r="919" spans="1:18" x14ac:dyDescent="0.25">
      <c r="A919">
        <v>200918</v>
      </c>
      <c r="B919">
        <v>55379</v>
      </c>
      <c r="C919" t="s">
        <v>18</v>
      </c>
      <c r="D919">
        <v>9424.75</v>
      </c>
      <c r="E919">
        <v>1578</v>
      </c>
      <c r="F919">
        <v>2</v>
      </c>
      <c r="G919">
        <v>6</v>
      </c>
      <c r="H919">
        <v>1</v>
      </c>
      <c r="I919" t="s">
        <v>33</v>
      </c>
      <c r="J919">
        <v>0</v>
      </c>
      <c r="K919">
        <v>75</v>
      </c>
      <c r="L919" t="s">
        <v>24</v>
      </c>
      <c r="M919" t="s">
        <v>31</v>
      </c>
      <c r="N919" t="s">
        <v>22</v>
      </c>
      <c r="O919" t="s">
        <v>36</v>
      </c>
      <c r="P919">
        <v>5.77</v>
      </c>
      <c r="Q919" s="2" t="b">
        <f>TRUE()</f>
        <v>1</v>
      </c>
      <c r="R919">
        <v>1</v>
      </c>
    </row>
    <row r="920" spans="1:18" x14ac:dyDescent="0.25">
      <c r="A920">
        <v>200919</v>
      </c>
      <c r="B920">
        <v>51471</v>
      </c>
      <c r="C920" t="s">
        <v>18</v>
      </c>
      <c r="D920">
        <v>1298.95</v>
      </c>
      <c r="E920">
        <v>3449</v>
      </c>
      <c r="F920">
        <v>1</v>
      </c>
      <c r="G920">
        <v>6</v>
      </c>
      <c r="H920">
        <v>0</v>
      </c>
      <c r="I920" t="s">
        <v>19</v>
      </c>
      <c r="J920">
        <v>0</v>
      </c>
      <c r="K920">
        <v>37</v>
      </c>
      <c r="L920" t="s">
        <v>38</v>
      </c>
      <c r="M920" t="s">
        <v>31</v>
      </c>
      <c r="N920" t="s">
        <v>22</v>
      </c>
      <c r="O920" t="s">
        <v>36</v>
      </c>
      <c r="P920">
        <v>5.25</v>
      </c>
      <c r="Q920" s="2" t="b">
        <f>FALSE()</f>
        <v>0</v>
      </c>
      <c r="R920">
        <v>0</v>
      </c>
    </row>
    <row r="921" spans="1:18" x14ac:dyDescent="0.25">
      <c r="A921">
        <v>200920</v>
      </c>
      <c r="B921">
        <v>53862</v>
      </c>
      <c r="C921" t="s">
        <v>18</v>
      </c>
      <c r="D921">
        <v>1466.96</v>
      </c>
      <c r="E921">
        <v>3625</v>
      </c>
      <c r="F921">
        <v>2</v>
      </c>
      <c r="G921">
        <v>6</v>
      </c>
      <c r="H921">
        <v>0</v>
      </c>
      <c r="I921" t="s">
        <v>33</v>
      </c>
      <c r="J921">
        <v>0</v>
      </c>
      <c r="K921">
        <v>60</v>
      </c>
      <c r="L921" t="s">
        <v>20</v>
      </c>
      <c r="M921" t="s">
        <v>37</v>
      </c>
      <c r="N921" t="s">
        <v>26</v>
      </c>
      <c r="O921" t="s">
        <v>23</v>
      </c>
      <c r="P921">
        <v>0.17</v>
      </c>
      <c r="Q921" s="2" t="b">
        <f>FALSE()</f>
        <v>0</v>
      </c>
      <c r="R921">
        <v>0</v>
      </c>
    </row>
    <row r="922" spans="1:18" x14ac:dyDescent="0.25">
      <c r="A922">
        <v>200921</v>
      </c>
      <c r="B922">
        <v>52073</v>
      </c>
      <c r="C922" t="s">
        <v>18</v>
      </c>
      <c r="D922">
        <v>1822.79</v>
      </c>
      <c r="E922">
        <v>2250</v>
      </c>
      <c r="F922">
        <v>2</v>
      </c>
      <c r="G922">
        <v>3</v>
      </c>
      <c r="H922">
        <v>0</v>
      </c>
      <c r="I922" t="s">
        <v>33</v>
      </c>
      <c r="J922">
        <v>0</v>
      </c>
      <c r="K922">
        <v>48</v>
      </c>
      <c r="L922" t="s">
        <v>24</v>
      </c>
      <c r="M922" t="s">
        <v>31</v>
      </c>
      <c r="N922" t="s">
        <v>30</v>
      </c>
      <c r="O922" t="s">
        <v>23</v>
      </c>
      <c r="P922">
        <v>0.6</v>
      </c>
      <c r="Q922" s="2" t="b">
        <f>FALSE()</f>
        <v>0</v>
      </c>
      <c r="R922">
        <v>0</v>
      </c>
    </row>
    <row r="923" spans="1:18" x14ac:dyDescent="0.25">
      <c r="A923">
        <v>200922</v>
      </c>
      <c r="B923">
        <v>50001</v>
      </c>
      <c r="C923" t="s">
        <v>34</v>
      </c>
      <c r="D923">
        <v>724.35</v>
      </c>
      <c r="E923">
        <v>2833</v>
      </c>
      <c r="F923">
        <v>0</v>
      </c>
      <c r="G923">
        <v>7</v>
      </c>
      <c r="H923">
        <v>1</v>
      </c>
      <c r="I923" t="s">
        <v>19</v>
      </c>
      <c r="J923">
        <v>1</v>
      </c>
      <c r="K923">
        <v>56</v>
      </c>
      <c r="L923" t="s">
        <v>24</v>
      </c>
      <c r="M923" t="s">
        <v>37</v>
      </c>
      <c r="N923" t="s">
        <v>22</v>
      </c>
      <c r="O923" t="s">
        <v>27</v>
      </c>
      <c r="P923">
        <v>0.93</v>
      </c>
      <c r="Q923" s="2" t="b">
        <f>FALSE()</f>
        <v>0</v>
      </c>
      <c r="R923">
        <v>1</v>
      </c>
    </row>
    <row r="924" spans="1:18" x14ac:dyDescent="0.25">
      <c r="A924">
        <v>200923</v>
      </c>
      <c r="B924">
        <v>53566</v>
      </c>
      <c r="C924" t="s">
        <v>34</v>
      </c>
      <c r="D924">
        <v>174.37</v>
      </c>
      <c r="E924">
        <v>1327</v>
      </c>
      <c r="F924">
        <v>2</v>
      </c>
      <c r="G924">
        <v>5</v>
      </c>
      <c r="H924">
        <v>0</v>
      </c>
      <c r="I924" t="s">
        <v>32</v>
      </c>
      <c r="J924">
        <v>0</v>
      </c>
      <c r="K924">
        <v>38</v>
      </c>
      <c r="L924" t="s">
        <v>24</v>
      </c>
      <c r="M924" t="s">
        <v>37</v>
      </c>
      <c r="N924" t="s">
        <v>26</v>
      </c>
      <c r="O924" t="s">
        <v>23</v>
      </c>
      <c r="P924">
        <v>10.119999999999999</v>
      </c>
      <c r="Q924" s="2" t="b">
        <f>FALSE()</f>
        <v>0</v>
      </c>
      <c r="R924">
        <v>0</v>
      </c>
    </row>
    <row r="925" spans="1:18" x14ac:dyDescent="0.25">
      <c r="A925">
        <v>200924</v>
      </c>
      <c r="B925">
        <v>53578</v>
      </c>
      <c r="C925" t="s">
        <v>34</v>
      </c>
      <c r="D925">
        <v>4866.9399999999996</v>
      </c>
      <c r="E925">
        <v>1280</v>
      </c>
      <c r="F925">
        <v>0</v>
      </c>
      <c r="G925">
        <v>5</v>
      </c>
      <c r="H925">
        <v>0</v>
      </c>
      <c r="I925" t="s">
        <v>19</v>
      </c>
      <c r="J925">
        <v>0</v>
      </c>
      <c r="K925">
        <v>37</v>
      </c>
      <c r="L925" t="s">
        <v>24</v>
      </c>
      <c r="M925" t="s">
        <v>35</v>
      </c>
      <c r="N925" t="s">
        <v>22</v>
      </c>
      <c r="O925" t="s">
        <v>36</v>
      </c>
      <c r="P925">
        <v>1.21</v>
      </c>
      <c r="Q925" s="2" t="b">
        <f>FALSE()</f>
        <v>0</v>
      </c>
      <c r="R925">
        <v>1</v>
      </c>
    </row>
    <row r="926" spans="1:18" x14ac:dyDescent="0.25">
      <c r="A926">
        <v>200925</v>
      </c>
      <c r="B926">
        <v>50957</v>
      </c>
      <c r="C926" t="s">
        <v>18</v>
      </c>
      <c r="D926">
        <v>1478.69</v>
      </c>
      <c r="E926">
        <v>102</v>
      </c>
      <c r="F926">
        <v>1</v>
      </c>
      <c r="G926">
        <v>7</v>
      </c>
      <c r="H926">
        <v>1</v>
      </c>
      <c r="I926" t="s">
        <v>33</v>
      </c>
      <c r="J926">
        <v>0</v>
      </c>
      <c r="K926">
        <v>83</v>
      </c>
      <c r="L926" t="s">
        <v>20</v>
      </c>
      <c r="M926" t="s">
        <v>21</v>
      </c>
      <c r="N926" t="s">
        <v>26</v>
      </c>
      <c r="O926" t="s">
        <v>27</v>
      </c>
      <c r="P926">
        <v>6.42</v>
      </c>
      <c r="Q926" s="2" t="b">
        <f>FALSE()</f>
        <v>0</v>
      </c>
      <c r="R926">
        <v>1</v>
      </c>
    </row>
    <row r="927" spans="1:18" x14ac:dyDescent="0.25">
      <c r="A927">
        <v>200926</v>
      </c>
      <c r="B927">
        <v>50500</v>
      </c>
      <c r="C927" t="s">
        <v>28</v>
      </c>
      <c r="D927">
        <v>2476.4299999999998</v>
      </c>
      <c r="E927">
        <v>1603</v>
      </c>
      <c r="F927">
        <v>3</v>
      </c>
      <c r="G927">
        <v>5</v>
      </c>
      <c r="H927">
        <v>0</v>
      </c>
      <c r="I927" t="s">
        <v>19</v>
      </c>
      <c r="J927">
        <v>1</v>
      </c>
      <c r="K927">
        <v>63</v>
      </c>
      <c r="L927" t="s">
        <v>24</v>
      </c>
      <c r="M927" t="s">
        <v>21</v>
      </c>
      <c r="N927" t="s">
        <v>30</v>
      </c>
      <c r="O927" t="s">
        <v>27</v>
      </c>
      <c r="P927">
        <v>1.23</v>
      </c>
      <c r="Q927" s="2" t="b">
        <f>FALSE()</f>
        <v>0</v>
      </c>
      <c r="R927">
        <v>1</v>
      </c>
    </row>
    <row r="928" spans="1:18" x14ac:dyDescent="0.25">
      <c r="A928">
        <v>200927</v>
      </c>
      <c r="B928">
        <v>54036</v>
      </c>
      <c r="C928" t="s">
        <v>18</v>
      </c>
      <c r="D928">
        <v>2771.8</v>
      </c>
      <c r="E928">
        <v>788</v>
      </c>
      <c r="F928">
        <v>1</v>
      </c>
      <c r="G928">
        <v>4</v>
      </c>
      <c r="H928">
        <v>0</v>
      </c>
      <c r="I928" t="s">
        <v>19</v>
      </c>
      <c r="J928">
        <v>1</v>
      </c>
      <c r="K928">
        <v>61</v>
      </c>
      <c r="L928" t="s">
        <v>24</v>
      </c>
      <c r="M928" t="s">
        <v>29</v>
      </c>
      <c r="N928" t="s">
        <v>22</v>
      </c>
      <c r="O928" t="s">
        <v>23</v>
      </c>
      <c r="P928">
        <v>0.14000000000000001</v>
      </c>
      <c r="Q928" s="2" t="b">
        <f>FALSE()</f>
        <v>0</v>
      </c>
      <c r="R928">
        <v>0</v>
      </c>
    </row>
    <row r="929" spans="1:18" x14ac:dyDescent="0.25">
      <c r="A929">
        <v>200928</v>
      </c>
      <c r="B929">
        <v>51905</v>
      </c>
      <c r="C929" t="s">
        <v>18</v>
      </c>
      <c r="D929">
        <v>2014.24</v>
      </c>
      <c r="E929">
        <v>341</v>
      </c>
      <c r="F929">
        <v>2</v>
      </c>
      <c r="G929">
        <v>2</v>
      </c>
      <c r="H929">
        <v>0</v>
      </c>
      <c r="I929" t="s">
        <v>33</v>
      </c>
      <c r="J929">
        <v>1</v>
      </c>
      <c r="K929">
        <v>62</v>
      </c>
      <c r="L929" t="s">
        <v>24</v>
      </c>
      <c r="M929" t="s">
        <v>29</v>
      </c>
      <c r="N929" t="s">
        <v>22</v>
      </c>
      <c r="O929" t="s">
        <v>27</v>
      </c>
      <c r="P929">
        <v>1.19</v>
      </c>
      <c r="Q929" s="2" t="b">
        <f>FALSE()</f>
        <v>0</v>
      </c>
      <c r="R929">
        <v>0</v>
      </c>
    </row>
    <row r="930" spans="1:18" x14ac:dyDescent="0.25">
      <c r="A930">
        <v>200929</v>
      </c>
      <c r="B930">
        <v>52227</v>
      </c>
      <c r="C930" t="s">
        <v>28</v>
      </c>
      <c r="D930">
        <v>6470.54</v>
      </c>
      <c r="E930">
        <v>125</v>
      </c>
      <c r="F930">
        <v>3</v>
      </c>
      <c r="G930">
        <v>3</v>
      </c>
      <c r="H930">
        <v>0</v>
      </c>
      <c r="I930" t="s">
        <v>33</v>
      </c>
      <c r="J930">
        <v>0</v>
      </c>
      <c r="K930">
        <v>48</v>
      </c>
      <c r="L930" t="s">
        <v>24</v>
      </c>
      <c r="M930" t="s">
        <v>25</v>
      </c>
      <c r="N930" t="s">
        <v>22</v>
      </c>
      <c r="O930" t="s">
        <v>23</v>
      </c>
      <c r="P930">
        <v>0.81</v>
      </c>
      <c r="Q930" s="2" t="b">
        <f>FALSE()</f>
        <v>0</v>
      </c>
      <c r="R930">
        <v>1</v>
      </c>
    </row>
    <row r="931" spans="1:18" x14ac:dyDescent="0.25">
      <c r="A931">
        <v>200930</v>
      </c>
      <c r="B931">
        <v>54552</v>
      </c>
      <c r="C931" t="s">
        <v>34</v>
      </c>
      <c r="D931">
        <v>1414.56</v>
      </c>
      <c r="E931">
        <v>2752</v>
      </c>
      <c r="F931">
        <v>0</v>
      </c>
      <c r="G931">
        <v>4</v>
      </c>
      <c r="H931">
        <v>1</v>
      </c>
      <c r="I931" t="s">
        <v>19</v>
      </c>
      <c r="J931">
        <v>0</v>
      </c>
      <c r="K931">
        <v>28</v>
      </c>
      <c r="L931" t="s">
        <v>20</v>
      </c>
      <c r="M931" t="s">
        <v>37</v>
      </c>
      <c r="N931" t="s">
        <v>30</v>
      </c>
      <c r="O931" t="s">
        <v>36</v>
      </c>
      <c r="P931">
        <v>0.91</v>
      </c>
      <c r="Q931" s="2" t="b">
        <f>FALSE()</f>
        <v>0</v>
      </c>
      <c r="R931">
        <v>0</v>
      </c>
    </row>
    <row r="932" spans="1:18" x14ac:dyDescent="0.25">
      <c r="A932">
        <v>200931</v>
      </c>
      <c r="B932">
        <v>53588</v>
      </c>
      <c r="C932" t="s">
        <v>18</v>
      </c>
      <c r="D932">
        <v>6253.36</v>
      </c>
      <c r="E932">
        <v>1267</v>
      </c>
      <c r="F932">
        <v>0</v>
      </c>
      <c r="G932">
        <v>1</v>
      </c>
      <c r="H932">
        <v>0</v>
      </c>
      <c r="I932" t="s">
        <v>19</v>
      </c>
      <c r="J932">
        <v>0</v>
      </c>
      <c r="K932">
        <v>67</v>
      </c>
      <c r="L932" t="s">
        <v>24</v>
      </c>
      <c r="M932" t="s">
        <v>37</v>
      </c>
      <c r="N932" t="s">
        <v>30</v>
      </c>
      <c r="O932" t="s">
        <v>36</v>
      </c>
      <c r="P932">
        <v>3.23</v>
      </c>
      <c r="Q932" s="2" t="b">
        <f>FALSE()</f>
        <v>0</v>
      </c>
      <c r="R932">
        <v>1</v>
      </c>
    </row>
    <row r="933" spans="1:18" x14ac:dyDescent="0.25">
      <c r="A933">
        <v>200932</v>
      </c>
      <c r="B933">
        <v>54498</v>
      </c>
      <c r="C933" t="s">
        <v>34</v>
      </c>
      <c r="D933">
        <v>2495.37</v>
      </c>
      <c r="E933">
        <v>1014</v>
      </c>
      <c r="F933">
        <v>1</v>
      </c>
      <c r="G933">
        <v>8</v>
      </c>
      <c r="H933">
        <v>0</v>
      </c>
      <c r="I933" t="s">
        <v>33</v>
      </c>
      <c r="J933">
        <v>0</v>
      </c>
      <c r="K933">
        <v>44</v>
      </c>
      <c r="L933" t="s">
        <v>20</v>
      </c>
      <c r="M933" t="s">
        <v>25</v>
      </c>
      <c r="N933" t="s">
        <v>22</v>
      </c>
      <c r="O933" t="s">
        <v>36</v>
      </c>
      <c r="P933">
        <v>6.41</v>
      </c>
      <c r="Q933" s="2" t="b">
        <f>FALSE()</f>
        <v>0</v>
      </c>
      <c r="R933">
        <v>1</v>
      </c>
    </row>
    <row r="934" spans="1:18" x14ac:dyDescent="0.25">
      <c r="A934">
        <v>200933</v>
      </c>
      <c r="B934">
        <v>55137</v>
      </c>
      <c r="C934" t="s">
        <v>18</v>
      </c>
      <c r="D934">
        <v>1145.02</v>
      </c>
      <c r="E934">
        <v>1110</v>
      </c>
      <c r="F934">
        <v>0</v>
      </c>
      <c r="G934">
        <v>3</v>
      </c>
      <c r="H934">
        <v>0</v>
      </c>
      <c r="I934" t="s">
        <v>33</v>
      </c>
      <c r="J934">
        <v>0</v>
      </c>
      <c r="K934">
        <v>25</v>
      </c>
      <c r="L934" t="s">
        <v>24</v>
      </c>
      <c r="M934" t="s">
        <v>21</v>
      </c>
      <c r="N934" t="s">
        <v>26</v>
      </c>
      <c r="O934" t="s">
        <v>27</v>
      </c>
      <c r="P934">
        <v>1.05</v>
      </c>
      <c r="Q934" s="2" t="b">
        <f>FALSE()</f>
        <v>0</v>
      </c>
      <c r="R934">
        <v>0</v>
      </c>
    </row>
    <row r="935" spans="1:18" x14ac:dyDescent="0.25">
      <c r="A935">
        <v>200934</v>
      </c>
      <c r="B935">
        <v>55551</v>
      </c>
      <c r="C935" t="s">
        <v>18</v>
      </c>
      <c r="D935">
        <v>4467.47</v>
      </c>
      <c r="E935">
        <v>1833</v>
      </c>
      <c r="F935">
        <v>2</v>
      </c>
      <c r="G935">
        <v>3</v>
      </c>
      <c r="H935">
        <v>1</v>
      </c>
      <c r="I935" t="s">
        <v>19</v>
      </c>
      <c r="J935">
        <v>0</v>
      </c>
      <c r="K935">
        <v>71</v>
      </c>
      <c r="L935" t="s">
        <v>20</v>
      </c>
      <c r="M935" t="s">
        <v>21</v>
      </c>
      <c r="N935" t="s">
        <v>26</v>
      </c>
      <c r="O935" t="s">
        <v>27</v>
      </c>
      <c r="P935">
        <v>1.57</v>
      </c>
      <c r="Q935" s="2" t="b">
        <f>FALSE()</f>
        <v>0</v>
      </c>
      <c r="R935">
        <v>1</v>
      </c>
    </row>
    <row r="936" spans="1:18" x14ac:dyDescent="0.25">
      <c r="A936">
        <v>200935</v>
      </c>
      <c r="B936">
        <v>52850</v>
      </c>
      <c r="C936" t="s">
        <v>18</v>
      </c>
      <c r="D936">
        <v>296.69</v>
      </c>
      <c r="E936">
        <v>121</v>
      </c>
      <c r="F936">
        <v>0</v>
      </c>
      <c r="G936">
        <v>6</v>
      </c>
      <c r="H936">
        <v>1</v>
      </c>
      <c r="I936" t="s">
        <v>32</v>
      </c>
      <c r="J936">
        <v>0</v>
      </c>
      <c r="K936">
        <v>48</v>
      </c>
      <c r="L936" t="s">
        <v>24</v>
      </c>
      <c r="M936" t="s">
        <v>25</v>
      </c>
      <c r="N936" t="s">
        <v>30</v>
      </c>
      <c r="O936" t="s">
        <v>36</v>
      </c>
      <c r="P936">
        <v>2.1</v>
      </c>
      <c r="Q936" s="2" t="b">
        <f>FALSE()</f>
        <v>0</v>
      </c>
      <c r="R936">
        <v>0</v>
      </c>
    </row>
    <row r="937" spans="1:18" x14ac:dyDescent="0.25">
      <c r="A937">
        <v>200936</v>
      </c>
      <c r="B937">
        <v>51505</v>
      </c>
      <c r="C937" t="s">
        <v>28</v>
      </c>
      <c r="D937">
        <v>1154.6600000000001</v>
      </c>
      <c r="E937">
        <v>3526</v>
      </c>
      <c r="F937">
        <v>1</v>
      </c>
      <c r="G937">
        <v>4</v>
      </c>
      <c r="H937">
        <v>1</v>
      </c>
      <c r="I937" t="s">
        <v>33</v>
      </c>
      <c r="J937">
        <v>0</v>
      </c>
      <c r="K937">
        <v>67</v>
      </c>
      <c r="L937" t="s">
        <v>20</v>
      </c>
      <c r="M937" t="s">
        <v>29</v>
      </c>
      <c r="N937" t="s">
        <v>26</v>
      </c>
      <c r="O937" t="s">
        <v>36</v>
      </c>
      <c r="P937">
        <v>1.1599999999999999</v>
      </c>
      <c r="Q937" s="2" t="b">
        <f>FALSE()</f>
        <v>0</v>
      </c>
      <c r="R937">
        <v>0</v>
      </c>
    </row>
    <row r="938" spans="1:18" x14ac:dyDescent="0.25">
      <c r="A938">
        <v>200937</v>
      </c>
      <c r="B938">
        <v>55385</v>
      </c>
      <c r="C938" t="s">
        <v>28</v>
      </c>
      <c r="D938">
        <v>997.76</v>
      </c>
      <c r="E938">
        <v>2806</v>
      </c>
      <c r="F938">
        <v>3</v>
      </c>
      <c r="G938">
        <v>4</v>
      </c>
      <c r="H938">
        <v>0</v>
      </c>
      <c r="I938" t="s">
        <v>33</v>
      </c>
      <c r="J938">
        <v>1</v>
      </c>
      <c r="K938">
        <v>38</v>
      </c>
      <c r="L938" t="s">
        <v>20</v>
      </c>
      <c r="M938" t="s">
        <v>37</v>
      </c>
      <c r="N938" t="s">
        <v>22</v>
      </c>
      <c r="O938" t="s">
        <v>27</v>
      </c>
      <c r="P938">
        <v>3.75</v>
      </c>
      <c r="Q938" s="2" t="b">
        <f>FALSE()</f>
        <v>0</v>
      </c>
      <c r="R938">
        <v>1</v>
      </c>
    </row>
    <row r="939" spans="1:18" x14ac:dyDescent="0.25">
      <c r="A939">
        <v>200938</v>
      </c>
      <c r="B939">
        <v>51892</v>
      </c>
      <c r="C939" t="s">
        <v>18</v>
      </c>
      <c r="D939">
        <v>6199.62</v>
      </c>
      <c r="E939">
        <v>2532</v>
      </c>
      <c r="F939">
        <v>2</v>
      </c>
      <c r="G939">
        <v>4</v>
      </c>
      <c r="H939">
        <v>0</v>
      </c>
      <c r="I939" t="s">
        <v>19</v>
      </c>
      <c r="J939">
        <v>0</v>
      </c>
      <c r="K939">
        <v>62</v>
      </c>
      <c r="L939" t="s">
        <v>20</v>
      </c>
      <c r="M939" t="s">
        <v>37</v>
      </c>
      <c r="N939" t="s">
        <v>26</v>
      </c>
      <c r="O939" t="s">
        <v>27</v>
      </c>
      <c r="P939">
        <v>6.63</v>
      </c>
      <c r="Q939" s="2" t="b">
        <f>FALSE()</f>
        <v>0</v>
      </c>
      <c r="R939">
        <v>1</v>
      </c>
    </row>
    <row r="940" spans="1:18" x14ac:dyDescent="0.25">
      <c r="A940">
        <v>200939</v>
      </c>
      <c r="B940">
        <v>50585</v>
      </c>
      <c r="C940" t="s">
        <v>34</v>
      </c>
      <c r="D940">
        <v>2847.79</v>
      </c>
      <c r="E940">
        <v>3619</v>
      </c>
      <c r="F940">
        <v>1</v>
      </c>
      <c r="G940">
        <v>2</v>
      </c>
      <c r="H940">
        <v>1</v>
      </c>
      <c r="I940" t="s">
        <v>19</v>
      </c>
      <c r="J940">
        <v>0</v>
      </c>
      <c r="K940">
        <v>36</v>
      </c>
      <c r="L940" t="s">
        <v>20</v>
      </c>
      <c r="M940" t="s">
        <v>35</v>
      </c>
      <c r="N940" t="s">
        <v>22</v>
      </c>
      <c r="O940" t="s">
        <v>36</v>
      </c>
      <c r="P940">
        <v>1.48</v>
      </c>
      <c r="Q940" s="2" t="b">
        <f>FALSE()</f>
        <v>0</v>
      </c>
      <c r="R940">
        <v>0</v>
      </c>
    </row>
    <row r="941" spans="1:18" x14ac:dyDescent="0.25">
      <c r="A941">
        <v>200940</v>
      </c>
      <c r="B941">
        <v>51047</v>
      </c>
      <c r="C941" t="s">
        <v>18</v>
      </c>
      <c r="D941">
        <v>6277.06</v>
      </c>
      <c r="E941">
        <v>1340</v>
      </c>
      <c r="F941">
        <v>1</v>
      </c>
      <c r="G941">
        <v>5</v>
      </c>
      <c r="H941">
        <v>0</v>
      </c>
      <c r="I941" t="s">
        <v>19</v>
      </c>
      <c r="J941">
        <v>0</v>
      </c>
      <c r="K941">
        <v>44</v>
      </c>
      <c r="L941" t="s">
        <v>24</v>
      </c>
      <c r="M941" t="s">
        <v>21</v>
      </c>
      <c r="N941" t="s">
        <v>22</v>
      </c>
      <c r="O941" t="s">
        <v>27</v>
      </c>
      <c r="P941">
        <v>5.23</v>
      </c>
      <c r="Q941" s="2" t="b">
        <f>FALSE()</f>
        <v>0</v>
      </c>
      <c r="R941">
        <v>1</v>
      </c>
    </row>
    <row r="942" spans="1:18" x14ac:dyDescent="0.25">
      <c r="A942">
        <v>200941</v>
      </c>
      <c r="B942">
        <v>50528</v>
      </c>
      <c r="C942" t="s">
        <v>34</v>
      </c>
      <c r="D942">
        <v>9713.14</v>
      </c>
      <c r="E942">
        <v>1174</v>
      </c>
      <c r="F942">
        <v>0</v>
      </c>
      <c r="G942">
        <v>6</v>
      </c>
      <c r="H942">
        <v>0</v>
      </c>
      <c r="I942" t="s">
        <v>33</v>
      </c>
      <c r="J942">
        <v>0</v>
      </c>
      <c r="K942">
        <v>23</v>
      </c>
      <c r="L942" t="s">
        <v>24</v>
      </c>
      <c r="M942" t="s">
        <v>31</v>
      </c>
      <c r="N942" t="s">
        <v>26</v>
      </c>
      <c r="O942" t="s">
        <v>23</v>
      </c>
      <c r="P942">
        <v>0.84</v>
      </c>
      <c r="Q942" s="2" t="b">
        <f>TRUE()</f>
        <v>1</v>
      </c>
      <c r="R942">
        <v>1</v>
      </c>
    </row>
    <row r="943" spans="1:18" x14ac:dyDescent="0.25">
      <c r="A943">
        <v>200942</v>
      </c>
      <c r="B943">
        <v>53531</v>
      </c>
      <c r="C943" t="s">
        <v>34</v>
      </c>
      <c r="D943">
        <v>1116.1500000000001</v>
      </c>
      <c r="E943">
        <v>341</v>
      </c>
      <c r="F943">
        <v>1</v>
      </c>
      <c r="G943">
        <v>6</v>
      </c>
      <c r="H943">
        <v>1</v>
      </c>
      <c r="I943" t="s">
        <v>33</v>
      </c>
      <c r="J943">
        <v>0</v>
      </c>
      <c r="K943">
        <v>83</v>
      </c>
      <c r="L943" t="s">
        <v>24</v>
      </c>
      <c r="M943" t="s">
        <v>31</v>
      </c>
      <c r="N943" t="s">
        <v>30</v>
      </c>
      <c r="O943" t="s">
        <v>23</v>
      </c>
      <c r="P943">
        <v>3.04</v>
      </c>
      <c r="Q943" s="2" t="b">
        <f>FALSE()</f>
        <v>0</v>
      </c>
      <c r="R943">
        <v>0</v>
      </c>
    </row>
    <row r="944" spans="1:18" x14ac:dyDescent="0.25">
      <c r="A944">
        <v>200943</v>
      </c>
      <c r="B944">
        <v>55336</v>
      </c>
      <c r="C944" t="s">
        <v>34</v>
      </c>
      <c r="D944">
        <v>3415.36</v>
      </c>
      <c r="E944">
        <v>938</v>
      </c>
      <c r="F944">
        <v>0</v>
      </c>
      <c r="G944">
        <v>4</v>
      </c>
      <c r="H944">
        <v>0</v>
      </c>
      <c r="I944" t="s">
        <v>32</v>
      </c>
      <c r="J944">
        <v>0</v>
      </c>
      <c r="K944">
        <v>19</v>
      </c>
      <c r="L944" t="s">
        <v>24</v>
      </c>
      <c r="M944" t="s">
        <v>37</v>
      </c>
      <c r="N944" t="s">
        <v>22</v>
      </c>
      <c r="O944" t="s">
        <v>36</v>
      </c>
      <c r="P944">
        <v>1.21</v>
      </c>
      <c r="Q944" s="2" t="b">
        <f>FALSE()</f>
        <v>0</v>
      </c>
      <c r="R944">
        <v>0</v>
      </c>
    </row>
    <row r="945" spans="1:18" x14ac:dyDescent="0.25">
      <c r="A945">
        <v>200944</v>
      </c>
      <c r="B945">
        <v>53180</v>
      </c>
      <c r="C945" t="s">
        <v>18</v>
      </c>
      <c r="D945">
        <v>3124.66</v>
      </c>
      <c r="E945">
        <v>3438</v>
      </c>
      <c r="F945">
        <v>1</v>
      </c>
      <c r="G945">
        <v>3</v>
      </c>
      <c r="H945">
        <v>1</v>
      </c>
      <c r="I945" t="s">
        <v>19</v>
      </c>
      <c r="J945">
        <v>0</v>
      </c>
      <c r="K945">
        <v>25</v>
      </c>
      <c r="L945" t="s">
        <v>24</v>
      </c>
      <c r="M945" t="s">
        <v>21</v>
      </c>
      <c r="N945" t="s">
        <v>26</v>
      </c>
      <c r="O945" t="s">
        <v>27</v>
      </c>
      <c r="P945">
        <v>0.2</v>
      </c>
      <c r="Q945" s="2" t="b">
        <f>FALSE()</f>
        <v>0</v>
      </c>
      <c r="R945">
        <v>0</v>
      </c>
    </row>
    <row r="946" spans="1:18" x14ac:dyDescent="0.25">
      <c r="A946">
        <v>200945</v>
      </c>
      <c r="B946">
        <v>54119</v>
      </c>
      <c r="C946" t="s">
        <v>18</v>
      </c>
      <c r="D946">
        <v>5211.7299999999996</v>
      </c>
      <c r="E946">
        <v>3180</v>
      </c>
      <c r="F946">
        <v>0</v>
      </c>
      <c r="G946">
        <v>4</v>
      </c>
      <c r="H946">
        <v>0</v>
      </c>
      <c r="I946" t="s">
        <v>32</v>
      </c>
      <c r="J946">
        <v>0</v>
      </c>
      <c r="K946">
        <v>37</v>
      </c>
      <c r="L946" t="s">
        <v>24</v>
      </c>
      <c r="M946" t="s">
        <v>21</v>
      </c>
      <c r="N946" t="s">
        <v>30</v>
      </c>
      <c r="O946" t="s">
        <v>36</v>
      </c>
      <c r="P946">
        <v>12.97</v>
      </c>
      <c r="Q946" s="2" t="b">
        <f>FALSE()</f>
        <v>0</v>
      </c>
      <c r="R946">
        <v>1</v>
      </c>
    </row>
    <row r="947" spans="1:18" x14ac:dyDescent="0.25">
      <c r="A947">
        <v>200946</v>
      </c>
      <c r="B947">
        <v>51143</v>
      </c>
      <c r="C947" t="s">
        <v>28</v>
      </c>
      <c r="D947">
        <v>843.93</v>
      </c>
      <c r="E947">
        <v>2287</v>
      </c>
      <c r="F947">
        <v>1</v>
      </c>
      <c r="G947">
        <v>3</v>
      </c>
      <c r="H947">
        <v>0</v>
      </c>
      <c r="I947" t="s">
        <v>19</v>
      </c>
      <c r="J947">
        <v>1</v>
      </c>
      <c r="K947">
        <v>40</v>
      </c>
      <c r="L947" t="s">
        <v>20</v>
      </c>
      <c r="M947" t="s">
        <v>25</v>
      </c>
      <c r="N947" t="s">
        <v>22</v>
      </c>
      <c r="O947" t="s">
        <v>23</v>
      </c>
      <c r="P947">
        <v>2.2200000000000002</v>
      </c>
      <c r="Q947" s="2" t="b">
        <f>FALSE()</f>
        <v>0</v>
      </c>
      <c r="R947">
        <v>0</v>
      </c>
    </row>
    <row r="948" spans="1:18" x14ac:dyDescent="0.25">
      <c r="A948">
        <v>200947</v>
      </c>
      <c r="B948">
        <v>52807</v>
      </c>
      <c r="C948" t="s">
        <v>28</v>
      </c>
      <c r="D948">
        <v>3853.93</v>
      </c>
      <c r="E948">
        <v>1983</v>
      </c>
      <c r="F948">
        <v>0</v>
      </c>
      <c r="G948">
        <v>5</v>
      </c>
      <c r="H948">
        <v>0</v>
      </c>
      <c r="I948" t="s">
        <v>33</v>
      </c>
      <c r="J948">
        <v>0</v>
      </c>
      <c r="K948">
        <v>74</v>
      </c>
      <c r="L948" t="s">
        <v>20</v>
      </c>
      <c r="M948" t="s">
        <v>21</v>
      </c>
      <c r="N948" t="s">
        <v>30</v>
      </c>
      <c r="O948" t="s">
        <v>23</v>
      </c>
      <c r="P948">
        <v>1.21</v>
      </c>
      <c r="Q948" s="2" t="b">
        <f>FALSE()</f>
        <v>0</v>
      </c>
      <c r="R948">
        <v>1</v>
      </c>
    </row>
    <row r="949" spans="1:18" x14ac:dyDescent="0.25">
      <c r="A949">
        <v>200948</v>
      </c>
      <c r="B949">
        <v>50522</v>
      </c>
      <c r="C949" t="s">
        <v>18</v>
      </c>
      <c r="D949">
        <v>255.62</v>
      </c>
      <c r="E949">
        <v>2771</v>
      </c>
      <c r="F949">
        <v>0</v>
      </c>
      <c r="G949">
        <v>3</v>
      </c>
      <c r="H949">
        <v>0</v>
      </c>
      <c r="I949" t="s">
        <v>19</v>
      </c>
      <c r="J949">
        <v>0</v>
      </c>
      <c r="K949">
        <v>33</v>
      </c>
      <c r="L949" t="s">
        <v>24</v>
      </c>
      <c r="M949" t="s">
        <v>31</v>
      </c>
      <c r="N949" t="s">
        <v>22</v>
      </c>
      <c r="O949" t="s">
        <v>27</v>
      </c>
      <c r="P949">
        <v>1.3</v>
      </c>
      <c r="Q949" s="2" t="b">
        <f>FALSE()</f>
        <v>0</v>
      </c>
      <c r="R949">
        <v>0</v>
      </c>
    </row>
    <row r="950" spans="1:18" x14ac:dyDescent="0.25">
      <c r="A950">
        <v>200949</v>
      </c>
      <c r="B950">
        <v>52588</v>
      </c>
      <c r="C950" t="s">
        <v>34</v>
      </c>
      <c r="D950">
        <v>3359.98</v>
      </c>
      <c r="E950">
        <v>989</v>
      </c>
      <c r="F950">
        <v>0</v>
      </c>
      <c r="G950">
        <v>5</v>
      </c>
      <c r="H950">
        <v>0</v>
      </c>
      <c r="I950" t="s">
        <v>33</v>
      </c>
      <c r="J950">
        <v>1</v>
      </c>
      <c r="K950">
        <v>59</v>
      </c>
      <c r="L950" t="s">
        <v>24</v>
      </c>
      <c r="M950" t="s">
        <v>37</v>
      </c>
      <c r="N950" t="s">
        <v>30</v>
      </c>
      <c r="O950" t="s">
        <v>27</v>
      </c>
      <c r="P950">
        <v>1.51</v>
      </c>
      <c r="Q950" s="2" t="b">
        <f>FALSE()</f>
        <v>0</v>
      </c>
      <c r="R950">
        <v>0</v>
      </c>
    </row>
    <row r="951" spans="1:18" x14ac:dyDescent="0.25">
      <c r="A951">
        <v>200950</v>
      </c>
      <c r="B951">
        <v>53986</v>
      </c>
      <c r="C951" t="s">
        <v>34</v>
      </c>
      <c r="D951">
        <v>2595.0100000000002</v>
      </c>
      <c r="E951">
        <v>1384</v>
      </c>
      <c r="F951">
        <v>2</v>
      </c>
      <c r="G951">
        <v>2</v>
      </c>
      <c r="H951">
        <v>0</v>
      </c>
      <c r="I951" t="s">
        <v>33</v>
      </c>
      <c r="J951">
        <v>1</v>
      </c>
      <c r="K951">
        <v>58</v>
      </c>
      <c r="L951" t="s">
        <v>20</v>
      </c>
      <c r="M951" t="s">
        <v>29</v>
      </c>
      <c r="N951" t="s">
        <v>26</v>
      </c>
      <c r="O951" t="s">
        <v>23</v>
      </c>
      <c r="P951">
        <v>1.54</v>
      </c>
      <c r="Q951" s="2" t="b">
        <f>FALSE()</f>
        <v>0</v>
      </c>
      <c r="R951">
        <v>0</v>
      </c>
    </row>
    <row r="952" spans="1:18" x14ac:dyDescent="0.25">
      <c r="A952">
        <v>200951</v>
      </c>
      <c r="B952">
        <v>55808</v>
      </c>
      <c r="C952" t="s">
        <v>18</v>
      </c>
      <c r="D952">
        <v>3515.52</v>
      </c>
      <c r="E952">
        <v>980</v>
      </c>
      <c r="F952">
        <v>0</v>
      </c>
      <c r="G952">
        <v>3</v>
      </c>
      <c r="H952">
        <v>0</v>
      </c>
      <c r="I952" t="s">
        <v>32</v>
      </c>
      <c r="J952">
        <v>1</v>
      </c>
      <c r="K952">
        <v>31</v>
      </c>
      <c r="L952" t="s">
        <v>24</v>
      </c>
      <c r="M952" t="s">
        <v>29</v>
      </c>
      <c r="N952" t="s">
        <v>26</v>
      </c>
      <c r="O952" t="s">
        <v>27</v>
      </c>
      <c r="P952">
        <v>4.2300000000000004</v>
      </c>
      <c r="Q952" s="2" t="b">
        <f>FALSE()</f>
        <v>0</v>
      </c>
      <c r="R952">
        <v>0</v>
      </c>
    </row>
    <row r="953" spans="1:18" x14ac:dyDescent="0.25">
      <c r="A953">
        <v>200952</v>
      </c>
      <c r="B953">
        <v>50998</v>
      </c>
      <c r="C953" t="s">
        <v>34</v>
      </c>
      <c r="D953">
        <v>269.19</v>
      </c>
      <c r="E953">
        <v>2273</v>
      </c>
      <c r="F953">
        <v>1</v>
      </c>
      <c r="G953">
        <v>5</v>
      </c>
      <c r="H953">
        <v>1</v>
      </c>
      <c r="I953" t="s">
        <v>19</v>
      </c>
      <c r="J953">
        <v>0</v>
      </c>
      <c r="K953">
        <v>79</v>
      </c>
      <c r="L953" t="s">
        <v>24</v>
      </c>
      <c r="M953" t="s">
        <v>25</v>
      </c>
      <c r="N953" t="s">
        <v>30</v>
      </c>
      <c r="O953" t="s">
        <v>36</v>
      </c>
      <c r="P953">
        <v>0.84</v>
      </c>
      <c r="Q953" s="2" t="b">
        <f>FALSE()</f>
        <v>0</v>
      </c>
      <c r="R953">
        <v>0</v>
      </c>
    </row>
    <row r="954" spans="1:18" x14ac:dyDescent="0.25">
      <c r="A954">
        <v>200953</v>
      </c>
      <c r="B954">
        <v>50775</v>
      </c>
      <c r="C954" t="s">
        <v>34</v>
      </c>
      <c r="D954">
        <v>1457.49</v>
      </c>
      <c r="E954">
        <v>3519</v>
      </c>
      <c r="F954">
        <v>2</v>
      </c>
      <c r="G954">
        <v>5</v>
      </c>
      <c r="H954">
        <v>0</v>
      </c>
      <c r="I954" t="s">
        <v>33</v>
      </c>
      <c r="J954">
        <v>0</v>
      </c>
      <c r="K954">
        <v>55</v>
      </c>
      <c r="L954" t="s">
        <v>20</v>
      </c>
      <c r="M954" t="s">
        <v>37</v>
      </c>
      <c r="N954" t="s">
        <v>26</v>
      </c>
      <c r="O954" t="s">
        <v>23</v>
      </c>
      <c r="P954">
        <v>0.73</v>
      </c>
      <c r="Q954" s="2" t="b">
        <f>FALSE()</f>
        <v>0</v>
      </c>
      <c r="R954">
        <v>0</v>
      </c>
    </row>
    <row r="955" spans="1:18" x14ac:dyDescent="0.25">
      <c r="A955">
        <v>200954</v>
      </c>
      <c r="B955">
        <v>55354</v>
      </c>
      <c r="C955" t="s">
        <v>18</v>
      </c>
      <c r="D955">
        <v>5931.81</v>
      </c>
      <c r="E955">
        <v>2492</v>
      </c>
      <c r="F955">
        <v>2</v>
      </c>
      <c r="G955">
        <v>3</v>
      </c>
      <c r="H955">
        <v>0</v>
      </c>
      <c r="I955" t="s">
        <v>33</v>
      </c>
      <c r="J955">
        <v>0</v>
      </c>
      <c r="K955">
        <v>32</v>
      </c>
      <c r="L955" t="s">
        <v>24</v>
      </c>
      <c r="M955" t="s">
        <v>29</v>
      </c>
      <c r="N955" t="s">
        <v>22</v>
      </c>
      <c r="O955" t="s">
        <v>36</v>
      </c>
      <c r="P955">
        <v>2.29</v>
      </c>
      <c r="Q955" s="2" t="b">
        <f>FALSE()</f>
        <v>0</v>
      </c>
      <c r="R955">
        <v>1</v>
      </c>
    </row>
    <row r="956" spans="1:18" x14ac:dyDescent="0.25">
      <c r="A956">
        <v>200955</v>
      </c>
      <c r="B956">
        <v>52044</v>
      </c>
      <c r="C956" t="s">
        <v>18</v>
      </c>
      <c r="D956">
        <v>2419</v>
      </c>
      <c r="E956">
        <v>2277</v>
      </c>
      <c r="F956">
        <v>0</v>
      </c>
      <c r="G956">
        <v>5</v>
      </c>
      <c r="H956">
        <v>0</v>
      </c>
      <c r="I956" t="s">
        <v>33</v>
      </c>
      <c r="J956">
        <v>0</v>
      </c>
      <c r="K956">
        <v>75</v>
      </c>
      <c r="L956" t="s">
        <v>24</v>
      </c>
      <c r="M956" t="s">
        <v>37</v>
      </c>
      <c r="N956" t="s">
        <v>26</v>
      </c>
      <c r="O956" t="s">
        <v>27</v>
      </c>
      <c r="P956">
        <v>2.72</v>
      </c>
      <c r="Q956" s="2" t="b">
        <f>FALSE()</f>
        <v>0</v>
      </c>
      <c r="R956">
        <v>0</v>
      </c>
    </row>
    <row r="957" spans="1:18" x14ac:dyDescent="0.25">
      <c r="A957">
        <v>200956</v>
      </c>
      <c r="B957">
        <v>55875</v>
      </c>
      <c r="C957" t="s">
        <v>28</v>
      </c>
      <c r="D957">
        <v>1774.73</v>
      </c>
      <c r="E957">
        <v>879</v>
      </c>
      <c r="F957">
        <v>1</v>
      </c>
      <c r="G957">
        <v>5</v>
      </c>
      <c r="H957">
        <v>1</v>
      </c>
      <c r="I957" t="s">
        <v>32</v>
      </c>
      <c r="J957">
        <v>0</v>
      </c>
      <c r="K957">
        <v>67</v>
      </c>
      <c r="L957" t="s">
        <v>20</v>
      </c>
      <c r="M957" t="s">
        <v>29</v>
      </c>
      <c r="N957" t="s">
        <v>30</v>
      </c>
      <c r="O957" t="s">
        <v>36</v>
      </c>
      <c r="P957">
        <v>0.7</v>
      </c>
      <c r="Q957" s="2" t="b">
        <f>FALSE()</f>
        <v>0</v>
      </c>
      <c r="R957">
        <v>0</v>
      </c>
    </row>
    <row r="958" spans="1:18" x14ac:dyDescent="0.25">
      <c r="A958">
        <v>200957</v>
      </c>
      <c r="B958">
        <v>50988</v>
      </c>
      <c r="C958" t="s">
        <v>18</v>
      </c>
      <c r="D958">
        <v>2481.4699999999998</v>
      </c>
      <c r="E958">
        <v>3376</v>
      </c>
      <c r="F958">
        <v>3</v>
      </c>
      <c r="G958">
        <v>5</v>
      </c>
      <c r="H958">
        <v>0</v>
      </c>
      <c r="I958" t="s">
        <v>33</v>
      </c>
      <c r="J958">
        <v>1</v>
      </c>
      <c r="K958">
        <v>65</v>
      </c>
      <c r="L958" t="s">
        <v>24</v>
      </c>
      <c r="M958" t="s">
        <v>21</v>
      </c>
      <c r="N958" t="s">
        <v>22</v>
      </c>
      <c r="O958" t="s">
        <v>36</v>
      </c>
      <c r="P958">
        <v>4.6399999999999997</v>
      </c>
      <c r="Q958" s="2" t="b">
        <f>FALSE()</f>
        <v>0</v>
      </c>
      <c r="R958">
        <v>1</v>
      </c>
    </row>
    <row r="959" spans="1:18" x14ac:dyDescent="0.25">
      <c r="A959">
        <v>200958</v>
      </c>
      <c r="B959">
        <v>52486</v>
      </c>
      <c r="C959" t="s">
        <v>18</v>
      </c>
      <c r="D959">
        <v>5568.58</v>
      </c>
      <c r="E959">
        <v>2566</v>
      </c>
      <c r="F959">
        <v>2</v>
      </c>
      <c r="G959">
        <v>5</v>
      </c>
      <c r="H959">
        <v>0</v>
      </c>
      <c r="I959" t="s">
        <v>33</v>
      </c>
      <c r="J959">
        <v>0</v>
      </c>
      <c r="K959">
        <v>31</v>
      </c>
      <c r="L959" t="s">
        <v>20</v>
      </c>
      <c r="M959" t="s">
        <v>25</v>
      </c>
      <c r="N959" t="s">
        <v>22</v>
      </c>
      <c r="O959" t="s">
        <v>36</v>
      </c>
      <c r="P959">
        <v>0.53</v>
      </c>
      <c r="Q959" s="2" t="b">
        <f>FALSE()</f>
        <v>0</v>
      </c>
      <c r="R959">
        <v>1</v>
      </c>
    </row>
    <row r="960" spans="1:18" x14ac:dyDescent="0.25">
      <c r="A960">
        <v>200959</v>
      </c>
      <c r="B960">
        <v>52957</v>
      </c>
      <c r="C960" t="s">
        <v>34</v>
      </c>
      <c r="D960">
        <v>3753.93</v>
      </c>
      <c r="E960">
        <v>1841</v>
      </c>
      <c r="F960">
        <v>1</v>
      </c>
      <c r="G960">
        <v>2</v>
      </c>
      <c r="H960">
        <v>0</v>
      </c>
      <c r="I960" t="s">
        <v>33</v>
      </c>
      <c r="J960">
        <v>0</v>
      </c>
      <c r="K960">
        <v>24</v>
      </c>
      <c r="L960" t="s">
        <v>20</v>
      </c>
      <c r="M960" t="s">
        <v>37</v>
      </c>
      <c r="N960" t="s">
        <v>22</v>
      </c>
      <c r="O960" t="s">
        <v>23</v>
      </c>
      <c r="P960">
        <v>2.37</v>
      </c>
      <c r="Q960" s="2" t="b">
        <f>FALSE()</f>
        <v>0</v>
      </c>
      <c r="R960">
        <v>1</v>
      </c>
    </row>
    <row r="961" spans="1:18" x14ac:dyDescent="0.25">
      <c r="A961">
        <v>200960</v>
      </c>
      <c r="B961">
        <v>55898</v>
      </c>
      <c r="C961" t="s">
        <v>18</v>
      </c>
      <c r="D961">
        <v>1476.89</v>
      </c>
      <c r="E961">
        <v>1640</v>
      </c>
      <c r="F961">
        <v>2</v>
      </c>
      <c r="G961">
        <v>1</v>
      </c>
      <c r="H961">
        <v>1</v>
      </c>
      <c r="I961" t="s">
        <v>33</v>
      </c>
      <c r="J961">
        <v>0</v>
      </c>
      <c r="K961">
        <v>41</v>
      </c>
      <c r="L961" t="s">
        <v>20</v>
      </c>
      <c r="M961" t="s">
        <v>35</v>
      </c>
      <c r="N961" t="s">
        <v>26</v>
      </c>
      <c r="O961" t="s">
        <v>27</v>
      </c>
      <c r="P961">
        <v>9.85</v>
      </c>
      <c r="Q961" s="2" t="b">
        <f>FALSE()</f>
        <v>0</v>
      </c>
      <c r="R961">
        <v>0</v>
      </c>
    </row>
    <row r="962" spans="1:18" x14ac:dyDescent="0.25">
      <c r="A962">
        <v>200961</v>
      </c>
      <c r="B962">
        <v>51334</v>
      </c>
      <c r="C962" t="s">
        <v>18</v>
      </c>
      <c r="D962">
        <v>1737.49</v>
      </c>
      <c r="E962">
        <v>2812</v>
      </c>
      <c r="F962">
        <v>0</v>
      </c>
      <c r="G962">
        <v>4</v>
      </c>
      <c r="H962">
        <v>0</v>
      </c>
      <c r="I962" t="s">
        <v>19</v>
      </c>
      <c r="J962">
        <v>1</v>
      </c>
      <c r="K962">
        <v>57</v>
      </c>
      <c r="L962" t="s">
        <v>24</v>
      </c>
      <c r="M962" t="s">
        <v>21</v>
      </c>
      <c r="N962" t="s">
        <v>30</v>
      </c>
      <c r="O962" t="s">
        <v>27</v>
      </c>
      <c r="P962">
        <v>3.69</v>
      </c>
      <c r="Q962" s="2" t="b">
        <f>FALSE()</f>
        <v>0</v>
      </c>
      <c r="R962">
        <v>0</v>
      </c>
    </row>
    <row r="963" spans="1:18" x14ac:dyDescent="0.25">
      <c r="A963">
        <v>200962</v>
      </c>
      <c r="B963">
        <v>50824</v>
      </c>
      <c r="C963" t="s">
        <v>34</v>
      </c>
      <c r="D963">
        <v>3389.39</v>
      </c>
      <c r="E963">
        <v>74</v>
      </c>
      <c r="F963">
        <v>3</v>
      </c>
      <c r="G963">
        <v>7</v>
      </c>
      <c r="H963">
        <v>1</v>
      </c>
      <c r="I963" t="s">
        <v>33</v>
      </c>
      <c r="J963">
        <v>0</v>
      </c>
      <c r="K963">
        <v>36</v>
      </c>
      <c r="L963" t="s">
        <v>38</v>
      </c>
      <c r="M963" t="s">
        <v>37</v>
      </c>
      <c r="N963" t="s">
        <v>22</v>
      </c>
      <c r="O963" t="s">
        <v>27</v>
      </c>
      <c r="P963">
        <v>0.91</v>
      </c>
      <c r="Q963" s="2" t="b">
        <f>FALSE()</f>
        <v>0</v>
      </c>
      <c r="R963">
        <v>1</v>
      </c>
    </row>
    <row r="964" spans="1:18" x14ac:dyDescent="0.25">
      <c r="A964">
        <v>200963</v>
      </c>
      <c r="B964">
        <v>53118</v>
      </c>
      <c r="C964" t="s">
        <v>34</v>
      </c>
      <c r="D964">
        <v>864.11</v>
      </c>
      <c r="E964">
        <v>1095</v>
      </c>
      <c r="F964">
        <v>1</v>
      </c>
      <c r="G964">
        <v>5</v>
      </c>
      <c r="H964">
        <v>1</v>
      </c>
      <c r="I964" t="s">
        <v>33</v>
      </c>
      <c r="J964">
        <v>0</v>
      </c>
      <c r="K964">
        <v>19</v>
      </c>
      <c r="L964" t="s">
        <v>20</v>
      </c>
      <c r="M964" t="s">
        <v>25</v>
      </c>
      <c r="N964" t="s">
        <v>26</v>
      </c>
      <c r="O964" t="s">
        <v>23</v>
      </c>
      <c r="P964">
        <v>3.8</v>
      </c>
      <c r="Q964" s="2" t="b">
        <f>FALSE()</f>
        <v>0</v>
      </c>
      <c r="R964">
        <v>0</v>
      </c>
    </row>
    <row r="965" spans="1:18" x14ac:dyDescent="0.25">
      <c r="A965">
        <v>200964</v>
      </c>
      <c r="B965">
        <v>50280</v>
      </c>
      <c r="C965" t="s">
        <v>28</v>
      </c>
      <c r="D965">
        <v>3174.04</v>
      </c>
      <c r="E965">
        <v>3227</v>
      </c>
      <c r="F965">
        <v>0</v>
      </c>
      <c r="G965">
        <v>6</v>
      </c>
      <c r="H965">
        <v>0</v>
      </c>
      <c r="I965" t="s">
        <v>32</v>
      </c>
      <c r="J965">
        <v>0</v>
      </c>
      <c r="K965">
        <v>41</v>
      </c>
      <c r="L965" t="s">
        <v>20</v>
      </c>
      <c r="M965" t="s">
        <v>31</v>
      </c>
      <c r="N965" t="s">
        <v>22</v>
      </c>
      <c r="O965" t="s">
        <v>36</v>
      </c>
      <c r="P965">
        <v>5.29</v>
      </c>
      <c r="Q965" s="2" t="b">
        <f>FALSE()</f>
        <v>0</v>
      </c>
      <c r="R965">
        <v>0</v>
      </c>
    </row>
    <row r="966" spans="1:18" x14ac:dyDescent="0.25">
      <c r="A966">
        <v>200965</v>
      </c>
      <c r="B966">
        <v>51151</v>
      </c>
      <c r="C966" t="s">
        <v>18</v>
      </c>
      <c r="D966">
        <v>1422.88</v>
      </c>
      <c r="E966">
        <v>1819</v>
      </c>
      <c r="F966">
        <v>2</v>
      </c>
      <c r="G966">
        <v>4</v>
      </c>
      <c r="H966">
        <v>0</v>
      </c>
      <c r="I966" t="s">
        <v>19</v>
      </c>
      <c r="J966">
        <v>1</v>
      </c>
      <c r="K966">
        <v>30</v>
      </c>
      <c r="L966" t="s">
        <v>24</v>
      </c>
      <c r="M966" t="s">
        <v>31</v>
      </c>
      <c r="N966" t="s">
        <v>26</v>
      </c>
      <c r="O966" t="s">
        <v>36</v>
      </c>
      <c r="P966">
        <v>3.69</v>
      </c>
      <c r="Q966" s="2" t="b">
        <f>FALSE()</f>
        <v>0</v>
      </c>
      <c r="R966">
        <v>0</v>
      </c>
    </row>
    <row r="967" spans="1:18" x14ac:dyDescent="0.25">
      <c r="A967">
        <v>200966</v>
      </c>
      <c r="B967">
        <v>51199</v>
      </c>
      <c r="C967" t="s">
        <v>18</v>
      </c>
      <c r="D967">
        <v>5906.92</v>
      </c>
      <c r="E967">
        <v>2836</v>
      </c>
      <c r="F967">
        <v>2</v>
      </c>
      <c r="G967">
        <v>1</v>
      </c>
      <c r="H967">
        <v>0</v>
      </c>
      <c r="I967" t="s">
        <v>33</v>
      </c>
      <c r="J967">
        <v>0</v>
      </c>
      <c r="K967">
        <v>27</v>
      </c>
      <c r="L967" t="s">
        <v>20</v>
      </c>
      <c r="M967" t="s">
        <v>21</v>
      </c>
      <c r="N967" t="s">
        <v>26</v>
      </c>
      <c r="O967" t="s">
        <v>36</v>
      </c>
      <c r="P967">
        <v>3.26</v>
      </c>
      <c r="Q967" s="2" t="b">
        <f>FALSE()</f>
        <v>0</v>
      </c>
      <c r="R967">
        <v>1</v>
      </c>
    </row>
    <row r="968" spans="1:18" x14ac:dyDescent="0.25">
      <c r="A968">
        <v>200967</v>
      </c>
      <c r="B968">
        <v>52098</v>
      </c>
      <c r="C968" t="s">
        <v>18</v>
      </c>
      <c r="D968">
        <v>1402.42</v>
      </c>
      <c r="E968">
        <v>1612</v>
      </c>
      <c r="F968">
        <v>1</v>
      </c>
      <c r="G968">
        <v>2</v>
      </c>
      <c r="H968">
        <v>0</v>
      </c>
      <c r="I968" t="s">
        <v>33</v>
      </c>
      <c r="J968">
        <v>1</v>
      </c>
      <c r="K968">
        <v>75</v>
      </c>
      <c r="L968" t="s">
        <v>20</v>
      </c>
      <c r="M968" t="s">
        <v>37</v>
      </c>
      <c r="N968" t="s">
        <v>26</v>
      </c>
      <c r="O968" t="s">
        <v>23</v>
      </c>
      <c r="P968">
        <v>1.39</v>
      </c>
      <c r="Q968" s="2" t="b">
        <f>FALSE()</f>
        <v>0</v>
      </c>
      <c r="R968">
        <v>0</v>
      </c>
    </row>
    <row r="969" spans="1:18" x14ac:dyDescent="0.25">
      <c r="A969">
        <v>200968</v>
      </c>
      <c r="B969">
        <v>55081</v>
      </c>
      <c r="C969" t="s">
        <v>18</v>
      </c>
      <c r="D969">
        <v>404.49</v>
      </c>
      <c r="E969">
        <v>1427</v>
      </c>
      <c r="F969">
        <v>0</v>
      </c>
      <c r="G969">
        <v>3</v>
      </c>
      <c r="H969">
        <v>1</v>
      </c>
      <c r="I969" t="s">
        <v>33</v>
      </c>
      <c r="J969">
        <v>0</v>
      </c>
      <c r="K969">
        <v>31</v>
      </c>
      <c r="L969" t="s">
        <v>20</v>
      </c>
      <c r="M969" t="s">
        <v>35</v>
      </c>
      <c r="N969" t="s">
        <v>30</v>
      </c>
      <c r="O969" t="s">
        <v>27</v>
      </c>
      <c r="P969">
        <v>0.91</v>
      </c>
      <c r="Q969" s="2" t="b">
        <f>FALSE()</f>
        <v>0</v>
      </c>
      <c r="R969">
        <v>0</v>
      </c>
    </row>
    <row r="970" spans="1:18" x14ac:dyDescent="0.25">
      <c r="A970">
        <v>200969</v>
      </c>
      <c r="B970">
        <v>55200</v>
      </c>
      <c r="C970" t="s">
        <v>34</v>
      </c>
      <c r="D970">
        <v>784.2</v>
      </c>
      <c r="E970">
        <v>2725</v>
      </c>
      <c r="F970">
        <v>1</v>
      </c>
      <c r="G970">
        <v>3</v>
      </c>
      <c r="H970">
        <v>0</v>
      </c>
      <c r="I970" t="s">
        <v>33</v>
      </c>
      <c r="J970">
        <v>1</v>
      </c>
      <c r="K970">
        <v>56</v>
      </c>
      <c r="L970" t="s">
        <v>20</v>
      </c>
      <c r="M970" t="s">
        <v>29</v>
      </c>
      <c r="N970" t="s">
        <v>22</v>
      </c>
      <c r="O970" t="s">
        <v>36</v>
      </c>
      <c r="P970">
        <v>3.43</v>
      </c>
      <c r="Q970" s="2" t="b">
        <f>FALSE()</f>
        <v>0</v>
      </c>
      <c r="R970">
        <v>0</v>
      </c>
    </row>
    <row r="971" spans="1:18" x14ac:dyDescent="0.25">
      <c r="A971">
        <v>200970</v>
      </c>
      <c r="B971">
        <v>50726</v>
      </c>
      <c r="C971" t="s">
        <v>34</v>
      </c>
      <c r="D971">
        <v>3649.65</v>
      </c>
      <c r="E971">
        <v>2367</v>
      </c>
      <c r="F971">
        <v>0</v>
      </c>
      <c r="G971">
        <v>3</v>
      </c>
      <c r="H971">
        <v>1</v>
      </c>
      <c r="I971" t="s">
        <v>19</v>
      </c>
      <c r="J971">
        <v>0</v>
      </c>
      <c r="K971">
        <v>22</v>
      </c>
      <c r="L971" t="s">
        <v>20</v>
      </c>
      <c r="M971" t="s">
        <v>25</v>
      </c>
      <c r="N971" t="s">
        <v>30</v>
      </c>
      <c r="O971" t="s">
        <v>23</v>
      </c>
      <c r="P971">
        <v>8.92</v>
      </c>
      <c r="Q971" s="2" t="b">
        <f>FALSE()</f>
        <v>0</v>
      </c>
      <c r="R971">
        <v>1</v>
      </c>
    </row>
    <row r="972" spans="1:18" x14ac:dyDescent="0.25">
      <c r="A972">
        <v>200971</v>
      </c>
      <c r="B972">
        <v>52126</v>
      </c>
      <c r="C972" t="s">
        <v>18</v>
      </c>
      <c r="D972">
        <v>601.07000000000005</v>
      </c>
      <c r="E972">
        <v>1356</v>
      </c>
      <c r="F972">
        <v>2</v>
      </c>
      <c r="G972">
        <v>7</v>
      </c>
      <c r="H972">
        <v>0</v>
      </c>
      <c r="I972" t="s">
        <v>33</v>
      </c>
      <c r="J972">
        <v>0</v>
      </c>
      <c r="K972">
        <v>56</v>
      </c>
      <c r="L972" t="s">
        <v>20</v>
      </c>
      <c r="M972" t="s">
        <v>29</v>
      </c>
      <c r="N972" t="s">
        <v>30</v>
      </c>
      <c r="O972" t="s">
        <v>36</v>
      </c>
      <c r="P972">
        <v>2.52</v>
      </c>
      <c r="Q972" s="2" t="b">
        <f>FALSE()</f>
        <v>0</v>
      </c>
      <c r="R972">
        <v>1</v>
      </c>
    </row>
    <row r="973" spans="1:18" x14ac:dyDescent="0.25">
      <c r="A973">
        <v>200972</v>
      </c>
      <c r="B973">
        <v>51365</v>
      </c>
      <c r="C973" t="s">
        <v>18</v>
      </c>
      <c r="D973">
        <v>267.44</v>
      </c>
      <c r="E973">
        <v>1338</v>
      </c>
      <c r="F973">
        <v>3</v>
      </c>
      <c r="G973">
        <v>5</v>
      </c>
      <c r="H973">
        <v>0</v>
      </c>
      <c r="I973" t="s">
        <v>33</v>
      </c>
      <c r="J973">
        <v>0</v>
      </c>
      <c r="K973">
        <v>67</v>
      </c>
      <c r="L973" t="s">
        <v>20</v>
      </c>
      <c r="M973" t="s">
        <v>35</v>
      </c>
      <c r="N973" t="s">
        <v>22</v>
      </c>
      <c r="O973" t="s">
        <v>23</v>
      </c>
      <c r="P973">
        <v>0.04</v>
      </c>
      <c r="Q973" s="2" t="b">
        <f>FALSE()</f>
        <v>0</v>
      </c>
      <c r="R973">
        <v>1</v>
      </c>
    </row>
    <row r="974" spans="1:18" x14ac:dyDescent="0.25">
      <c r="A974">
        <v>200973</v>
      </c>
      <c r="B974">
        <v>50914</v>
      </c>
      <c r="C974" t="s">
        <v>18</v>
      </c>
      <c r="D974">
        <v>4752.3599999999997</v>
      </c>
      <c r="E974">
        <v>162</v>
      </c>
      <c r="F974">
        <v>0</v>
      </c>
      <c r="G974">
        <v>3</v>
      </c>
      <c r="H974">
        <v>0</v>
      </c>
      <c r="I974" t="s">
        <v>33</v>
      </c>
      <c r="J974">
        <v>0</v>
      </c>
      <c r="K974">
        <v>46</v>
      </c>
      <c r="L974" t="s">
        <v>24</v>
      </c>
      <c r="M974" t="s">
        <v>31</v>
      </c>
      <c r="N974" t="s">
        <v>22</v>
      </c>
      <c r="O974" t="s">
        <v>27</v>
      </c>
      <c r="P974">
        <v>1.04</v>
      </c>
      <c r="Q974" s="2" t="b">
        <f>FALSE()</f>
        <v>0</v>
      </c>
      <c r="R974">
        <v>1</v>
      </c>
    </row>
    <row r="975" spans="1:18" x14ac:dyDescent="0.25">
      <c r="A975">
        <v>200974</v>
      </c>
      <c r="B975">
        <v>52995</v>
      </c>
      <c r="C975" t="s">
        <v>18</v>
      </c>
      <c r="D975">
        <v>1544.47</v>
      </c>
      <c r="E975">
        <v>537</v>
      </c>
      <c r="F975">
        <v>0</v>
      </c>
      <c r="G975">
        <v>2</v>
      </c>
      <c r="H975">
        <v>0</v>
      </c>
      <c r="I975" t="s">
        <v>33</v>
      </c>
      <c r="J975">
        <v>1</v>
      </c>
      <c r="K975">
        <v>57</v>
      </c>
      <c r="L975" t="s">
        <v>24</v>
      </c>
      <c r="M975" t="s">
        <v>37</v>
      </c>
      <c r="N975" t="s">
        <v>30</v>
      </c>
      <c r="O975" t="s">
        <v>27</v>
      </c>
      <c r="P975">
        <v>1.6</v>
      </c>
      <c r="Q975" s="2" t="b">
        <f>FALSE()</f>
        <v>0</v>
      </c>
      <c r="R975">
        <v>0</v>
      </c>
    </row>
    <row r="976" spans="1:18" x14ac:dyDescent="0.25">
      <c r="A976">
        <v>200975</v>
      </c>
      <c r="B976">
        <v>55327</v>
      </c>
      <c r="C976" t="s">
        <v>34</v>
      </c>
      <c r="D976">
        <v>2991.81</v>
      </c>
      <c r="E976">
        <v>1165</v>
      </c>
      <c r="F976">
        <v>2</v>
      </c>
      <c r="G976">
        <v>7</v>
      </c>
      <c r="H976">
        <v>1</v>
      </c>
      <c r="I976" t="s">
        <v>32</v>
      </c>
      <c r="J976">
        <v>0</v>
      </c>
      <c r="K976">
        <v>77</v>
      </c>
      <c r="L976" t="s">
        <v>20</v>
      </c>
      <c r="M976" t="s">
        <v>29</v>
      </c>
      <c r="N976" t="s">
        <v>22</v>
      </c>
      <c r="O976" t="s">
        <v>27</v>
      </c>
      <c r="P976">
        <v>4.76</v>
      </c>
      <c r="Q976" s="2" t="b">
        <f>FALSE()</f>
        <v>0</v>
      </c>
      <c r="R976">
        <v>1</v>
      </c>
    </row>
    <row r="977" spans="1:18" x14ac:dyDescent="0.25">
      <c r="A977">
        <v>200976</v>
      </c>
      <c r="B977">
        <v>54008</v>
      </c>
      <c r="C977" t="s">
        <v>34</v>
      </c>
      <c r="D977">
        <v>272.31</v>
      </c>
      <c r="E977">
        <v>271</v>
      </c>
      <c r="F977">
        <v>3</v>
      </c>
      <c r="G977">
        <v>4</v>
      </c>
      <c r="H977">
        <v>0</v>
      </c>
      <c r="I977" t="s">
        <v>32</v>
      </c>
      <c r="J977">
        <v>0</v>
      </c>
      <c r="K977">
        <v>53</v>
      </c>
      <c r="L977" t="s">
        <v>20</v>
      </c>
      <c r="M977" t="s">
        <v>25</v>
      </c>
      <c r="N977" t="s">
        <v>22</v>
      </c>
      <c r="O977" t="s">
        <v>27</v>
      </c>
      <c r="P977">
        <v>0.54</v>
      </c>
      <c r="Q977" s="2" t="b">
        <f>FALSE()</f>
        <v>0</v>
      </c>
      <c r="R977">
        <v>1</v>
      </c>
    </row>
    <row r="978" spans="1:18" x14ac:dyDescent="0.25">
      <c r="A978">
        <v>200977</v>
      </c>
      <c r="B978">
        <v>52454</v>
      </c>
      <c r="C978" t="s">
        <v>34</v>
      </c>
      <c r="D978">
        <v>2093.7199999999998</v>
      </c>
      <c r="E978">
        <v>285</v>
      </c>
      <c r="F978">
        <v>0</v>
      </c>
      <c r="G978">
        <v>2</v>
      </c>
      <c r="H978">
        <v>0</v>
      </c>
      <c r="I978" t="s">
        <v>33</v>
      </c>
      <c r="J978">
        <v>0</v>
      </c>
      <c r="K978">
        <v>64</v>
      </c>
      <c r="L978" t="s">
        <v>20</v>
      </c>
      <c r="M978" t="s">
        <v>31</v>
      </c>
      <c r="N978" t="s">
        <v>30</v>
      </c>
      <c r="O978" t="s">
        <v>27</v>
      </c>
      <c r="P978">
        <v>2.08</v>
      </c>
      <c r="Q978" s="2" t="b">
        <f>FALSE()</f>
        <v>0</v>
      </c>
      <c r="R978">
        <v>0</v>
      </c>
    </row>
    <row r="979" spans="1:18" x14ac:dyDescent="0.25">
      <c r="A979">
        <v>200978</v>
      </c>
      <c r="B979">
        <v>55302</v>
      </c>
      <c r="C979" t="s">
        <v>18</v>
      </c>
      <c r="D979">
        <v>5910.63</v>
      </c>
      <c r="E979">
        <v>2294</v>
      </c>
      <c r="F979">
        <v>0</v>
      </c>
      <c r="G979">
        <v>1</v>
      </c>
      <c r="H979">
        <v>1</v>
      </c>
      <c r="I979" t="s">
        <v>19</v>
      </c>
      <c r="J979">
        <v>0</v>
      </c>
      <c r="K979">
        <v>72</v>
      </c>
      <c r="L979" t="s">
        <v>20</v>
      </c>
      <c r="M979" t="s">
        <v>35</v>
      </c>
      <c r="N979" t="s">
        <v>22</v>
      </c>
      <c r="O979" t="s">
        <v>23</v>
      </c>
      <c r="P979">
        <v>3.48</v>
      </c>
      <c r="Q979" s="2" t="b">
        <f>FALSE()</f>
        <v>0</v>
      </c>
      <c r="R979">
        <v>1</v>
      </c>
    </row>
    <row r="980" spans="1:18" x14ac:dyDescent="0.25">
      <c r="A980">
        <v>200979</v>
      </c>
      <c r="B980">
        <v>55211</v>
      </c>
      <c r="C980" t="s">
        <v>18</v>
      </c>
      <c r="D980">
        <v>2929.5</v>
      </c>
      <c r="E980">
        <v>522</v>
      </c>
      <c r="F980">
        <v>1</v>
      </c>
      <c r="G980">
        <v>3</v>
      </c>
      <c r="H980">
        <v>1</v>
      </c>
      <c r="I980" t="s">
        <v>33</v>
      </c>
      <c r="J980">
        <v>0</v>
      </c>
      <c r="K980">
        <v>32</v>
      </c>
      <c r="L980" t="s">
        <v>20</v>
      </c>
      <c r="M980" t="s">
        <v>31</v>
      </c>
      <c r="N980" t="s">
        <v>26</v>
      </c>
      <c r="O980" t="s">
        <v>27</v>
      </c>
      <c r="P980">
        <v>1.24</v>
      </c>
      <c r="Q980" s="2" t="b">
        <f>FALSE()</f>
        <v>0</v>
      </c>
      <c r="R980">
        <v>0</v>
      </c>
    </row>
    <row r="981" spans="1:18" x14ac:dyDescent="0.25">
      <c r="A981">
        <v>200980</v>
      </c>
      <c r="B981">
        <v>52973</v>
      </c>
      <c r="C981" t="s">
        <v>18</v>
      </c>
      <c r="D981">
        <v>2418.46</v>
      </c>
      <c r="E981">
        <v>1070</v>
      </c>
      <c r="F981">
        <v>1</v>
      </c>
      <c r="G981">
        <v>6</v>
      </c>
      <c r="H981">
        <v>0</v>
      </c>
      <c r="I981" t="s">
        <v>32</v>
      </c>
      <c r="J981">
        <v>0</v>
      </c>
      <c r="K981">
        <v>34</v>
      </c>
      <c r="L981" t="s">
        <v>20</v>
      </c>
      <c r="M981" t="s">
        <v>29</v>
      </c>
      <c r="N981" t="s">
        <v>26</v>
      </c>
      <c r="O981" t="s">
        <v>36</v>
      </c>
      <c r="P981">
        <v>2.06</v>
      </c>
      <c r="Q981" s="2" t="b">
        <f>FALSE()</f>
        <v>0</v>
      </c>
      <c r="R981">
        <v>0</v>
      </c>
    </row>
    <row r="982" spans="1:18" x14ac:dyDescent="0.25">
      <c r="A982">
        <v>200981</v>
      </c>
      <c r="B982">
        <v>52820</v>
      </c>
      <c r="C982" t="s">
        <v>34</v>
      </c>
      <c r="D982">
        <v>4798.33</v>
      </c>
      <c r="E982">
        <v>1506</v>
      </c>
      <c r="F982">
        <v>0</v>
      </c>
      <c r="G982">
        <v>4</v>
      </c>
      <c r="H982">
        <v>0</v>
      </c>
      <c r="I982" t="s">
        <v>33</v>
      </c>
      <c r="J982">
        <v>0</v>
      </c>
      <c r="K982">
        <v>41</v>
      </c>
      <c r="L982" t="s">
        <v>24</v>
      </c>
      <c r="M982" t="s">
        <v>29</v>
      </c>
      <c r="N982" t="s">
        <v>22</v>
      </c>
      <c r="O982" t="s">
        <v>27</v>
      </c>
      <c r="P982">
        <v>0.38</v>
      </c>
      <c r="Q982" s="2" t="b">
        <f>FALSE()</f>
        <v>0</v>
      </c>
      <c r="R982">
        <v>1</v>
      </c>
    </row>
    <row r="983" spans="1:18" x14ac:dyDescent="0.25">
      <c r="A983">
        <v>200982</v>
      </c>
      <c r="B983">
        <v>50873</v>
      </c>
      <c r="C983" t="s">
        <v>34</v>
      </c>
      <c r="D983">
        <v>2086.7800000000002</v>
      </c>
      <c r="E983">
        <v>2611</v>
      </c>
      <c r="F983">
        <v>0</v>
      </c>
      <c r="G983">
        <v>1</v>
      </c>
      <c r="H983">
        <v>1</v>
      </c>
      <c r="I983" t="s">
        <v>19</v>
      </c>
      <c r="J983">
        <v>0</v>
      </c>
      <c r="K983">
        <v>74</v>
      </c>
      <c r="L983" t="s">
        <v>24</v>
      </c>
      <c r="M983" t="s">
        <v>31</v>
      </c>
      <c r="N983" t="s">
        <v>30</v>
      </c>
      <c r="O983" t="s">
        <v>23</v>
      </c>
      <c r="P983">
        <v>0.17</v>
      </c>
      <c r="Q983" s="2" t="b">
        <f>FALSE()</f>
        <v>0</v>
      </c>
      <c r="R983">
        <v>0</v>
      </c>
    </row>
    <row r="984" spans="1:18" x14ac:dyDescent="0.25">
      <c r="A984">
        <v>200983</v>
      </c>
      <c r="B984">
        <v>51037</v>
      </c>
      <c r="C984" t="s">
        <v>28</v>
      </c>
      <c r="D984">
        <v>8750.84</v>
      </c>
      <c r="E984">
        <v>3098</v>
      </c>
      <c r="F984">
        <v>1</v>
      </c>
      <c r="G984">
        <v>5</v>
      </c>
      <c r="H984">
        <v>0</v>
      </c>
      <c r="I984" t="s">
        <v>19</v>
      </c>
      <c r="J984">
        <v>0</v>
      </c>
      <c r="K984">
        <v>80</v>
      </c>
      <c r="L984" t="s">
        <v>24</v>
      </c>
      <c r="M984" t="s">
        <v>35</v>
      </c>
      <c r="N984" t="s">
        <v>22</v>
      </c>
      <c r="O984" t="s">
        <v>36</v>
      </c>
      <c r="P984">
        <v>0.08</v>
      </c>
      <c r="Q984" s="2" t="b">
        <f>TRUE()</f>
        <v>1</v>
      </c>
      <c r="R984">
        <v>1</v>
      </c>
    </row>
    <row r="985" spans="1:18" x14ac:dyDescent="0.25">
      <c r="A985">
        <v>200984</v>
      </c>
      <c r="B985">
        <v>50392</v>
      </c>
      <c r="C985" t="s">
        <v>18</v>
      </c>
      <c r="D985">
        <v>3799.43</v>
      </c>
      <c r="E985">
        <v>1244</v>
      </c>
      <c r="F985">
        <v>1</v>
      </c>
      <c r="G985">
        <v>8</v>
      </c>
      <c r="H985">
        <v>0</v>
      </c>
      <c r="I985" t="s">
        <v>33</v>
      </c>
      <c r="J985">
        <v>0</v>
      </c>
      <c r="K985">
        <v>77</v>
      </c>
      <c r="L985" t="s">
        <v>20</v>
      </c>
      <c r="M985" t="s">
        <v>21</v>
      </c>
      <c r="N985" t="s">
        <v>30</v>
      </c>
      <c r="O985" t="s">
        <v>27</v>
      </c>
      <c r="P985">
        <v>3.6</v>
      </c>
      <c r="Q985" s="2" t="b">
        <f>FALSE()</f>
        <v>0</v>
      </c>
      <c r="R985">
        <v>1</v>
      </c>
    </row>
    <row r="986" spans="1:18" x14ac:dyDescent="0.25">
      <c r="A986">
        <v>200985</v>
      </c>
      <c r="B986">
        <v>55196</v>
      </c>
      <c r="C986" t="s">
        <v>18</v>
      </c>
      <c r="D986">
        <v>483.5</v>
      </c>
      <c r="E986">
        <v>3276</v>
      </c>
      <c r="F986">
        <v>1</v>
      </c>
      <c r="G986">
        <v>3</v>
      </c>
      <c r="H986">
        <v>0</v>
      </c>
      <c r="I986" t="s">
        <v>33</v>
      </c>
      <c r="J986">
        <v>0</v>
      </c>
      <c r="K986">
        <v>25</v>
      </c>
      <c r="L986" t="s">
        <v>24</v>
      </c>
      <c r="M986" t="s">
        <v>31</v>
      </c>
      <c r="N986" t="s">
        <v>22</v>
      </c>
      <c r="O986" t="s">
        <v>36</v>
      </c>
      <c r="P986">
        <v>2.1</v>
      </c>
      <c r="Q986" s="2" t="b">
        <f>FALSE()</f>
        <v>0</v>
      </c>
      <c r="R986">
        <v>0</v>
      </c>
    </row>
    <row r="987" spans="1:18" x14ac:dyDescent="0.25">
      <c r="A987">
        <v>200986</v>
      </c>
      <c r="B987">
        <v>53855</v>
      </c>
      <c r="C987" t="s">
        <v>18</v>
      </c>
      <c r="D987">
        <v>143.97</v>
      </c>
      <c r="E987">
        <v>2944</v>
      </c>
      <c r="F987">
        <v>2</v>
      </c>
      <c r="G987">
        <v>1</v>
      </c>
      <c r="H987">
        <v>0</v>
      </c>
      <c r="I987" t="s">
        <v>19</v>
      </c>
      <c r="J987">
        <v>0</v>
      </c>
      <c r="K987">
        <v>23</v>
      </c>
      <c r="L987" t="s">
        <v>24</v>
      </c>
      <c r="M987" t="s">
        <v>31</v>
      </c>
      <c r="N987" t="s">
        <v>26</v>
      </c>
      <c r="O987" t="s">
        <v>36</v>
      </c>
      <c r="P987">
        <v>8.01</v>
      </c>
      <c r="Q987" s="2" t="b">
        <f>FALSE()</f>
        <v>0</v>
      </c>
      <c r="R987">
        <v>0</v>
      </c>
    </row>
    <row r="988" spans="1:18" x14ac:dyDescent="0.25">
      <c r="A988">
        <v>200987</v>
      </c>
      <c r="B988">
        <v>52959</v>
      </c>
      <c r="C988" t="s">
        <v>34</v>
      </c>
      <c r="D988">
        <v>1211.48</v>
      </c>
      <c r="E988">
        <v>55</v>
      </c>
      <c r="F988">
        <v>2</v>
      </c>
      <c r="G988">
        <v>2</v>
      </c>
      <c r="H988">
        <v>0</v>
      </c>
      <c r="I988" t="s">
        <v>33</v>
      </c>
      <c r="J988">
        <v>1</v>
      </c>
      <c r="K988">
        <v>69</v>
      </c>
      <c r="L988" t="s">
        <v>24</v>
      </c>
      <c r="M988" t="s">
        <v>37</v>
      </c>
      <c r="N988" t="s">
        <v>26</v>
      </c>
      <c r="O988" t="s">
        <v>27</v>
      </c>
      <c r="P988">
        <v>5.43</v>
      </c>
      <c r="Q988" s="2" t="b">
        <f>FALSE()</f>
        <v>0</v>
      </c>
      <c r="R988">
        <v>0</v>
      </c>
    </row>
    <row r="989" spans="1:18" x14ac:dyDescent="0.25">
      <c r="A989">
        <v>200988</v>
      </c>
      <c r="B989">
        <v>51523</v>
      </c>
      <c r="C989" t="s">
        <v>34</v>
      </c>
      <c r="D989">
        <v>571.77</v>
      </c>
      <c r="E989">
        <v>1660</v>
      </c>
      <c r="F989">
        <v>0</v>
      </c>
      <c r="G989">
        <v>5</v>
      </c>
      <c r="H989">
        <v>0</v>
      </c>
      <c r="I989" t="s">
        <v>33</v>
      </c>
      <c r="J989">
        <v>0</v>
      </c>
      <c r="K989">
        <v>72</v>
      </c>
      <c r="L989" t="s">
        <v>24</v>
      </c>
      <c r="M989" t="s">
        <v>31</v>
      </c>
      <c r="N989" t="s">
        <v>30</v>
      </c>
      <c r="O989" t="s">
        <v>36</v>
      </c>
      <c r="P989">
        <v>1.88</v>
      </c>
      <c r="Q989" s="2" t="b">
        <f>FALSE()</f>
        <v>0</v>
      </c>
      <c r="R989">
        <v>0</v>
      </c>
    </row>
    <row r="990" spans="1:18" x14ac:dyDescent="0.25">
      <c r="A990">
        <v>200989</v>
      </c>
      <c r="B990">
        <v>52388</v>
      </c>
      <c r="C990" t="s">
        <v>34</v>
      </c>
      <c r="D990">
        <v>3891.12</v>
      </c>
      <c r="E990">
        <v>2058</v>
      </c>
      <c r="F990">
        <v>0</v>
      </c>
      <c r="G990">
        <v>4</v>
      </c>
      <c r="H990">
        <v>1</v>
      </c>
      <c r="I990" t="s">
        <v>32</v>
      </c>
      <c r="J990">
        <v>0</v>
      </c>
      <c r="K990">
        <v>78</v>
      </c>
      <c r="L990" t="s">
        <v>24</v>
      </c>
      <c r="M990" t="s">
        <v>31</v>
      </c>
      <c r="N990" t="s">
        <v>30</v>
      </c>
      <c r="O990" t="s">
        <v>27</v>
      </c>
      <c r="P990">
        <v>0.31</v>
      </c>
      <c r="Q990" s="2" t="b">
        <f>FALSE()</f>
        <v>0</v>
      </c>
      <c r="R990">
        <v>1</v>
      </c>
    </row>
    <row r="991" spans="1:18" x14ac:dyDescent="0.25">
      <c r="A991">
        <v>200990</v>
      </c>
      <c r="B991">
        <v>54296</v>
      </c>
      <c r="C991" t="s">
        <v>18</v>
      </c>
      <c r="D991">
        <v>2664.3</v>
      </c>
      <c r="E991">
        <v>1066</v>
      </c>
      <c r="F991">
        <v>1</v>
      </c>
      <c r="G991">
        <v>4</v>
      </c>
      <c r="H991">
        <v>0</v>
      </c>
      <c r="I991" t="s">
        <v>33</v>
      </c>
      <c r="J991">
        <v>0</v>
      </c>
      <c r="K991">
        <v>70</v>
      </c>
      <c r="L991" t="s">
        <v>20</v>
      </c>
      <c r="M991" t="s">
        <v>29</v>
      </c>
      <c r="N991" t="s">
        <v>22</v>
      </c>
      <c r="O991" t="s">
        <v>36</v>
      </c>
      <c r="P991">
        <v>6.95</v>
      </c>
      <c r="Q991" s="2" t="b">
        <f>FALSE()</f>
        <v>0</v>
      </c>
      <c r="R991">
        <v>0</v>
      </c>
    </row>
    <row r="992" spans="1:18" x14ac:dyDescent="0.25">
      <c r="A992">
        <v>200991</v>
      </c>
      <c r="B992">
        <v>51067</v>
      </c>
      <c r="C992" t="s">
        <v>18</v>
      </c>
      <c r="D992">
        <v>2721.67</v>
      </c>
      <c r="E992">
        <v>3452</v>
      </c>
      <c r="F992">
        <v>2</v>
      </c>
      <c r="G992">
        <v>2</v>
      </c>
      <c r="H992">
        <v>0</v>
      </c>
      <c r="I992" t="s">
        <v>32</v>
      </c>
      <c r="J992">
        <v>0</v>
      </c>
      <c r="K992">
        <v>81</v>
      </c>
      <c r="L992" t="s">
        <v>20</v>
      </c>
      <c r="M992" t="s">
        <v>31</v>
      </c>
      <c r="N992" t="s">
        <v>30</v>
      </c>
      <c r="O992" t="s">
        <v>27</v>
      </c>
      <c r="P992">
        <v>1.83</v>
      </c>
      <c r="Q992" s="2" t="b">
        <f>FALSE()</f>
        <v>0</v>
      </c>
      <c r="R992">
        <v>0</v>
      </c>
    </row>
    <row r="993" spans="1:18" x14ac:dyDescent="0.25">
      <c r="A993">
        <v>200992</v>
      </c>
      <c r="B993">
        <v>50640</v>
      </c>
      <c r="C993" t="s">
        <v>34</v>
      </c>
      <c r="D993">
        <v>1634.44</v>
      </c>
      <c r="E993">
        <v>3627</v>
      </c>
      <c r="F993">
        <v>2</v>
      </c>
      <c r="G993">
        <v>7</v>
      </c>
      <c r="H993">
        <v>1</v>
      </c>
      <c r="I993" t="s">
        <v>33</v>
      </c>
      <c r="J993">
        <v>0</v>
      </c>
      <c r="K993">
        <v>53</v>
      </c>
      <c r="L993" t="s">
        <v>20</v>
      </c>
      <c r="M993" t="s">
        <v>31</v>
      </c>
      <c r="N993" t="s">
        <v>22</v>
      </c>
      <c r="O993" t="s">
        <v>27</v>
      </c>
      <c r="P993">
        <v>9.34</v>
      </c>
      <c r="Q993" s="2" t="b">
        <f>FALSE()</f>
        <v>0</v>
      </c>
      <c r="R993">
        <v>1</v>
      </c>
    </row>
    <row r="994" spans="1:18" x14ac:dyDescent="0.25">
      <c r="A994">
        <v>200993</v>
      </c>
      <c r="B994">
        <v>50648</v>
      </c>
      <c r="C994" t="s">
        <v>18</v>
      </c>
      <c r="D994">
        <v>2632.36</v>
      </c>
      <c r="E994">
        <v>3362</v>
      </c>
      <c r="F994">
        <v>0</v>
      </c>
      <c r="G994">
        <v>2</v>
      </c>
      <c r="H994">
        <v>1</v>
      </c>
      <c r="I994" t="s">
        <v>33</v>
      </c>
      <c r="J994">
        <v>1</v>
      </c>
      <c r="K994">
        <v>66</v>
      </c>
      <c r="L994" t="s">
        <v>20</v>
      </c>
      <c r="M994" t="s">
        <v>31</v>
      </c>
      <c r="N994" t="s">
        <v>26</v>
      </c>
      <c r="O994" t="s">
        <v>27</v>
      </c>
      <c r="P994">
        <v>1.33</v>
      </c>
      <c r="Q994" s="2" t="b">
        <f>FALSE()</f>
        <v>0</v>
      </c>
      <c r="R994">
        <v>0</v>
      </c>
    </row>
    <row r="995" spans="1:18" x14ac:dyDescent="0.25">
      <c r="A995">
        <v>200994</v>
      </c>
      <c r="B995">
        <v>55967</v>
      </c>
      <c r="C995" t="s">
        <v>18</v>
      </c>
      <c r="D995">
        <v>1511.35</v>
      </c>
      <c r="E995">
        <v>3032</v>
      </c>
      <c r="F995">
        <v>3</v>
      </c>
      <c r="G995">
        <v>3</v>
      </c>
      <c r="H995">
        <v>0</v>
      </c>
      <c r="I995" t="s">
        <v>33</v>
      </c>
      <c r="J995">
        <v>0</v>
      </c>
      <c r="K995">
        <v>47</v>
      </c>
      <c r="L995" t="s">
        <v>24</v>
      </c>
      <c r="M995" t="s">
        <v>31</v>
      </c>
      <c r="N995" t="s">
        <v>30</v>
      </c>
      <c r="O995" t="s">
        <v>36</v>
      </c>
      <c r="P995">
        <v>3.98</v>
      </c>
      <c r="Q995" s="2" t="b">
        <f>FALSE()</f>
        <v>0</v>
      </c>
      <c r="R995">
        <v>1</v>
      </c>
    </row>
    <row r="996" spans="1:18" x14ac:dyDescent="0.25">
      <c r="A996">
        <v>200995</v>
      </c>
      <c r="B996">
        <v>55346</v>
      </c>
      <c r="C996" t="s">
        <v>34</v>
      </c>
      <c r="D996">
        <v>608.41999999999996</v>
      </c>
      <c r="E996">
        <v>3045</v>
      </c>
      <c r="F996">
        <v>0</v>
      </c>
      <c r="G996">
        <v>6</v>
      </c>
      <c r="H996">
        <v>0</v>
      </c>
      <c r="I996" t="s">
        <v>32</v>
      </c>
      <c r="J996">
        <v>0</v>
      </c>
      <c r="K996">
        <v>45</v>
      </c>
      <c r="L996" t="s">
        <v>24</v>
      </c>
      <c r="M996" t="s">
        <v>35</v>
      </c>
      <c r="N996" t="s">
        <v>22</v>
      </c>
      <c r="O996" t="s">
        <v>36</v>
      </c>
      <c r="P996">
        <v>4.24</v>
      </c>
      <c r="Q996" s="2" t="b">
        <f>FALSE()</f>
        <v>0</v>
      </c>
      <c r="R996">
        <v>0</v>
      </c>
    </row>
    <row r="997" spans="1:18" x14ac:dyDescent="0.25">
      <c r="A997">
        <v>200996</v>
      </c>
      <c r="B997">
        <v>53893</v>
      </c>
      <c r="C997" t="s">
        <v>34</v>
      </c>
      <c r="D997">
        <v>1073.3</v>
      </c>
      <c r="E997">
        <v>2030</v>
      </c>
      <c r="F997">
        <v>1</v>
      </c>
      <c r="G997">
        <v>5</v>
      </c>
      <c r="H997">
        <v>0</v>
      </c>
      <c r="I997" t="s">
        <v>33</v>
      </c>
      <c r="J997">
        <v>0</v>
      </c>
      <c r="K997">
        <v>29</v>
      </c>
      <c r="L997" t="s">
        <v>20</v>
      </c>
      <c r="M997" t="s">
        <v>37</v>
      </c>
      <c r="N997" t="s">
        <v>30</v>
      </c>
      <c r="O997" t="s">
        <v>36</v>
      </c>
      <c r="P997">
        <v>1.49</v>
      </c>
      <c r="Q997" s="2" t="b">
        <f>FALSE()</f>
        <v>0</v>
      </c>
      <c r="R997">
        <v>0</v>
      </c>
    </row>
    <row r="998" spans="1:18" x14ac:dyDescent="0.25">
      <c r="A998">
        <v>200997</v>
      </c>
      <c r="B998">
        <v>51804</v>
      </c>
      <c r="C998" t="s">
        <v>34</v>
      </c>
      <c r="D998">
        <v>2786.53</v>
      </c>
      <c r="E998">
        <v>1945</v>
      </c>
      <c r="F998">
        <v>1</v>
      </c>
      <c r="G998">
        <v>2</v>
      </c>
      <c r="H998">
        <v>0</v>
      </c>
      <c r="I998" t="s">
        <v>33</v>
      </c>
      <c r="J998">
        <v>0</v>
      </c>
      <c r="K998">
        <v>29</v>
      </c>
      <c r="L998" t="s">
        <v>24</v>
      </c>
      <c r="M998" t="s">
        <v>37</v>
      </c>
      <c r="N998" t="s">
        <v>30</v>
      </c>
      <c r="O998" t="s">
        <v>27</v>
      </c>
      <c r="P998">
        <v>1.99</v>
      </c>
      <c r="Q998" s="2" t="b">
        <f>FALSE()</f>
        <v>0</v>
      </c>
      <c r="R998">
        <v>0</v>
      </c>
    </row>
    <row r="999" spans="1:18" x14ac:dyDescent="0.25">
      <c r="A999">
        <v>200998</v>
      </c>
      <c r="B999">
        <v>52376</v>
      </c>
      <c r="C999" t="s">
        <v>18</v>
      </c>
      <c r="D999">
        <v>2834.63</v>
      </c>
      <c r="E999">
        <v>3027</v>
      </c>
      <c r="F999">
        <v>0</v>
      </c>
      <c r="G999">
        <v>4</v>
      </c>
      <c r="H999">
        <v>0</v>
      </c>
      <c r="I999" t="s">
        <v>33</v>
      </c>
      <c r="J999">
        <v>0</v>
      </c>
      <c r="K999">
        <v>58</v>
      </c>
      <c r="L999" t="s">
        <v>20</v>
      </c>
      <c r="M999" t="s">
        <v>31</v>
      </c>
      <c r="N999" t="s">
        <v>22</v>
      </c>
      <c r="O999" t="s">
        <v>27</v>
      </c>
      <c r="P999">
        <v>5.0999999999999996</v>
      </c>
      <c r="Q999" s="2" t="b">
        <f>FALSE()</f>
        <v>0</v>
      </c>
      <c r="R999">
        <v>0</v>
      </c>
    </row>
    <row r="1000" spans="1:18" x14ac:dyDescent="0.25">
      <c r="A1000">
        <v>200999</v>
      </c>
      <c r="B1000">
        <v>51004</v>
      </c>
      <c r="C1000" t="s">
        <v>34</v>
      </c>
      <c r="D1000">
        <v>611.49</v>
      </c>
      <c r="E1000">
        <v>2486</v>
      </c>
      <c r="F1000">
        <v>1</v>
      </c>
      <c r="G1000">
        <v>2</v>
      </c>
      <c r="H1000">
        <v>0</v>
      </c>
      <c r="I1000" t="s">
        <v>19</v>
      </c>
      <c r="J1000">
        <v>0</v>
      </c>
      <c r="K1000">
        <v>28</v>
      </c>
      <c r="L1000" t="s">
        <v>24</v>
      </c>
      <c r="M1000" t="s">
        <v>25</v>
      </c>
      <c r="N1000" t="s">
        <v>26</v>
      </c>
      <c r="O1000" t="s">
        <v>27</v>
      </c>
      <c r="P1000">
        <v>0.32</v>
      </c>
      <c r="Q1000" s="2" t="b">
        <f>FALSE()</f>
        <v>0</v>
      </c>
      <c r="R1000">
        <v>0</v>
      </c>
    </row>
    <row r="1001" spans="1:18" x14ac:dyDescent="0.25">
      <c r="A1001">
        <v>201000</v>
      </c>
      <c r="B1001">
        <v>54756</v>
      </c>
      <c r="C1001" t="s">
        <v>34</v>
      </c>
      <c r="D1001">
        <v>4122.9399999999996</v>
      </c>
      <c r="E1001">
        <v>1398</v>
      </c>
      <c r="F1001">
        <v>2</v>
      </c>
      <c r="G1001">
        <v>2</v>
      </c>
      <c r="H1001">
        <v>0</v>
      </c>
      <c r="I1001" t="s">
        <v>19</v>
      </c>
      <c r="J1001">
        <v>0</v>
      </c>
      <c r="K1001">
        <v>82</v>
      </c>
      <c r="L1001" t="s">
        <v>20</v>
      </c>
      <c r="M1001" t="s">
        <v>31</v>
      </c>
      <c r="N1001" t="s">
        <v>22</v>
      </c>
      <c r="O1001" t="s">
        <v>36</v>
      </c>
      <c r="P1001">
        <v>12.56</v>
      </c>
      <c r="Q1001" s="2" t="b">
        <f>FALSE()</f>
        <v>0</v>
      </c>
      <c r="R1001">
        <v>1</v>
      </c>
    </row>
    <row r="1002" spans="1:18" x14ac:dyDescent="0.25">
      <c r="A1002">
        <v>201001</v>
      </c>
      <c r="B1002">
        <v>53247</v>
      </c>
      <c r="C1002" t="s">
        <v>34</v>
      </c>
      <c r="D1002">
        <v>2098.31</v>
      </c>
      <c r="E1002">
        <v>2011</v>
      </c>
      <c r="F1002">
        <v>1</v>
      </c>
      <c r="G1002">
        <v>2</v>
      </c>
      <c r="H1002">
        <v>0</v>
      </c>
      <c r="I1002" t="s">
        <v>33</v>
      </c>
      <c r="J1002">
        <v>0</v>
      </c>
      <c r="K1002">
        <v>60</v>
      </c>
      <c r="L1002" t="s">
        <v>20</v>
      </c>
      <c r="M1002" t="s">
        <v>21</v>
      </c>
      <c r="N1002" t="s">
        <v>22</v>
      </c>
      <c r="O1002" t="s">
        <v>36</v>
      </c>
      <c r="P1002">
        <v>0.98</v>
      </c>
      <c r="Q1002" s="2" t="b">
        <f>FALSE()</f>
        <v>0</v>
      </c>
      <c r="R1002">
        <v>0</v>
      </c>
    </row>
    <row r="1003" spans="1:18" x14ac:dyDescent="0.25">
      <c r="A1003">
        <v>201002</v>
      </c>
      <c r="B1003">
        <v>50924</v>
      </c>
      <c r="C1003" t="s">
        <v>34</v>
      </c>
      <c r="D1003">
        <v>7348.61</v>
      </c>
      <c r="E1003">
        <v>478</v>
      </c>
      <c r="F1003">
        <v>0</v>
      </c>
      <c r="G1003">
        <v>2</v>
      </c>
      <c r="H1003">
        <v>0</v>
      </c>
      <c r="I1003" t="s">
        <v>33</v>
      </c>
      <c r="J1003">
        <v>1</v>
      </c>
      <c r="K1003">
        <v>26</v>
      </c>
      <c r="L1003" t="s">
        <v>20</v>
      </c>
      <c r="M1003" t="s">
        <v>21</v>
      </c>
      <c r="N1003" t="s">
        <v>26</v>
      </c>
      <c r="O1003" t="s">
        <v>36</v>
      </c>
      <c r="P1003">
        <v>0.89</v>
      </c>
      <c r="Q1003" s="2" t="b">
        <f>TRUE()</f>
        <v>1</v>
      </c>
      <c r="R1003">
        <v>1</v>
      </c>
    </row>
    <row r="1004" spans="1:18" x14ac:dyDescent="0.25">
      <c r="A1004">
        <v>201003</v>
      </c>
      <c r="B1004">
        <v>50222</v>
      </c>
      <c r="C1004" t="s">
        <v>34</v>
      </c>
      <c r="D1004">
        <v>3917.34</v>
      </c>
      <c r="E1004">
        <v>16</v>
      </c>
      <c r="F1004">
        <v>1</v>
      </c>
      <c r="G1004">
        <v>5</v>
      </c>
      <c r="H1004">
        <v>1</v>
      </c>
      <c r="I1004" t="s">
        <v>33</v>
      </c>
      <c r="J1004">
        <v>1</v>
      </c>
      <c r="K1004">
        <v>42</v>
      </c>
      <c r="L1004" t="s">
        <v>20</v>
      </c>
      <c r="M1004" t="s">
        <v>37</v>
      </c>
      <c r="N1004" t="s">
        <v>22</v>
      </c>
      <c r="O1004" t="s">
        <v>36</v>
      </c>
      <c r="P1004">
        <v>0.54</v>
      </c>
      <c r="Q1004" s="2" t="b">
        <f>FALSE()</f>
        <v>0</v>
      </c>
      <c r="R1004">
        <v>1</v>
      </c>
    </row>
    <row r="1005" spans="1:18" x14ac:dyDescent="0.25">
      <c r="A1005">
        <v>201004</v>
      </c>
      <c r="B1005">
        <v>51540</v>
      </c>
      <c r="C1005" t="s">
        <v>34</v>
      </c>
      <c r="D1005">
        <v>1521.45</v>
      </c>
      <c r="E1005">
        <v>1140</v>
      </c>
      <c r="F1005">
        <v>1</v>
      </c>
      <c r="G1005">
        <v>5</v>
      </c>
      <c r="H1005">
        <v>1</v>
      </c>
      <c r="I1005" t="s">
        <v>33</v>
      </c>
      <c r="J1005">
        <v>0</v>
      </c>
      <c r="K1005">
        <v>73</v>
      </c>
      <c r="L1005" t="s">
        <v>24</v>
      </c>
      <c r="M1005" t="s">
        <v>37</v>
      </c>
      <c r="N1005" t="s">
        <v>26</v>
      </c>
      <c r="O1005" t="s">
        <v>36</v>
      </c>
      <c r="P1005">
        <v>5.05</v>
      </c>
      <c r="Q1005" s="2" t="b">
        <f>FALSE()</f>
        <v>0</v>
      </c>
      <c r="R1005">
        <v>0</v>
      </c>
    </row>
    <row r="1006" spans="1:18" x14ac:dyDescent="0.25">
      <c r="A1006">
        <v>201005</v>
      </c>
      <c r="B1006">
        <v>52940</v>
      </c>
      <c r="C1006" t="s">
        <v>18</v>
      </c>
      <c r="D1006">
        <v>1555.09</v>
      </c>
      <c r="E1006">
        <v>3638</v>
      </c>
      <c r="F1006">
        <v>3</v>
      </c>
      <c r="G1006">
        <v>8</v>
      </c>
      <c r="H1006">
        <v>0</v>
      </c>
      <c r="I1006" t="s">
        <v>32</v>
      </c>
      <c r="J1006">
        <v>1</v>
      </c>
      <c r="K1006">
        <v>37</v>
      </c>
      <c r="L1006" t="s">
        <v>24</v>
      </c>
      <c r="M1006" t="s">
        <v>25</v>
      </c>
      <c r="N1006" t="s">
        <v>26</v>
      </c>
      <c r="O1006" t="s">
        <v>27</v>
      </c>
      <c r="P1006">
        <v>1.04</v>
      </c>
      <c r="Q1006" s="2" t="b">
        <f>FALSE()</f>
        <v>0</v>
      </c>
      <c r="R1006">
        <v>1</v>
      </c>
    </row>
    <row r="1007" spans="1:18" x14ac:dyDescent="0.25">
      <c r="A1007">
        <v>201006</v>
      </c>
      <c r="B1007">
        <v>51029</v>
      </c>
      <c r="C1007" t="s">
        <v>34</v>
      </c>
      <c r="D1007">
        <v>6396.86</v>
      </c>
      <c r="E1007">
        <v>2165</v>
      </c>
      <c r="F1007">
        <v>1</v>
      </c>
      <c r="G1007">
        <v>4</v>
      </c>
      <c r="H1007">
        <v>0</v>
      </c>
      <c r="I1007" t="s">
        <v>19</v>
      </c>
      <c r="J1007">
        <v>0</v>
      </c>
      <c r="K1007">
        <v>30</v>
      </c>
      <c r="L1007" t="s">
        <v>20</v>
      </c>
      <c r="M1007" t="s">
        <v>35</v>
      </c>
      <c r="N1007" t="s">
        <v>30</v>
      </c>
      <c r="O1007" t="s">
        <v>36</v>
      </c>
      <c r="P1007">
        <v>5.03</v>
      </c>
      <c r="Q1007" s="2" t="b">
        <f>FALSE()</f>
        <v>0</v>
      </c>
      <c r="R1007">
        <v>1</v>
      </c>
    </row>
    <row r="1008" spans="1:18" x14ac:dyDescent="0.25">
      <c r="A1008">
        <v>201007</v>
      </c>
      <c r="B1008">
        <v>55007</v>
      </c>
      <c r="C1008" t="s">
        <v>18</v>
      </c>
      <c r="D1008">
        <v>1123.4000000000001</v>
      </c>
      <c r="E1008">
        <v>3344</v>
      </c>
      <c r="F1008">
        <v>1</v>
      </c>
      <c r="G1008">
        <v>4</v>
      </c>
      <c r="H1008">
        <v>1</v>
      </c>
      <c r="I1008" t="s">
        <v>33</v>
      </c>
      <c r="J1008">
        <v>0</v>
      </c>
      <c r="K1008">
        <v>65</v>
      </c>
      <c r="L1008" t="s">
        <v>24</v>
      </c>
      <c r="M1008" t="s">
        <v>21</v>
      </c>
      <c r="N1008" t="s">
        <v>26</v>
      </c>
      <c r="O1008" t="s">
        <v>23</v>
      </c>
      <c r="P1008">
        <v>7.74</v>
      </c>
      <c r="Q1008" s="2" t="b">
        <f>FALSE()</f>
        <v>0</v>
      </c>
      <c r="R1008">
        <v>0</v>
      </c>
    </row>
    <row r="1009" spans="1:18" x14ac:dyDescent="0.25">
      <c r="A1009">
        <v>201008</v>
      </c>
      <c r="B1009">
        <v>55934</v>
      </c>
      <c r="C1009" t="s">
        <v>18</v>
      </c>
      <c r="D1009">
        <v>4386.21</v>
      </c>
      <c r="E1009">
        <v>1926</v>
      </c>
      <c r="F1009">
        <v>0</v>
      </c>
      <c r="G1009">
        <v>5</v>
      </c>
      <c r="H1009">
        <v>0</v>
      </c>
      <c r="I1009" t="s">
        <v>19</v>
      </c>
      <c r="J1009">
        <v>0</v>
      </c>
      <c r="K1009">
        <v>39</v>
      </c>
      <c r="L1009" t="s">
        <v>24</v>
      </c>
      <c r="M1009" t="s">
        <v>37</v>
      </c>
      <c r="N1009" t="s">
        <v>30</v>
      </c>
      <c r="O1009" t="s">
        <v>27</v>
      </c>
      <c r="P1009">
        <v>3.31</v>
      </c>
      <c r="Q1009" s="2" t="b">
        <f>FALSE()</f>
        <v>0</v>
      </c>
      <c r="R1009">
        <v>1</v>
      </c>
    </row>
    <row r="1010" spans="1:18" x14ac:dyDescent="0.25">
      <c r="A1010">
        <v>201009</v>
      </c>
      <c r="B1010">
        <v>53627</v>
      </c>
      <c r="C1010" t="s">
        <v>34</v>
      </c>
      <c r="D1010">
        <v>1524.48</v>
      </c>
      <c r="E1010">
        <v>3173</v>
      </c>
      <c r="F1010">
        <v>0</v>
      </c>
      <c r="G1010">
        <v>4</v>
      </c>
      <c r="H1010">
        <v>0</v>
      </c>
      <c r="I1010" t="s">
        <v>33</v>
      </c>
      <c r="J1010">
        <v>0</v>
      </c>
      <c r="K1010">
        <v>28</v>
      </c>
      <c r="L1010" t="s">
        <v>24</v>
      </c>
      <c r="M1010" t="s">
        <v>37</v>
      </c>
      <c r="N1010" t="s">
        <v>26</v>
      </c>
      <c r="O1010" t="s">
        <v>27</v>
      </c>
      <c r="P1010">
        <v>1.82</v>
      </c>
      <c r="Q1010" s="2" t="b">
        <f>FALSE()</f>
        <v>0</v>
      </c>
      <c r="R1010">
        <v>0</v>
      </c>
    </row>
    <row r="1011" spans="1:18" x14ac:dyDescent="0.25">
      <c r="A1011">
        <v>201010</v>
      </c>
      <c r="B1011">
        <v>54103</v>
      </c>
      <c r="C1011" t="s">
        <v>18</v>
      </c>
      <c r="D1011">
        <v>1766.88</v>
      </c>
      <c r="E1011">
        <v>2560</v>
      </c>
      <c r="F1011">
        <v>0</v>
      </c>
      <c r="G1011">
        <v>3</v>
      </c>
      <c r="H1011">
        <v>0</v>
      </c>
      <c r="I1011" t="s">
        <v>19</v>
      </c>
      <c r="J1011">
        <v>1</v>
      </c>
      <c r="K1011">
        <v>40</v>
      </c>
      <c r="L1011" t="s">
        <v>24</v>
      </c>
      <c r="M1011" t="s">
        <v>31</v>
      </c>
      <c r="N1011" t="s">
        <v>26</v>
      </c>
      <c r="O1011" t="s">
        <v>36</v>
      </c>
      <c r="P1011">
        <v>2.17</v>
      </c>
      <c r="Q1011" s="2" t="b">
        <f>FALSE()</f>
        <v>0</v>
      </c>
      <c r="R1011">
        <v>0</v>
      </c>
    </row>
    <row r="1012" spans="1:18" x14ac:dyDescent="0.25">
      <c r="A1012">
        <v>201011</v>
      </c>
      <c r="B1012">
        <v>52254</v>
      </c>
      <c r="C1012" t="s">
        <v>18</v>
      </c>
      <c r="D1012">
        <v>802.27</v>
      </c>
      <c r="E1012">
        <v>952</v>
      </c>
      <c r="F1012">
        <v>0</v>
      </c>
      <c r="G1012">
        <v>4</v>
      </c>
      <c r="H1012">
        <v>0</v>
      </c>
      <c r="I1012" t="s">
        <v>32</v>
      </c>
      <c r="J1012">
        <v>0</v>
      </c>
      <c r="K1012">
        <v>64</v>
      </c>
      <c r="L1012" t="s">
        <v>24</v>
      </c>
      <c r="M1012" t="s">
        <v>35</v>
      </c>
      <c r="N1012" t="s">
        <v>30</v>
      </c>
      <c r="O1012" t="s">
        <v>36</v>
      </c>
      <c r="P1012">
        <v>1.1499999999999999</v>
      </c>
      <c r="Q1012" s="2" t="b">
        <f>FALSE()</f>
        <v>0</v>
      </c>
      <c r="R1012">
        <v>0</v>
      </c>
    </row>
    <row r="1013" spans="1:18" x14ac:dyDescent="0.25">
      <c r="A1013">
        <v>201012</v>
      </c>
      <c r="B1013">
        <v>54885</v>
      </c>
      <c r="C1013" t="s">
        <v>28</v>
      </c>
      <c r="D1013">
        <v>3100.57</v>
      </c>
      <c r="E1013">
        <v>2345</v>
      </c>
      <c r="F1013">
        <v>1</v>
      </c>
      <c r="G1013">
        <v>3</v>
      </c>
      <c r="H1013">
        <v>1</v>
      </c>
      <c r="I1013" t="s">
        <v>33</v>
      </c>
      <c r="J1013">
        <v>0</v>
      </c>
      <c r="K1013">
        <v>73</v>
      </c>
      <c r="L1013" t="s">
        <v>24</v>
      </c>
      <c r="M1013" t="s">
        <v>25</v>
      </c>
      <c r="N1013" t="s">
        <v>26</v>
      </c>
      <c r="O1013" t="s">
        <v>27</v>
      </c>
      <c r="P1013">
        <v>1.66</v>
      </c>
      <c r="Q1013" s="2" t="b">
        <f>FALSE()</f>
        <v>0</v>
      </c>
      <c r="R1013">
        <v>0</v>
      </c>
    </row>
    <row r="1014" spans="1:18" x14ac:dyDescent="0.25">
      <c r="A1014">
        <v>201013</v>
      </c>
      <c r="B1014">
        <v>51642</v>
      </c>
      <c r="C1014" t="s">
        <v>34</v>
      </c>
      <c r="D1014">
        <v>3620.24</v>
      </c>
      <c r="E1014">
        <v>1159</v>
      </c>
      <c r="F1014">
        <v>1</v>
      </c>
      <c r="G1014">
        <v>8</v>
      </c>
      <c r="H1014">
        <v>0</v>
      </c>
      <c r="I1014" t="s">
        <v>33</v>
      </c>
      <c r="J1014">
        <v>0</v>
      </c>
      <c r="K1014">
        <v>45</v>
      </c>
      <c r="L1014" t="s">
        <v>24</v>
      </c>
      <c r="M1014" t="s">
        <v>29</v>
      </c>
      <c r="N1014" t="s">
        <v>30</v>
      </c>
      <c r="O1014" t="s">
        <v>23</v>
      </c>
      <c r="P1014">
        <v>4.22</v>
      </c>
      <c r="Q1014" s="2" t="b">
        <f>FALSE()</f>
        <v>0</v>
      </c>
      <c r="R1014">
        <v>1</v>
      </c>
    </row>
    <row r="1015" spans="1:18" x14ac:dyDescent="0.25">
      <c r="A1015">
        <v>201014</v>
      </c>
      <c r="B1015">
        <v>55971</v>
      </c>
      <c r="C1015" t="s">
        <v>18</v>
      </c>
      <c r="D1015">
        <v>2962.83</v>
      </c>
      <c r="E1015">
        <v>55</v>
      </c>
      <c r="F1015">
        <v>2</v>
      </c>
      <c r="G1015">
        <v>2</v>
      </c>
      <c r="H1015">
        <v>0</v>
      </c>
      <c r="I1015" t="s">
        <v>33</v>
      </c>
      <c r="J1015">
        <v>0</v>
      </c>
      <c r="K1015">
        <v>50</v>
      </c>
      <c r="L1015" t="s">
        <v>38</v>
      </c>
      <c r="M1015" t="s">
        <v>21</v>
      </c>
      <c r="N1015" t="s">
        <v>26</v>
      </c>
      <c r="O1015" t="s">
        <v>23</v>
      </c>
      <c r="P1015">
        <v>0.43</v>
      </c>
      <c r="Q1015" s="2" t="b">
        <f>FALSE()</f>
        <v>0</v>
      </c>
      <c r="R1015">
        <v>0</v>
      </c>
    </row>
    <row r="1016" spans="1:18" x14ac:dyDescent="0.25">
      <c r="A1016">
        <v>201015</v>
      </c>
      <c r="B1016">
        <v>52041</v>
      </c>
      <c r="C1016" t="s">
        <v>34</v>
      </c>
      <c r="D1016">
        <v>2925.27</v>
      </c>
      <c r="E1016">
        <v>1483</v>
      </c>
      <c r="F1016">
        <v>1</v>
      </c>
      <c r="G1016">
        <v>4</v>
      </c>
      <c r="H1016">
        <v>0</v>
      </c>
      <c r="I1016" t="s">
        <v>33</v>
      </c>
      <c r="J1016">
        <v>0</v>
      </c>
      <c r="K1016">
        <v>82</v>
      </c>
      <c r="L1016" t="s">
        <v>24</v>
      </c>
      <c r="M1016" t="s">
        <v>35</v>
      </c>
      <c r="N1016" t="s">
        <v>30</v>
      </c>
      <c r="O1016" t="s">
        <v>27</v>
      </c>
      <c r="P1016">
        <v>5.21</v>
      </c>
      <c r="Q1016" s="2" t="b">
        <f>FALSE()</f>
        <v>0</v>
      </c>
      <c r="R1016">
        <v>0</v>
      </c>
    </row>
    <row r="1017" spans="1:18" x14ac:dyDescent="0.25">
      <c r="A1017">
        <v>201016</v>
      </c>
      <c r="B1017">
        <v>51281</v>
      </c>
      <c r="C1017" t="s">
        <v>18</v>
      </c>
      <c r="D1017">
        <v>3481.67</v>
      </c>
      <c r="E1017">
        <v>567</v>
      </c>
      <c r="F1017">
        <v>0</v>
      </c>
      <c r="G1017">
        <v>2</v>
      </c>
      <c r="H1017">
        <v>1</v>
      </c>
      <c r="I1017" t="s">
        <v>33</v>
      </c>
      <c r="J1017">
        <v>0</v>
      </c>
      <c r="K1017">
        <v>84</v>
      </c>
      <c r="L1017" t="s">
        <v>24</v>
      </c>
      <c r="M1017" t="s">
        <v>21</v>
      </c>
      <c r="N1017" t="s">
        <v>30</v>
      </c>
      <c r="O1017" t="s">
        <v>27</v>
      </c>
      <c r="P1017">
        <v>3.22</v>
      </c>
      <c r="Q1017" s="2" t="b">
        <f>FALSE()</f>
        <v>0</v>
      </c>
      <c r="R1017">
        <v>0</v>
      </c>
    </row>
    <row r="1018" spans="1:18" x14ac:dyDescent="0.25">
      <c r="A1018">
        <v>201017</v>
      </c>
      <c r="B1018">
        <v>52465</v>
      </c>
      <c r="C1018" t="s">
        <v>18</v>
      </c>
      <c r="D1018">
        <v>1533.14</v>
      </c>
      <c r="E1018">
        <v>1150</v>
      </c>
      <c r="F1018">
        <v>2</v>
      </c>
      <c r="G1018">
        <v>3</v>
      </c>
      <c r="H1018">
        <v>0</v>
      </c>
      <c r="I1018" t="s">
        <v>33</v>
      </c>
      <c r="J1018">
        <v>0</v>
      </c>
      <c r="K1018">
        <v>18</v>
      </c>
      <c r="L1018" t="s">
        <v>24</v>
      </c>
      <c r="M1018" t="s">
        <v>31</v>
      </c>
      <c r="N1018" t="s">
        <v>30</v>
      </c>
      <c r="O1018" t="s">
        <v>27</v>
      </c>
      <c r="P1018">
        <v>1.6</v>
      </c>
      <c r="Q1018" s="2" t="b">
        <f>FALSE()</f>
        <v>0</v>
      </c>
      <c r="R1018">
        <v>0</v>
      </c>
    </row>
    <row r="1019" spans="1:18" x14ac:dyDescent="0.25">
      <c r="A1019">
        <v>201018</v>
      </c>
      <c r="B1019">
        <v>54998</v>
      </c>
      <c r="C1019" t="s">
        <v>34</v>
      </c>
      <c r="D1019">
        <v>3446.86</v>
      </c>
      <c r="E1019">
        <v>1173</v>
      </c>
      <c r="F1019">
        <v>0</v>
      </c>
      <c r="G1019">
        <v>2</v>
      </c>
      <c r="H1019">
        <v>0</v>
      </c>
      <c r="I1019" t="s">
        <v>33</v>
      </c>
      <c r="J1019">
        <v>0</v>
      </c>
      <c r="K1019">
        <v>32</v>
      </c>
      <c r="L1019" t="s">
        <v>24</v>
      </c>
      <c r="M1019" t="s">
        <v>31</v>
      </c>
      <c r="N1019" t="s">
        <v>22</v>
      </c>
      <c r="O1019" t="s">
        <v>36</v>
      </c>
      <c r="P1019">
        <v>0.02</v>
      </c>
      <c r="Q1019" s="2" t="b">
        <f>FALSE()</f>
        <v>0</v>
      </c>
      <c r="R1019">
        <v>0</v>
      </c>
    </row>
    <row r="1020" spans="1:18" x14ac:dyDescent="0.25">
      <c r="A1020">
        <v>201019</v>
      </c>
      <c r="B1020">
        <v>51977</v>
      </c>
      <c r="C1020" t="s">
        <v>34</v>
      </c>
      <c r="D1020">
        <v>1103.32</v>
      </c>
      <c r="E1020">
        <v>236</v>
      </c>
      <c r="F1020">
        <v>1</v>
      </c>
      <c r="G1020">
        <v>5</v>
      </c>
      <c r="H1020">
        <v>1</v>
      </c>
      <c r="I1020" t="s">
        <v>33</v>
      </c>
      <c r="J1020">
        <v>1</v>
      </c>
      <c r="K1020">
        <v>53</v>
      </c>
      <c r="L1020" t="s">
        <v>20</v>
      </c>
      <c r="M1020" t="s">
        <v>29</v>
      </c>
      <c r="N1020" t="s">
        <v>30</v>
      </c>
      <c r="O1020" t="s">
        <v>36</v>
      </c>
      <c r="P1020">
        <v>0.22</v>
      </c>
      <c r="Q1020" s="2" t="b">
        <f>FALSE()</f>
        <v>0</v>
      </c>
      <c r="R1020">
        <v>0</v>
      </c>
    </row>
    <row r="1021" spans="1:18" x14ac:dyDescent="0.25">
      <c r="A1021">
        <v>201020</v>
      </c>
      <c r="B1021">
        <v>53712</v>
      </c>
      <c r="C1021" t="s">
        <v>34</v>
      </c>
      <c r="D1021">
        <v>4110.5</v>
      </c>
      <c r="E1021">
        <v>2300</v>
      </c>
      <c r="F1021">
        <v>0</v>
      </c>
      <c r="G1021">
        <v>2</v>
      </c>
      <c r="H1021">
        <v>0</v>
      </c>
      <c r="I1021" t="s">
        <v>33</v>
      </c>
      <c r="J1021">
        <v>0</v>
      </c>
      <c r="K1021">
        <v>71</v>
      </c>
      <c r="L1021" t="s">
        <v>20</v>
      </c>
      <c r="M1021" t="s">
        <v>29</v>
      </c>
      <c r="N1021" t="s">
        <v>26</v>
      </c>
      <c r="O1021" t="s">
        <v>27</v>
      </c>
      <c r="P1021">
        <v>1.0900000000000001</v>
      </c>
      <c r="Q1021" s="2" t="b">
        <f>FALSE()</f>
        <v>0</v>
      </c>
      <c r="R1021">
        <v>1</v>
      </c>
    </row>
    <row r="1022" spans="1:18" x14ac:dyDescent="0.25">
      <c r="A1022">
        <v>201021</v>
      </c>
      <c r="B1022">
        <v>51270</v>
      </c>
      <c r="C1022" t="s">
        <v>18</v>
      </c>
      <c r="D1022">
        <v>3747.74</v>
      </c>
      <c r="E1022">
        <v>3442</v>
      </c>
      <c r="F1022">
        <v>0</v>
      </c>
      <c r="G1022">
        <v>3</v>
      </c>
      <c r="H1022">
        <v>0</v>
      </c>
      <c r="I1022" t="s">
        <v>33</v>
      </c>
      <c r="J1022">
        <v>0</v>
      </c>
      <c r="K1022">
        <v>66</v>
      </c>
      <c r="L1022" t="s">
        <v>20</v>
      </c>
      <c r="M1022" t="s">
        <v>25</v>
      </c>
      <c r="N1022" t="s">
        <v>22</v>
      </c>
      <c r="O1022" t="s">
        <v>27</v>
      </c>
      <c r="P1022">
        <v>0.28999999999999998</v>
      </c>
      <c r="Q1022" s="2" t="b">
        <f>FALSE()</f>
        <v>0</v>
      </c>
      <c r="R1022">
        <v>1</v>
      </c>
    </row>
    <row r="1023" spans="1:18" x14ac:dyDescent="0.25">
      <c r="A1023">
        <v>201022</v>
      </c>
      <c r="B1023">
        <v>51219</v>
      </c>
      <c r="C1023" t="s">
        <v>28</v>
      </c>
      <c r="D1023">
        <v>2726.67</v>
      </c>
      <c r="E1023">
        <v>1495</v>
      </c>
      <c r="F1023">
        <v>2</v>
      </c>
      <c r="G1023">
        <v>3</v>
      </c>
      <c r="H1023">
        <v>0</v>
      </c>
      <c r="I1023" t="s">
        <v>33</v>
      </c>
      <c r="J1023">
        <v>0</v>
      </c>
      <c r="K1023">
        <v>21</v>
      </c>
      <c r="L1023" t="s">
        <v>24</v>
      </c>
      <c r="M1023" t="s">
        <v>31</v>
      </c>
      <c r="N1023" t="s">
        <v>22</v>
      </c>
      <c r="O1023" t="s">
        <v>23</v>
      </c>
      <c r="P1023">
        <v>0.08</v>
      </c>
      <c r="Q1023" s="2" t="b">
        <f>FALSE()</f>
        <v>0</v>
      </c>
      <c r="R1023">
        <v>0</v>
      </c>
    </row>
    <row r="1024" spans="1:18" x14ac:dyDescent="0.25">
      <c r="A1024">
        <v>201023</v>
      </c>
      <c r="B1024">
        <v>54417</v>
      </c>
      <c r="C1024" t="s">
        <v>18</v>
      </c>
      <c r="D1024">
        <v>2953.39</v>
      </c>
      <c r="E1024">
        <v>1452</v>
      </c>
      <c r="F1024">
        <v>1</v>
      </c>
      <c r="G1024">
        <v>5</v>
      </c>
      <c r="H1024">
        <v>0</v>
      </c>
      <c r="I1024" t="s">
        <v>19</v>
      </c>
      <c r="J1024">
        <v>0</v>
      </c>
      <c r="K1024">
        <v>45</v>
      </c>
      <c r="L1024" t="s">
        <v>24</v>
      </c>
      <c r="M1024" t="s">
        <v>37</v>
      </c>
      <c r="N1024" t="s">
        <v>22</v>
      </c>
      <c r="O1024" t="s">
        <v>27</v>
      </c>
      <c r="P1024">
        <v>2.65</v>
      </c>
      <c r="Q1024" s="2" t="b">
        <f>FALSE()</f>
        <v>0</v>
      </c>
      <c r="R1024">
        <v>0</v>
      </c>
    </row>
    <row r="1025" spans="1:18" x14ac:dyDescent="0.25">
      <c r="A1025">
        <v>201024</v>
      </c>
      <c r="B1025">
        <v>55314</v>
      </c>
      <c r="C1025" t="s">
        <v>18</v>
      </c>
      <c r="D1025">
        <v>1570.06</v>
      </c>
      <c r="E1025">
        <v>1063</v>
      </c>
      <c r="F1025">
        <v>1</v>
      </c>
      <c r="G1025">
        <v>3</v>
      </c>
      <c r="H1025">
        <v>1</v>
      </c>
      <c r="I1025" t="s">
        <v>32</v>
      </c>
      <c r="J1025">
        <v>0</v>
      </c>
      <c r="K1025">
        <v>67</v>
      </c>
      <c r="L1025" t="s">
        <v>20</v>
      </c>
      <c r="M1025" t="s">
        <v>21</v>
      </c>
      <c r="N1025" t="s">
        <v>22</v>
      </c>
      <c r="O1025" t="s">
        <v>27</v>
      </c>
      <c r="P1025">
        <v>0.01</v>
      </c>
      <c r="Q1025" s="2" t="b">
        <f>FALSE()</f>
        <v>0</v>
      </c>
      <c r="R1025">
        <v>0</v>
      </c>
    </row>
    <row r="1026" spans="1:18" x14ac:dyDescent="0.25">
      <c r="A1026">
        <v>201025</v>
      </c>
      <c r="B1026">
        <v>55995</v>
      </c>
      <c r="C1026" t="s">
        <v>28</v>
      </c>
      <c r="D1026">
        <v>9329.82</v>
      </c>
      <c r="E1026">
        <v>2918</v>
      </c>
      <c r="F1026">
        <v>1</v>
      </c>
      <c r="G1026">
        <v>4</v>
      </c>
      <c r="H1026">
        <v>0</v>
      </c>
      <c r="I1026" t="s">
        <v>33</v>
      </c>
      <c r="J1026">
        <v>0</v>
      </c>
      <c r="K1026">
        <v>23</v>
      </c>
      <c r="L1026" t="s">
        <v>20</v>
      </c>
      <c r="M1026" t="s">
        <v>25</v>
      </c>
      <c r="N1026" t="s">
        <v>22</v>
      </c>
      <c r="O1026" t="s">
        <v>27</v>
      </c>
      <c r="P1026">
        <v>6.34</v>
      </c>
      <c r="Q1026" s="2" t="b">
        <f>TRUE()</f>
        <v>1</v>
      </c>
      <c r="R1026">
        <v>1</v>
      </c>
    </row>
    <row r="1027" spans="1:18" x14ac:dyDescent="0.25">
      <c r="A1027">
        <v>201026</v>
      </c>
      <c r="B1027">
        <v>55861</v>
      </c>
      <c r="C1027" t="s">
        <v>18</v>
      </c>
      <c r="D1027">
        <v>3331.85</v>
      </c>
      <c r="E1027">
        <v>175</v>
      </c>
      <c r="F1027">
        <v>1</v>
      </c>
      <c r="G1027">
        <v>9</v>
      </c>
      <c r="H1027">
        <v>0</v>
      </c>
      <c r="I1027" t="s">
        <v>32</v>
      </c>
      <c r="J1027">
        <v>0</v>
      </c>
      <c r="K1027">
        <v>73</v>
      </c>
      <c r="L1027" t="s">
        <v>20</v>
      </c>
      <c r="M1027" t="s">
        <v>21</v>
      </c>
      <c r="N1027" t="s">
        <v>22</v>
      </c>
      <c r="O1027" t="s">
        <v>36</v>
      </c>
      <c r="P1027">
        <v>0.32</v>
      </c>
      <c r="Q1027" s="2" t="b">
        <f>FALSE()</f>
        <v>0</v>
      </c>
      <c r="R1027">
        <v>1</v>
      </c>
    </row>
    <row r="1028" spans="1:18" x14ac:dyDescent="0.25">
      <c r="A1028">
        <v>201027</v>
      </c>
      <c r="B1028">
        <v>52891</v>
      </c>
      <c r="C1028" t="s">
        <v>28</v>
      </c>
      <c r="D1028">
        <v>3960.39</v>
      </c>
      <c r="E1028">
        <v>3528</v>
      </c>
      <c r="F1028">
        <v>0</v>
      </c>
      <c r="G1028">
        <v>5</v>
      </c>
      <c r="H1028">
        <v>0</v>
      </c>
      <c r="I1028" t="s">
        <v>33</v>
      </c>
      <c r="J1028">
        <v>1</v>
      </c>
      <c r="K1028">
        <v>32</v>
      </c>
      <c r="L1028" t="s">
        <v>20</v>
      </c>
      <c r="M1028" t="s">
        <v>25</v>
      </c>
      <c r="N1028" t="s">
        <v>30</v>
      </c>
      <c r="O1028" t="s">
        <v>36</v>
      </c>
      <c r="P1028">
        <v>1.19</v>
      </c>
      <c r="Q1028" s="2" t="b">
        <f>FALSE()</f>
        <v>0</v>
      </c>
      <c r="R1028">
        <v>1</v>
      </c>
    </row>
    <row r="1029" spans="1:18" x14ac:dyDescent="0.25">
      <c r="A1029">
        <v>201028</v>
      </c>
      <c r="B1029">
        <v>54421</v>
      </c>
      <c r="C1029" t="s">
        <v>18</v>
      </c>
      <c r="D1029">
        <v>451.72</v>
      </c>
      <c r="E1029">
        <v>2032</v>
      </c>
      <c r="F1029">
        <v>0</v>
      </c>
      <c r="G1029">
        <v>4</v>
      </c>
      <c r="H1029">
        <v>0</v>
      </c>
      <c r="I1029" t="s">
        <v>33</v>
      </c>
      <c r="J1029">
        <v>0</v>
      </c>
      <c r="K1029">
        <v>67</v>
      </c>
      <c r="L1029" t="s">
        <v>20</v>
      </c>
      <c r="M1029" t="s">
        <v>29</v>
      </c>
      <c r="N1029" t="s">
        <v>22</v>
      </c>
      <c r="O1029" t="s">
        <v>36</v>
      </c>
      <c r="P1029">
        <v>5.47</v>
      </c>
      <c r="Q1029" s="2" t="b">
        <f>FALSE()</f>
        <v>0</v>
      </c>
      <c r="R1029">
        <v>0</v>
      </c>
    </row>
    <row r="1030" spans="1:18" x14ac:dyDescent="0.25">
      <c r="A1030">
        <v>201029</v>
      </c>
      <c r="B1030">
        <v>50307</v>
      </c>
      <c r="C1030" t="s">
        <v>18</v>
      </c>
      <c r="D1030">
        <v>642.58000000000004</v>
      </c>
      <c r="E1030">
        <v>342</v>
      </c>
      <c r="F1030">
        <v>1</v>
      </c>
      <c r="G1030">
        <v>2</v>
      </c>
      <c r="H1030">
        <v>1</v>
      </c>
      <c r="I1030" t="s">
        <v>32</v>
      </c>
      <c r="J1030">
        <v>0</v>
      </c>
      <c r="K1030">
        <v>81</v>
      </c>
      <c r="L1030" t="s">
        <v>20</v>
      </c>
      <c r="M1030" t="s">
        <v>35</v>
      </c>
      <c r="N1030" t="s">
        <v>22</v>
      </c>
      <c r="O1030" t="s">
        <v>23</v>
      </c>
      <c r="P1030">
        <v>10.29</v>
      </c>
      <c r="Q1030" s="2" t="b">
        <f>FALSE()</f>
        <v>0</v>
      </c>
      <c r="R1030">
        <v>0</v>
      </c>
    </row>
    <row r="1031" spans="1:18" x14ac:dyDescent="0.25">
      <c r="A1031">
        <v>201030</v>
      </c>
      <c r="B1031">
        <v>52572</v>
      </c>
      <c r="C1031" t="s">
        <v>18</v>
      </c>
      <c r="D1031">
        <v>2025.93</v>
      </c>
      <c r="E1031">
        <v>2024</v>
      </c>
      <c r="F1031">
        <v>0</v>
      </c>
      <c r="G1031">
        <v>5</v>
      </c>
      <c r="H1031">
        <v>0</v>
      </c>
      <c r="I1031" t="s">
        <v>33</v>
      </c>
      <c r="J1031">
        <v>0</v>
      </c>
      <c r="K1031">
        <v>49</v>
      </c>
      <c r="L1031" t="s">
        <v>20</v>
      </c>
      <c r="M1031" t="s">
        <v>35</v>
      </c>
      <c r="N1031" t="s">
        <v>22</v>
      </c>
      <c r="O1031" t="s">
        <v>36</v>
      </c>
      <c r="P1031">
        <v>5.64</v>
      </c>
      <c r="Q1031" s="2" t="b">
        <f>FALSE()</f>
        <v>0</v>
      </c>
      <c r="R1031">
        <v>0</v>
      </c>
    </row>
    <row r="1032" spans="1:18" x14ac:dyDescent="0.25">
      <c r="A1032">
        <v>201031</v>
      </c>
      <c r="B1032">
        <v>55178</v>
      </c>
      <c r="C1032" t="s">
        <v>34</v>
      </c>
      <c r="D1032">
        <v>473.83</v>
      </c>
      <c r="E1032">
        <v>1532</v>
      </c>
      <c r="F1032">
        <v>1</v>
      </c>
      <c r="G1032">
        <v>4</v>
      </c>
      <c r="H1032">
        <v>0</v>
      </c>
      <c r="I1032" t="s">
        <v>32</v>
      </c>
      <c r="J1032">
        <v>0</v>
      </c>
      <c r="K1032">
        <v>72</v>
      </c>
      <c r="L1032" t="s">
        <v>24</v>
      </c>
      <c r="M1032" t="s">
        <v>35</v>
      </c>
      <c r="N1032" t="s">
        <v>22</v>
      </c>
      <c r="O1032" t="s">
        <v>27</v>
      </c>
      <c r="P1032">
        <v>2.4500000000000002</v>
      </c>
      <c r="Q1032" s="2" t="b">
        <f>FALSE()</f>
        <v>0</v>
      </c>
      <c r="R1032">
        <v>0</v>
      </c>
    </row>
    <row r="1033" spans="1:18" x14ac:dyDescent="0.25">
      <c r="A1033">
        <v>201032</v>
      </c>
      <c r="B1033">
        <v>51285</v>
      </c>
      <c r="C1033" t="s">
        <v>18</v>
      </c>
      <c r="D1033">
        <v>1993.64</v>
      </c>
      <c r="E1033">
        <v>2439</v>
      </c>
      <c r="F1033">
        <v>1</v>
      </c>
      <c r="G1033">
        <v>6</v>
      </c>
      <c r="H1033">
        <v>0</v>
      </c>
      <c r="I1033" t="s">
        <v>19</v>
      </c>
      <c r="J1033">
        <v>0</v>
      </c>
      <c r="K1033">
        <v>47</v>
      </c>
      <c r="L1033" t="s">
        <v>24</v>
      </c>
      <c r="M1033" t="s">
        <v>21</v>
      </c>
      <c r="N1033" t="s">
        <v>30</v>
      </c>
      <c r="O1033" t="s">
        <v>27</v>
      </c>
      <c r="P1033">
        <v>0.33</v>
      </c>
      <c r="Q1033" s="2" t="b">
        <f>FALSE()</f>
        <v>0</v>
      </c>
      <c r="R1033">
        <v>0</v>
      </c>
    </row>
    <row r="1034" spans="1:18" x14ac:dyDescent="0.25">
      <c r="A1034">
        <v>201033</v>
      </c>
      <c r="B1034">
        <v>55075</v>
      </c>
      <c r="C1034" t="s">
        <v>28</v>
      </c>
      <c r="D1034">
        <v>479.67</v>
      </c>
      <c r="E1034">
        <v>2371</v>
      </c>
      <c r="F1034">
        <v>1</v>
      </c>
      <c r="G1034">
        <v>4</v>
      </c>
      <c r="H1034">
        <v>0</v>
      </c>
      <c r="I1034" t="s">
        <v>33</v>
      </c>
      <c r="J1034">
        <v>0</v>
      </c>
      <c r="K1034">
        <v>36</v>
      </c>
      <c r="L1034" t="s">
        <v>20</v>
      </c>
      <c r="M1034" t="s">
        <v>21</v>
      </c>
      <c r="N1034" t="s">
        <v>26</v>
      </c>
      <c r="O1034" t="s">
        <v>23</v>
      </c>
      <c r="P1034">
        <v>2.34</v>
      </c>
      <c r="Q1034" s="2" t="b">
        <f>FALSE()</f>
        <v>0</v>
      </c>
      <c r="R1034">
        <v>0</v>
      </c>
    </row>
    <row r="1035" spans="1:18" x14ac:dyDescent="0.25">
      <c r="A1035">
        <v>201034</v>
      </c>
      <c r="B1035">
        <v>50128</v>
      </c>
      <c r="C1035" t="s">
        <v>34</v>
      </c>
      <c r="D1035">
        <v>3082.29</v>
      </c>
      <c r="E1035">
        <v>1909</v>
      </c>
      <c r="F1035">
        <v>0</v>
      </c>
      <c r="G1035">
        <v>3</v>
      </c>
      <c r="H1035">
        <v>1</v>
      </c>
      <c r="I1035" t="s">
        <v>19</v>
      </c>
      <c r="J1035">
        <v>0</v>
      </c>
      <c r="K1035">
        <v>51</v>
      </c>
      <c r="L1035" t="s">
        <v>20</v>
      </c>
      <c r="M1035" t="s">
        <v>37</v>
      </c>
      <c r="N1035" t="s">
        <v>30</v>
      </c>
      <c r="O1035" t="s">
        <v>27</v>
      </c>
      <c r="P1035">
        <v>5.38</v>
      </c>
      <c r="Q1035" s="2" t="b">
        <f>FALSE()</f>
        <v>0</v>
      </c>
      <c r="R1035">
        <v>0</v>
      </c>
    </row>
    <row r="1036" spans="1:18" x14ac:dyDescent="0.25">
      <c r="A1036">
        <v>201035</v>
      </c>
      <c r="B1036">
        <v>53852</v>
      </c>
      <c r="C1036" t="s">
        <v>28</v>
      </c>
      <c r="D1036">
        <v>6278.72</v>
      </c>
      <c r="E1036">
        <v>3373</v>
      </c>
      <c r="F1036">
        <v>1</v>
      </c>
      <c r="G1036">
        <v>3</v>
      </c>
      <c r="H1036">
        <v>1</v>
      </c>
      <c r="I1036" t="s">
        <v>19</v>
      </c>
      <c r="J1036">
        <v>1</v>
      </c>
      <c r="K1036">
        <v>26</v>
      </c>
      <c r="L1036" t="s">
        <v>24</v>
      </c>
      <c r="M1036" t="s">
        <v>21</v>
      </c>
      <c r="N1036" t="s">
        <v>22</v>
      </c>
      <c r="O1036" t="s">
        <v>36</v>
      </c>
      <c r="P1036">
        <v>7.75</v>
      </c>
      <c r="Q1036" s="2" t="b">
        <f>FALSE()</f>
        <v>0</v>
      </c>
      <c r="R1036">
        <v>1</v>
      </c>
    </row>
    <row r="1037" spans="1:18" x14ac:dyDescent="0.25">
      <c r="A1037">
        <v>201036</v>
      </c>
      <c r="B1037">
        <v>54388</v>
      </c>
      <c r="C1037" t="s">
        <v>18</v>
      </c>
      <c r="D1037">
        <v>2149.06</v>
      </c>
      <c r="E1037">
        <v>3357</v>
      </c>
      <c r="F1037">
        <v>0</v>
      </c>
      <c r="G1037">
        <v>5</v>
      </c>
      <c r="H1037">
        <v>0</v>
      </c>
      <c r="I1037" t="s">
        <v>19</v>
      </c>
      <c r="J1037">
        <v>0</v>
      </c>
      <c r="K1037">
        <v>19</v>
      </c>
      <c r="L1037" t="s">
        <v>20</v>
      </c>
      <c r="M1037" t="s">
        <v>29</v>
      </c>
      <c r="N1037" t="s">
        <v>30</v>
      </c>
      <c r="O1037" t="s">
        <v>36</v>
      </c>
      <c r="P1037">
        <v>0.28000000000000003</v>
      </c>
      <c r="Q1037" s="2" t="b">
        <f>FALSE()</f>
        <v>0</v>
      </c>
      <c r="R1037">
        <v>0</v>
      </c>
    </row>
    <row r="1038" spans="1:18" x14ac:dyDescent="0.25">
      <c r="A1038">
        <v>201037</v>
      </c>
      <c r="B1038">
        <v>54303</v>
      </c>
      <c r="C1038" t="s">
        <v>18</v>
      </c>
      <c r="D1038">
        <v>2319.6999999999998</v>
      </c>
      <c r="E1038">
        <v>1852</v>
      </c>
      <c r="F1038">
        <v>2</v>
      </c>
      <c r="G1038">
        <v>4</v>
      </c>
      <c r="H1038">
        <v>1</v>
      </c>
      <c r="I1038" t="s">
        <v>33</v>
      </c>
      <c r="J1038">
        <v>0</v>
      </c>
      <c r="K1038">
        <v>47</v>
      </c>
      <c r="L1038" t="s">
        <v>20</v>
      </c>
      <c r="M1038" t="s">
        <v>29</v>
      </c>
      <c r="N1038" t="s">
        <v>26</v>
      </c>
      <c r="O1038" t="s">
        <v>27</v>
      </c>
      <c r="P1038">
        <v>4.03</v>
      </c>
      <c r="Q1038" s="2" t="b">
        <f>FALSE()</f>
        <v>0</v>
      </c>
      <c r="R1038">
        <v>0</v>
      </c>
    </row>
    <row r="1039" spans="1:18" x14ac:dyDescent="0.25">
      <c r="A1039">
        <v>201038</v>
      </c>
      <c r="B1039">
        <v>55971</v>
      </c>
      <c r="C1039" t="s">
        <v>18</v>
      </c>
      <c r="D1039">
        <v>622.04999999999995</v>
      </c>
      <c r="E1039">
        <v>2570</v>
      </c>
      <c r="F1039">
        <v>1</v>
      </c>
      <c r="G1039">
        <v>4</v>
      </c>
      <c r="H1039">
        <v>1</v>
      </c>
      <c r="I1039" t="s">
        <v>33</v>
      </c>
      <c r="J1039">
        <v>0</v>
      </c>
      <c r="K1039">
        <v>68</v>
      </c>
      <c r="L1039" t="s">
        <v>20</v>
      </c>
      <c r="M1039" t="s">
        <v>35</v>
      </c>
      <c r="N1039" t="s">
        <v>22</v>
      </c>
      <c r="O1039" t="s">
        <v>27</v>
      </c>
      <c r="P1039">
        <v>3.13</v>
      </c>
      <c r="Q1039" s="2" t="b">
        <f>FALSE()</f>
        <v>0</v>
      </c>
      <c r="R1039">
        <v>0</v>
      </c>
    </row>
    <row r="1040" spans="1:18" x14ac:dyDescent="0.25">
      <c r="A1040">
        <v>201039</v>
      </c>
      <c r="B1040">
        <v>54825</v>
      </c>
      <c r="C1040" t="s">
        <v>34</v>
      </c>
      <c r="D1040">
        <v>5781.36</v>
      </c>
      <c r="E1040">
        <v>1098</v>
      </c>
      <c r="F1040">
        <v>1</v>
      </c>
      <c r="G1040">
        <v>11</v>
      </c>
      <c r="H1040">
        <v>1</v>
      </c>
      <c r="I1040" t="s">
        <v>19</v>
      </c>
      <c r="J1040">
        <v>0</v>
      </c>
      <c r="K1040">
        <v>47</v>
      </c>
      <c r="L1040" t="s">
        <v>24</v>
      </c>
      <c r="M1040" t="s">
        <v>35</v>
      </c>
      <c r="N1040" t="s">
        <v>30</v>
      </c>
      <c r="O1040" t="s">
        <v>36</v>
      </c>
      <c r="P1040">
        <v>3.12</v>
      </c>
      <c r="Q1040" s="2" t="b">
        <f>FALSE()</f>
        <v>0</v>
      </c>
      <c r="R1040">
        <v>1</v>
      </c>
    </row>
    <row r="1041" spans="1:18" x14ac:dyDescent="0.25">
      <c r="A1041">
        <v>201040</v>
      </c>
      <c r="B1041">
        <v>55595</v>
      </c>
      <c r="C1041" t="s">
        <v>34</v>
      </c>
      <c r="D1041">
        <v>1247.58</v>
      </c>
      <c r="E1041">
        <v>3186</v>
      </c>
      <c r="F1041">
        <v>0</v>
      </c>
      <c r="G1041">
        <v>6</v>
      </c>
      <c r="H1041">
        <v>0</v>
      </c>
      <c r="I1041" t="s">
        <v>32</v>
      </c>
      <c r="J1041">
        <v>0</v>
      </c>
      <c r="K1041">
        <v>76</v>
      </c>
      <c r="L1041" t="s">
        <v>24</v>
      </c>
      <c r="M1041" t="s">
        <v>37</v>
      </c>
      <c r="N1041" t="s">
        <v>30</v>
      </c>
      <c r="O1041" t="s">
        <v>27</v>
      </c>
      <c r="P1041">
        <v>0.98</v>
      </c>
      <c r="Q1041" s="2" t="b">
        <f>FALSE()</f>
        <v>0</v>
      </c>
      <c r="R1041">
        <v>0</v>
      </c>
    </row>
    <row r="1042" spans="1:18" x14ac:dyDescent="0.25">
      <c r="A1042">
        <v>201041</v>
      </c>
      <c r="B1042">
        <v>55232</v>
      </c>
      <c r="C1042" t="s">
        <v>34</v>
      </c>
      <c r="D1042">
        <v>4031.73</v>
      </c>
      <c r="E1042">
        <v>3149</v>
      </c>
      <c r="F1042">
        <v>2</v>
      </c>
      <c r="G1042">
        <v>5</v>
      </c>
      <c r="H1042">
        <v>0</v>
      </c>
      <c r="I1042" t="s">
        <v>33</v>
      </c>
      <c r="J1042">
        <v>0</v>
      </c>
      <c r="K1042">
        <v>84</v>
      </c>
      <c r="L1042" t="s">
        <v>20</v>
      </c>
      <c r="M1042" t="s">
        <v>25</v>
      </c>
      <c r="N1042" t="s">
        <v>22</v>
      </c>
      <c r="O1042" t="s">
        <v>36</v>
      </c>
      <c r="P1042">
        <v>4.21</v>
      </c>
      <c r="Q1042" s="2" t="b">
        <f>FALSE()</f>
        <v>0</v>
      </c>
      <c r="R1042">
        <v>1</v>
      </c>
    </row>
    <row r="1043" spans="1:18" x14ac:dyDescent="0.25">
      <c r="A1043">
        <v>201042</v>
      </c>
      <c r="B1043">
        <v>53164</v>
      </c>
      <c r="C1043" t="s">
        <v>34</v>
      </c>
      <c r="D1043">
        <v>874.06</v>
      </c>
      <c r="E1043">
        <v>497</v>
      </c>
      <c r="F1043">
        <v>2</v>
      </c>
      <c r="G1043">
        <v>1</v>
      </c>
      <c r="H1043">
        <v>0</v>
      </c>
      <c r="I1043" t="s">
        <v>33</v>
      </c>
      <c r="J1043">
        <v>1</v>
      </c>
      <c r="K1043">
        <v>33</v>
      </c>
      <c r="L1043" t="s">
        <v>24</v>
      </c>
      <c r="M1043" t="s">
        <v>25</v>
      </c>
      <c r="N1043" t="s">
        <v>26</v>
      </c>
      <c r="O1043" t="s">
        <v>27</v>
      </c>
      <c r="P1043">
        <v>4.07</v>
      </c>
      <c r="Q1043" s="2" t="b">
        <f>FALSE()</f>
        <v>0</v>
      </c>
      <c r="R1043">
        <v>0</v>
      </c>
    </row>
    <row r="1044" spans="1:18" x14ac:dyDescent="0.25">
      <c r="A1044">
        <v>201043</v>
      </c>
      <c r="B1044">
        <v>52596</v>
      </c>
      <c r="C1044" t="s">
        <v>18</v>
      </c>
      <c r="D1044">
        <v>1218.2</v>
      </c>
      <c r="E1044">
        <v>2185</v>
      </c>
      <c r="F1044">
        <v>0</v>
      </c>
      <c r="G1044">
        <v>4</v>
      </c>
      <c r="H1044">
        <v>0</v>
      </c>
      <c r="I1044" t="s">
        <v>32</v>
      </c>
      <c r="J1044">
        <v>0</v>
      </c>
      <c r="K1044">
        <v>61</v>
      </c>
      <c r="L1044" t="s">
        <v>24</v>
      </c>
      <c r="M1044" t="s">
        <v>29</v>
      </c>
      <c r="N1044" t="s">
        <v>22</v>
      </c>
      <c r="O1044" t="s">
        <v>27</v>
      </c>
      <c r="P1044">
        <v>0.87</v>
      </c>
      <c r="Q1044" s="2" t="b">
        <f>FALSE()</f>
        <v>0</v>
      </c>
      <c r="R1044">
        <v>0</v>
      </c>
    </row>
    <row r="1045" spans="1:18" x14ac:dyDescent="0.25">
      <c r="A1045">
        <v>201044</v>
      </c>
      <c r="B1045">
        <v>54988</v>
      </c>
      <c r="C1045" t="s">
        <v>18</v>
      </c>
      <c r="D1045">
        <v>2174.39</v>
      </c>
      <c r="E1045">
        <v>1051</v>
      </c>
      <c r="F1045">
        <v>2</v>
      </c>
      <c r="G1045">
        <v>2</v>
      </c>
      <c r="H1045">
        <v>0</v>
      </c>
      <c r="I1045" t="s">
        <v>33</v>
      </c>
      <c r="J1045">
        <v>0</v>
      </c>
      <c r="K1045">
        <v>73</v>
      </c>
      <c r="L1045" t="s">
        <v>24</v>
      </c>
      <c r="M1045" t="s">
        <v>25</v>
      </c>
      <c r="N1045" t="s">
        <v>22</v>
      </c>
      <c r="O1045" t="s">
        <v>27</v>
      </c>
      <c r="P1045">
        <v>5.52</v>
      </c>
      <c r="Q1045" s="2" t="b">
        <f>FALSE()</f>
        <v>0</v>
      </c>
      <c r="R1045">
        <v>0</v>
      </c>
    </row>
    <row r="1046" spans="1:18" x14ac:dyDescent="0.25">
      <c r="A1046">
        <v>201045</v>
      </c>
      <c r="B1046">
        <v>50621</v>
      </c>
      <c r="C1046" t="s">
        <v>34</v>
      </c>
      <c r="D1046">
        <v>440.64</v>
      </c>
      <c r="E1046">
        <v>3035</v>
      </c>
      <c r="F1046">
        <v>1</v>
      </c>
      <c r="G1046">
        <v>1</v>
      </c>
      <c r="H1046">
        <v>0</v>
      </c>
      <c r="I1046" t="s">
        <v>33</v>
      </c>
      <c r="J1046">
        <v>0</v>
      </c>
      <c r="K1046">
        <v>52</v>
      </c>
      <c r="L1046" t="s">
        <v>20</v>
      </c>
      <c r="M1046" t="s">
        <v>25</v>
      </c>
      <c r="N1046" t="s">
        <v>26</v>
      </c>
      <c r="O1046" t="s">
        <v>27</v>
      </c>
      <c r="P1046">
        <v>0.49</v>
      </c>
      <c r="Q1046" s="2" t="b">
        <f>FALSE()</f>
        <v>0</v>
      </c>
      <c r="R1046">
        <v>0</v>
      </c>
    </row>
    <row r="1047" spans="1:18" x14ac:dyDescent="0.25">
      <c r="A1047">
        <v>201046</v>
      </c>
      <c r="B1047">
        <v>52051</v>
      </c>
      <c r="C1047" t="s">
        <v>18</v>
      </c>
      <c r="D1047">
        <v>1050.9000000000001</v>
      </c>
      <c r="E1047">
        <v>3401</v>
      </c>
      <c r="F1047">
        <v>2</v>
      </c>
      <c r="G1047">
        <v>6</v>
      </c>
      <c r="H1047">
        <v>0</v>
      </c>
      <c r="I1047" t="s">
        <v>33</v>
      </c>
      <c r="J1047">
        <v>1</v>
      </c>
      <c r="K1047">
        <v>26</v>
      </c>
      <c r="L1047" t="s">
        <v>24</v>
      </c>
      <c r="M1047" t="s">
        <v>21</v>
      </c>
      <c r="N1047" t="s">
        <v>30</v>
      </c>
      <c r="O1047" t="s">
        <v>36</v>
      </c>
      <c r="P1047">
        <v>3.36</v>
      </c>
      <c r="Q1047" s="2" t="b">
        <f>FALSE()</f>
        <v>0</v>
      </c>
      <c r="R1047">
        <v>0</v>
      </c>
    </row>
    <row r="1048" spans="1:18" x14ac:dyDescent="0.25">
      <c r="A1048">
        <v>201047</v>
      </c>
      <c r="B1048">
        <v>55597</v>
      </c>
      <c r="C1048" t="s">
        <v>18</v>
      </c>
      <c r="D1048">
        <v>4148.1899999999996</v>
      </c>
      <c r="E1048">
        <v>715</v>
      </c>
      <c r="F1048">
        <v>0</v>
      </c>
      <c r="G1048">
        <v>3</v>
      </c>
      <c r="H1048">
        <v>1</v>
      </c>
      <c r="I1048" t="s">
        <v>33</v>
      </c>
      <c r="J1048">
        <v>0</v>
      </c>
      <c r="K1048">
        <v>29</v>
      </c>
      <c r="L1048" t="s">
        <v>20</v>
      </c>
      <c r="M1048" t="s">
        <v>25</v>
      </c>
      <c r="N1048" t="s">
        <v>22</v>
      </c>
      <c r="O1048" t="s">
        <v>27</v>
      </c>
      <c r="P1048">
        <v>0.2</v>
      </c>
      <c r="Q1048" s="2" t="b">
        <f>FALSE()</f>
        <v>0</v>
      </c>
      <c r="R1048">
        <v>1</v>
      </c>
    </row>
    <row r="1049" spans="1:18" x14ac:dyDescent="0.25">
      <c r="A1049">
        <v>201048</v>
      </c>
      <c r="B1049">
        <v>50326</v>
      </c>
      <c r="C1049" t="s">
        <v>34</v>
      </c>
      <c r="D1049">
        <v>861.73</v>
      </c>
      <c r="E1049">
        <v>829</v>
      </c>
      <c r="F1049">
        <v>2</v>
      </c>
      <c r="G1049">
        <v>6</v>
      </c>
      <c r="H1049">
        <v>0</v>
      </c>
      <c r="I1049" t="s">
        <v>33</v>
      </c>
      <c r="J1049">
        <v>0</v>
      </c>
      <c r="K1049">
        <v>61</v>
      </c>
      <c r="L1049" t="s">
        <v>24</v>
      </c>
      <c r="M1049" t="s">
        <v>37</v>
      </c>
      <c r="N1049" t="s">
        <v>22</v>
      </c>
      <c r="O1049" t="s">
        <v>27</v>
      </c>
      <c r="P1049">
        <v>9.42</v>
      </c>
      <c r="Q1049" s="2" t="b">
        <f>FALSE()</f>
        <v>0</v>
      </c>
      <c r="R1049">
        <v>0</v>
      </c>
    </row>
    <row r="1050" spans="1:18" x14ac:dyDescent="0.25">
      <c r="A1050">
        <v>201049</v>
      </c>
      <c r="B1050">
        <v>54601</v>
      </c>
      <c r="C1050" t="s">
        <v>28</v>
      </c>
      <c r="D1050">
        <v>3051.56</v>
      </c>
      <c r="E1050">
        <v>613</v>
      </c>
      <c r="F1050">
        <v>1</v>
      </c>
      <c r="G1050">
        <v>7</v>
      </c>
      <c r="H1050">
        <v>0</v>
      </c>
      <c r="I1050" t="s">
        <v>19</v>
      </c>
      <c r="J1050">
        <v>1</v>
      </c>
      <c r="K1050">
        <v>79</v>
      </c>
      <c r="L1050" t="s">
        <v>20</v>
      </c>
      <c r="M1050" t="s">
        <v>31</v>
      </c>
      <c r="N1050" t="s">
        <v>26</v>
      </c>
      <c r="O1050" t="s">
        <v>36</v>
      </c>
      <c r="P1050">
        <v>0.14000000000000001</v>
      </c>
      <c r="Q1050" s="2" t="b">
        <f>FALSE()</f>
        <v>0</v>
      </c>
      <c r="R1050">
        <v>1</v>
      </c>
    </row>
    <row r="1051" spans="1:18" x14ac:dyDescent="0.25">
      <c r="A1051">
        <v>201050</v>
      </c>
      <c r="B1051">
        <v>55796</v>
      </c>
      <c r="C1051" t="s">
        <v>34</v>
      </c>
      <c r="D1051">
        <v>5585.25</v>
      </c>
      <c r="E1051">
        <v>3049</v>
      </c>
      <c r="F1051">
        <v>1</v>
      </c>
      <c r="G1051">
        <v>3</v>
      </c>
      <c r="H1051">
        <v>0</v>
      </c>
      <c r="I1051" t="s">
        <v>19</v>
      </c>
      <c r="J1051">
        <v>0</v>
      </c>
      <c r="K1051">
        <v>76</v>
      </c>
      <c r="L1051" t="s">
        <v>24</v>
      </c>
      <c r="M1051" t="s">
        <v>35</v>
      </c>
      <c r="N1051" t="s">
        <v>30</v>
      </c>
      <c r="O1051" t="s">
        <v>27</v>
      </c>
      <c r="P1051">
        <v>4.28</v>
      </c>
      <c r="Q1051" s="2" t="b">
        <f>FALSE()</f>
        <v>0</v>
      </c>
      <c r="R1051">
        <v>1</v>
      </c>
    </row>
    <row r="1052" spans="1:18" x14ac:dyDescent="0.25">
      <c r="A1052">
        <v>201051</v>
      </c>
      <c r="B1052">
        <v>55166</v>
      </c>
      <c r="C1052" t="s">
        <v>18</v>
      </c>
      <c r="D1052">
        <v>3690.13</v>
      </c>
      <c r="E1052">
        <v>2767</v>
      </c>
      <c r="F1052">
        <v>0</v>
      </c>
      <c r="G1052">
        <v>4</v>
      </c>
      <c r="H1052">
        <v>0</v>
      </c>
      <c r="I1052" t="s">
        <v>32</v>
      </c>
      <c r="J1052">
        <v>0</v>
      </c>
      <c r="K1052">
        <v>48</v>
      </c>
      <c r="L1052" t="s">
        <v>20</v>
      </c>
      <c r="M1052" t="s">
        <v>29</v>
      </c>
      <c r="N1052" t="s">
        <v>30</v>
      </c>
      <c r="O1052" t="s">
        <v>36</v>
      </c>
      <c r="P1052">
        <v>4.04</v>
      </c>
      <c r="Q1052" s="2" t="b">
        <f>FALSE()</f>
        <v>0</v>
      </c>
      <c r="R1052">
        <v>1</v>
      </c>
    </row>
    <row r="1053" spans="1:18" x14ac:dyDescent="0.25">
      <c r="A1053">
        <v>201052</v>
      </c>
      <c r="B1053">
        <v>51772</v>
      </c>
      <c r="C1053" t="s">
        <v>18</v>
      </c>
      <c r="D1053">
        <v>2944.96</v>
      </c>
      <c r="E1053">
        <v>2504</v>
      </c>
      <c r="F1053">
        <v>2</v>
      </c>
      <c r="G1053">
        <v>4</v>
      </c>
      <c r="H1053">
        <v>0</v>
      </c>
      <c r="I1053" t="s">
        <v>19</v>
      </c>
      <c r="J1053">
        <v>0</v>
      </c>
      <c r="K1053">
        <v>63</v>
      </c>
      <c r="L1053" t="s">
        <v>24</v>
      </c>
      <c r="M1053" t="s">
        <v>35</v>
      </c>
      <c r="N1053" t="s">
        <v>30</v>
      </c>
      <c r="O1053" t="s">
        <v>23</v>
      </c>
      <c r="P1053">
        <v>1.1200000000000001</v>
      </c>
      <c r="Q1053" s="2" t="b">
        <f>FALSE()</f>
        <v>0</v>
      </c>
      <c r="R1053">
        <v>0</v>
      </c>
    </row>
    <row r="1054" spans="1:18" x14ac:dyDescent="0.25">
      <c r="A1054">
        <v>201053</v>
      </c>
      <c r="B1054">
        <v>53418</v>
      </c>
      <c r="C1054" t="s">
        <v>28</v>
      </c>
      <c r="D1054">
        <v>2574.5300000000002</v>
      </c>
      <c r="E1054">
        <v>2107</v>
      </c>
      <c r="F1054">
        <v>0</v>
      </c>
      <c r="G1054">
        <v>1</v>
      </c>
      <c r="H1054">
        <v>1</v>
      </c>
      <c r="I1054" t="s">
        <v>19</v>
      </c>
      <c r="J1054">
        <v>0</v>
      </c>
      <c r="K1054">
        <v>80</v>
      </c>
      <c r="L1054" t="s">
        <v>20</v>
      </c>
      <c r="M1054" t="s">
        <v>35</v>
      </c>
      <c r="N1054" t="s">
        <v>30</v>
      </c>
      <c r="O1054" t="s">
        <v>36</v>
      </c>
      <c r="P1054">
        <v>5.48</v>
      </c>
      <c r="Q1054" s="2" t="b">
        <f>FALSE()</f>
        <v>0</v>
      </c>
      <c r="R1054">
        <v>0</v>
      </c>
    </row>
    <row r="1055" spans="1:18" x14ac:dyDescent="0.25">
      <c r="A1055">
        <v>201054</v>
      </c>
      <c r="B1055">
        <v>54263</v>
      </c>
      <c r="C1055" t="s">
        <v>18</v>
      </c>
      <c r="D1055">
        <v>4770.22</v>
      </c>
      <c r="E1055">
        <v>449</v>
      </c>
      <c r="F1055">
        <v>4</v>
      </c>
      <c r="G1055">
        <v>3</v>
      </c>
      <c r="H1055">
        <v>0</v>
      </c>
      <c r="I1055" t="s">
        <v>33</v>
      </c>
      <c r="J1055">
        <v>0</v>
      </c>
      <c r="K1055">
        <v>42</v>
      </c>
      <c r="L1055" t="s">
        <v>20</v>
      </c>
      <c r="M1055" t="s">
        <v>29</v>
      </c>
      <c r="N1055" t="s">
        <v>22</v>
      </c>
      <c r="O1055" t="s">
        <v>23</v>
      </c>
      <c r="P1055">
        <v>0.38</v>
      </c>
      <c r="Q1055" s="2" t="b">
        <f>FALSE()</f>
        <v>0</v>
      </c>
      <c r="R1055">
        <v>1</v>
      </c>
    </row>
    <row r="1056" spans="1:18" x14ac:dyDescent="0.25">
      <c r="A1056">
        <v>201055</v>
      </c>
      <c r="B1056">
        <v>55565</v>
      </c>
      <c r="C1056" t="s">
        <v>18</v>
      </c>
      <c r="D1056">
        <v>1159.17</v>
      </c>
      <c r="E1056">
        <v>1190</v>
      </c>
      <c r="F1056">
        <v>0</v>
      </c>
      <c r="G1056">
        <v>3</v>
      </c>
      <c r="H1056">
        <v>0</v>
      </c>
      <c r="I1056" t="s">
        <v>33</v>
      </c>
      <c r="J1056">
        <v>0</v>
      </c>
      <c r="K1056">
        <v>43</v>
      </c>
      <c r="L1056" t="s">
        <v>24</v>
      </c>
      <c r="M1056" t="s">
        <v>37</v>
      </c>
      <c r="N1056" t="s">
        <v>22</v>
      </c>
      <c r="O1056" t="s">
        <v>36</v>
      </c>
      <c r="P1056">
        <v>1.4</v>
      </c>
      <c r="Q1056" s="2" t="b">
        <f>FALSE()</f>
        <v>0</v>
      </c>
      <c r="R1056">
        <v>0</v>
      </c>
    </row>
    <row r="1057" spans="1:18" x14ac:dyDescent="0.25">
      <c r="A1057">
        <v>201056</v>
      </c>
      <c r="B1057">
        <v>53484</v>
      </c>
      <c r="C1057" t="s">
        <v>28</v>
      </c>
      <c r="D1057">
        <v>1650</v>
      </c>
      <c r="E1057">
        <v>904</v>
      </c>
      <c r="F1057">
        <v>0</v>
      </c>
      <c r="G1057">
        <v>6</v>
      </c>
      <c r="H1057">
        <v>1</v>
      </c>
      <c r="I1057" t="s">
        <v>19</v>
      </c>
      <c r="J1057">
        <v>0</v>
      </c>
      <c r="K1057">
        <v>29</v>
      </c>
      <c r="L1057" t="s">
        <v>20</v>
      </c>
      <c r="M1057" t="s">
        <v>21</v>
      </c>
      <c r="N1057" t="s">
        <v>26</v>
      </c>
      <c r="O1057" t="s">
        <v>27</v>
      </c>
      <c r="P1057">
        <v>11.96</v>
      </c>
      <c r="Q1057" s="2" t="b">
        <f>FALSE()</f>
        <v>0</v>
      </c>
      <c r="R1057">
        <v>0</v>
      </c>
    </row>
    <row r="1058" spans="1:18" x14ac:dyDescent="0.25">
      <c r="A1058">
        <v>201057</v>
      </c>
      <c r="B1058">
        <v>54120</v>
      </c>
      <c r="C1058" t="s">
        <v>18</v>
      </c>
      <c r="D1058">
        <v>4081.88</v>
      </c>
      <c r="E1058">
        <v>3187</v>
      </c>
      <c r="F1058">
        <v>0</v>
      </c>
      <c r="G1058">
        <v>3</v>
      </c>
      <c r="H1058">
        <v>1</v>
      </c>
      <c r="I1058" t="s">
        <v>19</v>
      </c>
      <c r="J1058">
        <v>0</v>
      </c>
      <c r="K1058">
        <v>23</v>
      </c>
      <c r="L1058" t="s">
        <v>20</v>
      </c>
      <c r="M1058" t="s">
        <v>35</v>
      </c>
      <c r="N1058" t="s">
        <v>30</v>
      </c>
      <c r="O1058" t="s">
        <v>27</v>
      </c>
      <c r="P1058">
        <v>0.76</v>
      </c>
      <c r="Q1058" s="2" t="b">
        <f>FALSE()</f>
        <v>0</v>
      </c>
      <c r="R1058">
        <v>1</v>
      </c>
    </row>
    <row r="1059" spans="1:18" x14ac:dyDescent="0.25">
      <c r="A1059">
        <v>201058</v>
      </c>
      <c r="B1059">
        <v>53940</v>
      </c>
      <c r="C1059" t="s">
        <v>18</v>
      </c>
      <c r="D1059">
        <v>2619.62</v>
      </c>
      <c r="E1059">
        <v>1463</v>
      </c>
      <c r="F1059">
        <v>0</v>
      </c>
      <c r="G1059">
        <v>3</v>
      </c>
      <c r="H1059">
        <v>0</v>
      </c>
      <c r="I1059" t="s">
        <v>32</v>
      </c>
      <c r="J1059">
        <v>1</v>
      </c>
      <c r="K1059">
        <v>40</v>
      </c>
      <c r="L1059" t="s">
        <v>24</v>
      </c>
      <c r="M1059" t="s">
        <v>31</v>
      </c>
      <c r="N1059" t="s">
        <v>30</v>
      </c>
      <c r="O1059" t="s">
        <v>27</v>
      </c>
      <c r="P1059">
        <v>0</v>
      </c>
      <c r="Q1059" s="2" t="b">
        <f>FALSE()</f>
        <v>0</v>
      </c>
      <c r="R1059">
        <v>0</v>
      </c>
    </row>
    <row r="1060" spans="1:18" x14ac:dyDescent="0.25">
      <c r="A1060">
        <v>201059</v>
      </c>
      <c r="B1060">
        <v>54245</v>
      </c>
      <c r="C1060" t="s">
        <v>18</v>
      </c>
      <c r="D1060">
        <v>3196.34</v>
      </c>
      <c r="E1060">
        <v>2346</v>
      </c>
      <c r="F1060">
        <v>0</v>
      </c>
      <c r="G1060">
        <v>2</v>
      </c>
      <c r="H1060">
        <v>0</v>
      </c>
      <c r="I1060" t="s">
        <v>19</v>
      </c>
      <c r="J1060">
        <v>1</v>
      </c>
      <c r="K1060">
        <v>76</v>
      </c>
      <c r="L1060" t="s">
        <v>38</v>
      </c>
      <c r="M1060" t="s">
        <v>25</v>
      </c>
      <c r="N1060" t="s">
        <v>22</v>
      </c>
      <c r="O1060" t="s">
        <v>36</v>
      </c>
      <c r="P1060">
        <v>0.12</v>
      </c>
      <c r="Q1060" s="2" t="b">
        <f>FALSE()</f>
        <v>0</v>
      </c>
      <c r="R1060">
        <v>0</v>
      </c>
    </row>
    <row r="1061" spans="1:18" x14ac:dyDescent="0.25">
      <c r="A1061">
        <v>201060</v>
      </c>
      <c r="B1061">
        <v>53501</v>
      </c>
      <c r="C1061" t="s">
        <v>18</v>
      </c>
      <c r="D1061">
        <v>2469.0500000000002</v>
      </c>
      <c r="E1061">
        <v>2134</v>
      </c>
      <c r="F1061">
        <v>1</v>
      </c>
      <c r="G1061">
        <v>4</v>
      </c>
      <c r="H1061">
        <v>1</v>
      </c>
      <c r="I1061" t="s">
        <v>19</v>
      </c>
      <c r="J1061">
        <v>0</v>
      </c>
      <c r="K1061">
        <v>48</v>
      </c>
      <c r="L1061" t="s">
        <v>20</v>
      </c>
      <c r="M1061" t="s">
        <v>25</v>
      </c>
      <c r="N1061" t="s">
        <v>26</v>
      </c>
      <c r="O1061" t="s">
        <v>23</v>
      </c>
      <c r="P1061">
        <v>0.25</v>
      </c>
      <c r="Q1061" s="2" t="b">
        <f>FALSE()</f>
        <v>0</v>
      </c>
      <c r="R1061">
        <v>0</v>
      </c>
    </row>
    <row r="1062" spans="1:18" x14ac:dyDescent="0.25">
      <c r="A1062">
        <v>201061</v>
      </c>
      <c r="B1062">
        <v>51554</v>
      </c>
      <c r="C1062" t="s">
        <v>18</v>
      </c>
      <c r="D1062">
        <v>1005.61</v>
      </c>
      <c r="E1062">
        <v>1305</v>
      </c>
      <c r="F1062">
        <v>2</v>
      </c>
      <c r="G1062">
        <v>1</v>
      </c>
      <c r="H1062">
        <v>0</v>
      </c>
      <c r="I1062" t="s">
        <v>33</v>
      </c>
      <c r="J1062">
        <v>0</v>
      </c>
      <c r="K1062">
        <v>81</v>
      </c>
      <c r="L1062" t="s">
        <v>20</v>
      </c>
      <c r="M1062" t="s">
        <v>21</v>
      </c>
      <c r="N1062" t="s">
        <v>30</v>
      </c>
      <c r="O1062" t="s">
        <v>27</v>
      </c>
      <c r="P1062">
        <v>2.5499999999999998</v>
      </c>
      <c r="Q1062" s="2" t="b">
        <f>FALSE()</f>
        <v>0</v>
      </c>
      <c r="R1062">
        <v>0</v>
      </c>
    </row>
    <row r="1063" spans="1:18" x14ac:dyDescent="0.25">
      <c r="A1063">
        <v>201062</v>
      </c>
      <c r="B1063">
        <v>55281</v>
      </c>
      <c r="C1063" t="s">
        <v>34</v>
      </c>
      <c r="D1063">
        <v>4015.35</v>
      </c>
      <c r="E1063">
        <v>1966</v>
      </c>
      <c r="F1063">
        <v>1</v>
      </c>
      <c r="G1063">
        <v>6</v>
      </c>
      <c r="H1063">
        <v>1</v>
      </c>
      <c r="I1063" t="s">
        <v>33</v>
      </c>
      <c r="J1063">
        <v>0</v>
      </c>
      <c r="K1063">
        <v>20</v>
      </c>
      <c r="L1063" t="s">
        <v>24</v>
      </c>
      <c r="M1063" t="s">
        <v>31</v>
      </c>
      <c r="N1063" t="s">
        <v>22</v>
      </c>
      <c r="O1063" t="s">
        <v>36</v>
      </c>
      <c r="P1063">
        <v>2.12</v>
      </c>
      <c r="Q1063" s="2" t="b">
        <f>FALSE()</f>
        <v>0</v>
      </c>
      <c r="R1063">
        <v>1</v>
      </c>
    </row>
    <row r="1064" spans="1:18" x14ac:dyDescent="0.25">
      <c r="A1064">
        <v>201063</v>
      </c>
      <c r="B1064">
        <v>52178</v>
      </c>
      <c r="C1064" t="s">
        <v>18</v>
      </c>
      <c r="D1064">
        <v>746.77</v>
      </c>
      <c r="E1064">
        <v>1373</v>
      </c>
      <c r="F1064">
        <v>0</v>
      </c>
      <c r="G1064">
        <v>1</v>
      </c>
      <c r="H1064">
        <v>0</v>
      </c>
      <c r="I1064" t="s">
        <v>32</v>
      </c>
      <c r="J1064">
        <v>0</v>
      </c>
      <c r="K1064">
        <v>62</v>
      </c>
      <c r="L1064" t="s">
        <v>24</v>
      </c>
      <c r="M1064" t="s">
        <v>25</v>
      </c>
      <c r="N1064" t="s">
        <v>30</v>
      </c>
      <c r="O1064" t="s">
        <v>27</v>
      </c>
      <c r="P1064">
        <v>4.1399999999999997</v>
      </c>
      <c r="Q1064" s="2" t="b">
        <f>FALSE()</f>
        <v>0</v>
      </c>
      <c r="R1064">
        <v>0</v>
      </c>
    </row>
    <row r="1065" spans="1:18" x14ac:dyDescent="0.25">
      <c r="A1065">
        <v>201064</v>
      </c>
      <c r="B1065">
        <v>52269</v>
      </c>
      <c r="C1065" t="s">
        <v>34</v>
      </c>
      <c r="D1065">
        <v>1669.03</v>
      </c>
      <c r="E1065">
        <v>109</v>
      </c>
      <c r="F1065">
        <v>0</v>
      </c>
      <c r="G1065">
        <v>4</v>
      </c>
      <c r="H1065">
        <v>0</v>
      </c>
      <c r="I1065" t="s">
        <v>33</v>
      </c>
      <c r="J1065">
        <v>0</v>
      </c>
      <c r="K1065">
        <v>22</v>
      </c>
      <c r="L1065" t="s">
        <v>24</v>
      </c>
      <c r="M1065" t="s">
        <v>37</v>
      </c>
      <c r="N1065" t="s">
        <v>22</v>
      </c>
      <c r="O1065" t="s">
        <v>27</v>
      </c>
      <c r="P1065">
        <v>5.24</v>
      </c>
      <c r="Q1065" s="2" t="b">
        <f>FALSE()</f>
        <v>0</v>
      </c>
      <c r="R1065">
        <v>0</v>
      </c>
    </row>
    <row r="1066" spans="1:18" x14ac:dyDescent="0.25">
      <c r="A1066">
        <v>201065</v>
      </c>
      <c r="B1066">
        <v>50129</v>
      </c>
      <c r="C1066" t="s">
        <v>18</v>
      </c>
      <c r="D1066">
        <v>1772.01</v>
      </c>
      <c r="E1066">
        <v>602</v>
      </c>
      <c r="F1066">
        <v>0</v>
      </c>
      <c r="G1066">
        <v>7</v>
      </c>
      <c r="H1066">
        <v>0</v>
      </c>
      <c r="I1066" t="s">
        <v>33</v>
      </c>
      <c r="J1066">
        <v>0</v>
      </c>
      <c r="K1066">
        <v>65</v>
      </c>
      <c r="L1066" t="s">
        <v>20</v>
      </c>
      <c r="M1066" t="s">
        <v>35</v>
      </c>
      <c r="N1066" t="s">
        <v>22</v>
      </c>
      <c r="O1066" t="s">
        <v>23</v>
      </c>
      <c r="P1066">
        <v>7.83</v>
      </c>
      <c r="Q1066" s="2" t="b">
        <f>FALSE()</f>
        <v>0</v>
      </c>
      <c r="R1066">
        <v>1</v>
      </c>
    </row>
    <row r="1067" spans="1:18" x14ac:dyDescent="0.25">
      <c r="A1067">
        <v>201066</v>
      </c>
      <c r="B1067">
        <v>51048</v>
      </c>
      <c r="C1067" t="s">
        <v>34</v>
      </c>
      <c r="D1067">
        <v>5645.16</v>
      </c>
      <c r="E1067">
        <v>709</v>
      </c>
      <c r="F1067">
        <v>0</v>
      </c>
      <c r="G1067">
        <v>4</v>
      </c>
      <c r="H1067">
        <v>0</v>
      </c>
      <c r="I1067" t="s">
        <v>33</v>
      </c>
      <c r="J1067">
        <v>0</v>
      </c>
      <c r="K1067">
        <v>46</v>
      </c>
      <c r="L1067" t="s">
        <v>20</v>
      </c>
      <c r="M1067" t="s">
        <v>29</v>
      </c>
      <c r="N1067" t="s">
        <v>22</v>
      </c>
      <c r="O1067" t="s">
        <v>27</v>
      </c>
      <c r="P1067">
        <v>1.96</v>
      </c>
      <c r="Q1067" s="2" t="b">
        <f>FALSE()</f>
        <v>0</v>
      </c>
      <c r="R1067">
        <v>1</v>
      </c>
    </row>
    <row r="1068" spans="1:18" x14ac:dyDescent="0.25">
      <c r="A1068">
        <v>201067</v>
      </c>
      <c r="B1068">
        <v>54358</v>
      </c>
      <c r="C1068" t="s">
        <v>18</v>
      </c>
      <c r="D1068">
        <v>2750.6</v>
      </c>
      <c r="E1068">
        <v>1143</v>
      </c>
      <c r="F1068">
        <v>4</v>
      </c>
      <c r="G1068">
        <v>7</v>
      </c>
      <c r="H1068">
        <v>0</v>
      </c>
      <c r="I1068" t="s">
        <v>33</v>
      </c>
      <c r="J1068">
        <v>0</v>
      </c>
      <c r="K1068">
        <v>66</v>
      </c>
      <c r="L1068" t="s">
        <v>24</v>
      </c>
      <c r="M1068" t="s">
        <v>35</v>
      </c>
      <c r="N1068" t="s">
        <v>30</v>
      </c>
      <c r="O1068" t="s">
        <v>36</v>
      </c>
      <c r="P1068">
        <v>8.9</v>
      </c>
      <c r="Q1068" s="2" t="b">
        <f>FALSE()</f>
        <v>0</v>
      </c>
      <c r="R1068">
        <v>1</v>
      </c>
    </row>
    <row r="1069" spans="1:18" x14ac:dyDescent="0.25">
      <c r="A1069">
        <v>201068</v>
      </c>
      <c r="B1069">
        <v>53287</v>
      </c>
      <c r="C1069" t="s">
        <v>28</v>
      </c>
      <c r="D1069">
        <v>3065.22</v>
      </c>
      <c r="E1069">
        <v>886</v>
      </c>
      <c r="F1069">
        <v>3</v>
      </c>
      <c r="G1069">
        <v>5</v>
      </c>
      <c r="H1069">
        <v>1</v>
      </c>
      <c r="I1069" t="s">
        <v>32</v>
      </c>
      <c r="J1069">
        <v>0</v>
      </c>
      <c r="K1069">
        <v>75</v>
      </c>
      <c r="L1069" t="s">
        <v>20</v>
      </c>
      <c r="M1069" t="s">
        <v>37</v>
      </c>
      <c r="N1069" t="s">
        <v>30</v>
      </c>
      <c r="O1069" t="s">
        <v>36</v>
      </c>
      <c r="P1069">
        <v>0.56000000000000005</v>
      </c>
      <c r="Q1069" s="2" t="b">
        <f>FALSE()</f>
        <v>0</v>
      </c>
      <c r="R1069">
        <v>1</v>
      </c>
    </row>
    <row r="1070" spans="1:18" x14ac:dyDescent="0.25">
      <c r="A1070">
        <v>201069</v>
      </c>
      <c r="B1070">
        <v>52499</v>
      </c>
      <c r="C1070" t="s">
        <v>18</v>
      </c>
      <c r="D1070">
        <v>2635.89</v>
      </c>
      <c r="E1070">
        <v>104</v>
      </c>
      <c r="F1070">
        <v>2</v>
      </c>
      <c r="G1070">
        <v>0</v>
      </c>
      <c r="H1070">
        <v>0</v>
      </c>
      <c r="I1070" t="s">
        <v>32</v>
      </c>
      <c r="J1070">
        <v>1</v>
      </c>
      <c r="K1070">
        <v>23</v>
      </c>
      <c r="L1070" t="s">
        <v>24</v>
      </c>
      <c r="M1070" t="s">
        <v>29</v>
      </c>
      <c r="N1070" t="s">
        <v>22</v>
      </c>
      <c r="O1070" t="s">
        <v>27</v>
      </c>
      <c r="P1070">
        <v>9.19</v>
      </c>
      <c r="Q1070" s="2" t="b">
        <f>FALSE()</f>
        <v>0</v>
      </c>
      <c r="R1070">
        <v>0</v>
      </c>
    </row>
    <row r="1071" spans="1:18" x14ac:dyDescent="0.25">
      <c r="A1071">
        <v>201070</v>
      </c>
      <c r="B1071">
        <v>52844</v>
      </c>
      <c r="C1071" t="s">
        <v>28</v>
      </c>
      <c r="D1071">
        <v>616.86</v>
      </c>
      <c r="E1071">
        <v>3215</v>
      </c>
      <c r="F1071">
        <v>4</v>
      </c>
      <c r="G1071">
        <v>4</v>
      </c>
      <c r="H1071">
        <v>1</v>
      </c>
      <c r="I1071" t="s">
        <v>19</v>
      </c>
      <c r="J1071">
        <v>0</v>
      </c>
      <c r="K1071">
        <v>46</v>
      </c>
      <c r="L1071" t="s">
        <v>24</v>
      </c>
      <c r="M1071" t="s">
        <v>31</v>
      </c>
      <c r="N1071" t="s">
        <v>26</v>
      </c>
      <c r="O1071" t="s">
        <v>36</v>
      </c>
      <c r="P1071">
        <v>6.2</v>
      </c>
      <c r="Q1071" s="2" t="b">
        <f>FALSE()</f>
        <v>0</v>
      </c>
      <c r="R1071">
        <v>1</v>
      </c>
    </row>
    <row r="1072" spans="1:18" x14ac:dyDescent="0.25">
      <c r="A1072">
        <v>201071</v>
      </c>
      <c r="B1072">
        <v>51520</v>
      </c>
      <c r="C1072" t="s">
        <v>18</v>
      </c>
      <c r="D1072">
        <v>5959.04</v>
      </c>
      <c r="E1072">
        <v>3178</v>
      </c>
      <c r="F1072">
        <v>1</v>
      </c>
      <c r="G1072">
        <v>5</v>
      </c>
      <c r="H1072">
        <v>0</v>
      </c>
      <c r="I1072" t="s">
        <v>33</v>
      </c>
      <c r="J1072">
        <v>0</v>
      </c>
      <c r="K1072">
        <v>18</v>
      </c>
      <c r="L1072" t="s">
        <v>24</v>
      </c>
      <c r="M1072" t="s">
        <v>25</v>
      </c>
      <c r="N1072" t="s">
        <v>22</v>
      </c>
      <c r="O1072" t="s">
        <v>36</v>
      </c>
      <c r="P1072">
        <v>3.29</v>
      </c>
      <c r="Q1072" s="2" t="b">
        <f>FALSE()</f>
        <v>0</v>
      </c>
      <c r="R1072">
        <v>1</v>
      </c>
    </row>
    <row r="1073" spans="1:18" x14ac:dyDescent="0.25">
      <c r="A1073">
        <v>201072</v>
      </c>
      <c r="B1073">
        <v>53340</v>
      </c>
      <c r="C1073" t="s">
        <v>34</v>
      </c>
      <c r="D1073">
        <v>2156.2600000000002</v>
      </c>
      <c r="E1073">
        <v>284</v>
      </c>
      <c r="F1073">
        <v>3</v>
      </c>
      <c r="G1073">
        <v>4</v>
      </c>
      <c r="H1073">
        <v>0</v>
      </c>
      <c r="I1073" t="s">
        <v>33</v>
      </c>
      <c r="J1073">
        <v>0</v>
      </c>
      <c r="K1073">
        <v>52</v>
      </c>
      <c r="L1073" t="s">
        <v>20</v>
      </c>
      <c r="M1073" t="s">
        <v>35</v>
      </c>
      <c r="N1073" t="s">
        <v>30</v>
      </c>
      <c r="O1073" t="s">
        <v>36</v>
      </c>
      <c r="P1073">
        <v>2.2799999999999998</v>
      </c>
      <c r="Q1073" s="2" t="b">
        <f>FALSE()</f>
        <v>0</v>
      </c>
      <c r="R1073">
        <v>1</v>
      </c>
    </row>
    <row r="1074" spans="1:18" x14ac:dyDescent="0.25">
      <c r="A1074">
        <v>201073</v>
      </c>
      <c r="B1074">
        <v>55666</v>
      </c>
      <c r="C1074" t="s">
        <v>18</v>
      </c>
      <c r="D1074">
        <v>3336.57</v>
      </c>
      <c r="E1074">
        <v>1494</v>
      </c>
      <c r="F1074">
        <v>0</v>
      </c>
      <c r="G1074">
        <v>3</v>
      </c>
      <c r="H1074">
        <v>0</v>
      </c>
      <c r="I1074" t="s">
        <v>32</v>
      </c>
      <c r="J1074">
        <v>1</v>
      </c>
      <c r="K1074">
        <v>27</v>
      </c>
      <c r="L1074" t="s">
        <v>24</v>
      </c>
      <c r="M1074" t="s">
        <v>25</v>
      </c>
      <c r="N1074" t="s">
        <v>22</v>
      </c>
      <c r="O1074" t="s">
        <v>23</v>
      </c>
      <c r="P1074">
        <v>3.05</v>
      </c>
      <c r="Q1074" s="2" t="b">
        <f>FALSE()</f>
        <v>0</v>
      </c>
      <c r="R1074">
        <v>0</v>
      </c>
    </row>
    <row r="1075" spans="1:18" x14ac:dyDescent="0.25">
      <c r="A1075">
        <v>201074</v>
      </c>
      <c r="B1075">
        <v>51995</v>
      </c>
      <c r="C1075" t="s">
        <v>34</v>
      </c>
      <c r="D1075">
        <v>4414.95</v>
      </c>
      <c r="E1075">
        <v>2065</v>
      </c>
      <c r="F1075">
        <v>5</v>
      </c>
      <c r="G1075">
        <v>6</v>
      </c>
      <c r="H1075">
        <v>0</v>
      </c>
      <c r="I1075" t="s">
        <v>33</v>
      </c>
      <c r="J1075">
        <v>1</v>
      </c>
      <c r="K1075">
        <v>29</v>
      </c>
      <c r="L1075" t="s">
        <v>24</v>
      </c>
      <c r="M1075" t="s">
        <v>37</v>
      </c>
      <c r="N1075" t="s">
        <v>22</v>
      </c>
      <c r="O1075" t="s">
        <v>27</v>
      </c>
      <c r="P1075">
        <v>0.1</v>
      </c>
      <c r="Q1075" s="2" t="b">
        <f>FALSE()</f>
        <v>0</v>
      </c>
      <c r="R1075">
        <v>1</v>
      </c>
    </row>
    <row r="1076" spans="1:18" x14ac:dyDescent="0.25">
      <c r="A1076">
        <v>201075</v>
      </c>
      <c r="B1076">
        <v>51004</v>
      </c>
      <c r="C1076" t="s">
        <v>34</v>
      </c>
      <c r="D1076">
        <v>2226.3200000000002</v>
      </c>
      <c r="E1076">
        <v>2967</v>
      </c>
      <c r="F1076">
        <v>2</v>
      </c>
      <c r="G1076">
        <v>4</v>
      </c>
      <c r="H1076">
        <v>0</v>
      </c>
      <c r="I1076" t="s">
        <v>33</v>
      </c>
      <c r="J1076">
        <v>0</v>
      </c>
      <c r="K1076">
        <v>37</v>
      </c>
      <c r="L1076" t="s">
        <v>20</v>
      </c>
      <c r="M1076" t="s">
        <v>35</v>
      </c>
      <c r="N1076" t="s">
        <v>30</v>
      </c>
      <c r="O1076" t="s">
        <v>36</v>
      </c>
      <c r="P1076">
        <v>1.31</v>
      </c>
      <c r="Q1076" s="2" t="b">
        <f>FALSE()</f>
        <v>0</v>
      </c>
      <c r="R1076">
        <v>0</v>
      </c>
    </row>
    <row r="1077" spans="1:18" x14ac:dyDescent="0.25">
      <c r="A1077">
        <v>201076</v>
      </c>
      <c r="B1077">
        <v>50223</v>
      </c>
      <c r="C1077" t="s">
        <v>34</v>
      </c>
      <c r="D1077">
        <v>652.03</v>
      </c>
      <c r="E1077">
        <v>3152</v>
      </c>
      <c r="F1077">
        <v>0</v>
      </c>
      <c r="G1077">
        <v>2</v>
      </c>
      <c r="H1077">
        <v>1</v>
      </c>
      <c r="I1077" t="s">
        <v>33</v>
      </c>
      <c r="J1077">
        <v>1</v>
      </c>
      <c r="K1077">
        <v>35</v>
      </c>
      <c r="L1077" t="s">
        <v>20</v>
      </c>
      <c r="M1077" t="s">
        <v>37</v>
      </c>
      <c r="N1077" t="s">
        <v>30</v>
      </c>
      <c r="O1077" t="s">
        <v>27</v>
      </c>
      <c r="P1077">
        <v>0.27</v>
      </c>
      <c r="Q1077" s="2" t="b">
        <f>FALSE()</f>
        <v>0</v>
      </c>
      <c r="R1077">
        <v>0</v>
      </c>
    </row>
    <row r="1078" spans="1:18" x14ac:dyDescent="0.25">
      <c r="A1078">
        <v>201077</v>
      </c>
      <c r="B1078">
        <v>52377</v>
      </c>
      <c r="C1078" t="s">
        <v>18</v>
      </c>
      <c r="D1078">
        <v>978.13</v>
      </c>
      <c r="E1078">
        <v>556</v>
      </c>
      <c r="F1078">
        <v>2</v>
      </c>
      <c r="G1078">
        <v>3</v>
      </c>
      <c r="H1078">
        <v>1</v>
      </c>
      <c r="I1078" t="s">
        <v>33</v>
      </c>
      <c r="J1078">
        <v>0</v>
      </c>
      <c r="K1078">
        <v>83</v>
      </c>
      <c r="L1078" t="s">
        <v>24</v>
      </c>
      <c r="M1078" t="s">
        <v>31</v>
      </c>
      <c r="N1078" t="s">
        <v>30</v>
      </c>
      <c r="O1078" t="s">
        <v>36</v>
      </c>
      <c r="P1078">
        <v>1.81</v>
      </c>
      <c r="Q1078" s="2" t="b">
        <f>FALSE()</f>
        <v>0</v>
      </c>
      <c r="R1078">
        <v>0</v>
      </c>
    </row>
    <row r="1079" spans="1:18" x14ac:dyDescent="0.25">
      <c r="A1079">
        <v>201078</v>
      </c>
      <c r="B1079">
        <v>50364</v>
      </c>
      <c r="C1079" t="s">
        <v>18</v>
      </c>
      <c r="D1079">
        <v>1186.26</v>
      </c>
      <c r="E1079">
        <v>999</v>
      </c>
      <c r="F1079">
        <v>0</v>
      </c>
      <c r="G1079">
        <v>3</v>
      </c>
      <c r="H1079">
        <v>0</v>
      </c>
      <c r="I1079" t="s">
        <v>33</v>
      </c>
      <c r="J1079">
        <v>1</v>
      </c>
      <c r="K1079">
        <v>61</v>
      </c>
      <c r="L1079" t="s">
        <v>24</v>
      </c>
      <c r="M1079" t="s">
        <v>21</v>
      </c>
      <c r="N1079" t="s">
        <v>22</v>
      </c>
      <c r="O1079" t="s">
        <v>23</v>
      </c>
      <c r="P1079">
        <v>1.77</v>
      </c>
      <c r="Q1079" s="2" t="b">
        <f>FALSE()</f>
        <v>0</v>
      </c>
      <c r="R1079">
        <v>0</v>
      </c>
    </row>
    <row r="1080" spans="1:18" x14ac:dyDescent="0.25">
      <c r="A1080">
        <v>201079</v>
      </c>
      <c r="B1080">
        <v>54662</v>
      </c>
      <c r="C1080" t="s">
        <v>18</v>
      </c>
      <c r="D1080">
        <v>2221.6</v>
      </c>
      <c r="E1080">
        <v>3522</v>
      </c>
      <c r="F1080">
        <v>1</v>
      </c>
      <c r="G1080">
        <v>3</v>
      </c>
      <c r="H1080">
        <v>0</v>
      </c>
      <c r="I1080" t="s">
        <v>32</v>
      </c>
      <c r="J1080">
        <v>0</v>
      </c>
      <c r="K1080">
        <v>63</v>
      </c>
      <c r="L1080" t="s">
        <v>24</v>
      </c>
      <c r="M1080" t="s">
        <v>25</v>
      </c>
      <c r="N1080" t="s">
        <v>22</v>
      </c>
      <c r="O1080" t="s">
        <v>27</v>
      </c>
      <c r="P1080">
        <v>0.19</v>
      </c>
      <c r="Q1080" s="2" t="b">
        <f>FALSE()</f>
        <v>0</v>
      </c>
      <c r="R1080">
        <v>0</v>
      </c>
    </row>
    <row r="1081" spans="1:18" x14ac:dyDescent="0.25">
      <c r="A1081">
        <v>201080</v>
      </c>
      <c r="B1081">
        <v>54032</v>
      </c>
      <c r="C1081" t="s">
        <v>34</v>
      </c>
      <c r="D1081">
        <v>2100.4</v>
      </c>
      <c r="E1081">
        <v>3397</v>
      </c>
      <c r="F1081">
        <v>2</v>
      </c>
      <c r="G1081">
        <v>1</v>
      </c>
      <c r="H1081">
        <v>0</v>
      </c>
      <c r="I1081" t="s">
        <v>32</v>
      </c>
      <c r="J1081">
        <v>0</v>
      </c>
      <c r="K1081">
        <v>65</v>
      </c>
      <c r="L1081" t="s">
        <v>20</v>
      </c>
      <c r="M1081" t="s">
        <v>35</v>
      </c>
      <c r="N1081" t="s">
        <v>30</v>
      </c>
      <c r="O1081" t="s">
        <v>36</v>
      </c>
      <c r="P1081">
        <v>3.9</v>
      </c>
      <c r="Q1081" s="2" t="b">
        <f>FALSE()</f>
        <v>0</v>
      </c>
      <c r="R1081">
        <v>0</v>
      </c>
    </row>
    <row r="1082" spans="1:18" x14ac:dyDescent="0.25">
      <c r="A1082">
        <v>201081</v>
      </c>
      <c r="B1082">
        <v>52744</v>
      </c>
      <c r="C1082" t="s">
        <v>34</v>
      </c>
      <c r="D1082">
        <v>2304.52</v>
      </c>
      <c r="E1082">
        <v>2169</v>
      </c>
      <c r="F1082">
        <v>1</v>
      </c>
      <c r="G1082">
        <v>4</v>
      </c>
      <c r="H1082">
        <v>0</v>
      </c>
      <c r="I1082" t="s">
        <v>32</v>
      </c>
      <c r="J1082">
        <v>0</v>
      </c>
      <c r="K1082">
        <v>76</v>
      </c>
      <c r="L1082" t="s">
        <v>20</v>
      </c>
      <c r="M1082" t="s">
        <v>25</v>
      </c>
      <c r="N1082" t="s">
        <v>22</v>
      </c>
      <c r="O1082" t="s">
        <v>27</v>
      </c>
      <c r="P1082">
        <v>4.3899999999999997</v>
      </c>
      <c r="Q1082" s="2" t="b">
        <f>FALSE()</f>
        <v>0</v>
      </c>
      <c r="R1082">
        <v>0</v>
      </c>
    </row>
    <row r="1083" spans="1:18" x14ac:dyDescent="0.25">
      <c r="A1083">
        <v>201082</v>
      </c>
      <c r="B1083">
        <v>54186</v>
      </c>
      <c r="C1083" t="s">
        <v>34</v>
      </c>
      <c r="D1083">
        <v>1747.25</v>
      </c>
      <c r="E1083">
        <v>2106</v>
      </c>
      <c r="F1083">
        <v>2</v>
      </c>
      <c r="G1083">
        <v>1</v>
      </c>
      <c r="H1083">
        <v>1</v>
      </c>
      <c r="I1083" t="s">
        <v>32</v>
      </c>
      <c r="J1083">
        <v>1</v>
      </c>
      <c r="K1083">
        <v>22</v>
      </c>
      <c r="L1083" t="s">
        <v>20</v>
      </c>
      <c r="M1083" t="s">
        <v>29</v>
      </c>
      <c r="N1083" t="s">
        <v>22</v>
      </c>
      <c r="O1083" t="s">
        <v>36</v>
      </c>
      <c r="P1083">
        <v>2.96</v>
      </c>
      <c r="Q1083" s="2" t="b">
        <f>FALSE()</f>
        <v>0</v>
      </c>
      <c r="R1083">
        <v>0</v>
      </c>
    </row>
    <row r="1084" spans="1:18" x14ac:dyDescent="0.25">
      <c r="A1084">
        <v>201083</v>
      </c>
      <c r="B1084">
        <v>50871</v>
      </c>
      <c r="C1084" t="s">
        <v>34</v>
      </c>
      <c r="D1084">
        <v>2094.9299999999998</v>
      </c>
      <c r="E1084">
        <v>2932</v>
      </c>
      <c r="F1084">
        <v>0</v>
      </c>
      <c r="G1084">
        <v>5</v>
      </c>
      <c r="H1084">
        <v>0</v>
      </c>
      <c r="I1084" t="s">
        <v>33</v>
      </c>
      <c r="J1084">
        <v>0</v>
      </c>
      <c r="K1084">
        <v>33</v>
      </c>
      <c r="L1084" t="s">
        <v>20</v>
      </c>
      <c r="M1084" t="s">
        <v>37</v>
      </c>
      <c r="N1084" t="s">
        <v>22</v>
      </c>
      <c r="O1084" t="s">
        <v>27</v>
      </c>
      <c r="P1084">
        <v>0.22</v>
      </c>
      <c r="Q1084" s="2" t="b">
        <f>FALSE()</f>
        <v>0</v>
      </c>
      <c r="R1084">
        <v>0</v>
      </c>
    </row>
    <row r="1085" spans="1:18" x14ac:dyDescent="0.25">
      <c r="A1085">
        <v>201084</v>
      </c>
      <c r="B1085">
        <v>51012</v>
      </c>
      <c r="C1085" t="s">
        <v>18</v>
      </c>
      <c r="D1085">
        <v>4458.7700000000004</v>
      </c>
      <c r="E1085">
        <v>543</v>
      </c>
      <c r="F1085">
        <v>0</v>
      </c>
      <c r="G1085">
        <v>3</v>
      </c>
      <c r="H1085">
        <v>0</v>
      </c>
      <c r="I1085" t="s">
        <v>19</v>
      </c>
      <c r="J1085">
        <v>0</v>
      </c>
      <c r="K1085">
        <v>30</v>
      </c>
      <c r="L1085" t="s">
        <v>24</v>
      </c>
      <c r="M1085" t="s">
        <v>37</v>
      </c>
      <c r="N1085" t="s">
        <v>22</v>
      </c>
      <c r="O1085" t="s">
        <v>27</v>
      </c>
      <c r="P1085">
        <v>7.0000000000000007E-2</v>
      </c>
      <c r="Q1085" s="2" t="b">
        <f>FALSE()</f>
        <v>0</v>
      </c>
      <c r="R1085">
        <v>1</v>
      </c>
    </row>
    <row r="1086" spans="1:18" x14ac:dyDescent="0.25">
      <c r="A1086">
        <v>201085</v>
      </c>
      <c r="B1086">
        <v>50348</v>
      </c>
      <c r="C1086" t="s">
        <v>34</v>
      </c>
      <c r="D1086">
        <v>1984.76</v>
      </c>
      <c r="E1086">
        <v>3619</v>
      </c>
      <c r="F1086">
        <v>1</v>
      </c>
      <c r="G1086">
        <v>4</v>
      </c>
      <c r="H1086">
        <v>0</v>
      </c>
      <c r="I1086" t="s">
        <v>19</v>
      </c>
      <c r="J1086">
        <v>0</v>
      </c>
      <c r="K1086">
        <v>36</v>
      </c>
      <c r="L1086" t="s">
        <v>24</v>
      </c>
      <c r="M1086" t="s">
        <v>37</v>
      </c>
      <c r="N1086" t="s">
        <v>22</v>
      </c>
      <c r="O1086" t="s">
        <v>27</v>
      </c>
      <c r="P1086">
        <v>0.53</v>
      </c>
      <c r="Q1086" s="2" t="b">
        <f>FALSE()</f>
        <v>0</v>
      </c>
      <c r="R1086">
        <v>0</v>
      </c>
    </row>
    <row r="1087" spans="1:18" x14ac:dyDescent="0.25">
      <c r="A1087">
        <v>201086</v>
      </c>
      <c r="B1087">
        <v>52267</v>
      </c>
      <c r="C1087" t="s">
        <v>34</v>
      </c>
      <c r="D1087">
        <v>1685.42</v>
      </c>
      <c r="E1087">
        <v>3066</v>
      </c>
      <c r="F1087">
        <v>1</v>
      </c>
      <c r="G1087">
        <v>5</v>
      </c>
      <c r="H1087">
        <v>1</v>
      </c>
      <c r="I1087" t="s">
        <v>33</v>
      </c>
      <c r="J1087">
        <v>0</v>
      </c>
      <c r="K1087">
        <v>61</v>
      </c>
      <c r="L1087" t="s">
        <v>20</v>
      </c>
      <c r="M1087" t="s">
        <v>37</v>
      </c>
      <c r="N1087" t="s">
        <v>22</v>
      </c>
      <c r="O1087" t="s">
        <v>27</v>
      </c>
      <c r="P1087">
        <v>4.3899999999999997</v>
      </c>
      <c r="Q1087" s="2" t="b">
        <f>FALSE()</f>
        <v>0</v>
      </c>
      <c r="R1087">
        <v>0</v>
      </c>
    </row>
    <row r="1088" spans="1:18" x14ac:dyDescent="0.25">
      <c r="A1088">
        <v>201087</v>
      </c>
      <c r="B1088">
        <v>55547</v>
      </c>
      <c r="C1088" t="s">
        <v>18</v>
      </c>
      <c r="D1088">
        <v>2326.41</v>
      </c>
      <c r="E1088">
        <v>2556</v>
      </c>
      <c r="F1088">
        <v>0</v>
      </c>
      <c r="G1088">
        <v>3</v>
      </c>
      <c r="H1088">
        <v>1</v>
      </c>
      <c r="I1088" t="s">
        <v>19</v>
      </c>
      <c r="J1088">
        <v>0</v>
      </c>
      <c r="K1088">
        <v>35</v>
      </c>
      <c r="L1088" t="s">
        <v>24</v>
      </c>
      <c r="M1088" t="s">
        <v>25</v>
      </c>
      <c r="N1088" t="s">
        <v>30</v>
      </c>
      <c r="O1088" t="s">
        <v>27</v>
      </c>
      <c r="P1088">
        <v>3.55</v>
      </c>
      <c r="Q1088" s="2" t="b">
        <f>FALSE()</f>
        <v>0</v>
      </c>
      <c r="R1088">
        <v>0</v>
      </c>
    </row>
    <row r="1089" spans="1:18" x14ac:dyDescent="0.25">
      <c r="A1089">
        <v>201088</v>
      </c>
      <c r="B1089">
        <v>51101</v>
      </c>
      <c r="C1089" t="s">
        <v>18</v>
      </c>
      <c r="D1089">
        <v>4347.43</v>
      </c>
      <c r="E1089">
        <v>3152</v>
      </c>
      <c r="F1089">
        <v>1</v>
      </c>
      <c r="G1089">
        <v>5</v>
      </c>
      <c r="H1089">
        <v>0</v>
      </c>
      <c r="I1089" t="s">
        <v>19</v>
      </c>
      <c r="J1089">
        <v>0</v>
      </c>
      <c r="K1089">
        <v>56</v>
      </c>
      <c r="L1089" t="s">
        <v>24</v>
      </c>
      <c r="M1089" t="s">
        <v>29</v>
      </c>
      <c r="N1089" t="s">
        <v>30</v>
      </c>
      <c r="O1089" t="s">
        <v>36</v>
      </c>
      <c r="P1089">
        <v>1.45</v>
      </c>
      <c r="Q1089" s="2" t="b">
        <f>FALSE()</f>
        <v>0</v>
      </c>
      <c r="R1089">
        <v>1</v>
      </c>
    </row>
    <row r="1090" spans="1:18" x14ac:dyDescent="0.25">
      <c r="A1090">
        <v>201089</v>
      </c>
      <c r="B1090">
        <v>51267</v>
      </c>
      <c r="C1090" t="s">
        <v>18</v>
      </c>
      <c r="D1090">
        <v>1363.42</v>
      </c>
      <c r="E1090">
        <v>1041</v>
      </c>
      <c r="F1090">
        <v>1</v>
      </c>
      <c r="G1090">
        <v>5</v>
      </c>
      <c r="H1090">
        <v>1</v>
      </c>
      <c r="I1090" t="s">
        <v>33</v>
      </c>
      <c r="J1090">
        <v>0</v>
      </c>
      <c r="K1090">
        <v>81</v>
      </c>
      <c r="L1090" t="s">
        <v>24</v>
      </c>
      <c r="M1090" t="s">
        <v>29</v>
      </c>
      <c r="N1090" t="s">
        <v>22</v>
      </c>
      <c r="O1090" t="s">
        <v>36</v>
      </c>
      <c r="P1090">
        <v>3.04</v>
      </c>
      <c r="Q1090" s="2" t="b">
        <f>FALSE()</f>
        <v>0</v>
      </c>
      <c r="R1090">
        <v>0</v>
      </c>
    </row>
    <row r="1091" spans="1:18" x14ac:dyDescent="0.25">
      <c r="A1091">
        <v>201090</v>
      </c>
      <c r="B1091">
        <v>52329</v>
      </c>
      <c r="C1091" t="s">
        <v>28</v>
      </c>
      <c r="D1091">
        <v>5755.42</v>
      </c>
      <c r="E1091">
        <v>1992</v>
      </c>
      <c r="F1091">
        <v>2</v>
      </c>
      <c r="G1091">
        <v>3</v>
      </c>
      <c r="H1091">
        <v>0</v>
      </c>
      <c r="I1091" t="s">
        <v>19</v>
      </c>
      <c r="J1091">
        <v>0</v>
      </c>
      <c r="K1091">
        <v>64</v>
      </c>
      <c r="L1091" t="s">
        <v>24</v>
      </c>
      <c r="M1091" t="s">
        <v>21</v>
      </c>
      <c r="N1091" t="s">
        <v>30</v>
      </c>
      <c r="O1091" t="s">
        <v>27</v>
      </c>
      <c r="P1091">
        <v>3.49</v>
      </c>
      <c r="Q1091" s="2" t="b">
        <f>FALSE()</f>
        <v>0</v>
      </c>
      <c r="R1091">
        <v>1</v>
      </c>
    </row>
    <row r="1092" spans="1:18" x14ac:dyDescent="0.25">
      <c r="A1092">
        <v>201091</v>
      </c>
      <c r="B1092">
        <v>51750</v>
      </c>
      <c r="C1092" t="s">
        <v>18</v>
      </c>
      <c r="D1092">
        <v>3182.54</v>
      </c>
      <c r="E1092">
        <v>1478</v>
      </c>
      <c r="F1092">
        <v>0</v>
      </c>
      <c r="G1092">
        <v>3</v>
      </c>
      <c r="H1092">
        <v>0</v>
      </c>
      <c r="I1092" t="s">
        <v>32</v>
      </c>
      <c r="J1092">
        <v>0</v>
      </c>
      <c r="K1092">
        <v>46</v>
      </c>
      <c r="L1092" t="s">
        <v>20</v>
      </c>
      <c r="M1092" t="s">
        <v>35</v>
      </c>
      <c r="N1092" t="s">
        <v>22</v>
      </c>
      <c r="O1092" t="s">
        <v>23</v>
      </c>
      <c r="P1092">
        <v>1.57</v>
      </c>
      <c r="Q1092" s="2" t="b">
        <f>FALSE()</f>
        <v>0</v>
      </c>
      <c r="R1092">
        <v>0</v>
      </c>
    </row>
    <row r="1093" spans="1:18" x14ac:dyDescent="0.25">
      <c r="A1093">
        <v>201092</v>
      </c>
      <c r="B1093">
        <v>54176</v>
      </c>
      <c r="C1093" t="s">
        <v>34</v>
      </c>
      <c r="D1093">
        <v>1431.88</v>
      </c>
      <c r="E1093">
        <v>330</v>
      </c>
      <c r="F1093">
        <v>1</v>
      </c>
      <c r="G1093">
        <v>1</v>
      </c>
      <c r="H1093">
        <v>0</v>
      </c>
      <c r="I1093" t="s">
        <v>19</v>
      </c>
      <c r="J1093">
        <v>0</v>
      </c>
      <c r="K1093">
        <v>68</v>
      </c>
      <c r="L1093" t="s">
        <v>24</v>
      </c>
      <c r="M1093" t="s">
        <v>31</v>
      </c>
      <c r="N1093" t="s">
        <v>30</v>
      </c>
      <c r="O1093" t="s">
        <v>36</v>
      </c>
      <c r="P1093">
        <v>4.38</v>
      </c>
      <c r="Q1093" s="2" t="b">
        <f>FALSE()</f>
        <v>0</v>
      </c>
      <c r="R1093">
        <v>0</v>
      </c>
    </row>
    <row r="1094" spans="1:18" x14ac:dyDescent="0.25">
      <c r="A1094">
        <v>201093</v>
      </c>
      <c r="B1094">
        <v>55563</v>
      </c>
      <c r="C1094" t="s">
        <v>28</v>
      </c>
      <c r="D1094">
        <v>1611.99</v>
      </c>
      <c r="E1094">
        <v>1059</v>
      </c>
      <c r="F1094">
        <v>0</v>
      </c>
      <c r="G1094">
        <v>1</v>
      </c>
      <c r="H1094">
        <v>1</v>
      </c>
      <c r="I1094" t="s">
        <v>19</v>
      </c>
      <c r="J1094">
        <v>1</v>
      </c>
      <c r="K1094">
        <v>77</v>
      </c>
      <c r="L1094" t="s">
        <v>24</v>
      </c>
      <c r="M1094" t="s">
        <v>35</v>
      </c>
      <c r="N1094" t="s">
        <v>22</v>
      </c>
      <c r="O1094" t="s">
        <v>36</v>
      </c>
      <c r="P1094">
        <v>2.4300000000000002</v>
      </c>
      <c r="Q1094" s="2" t="b">
        <f>FALSE()</f>
        <v>0</v>
      </c>
      <c r="R1094">
        <v>0</v>
      </c>
    </row>
    <row r="1095" spans="1:18" x14ac:dyDescent="0.25">
      <c r="A1095">
        <v>201094</v>
      </c>
      <c r="B1095">
        <v>54311</v>
      </c>
      <c r="C1095" t="s">
        <v>28</v>
      </c>
      <c r="D1095">
        <v>2220.48</v>
      </c>
      <c r="E1095">
        <v>57</v>
      </c>
      <c r="F1095">
        <v>0</v>
      </c>
      <c r="G1095">
        <v>6</v>
      </c>
      <c r="H1095">
        <v>0</v>
      </c>
      <c r="I1095" t="s">
        <v>32</v>
      </c>
      <c r="J1095">
        <v>0</v>
      </c>
      <c r="K1095">
        <v>71</v>
      </c>
      <c r="L1095" t="s">
        <v>24</v>
      </c>
      <c r="M1095" t="s">
        <v>25</v>
      </c>
      <c r="N1095" t="s">
        <v>26</v>
      </c>
      <c r="O1095" t="s">
        <v>27</v>
      </c>
      <c r="P1095">
        <v>0.53</v>
      </c>
      <c r="Q1095" s="2" t="b">
        <f>FALSE()</f>
        <v>0</v>
      </c>
      <c r="R1095">
        <v>0</v>
      </c>
    </row>
    <row r="1096" spans="1:18" x14ac:dyDescent="0.25">
      <c r="A1096">
        <v>201095</v>
      </c>
      <c r="B1096">
        <v>51781</v>
      </c>
      <c r="C1096" t="s">
        <v>34</v>
      </c>
      <c r="D1096">
        <v>4981.43</v>
      </c>
      <c r="E1096">
        <v>1277</v>
      </c>
      <c r="F1096">
        <v>2</v>
      </c>
      <c r="G1096">
        <v>3</v>
      </c>
      <c r="H1096">
        <v>0</v>
      </c>
      <c r="I1096" t="s">
        <v>19</v>
      </c>
      <c r="J1096">
        <v>0</v>
      </c>
      <c r="K1096">
        <v>52</v>
      </c>
      <c r="L1096" t="s">
        <v>20</v>
      </c>
      <c r="M1096" t="s">
        <v>25</v>
      </c>
      <c r="N1096" t="s">
        <v>22</v>
      </c>
      <c r="O1096" t="s">
        <v>27</v>
      </c>
      <c r="P1096">
        <v>2.29</v>
      </c>
      <c r="Q1096" s="2" t="b">
        <f>FALSE()</f>
        <v>0</v>
      </c>
      <c r="R1096">
        <v>1</v>
      </c>
    </row>
    <row r="1097" spans="1:18" x14ac:dyDescent="0.25">
      <c r="A1097">
        <v>201096</v>
      </c>
      <c r="B1097">
        <v>51335</v>
      </c>
      <c r="C1097" t="s">
        <v>18</v>
      </c>
      <c r="D1097">
        <v>3655.62</v>
      </c>
      <c r="E1097">
        <v>2640</v>
      </c>
      <c r="F1097">
        <v>2</v>
      </c>
      <c r="G1097">
        <v>3</v>
      </c>
      <c r="H1097">
        <v>0</v>
      </c>
      <c r="I1097" t="s">
        <v>19</v>
      </c>
      <c r="J1097">
        <v>1</v>
      </c>
      <c r="K1097">
        <v>65</v>
      </c>
      <c r="L1097" t="s">
        <v>24</v>
      </c>
      <c r="M1097" t="s">
        <v>29</v>
      </c>
      <c r="N1097" t="s">
        <v>22</v>
      </c>
      <c r="O1097" t="s">
        <v>27</v>
      </c>
      <c r="P1097">
        <v>4.88</v>
      </c>
      <c r="Q1097" s="2" t="b">
        <f>FALSE()</f>
        <v>0</v>
      </c>
      <c r="R1097">
        <v>1</v>
      </c>
    </row>
    <row r="1098" spans="1:18" x14ac:dyDescent="0.25">
      <c r="A1098">
        <v>201097</v>
      </c>
      <c r="B1098">
        <v>55028</v>
      </c>
      <c r="C1098" t="s">
        <v>34</v>
      </c>
      <c r="D1098">
        <v>565.20000000000005</v>
      </c>
      <c r="E1098">
        <v>3300</v>
      </c>
      <c r="F1098">
        <v>1</v>
      </c>
      <c r="G1098">
        <v>6</v>
      </c>
      <c r="H1098">
        <v>1</v>
      </c>
      <c r="I1098" t="s">
        <v>33</v>
      </c>
      <c r="J1098">
        <v>1</v>
      </c>
      <c r="K1098">
        <v>60</v>
      </c>
      <c r="L1098" t="s">
        <v>20</v>
      </c>
      <c r="M1098" t="s">
        <v>37</v>
      </c>
      <c r="N1098" t="s">
        <v>22</v>
      </c>
      <c r="O1098" t="s">
        <v>27</v>
      </c>
      <c r="P1098">
        <v>7.0000000000000007E-2</v>
      </c>
      <c r="Q1098" s="2" t="b">
        <f>FALSE()</f>
        <v>0</v>
      </c>
      <c r="R1098">
        <v>0</v>
      </c>
    </row>
    <row r="1099" spans="1:18" x14ac:dyDescent="0.25">
      <c r="A1099">
        <v>201098</v>
      </c>
      <c r="B1099">
        <v>51007</v>
      </c>
      <c r="C1099" t="s">
        <v>28</v>
      </c>
      <c r="D1099">
        <v>2255.5500000000002</v>
      </c>
      <c r="E1099">
        <v>1724</v>
      </c>
      <c r="F1099">
        <v>1</v>
      </c>
      <c r="G1099">
        <v>1</v>
      </c>
      <c r="H1099">
        <v>0</v>
      </c>
      <c r="I1099" t="s">
        <v>32</v>
      </c>
      <c r="J1099">
        <v>0</v>
      </c>
      <c r="K1099">
        <v>32</v>
      </c>
      <c r="L1099" t="s">
        <v>24</v>
      </c>
      <c r="M1099" t="s">
        <v>25</v>
      </c>
      <c r="N1099" t="s">
        <v>30</v>
      </c>
      <c r="O1099" t="s">
        <v>27</v>
      </c>
      <c r="P1099">
        <v>1.59</v>
      </c>
      <c r="Q1099" s="2" t="b">
        <f>FALSE()</f>
        <v>0</v>
      </c>
      <c r="R1099">
        <v>0</v>
      </c>
    </row>
    <row r="1100" spans="1:18" x14ac:dyDescent="0.25">
      <c r="A1100">
        <v>201099</v>
      </c>
      <c r="B1100">
        <v>53245</v>
      </c>
      <c r="C1100" t="s">
        <v>18</v>
      </c>
      <c r="D1100">
        <v>1081.3399999999999</v>
      </c>
      <c r="E1100">
        <v>3</v>
      </c>
      <c r="F1100">
        <v>1</v>
      </c>
      <c r="G1100">
        <v>4</v>
      </c>
      <c r="H1100">
        <v>1</v>
      </c>
      <c r="I1100" t="s">
        <v>33</v>
      </c>
      <c r="J1100">
        <v>0</v>
      </c>
      <c r="K1100">
        <v>21</v>
      </c>
      <c r="L1100" t="s">
        <v>20</v>
      </c>
      <c r="M1100" t="s">
        <v>29</v>
      </c>
      <c r="N1100" t="s">
        <v>30</v>
      </c>
      <c r="O1100" t="s">
        <v>23</v>
      </c>
      <c r="P1100">
        <v>0.67</v>
      </c>
      <c r="Q1100" s="2" t="b">
        <f>FALSE()</f>
        <v>0</v>
      </c>
      <c r="R1100">
        <v>0</v>
      </c>
    </row>
    <row r="1101" spans="1:18" x14ac:dyDescent="0.25">
      <c r="A1101">
        <v>201100</v>
      </c>
      <c r="B1101">
        <v>53187</v>
      </c>
      <c r="C1101" t="s">
        <v>18</v>
      </c>
      <c r="D1101">
        <v>1671.02</v>
      </c>
      <c r="E1101">
        <v>1275</v>
      </c>
      <c r="F1101">
        <v>2</v>
      </c>
      <c r="G1101">
        <v>4</v>
      </c>
      <c r="H1101">
        <v>1</v>
      </c>
      <c r="I1101" t="s">
        <v>19</v>
      </c>
      <c r="J1101">
        <v>0</v>
      </c>
      <c r="K1101">
        <v>79</v>
      </c>
      <c r="L1101" t="s">
        <v>20</v>
      </c>
      <c r="M1101" t="s">
        <v>25</v>
      </c>
      <c r="N1101" t="s">
        <v>30</v>
      </c>
      <c r="O1101" t="s">
        <v>27</v>
      </c>
      <c r="P1101">
        <v>0.11</v>
      </c>
      <c r="Q1101" s="2" t="b">
        <f>FALSE()</f>
        <v>0</v>
      </c>
      <c r="R1101">
        <v>0</v>
      </c>
    </row>
    <row r="1102" spans="1:18" x14ac:dyDescent="0.25">
      <c r="A1102">
        <v>201101</v>
      </c>
      <c r="B1102">
        <v>54947</v>
      </c>
      <c r="C1102" t="s">
        <v>18</v>
      </c>
      <c r="D1102">
        <v>6555.65</v>
      </c>
      <c r="E1102">
        <v>787</v>
      </c>
      <c r="F1102">
        <v>2</v>
      </c>
      <c r="G1102">
        <v>2</v>
      </c>
      <c r="H1102">
        <v>0</v>
      </c>
      <c r="I1102" t="s">
        <v>32</v>
      </c>
      <c r="J1102">
        <v>0</v>
      </c>
      <c r="K1102">
        <v>22</v>
      </c>
      <c r="L1102" t="s">
        <v>24</v>
      </c>
      <c r="M1102" t="s">
        <v>21</v>
      </c>
      <c r="N1102" t="s">
        <v>22</v>
      </c>
      <c r="O1102" t="s">
        <v>27</v>
      </c>
      <c r="P1102">
        <v>0.97</v>
      </c>
      <c r="Q1102" s="2" t="b">
        <f>FALSE()</f>
        <v>0</v>
      </c>
      <c r="R1102">
        <v>1</v>
      </c>
    </row>
    <row r="1103" spans="1:18" x14ac:dyDescent="0.25">
      <c r="A1103">
        <v>201102</v>
      </c>
      <c r="B1103">
        <v>51761</v>
      </c>
      <c r="C1103" t="s">
        <v>18</v>
      </c>
      <c r="D1103">
        <v>1643.46</v>
      </c>
      <c r="E1103">
        <v>180</v>
      </c>
      <c r="F1103">
        <v>0</v>
      </c>
      <c r="G1103">
        <v>3</v>
      </c>
      <c r="H1103">
        <v>0</v>
      </c>
      <c r="I1103" t="s">
        <v>33</v>
      </c>
      <c r="J1103">
        <v>0</v>
      </c>
      <c r="K1103">
        <v>52</v>
      </c>
      <c r="L1103" t="s">
        <v>24</v>
      </c>
      <c r="M1103" t="s">
        <v>35</v>
      </c>
      <c r="N1103" t="s">
        <v>30</v>
      </c>
      <c r="O1103" t="s">
        <v>27</v>
      </c>
      <c r="P1103">
        <v>3.69</v>
      </c>
      <c r="Q1103" s="2" t="b">
        <f>FALSE()</f>
        <v>0</v>
      </c>
      <c r="R1103">
        <v>0</v>
      </c>
    </row>
    <row r="1104" spans="1:18" x14ac:dyDescent="0.25">
      <c r="A1104">
        <v>201103</v>
      </c>
      <c r="B1104">
        <v>51946</v>
      </c>
      <c r="C1104" t="s">
        <v>34</v>
      </c>
      <c r="D1104">
        <v>3041.01</v>
      </c>
      <c r="E1104">
        <v>1032</v>
      </c>
      <c r="F1104">
        <v>2</v>
      </c>
      <c r="G1104">
        <v>8</v>
      </c>
      <c r="H1104">
        <v>0</v>
      </c>
      <c r="I1104" t="s">
        <v>33</v>
      </c>
      <c r="J1104">
        <v>0</v>
      </c>
      <c r="K1104">
        <v>60</v>
      </c>
      <c r="L1104" t="s">
        <v>24</v>
      </c>
      <c r="M1104" t="s">
        <v>37</v>
      </c>
      <c r="N1104" t="s">
        <v>30</v>
      </c>
      <c r="O1104" t="s">
        <v>36</v>
      </c>
      <c r="P1104">
        <v>5.22</v>
      </c>
      <c r="Q1104" s="2" t="b">
        <f>FALSE()</f>
        <v>0</v>
      </c>
      <c r="R1104">
        <v>1</v>
      </c>
    </row>
    <row r="1105" spans="1:18" x14ac:dyDescent="0.25">
      <c r="A1105">
        <v>201104</v>
      </c>
      <c r="B1105">
        <v>55539</v>
      </c>
      <c r="C1105" t="s">
        <v>18</v>
      </c>
      <c r="D1105">
        <v>8218.7199999999993</v>
      </c>
      <c r="E1105">
        <v>3241</v>
      </c>
      <c r="F1105">
        <v>2</v>
      </c>
      <c r="G1105">
        <v>9</v>
      </c>
      <c r="H1105">
        <v>0</v>
      </c>
      <c r="I1105" t="s">
        <v>19</v>
      </c>
      <c r="J1105">
        <v>1</v>
      </c>
      <c r="K1105">
        <v>67</v>
      </c>
      <c r="L1105" t="s">
        <v>20</v>
      </c>
      <c r="M1105" t="s">
        <v>21</v>
      </c>
      <c r="N1105" t="s">
        <v>22</v>
      </c>
      <c r="O1105" t="s">
        <v>23</v>
      </c>
      <c r="P1105">
        <v>1.54</v>
      </c>
      <c r="Q1105" s="2" t="b">
        <f>TRUE()</f>
        <v>1</v>
      </c>
      <c r="R1105">
        <v>1</v>
      </c>
    </row>
    <row r="1106" spans="1:18" x14ac:dyDescent="0.25">
      <c r="A1106">
        <v>201105</v>
      </c>
      <c r="B1106">
        <v>54807</v>
      </c>
      <c r="C1106" t="s">
        <v>34</v>
      </c>
      <c r="D1106">
        <v>1389.82</v>
      </c>
      <c r="E1106">
        <v>2655</v>
      </c>
      <c r="F1106">
        <v>0</v>
      </c>
      <c r="G1106">
        <v>4</v>
      </c>
      <c r="H1106">
        <v>0</v>
      </c>
      <c r="I1106" t="s">
        <v>32</v>
      </c>
      <c r="J1106">
        <v>0</v>
      </c>
      <c r="K1106">
        <v>55</v>
      </c>
      <c r="L1106" t="s">
        <v>20</v>
      </c>
      <c r="M1106" t="s">
        <v>25</v>
      </c>
      <c r="N1106" t="s">
        <v>30</v>
      </c>
      <c r="O1106" t="s">
        <v>36</v>
      </c>
      <c r="P1106">
        <v>9.75</v>
      </c>
      <c r="Q1106" s="2" t="b">
        <f>FALSE()</f>
        <v>0</v>
      </c>
      <c r="R1106">
        <v>0</v>
      </c>
    </row>
    <row r="1107" spans="1:18" x14ac:dyDescent="0.25">
      <c r="A1107">
        <v>201106</v>
      </c>
      <c r="B1107">
        <v>54943</v>
      </c>
      <c r="C1107" t="s">
        <v>18</v>
      </c>
      <c r="D1107">
        <v>2080.79</v>
      </c>
      <c r="E1107">
        <v>1294</v>
      </c>
      <c r="F1107">
        <v>1</v>
      </c>
      <c r="G1107">
        <v>5</v>
      </c>
      <c r="H1107">
        <v>0</v>
      </c>
      <c r="I1107" t="s">
        <v>33</v>
      </c>
      <c r="J1107">
        <v>0</v>
      </c>
      <c r="K1107">
        <v>56</v>
      </c>
      <c r="L1107" t="s">
        <v>24</v>
      </c>
      <c r="M1107" t="s">
        <v>35</v>
      </c>
      <c r="N1107" t="s">
        <v>22</v>
      </c>
      <c r="O1107" t="s">
        <v>36</v>
      </c>
      <c r="P1107">
        <v>1.31</v>
      </c>
      <c r="Q1107" s="2" t="b">
        <f>FALSE()</f>
        <v>0</v>
      </c>
      <c r="R1107">
        <v>0</v>
      </c>
    </row>
    <row r="1108" spans="1:18" x14ac:dyDescent="0.25">
      <c r="A1108">
        <v>201107</v>
      </c>
      <c r="B1108">
        <v>50814</v>
      </c>
      <c r="C1108" t="s">
        <v>18</v>
      </c>
      <c r="D1108">
        <v>1089.27</v>
      </c>
      <c r="E1108">
        <v>1456</v>
      </c>
      <c r="F1108">
        <v>0</v>
      </c>
      <c r="G1108">
        <v>1</v>
      </c>
      <c r="H1108">
        <v>1</v>
      </c>
      <c r="I1108" t="s">
        <v>33</v>
      </c>
      <c r="J1108">
        <v>0</v>
      </c>
      <c r="K1108">
        <v>44</v>
      </c>
      <c r="L1108" t="s">
        <v>20</v>
      </c>
      <c r="M1108" t="s">
        <v>21</v>
      </c>
      <c r="N1108" t="s">
        <v>30</v>
      </c>
      <c r="O1108" t="s">
        <v>27</v>
      </c>
      <c r="P1108">
        <v>4.5199999999999996</v>
      </c>
      <c r="Q1108" s="2" t="b">
        <f>FALSE()</f>
        <v>0</v>
      </c>
      <c r="R1108">
        <v>0</v>
      </c>
    </row>
    <row r="1109" spans="1:18" x14ac:dyDescent="0.25">
      <c r="A1109">
        <v>201108</v>
      </c>
      <c r="B1109">
        <v>50587</v>
      </c>
      <c r="C1109" t="s">
        <v>18</v>
      </c>
      <c r="D1109">
        <v>1658.65</v>
      </c>
      <c r="E1109">
        <v>1786</v>
      </c>
      <c r="F1109">
        <v>1</v>
      </c>
      <c r="G1109">
        <v>6</v>
      </c>
      <c r="H1109">
        <v>0</v>
      </c>
      <c r="I1109" t="s">
        <v>32</v>
      </c>
      <c r="J1109">
        <v>0</v>
      </c>
      <c r="K1109">
        <v>49</v>
      </c>
      <c r="L1109" t="s">
        <v>20</v>
      </c>
      <c r="M1109" t="s">
        <v>21</v>
      </c>
      <c r="N1109" t="s">
        <v>22</v>
      </c>
      <c r="O1109" t="s">
        <v>23</v>
      </c>
      <c r="P1109">
        <v>1.78</v>
      </c>
      <c r="Q1109" s="2" t="b">
        <f>FALSE()</f>
        <v>0</v>
      </c>
      <c r="R1109">
        <v>0</v>
      </c>
    </row>
    <row r="1110" spans="1:18" x14ac:dyDescent="0.25">
      <c r="A1110">
        <v>201109</v>
      </c>
      <c r="B1110">
        <v>54764</v>
      </c>
      <c r="C1110" t="s">
        <v>28</v>
      </c>
      <c r="D1110">
        <v>3248.83</v>
      </c>
      <c r="E1110">
        <v>1783</v>
      </c>
      <c r="F1110">
        <v>0</v>
      </c>
      <c r="G1110">
        <v>6</v>
      </c>
      <c r="H1110">
        <v>0</v>
      </c>
      <c r="I1110" t="s">
        <v>33</v>
      </c>
      <c r="J1110">
        <v>0</v>
      </c>
      <c r="K1110">
        <v>37</v>
      </c>
      <c r="L1110" t="s">
        <v>20</v>
      </c>
      <c r="M1110" t="s">
        <v>31</v>
      </c>
      <c r="N1110" t="s">
        <v>26</v>
      </c>
      <c r="O1110" t="s">
        <v>27</v>
      </c>
      <c r="P1110">
        <v>0.87</v>
      </c>
      <c r="Q1110" s="2" t="b">
        <f>FALSE()</f>
        <v>0</v>
      </c>
      <c r="R1110">
        <v>0</v>
      </c>
    </row>
    <row r="1111" spans="1:18" x14ac:dyDescent="0.25">
      <c r="A1111">
        <v>201110</v>
      </c>
      <c r="B1111">
        <v>54490</v>
      </c>
      <c r="C1111" t="s">
        <v>28</v>
      </c>
      <c r="D1111">
        <v>4990.0200000000004</v>
      </c>
      <c r="E1111">
        <v>2511</v>
      </c>
      <c r="F1111">
        <v>4</v>
      </c>
      <c r="G1111">
        <v>7</v>
      </c>
      <c r="H1111">
        <v>0</v>
      </c>
      <c r="I1111" t="s">
        <v>33</v>
      </c>
      <c r="J1111">
        <v>0</v>
      </c>
      <c r="K1111">
        <v>34</v>
      </c>
      <c r="L1111" t="s">
        <v>24</v>
      </c>
      <c r="M1111" t="s">
        <v>31</v>
      </c>
      <c r="N1111" t="s">
        <v>22</v>
      </c>
      <c r="O1111" t="s">
        <v>23</v>
      </c>
      <c r="P1111">
        <v>1.32</v>
      </c>
      <c r="Q1111" s="2" t="b">
        <f>FALSE()</f>
        <v>0</v>
      </c>
      <c r="R1111">
        <v>1</v>
      </c>
    </row>
    <row r="1112" spans="1:18" x14ac:dyDescent="0.25">
      <c r="A1112">
        <v>201111</v>
      </c>
      <c r="B1112">
        <v>52263</v>
      </c>
      <c r="C1112" t="s">
        <v>34</v>
      </c>
      <c r="D1112">
        <v>2976.08</v>
      </c>
      <c r="E1112">
        <v>1199</v>
      </c>
      <c r="F1112">
        <v>0</v>
      </c>
      <c r="G1112">
        <v>2</v>
      </c>
      <c r="H1112">
        <v>0</v>
      </c>
      <c r="I1112" t="s">
        <v>33</v>
      </c>
      <c r="J1112">
        <v>0</v>
      </c>
      <c r="K1112">
        <v>56</v>
      </c>
      <c r="L1112" t="s">
        <v>20</v>
      </c>
      <c r="M1112" t="s">
        <v>25</v>
      </c>
      <c r="N1112" t="s">
        <v>22</v>
      </c>
      <c r="O1112" t="s">
        <v>27</v>
      </c>
      <c r="P1112">
        <v>11.76</v>
      </c>
      <c r="Q1112" s="2" t="b">
        <f>FALSE()</f>
        <v>0</v>
      </c>
      <c r="R1112">
        <v>0</v>
      </c>
    </row>
    <row r="1113" spans="1:18" x14ac:dyDescent="0.25">
      <c r="A1113">
        <v>201112</v>
      </c>
      <c r="B1113">
        <v>50348</v>
      </c>
      <c r="C1113" t="s">
        <v>18</v>
      </c>
      <c r="D1113">
        <v>2066.3200000000002</v>
      </c>
      <c r="E1113">
        <v>2986</v>
      </c>
      <c r="F1113">
        <v>2</v>
      </c>
      <c r="G1113">
        <v>4</v>
      </c>
      <c r="H1113">
        <v>1</v>
      </c>
      <c r="I1113" t="s">
        <v>19</v>
      </c>
      <c r="J1113">
        <v>0</v>
      </c>
      <c r="K1113">
        <v>42</v>
      </c>
      <c r="L1113" t="s">
        <v>24</v>
      </c>
      <c r="M1113" t="s">
        <v>29</v>
      </c>
      <c r="N1113" t="s">
        <v>22</v>
      </c>
      <c r="O1113" t="s">
        <v>23</v>
      </c>
      <c r="P1113">
        <v>5.63</v>
      </c>
      <c r="Q1113" s="2" t="b">
        <f>FALSE()</f>
        <v>0</v>
      </c>
      <c r="R1113">
        <v>0</v>
      </c>
    </row>
    <row r="1114" spans="1:18" x14ac:dyDescent="0.25">
      <c r="A1114">
        <v>201113</v>
      </c>
      <c r="B1114">
        <v>53787</v>
      </c>
      <c r="C1114" t="s">
        <v>34</v>
      </c>
      <c r="D1114">
        <v>3965.91</v>
      </c>
      <c r="E1114">
        <v>170</v>
      </c>
      <c r="F1114">
        <v>1</v>
      </c>
      <c r="G1114">
        <v>4</v>
      </c>
      <c r="H1114">
        <v>0</v>
      </c>
      <c r="I1114" t="s">
        <v>32</v>
      </c>
      <c r="J1114">
        <v>0</v>
      </c>
      <c r="K1114">
        <v>19</v>
      </c>
      <c r="L1114" t="s">
        <v>20</v>
      </c>
      <c r="M1114" t="s">
        <v>29</v>
      </c>
      <c r="N1114" t="s">
        <v>30</v>
      </c>
      <c r="O1114" t="s">
        <v>27</v>
      </c>
      <c r="P1114">
        <v>0.52</v>
      </c>
      <c r="Q1114" s="2" t="b">
        <f>FALSE()</f>
        <v>0</v>
      </c>
      <c r="R1114">
        <v>1</v>
      </c>
    </row>
    <row r="1115" spans="1:18" x14ac:dyDescent="0.25">
      <c r="A1115">
        <v>201114</v>
      </c>
      <c r="B1115">
        <v>51758</v>
      </c>
      <c r="C1115" t="s">
        <v>34</v>
      </c>
      <c r="D1115">
        <v>2963.98</v>
      </c>
      <c r="E1115">
        <v>3208</v>
      </c>
      <c r="F1115">
        <v>3</v>
      </c>
      <c r="G1115">
        <v>2</v>
      </c>
      <c r="H1115">
        <v>0</v>
      </c>
      <c r="I1115" t="s">
        <v>33</v>
      </c>
      <c r="J1115">
        <v>0</v>
      </c>
      <c r="K1115">
        <v>80</v>
      </c>
      <c r="L1115" t="s">
        <v>24</v>
      </c>
      <c r="M1115" t="s">
        <v>25</v>
      </c>
      <c r="N1115" t="s">
        <v>30</v>
      </c>
      <c r="O1115" t="s">
        <v>23</v>
      </c>
      <c r="P1115">
        <v>1.97</v>
      </c>
      <c r="Q1115" s="2" t="b">
        <f>FALSE()</f>
        <v>0</v>
      </c>
      <c r="R1115">
        <v>1</v>
      </c>
    </row>
    <row r="1116" spans="1:18" x14ac:dyDescent="0.25">
      <c r="A1116">
        <v>201115</v>
      </c>
      <c r="B1116">
        <v>54837</v>
      </c>
      <c r="C1116" t="s">
        <v>34</v>
      </c>
      <c r="D1116">
        <v>3659.15</v>
      </c>
      <c r="E1116">
        <v>1851</v>
      </c>
      <c r="F1116">
        <v>0</v>
      </c>
      <c r="G1116">
        <v>3</v>
      </c>
      <c r="H1116">
        <v>0</v>
      </c>
      <c r="I1116" t="s">
        <v>33</v>
      </c>
      <c r="J1116">
        <v>0</v>
      </c>
      <c r="K1116">
        <v>62</v>
      </c>
      <c r="L1116" t="s">
        <v>20</v>
      </c>
      <c r="M1116" t="s">
        <v>21</v>
      </c>
      <c r="N1116" t="s">
        <v>26</v>
      </c>
      <c r="O1116" t="s">
        <v>23</v>
      </c>
      <c r="P1116">
        <v>4.55</v>
      </c>
      <c r="Q1116" s="2" t="b">
        <f>FALSE()</f>
        <v>0</v>
      </c>
      <c r="R1116">
        <v>1</v>
      </c>
    </row>
    <row r="1117" spans="1:18" x14ac:dyDescent="0.25">
      <c r="A1117">
        <v>201116</v>
      </c>
      <c r="B1117">
        <v>54280</v>
      </c>
      <c r="C1117" t="s">
        <v>34</v>
      </c>
      <c r="D1117">
        <v>2788.62</v>
      </c>
      <c r="E1117">
        <v>3085</v>
      </c>
      <c r="F1117">
        <v>3</v>
      </c>
      <c r="G1117">
        <v>5</v>
      </c>
      <c r="H1117">
        <v>0</v>
      </c>
      <c r="I1117" t="s">
        <v>33</v>
      </c>
      <c r="J1117">
        <v>0</v>
      </c>
      <c r="K1117">
        <v>40</v>
      </c>
      <c r="L1117" t="s">
        <v>20</v>
      </c>
      <c r="M1117" t="s">
        <v>25</v>
      </c>
      <c r="N1117" t="s">
        <v>30</v>
      </c>
      <c r="O1117" t="s">
        <v>27</v>
      </c>
      <c r="P1117">
        <v>6.34</v>
      </c>
      <c r="Q1117" s="2" t="b">
        <f>FALSE()</f>
        <v>0</v>
      </c>
      <c r="R1117">
        <v>1</v>
      </c>
    </row>
    <row r="1118" spans="1:18" x14ac:dyDescent="0.25">
      <c r="A1118">
        <v>201117</v>
      </c>
      <c r="B1118">
        <v>55800</v>
      </c>
      <c r="C1118" t="s">
        <v>34</v>
      </c>
      <c r="D1118">
        <v>3266.25</v>
      </c>
      <c r="E1118">
        <v>1785</v>
      </c>
      <c r="F1118">
        <v>0</v>
      </c>
      <c r="G1118">
        <v>4</v>
      </c>
      <c r="H1118">
        <v>1</v>
      </c>
      <c r="I1118" t="s">
        <v>33</v>
      </c>
      <c r="J1118">
        <v>1</v>
      </c>
      <c r="K1118">
        <v>45</v>
      </c>
      <c r="L1118" t="s">
        <v>24</v>
      </c>
      <c r="M1118" t="s">
        <v>21</v>
      </c>
      <c r="N1118" t="s">
        <v>22</v>
      </c>
      <c r="O1118" t="s">
        <v>27</v>
      </c>
      <c r="P1118">
        <v>0.59</v>
      </c>
      <c r="Q1118" s="2" t="b">
        <f>FALSE()</f>
        <v>0</v>
      </c>
      <c r="R1118">
        <v>0</v>
      </c>
    </row>
    <row r="1119" spans="1:18" x14ac:dyDescent="0.25">
      <c r="A1119">
        <v>201118</v>
      </c>
      <c r="B1119">
        <v>53902</v>
      </c>
      <c r="C1119" t="s">
        <v>34</v>
      </c>
      <c r="D1119">
        <v>1174.46</v>
      </c>
      <c r="E1119">
        <v>2872</v>
      </c>
      <c r="F1119">
        <v>1</v>
      </c>
      <c r="G1119">
        <v>3</v>
      </c>
      <c r="H1119">
        <v>0</v>
      </c>
      <c r="I1119" t="s">
        <v>19</v>
      </c>
      <c r="J1119">
        <v>0</v>
      </c>
      <c r="K1119">
        <v>30</v>
      </c>
      <c r="L1119" t="s">
        <v>24</v>
      </c>
      <c r="M1119" t="s">
        <v>31</v>
      </c>
      <c r="N1119" t="s">
        <v>30</v>
      </c>
      <c r="O1119" t="s">
        <v>36</v>
      </c>
      <c r="P1119">
        <v>4.1900000000000004</v>
      </c>
      <c r="Q1119" s="2" t="b">
        <f>FALSE()</f>
        <v>0</v>
      </c>
      <c r="R1119">
        <v>0</v>
      </c>
    </row>
    <row r="1120" spans="1:18" x14ac:dyDescent="0.25">
      <c r="A1120">
        <v>201119</v>
      </c>
      <c r="B1120">
        <v>55625</v>
      </c>
      <c r="C1120" t="s">
        <v>18</v>
      </c>
      <c r="D1120">
        <v>2457.4299999999998</v>
      </c>
      <c r="E1120">
        <v>3523</v>
      </c>
      <c r="F1120">
        <v>0</v>
      </c>
      <c r="G1120">
        <v>5</v>
      </c>
      <c r="H1120">
        <v>1</v>
      </c>
      <c r="I1120" t="s">
        <v>19</v>
      </c>
      <c r="J1120">
        <v>0</v>
      </c>
      <c r="K1120">
        <v>31</v>
      </c>
      <c r="L1120" t="s">
        <v>20</v>
      </c>
      <c r="M1120" t="s">
        <v>21</v>
      </c>
      <c r="N1120" t="s">
        <v>26</v>
      </c>
      <c r="O1120" t="s">
        <v>27</v>
      </c>
      <c r="P1120">
        <v>1.86</v>
      </c>
      <c r="Q1120" s="2" t="b">
        <f>FALSE()</f>
        <v>0</v>
      </c>
      <c r="R1120">
        <v>0</v>
      </c>
    </row>
    <row r="1121" spans="1:18" x14ac:dyDescent="0.25">
      <c r="A1121">
        <v>201120</v>
      </c>
      <c r="B1121">
        <v>51450</v>
      </c>
      <c r="C1121" t="s">
        <v>34</v>
      </c>
      <c r="D1121">
        <v>5233.6899999999996</v>
      </c>
      <c r="E1121">
        <v>1834</v>
      </c>
      <c r="F1121">
        <v>2</v>
      </c>
      <c r="G1121">
        <v>6</v>
      </c>
      <c r="H1121">
        <v>0</v>
      </c>
      <c r="I1121" t="s">
        <v>33</v>
      </c>
      <c r="J1121">
        <v>1</v>
      </c>
      <c r="K1121">
        <v>62</v>
      </c>
      <c r="L1121" t="s">
        <v>20</v>
      </c>
      <c r="M1121" t="s">
        <v>31</v>
      </c>
      <c r="N1121" t="s">
        <v>22</v>
      </c>
      <c r="O1121" t="s">
        <v>23</v>
      </c>
      <c r="P1121">
        <v>5.28</v>
      </c>
      <c r="Q1121" s="2" t="b">
        <f>FALSE()</f>
        <v>0</v>
      </c>
      <c r="R1121">
        <v>1</v>
      </c>
    </row>
    <row r="1122" spans="1:18" x14ac:dyDescent="0.25">
      <c r="A1122">
        <v>201121</v>
      </c>
      <c r="B1122">
        <v>53733</v>
      </c>
      <c r="C1122" t="s">
        <v>18</v>
      </c>
      <c r="D1122">
        <v>688.77</v>
      </c>
      <c r="E1122">
        <v>1513</v>
      </c>
      <c r="F1122">
        <v>1</v>
      </c>
      <c r="G1122">
        <v>6</v>
      </c>
      <c r="H1122">
        <v>0</v>
      </c>
      <c r="I1122" t="s">
        <v>33</v>
      </c>
      <c r="J1122">
        <v>0</v>
      </c>
      <c r="K1122">
        <v>61</v>
      </c>
      <c r="L1122" t="s">
        <v>20</v>
      </c>
      <c r="M1122" t="s">
        <v>31</v>
      </c>
      <c r="N1122" t="s">
        <v>30</v>
      </c>
      <c r="O1122" t="s">
        <v>27</v>
      </c>
      <c r="P1122">
        <v>1.34</v>
      </c>
      <c r="Q1122" s="2" t="b">
        <f>FALSE()</f>
        <v>0</v>
      </c>
      <c r="R1122">
        <v>0</v>
      </c>
    </row>
    <row r="1123" spans="1:18" x14ac:dyDescent="0.25">
      <c r="A1123">
        <v>201122</v>
      </c>
      <c r="B1123">
        <v>52775</v>
      </c>
      <c r="C1123" t="s">
        <v>18</v>
      </c>
      <c r="D1123">
        <v>1477.27</v>
      </c>
      <c r="E1123">
        <v>971</v>
      </c>
      <c r="F1123">
        <v>0</v>
      </c>
      <c r="G1123">
        <v>2</v>
      </c>
      <c r="H1123">
        <v>0</v>
      </c>
      <c r="I1123" t="s">
        <v>33</v>
      </c>
      <c r="J1123">
        <v>0</v>
      </c>
      <c r="K1123">
        <v>26</v>
      </c>
      <c r="L1123" t="s">
        <v>20</v>
      </c>
      <c r="M1123" t="s">
        <v>21</v>
      </c>
      <c r="N1123" t="s">
        <v>30</v>
      </c>
      <c r="O1123" t="s">
        <v>36</v>
      </c>
      <c r="P1123">
        <v>0.22</v>
      </c>
      <c r="Q1123" s="2" t="b">
        <f>FALSE()</f>
        <v>0</v>
      </c>
      <c r="R1123">
        <v>0</v>
      </c>
    </row>
    <row r="1124" spans="1:18" x14ac:dyDescent="0.25">
      <c r="A1124">
        <v>201123</v>
      </c>
      <c r="B1124">
        <v>52652</v>
      </c>
      <c r="C1124" t="s">
        <v>18</v>
      </c>
      <c r="D1124">
        <v>1641.14</v>
      </c>
      <c r="E1124">
        <v>184</v>
      </c>
      <c r="F1124">
        <v>2</v>
      </c>
      <c r="G1124">
        <v>3</v>
      </c>
      <c r="H1124">
        <v>0</v>
      </c>
      <c r="I1124" t="s">
        <v>33</v>
      </c>
      <c r="J1124">
        <v>1</v>
      </c>
      <c r="K1124">
        <v>36</v>
      </c>
      <c r="L1124" t="s">
        <v>20</v>
      </c>
      <c r="M1124" t="s">
        <v>31</v>
      </c>
      <c r="N1124" t="s">
        <v>22</v>
      </c>
      <c r="O1124" t="s">
        <v>27</v>
      </c>
      <c r="P1124">
        <v>1.62</v>
      </c>
      <c r="Q1124" s="2" t="b">
        <f>FALSE()</f>
        <v>0</v>
      </c>
      <c r="R1124">
        <v>0</v>
      </c>
    </row>
    <row r="1125" spans="1:18" x14ac:dyDescent="0.25">
      <c r="A1125">
        <v>201124</v>
      </c>
      <c r="B1125">
        <v>51000</v>
      </c>
      <c r="C1125" t="s">
        <v>34</v>
      </c>
      <c r="D1125">
        <v>1218.5899999999999</v>
      </c>
      <c r="E1125">
        <v>3480</v>
      </c>
      <c r="F1125">
        <v>3</v>
      </c>
      <c r="G1125">
        <v>3</v>
      </c>
      <c r="H1125">
        <v>1</v>
      </c>
      <c r="I1125" t="s">
        <v>33</v>
      </c>
      <c r="J1125">
        <v>0</v>
      </c>
      <c r="K1125">
        <v>28</v>
      </c>
      <c r="L1125" t="s">
        <v>20</v>
      </c>
      <c r="M1125" t="s">
        <v>25</v>
      </c>
      <c r="N1125" t="s">
        <v>26</v>
      </c>
      <c r="O1125" t="s">
        <v>36</v>
      </c>
      <c r="P1125">
        <v>3.8</v>
      </c>
      <c r="Q1125" s="2" t="b">
        <f>FALSE()</f>
        <v>0</v>
      </c>
      <c r="R1125">
        <v>1</v>
      </c>
    </row>
    <row r="1126" spans="1:18" x14ac:dyDescent="0.25">
      <c r="A1126">
        <v>201125</v>
      </c>
      <c r="B1126">
        <v>53675</v>
      </c>
      <c r="C1126" t="s">
        <v>18</v>
      </c>
      <c r="D1126">
        <v>2096.2600000000002</v>
      </c>
      <c r="E1126">
        <v>2043</v>
      </c>
      <c r="F1126">
        <v>4</v>
      </c>
      <c r="G1126">
        <v>4</v>
      </c>
      <c r="H1126">
        <v>0</v>
      </c>
      <c r="I1126" t="s">
        <v>33</v>
      </c>
      <c r="J1126">
        <v>0</v>
      </c>
      <c r="K1126">
        <v>30</v>
      </c>
      <c r="L1126" t="s">
        <v>20</v>
      </c>
      <c r="M1126" t="s">
        <v>29</v>
      </c>
      <c r="N1126" t="s">
        <v>22</v>
      </c>
      <c r="O1126" t="s">
        <v>36</v>
      </c>
      <c r="P1126">
        <v>0.41</v>
      </c>
      <c r="Q1126" s="2" t="b">
        <f>FALSE()</f>
        <v>0</v>
      </c>
      <c r="R1126">
        <v>1</v>
      </c>
    </row>
    <row r="1127" spans="1:18" x14ac:dyDescent="0.25">
      <c r="A1127">
        <v>201126</v>
      </c>
      <c r="B1127">
        <v>54656</v>
      </c>
      <c r="C1127" t="s">
        <v>18</v>
      </c>
      <c r="D1127">
        <v>6449.34</v>
      </c>
      <c r="E1127">
        <v>2282</v>
      </c>
      <c r="F1127">
        <v>1</v>
      </c>
      <c r="G1127">
        <v>2</v>
      </c>
      <c r="H1127">
        <v>1</v>
      </c>
      <c r="I1127" t="s">
        <v>19</v>
      </c>
      <c r="J1127">
        <v>0</v>
      </c>
      <c r="K1127">
        <v>22</v>
      </c>
      <c r="L1127" t="s">
        <v>20</v>
      </c>
      <c r="M1127" t="s">
        <v>31</v>
      </c>
      <c r="N1127" t="s">
        <v>30</v>
      </c>
      <c r="O1127" t="s">
        <v>36</v>
      </c>
      <c r="P1127">
        <v>0.78</v>
      </c>
      <c r="Q1127" s="2" t="b">
        <f>FALSE()</f>
        <v>0</v>
      </c>
      <c r="R1127">
        <v>1</v>
      </c>
    </row>
    <row r="1128" spans="1:18" x14ac:dyDescent="0.25">
      <c r="A1128">
        <v>201127</v>
      </c>
      <c r="B1128">
        <v>51559</v>
      </c>
      <c r="C1128" t="s">
        <v>34</v>
      </c>
      <c r="D1128">
        <v>3236.87</v>
      </c>
      <c r="E1128">
        <v>1040</v>
      </c>
      <c r="F1128">
        <v>0</v>
      </c>
      <c r="G1128">
        <v>5</v>
      </c>
      <c r="H1128">
        <v>0</v>
      </c>
      <c r="I1128" t="s">
        <v>33</v>
      </c>
      <c r="J1128">
        <v>0</v>
      </c>
      <c r="K1128">
        <v>65</v>
      </c>
      <c r="L1128" t="s">
        <v>24</v>
      </c>
      <c r="M1128" t="s">
        <v>21</v>
      </c>
      <c r="N1128" t="s">
        <v>22</v>
      </c>
      <c r="O1128" t="s">
        <v>23</v>
      </c>
      <c r="P1128">
        <v>2.97</v>
      </c>
      <c r="Q1128" s="2" t="b">
        <f>FALSE()</f>
        <v>0</v>
      </c>
      <c r="R1128">
        <v>0</v>
      </c>
    </row>
    <row r="1129" spans="1:18" x14ac:dyDescent="0.25">
      <c r="A1129">
        <v>201128</v>
      </c>
      <c r="B1129">
        <v>55216</v>
      </c>
      <c r="C1129" t="s">
        <v>34</v>
      </c>
      <c r="D1129">
        <v>2021.25</v>
      </c>
      <c r="E1129">
        <v>121</v>
      </c>
      <c r="F1129">
        <v>1</v>
      </c>
      <c r="G1129">
        <v>2</v>
      </c>
      <c r="H1129">
        <v>0</v>
      </c>
      <c r="I1129" t="s">
        <v>19</v>
      </c>
      <c r="J1129">
        <v>0</v>
      </c>
      <c r="K1129">
        <v>69</v>
      </c>
      <c r="L1129" t="s">
        <v>20</v>
      </c>
      <c r="M1129" t="s">
        <v>37</v>
      </c>
      <c r="N1129" t="s">
        <v>30</v>
      </c>
      <c r="O1129" t="s">
        <v>36</v>
      </c>
      <c r="P1129">
        <v>0.5</v>
      </c>
      <c r="Q1129" s="2" t="b">
        <f>FALSE()</f>
        <v>0</v>
      </c>
      <c r="R1129">
        <v>0</v>
      </c>
    </row>
    <row r="1130" spans="1:18" x14ac:dyDescent="0.25">
      <c r="A1130">
        <v>201129</v>
      </c>
      <c r="B1130">
        <v>54274</v>
      </c>
      <c r="C1130" t="s">
        <v>34</v>
      </c>
      <c r="D1130">
        <v>582.94000000000005</v>
      </c>
      <c r="E1130">
        <v>3351</v>
      </c>
      <c r="F1130">
        <v>1</v>
      </c>
      <c r="G1130">
        <v>2</v>
      </c>
      <c r="H1130">
        <v>1</v>
      </c>
      <c r="I1130" t="s">
        <v>33</v>
      </c>
      <c r="J1130">
        <v>0</v>
      </c>
      <c r="K1130">
        <v>52</v>
      </c>
      <c r="L1130" t="s">
        <v>20</v>
      </c>
      <c r="M1130" t="s">
        <v>35</v>
      </c>
      <c r="N1130" t="s">
        <v>30</v>
      </c>
      <c r="O1130" t="s">
        <v>27</v>
      </c>
      <c r="P1130">
        <v>0.75</v>
      </c>
      <c r="Q1130" s="2" t="b">
        <f>FALSE()</f>
        <v>0</v>
      </c>
      <c r="R1130">
        <v>0</v>
      </c>
    </row>
    <row r="1131" spans="1:18" x14ac:dyDescent="0.25">
      <c r="A1131">
        <v>201130</v>
      </c>
      <c r="B1131">
        <v>53116</v>
      </c>
      <c r="C1131" t="s">
        <v>18</v>
      </c>
      <c r="D1131">
        <v>1546.75</v>
      </c>
      <c r="E1131">
        <v>65</v>
      </c>
      <c r="F1131">
        <v>0</v>
      </c>
      <c r="G1131">
        <v>6</v>
      </c>
      <c r="H1131">
        <v>0</v>
      </c>
      <c r="I1131" t="s">
        <v>33</v>
      </c>
      <c r="J1131">
        <v>0</v>
      </c>
      <c r="K1131">
        <v>40</v>
      </c>
      <c r="L1131" t="s">
        <v>20</v>
      </c>
      <c r="M1131" t="s">
        <v>21</v>
      </c>
      <c r="N1131" t="s">
        <v>30</v>
      </c>
      <c r="O1131" t="s">
        <v>27</v>
      </c>
      <c r="P1131">
        <v>1.28</v>
      </c>
      <c r="Q1131" s="2" t="b">
        <f>FALSE()</f>
        <v>0</v>
      </c>
      <c r="R1131">
        <v>0</v>
      </c>
    </row>
    <row r="1132" spans="1:18" x14ac:dyDescent="0.25">
      <c r="A1132">
        <v>201131</v>
      </c>
      <c r="B1132">
        <v>51200</v>
      </c>
      <c r="C1132" t="s">
        <v>28</v>
      </c>
      <c r="D1132">
        <v>5227.47</v>
      </c>
      <c r="E1132">
        <v>421</v>
      </c>
      <c r="F1132">
        <v>2</v>
      </c>
      <c r="G1132">
        <v>4</v>
      </c>
      <c r="H1132">
        <v>1</v>
      </c>
      <c r="I1132" t="s">
        <v>33</v>
      </c>
      <c r="J1132">
        <v>1</v>
      </c>
      <c r="K1132">
        <v>51</v>
      </c>
      <c r="L1132" t="s">
        <v>20</v>
      </c>
      <c r="M1132" t="s">
        <v>21</v>
      </c>
      <c r="N1132" t="s">
        <v>22</v>
      </c>
      <c r="O1132" t="s">
        <v>27</v>
      </c>
      <c r="P1132">
        <v>4.55</v>
      </c>
      <c r="Q1132" s="2" t="b">
        <f>FALSE()</f>
        <v>0</v>
      </c>
      <c r="R1132">
        <v>1</v>
      </c>
    </row>
    <row r="1133" spans="1:18" x14ac:dyDescent="0.25">
      <c r="A1133">
        <v>201132</v>
      </c>
      <c r="B1133">
        <v>52545</v>
      </c>
      <c r="C1133" t="s">
        <v>34</v>
      </c>
      <c r="D1133">
        <v>1114.44</v>
      </c>
      <c r="E1133">
        <v>2622</v>
      </c>
      <c r="F1133">
        <v>1</v>
      </c>
      <c r="G1133">
        <v>5</v>
      </c>
      <c r="H1133">
        <v>0</v>
      </c>
      <c r="I1133" t="s">
        <v>33</v>
      </c>
      <c r="J1133">
        <v>0</v>
      </c>
      <c r="K1133">
        <v>71</v>
      </c>
      <c r="L1133" t="s">
        <v>24</v>
      </c>
      <c r="M1133" t="s">
        <v>37</v>
      </c>
      <c r="N1133" t="s">
        <v>22</v>
      </c>
      <c r="O1133" t="s">
        <v>27</v>
      </c>
      <c r="P1133">
        <v>2.2599999999999998</v>
      </c>
      <c r="Q1133" s="2" t="b">
        <f>FALSE()</f>
        <v>0</v>
      </c>
      <c r="R1133">
        <v>0</v>
      </c>
    </row>
    <row r="1134" spans="1:18" x14ac:dyDescent="0.25">
      <c r="A1134">
        <v>201133</v>
      </c>
      <c r="B1134">
        <v>51582</v>
      </c>
      <c r="C1134" t="s">
        <v>18</v>
      </c>
      <c r="D1134">
        <v>5222.4799999999996</v>
      </c>
      <c r="E1134">
        <v>12</v>
      </c>
      <c r="F1134">
        <v>1</v>
      </c>
      <c r="G1134">
        <v>6</v>
      </c>
      <c r="H1134">
        <v>1</v>
      </c>
      <c r="I1134" t="s">
        <v>33</v>
      </c>
      <c r="J1134">
        <v>0</v>
      </c>
      <c r="K1134">
        <v>78</v>
      </c>
      <c r="L1134" t="s">
        <v>20</v>
      </c>
      <c r="M1134" t="s">
        <v>25</v>
      </c>
      <c r="N1134" t="s">
        <v>22</v>
      </c>
      <c r="O1134" t="s">
        <v>36</v>
      </c>
      <c r="P1134">
        <v>5.03</v>
      </c>
      <c r="Q1134" s="2" t="b">
        <f>FALSE()</f>
        <v>0</v>
      </c>
      <c r="R1134">
        <v>1</v>
      </c>
    </row>
    <row r="1135" spans="1:18" x14ac:dyDescent="0.25">
      <c r="A1135">
        <v>201134</v>
      </c>
      <c r="B1135">
        <v>53530</v>
      </c>
      <c r="C1135" t="s">
        <v>18</v>
      </c>
      <c r="D1135">
        <v>3223.49</v>
      </c>
      <c r="E1135">
        <v>507</v>
      </c>
      <c r="F1135">
        <v>1</v>
      </c>
      <c r="G1135">
        <v>2</v>
      </c>
      <c r="H1135">
        <v>0</v>
      </c>
      <c r="I1135" t="s">
        <v>32</v>
      </c>
      <c r="J1135">
        <v>1</v>
      </c>
      <c r="K1135">
        <v>47</v>
      </c>
      <c r="L1135" t="s">
        <v>20</v>
      </c>
      <c r="M1135" t="s">
        <v>29</v>
      </c>
      <c r="N1135" t="s">
        <v>26</v>
      </c>
      <c r="O1135" t="s">
        <v>36</v>
      </c>
      <c r="P1135">
        <v>2.86</v>
      </c>
      <c r="Q1135" s="2" t="b">
        <f>FALSE()</f>
        <v>0</v>
      </c>
      <c r="R1135">
        <v>0</v>
      </c>
    </row>
    <row r="1136" spans="1:18" x14ac:dyDescent="0.25">
      <c r="A1136">
        <v>201135</v>
      </c>
      <c r="B1136">
        <v>50169</v>
      </c>
      <c r="C1136" t="s">
        <v>34</v>
      </c>
      <c r="D1136">
        <v>4936.1099999999997</v>
      </c>
      <c r="E1136">
        <v>2532</v>
      </c>
      <c r="F1136">
        <v>0</v>
      </c>
      <c r="G1136">
        <v>4</v>
      </c>
      <c r="H1136">
        <v>1</v>
      </c>
      <c r="I1136" t="s">
        <v>33</v>
      </c>
      <c r="J1136">
        <v>0</v>
      </c>
      <c r="K1136">
        <v>37</v>
      </c>
      <c r="L1136" t="s">
        <v>24</v>
      </c>
      <c r="M1136" t="s">
        <v>37</v>
      </c>
      <c r="N1136" t="s">
        <v>22</v>
      </c>
      <c r="O1136" t="s">
        <v>36</v>
      </c>
      <c r="P1136">
        <v>3.87</v>
      </c>
      <c r="Q1136" s="2" t="b">
        <f>FALSE()</f>
        <v>0</v>
      </c>
      <c r="R1136">
        <v>1</v>
      </c>
    </row>
    <row r="1137" spans="1:18" x14ac:dyDescent="0.25">
      <c r="A1137">
        <v>201136</v>
      </c>
      <c r="B1137">
        <v>52213</v>
      </c>
      <c r="C1137" t="s">
        <v>18</v>
      </c>
      <c r="D1137">
        <v>1447.48</v>
      </c>
      <c r="E1137">
        <v>1445</v>
      </c>
      <c r="F1137">
        <v>1</v>
      </c>
      <c r="G1137">
        <v>5</v>
      </c>
      <c r="H1137">
        <v>1</v>
      </c>
      <c r="I1137" t="s">
        <v>19</v>
      </c>
      <c r="J1137">
        <v>0</v>
      </c>
      <c r="K1137">
        <v>61</v>
      </c>
      <c r="L1137" t="s">
        <v>24</v>
      </c>
      <c r="M1137" t="s">
        <v>31</v>
      </c>
      <c r="N1137" t="s">
        <v>22</v>
      </c>
      <c r="O1137" t="s">
        <v>36</v>
      </c>
      <c r="P1137">
        <v>5.98</v>
      </c>
      <c r="Q1137" s="2" t="b">
        <f>FALSE()</f>
        <v>0</v>
      </c>
      <c r="R1137">
        <v>0</v>
      </c>
    </row>
    <row r="1138" spans="1:18" x14ac:dyDescent="0.25">
      <c r="A1138">
        <v>201137</v>
      </c>
      <c r="B1138">
        <v>52684</v>
      </c>
      <c r="C1138" t="s">
        <v>18</v>
      </c>
      <c r="D1138">
        <v>8410.77</v>
      </c>
      <c r="E1138">
        <v>3226</v>
      </c>
      <c r="F1138">
        <v>0</v>
      </c>
      <c r="G1138">
        <v>9</v>
      </c>
      <c r="H1138">
        <v>0</v>
      </c>
      <c r="I1138" t="s">
        <v>33</v>
      </c>
      <c r="J1138">
        <v>0</v>
      </c>
      <c r="K1138">
        <v>77</v>
      </c>
      <c r="L1138" t="s">
        <v>20</v>
      </c>
      <c r="M1138" t="s">
        <v>25</v>
      </c>
      <c r="N1138" t="s">
        <v>26</v>
      </c>
      <c r="O1138" t="s">
        <v>23</v>
      </c>
      <c r="P1138">
        <v>5.49</v>
      </c>
      <c r="Q1138" s="2" t="b">
        <f>TRUE()</f>
        <v>1</v>
      </c>
      <c r="R1138">
        <v>1</v>
      </c>
    </row>
    <row r="1139" spans="1:18" x14ac:dyDescent="0.25">
      <c r="A1139">
        <v>201138</v>
      </c>
      <c r="B1139">
        <v>54546</v>
      </c>
      <c r="C1139" t="s">
        <v>34</v>
      </c>
      <c r="D1139">
        <v>7317.87</v>
      </c>
      <c r="E1139">
        <v>2106</v>
      </c>
      <c r="F1139">
        <v>0</v>
      </c>
      <c r="G1139">
        <v>5</v>
      </c>
      <c r="H1139">
        <v>0</v>
      </c>
      <c r="I1139" t="s">
        <v>19</v>
      </c>
      <c r="J1139">
        <v>0</v>
      </c>
      <c r="K1139">
        <v>36</v>
      </c>
      <c r="L1139" t="s">
        <v>24</v>
      </c>
      <c r="M1139" t="s">
        <v>21</v>
      </c>
      <c r="N1139" t="s">
        <v>30</v>
      </c>
      <c r="O1139" t="s">
        <v>27</v>
      </c>
      <c r="P1139">
        <v>5.69</v>
      </c>
      <c r="Q1139" s="2" t="b">
        <f>TRUE()</f>
        <v>1</v>
      </c>
      <c r="R1139">
        <v>1</v>
      </c>
    </row>
    <row r="1140" spans="1:18" x14ac:dyDescent="0.25">
      <c r="A1140">
        <v>201139</v>
      </c>
      <c r="B1140">
        <v>50419</v>
      </c>
      <c r="C1140" t="s">
        <v>34</v>
      </c>
      <c r="D1140">
        <v>1038.3499999999999</v>
      </c>
      <c r="E1140">
        <v>17</v>
      </c>
      <c r="F1140">
        <v>2</v>
      </c>
      <c r="G1140">
        <v>6</v>
      </c>
      <c r="H1140">
        <v>1</v>
      </c>
      <c r="I1140" t="s">
        <v>32</v>
      </c>
      <c r="J1140">
        <v>0</v>
      </c>
      <c r="K1140">
        <v>75</v>
      </c>
      <c r="L1140" t="s">
        <v>20</v>
      </c>
      <c r="M1140" t="s">
        <v>31</v>
      </c>
      <c r="N1140" t="s">
        <v>30</v>
      </c>
      <c r="O1140" t="s">
        <v>23</v>
      </c>
      <c r="P1140">
        <v>2.08</v>
      </c>
      <c r="Q1140" s="2" t="b">
        <f>FALSE()</f>
        <v>0</v>
      </c>
      <c r="R1140">
        <v>0</v>
      </c>
    </row>
    <row r="1141" spans="1:18" x14ac:dyDescent="0.25">
      <c r="A1141">
        <v>201140</v>
      </c>
      <c r="B1141">
        <v>52812</v>
      </c>
      <c r="C1141" t="s">
        <v>18</v>
      </c>
      <c r="D1141">
        <v>1891.33</v>
      </c>
      <c r="E1141">
        <v>1302</v>
      </c>
      <c r="F1141">
        <v>0</v>
      </c>
      <c r="G1141">
        <v>2</v>
      </c>
      <c r="H1141">
        <v>0</v>
      </c>
      <c r="I1141" t="s">
        <v>19</v>
      </c>
      <c r="J1141">
        <v>0</v>
      </c>
      <c r="K1141">
        <v>51</v>
      </c>
      <c r="L1141" t="s">
        <v>24</v>
      </c>
      <c r="M1141" t="s">
        <v>35</v>
      </c>
      <c r="N1141" t="s">
        <v>22</v>
      </c>
      <c r="O1141" t="s">
        <v>36</v>
      </c>
      <c r="P1141">
        <v>0.44</v>
      </c>
      <c r="Q1141" s="2" t="b">
        <f>FALSE()</f>
        <v>0</v>
      </c>
      <c r="R1141">
        <v>0</v>
      </c>
    </row>
    <row r="1142" spans="1:18" x14ac:dyDescent="0.25">
      <c r="A1142">
        <v>201141</v>
      </c>
      <c r="B1142">
        <v>55227</v>
      </c>
      <c r="C1142" t="s">
        <v>34</v>
      </c>
      <c r="D1142">
        <v>1205.5999999999999</v>
      </c>
      <c r="E1142">
        <v>3274</v>
      </c>
      <c r="F1142">
        <v>2</v>
      </c>
      <c r="G1142">
        <v>2</v>
      </c>
      <c r="H1142">
        <v>0</v>
      </c>
      <c r="I1142" t="s">
        <v>33</v>
      </c>
      <c r="J1142">
        <v>0</v>
      </c>
      <c r="K1142">
        <v>30</v>
      </c>
      <c r="L1142" t="s">
        <v>20</v>
      </c>
      <c r="M1142" t="s">
        <v>25</v>
      </c>
      <c r="N1142" t="s">
        <v>22</v>
      </c>
      <c r="O1142" t="s">
        <v>36</v>
      </c>
      <c r="P1142">
        <v>0.28000000000000003</v>
      </c>
      <c r="Q1142" s="2" t="b">
        <f>FALSE()</f>
        <v>0</v>
      </c>
      <c r="R1142">
        <v>0</v>
      </c>
    </row>
    <row r="1143" spans="1:18" x14ac:dyDescent="0.25">
      <c r="A1143">
        <v>201142</v>
      </c>
      <c r="B1143">
        <v>51986</v>
      </c>
      <c r="C1143" t="s">
        <v>34</v>
      </c>
      <c r="D1143">
        <v>7435.36</v>
      </c>
      <c r="E1143">
        <v>1191</v>
      </c>
      <c r="F1143">
        <v>0</v>
      </c>
      <c r="G1143">
        <v>4</v>
      </c>
      <c r="H1143">
        <v>0</v>
      </c>
      <c r="I1143" t="s">
        <v>33</v>
      </c>
      <c r="J1143">
        <v>0</v>
      </c>
      <c r="K1143">
        <v>77</v>
      </c>
      <c r="L1143" t="s">
        <v>20</v>
      </c>
      <c r="M1143" t="s">
        <v>21</v>
      </c>
      <c r="N1143" t="s">
        <v>22</v>
      </c>
      <c r="O1143" t="s">
        <v>23</v>
      </c>
      <c r="P1143">
        <v>0.89</v>
      </c>
      <c r="Q1143" s="2" t="b">
        <f>TRUE()</f>
        <v>1</v>
      </c>
      <c r="R1143">
        <v>1</v>
      </c>
    </row>
    <row r="1144" spans="1:18" x14ac:dyDescent="0.25">
      <c r="A1144">
        <v>201143</v>
      </c>
      <c r="B1144">
        <v>52747</v>
      </c>
      <c r="C1144" t="s">
        <v>18</v>
      </c>
      <c r="D1144">
        <v>2654.52</v>
      </c>
      <c r="E1144">
        <v>1759</v>
      </c>
      <c r="F1144">
        <v>0</v>
      </c>
      <c r="G1144">
        <v>3</v>
      </c>
      <c r="H1144">
        <v>0</v>
      </c>
      <c r="I1144" t="s">
        <v>19</v>
      </c>
      <c r="J1144">
        <v>0</v>
      </c>
      <c r="K1144">
        <v>47</v>
      </c>
      <c r="L1144" t="s">
        <v>20</v>
      </c>
      <c r="M1144" t="s">
        <v>31</v>
      </c>
      <c r="N1144" t="s">
        <v>22</v>
      </c>
      <c r="O1144" t="s">
        <v>27</v>
      </c>
      <c r="P1144">
        <v>0.36</v>
      </c>
      <c r="Q1144" s="2" t="b">
        <f>FALSE()</f>
        <v>0</v>
      </c>
      <c r="R1144">
        <v>0</v>
      </c>
    </row>
    <row r="1145" spans="1:18" x14ac:dyDescent="0.25">
      <c r="A1145">
        <v>201144</v>
      </c>
      <c r="B1145">
        <v>50647</v>
      </c>
      <c r="C1145" t="s">
        <v>28</v>
      </c>
      <c r="D1145">
        <v>554.05999999999995</v>
      </c>
      <c r="E1145">
        <v>992</v>
      </c>
      <c r="F1145">
        <v>2</v>
      </c>
      <c r="G1145">
        <v>4</v>
      </c>
      <c r="H1145">
        <v>1</v>
      </c>
      <c r="I1145" t="s">
        <v>19</v>
      </c>
      <c r="J1145">
        <v>0</v>
      </c>
      <c r="K1145">
        <v>19</v>
      </c>
      <c r="L1145" t="s">
        <v>24</v>
      </c>
      <c r="M1145" t="s">
        <v>37</v>
      </c>
      <c r="N1145" t="s">
        <v>30</v>
      </c>
      <c r="O1145" t="s">
        <v>36</v>
      </c>
      <c r="P1145">
        <v>1.1299999999999999</v>
      </c>
      <c r="Q1145" s="2" t="b">
        <f>FALSE()</f>
        <v>0</v>
      </c>
      <c r="R1145">
        <v>0</v>
      </c>
    </row>
    <row r="1146" spans="1:18" x14ac:dyDescent="0.25">
      <c r="A1146">
        <v>201145</v>
      </c>
      <c r="B1146">
        <v>52481</v>
      </c>
      <c r="C1146" t="s">
        <v>18</v>
      </c>
      <c r="D1146">
        <v>4009.72</v>
      </c>
      <c r="E1146">
        <v>598</v>
      </c>
      <c r="F1146">
        <v>3</v>
      </c>
      <c r="G1146">
        <v>2</v>
      </c>
      <c r="H1146">
        <v>0</v>
      </c>
      <c r="I1146" t="s">
        <v>33</v>
      </c>
      <c r="J1146">
        <v>0</v>
      </c>
      <c r="K1146">
        <v>33</v>
      </c>
      <c r="L1146" t="s">
        <v>24</v>
      </c>
      <c r="M1146" t="s">
        <v>21</v>
      </c>
      <c r="N1146" t="s">
        <v>26</v>
      </c>
      <c r="O1146" t="s">
        <v>36</v>
      </c>
      <c r="P1146">
        <v>0.24</v>
      </c>
      <c r="Q1146" s="2" t="b">
        <f>FALSE()</f>
        <v>0</v>
      </c>
      <c r="R1146">
        <v>1</v>
      </c>
    </row>
    <row r="1147" spans="1:18" x14ac:dyDescent="0.25">
      <c r="A1147">
        <v>201146</v>
      </c>
      <c r="B1147">
        <v>50782</v>
      </c>
      <c r="C1147" t="s">
        <v>34</v>
      </c>
      <c r="D1147">
        <v>6608.68</v>
      </c>
      <c r="E1147">
        <v>3592</v>
      </c>
      <c r="F1147">
        <v>1</v>
      </c>
      <c r="G1147">
        <v>1</v>
      </c>
      <c r="H1147">
        <v>1</v>
      </c>
      <c r="I1147" t="s">
        <v>32</v>
      </c>
      <c r="J1147">
        <v>1</v>
      </c>
      <c r="K1147">
        <v>31</v>
      </c>
      <c r="L1147" t="s">
        <v>20</v>
      </c>
      <c r="M1147" t="s">
        <v>25</v>
      </c>
      <c r="N1147" t="s">
        <v>26</v>
      </c>
      <c r="O1147" t="s">
        <v>23</v>
      </c>
      <c r="P1147">
        <v>1.26</v>
      </c>
      <c r="Q1147" s="2" t="b">
        <f>FALSE()</f>
        <v>0</v>
      </c>
      <c r="R1147">
        <v>1</v>
      </c>
    </row>
    <row r="1148" spans="1:18" x14ac:dyDescent="0.25">
      <c r="A1148">
        <v>201147</v>
      </c>
      <c r="B1148">
        <v>53235</v>
      </c>
      <c r="C1148" t="s">
        <v>18</v>
      </c>
      <c r="D1148">
        <v>4759.83</v>
      </c>
      <c r="E1148">
        <v>3491</v>
      </c>
      <c r="F1148">
        <v>1</v>
      </c>
      <c r="G1148">
        <v>5</v>
      </c>
      <c r="H1148">
        <v>1</v>
      </c>
      <c r="I1148" t="s">
        <v>33</v>
      </c>
      <c r="J1148">
        <v>1</v>
      </c>
      <c r="K1148">
        <v>72</v>
      </c>
      <c r="L1148" t="s">
        <v>20</v>
      </c>
      <c r="M1148" t="s">
        <v>21</v>
      </c>
      <c r="N1148" t="s">
        <v>30</v>
      </c>
      <c r="O1148" t="s">
        <v>36</v>
      </c>
      <c r="P1148">
        <v>8.6300000000000008</v>
      </c>
      <c r="Q1148" s="2" t="b">
        <f>FALSE()</f>
        <v>0</v>
      </c>
      <c r="R1148">
        <v>1</v>
      </c>
    </row>
    <row r="1149" spans="1:18" x14ac:dyDescent="0.25">
      <c r="A1149">
        <v>201148</v>
      </c>
      <c r="B1149">
        <v>50957</v>
      </c>
      <c r="C1149" t="s">
        <v>18</v>
      </c>
      <c r="D1149">
        <v>1586.9</v>
      </c>
      <c r="E1149">
        <v>914</v>
      </c>
      <c r="F1149">
        <v>1</v>
      </c>
      <c r="G1149">
        <v>4</v>
      </c>
      <c r="H1149">
        <v>0</v>
      </c>
      <c r="I1149" t="s">
        <v>19</v>
      </c>
      <c r="J1149">
        <v>0</v>
      </c>
      <c r="K1149">
        <v>45</v>
      </c>
      <c r="L1149" t="s">
        <v>20</v>
      </c>
      <c r="M1149" t="s">
        <v>25</v>
      </c>
      <c r="N1149" t="s">
        <v>26</v>
      </c>
      <c r="O1149" t="s">
        <v>27</v>
      </c>
      <c r="P1149">
        <v>1.04</v>
      </c>
      <c r="Q1149" s="2" t="b">
        <f>FALSE()</f>
        <v>0</v>
      </c>
      <c r="R1149">
        <v>0</v>
      </c>
    </row>
    <row r="1150" spans="1:18" x14ac:dyDescent="0.25">
      <c r="A1150">
        <v>201149</v>
      </c>
      <c r="B1150">
        <v>51176</v>
      </c>
      <c r="C1150" t="s">
        <v>34</v>
      </c>
      <c r="D1150">
        <v>394.93</v>
      </c>
      <c r="E1150">
        <v>502</v>
      </c>
      <c r="F1150">
        <v>0</v>
      </c>
      <c r="G1150">
        <v>3</v>
      </c>
      <c r="H1150">
        <v>0</v>
      </c>
      <c r="I1150" t="s">
        <v>33</v>
      </c>
      <c r="J1150">
        <v>0</v>
      </c>
      <c r="K1150">
        <v>63</v>
      </c>
      <c r="L1150" t="s">
        <v>20</v>
      </c>
      <c r="M1150" t="s">
        <v>25</v>
      </c>
      <c r="N1150" t="s">
        <v>22</v>
      </c>
      <c r="O1150" t="s">
        <v>23</v>
      </c>
      <c r="P1150">
        <v>1.84</v>
      </c>
      <c r="Q1150" s="2" t="b">
        <f>FALSE()</f>
        <v>0</v>
      </c>
      <c r="R1150">
        <v>0</v>
      </c>
    </row>
    <row r="1151" spans="1:18" x14ac:dyDescent="0.25">
      <c r="A1151">
        <v>201150</v>
      </c>
      <c r="B1151">
        <v>53405</v>
      </c>
      <c r="C1151" t="s">
        <v>18</v>
      </c>
      <c r="D1151">
        <v>2197.69</v>
      </c>
      <c r="E1151">
        <v>2309</v>
      </c>
      <c r="F1151">
        <v>2</v>
      </c>
      <c r="G1151">
        <v>6</v>
      </c>
      <c r="H1151">
        <v>0</v>
      </c>
      <c r="I1151" t="s">
        <v>33</v>
      </c>
      <c r="J1151">
        <v>0</v>
      </c>
      <c r="K1151">
        <v>78</v>
      </c>
      <c r="L1151" t="s">
        <v>24</v>
      </c>
      <c r="M1151" t="s">
        <v>25</v>
      </c>
      <c r="N1151" t="s">
        <v>30</v>
      </c>
      <c r="O1151" t="s">
        <v>27</v>
      </c>
      <c r="P1151">
        <v>1.63</v>
      </c>
      <c r="Q1151" s="2" t="b">
        <f>FALSE()</f>
        <v>0</v>
      </c>
      <c r="R1151">
        <v>0</v>
      </c>
    </row>
    <row r="1152" spans="1:18" x14ac:dyDescent="0.25">
      <c r="A1152">
        <v>201151</v>
      </c>
      <c r="B1152">
        <v>52222</v>
      </c>
      <c r="C1152" t="s">
        <v>34</v>
      </c>
      <c r="D1152">
        <v>5195.57</v>
      </c>
      <c r="E1152">
        <v>1312</v>
      </c>
      <c r="F1152">
        <v>1</v>
      </c>
      <c r="G1152">
        <v>6</v>
      </c>
      <c r="H1152">
        <v>0</v>
      </c>
      <c r="I1152" t="s">
        <v>33</v>
      </c>
      <c r="J1152">
        <v>0</v>
      </c>
      <c r="K1152">
        <v>69</v>
      </c>
      <c r="L1152" t="s">
        <v>24</v>
      </c>
      <c r="M1152" t="s">
        <v>35</v>
      </c>
      <c r="N1152" t="s">
        <v>22</v>
      </c>
      <c r="O1152" t="s">
        <v>27</v>
      </c>
      <c r="P1152">
        <v>5.46</v>
      </c>
      <c r="Q1152" s="2" t="b">
        <f>FALSE()</f>
        <v>0</v>
      </c>
      <c r="R1152">
        <v>1</v>
      </c>
    </row>
    <row r="1153" spans="1:18" x14ac:dyDescent="0.25">
      <c r="A1153">
        <v>201152</v>
      </c>
      <c r="B1153">
        <v>51545</v>
      </c>
      <c r="C1153" t="s">
        <v>34</v>
      </c>
      <c r="D1153">
        <v>4764.28</v>
      </c>
      <c r="E1153">
        <v>512</v>
      </c>
      <c r="F1153">
        <v>1</v>
      </c>
      <c r="G1153">
        <v>1</v>
      </c>
      <c r="H1153">
        <v>0</v>
      </c>
      <c r="I1153" t="s">
        <v>19</v>
      </c>
      <c r="J1153">
        <v>0</v>
      </c>
      <c r="K1153">
        <v>83</v>
      </c>
      <c r="L1153" t="s">
        <v>20</v>
      </c>
      <c r="M1153" t="s">
        <v>37</v>
      </c>
      <c r="N1153" t="s">
        <v>22</v>
      </c>
      <c r="O1153" t="s">
        <v>36</v>
      </c>
      <c r="P1153">
        <v>2.5299999999999998</v>
      </c>
      <c r="Q1153" s="2" t="b">
        <f>FALSE()</f>
        <v>0</v>
      </c>
      <c r="R1153">
        <v>1</v>
      </c>
    </row>
    <row r="1154" spans="1:18" x14ac:dyDescent="0.25">
      <c r="A1154">
        <v>201153</v>
      </c>
      <c r="B1154">
        <v>53083</v>
      </c>
      <c r="C1154" t="s">
        <v>18</v>
      </c>
      <c r="D1154">
        <v>1181.44</v>
      </c>
      <c r="E1154">
        <v>1244</v>
      </c>
      <c r="F1154">
        <v>0</v>
      </c>
      <c r="G1154">
        <v>4</v>
      </c>
      <c r="H1154">
        <v>0</v>
      </c>
      <c r="I1154" t="s">
        <v>19</v>
      </c>
      <c r="J1154">
        <v>0</v>
      </c>
      <c r="K1154">
        <v>36</v>
      </c>
      <c r="L1154" t="s">
        <v>24</v>
      </c>
      <c r="M1154" t="s">
        <v>29</v>
      </c>
      <c r="N1154" t="s">
        <v>26</v>
      </c>
      <c r="O1154" t="s">
        <v>27</v>
      </c>
      <c r="P1154">
        <v>4.16</v>
      </c>
      <c r="Q1154" s="2" t="b">
        <f>FALSE()</f>
        <v>0</v>
      </c>
      <c r="R1154">
        <v>0</v>
      </c>
    </row>
    <row r="1155" spans="1:18" x14ac:dyDescent="0.25">
      <c r="A1155">
        <v>201154</v>
      </c>
      <c r="B1155">
        <v>54039</v>
      </c>
      <c r="C1155" t="s">
        <v>18</v>
      </c>
      <c r="D1155">
        <v>6097.44</v>
      </c>
      <c r="E1155">
        <v>3196</v>
      </c>
      <c r="F1155">
        <v>0</v>
      </c>
      <c r="G1155">
        <v>7</v>
      </c>
      <c r="H1155">
        <v>0</v>
      </c>
      <c r="I1155" t="s">
        <v>33</v>
      </c>
      <c r="J1155">
        <v>1</v>
      </c>
      <c r="K1155">
        <v>29</v>
      </c>
      <c r="L1155" t="s">
        <v>24</v>
      </c>
      <c r="M1155" t="s">
        <v>31</v>
      </c>
      <c r="N1155" t="s">
        <v>30</v>
      </c>
      <c r="O1155" t="s">
        <v>23</v>
      </c>
      <c r="P1155">
        <v>0.48</v>
      </c>
      <c r="Q1155" s="2" t="b">
        <f>FALSE()</f>
        <v>0</v>
      </c>
      <c r="R1155">
        <v>1</v>
      </c>
    </row>
    <row r="1156" spans="1:18" x14ac:dyDescent="0.25">
      <c r="A1156">
        <v>201155</v>
      </c>
      <c r="B1156">
        <v>50540</v>
      </c>
      <c r="C1156" t="s">
        <v>28</v>
      </c>
      <c r="D1156">
        <v>1489.23</v>
      </c>
      <c r="E1156">
        <v>3387</v>
      </c>
      <c r="F1156">
        <v>5</v>
      </c>
      <c r="G1156">
        <v>3</v>
      </c>
      <c r="H1156">
        <v>0</v>
      </c>
      <c r="I1156" t="s">
        <v>33</v>
      </c>
      <c r="J1156">
        <v>0</v>
      </c>
      <c r="K1156">
        <v>69</v>
      </c>
      <c r="L1156" t="s">
        <v>24</v>
      </c>
      <c r="M1156" t="s">
        <v>35</v>
      </c>
      <c r="N1156" t="s">
        <v>30</v>
      </c>
      <c r="O1156" t="s">
        <v>27</v>
      </c>
      <c r="P1156">
        <v>2.3199999999999998</v>
      </c>
      <c r="Q1156" s="2" t="b">
        <f>FALSE()</f>
        <v>0</v>
      </c>
      <c r="R1156">
        <v>1</v>
      </c>
    </row>
    <row r="1157" spans="1:18" x14ac:dyDescent="0.25">
      <c r="A1157">
        <v>201156</v>
      </c>
      <c r="B1157">
        <v>51122</v>
      </c>
      <c r="C1157" t="s">
        <v>28</v>
      </c>
      <c r="D1157">
        <v>663.71</v>
      </c>
      <c r="E1157">
        <v>1700</v>
      </c>
      <c r="F1157">
        <v>1</v>
      </c>
      <c r="G1157">
        <v>5</v>
      </c>
      <c r="H1157">
        <v>0</v>
      </c>
      <c r="I1157" t="s">
        <v>33</v>
      </c>
      <c r="J1157">
        <v>0</v>
      </c>
      <c r="K1157">
        <v>57</v>
      </c>
      <c r="L1157" t="s">
        <v>20</v>
      </c>
      <c r="M1157" t="s">
        <v>35</v>
      </c>
      <c r="N1157" t="s">
        <v>30</v>
      </c>
      <c r="O1157" t="s">
        <v>27</v>
      </c>
      <c r="P1157">
        <v>0.47</v>
      </c>
      <c r="Q1157" s="2" t="b">
        <f>FALSE()</f>
        <v>0</v>
      </c>
      <c r="R1157">
        <v>0</v>
      </c>
    </row>
    <row r="1158" spans="1:18" x14ac:dyDescent="0.25">
      <c r="A1158">
        <v>201157</v>
      </c>
      <c r="B1158">
        <v>54090</v>
      </c>
      <c r="C1158" t="s">
        <v>18</v>
      </c>
      <c r="D1158">
        <v>1362.05</v>
      </c>
      <c r="E1158">
        <v>647</v>
      </c>
      <c r="F1158">
        <v>1</v>
      </c>
      <c r="G1158">
        <v>3</v>
      </c>
      <c r="H1158">
        <v>0</v>
      </c>
      <c r="I1158" t="s">
        <v>33</v>
      </c>
      <c r="J1158">
        <v>0</v>
      </c>
      <c r="K1158">
        <v>47</v>
      </c>
      <c r="L1158" t="s">
        <v>24</v>
      </c>
      <c r="M1158" t="s">
        <v>29</v>
      </c>
      <c r="N1158" t="s">
        <v>22</v>
      </c>
      <c r="O1158" t="s">
        <v>27</v>
      </c>
      <c r="P1158">
        <v>4.3899999999999997</v>
      </c>
      <c r="Q1158" s="2" t="b">
        <f>FALSE()</f>
        <v>0</v>
      </c>
      <c r="R1158">
        <v>0</v>
      </c>
    </row>
    <row r="1159" spans="1:18" x14ac:dyDescent="0.25">
      <c r="A1159">
        <v>201158</v>
      </c>
      <c r="B1159">
        <v>55790</v>
      </c>
      <c r="C1159" t="s">
        <v>18</v>
      </c>
      <c r="D1159">
        <v>4641.82</v>
      </c>
      <c r="E1159">
        <v>2644</v>
      </c>
      <c r="F1159">
        <v>0</v>
      </c>
      <c r="G1159">
        <v>4</v>
      </c>
      <c r="H1159">
        <v>0</v>
      </c>
      <c r="I1159" t="s">
        <v>19</v>
      </c>
      <c r="J1159">
        <v>0</v>
      </c>
      <c r="K1159">
        <v>80</v>
      </c>
      <c r="L1159" t="s">
        <v>24</v>
      </c>
      <c r="M1159" t="s">
        <v>21</v>
      </c>
      <c r="N1159" t="s">
        <v>22</v>
      </c>
      <c r="O1159" t="s">
        <v>36</v>
      </c>
      <c r="P1159">
        <v>3.55</v>
      </c>
      <c r="Q1159" s="2" t="b">
        <f>FALSE()</f>
        <v>0</v>
      </c>
      <c r="R1159">
        <v>1</v>
      </c>
    </row>
    <row r="1160" spans="1:18" x14ac:dyDescent="0.25">
      <c r="A1160">
        <v>201159</v>
      </c>
      <c r="B1160">
        <v>54078</v>
      </c>
      <c r="C1160" t="s">
        <v>34</v>
      </c>
      <c r="D1160">
        <v>6423.65</v>
      </c>
      <c r="E1160">
        <v>3615</v>
      </c>
      <c r="F1160">
        <v>0</v>
      </c>
      <c r="G1160">
        <v>4</v>
      </c>
      <c r="H1160">
        <v>0</v>
      </c>
      <c r="I1160" t="s">
        <v>19</v>
      </c>
      <c r="J1160">
        <v>1</v>
      </c>
      <c r="K1160">
        <v>33</v>
      </c>
      <c r="L1160" t="s">
        <v>24</v>
      </c>
      <c r="M1160" t="s">
        <v>35</v>
      </c>
      <c r="N1160" t="s">
        <v>22</v>
      </c>
      <c r="O1160" t="s">
        <v>27</v>
      </c>
      <c r="P1160">
        <v>2.4</v>
      </c>
      <c r="Q1160" s="2" t="b">
        <f>FALSE()</f>
        <v>0</v>
      </c>
      <c r="R1160">
        <v>1</v>
      </c>
    </row>
    <row r="1161" spans="1:18" x14ac:dyDescent="0.25">
      <c r="A1161">
        <v>201160</v>
      </c>
      <c r="B1161">
        <v>55296</v>
      </c>
      <c r="C1161" t="s">
        <v>28</v>
      </c>
      <c r="D1161">
        <v>2657.3</v>
      </c>
      <c r="E1161">
        <v>3402</v>
      </c>
      <c r="F1161">
        <v>1</v>
      </c>
      <c r="G1161">
        <v>3</v>
      </c>
      <c r="H1161">
        <v>0</v>
      </c>
      <c r="I1161" t="s">
        <v>33</v>
      </c>
      <c r="J1161">
        <v>0</v>
      </c>
      <c r="K1161">
        <v>25</v>
      </c>
      <c r="L1161" t="s">
        <v>24</v>
      </c>
      <c r="M1161" t="s">
        <v>25</v>
      </c>
      <c r="N1161" t="s">
        <v>22</v>
      </c>
      <c r="O1161" t="s">
        <v>23</v>
      </c>
      <c r="P1161">
        <v>0.19</v>
      </c>
      <c r="Q1161" s="2" t="b">
        <f>FALSE()</f>
        <v>0</v>
      </c>
      <c r="R1161">
        <v>0</v>
      </c>
    </row>
    <row r="1162" spans="1:18" x14ac:dyDescent="0.25">
      <c r="A1162">
        <v>201161</v>
      </c>
      <c r="B1162">
        <v>52752</v>
      </c>
      <c r="C1162" t="s">
        <v>28</v>
      </c>
      <c r="D1162">
        <v>2218.98</v>
      </c>
      <c r="E1162">
        <v>3130</v>
      </c>
      <c r="F1162">
        <v>1</v>
      </c>
      <c r="G1162">
        <v>2</v>
      </c>
      <c r="H1162">
        <v>1</v>
      </c>
      <c r="I1162" t="s">
        <v>33</v>
      </c>
      <c r="J1162">
        <v>0</v>
      </c>
      <c r="K1162">
        <v>76</v>
      </c>
      <c r="L1162" t="s">
        <v>20</v>
      </c>
      <c r="M1162" t="s">
        <v>31</v>
      </c>
      <c r="N1162" t="s">
        <v>26</v>
      </c>
      <c r="O1162" t="s">
        <v>27</v>
      </c>
      <c r="P1162">
        <v>0</v>
      </c>
      <c r="Q1162" s="2" t="b">
        <f>FALSE()</f>
        <v>0</v>
      </c>
      <c r="R1162">
        <v>0</v>
      </c>
    </row>
    <row r="1163" spans="1:18" x14ac:dyDescent="0.25">
      <c r="A1163">
        <v>201162</v>
      </c>
      <c r="B1163">
        <v>54288</v>
      </c>
      <c r="C1163" t="s">
        <v>18</v>
      </c>
      <c r="D1163">
        <v>3021.4</v>
      </c>
      <c r="E1163">
        <v>3072</v>
      </c>
      <c r="F1163">
        <v>3</v>
      </c>
      <c r="G1163">
        <v>3</v>
      </c>
      <c r="H1163">
        <v>0</v>
      </c>
      <c r="I1163" t="s">
        <v>33</v>
      </c>
      <c r="J1163">
        <v>0</v>
      </c>
      <c r="K1163">
        <v>24</v>
      </c>
      <c r="L1163" t="s">
        <v>24</v>
      </c>
      <c r="M1163" t="s">
        <v>35</v>
      </c>
      <c r="N1163" t="s">
        <v>30</v>
      </c>
      <c r="O1163" t="s">
        <v>36</v>
      </c>
      <c r="P1163">
        <v>0.88</v>
      </c>
      <c r="Q1163" s="2" t="b">
        <f>FALSE()</f>
        <v>0</v>
      </c>
      <c r="R1163">
        <v>1</v>
      </c>
    </row>
    <row r="1164" spans="1:18" x14ac:dyDescent="0.25">
      <c r="A1164">
        <v>201163</v>
      </c>
      <c r="B1164">
        <v>53634</v>
      </c>
      <c r="C1164" t="s">
        <v>34</v>
      </c>
      <c r="D1164">
        <v>1638.69</v>
      </c>
      <c r="E1164">
        <v>2296</v>
      </c>
      <c r="F1164">
        <v>2</v>
      </c>
      <c r="G1164">
        <v>2</v>
      </c>
      <c r="H1164">
        <v>0</v>
      </c>
      <c r="I1164" t="s">
        <v>19</v>
      </c>
      <c r="J1164">
        <v>1</v>
      </c>
      <c r="K1164">
        <v>72</v>
      </c>
      <c r="L1164" t="s">
        <v>20</v>
      </c>
      <c r="M1164" t="s">
        <v>25</v>
      </c>
      <c r="N1164" t="s">
        <v>26</v>
      </c>
      <c r="O1164" t="s">
        <v>23</v>
      </c>
      <c r="P1164">
        <v>0.23</v>
      </c>
      <c r="Q1164" s="2" t="b">
        <f>FALSE()</f>
        <v>0</v>
      </c>
      <c r="R1164">
        <v>0</v>
      </c>
    </row>
    <row r="1165" spans="1:18" x14ac:dyDescent="0.25">
      <c r="A1165">
        <v>201164</v>
      </c>
      <c r="B1165">
        <v>52739</v>
      </c>
      <c r="C1165" t="s">
        <v>18</v>
      </c>
      <c r="D1165">
        <v>4831.9399999999996</v>
      </c>
      <c r="E1165">
        <v>1418</v>
      </c>
      <c r="F1165">
        <v>1</v>
      </c>
      <c r="G1165">
        <v>7</v>
      </c>
      <c r="H1165">
        <v>0</v>
      </c>
      <c r="I1165" t="s">
        <v>33</v>
      </c>
      <c r="J1165">
        <v>1</v>
      </c>
      <c r="K1165">
        <v>71</v>
      </c>
      <c r="L1165" t="s">
        <v>20</v>
      </c>
      <c r="M1165" t="s">
        <v>21</v>
      </c>
      <c r="N1165" t="s">
        <v>26</v>
      </c>
      <c r="O1165" t="s">
        <v>27</v>
      </c>
      <c r="P1165">
        <v>0.35</v>
      </c>
      <c r="Q1165" s="2" t="b">
        <f>FALSE()</f>
        <v>0</v>
      </c>
      <c r="R1165">
        <v>1</v>
      </c>
    </row>
    <row r="1166" spans="1:18" x14ac:dyDescent="0.25">
      <c r="A1166">
        <v>201165</v>
      </c>
      <c r="B1166">
        <v>55922</v>
      </c>
      <c r="C1166" t="s">
        <v>18</v>
      </c>
      <c r="D1166">
        <v>2848.88</v>
      </c>
      <c r="E1166">
        <v>2093</v>
      </c>
      <c r="F1166">
        <v>3</v>
      </c>
      <c r="G1166">
        <v>2</v>
      </c>
      <c r="H1166">
        <v>0</v>
      </c>
      <c r="I1166" t="s">
        <v>19</v>
      </c>
      <c r="J1166">
        <v>0</v>
      </c>
      <c r="K1166">
        <v>39</v>
      </c>
      <c r="L1166" t="s">
        <v>24</v>
      </c>
      <c r="M1166" t="s">
        <v>31</v>
      </c>
      <c r="N1166" t="s">
        <v>22</v>
      </c>
      <c r="O1166" t="s">
        <v>27</v>
      </c>
      <c r="P1166">
        <v>2.4300000000000002</v>
      </c>
      <c r="Q1166" s="2" t="b">
        <f>FALSE()</f>
        <v>0</v>
      </c>
      <c r="R1166">
        <v>1</v>
      </c>
    </row>
    <row r="1167" spans="1:18" x14ac:dyDescent="0.25">
      <c r="A1167">
        <v>201166</v>
      </c>
      <c r="B1167">
        <v>51643</v>
      </c>
      <c r="C1167" t="s">
        <v>34</v>
      </c>
      <c r="D1167">
        <v>4667.5200000000004</v>
      </c>
      <c r="E1167">
        <v>2598</v>
      </c>
      <c r="F1167">
        <v>0</v>
      </c>
      <c r="G1167">
        <v>1</v>
      </c>
      <c r="H1167">
        <v>0</v>
      </c>
      <c r="I1167" t="s">
        <v>33</v>
      </c>
      <c r="J1167">
        <v>0</v>
      </c>
      <c r="K1167">
        <v>42</v>
      </c>
      <c r="L1167" t="s">
        <v>24</v>
      </c>
      <c r="M1167" t="s">
        <v>31</v>
      </c>
      <c r="N1167" t="s">
        <v>26</v>
      </c>
      <c r="O1167" t="s">
        <v>36</v>
      </c>
      <c r="P1167">
        <v>1.95</v>
      </c>
      <c r="Q1167" s="2" t="b">
        <f>FALSE()</f>
        <v>0</v>
      </c>
      <c r="R1167">
        <v>1</v>
      </c>
    </row>
    <row r="1168" spans="1:18" x14ac:dyDescent="0.25">
      <c r="A1168">
        <v>201167</v>
      </c>
      <c r="B1168">
        <v>54959</v>
      </c>
      <c r="C1168" t="s">
        <v>34</v>
      </c>
      <c r="D1168">
        <v>1795.75</v>
      </c>
      <c r="E1168">
        <v>2515</v>
      </c>
      <c r="F1168">
        <v>4</v>
      </c>
      <c r="G1168">
        <v>1</v>
      </c>
      <c r="H1168">
        <v>0</v>
      </c>
      <c r="I1168" t="s">
        <v>33</v>
      </c>
      <c r="J1168">
        <v>0</v>
      </c>
      <c r="K1168">
        <v>21</v>
      </c>
      <c r="L1168" t="s">
        <v>20</v>
      </c>
      <c r="M1168" t="s">
        <v>31</v>
      </c>
      <c r="N1168" t="s">
        <v>30</v>
      </c>
      <c r="O1168" t="s">
        <v>36</v>
      </c>
      <c r="P1168">
        <v>5.07</v>
      </c>
      <c r="Q1168" s="2" t="b">
        <f>FALSE()</f>
        <v>0</v>
      </c>
      <c r="R1168">
        <v>1</v>
      </c>
    </row>
    <row r="1169" spans="1:18" x14ac:dyDescent="0.25">
      <c r="A1169">
        <v>201168</v>
      </c>
      <c r="B1169">
        <v>54548</v>
      </c>
      <c r="C1169" t="s">
        <v>28</v>
      </c>
      <c r="D1169">
        <v>2894.99</v>
      </c>
      <c r="E1169">
        <v>3509</v>
      </c>
      <c r="F1169">
        <v>3</v>
      </c>
      <c r="G1169">
        <v>1</v>
      </c>
      <c r="H1169">
        <v>0</v>
      </c>
      <c r="I1169" t="s">
        <v>33</v>
      </c>
      <c r="J1169">
        <v>0</v>
      </c>
      <c r="K1169">
        <v>24</v>
      </c>
      <c r="L1169" t="s">
        <v>20</v>
      </c>
      <c r="M1169" t="s">
        <v>21</v>
      </c>
      <c r="N1169" t="s">
        <v>22</v>
      </c>
      <c r="O1169" t="s">
        <v>36</v>
      </c>
      <c r="P1169">
        <v>2.7</v>
      </c>
      <c r="Q1169" s="2" t="b">
        <f>FALSE()</f>
        <v>0</v>
      </c>
      <c r="R1169">
        <v>1</v>
      </c>
    </row>
    <row r="1170" spans="1:18" x14ac:dyDescent="0.25">
      <c r="A1170">
        <v>201169</v>
      </c>
      <c r="B1170">
        <v>54591</v>
      </c>
      <c r="C1170" t="s">
        <v>34</v>
      </c>
      <c r="D1170">
        <v>2617.15</v>
      </c>
      <c r="E1170">
        <v>3097</v>
      </c>
      <c r="F1170">
        <v>1</v>
      </c>
      <c r="G1170">
        <v>0</v>
      </c>
      <c r="H1170">
        <v>0</v>
      </c>
      <c r="I1170" t="s">
        <v>19</v>
      </c>
      <c r="J1170">
        <v>1</v>
      </c>
      <c r="K1170">
        <v>23</v>
      </c>
      <c r="L1170" t="s">
        <v>24</v>
      </c>
      <c r="M1170" t="s">
        <v>21</v>
      </c>
      <c r="N1170" t="s">
        <v>30</v>
      </c>
      <c r="O1170" t="s">
        <v>23</v>
      </c>
      <c r="P1170">
        <v>5.59</v>
      </c>
      <c r="Q1170" s="2" t="b">
        <f>FALSE()</f>
        <v>0</v>
      </c>
      <c r="R1170">
        <v>0</v>
      </c>
    </row>
    <row r="1171" spans="1:18" x14ac:dyDescent="0.25">
      <c r="A1171">
        <v>201170</v>
      </c>
      <c r="B1171">
        <v>52448</v>
      </c>
      <c r="C1171" t="s">
        <v>34</v>
      </c>
      <c r="D1171">
        <v>3411.57</v>
      </c>
      <c r="E1171">
        <v>981</v>
      </c>
      <c r="F1171">
        <v>2</v>
      </c>
      <c r="G1171">
        <v>6</v>
      </c>
      <c r="H1171">
        <v>0</v>
      </c>
      <c r="I1171" t="s">
        <v>32</v>
      </c>
      <c r="J1171">
        <v>0</v>
      </c>
      <c r="K1171">
        <v>42</v>
      </c>
      <c r="L1171" t="s">
        <v>20</v>
      </c>
      <c r="M1171" t="s">
        <v>31</v>
      </c>
      <c r="N1171" t="s">
        <v>26</v>
      </c>
      <c r="O1171" t="s">
        <v>23</v>
      </c>
      <c r="P1171">
        <v>4.1900000000000004</v>
      </c>
      <c r="Q1171" s="2" t="b">
        <f>FALSE()</f>
        <v>0</v>
      </c>
      <c r="R1171">
        <v>0</v>
      </c>
    </row>
    <row r="1172" spans="1:18" x14ac:dyDescent="0.25">
      <c r="A1172">
        <v>201171</v>
      </c>
      <c r="B1172">
        <v>50257</v>
      </c>
      <c r="C1172" t="s">
        <v>34</v>
      </c>
      <c r="D1172">
        <v>884.87</v>
      </c>
      <c r="E1172">
        <v>1833</v>
      </c>
      <c r="F1172">
        <v>2</v>
      </c>
      <c r="G1172">
        <v>3</v>
      </c>
      <c r="H1172">
        <v>1</v>
      </c>
      <c r="I1172" t="s">
        <v>33</v>
      </c>
      <c r="J1172">
        <v>0</v>
      </c>
      <c r="K1172">
        <v>22</v>
      </c>
      <c r="L1172" t="s">
        <v>20</v>
      </c>
      <c r="M1172" t="s">
        <v>21</v>
      </c>
      <c r="N1172" t="s">
        <v>30</v>
      </c>
      <c r="O1172" t="s">
        <v>36</v>
      </c>
      <c r="P1172">
        <v>5.56</v>
      </c>
      <c r="Q1172" s="2" t="b">
        <f>FALSE()</f>
        <v>0</v>
      </c>
      <c r="R1172">
        <v>0</v>
      </c>
    </row>
    <row r="1173" spans="1:18" x14ac:dyDescent="0.25">
      <c r="A1173">
        <v>201172</v>
      </c>
      <c r="B1173">
        <v>54748</v>
      </c>
      <c r="C1173" t="s">
        <v>34</v>
      </c>
      <c r="D1173">
        <v>1405.16</v>
      </c>
      <c r="E1173">
        <v>2489</v>
      </c>
      <c r="F1173">
        <v>1</v>
      </c>
      <c r="G1173">
        <v>5</v>
      </c>
      <c r="H1173">
        <v>0</v>
      </c>
      <c r="I1173" t="s">
        <v>33</v>
      </c>
      <c r="J1173">
        <v>0</v>
      </c>
      <c r="K1173">
        <v>79</v>
      </c>
      <c r="L1173" t="s">
        <v>24</v>
      </c>
      <c r="M1173" t="s">
        <v>25</v>
      </c>
      <c r="N1173" t="s">
        <v>30</v>
      </c>
      <c r="O1173" t="s">
        <v>36</v>
      </c>
      <c r="P1173">
        <v>4.66</v>
      </c>
      <c r="Q1173" s="2" t="b">
        <f>FALSE()</f>
        <v>0</v>
      </c>
      <c r="R1173">
        <v>0</v>
      </c>
    </row>
    <row r="1174" spans="1:18" x14ac:dyDescent="0.25">
      <c r="A1174">
        <v>201173</v>
      </c>
      <c r="B1174">
        <v>55630</v>
      </c>
      <c r="C1174" t="s">
        <v>34</v>
      </c>
      <c r="D1174">
        <v>3292.52</v>
      </c>
      <c r="E1174">
        <v>875</v>
      </c>
      <c r="F1174">
        <v>4</v>
      </c>
      <c r="G1174">
        <v>7</v>
      </c>
      <c r="H1174">
        <v>0</v>
      </c>
      <c r="I1174" t="s">
        <v>33</v>
      </c>
      <c r="J1174">
        <v>0</v>
      </c>
      <c r="K1174">
        <v>21</v>
      </c>
      <c r="L1174" t="s">
        <v>20</v>
      </c>
      <c r="M1174" t="s">
        <v>31</v>
      </c>
      <c r="N1174" t="s">
        <v>30</v>
      </c>
      <c r="O1174" t="s">
        <v>36</v>
      </c>
      <c r="P1174">
        <v>0.12</v>
      </c>
      <c r="Q1174" s="2" t="b">
        <f>FALSE()</f>
        <v>0</v>
      </c>
      <c r="R1174">
        <v>1</v>
      </c>
    </row>
    <row r="1175" spans="1:18" x14ac:dyDescent="0.25">
      <c r="A1175">
        <v>201174</v>
      </c>
      <c r="B1175">
        <v>53447</v>
      </c>
      <c r="C1175" t="s">
        <v>34</v>
      </c>
      <c r="D1175">
        <v>2115.09</v>
      </c>
      <c r="E1175">
        <v>1383</v>
      </c>
      <c r="F1175">
        <v>0</v>
      </c>
      <c r="G1175">
        <v>1</v>
      </c>
      <c r="H1175">
        <v>1</v>
      </c>
      <c r="I1175" t="s">
        <v>19</v>
      </c>
      <c r="J1175">
        <v>1</v>
      </c>
      <c r="K1175">
        <v>70</v>
      </c>
      <c r="L1175" t="s">
        <v>20</v>
      </c>
      <c r="M1175" t="s">
        <v>37</v>
      </c>
      <c r="N1175" t="s">
        <v>22</v>
      </c>
      <c r="O1175" t="s">
        <v>36</v>
      </c>
      <c r="P1175">
        <v>2.27</v>
      </c>
      <c r="Q1175" s="2" t="b">
        <f>FALSE()</f>
        <v>0</v>
      </c>
      <c r="R1175">
        <v>0</v>
      </c>
    </row>
    <row r="1176" spans="1:18" x14ac:dyDescent="0.25">
      <c r="A1176">
        <v>201175</v>
      </c>
      <c r="B1176">
        <v>55908</v>
      </c>
      <c r="C1176" t="s">
        <v>18</v>
      </c>
      <c r="D1176">
        <v>1975.67</v>
      </c>
      <c r="E1176">
        <v>1615</v>
      </c>
      <c r="F1176">
        <v>1</v>
      </c>
      <c r="G1176">
        <v>6</v>
      </c>
      <c r="H1176">
        <v>0</v>
      </c>
      <c r="I1176" t="s">
        <v>33</v>
      </c>
      <c r="J1176">
        <v>0</v>
      </c>
      <c r="K1176">
        <v>57</v>
      </c>
      <c r="L1176" t="s">
        <v>38</v>
      </c>
      <c r="M1176" t="s">
        <v>21</v>
      </c>
      <c r="N1176" t="s">
        <v>22</v>
      </c>
      <c r="O1176" t="s">
        <v>27</v>
      </c>
      <c r="P1176">
        <v>2.4500000000000002</v>
      </c>
      <c r="Q1176" s="2" t="b">
        <f>FALSE()</f>
        <v>0</v>
      </c>
      <c r="R1176">
        <v>0</v>
      </c>
    </row>
    <row r="1177" spans="1:18" x14ac:dyDescent="0.25">
      <c r="A1177">
        <v>201176</v>
      </c>
      <c r="B1177">
        <v>50603</v>
      </c>
      <c r="C1177" t="s">
        <v>34</v>
      </c>
      <c r="D1177">
        <v>328.98</v>
      </c>
      <c r="E1177">
        <v>3206</v>
      </c>
      <c r="F1177">
        <v>1</v>
      </c>
      <c r="G1177">
        <v>3</v>
      </c>
      <c r="H1177">
        <v>0</v>
      </c>
      <c r="I1177" t="s">
        <v>33</v>
      </c>
      <c r="J1177">
        <v>0</v>
      </c>
      <c r="K1177">
        <v>41</v>
      </c>
      <c r="L1177" t="s">
        <v>20</v>
      </c>
      <c r="M1177" t="s">
        <v>37</v>
      </c>
      <c r="N1177" t="s">
        <v>30</v>
      </c>
      <c r="O1177" t="s">
        <v>36</v>
      </c>
      <c r="P1177">
        <v>0.03</v>
      </c>
      <c r="Q1177" s="2" t="b">
        <f>FALSE()</f>
        <v>0</v>
      </c>
      <c r="R1177">
        <v>0</v>
      </c>
    </row>
    <row r="1178" spans="1:18" x14ac:dyDescent="0.25">
      <c r="A1178">
        <v>201177</v>
      </c>
      <c r="B1178">
        <v>50789</v>
      </c>
      <c r="C1178" t="s">
        <v>18</v>
      </c>
      <c r="D1178">
        <v>1645.29</v>
      </c>
      <c r="E1178">
        <v>2098</v>
      </c>
      <c r="F1178">
        <v>1</v>
      </c>
      <c r="G1178">
        <v>6</v>
      </c>
      <c r="H1178">
        <v>1</v>
      </c>
      <c r="I1178" t="s">
        <v>32</v>
      </c>
      <c r="J1178">
        <v>0</v>
      </c>
      <c r="K1178">
        <v>48</v>
      </c>
      <c r="L1178" t="s">
        <v>24</v>
      </c>
      <c r="M1178" t="s">
        <v>25</v>
      </c>
      <c r="N1178" t="s">
        <v>22</v>
      </c>
      <c r="O1178" t="s">
        <v>27</v>
      </c>
      <c r="P1178">
        <v>1.66</v>
      </c>
      <c r="Q1178" s="2" t="b">
        <f>FALSE()</f>
        <v>0</v>
      </c>
      <c r="R1178">
        <v>0</v>
      </c>
    </row>
    <row r="1179" spans="1:18" x14ac:dyDescent="0.25">
      <c r="A1179">
        <v>201178</v>
      </c>
      <c r="B1179">
        <v>53140</v>
      </c>
      <c r="C1179" t="s">
        <v>18</v>
      </c>
      <c r="D1179">
        <v>970.07</v>
      </c>
      <c r="E1179">
        <v>1101</v>
      </c>
      <c r="F1179">
        <v>2</v>
      </c>
      <c r="G1179">
        <v>4</v>
      </c>
      <c r="H1179">
        <v>1</v>
      </c>
      <c r="I1179" t="s">
        <v>32</v>
      </c>
      <c r="J1179">
        <v>0</v>
      </c>
      <c r="K1179">
        <v>30</v>
      </c>
      <c r="L1179" t="s">
        <v>24</v>
      </c>
      <c r="M1179" t="s">
        <v>29</v>
      </c>
      <c r="N1179" t="s">
        <v>30</v>
      </c>
      <c r="O1179" t="s">
        <v>36</v>
      </c>
      <c r="P1179">
        <v>0.49</v>
      </c>
      <c r="Q1179" s="2" t="b">
        <f>FALSE()</f>
        <v>0</v>
      </c>
      <c r="R1179">
        <v>0</v>
      </c>
    </row>
    <row r="1180" spans="1:18" x14ac:dyDescent="0.25">
      <c r="A1180">
        <v>201179</v>
      </c>
      <c r="B1180">
        <v>51375</v>
      </c>
      <c r="C1180" t="s">
        <v>18</v>
      </c>
      <c r="D1180">
        <v>1448.66</v>
      </c>
      <c r="E1180">
        <v>1928</v>
      </c>
      <c r="F1180">
        <v>2</v>
      </c>
      <c r="G1180">
        <v>3</v>
      </c>
      <c r="H1180">
        <v>0</v>
      </c>
      <c r="I1180" t="s">
        <v>33</v>
      </c>
      <c r="J1180">
        <v>0</v>
      </c>
      <c r="K1180">
        <v>82</v>
      </c>
      <c r="L1180" t="s">
        <v>20</v>
      </c>
      <c r="M1180" t="s">
        <v>25</v>
      </c>
      <c r="N1180" t="s">
        <v>26</v>
      </c>
      <c r="O1180" t="s">
        <v>27</v>
      </c>
      <c r="P1180">
        <v>8.41</v>
      </c>
      <c r="Q1180" s="2" t="b">
        <f>FALSE()</f>
        <v>0</v>
      </c>
      <c r="R1180">
        <v>0</v>
      </c>
    </row>
    <row r="1181" spans="1:18" x14ac:dyDescent="0.25">
      <c r="A1181">
        <v>201180</v>
      </c>
      <c r="B1181">
        <v>51737</v>
      </c>
      <c r="C1181" t="s">
        <v>34</v>
      </c>
      <c r="D1181">
        <v>1859.09</v>
      </c>
      <c r="E1181">
        <v>1790</v>
      </c>
      <c r="F1181">
        <v>3</v>
      </c>
      <c r="G1181">
        <v>3</v>
      </c>
      <c r="H1181">
        <v>0</v>
      </c>
      <c r="I1181" t="s">
        <v>33</v>
      </c>
      <c r="J1181">
        <v>0</v>
      </c>
      <c r="K1181">
        <v>32</v>
      </c>
      <c r="L1181" t="s">
        <v>24</v>
      </c>
      <c r="M1181" t="s">
        <v>25</v>
      </c>
      <c r="N1181" t="s">
        <v>30</v>
      </c>
      <c r="O1181" t="s">
        <v>23</v>
      </c>
      <c r="P1181">
        <v>4.62</v>
      </c>
      <c r="Q1181" s="2" t="b">
        <f>FALSE()</f>
        <v>0</v>
      </c>
      <c r="R1181">
        <v>1</v>
      </c>
    </row>
    <row r="1182" spans="1:18" x14ac:dyDescent="0.25">
      <c r="A1182">
        <v>201181</v>
      </c>
      <c r="B1182">
        <v>51066</v>
      </c>
      <c r="C1182" t="s">
        <v>18</v>
      </c>
      <c r="D1182">
        <v>642.51</v>
      </c>
      <c r="E1182">
        <v>1383</v>
      </c>
      <c r="F1182">
        <v>1</v>
      </c>
      <c r="G1182">
        <v>2</v>
      </c>
      <c r="H1182">
        <v>0</v>
      </c>
      <c r="I1182" t="s">
        <v>19</v>
      </c>
      <c r="J1182">
        <v>0</v>
      </c>
      <c r="K1182">
        <v>48</v>
      </c>
      <c r="L1182" t="s">
        <v>24</v>
      </c>
      <c r="M1182" t="s">
        <v>37</v>
      </c>
      <c r="N1182" t="s">
        <v>26</v>
      </c>
      <c r="O1182" t="s">
        <v>36</v>
      </c>
      <c r="P1182">
        <v>6.19</v>
      </c>
      <c r="Q1182" s="2" t="b">
        <f>FALSE()</f>
        <v>0</v>
      </c>
      <c r="R1182">
        <v>0</v>
      </c>
    </row>
    <row r="1183" spans="1:18" x14ac:dyDescent="0.25">
      <c r="A1183">
        <v>201182</v>
      </c>
      <c r="B1183">
        <v>54838</v>
      </c>
      <c r="C1183" t="s">
        <v>18</v>
      </c>
      <c r="D1183">
        <v>5153.33</v>
      </c>
      <c r="E1183">
        <v>1553</v>
      </c>
      <c r="F1183">
        <v>2</v>
      </c>
      <c r="G1183">
        <v>1</v>
      </c>
      <c r="H1183">
        <v>0</v>
      </c>
      <c r="I1183" t="s">
        <v>33</v>
      </c>
      <c r="J1183">
        <v>0</v>
      </c>
      <c r="K1183">
        <v>22</v>
      </c>
      <c r="L1183" t="s">
        <v>20</v>
      </c>
      <c r="M1183" t="s">
        <v>35</v>
      </c>
      <c r="N1183" t="s">
        <v>22</v>
      </c>
      <c r="O1183" t="s">
        <v>36</v>
      </c>
      <c r="P1183">
        <v>0.36</v>
      </c>
      <c r="Q1183" s="2" t="b">
        <f>FALSE()</f>
        <v>0</v>
      </c>
      <c r="R1183">
        <v>1</v>
      </c>
    </row>
    <row r="1184" spans="1:18" x14ac:dyDescent="0.25">
      <c r="A1184">
        <v>201183</v>
      </c>
      <c r="B1184">
        <v>52615</v>
      </c>
      <c r="C1184" t="s">
        <v>18</v>
      </c>
      <c r="D1184">
        <v>5556.57</v>
      </c>
      <c r="E1184">
        <v>2329</v>
      </c>
      <c r="F1184">
        <v>0</v>
      </c>
      <c r="G1184">
        <v>5</v>
      </c>
      <c r="H1184">
        <v>0</v>
      </c>
      <c r="I1184" t="s">
        <v>19</v>
      </c>
      <c r="J1184">
        <v>0</v>
      </c>
      <c r="K1184">
        <v>39</v>
      </c>
      <c r="L1184" t="s">
        <v>24</v>
      </c>
      <c r="M1184" t="s">
        <v>37</v>
      </c>
      <c r="N1184" t="s">
        <v>22</v>
      </c>
      <c r="O1184" t="s">
        <v>36</v>
      </c>
      <c r="P1184">
        <v>7.0000000000000007E-2</v>
      </c>
      <c r="Q1184" s="2" t="b">
        <f>FALSE()</f>
        <v>0</v>
      </c>
      <c r="R1184">
        <v>1</v>
      </c>
    </row>
    <row r="1185" spans="1:18" x14ac:dyDescent="0.25">
      <c r="A1185">
        <v>201184</v>
      </c>
      <c r="B1185">
        <v>55400</v>
      </c>
      <c r="C1185" t="s">
        <v>18</v>
      </c>
      <c r="D1185">
        <v>3384.33</v>
      </c>
      <c r="E1185">
        <v>256</v>
      </c>
      <c r="F1185">
        <v>0</v>
      </c>
      <c r="G1185">
        <v>4</v>
      </c>
      <c r="H1185">
        <v>0</v>
      </c>
      <c r="I1185" t="s">
        <v>19</v>
      </c>
      <c r="J1185">
        <v>0</v>
      </c>
      <c r="K1185">
        <v>76</v>
      </c>
      <c r="L1185" t="s">
        <v>20</v>
      </c>
      <c r="M1185" t="s">
        <v>29</v>
      </c>
      <c r="N1185" t="s">
        <v>22</v>
      </c>
      <c r="O1185" t="s">
        <v>36</v>
      </c>
      <c r="P1185">
        <v>2.38</v>
      </c>
      <c r="Q1185" s="2" t="b">
        <f>FALSE()</f>
        <v>0</v>
      </c>
      <c r="R1185">
        <v>0</v>
      </c>
    </row>
    <row r="1186" spans="1:18" x14ac:dyDescent="0.25">
      <c r="A1186">
        <v>201185</v>
      </c>
      <c r="B1186">
        <v>54286</v>
      </c>
      <c r="C1186" t="s">
        <v>34</v>
      </c>
      <c r="D1186">
        <v>5853.94</v>
      </c>
      <c r="E1186">
        <v>2611</v>
      </c>
      <c r="F1186">
        <v>1</v>
      </c>
      <c r="G1186">
        <v>2</v>
      </c>
      <c r="H1186">
        <v>0</v>
      </c>
      <c r="I1186" t="s">
        <v>32</v>
      </c>
      <c r="J1186">
        <v>0</v>
      </c>
      <c r="K1186">
        <v>22</v>
      </c>
      <c r="L1186" t="s">
        <v>24</v>
      </c>
      <c r="M1186" t="s">
        <v>25</v>
      </c>
      <c r="N1186" t="s">
        <v>30</v>
      </c>
      <c r="O1186" t="s">
        <v>27</v>
      </c>
      <c r="P1186">
        <v>0.03</v>
      </c>
      <c r="Q1186" s="2" t="b">
        <f>FALSE()</f>
        <v>0</v>
      </c>
      <c r="R1186">
        <v>1</v>
      </c>
    </row>
    <row r="1187" spans="1:18" x14ac:dyDescent="0.25">
      <c r="A1187">
        <v>201186</v>
      </c>
      <c r="B1187">
        <v>55086</v>
      </c>
      <c r="C1187" t="s">
        <v>18</v>
      </c>
      <c r="D1187">
        <v>1182.1199999999999</v>
      </c>
      <c r="E1187">
        <v>890</v>
      </c>
      <c r="F1187">
        <v>1</v>
      </c>
      <c r="G1187">
        <v>4</v>
      </c>
      <c r="H1187">
        <v>1</v>
      </c>
      <c r="I1187" t="s">
        <v>32</v>
      </c>
      <c r="J1187">
        <v>0</v>
      </c>
      <c r="K1187">
        <v>64</v>
      </c>
      <c r="L1187" t="s">
        <v>24</v>
      </c>
      <c r="M1187" t="s">
        <v>25</v>
      </c>
      <c r="N1187" t="s">
        <v>22</v>
      </c>
      <c r="O1187" t="s">
        <v>36</v>
      </c>
      <c r="P1187">
        <v>0.59</v>
      </c>
      <c r="Q1187" s="2" t="b">
        <f>FALSE()</f>
        <v>0</v>
      </c>
      <c r="R1187">
        <v>0</v>
      </c>
    </row>
    <row r="1188" spans="1:18" x14ac:dyDescent="0.25">
      <c r="A1188">
        <v>201187</v>
      </c>
      <c r="B1188">
        <v>50864</v>
      </c>
      <c r="C1188" t="s">
        <v>34</v>
      </c>
      <c r="D1188">
        <v>892.63</v>
      </c>
      <c r="E1188">
        <v>202</v>
      </c>
      <c r="F1188">
        <v>3</v>
      </c>
      <c r="G1188">
        <v>3</v>
      </c>
      <c r="H1188">
        <v>0</v>
      </c>
      <c r="I1188" t="s">
        <v>33</v>
      </c>
      <c r="J1188">
        <v>0</v>
      </c>
      <c r="K1188">
        <v>36</v>
      </c>
      <c r="L1188" t="s">
        <v>20</v>
      </c>
      <c r="M1188" t="s">
        <v>37</v>
      </c>
      <c r="N1188" t="s">
        <v>30</v>
      </c>
      <c r="O1188" t="s">
        <v>27</v>
      </c>
      <c r="P1188">
        <v>3.37</v>
      </c>
      <c r="Q1188" s="2" t="b">
        <f>FALSE()</f>
        <v>0</v>
      </c>
      <c r="R1188">
        <v>1</v>
      </c>
    </row>
    <row r="1189" spans="1:18" x14ac:dyDescent="0.25">
      <c r="A1189">
        <v>201188</v>
      </c>
      <c r="B1189">
        <v>51425</v>
      </c>
      <c r="C1189" t="s">
        <v>18</v>
      </c>
      <c r="D1189">
        <v>1184.6300000000001</v>
      </c>
      <c r="E1189">
        <v>2328</v>
      </c>
      <c r="F1189">
        <v>0</v>
      </c>
      <c r="G1189">
        <v>8</v>
      </c>
      <c r="H1189">
        <v>1</v>
      </c>
      <c r="I1189" t="s">
        <v>19</v>
      </c>
      <c r="J1189">
        <v>0</v>
      </c>
      <c r="K1189">
        <v>66</v>
      </c>
      <c r="L1189" t="s">
        <v>24</v>
      </c>
      <c r="M1189" t="s">
        <v>35</v>
      </c>
      <c r="N1189" t="s">
        <v>22</v>
      </c>
      <c r="O1189" t="s">
        <v>23</v>
      </c>
      <c r="P1189">
        <v>0.35</v>
      </c>
      <c r="Q1189" s="2" t="b">
        <f>FALSE()</f>
        <v>0</v>
      </c>
      <c r="R1189">
        <v>1</v>
      </c>
    </row>
    <row r="1190" spans="1:18" x14ac:dyDescent="0.25">
      <c r="A1190">
        <v>201189</v>
      </c>
      <c r="B1190">
        <v>52693</v>
      </c>
      <c r="C1190" t="s">
        <v>34</v>
      </c>
      <c r="D1190">
        <v>313.2</v>
      </c>
      <c r="E1190">
        <v>45</v>
      </c>
      <c r="F1190">
        <v>0</v>
      </c>
      <c r="G1190">
        <v>3</v>
      </c>
      <c r="H1190">
        <v>1</v>
      </c>
      <c r="I1190" t="s">
        <v>33</v>
      </c>
      <c r="J1190">
        <v>0</v>
      </c>
      <c r="K1190">
        <v>62</v>
      </c>
      <c r="L1190" t="s">
        <v>20</v>
      </c>
      <c r="M1190" t="s">
        <v>29</v>
      </c>
      <c r="N1190" t="s">
        <v>22</v>
      </c>
      <c r="O1190" t="s">
        <v>23</v>
      </c>
      <c r="P1190">
        <v>1.62</v>
      </c>
      <c r="Q1190" s="2" t="b">
        <f>FALSE()</f>
        <v>0</v>
      </c>
      <c r="R1190">
        <v>0</v>
      </c>
    </row>
    <row r="1191" spans="1:18" x14ac:dyDescent="0.25">
      <c r="A1191">
        <v>201190</v>
      </c>
      <c r="B1191">
        <v>52187</v>
      </c>
      <c r="C1191" t="s">
        <v>18</v>
      </c>
      <c r="D1191">
        <v>3215.64</v>
      </c>
      <c r="E1191">
        <v>3405</v>
      </c>
      <c r="F1191">
        <v>1</v>
      </c>
      <c r="G1191">
        <v>6</v>
      </c>
      <c r="H1191">
        <v>1</v>
      </c>
      <c r="I1191" t="s">
        <v>33</v>
      </c>
      <c r="J1191">
        <v>0</v>
      </c>
      <c r="K1191">
        <v>53</v>
      </c>
      <c r="L1191" t="s">
        <v>20</v>
      </c>
      <c r="M1191" t="s">
        <v>31</v>
      </c>
      <c r="N1191" t="s">
        <v>22</v>
      </c>
      <c r="O1191" t="s">
        <v>23</v>
      </c>
      <c r="P1191">
        <v>3.68</v>
      </c>
      <c r="Q1191" s="2" t="b">
        <f>FALSE()</f>
        <v>0</v>
      </c>
      <c r="R1191">
        <v>0</v>
      </c>
    </row>
    <row r="1192" spans="1:18" x14ac:dyDescent="0.25">
      <c r="A1192">
        <v>201191</v>
      </c>
      <c r="B1192">
        <v>50201</v>
      </c>
      <c r="C1192" t="s">
        <v>28</v>
      </c>
      <c r="D1192">
        <v>3336.61</v>
      </c>
      <c r="E1192">
        <v>2833</v>
      </c>
      <c r="F1192">
        <v>1</v>
      </c>
      <c r="G1192">
        <v>4</v>
      </c>
      <c r="H1192">
        <v>0</v>
      </c>
      <c r="I1192" t="s">
        <v>33</v>
      </c>
      <c r="J1192">
        <v>1</v>
      </c>
      <c r="K1192">
        <v>75</v>
      </c>
      <c r="L1192" t="s">
        <v>24</v>
      </c>
      <c r="M1192" t="s">
        <v>29</v>
      </c>
      <c r="N1192" t="s">
        <v>30</v>
      </c>
      <c r="O1192" t="s">
        <v>23</v>
      </c>
      <c r="P1192">
        <v>1.39</v>
      </c>
      <c r="Q1192" s="2" t="b">
        <f>FALSE()</f>
        <v>0</v>
      </c>
      <c r="R1192">
        <v>0</v>
      </c>
    </row>
    <row r="1193" spans="1:18" x14ac:dyDescent="0.25">
      <c r="A1193">
        <v>201192</v>
      </c>
      <c r="B1193">
        <v>53637</v>
      </c>
      <c r="C1193" t="s">
        <v>18</v>
      </c>
      <c r="D1193">
        <v>674.91</v>
      </c>
      <c r="E1193">
        <v>1945</v>
      </c>
      <c r="F1193">
        <v>1</v>
      </c>
      <c r="G1193">
        <v>3</v>
      </c>
      <c r="H1193">
        <v>0</v>
      </c>
      <c r="I1193" t="s">
        <v>33</v>
      </c>
      <c r="J1193">
        <v>0</v>
      </c>
      <c r="K1193">
        <v>29</v>
      </c>
      <c r="L1193" t="s">
        <v>20</v>
      </c>
      <c r="M1193" t="s">
        <v>21</v>
      </c>
      <c r="N1193" t="s">
        <v>30</v>
      </c>
      <c r="O1193" t="s">
        <v>36</v>
      </c>
      <c r="P1193">
        <v>2.85</v>
      </c>
      <c r="Q1193" s="2" t="b">
        <f>FALSE()</f>
        <v>0</v>
      </c>
      <c r="R1193">
        <v>0</v>
      </c>
    </row>
    <row r="1194" spans="1:18" x14ac:dyDescent="0.25">
      <c r="A1194">
        <v>201193</v>
      </c>
      <c r="B1194">
        <v>54698</v>
      </c>
      <c r="C1194" t="s">
        <v>34</v>
      </c>
      <c r="D1194">
        <v>3204.2</v>
      </c>
      <c r="E1194">
        <v>1058</v>
      </c>
      <c r="F1194">
        <v>2</v>
      </c>
      <c r="G1194">
        <v>0</v>
      </c>
      <c r="H1194">
        <v>0</v>
      </c>
      <c r="I1194" t="s">
        <v>33</v>
      </c>
      <c r="J1194">
        <v>0</v>
      </c>
      <c r="K1194">
        <v>43</v>
      </c>
      <c r="L1194" t="s">
        <v>24</v>
      </c>
      <c r="M1194" t="s">
        <v>25</v>
      </c>
      <c r="N1194" t="s">
        <v>22</v>
      </c>
      <c r="O1194" t="s">
        <v>23</v>
      </c>
      <c r="P1194">
        <v>0.68</v>
      </c>
      <c r="Q1194" s="2" t="b">
        <f>FALSE()</f>
        <v>0</v>
      </c>
      <c r="R1194">
        <v>0</v>
      </c>
    </row>
    <row r="1195" spans="1:18" x14ac:dyDescent="0.25">
      <c r="A1195">
        <v>201194</v>
      </c>
      <c r="B1195">
        <v>53246</v>
      </c>
      <c r="C1195" t="s">
        <v>18</v>
      </c>
      <c r="D1195">
        <v>6421.27</v>
      </c>
      <c r="E1195">
        <v>2919</v>
      </c>
      <c r="F1195">
        <v>2</v>
      </c>
      <c r="G1195">
        <v>5</v>
      </c>
      <c r="H1195">
        <v>0</v>
      </c>
      <c r="I1195" t="s">
        <v>19</v>
      </c>
      <c r="J1195">
        <v>0</v>
      </c>
      <c r="K1195">
        <v>20</v>
      </c>
      <c r="L1195" t="s">
        <v>24</v>
      </c>
      <c r="M1195" t="s">
        <v>25</v>
      </c>
      <c r="N1195" t="s">
        <v>30</v>
      </c>
      <c r="O1195" t="s">
        <v>36</v>
      </c>
      <c r="P1195">
        <v>0.73</v>
      </c>
      <c r="Q1195" s="2" t="b">
        <f>FALSE()</f>
        <v>0</v>
      </c>
      <c r="R1195">
        <v>1</v>
      </c>
    </row>
    <row r="1196" spans="1:18" x14ac:dyDescent="0.25">
      <c r="A1196">
        <v>201195</v>
      </c>
      <c r="B1196">
        <v>52332</v>
      </c>
      <c r="C1196" t="s">
        <v>18</v>
      </c>
      <c r="D1196">
        <v>2423.62</v>
      </c>
      <c r="E1196">
        <v>1576</v>
      </c>
      <c r="F1196">
        <v>1</v>
      </c>
      <c r="G1196">
        <v>5</v>
      </c>
      <c r="H1196">
        <v>0</v>
      </c>
      <c r="I1196" t="s">
        <v>33</v>
      </c>
      <c r="J1196">
        <v>0</v>
      </c>
      <c r="K1196">
        <v>61</v>
      </c>
      <c r="L1196" t="s">
        <v>20</v>
      </c>
      <c r="M1196" t="s">
        <v>25</v>
      </c>
      <c r="N1196" t="s">
        <v>26</v>
      </c>
      <c r="O1196" t="s">
        <v>36</v>
      </c>
      <c r="P1196">
        <v>0.22</v>
      </c>
      <c r="Q1196" s="2" t="b">
        <f>FALSE()</f>
        <v>0</v>
      </c>
      <c r="R1196">
        <v>0</v>
      </c>
    </row>
    <row r="1197" spans="1:18" x14ac:dyDescent="0.25">
      <c r="A1197">
        <v>201196</v>
      </c>
      <c r="B1197">
        <v>51484</v>
      </c>
      <c r="C1197" t="s">
        <v>18</v>
      </c>
      <c r="D1197">
        <v>2895.38</v>
      </c>
      <c r="E1197">
        <v>75</v>
      </c>
      <c r="F1197">
        <v>2</v>
      </c>
      <c r="G1197">
        <v>9</v>
      </c>
      <c r="H1197">
        <v>1</v>
      </c>
      <c r="I1197" t="s">
        <v>19</v>
      </c>
      <c r="J1197">
        <v>0</v>
      </c>
      <c r="K1197">
        <v>20</v>
      </c>
      <c r="L1197" t="s">
        <v>24</v>
      </c>
      <c r="M1197" t="s">
        <v>21</v>
      </c>
      <c r="N1197" t="s">
        <v>30</v>
      </c>
      <c r="O1197" t="s">
        <v>27</v>
      </c>
      <c r="P1197">
        <v>7.7</v>
      </c>
      <c r="Q1197" s="2" t="b">
        <f>FALSE()</f>
        <v>0</v>
      </c>
      <c r="R1197">
        <v>1</v>
      </c>
    </row>
    <row r="1198" spans="1:18" x14ac:dyDescent="0.25">
      <c r="A1198">
        <v>201197</v>
      </c>
      <c r="B1198">
        <v>55536</v>
      </c>
      <c r="C1198" t="s">
        <v>18</v>
      </c>
      <c r="D1198">
        <v>2682.24</v>
      </c>
      <c r="E1198">
        <v>2233</v>
      </c>
      <c r="F1198">
        <v>1</v>
      </c>
      <c r="G1198">
        <v>5</v>
      </c>
      <c r="H1198">
        <v>0</v>
      </c>
      <c r="I1198" t="s">
        <v>19</v>
      </c>
      <c r="J1198">
        <v>0</v>
      </c>
      <c r="K1198">
        <v>47</v>
      </c>
      <c r="L1198" t="s">
        <v>38</v>
      </c>
      <c r="M1198" t="s">
        <v>35</v>
      </c>
      <c r="N1198" t="s">
        <v>22</v>
      </c>
      <c r="O1198" t="s">
        <v>23</v>
      </c>
      <c r="P1198">
        <v>0.16</v>
      </c>
      <c r="Q1198" s="2" t="b">
        <f>FALSE()</f>
        <v>0</v>
      </c>
      <c r="R1198">
        <v>0</v>
      </c>
    </row>
    <row r="1199" spans="1:18" x14ac:dyDescent="0.25">
      <c r="A1199">
        <v>201198</v>
      </c>
      <c r="B1199">
        <v>52831</v>
      </c>
      <c r="C1199" t="s">
        <v>28</v>
      </c>
      <c r="D1199">
        <v>6082.97</v>
      </c>
      <c r="E1199">
        <v>741</v>
      </c>
      <c r="F1199">
        <v>0</v>
      </c>
      <c r="G1199">
        <v>3</v>
      </c>
      <c r="H1199">
        <v>0</v>
      </c>
      <c r="I1199" t="s">
        <v>19</v>
      </c>
      <c r="J1199">
        <v>1</v>
      </c>
      <c r="K1199">
        <v>59</v>
      </c>
      <c r="L1199" t="s">
        <v>24</v>
      </c>
      <c r="M1199" t="s">
        <v>25</v>
      </c>
      <c r="N1199" t="s">
        <v>22</v>
      </c>
      <c r="O1199" t="s">
        <v>23</v>
      </c>
      <c r="P1199">
        <v>4.0999999999999996</v>
      </c>
      <c r="Q1199" s="2" t="b">
        <f>FALSE()</f>
        <v>0</v>
      </c>
      <c r="R1199">
        <v>1</v>
      </c>
    </row>
    <row r="1200" spans="1:18" x14ac:dyDescent="0.25">
      <c r="A1200">
        <v>201199</v>
      </c>
      <c r="B1200">
        <v>52169</v>
      </c>
      <c r="C1200" t="s">
        <v>18</v>
      </c>
      <c r="D1200">
        <v>2464.77</v>
      </c>
      <c r="E1200">
        <v>801</v>
      </c>
      <c r="F1200">
        <v>1</v>
      </c>
      <c r="G1200">
        <v>7</v>
      </c>
      <c r="H1200">
        <v>0</v>
      </c>
      <c r="I1200" t="s">
        <v>33</v>
      </c>
      <c r="J1200">
        <v>0</v>
      </c>
      <c r="K1200">
        <v>34</v>
      </c>
      <c r="L1200" t="s">
        <v>20</v>
      </c>
      <c r="M1200" t="s">
        <v>37</v>
      </c>
      <c r="N1200" t="s">
        <v>22</v>
      </c>
      <c r="O1200" t="s">
        <v>27</v>
      </c>
      <c r="P1200">
        <v>6.77</v>
      </c>
      <c r="Q1200" s="2" t="b">
        <f>FALSE()</f>
        <v>0</v>
      </c>
      <c r="R1200">
        <v>1</v>
      </c>
    </row>
    <row r="1201" spans="1:18" x14ac:dyDescent="0.25">
      <c r="A1201">
        <v>201200</v>
      </c>
      <c r="B1201">
        <v>55702</v>
      </c>
      <c r="C1201" t="s">
        <v>34</v>
      </c>
      <c r="D1201">
        <v>3315</v>
      </c>
      <c r="E1201">
        <v>2756</v>
      </c>
      <c r="F1201">
        <v>1</v>
      </c>
      <c r="G1201">
        <v>2</v>
      </c>
      <c r="H1201">
        <v>0</v>
      </c>
      <c r="I1201" t="s">
        <v>19</v>
      </c>
      <c r="J1201">
        <v>1</v>
      </c>
      <c r="K1201">
        <v>25</v>
      </c>
      <c r="L1201" t="s">
        <v>24</v>
      </c>
      <c r="M1201" t="s">
        <v>25</v>
      </c>
      <c r="N1201" t="s">
        <v>22</v>
      </c>
      <c r="O1201" t="s">
        <v>23</v>
      </c>
      <c r="P1201">
        <v>0.93</v>
      </c>
      <c r="Q1201" s="2" t="b">
        <f>FALSE()</f>
        <v>0</v>
      </c>
      <c r="R1201">
        <v>0</v>
      </c>
    </row>
    <row r="1202" spans="1:18" x14ac:dyDescent="0.25">
      <c r="A1202">
        <v>201201</v>
      </c>
      <c r="B1202">
        <v>53849</v>
      </c>
      <c r="C1202" t="s">
        <v>34</v>
      </c>
      <c r="D1202">
        <v>1796.9</v>
      </c>
      <c r="E1202">
        <v>733</v>
      </c>
      <c r="F1202">
        <v>0</v>
      </c>
      <c r="G1202">
        <v>1</v>
      </c>
      <c r="H1202">
        <v>0</v>
      </c>
      <c r="I1202" t="s">
        <v>33</v>
      </c>
      <c r="J1202">
        <v>0</v>
      </c>
      <c r="K1202">
        <v>33</v>
      </c>
      <c r="L1202" t="s">
        <v>24</v>
      </c>
      <c r="M1202" t="s">
        <v>35</v>
      </c>
      <c r="N1202" t="s">
        <v>30</v>
      </c>
      <c r="O1202" t="s">
        <v>23</v>
      </c>
      <c r="P1202">
        <v>5.22</v>
      </c>
      <c r="Q1202" s="2" t="b">
        <f>FALSE()</f>
        <v>0</v>
      </c>
      <c r="R1202">
        <v>0</v>
      </c>
    </row>
    <row r="1203" spans="1:18" x14ac:dyDescent="0.25">
      <c r="A1203">
        <v>201202</v>
      </c>
      <c r="B1203">
        <v>52699</v>
      </c>
      <c r="C1203" t="s">
        <v>34</v>
      </c>
      <c r="D1203">
        <v>1860.47</v>
      </c>
      <c r="E1203">
        <v>63</v>
      </c>
      <c r="F1203">
        <v>3</v>
      </c>
      <c r="G1203">
        <v>4</v>
      </c>
      <c r="H1203">
        <v>0</v>
      </c>
      <c r="I1203" t="s">
        <v>19</v>
      </c>
      <c r="J1203">
        <v>0</v>
      </c>
      <c r="K1203">
        <v>61</v>
      </c>
      <c r="L1203" t="s">
        <v>24</v>
      </c>
      <c r="M1203" t="s">
        <v>29</v>
      </c>
      <c r="N1203" t="s">
        <v>30</v>
      </c>
      <c r="O1203" t="s">
        <v>27</v>
      </c>
      <c r="P1203">
        <v>3.99</v>
      </c>
      <c r="Q1203" s="2" t="b">
        <f>FALSE()</f>
        <v>0</v>
      </c>
      <c r="R1203">
        <v>1</v>
      </c>
    </row>
    <row r="1204" spans="1:18" x14ac:dyDescent="0.25">
      <c r="A1204">
        <v>201203</v>
      </c>
      <c r="B1204">
        <v>53976</v>
      </c>
      <c r="C1204" t="s">
        <v>34</v>
      </c>
      <c r="D1204">
        <v>3990.8</v>
      </c>
      <c r="E1204">
        <v>2896</v>
      </c>
      <c r="F1204">
        <v>2</v>
      </c>
      <c r="G1204">
        <v>7</v>
      </c>
      <c r="H1204">
        <v>1</v>
      </c>
      <c r="I1204" t="s">
        <v>33</v>
      </c>
      <c r="J1204">
        <v>0</v>
      </c>
      <c r="K1204">
        <v>31</v>
      </c>
      <c r="L1204" t="s">
        <v>20</v>
      </c>
      <c r="M1204" t="s">
        <v>37</v>
      </c>
      <c r="N1204" t="s">
        <v>30</v>
      </c>
      <c r="O1204" t="s">
        <v>27</v>
      </c>
      <c r="P1204">
        <v>6.03</v>
      </c>
      <c r="Q1204" s="2" t="b">
        <f>FALSE()</f>
        <v>0</v>
      </c>
      <c r="R1204">
        <v>1</v>
      </c>
    </row>
    <row r="1205" spans="1:18" x14ac:dyDescent="0.25">
      <c r="A1205">
        <v>201204</v>
      </c>
      <c r="B1205">
        <v>50742</v>
      </c>
      <c r="C1205" t="s">
        <v>18</v>
      </c>
      <c r="D1205">
        <v>1227.3499999999999</v>
      </c>
      <c r="E1205">
        <v>2513</v>
      </c>
      <c r="F1205">
        <v>2</v>
      </c>
      <c r="G1205">
        <v>3</v>
      </c>
      <c r="H1205">
        <v>1</v>
      </c>
      <c r="I1205" t="s">
        <v>19</v>
      </c>
      <c r="J1205">
        <v>0</v>
      </c>
      <c r="K1205">
        <v>45</v>
      </c>
      <c r="L1205" t="s">
        <v>24</v>
      </c>
      <c r="M1205" t="s">
        <v>37</v>
      </c>
      <c r="N1205" t="s">
        <v>30</v>
      </c>
      <c r="O1205" t="s">
        <v>27</v>
      </c>
      <c r="P1205">
        <v>0.79</v>
      </c>
      <c r="Q1205" s="2" t="b">
        <f>FALSE()</f>
        <v>0</v>
      </c>
      <c r="R1205">
        <v>0</v>
      </c>
    </row>
    <row r="1206" spans="1:18" x14ac:dyDescent="0.25">
      <c r="A1206">
        <v>201205</v>
      </c>
      <c r="B1206">
        <v>50375</v>
      </c>
      <c r="C1206" t="s">
        <v>28</v>
      </c>
      <c r="D1206">
        <v>3632.1</v>
      </c>
      <c r="E1206">
        <v>3629</v>
      </c>
      <c r="F1206">
        <v>4</v>
      </c>
      <c r="G1206">
        <v>6</v>
      </c>
      <c r="H1206">
        <v>0</v>
      </c>
      <c r="I1206" t="s">
        <v>33</v>
      </c>
      <c r="J1206">
        <v>1</v>
      </c>
      <c r="K1206">
        <v>71</v>
      </c>
      <c r="L1206" t="s">
        <v>24</v>
      </c>
      <c r="M1206" t="s">
        <v>37</v>
      </c>
      <c r="N1206" t="s">
        <v>26</v>
      </c>
      <c r="O1206" t="s">
        <v>27</v>
      </c>
      <c r="P1206">
        <v>2.5499999999999998</v>
      </c>
      <c r="Q1206" s="2" t="b">
        <f>FALSE()</f>
        <v>0</v>
      </c>
      <c r="R1206">
        <v>1</v>
      </c>
    </row>
    <row r="1207" spans="1:18" x14ac:dyDescent="0.25">
      <c r="A1207">
        <v>201206</v>
      </c>
      <c r="B1207">
        <v>51492</v>
      </c>
      <c r="C1207" t="s">
        <v>18</v>
      </c>
      <c r="D1207">
        <v>2401.19</v>
      </c>
      <c r="E1207">
        <v>3371</v>
      </c>
      <c r="F1207">
        <v>1</v>
      </c>
      <c r="G1207">
        <v>1</v>
      </c>
      <c r="H1207">
        <v>0</v>
      </c>
      <c r="I1207" t="s">
        <v>19</v>
      </c>
      <c r="J1207">
        <v>0</v>
      </c>
      <c r="K1207">
        <v>57</v>
      </c>
      <c r="L1207" t="s">
        <v>24</v>
      </c>
      <c r="M1207" t="s">
        <v>37</v>
      </c>
      <c r="N1207" t="s">
        <v>26</v>
      </c>
      <c r="O1207" t="s">
        <v>27</v>
      </c>
      <c r="P1207">
        <v>4.4800000000000004</v>
      </c>
      <c r="Q1207" s="2" t="b">
        <f>FALSE()</f>
        <v>0</v>
      </c>
      <c r="R1207">
        <v>0</v>
      </c>
    </row>
    <row r="1208" spans="1:18" x14ac:dyDescent="0.25">
      <c r="A1208">
        <v>201207</v>
      </c>
      <c r="B1208">
        <v>51489</v>
      </c>
      <c r="C1208" t="s">
        <v>28</v>
      </c>
      <c r="D1208">
        <v>2506.96</v>
      </c>
      <c r="E1208">
        <v>1094</v>
      </c>
      <c r="F1208">
        <v>2</v>
      </c>
      <c r="G1208">
        <v>7</v>
      </c>
      <c r="H1208">
        <v>0</v>
      </c>
      <c r="I1208" t="s">
        <v>33</v>
      </c>
      <c r="J1208">
        <v>1</v>
      </c>
      <c r="K1208">
        <v>76</v>
      </c>
      <c r="L1208" t="s">
        <v>20</v>
      </c>
      <c r="M1208" t="s">
        <v>29</v>
      </c>
      <c r="N1208" t="s">
        <v>30</v>
      </c>
      <c r="O1208" t="s">
        <v>27</v>
      </c>
      <c r="P1208">
        <v>1.18</v>
      </c>
      <c r="Q1208" s="2" t="b">
        <f>FALSE()</f>
        <v>0</v>
      </c>
      <c r="R1208">
        <v>1</v>
      </c>
    </row>
    <row r="1209" spans="1:18" x14ac:dyDescent="0.25">
      <c r="A1209">
        <v>201208</v>
      </c>
      <c r="B1209">
        <v>54577</v>
      </c>
      <c r="C1209" t="s">
        <v>18</v>
      </c>
      <c r="D1209">
        <v>4654.6499999999996</v>
      </c>
      <c r="E1209">
        <v>3384</v>
      </c>
      <c r="F1209">
        <v>1</v>
      </c>
      <c r="G1209">
        <v>5</v>
      </c>
      <c r="H1209">
        <v>0</v>
      </c>
      <c r="I1209" t="s">
        <v>19</v>
      </c>
      <c r="J1209">
        <v>0</v>
      </c>
      <c r="K1209">
        <v>81</v>
      </c>
      <c r="L1209" t="s">
        <v>24</v>
      </c>
      <c r="M1209" t="s">
        <v>35</v>
      </c>
      <c r="N1209" t="s">
        <v>22</v>
      </c>
      <c r="O1209" t="s">
        <v>36</v>
      </c>
      <c r="P1209">
        <v>3.11</v>
      </c>
      <c r="Q1209" s="2" t="b">
        <f>FALSE()</f>
        <v>0</v>
      </c>
      <c r="R1209">
        <v>1</v>
      </c>
    </row>
    <row r="1210" spans="1:18" x14ac:dyDescent="0.25">
      <c r="A1210">
        <v>201209</v>
      </c>
      <c r="B1210">
        <v>50050</v>
      </c>
      <c r="C1210" t="s">
        <v>34</v>
      </c>
      <c r="D1210">
        <v>4137.37</v>
      </c>
      <c r="E1210">
        <v>1602</v>
      </c>
      <c r="F1210">
        <v>1</v>
      </c>
      <c r="G1210">
        <v>0</v>
      </c>
      <c r="H1210">
        <v>0</v>
      </c>
      <c r="I1210" t="s">
        <v>33</v>
      </c>
      <c r="J1210">
        <v>0</v>
      </c>
      <c r="K1210">
        <v>51</v>
      </c>
      <c r="L1210" t="s">
        <v>24</v>
      </c>
      <c r="M1210" t="s">
        <v>31</v>
      </c>
      <c r="N1210" t="s">
        <v>30</v>
      </c>
      <c r="O1210" t="s">
        <v>36</v>
      </c>
      <c r="P1210">
        <v>0.04</v>
      </c>
      <c r="Q1210" s="2" t="b">
        <f>FALSE()</f>
        <v>0</v>
      </c>
      <c r="R1210">
        <v>1</v>
      </c>
    </row>
    <row r="1211" spans="1:18" x14ac:dyDescent="0.25">
      <c r="A1211">
        <v>201210</v>
      </c>
      <c r="B1211">
        <v>52486</v>
      </c>
      <c r="C1211" t="s">
        <v>18</v>
      </c>
      <c r="D1211">
        <v>532.36</v>
      </c>
      <c r="E1211">
        <v>2480</v>
      </c>
      <c r="F1211">
        <v>0</v>
      </c>
      <c r="G1211">
        <v>4</v>
      </c>
      <c r="H1211">
        <v>1</v>
      </c>
      <c r="I1211" t="s">
        <v>33</v>
      </c>
      <c r="J1211">
        <v>1</v>
      </c>
      <c r="K1211">
        <v>40</v>
      </c>
      <c r="L1211" t="s">
        <v>24</v>
      </c>
      <c r="M1211" t="s">
        <v>21</v>
      </c>
      <c r="N1211" t="s">
        <v>22</v>
      </c>
      <c r="O1211" t="s">
        <v>27</v>
      </c>
      <c r="P1211">
        <v>1.35</v>
      </c>
      <c r="Q1211" s="2" t="b">
        <f>FALSE()</f>
        <v>0</v>
      </c>
      <c r="R1211">
        <v>0</v>
      </c>
    </row>
    <row r="1212" spans="1:18" x14ac:dyDescent="0.25">
      <c r="A1212">
        <v>201211</v>
      </c>
      <c r="B1212">
        <v>51262</v>
      </c>
      <c r="C1212" t="s">
        <v>28</v>
      </c>
      <c r="D1212">
        <v>2214.12</v>
      </c>
      <c r="E1212">
        <v>3206</v>
      </c>
      <c r="F1212">
        <v>3</v>
      </c>
      <c r="G1212">
        <v>4</v>
      </c>
      <c r="H1212">
        <v>1</v>
      </c>
      <c r="I1212" t="s">
        <v>32</v>
      </c>
      <c r="J1212">
        <v>0</v>
      </c>
      <c r="K1212">
        <v>26</v>
      </c>
      <c r="L1212" t="s">
        <v>20</v>
      </c>
      <c r="M1212" t="s">
        <v>25</v>
      </c>
      <c r="N1212" t="s">
        <v>22</v>
      </c>
      <c r="O1212" t="s">
        <v>36</v>
      </c>
      <c r="P1212">
        <v>3.82</v>
      </c>
      <c r="Q1212" s="2" t="b">
        <f>FALSE()</f>
        <v>0</v>
      </c>
      <c r="R1212">
        <v>1</v>
      </c>
    </row>
    <row r="1213" spans="1:18" x14ac:dyDescent="0.25">
      <c r="A1213">
        <v>201212</v>
      </c>
      <c r="B1213">
        <v>50855</v>
      </c>
      <c r="C1213" t="s">
        <v>18</v>
      </c>
      <c r="D1213">
        <v>1601.81</v>
      </c>
      <c r="E1213">
        <v>1761</v>
      </c>
      <c r="F1213">
        <v>1</v>
      </c>
      <c r="G1213">
        <v>4</v>
      </c>
      <c r="H1213">
        <v>0</v>
      </c>
      <c r="I1213" t="s">
        <v>33</v>
      </c>
      <c r="J1213">
        <v>0</v>
      </c>
      <c r="K1213">
        <v>36</v>
      </c>
      <c r="L1213" t="s">
        <v>38</v>
      </c>
      <c r="M1213" t="s">
        <v>31</v>
      </c>
      <c r="N1213" t="s">
        <v>22</v>
      </c>
      <c r="O1213" t="s">
        <v>27</v>
      </c>
      <c r="P1213">
        <v>0.86</v>
      </c>
      <c r="Q1213" s="2" t="b">
        <f>FALSE()</f>
        <v>0</v>
      </c>
      <c r="R1213">
        <v>0</v>
      </c>
    </row>
    <row r="1214" spans="1:18" x14ac:dyDescent="0.25">
      <c r="A1214">
        <v>201213</v>
      </c>
      <c r="B1214">
        <v>50334</v>
      </c>
      <c r="C1214" t="s">
        <v>28</v>
      </c>
      <c r="D1214">
        <v>1028.08</v>
      </c>
      <c r="E1214">
        <v>965</v>
      </c>
      <c r="F1214">
        <v>1</v>
      </c>
      <c r="G1214">
        <v>8</v>
      </c>
      <c r="H1214">
        <v>0</v>
      </c>
      <c r="I1214" t="s">
        <v>19</v>
      </c>
      <c r="J1214">
        <v>0</v>
      </c>
      <c r="K1214">
        <v>68</v>
      </c>
      <c r="L1214" t="s">
        <v>20</v>
      </c>
      <c r="M1214" t="s">
        <v>25</v>
      </c>
      <c r="N1214" t="s">
        <v>22</v>
      </c>
      <c r="O1214" t="s">
        <v>36</v>
      </c>
      <c r="P1214">
        <v>1.1599999999999999</v>
      </c>
      <c r="Q1214" s="2" t="b">
        <f>FALSE()</f>
        <v>0</v>
      </c>
      <c r="R1214">
        <v>1</v>
      </c>
    </row>
    <row r="1215" spans="1:18" x14ac:dyDescent="0.25">
      <c r="A1215">
        <v>201214</v>
      </c>
      <c r="B1215">
        <v>55567</v>
      </c>
      <c r="C1215" t="s">
        <v>34</v>
      </c>
      <c r="D1215">
        <v>13127.81</v>
      </c>
      <c r="E1215">
        <v>2727</v>
      </c>
      <c r="F1215">
        <v>1</v>
      </c>
      <c r="G1215">
        <v>5</v>
      </c>
      <c r="H1215">
        <v>0</v>
      </c>
      <c r="I1215" t="s">
        <v>19</v>
      </c>
      <c r="J1215">
        <v>0</v>
      </c>
      <c r="K1215">
        <v>37</v>
      </c>
      <c r="L1215" t="s">
        <v>20</v>
      </c>
      <c r="M1215" t="s">
        <v>29</v>
      </c>
      <c r="N1215" t="s">
        <v>22</v>
      </c>
      <c r="O1215" t="s">
        <v>36</v>
      </c>
      <c r="P1215">
        <v>0.81</v>
      </c>
      <c r="Q1215" s="2" t="b">
        <f>TRUE()</f>
        <v>1</v>
      </c>
      <c r="R1215">
        <v>1</v>
      </c>
    </row>
    <row r="1216" spans="1:18" x14ac:dyDescent="0.25">
      <c r="A1216">
        <v>201215</v>
      </c>
      <c r="B1216">
        <v>52959</v>
      </c>
      <c r="C1216" t="s">
        <v>28</v>
      </c>
      <c r="D1216">
        <v>3152.72</v>
      </c>
      <c r="E1216">
        <v>282</v>
      </c>
      <c r="F1216">
        <v>3</v>
      </c>
      <c r="G1216">
        <v>4</v>
      </c>
      <c r="H1216">
        <v>0</v>
      </c>
      <c r="I1216" t="s">
        <v>33</v>
      </c>
      <c r="J1216">
        <v>0</v>
      </c>
      <c r="K1216">
        <v>43</v>
      </c>
      <c r="L1216" t="s">
        <v>20</v>
      </c>
      <c r="M1216" t="s">
        <v>25</v>
      </c>
      <c r="N1216" t="s">
        <v>22</v>
      </c>
      <c r="O1216" t="s">
        <v>36</v>
      </c>
      <c r="P1216">
        <v>0.08</v>
      </c>
      <c r="Q1216" s="2" t="b">
        <f>FALSE()</f>
        <v>0</v>
      </c>
      <c r="R1216">
        <v>1</v>
      </c>
    </row>
    <row r="1217" spans="1:18" x14ac:dyDescent="0.25">
      <c r="A1217">
        <v>201216</v>
      </c>
      <c r="B1217">
        <v>54088</v>
      </c>
      <c r="C1217" t="s">
        <v>34</v>
      </c>
      <c r="D1217">
        <v>2221.34</v>
      </c>
      <c r="E1217">
        <v>3033</v>
      </c>
      <c r="F1217">
        <v>0</v>
      </c>
      <c r="G1217">
        <v>4</v>
      </c>
      <c r="H1217">
        <v>0</v>
      </c>
      <c r="I1217" t="s">
        <v>33</v>
      </c>
      <c r="J1217">
        <v>0</v>
      </c>
      <c r="K1217">
        <v>65</v>
      </c>
      <c r="L1217" t="s">
        <v>20</v>
      </c>
      <c r="M1217" t="s">
        <v>31</v>
      </c>
      <c r="N1217" t="s">
        <v>30</v>
      </c>
      <c r="O1217" t="s">
        <v>23</v>
      </c>
      <c r="P1217">
        <v>1.0900000000000001</v>
      </c>
      <c r="Q1217" s="2" t="b">
        <f>FALSE()</f>
        <v>0</v>
      </c>
      <c r="R1217">
        <v>0</v>
      </c>
    </row>
    <row r="1218" spans="1:18" x14ac:dyDescent="0.25">
      <c r="A1218">
        <v>201217</v>
      </c>
      <c r="B1218">
        <v>55915</v>
      </c>
      <c r="C1218" t="s">
        <v>34</v>
      </c>
      <c r="D1218">
        <v>1073.1500000000001</v>
      </c>
      <c r="E1218">
        <v>2960</v>
      </c>
      <c r="F1218">
        <v>1</v>
      </c>
      <c r="G1218">
        <v>5</v>
      </c>
      <c r="H1218">
        <v>1</v>
      </c>
      <c r="I1218" t="s">
        <v>33</v>
      </c>
      <c r="J1218">
        <v>0</v>
      </c>
      <c r="K1218">
        <v>79</v>
      </c>
      <c r="L1218" t="s">
        <v>24</v>
      </c>
      <c r="M1218" t="s">
        <v>37</v>
      </c>
      <c r="N1218" t="s">
        <v>30</v>
      </c>
      <c r="O1218" t="s">
        <v>36</v>
      </c>
      <c r="P1218">
        <v>0.56999999999999995</v>
      </c>
      <c r="Q1218" s="2" t="b">
        <f>FALSE()</f>
        <v>0</v>
      </c>
      <c r="R1218">
        <v>0</v>
      </c>
    </row>
    <row r="1219" spans="1:18" x14ac:dyDescent="0.25">
      <c r="A1219">
        <v>201218</v>
      </c>
      <c r="B1219">
        <v>54896</v>
      </c>
      <c r="C1219" t="s">
        <v>34</v>
      </c>
      <c r="D1219">
        <v>2912.4</v>
      </c>
      <c r="E1219">
        <v>1495</v>
      </c>
      <c r="F1219">
        <v>4</v>
      </c>
      <c r="G1219">
        <v>1</v>
      </c>
      <c r="H1219">
        <v>0</v>
      </c>
      <c r="I1219" t="s">
        <v>33</v>
      </c>
      <c r="J1219">
        <v>0</v>
      </c>
      <c r="K1219">
        <v>44</v>
      </c>
      <c r="L1219" t="s">
        <v>20</v>
      </c>
      <c r="M1219" t="s">
        <v>37</v>
      </c>
      <c r="N1219" t="s">
        <v>22</v>
      </c>
      <c r="O1219" t="s">
        <v>27</v>
      </c>
      <c r="P1219">
        <v>1.24</v>
      </c>
      <c r="Q1219" s="2" t="b">
        <f>FALSE()</f>
        <v>0</v>
      </c>
      <c r="R1219">
        <v>1</v>
      </c>
    </row>
    <row r="1220" spans="1:18" x14ac:dyDescent="0.25">
      <c r="A1220">
        <v>201219</v>
      </c>
      <c r="B1220">
        <v>54507</v>
      </c>
      <c r="C1220" t="s">
        <v>34</v>
      </c>
      <c r="D1220">
        <v>4412.8599999999997</v>
      </c>
      <c r="E1220">
        <v>1897</v>
      </c>
      <c r="F1220">
        <v>1</v>
      </c>
      <c r="G1220">
        <v>4</v>
      </c>
      <c r="H1220">
        <v>1</v>
      </c>
      <c r="I1220" t="s">
        <v>32</v>
      </c>
      <c r="J1220">
        <v>0</v>
      </c>
      <c r="K1220">
        <v>38</v>
      </c>
      <c r="L1220" t="s">
        <v>24</v>
      </c>
      <c r="M1220" t="s">
        <v>29</v>
      </c>
      <c r="N1220" t="s">
        <v>22</v>
      </c>
      <c r="O1220" t="s">
        <v>36</v>
      </c>
      <c r="P1220">
        <v>1.74</v>
      </c>
      <c r="Q1220" s="2" t="b">
        <f>FALSE()</f>
        <v>0</v>
      </c>
      <c r="R1220">
        <v>1</v>
      </c>
    </row>
    <row r="1221" spans="1:18" x14ac:dyDescent="0.25">
      <c r="A1221">
        <v>201220</v>
      </c>
      <c r="B1221">
        <v>53616</v>
      </c>
      <c r="C1221" t="s">
        <v>34</v>
      </c>
      <c r="D1221">
        <v>6603.93</v>
      </c>
      <c r="E1221">
        <v>969</v>
      </c>
      <c r="F1221">
        <v>3</v>
      </c>
      <c r="G1221">
        <v>3</v>
      </c>
      <c r="H1221">
        <v>0</v>
      </c>
      <c r="I1221" t="s">
        <v>33</v>
      </c>
      <c r="J1221">
        <v>0</v>
      </c>
      <c r="K1221">
        <v>42</v>
      </c>
      <c r="L1221" t="s">
        <v>24</v>
      </c>
      <c r="M1221" t="s">
        <v>35</v>
      </c>
      <c r="N1221" t="s">
        <v>30</v>
      </c>
      <c r="O1221" t="s">
        <v>36</v>
      </c>
      <c r="P1221">
        <v>2.3199999999999998</v>
      </c>
      <c r="Q1221" s="2" t="b">
        <f>FALSE()</f>
        <v>0</v>
      </c>
      <c r="R1221">
        <v>1</v>
      </c>
    </row>
    <row r="1222" spans="1:18" x14ac:dyDescent="0.25">
      <c r="A1222">
        <v>201221</v>
      </c>
      <c r="B1222">
        <v>55786</v>
      </c>
      <c r="C1222" t="s">
        <v>28</v>
      </c>
      <c r="D1222">
        <v>736.94</v>
      </c>
      <c r="E1222">
        <v>515</v>
      </c>
      <c r="F1222">
        <v>1</v>
      </c>
      <c r="G1222">
        <v>2</v>
      </c>
      <c r="H1222">
        <v>0</v>
      </c>
      <c r="I1222" t="s">
        <v>33</v>
      </c>
      <c r="J1222">
        <v>1</v>
      </c>
      <c r="K1222">
        <v>58</v>
      </c>
      <c r="L1222" t="s">
        <v>24</v>
      </c>
      <c r="M1222" t="s">
        <v>29</v>
      </c>
      <c r="N1222" t="s">
        <v>22</v>
      </c>
      <c r="O1222" t="s">
        <v>23</v>
      </c>
      <c r="P1222">
        <v>2.0699999999999998</v>
      </c>
      <c r="Q1222" s="2" t="b">
        <f>FALSE()</f>
        <v>0</v>
      </c>
      <c r="R1222">
        <v>0</v>
      </c>
    </row>
    <row r="1223" spans="1:18" x14ac:dyDescent="0.25">
      <c r="A1223">
        <v>201222</v>
      </c>
      <c r="B1223">
        <v>51692</v>
      </c>
      <c r="C1223" t="s">
        <v>18</v>
      </c>
      <c r="D1223">
        <v>2982.05</v>
      </c>
      <c r="E1223">
        <v>1650</v>
      </c>
      <c r="F1223">
        <v>2</v>
      </c>
      <c r="G1223">
        <v>1</v>
      </c>
      <c r="H1223">
        <v>1</v>
      </c>
      <c r="I1223" t="s">
        <v>19</v>
      </c>
      <c r="J1223">
        <v>1</v>
      </c>
      <c r="K1223">
        <v>49</v>
      </c>
      <c r="L1223" t="s">
        <v>20</v>
      </c>
      <c r="M1223" t="s">
        <v>25</v>
      </c>
      <c r="N1223" t="s">
        <v>26</v>
      </c>
      <c r="O1223" t="s">
        <v>27</v>
      </c>
      <c r="P1223">
        <v>3.32</v>
      </c>
      <c r="Q1223" s="2" t="b">
        <f>FALSE()</f>
        <v>0</v>
      </c>
      <c r="R1223">
        <v>0</v>
      </c>
    </row>
    <row r="1224" spans="1:18" x14ac:dyDescent="0.25">
      <c r="A1224">
        <v>201223</v>
      </c>
      <c r="B1224">
        <v>50968</v>
      </c>
      <c r="C1224" t="s">
        <v>18</v>
      </c>
      <c r="D1224">
        <v>2574.8000000000002</v>
      </c>
      <c r="E1224">
        <v>1158</v>
      </c>
      <c r="F1224">
        <v>1</v>
      </c>
      <c r="G1224">
        <v>4</v>
      </c>
      <c r="H1224">
        <v>0</v>
      </c>
      <c r="I1224" t="s">
        <v>33</v>
      </c>
      <c r="J1224">
        <v>0</v>
      </c>
      <c r="K1224">
        <v>79</v>
      </c>
      <c r="L1224" t="s">
        <v>24</v>
      </c>
      <c r="M1224" t="s">
        <v>21</v>
      </c>
      <c r="N1224" t="s">
        <v>22</v>
      </c>
      <c r="O1224" t="s">
        <v>36</v>
      </c>
      <c r="P1224">
        <v>1.68</v>
      </c>
      <c r="Q1224" s="2" t="b">
        <f>FALSE()</f>
        <v>0</v>
      </c>
      <c r="R1224">
        <v>0</v>
      </c>
    </row>
    <row r="1225" spans="1:18" x14ac:dyDescent="0.25">
      <c r="A1225">
        <v>201224</v>
      </c>
      <c r="B1225">
        <v>51628</v>
      </c>
      <c r="C1225" t="s">
        <v>28</v>
      </c>
      <c r="D1225">
        <v>4380.78</v>
      </c>
      <c r="E1225">
        <v>3128</v>
      </c>
      <c r="F1225">
        <v>1</v>
      </c>
      <c r="G1225">
        <v>6</v>
      </c>
      <c r="H1225">
        <v>0</v>
      </c>
      <c r="I1225" t="s">
        <v>33</v>
      </c>
      <c r="J1225">
        <v>0</v>
      </c>
      <c r="K1225">
        <v>51</v>
      </c>
      <c r="L1225" t="s">
        <v>20</v>
      </c>
      <c r="M1225" t="s">
        <v>25</v>
      </c>
      <c r="N1225" t="s">
        <v>30</v>
      </c>
      <c r="O1225" t="s">
        <v>27</v>
      </c>
      <c r="P1225">
        <v>9.52</v>
      </c>
      <c r="Q1225" s="2" t="b">
        <f>FALSE()</f>
        <v>0</v>
      </c>
      <c r="R1225">
        <v>1</v>
      </c>
    </row>
    <row r="1226" spans="1:18" x14ac:dyDescent="0.25">
      <c r="A1226">
        <v>201225</v>
      </c>
      <c r="B1226">
        <v>54800</v>
      </c>
      <c r="C1226" t="s">
        <v>28</v>
      </c>
      <c r="D1226">
        <v>717.39</v>
      </c>
      <c r="E1226">
        <v>2740</v>
      </c>
      <c r="F1226">
        <v>0</v>
      </c>
      <c r="G1226">
        <v>5</v>
      </c>
      <c r="H1226">
        <v>0</v>
      </c>
      <c r="I1226" t="s">
        <v>33</v>
      </c>
      <c r="J1226">
        <v>0</v>
      </c>
      <c r="K1226">
        <v>68</v>
      </c>
      <c r="L1226" t="s">
        <v>20</v>
      </c>
      <c r="M1226" t="s">
        <v>29</v>
      </c>
      <c r="N1226" t="s">
        <v>22</v>
      </c>
      <c r="O1226" t="s">
        <v>27</v>
      </c>
      <c r="P1226">
        <v>2.08</v>
      </c>
      <c r="Q1226" s="2" t="b">
        <f>FALSE()</f>
        <v>0</v>
      </c>
      <c r="R1226">
        <v>0</v>
      </c>
    </row>
    <row r="1227" spans="1:18" x14ac:dyDescent="0.25">
      <c r="A1227">
        <v>201226</v>
      </c>
      <c r="B1227">
        <v>52565</v>
      </c>
      <c r="C1227" t="s">
        <v>34</v>
      </c>
      <c r="D1227">
        <v>1173.55</v>
      </c>
      <c r="E1227">
        <v>2903</v>
      </c>
      <c r="F1227">
        <v>4</v>
      </c>
      <c r="G1227">
        <v>5</v>
      </c>
      <c r="H1227">
        <v>1</v>
      </c>
      <c r="I1227" t="s">
        <v>19</v>
      </c>
      <c r="J1227">
        <v>1</v>
      </c>
      <c r="K1227">
        <v>43</v>
      </c>
      <c r="L1227" t="s">
        <v>24</v>
      </c>
      <c r="M1227" t="s">
        <v>35</v>
      </c>
      <c r="N1227" t="s">
        <v>22</v>
      </c>
      <c r="O1227" t="s">
        <v>36</v>
      </c>
      <c r="P1227">
        <v>0.51</v>
      </c>
      <c r="Q1227" s="2" t="b">
        <f>FALSE()</f>
        <v>0</v>
      </c>
      <c r="R1227">
        <v>1</v>
      </c>
    </row>
    <row r="1228" spans="1:18" x14ac:dyDescent="0.25">
      <c r="A1228">
        <v>201227</v>
      </c>
      <c r="B1228">
        <v>51141</v>
      </c>
      <c r="C1228" t="s">
        <v>18</v>
      </c>
      <c r="D1228">
        <v>3607.96</v>
      </c>
      <c r="E1228">
        <v>3628</v>
      </c>
      <c r="F1228">
        <v>1</v>
      </c>
      <c r="G1228">
        <v>5</v>
      </c>
      <c r="H1228">
        <v>0</v>
      </c>
      <c r="I1228" t="s">
        <v>33</v>
      </c>
      <c r="J1228">
        <v>0</v>
      </c>
      <c r="K1228">
        <v>83</v>
      </c>
      <c r="L1228" t="s">
        <v>24</v>
      </c>
      <c r="M1228" t="s">
        <v>37</v>
      </c>
      <c r="N1228" t="s">
        <v>22</v>
      </c>
      <c r="O1228" t="s">
        <v>36</v>
      </c>
      <c r="P1228">
        <v>2.5</v>
      </c>
      <c r="Q1228" s="2" t="b">
        <f>FALSE()</f>
        <v>0</v>
      </c>
      <c r="R1228">
        <v>1</v>
      </c>
    </row>
    <row r="1229" spans="1:18" x14ac:dyDescent="0.25">
      <c r="A1229">
        <v>201228</v>
      </c>
      <c r="B1229">
        <v>54143</v>
      </c>
      <c r="C1229" t="s">
        <v>34</v>
      </c>
      <c r="D1229">
        <v>4872.4799999999996</v>
      </c>
      <c r="E1229">
        <v>3125</v>
      </c>
      <c r="F1229">
        <v>2</v>
      </c>
      <c r="G1229">
        <v>3</v>
      </c>
      <c r="H1229">
        <v>0</v>
      </c>
      <c r="I1229" t="s">
        <v>33</v>
      </c>
      <c r="J1229">
        <v>0</v>
      </c>
      <c r="K1229">
        <v>26</v>
      </c>
      <c r="L1229" t="s">
        <v>24</v>
      </c>
      <c r="M1229" t="s">
        <v>25</v>
      </c>
      <c r="N1229" t="s">
        <v>30</v>
      </c>
      <c r="O1229" t="s">
        <v>36</v>
      </c>
      <c r="P1229">
        <v>2.0299999999999998</v>
      </c>
      <c r="Q1229" s="2" t="b">
        <f>FALSE()</f>
        <v>0</v>
      </c>
      <c r="R1229">
        <v>1</v>
      </c>
    </row>
    <row r="1230" spans="1:18" x14ac:dyDescent="0.25">
      <c r="A1230">
        <v>201229</v>
      </c>
      <c r="B1230">
        <v>53831</v>
      </c>
      <c r="C1230" t="s">
        <v>34</v>
      </c>
      <c r="D1230">
        <v>2574.84</v>
      </c>
      <c r="E1230">
        <v>1969</v>
      </c>
      <c r="F1230">
        <v>1</v>
      </c>
      <c r="G1230">
        <v>4</v>
      </c>
      <c r="H1230">
        <v>0</v>
      </c>
      <c r="I1230" t="s">
        <v>19</v>
      </c>
      <c r="J1230">
        <v>0</v>
      </c>
      <c r="K1230">
        <v>29</v>
      </c>
      <c r="L1230" t="s">
        <v>24</v>
      </c>
      <c r="M1230" t="s">
        <v>31</v>
      </c>
      <c r="N1230" t="s">
        <v>30</v>
      </c>
      <c r="O1230" t="s">
        <v>23</v>
      </c>
      <c r="P1230">
        <v>6.66</v>
      </c>
      <c r="Q1230" s="2" t="b">
        <f>FALSE()</f>
        <v>0</v>
      </c>
      <c r="R1230">
        <v>0</v>
      </c>
    </row>
    <row r="1231" spans="1:18" x14ac:dyDescent="0.25">
      <c r="A1231">
        <v>201230</v>
      </c>
      <c r="B1231">
        <v>53406</v>
      </c>
      <c r="C1231" t="s">
        <v>34</v>
      </c>
      <c r="D1231">
        <v>3980.26</v>
      </c>
      <c r="E1231">
        <v>1151</v>
      </c>
      <c r="F1231">
        <v>1</v>
      </c>
      <c r="G1231">
        <v>2</v>
      </c>
      <c r="H1231">
        <v>0</v>
      </c>
      <c r="I1231" t="s">
        <v>32</v>
      </c>
      <c r="J1231">
        <v>0</v>
      </c>
      <c r="K1231">
        <v>20</v>
      </c>
      <c r="L1231" t="s">
        <v>24</v>
      </c>
      <c r="M1231" t="s">
        <v>25</v>
      </c>
      <c r="N1231" t="s">
        <v>30</v>
      </c>
      <c r="O1231" t="s">
        <v>27</v>
      </c>
      <c r="P1231">
        <v>4.82</v>
      </c>
      <c r="Q1231" s="2" t="b">
        <f>FALSE()</f>
        <v>0</v>
      </c>
      <c r="R1231">
        <v>1</v>
      </c>
    </row>
    <row r="1232" spans="1:18" x14ac:dyDescent="0.25">
      <c r="A1232">
        <v>201231</v>
      </c>
      <c r="B1232">
        <v>50668</v>
      </c>
      <c r="C1232" t="s">
        <v>18</v>
      </c>
      <c r="D1232">
        <v>3102.77</v>
      </c>
      <c r="E1232">
        <v>1010</v>
      </c>
      <c r="F1232">
        <v>3</v>
      </c>
      <c r="G1232">
        <v>3</v>
      </c>
      <c r="H1232">
        <v>0</v>
      </c>
      <c r="I1232" t="s">
        <v>33</v>
      </c>
      <c r="J1232">
        <v>0</v>
      </c>
      <c r="K1232">
        <v>84</v>
      </c>
      <c r="L1232" t="s">
        <v>20</v>
      </c>
      <c r="M1232" t="s">
        <v>31</v>
      </c>
      <c r="N1232" t="s">
        <v>30</v>
      </c>
      <c r="O1232" t="s">
        <v>23</v>
      </c>
      <c r="P1232">
        <v>0.54</v>
      </c>
      <c r="Q1232" s="2" t="b">
        <f>FALSE()</f>
        <v>0</v>
      </c>
      <c r="R1232">
        <v>1</v>
      </c>
    </row>
    <row r="1233" spans="1:18" x14ac:dyDescent="0.25">
      <c r="A1233">
        <v>201232</v>
      </c>
      <c r="B1233">
        <v>53879</v>
      </c>
      <c r="C1233" t="s">
        <v>34</v>
      </c>
      <c r="D1233">
        <v>9276.6299999999992</v>
      </c>
      <c r="E1233">
        <v>304</v>
      </c>
      <c r="F1233">
        <v>0</v>
      </c>
      <c r="G1233">
        <v>3</v>
      </c>
      <c r="H1233">
        <v>0</v>
      </c>
      <c r="I1233" t="s">
        <v>33</v>
      </c>
      <c r="J1233">
        <v>1</v>
      </c>
      <c r="K1233">
        <v>58</v>
      </c>
      <c r="L1233" t="s">
        <v>24</v>
      </c>
      <c r="M1233" t="s">
        <v>29</v>
      </c>
      <c r="N1233" t="s">
        <v>30</v>
      </c>
      <c r="O1233" t="s">
        <v>23</v>
      </c>
      <c r="P1233">
        <v>3.11</v>
      </c>
      <c r="Q1233" s="2" t="b">
        <f>TRUE()</f>
        <v>1</v>
      </c>
      <c r="R1233">
        <v>1</v>
      </c>
    </row>
    <row r="1234" spans="1:18" x14ac:dyDescent="0.25">
      <c r="A1234">
        <v>201233</v>
      </c>
      <c r="B1234">
        <v>53879</v>
      </c>
      <c r="C1234" t="s">
        <v>34</v>
      </c>
      <c r="D1234">
        <v>1934.67</v>
      </c>
      <c r="E1234">
        <v>3531</v>
      </c>
      <c r="F1234">
        <v>2</v>
      </c>
      <c r="G1234">
        <v>3</v>
      </c>
      <c r="H1234">
        <v>1</v>
      </c>
      <c r="I1234" t="s">
        <v>19</v>
      </c>
      <c r="J1234">
        <v>0</v>
      </c>
      <c r="K1234">
        <v>75</v>
      </c>
      <c r="L1234" t="s">
        <v>24</v>
      </c>
      <c r="M1234" t="s">
        <v>21</v>
      </c>
      <c r="N1234" t="s">
        <v>22</v>
      </c>
      <c r="O1234" t="s">
        <v>27</v>
      </c>
      <c r="P1234">
        <v>0.01</v>
      </c>
      <c r="Q1234" s="2" t="b">
        <f>FALSE()</f>
        <v>0</v>
      </c>
      <c r="R1234">
        <v>0</v>
      </c>
    </row>
    <row r="1235" spans="1:18" x14ac:dyDescent="0.25">
      <c r="A1235">
        <v>201234</v>
      </c>
      <c r="B1235">
        <v>53429</v>
      </c>
      <c r="C1235" t="s">
        <v>18</v>
      </c>
      <c r="D1235">
        <v>2215.38</v>
      </c>
      <c r="E1235">
        <v>2134</v>
      </c>
      <c r="F1235">
        <v>2</v>
      </c>
      <c r="G1235">
        <v>3</v>
      </c>
      <c r="H1235">
        <v>0</v>
      </c>
      <c r="I1235" t="s">
        <v>33</v>
      </c>
      <c r="J1235">
        <v>0</v>
      </c>
      <c r="K1235">
        <v>37</v>
      </c>
      <c r="L1235" t="s">
        <v>24</v>
      </c>
      <c r="M1235" t="s">
        <v>29</v>
      </c>
      <c r="N1235" t="s">
        <v>22</v>
      </c>
      <c r="O1235" t="s">
        <v>27</v>
      </c>
      <c r="P1235">
        <v>5.95</v>
      </c>
      <c r="Q1235" s="2" t="b">
        <f>FALSE()</f>
        <v>0</v>
      </c>
      <c r="R1235">
        <v>0</v>
      </c>
    </row>
    <row r="1236" spans="1:18" x14ac:dyDescent="0.25">
      <c r="A1236">
        <v>201235</v>
      </c>
      <c r="B1236">
        <v>51863</v>
      </c>
      <c r="C1236" t="s">
        <v>18</v>
      </c>
      <c r="D1236">
        <v>1858.92</v>
      </c>
      <c r="E1236">
        <v>3609</v>
      </c>
      <c r="F1236">
        <v>0</v>
      </c>
      <c r="G1236">
        <v>4</v>
      </c>
      <c r="H1236">
        <v>0</v>
      </c>
      <c r="I1236" t="s">
        <v>32</v>
      </c>
      <c r="J1236">
        <v>1</v>
      </c>
      <c r="K1236">
        <v>30</v>
      </c>
      <c r="L1236" t="s">
        <v>24</v>
      </c>
      <c r="M1236" t="s">
        <v>21</v>
      </c>
      <c r="N1236" t="s">
        <v>30</v>
      </c>
      <c r="O1236" t="s">
        <v>23</v>
      </c>
      <c r="P1236">
        <v>6.71</v>
      </c>
      <c r="Q1236" s="2" t="b">
        <f>FALSE()</f>
        <v>0</v>
      </c>
      <c r="R1236">
        <v>0</v>
      </c>
    </row>
    <row r="1237" spans="1:18" x14ac:dyDescent="0.25">
      <c r="A1237">
        <v>201236</v>
      </c>
      <c r="B1237">
        <v>50909</v>
      </c>
      <c r="C1237" t="s">
        <v>28</v>
      </c>
      <c r="D1237">
        <v>3869.28</v>
      </c>
      <c r="E1237">
        <v>3014</v>
      </c>
      <c r="F1237">
        <v>1</v>
      </c>
      <c r="G1237">
        <v>3</v>
      </c>
      <c r="H1237">
        <v>0</v>
      </c>
      <c r="I1237" t="s">
        <v>19</v>
      </c>
      <c r="J1237">
        <v>1</v>
      </c>
      <c r="K1237">
        <v>72</v>
      </c>
      <c r="L1237" t="s">
        <v>38</v>
      </c>
      <c r="M1237" t="s">
        <v>21</v>
      </c>
      <c r="N1237" t="s">
        <v>30</v>
      </c>
      <c r="O1237" t="s">
        <v>36</v>
      </c>
      <c r="P1237">
        <v>0.5</v>
      </c>
      <c r="Q1237" s="2" t="b">
        <f>FALSE()</f>
        <v>0</v>
      </c>
      <c r="R1237">
        <v>1</v>
      </c>
    </row>
    <row r="1238" spans="1:18" x14ac:dyDescent="0.25">
      <c r="A1238">
        <v>201237</v>
      </c>
      <c r="B1238">
        <v>50331</v>
      </c>
      <c r="C1238" t="s">
        <v>34</v>
      </c>
      <c r="D1238">
        <v>793.64</v>
      </c>
      <c r="E1238">
        <v>3284</v>
      </c>
      <c r="F1238">
        <v>1</v>
      </c>
      <c r="G1238">
        <v>5</v>
      </c>
      <c r="H1238">
        <v>0</v>
      </c>
      <c r="I1238" t="s">
        <v>19</v>
      </c>
      <c r="J1238">
        <v>0</v>
      </c>
      <c r="K1238">
        <v>30</v>
      </c>
      <c r="L1238" t="s">
        <v>24</v>
      </c>
      <c r="M1238" t="s">
        <v>37</v>
      </c>
      <c r="N1238" t="s">
        <v>30</v>
      </c>
      <c r="O1238" t="s">
        <v>27</v>
      </c>
      <c r="P1238">
        <v>0.02</v>
      </c>
      <c r="Q1238" s="2" t="b">
        <f>FALSE()</f>
        <v>0</v>
      </c>
      <c r="R1238">
        <v>0</v>
      </c>
    </row>
    <row r="1239" spans="1:18" x14ac:dyDescent="0.25">
      <c r="A1239">
        <v>201238</v>
      </c>
      <c r="B1239">
        <v>51348</v>
      </c>
      <c r="C1239" t="s">
        <v>28</v>
      </c>
      <c r="D1239">
        <v>1176.8800000000001</v>
      </c>
      <c r="E1239">
        <v>1075</v>
      </c>
      <c r="F1239">
        <v>1</v>
      </c>
      <c r="G1239">
        <v>2</v>
      </c>
      <c r="H1239">
        <v>1</v>
      </c>
      <c r="I1239" t="s">
        <v>19</v>
      </c>
      <c r="J1239">
        <v>0</v>
      </c>
      <c r="K1239">
        <v>56</v>
      </c>
      <c r="L1239" t="s">
        <v>20</v>
      </c>
      <c r="M1239" t="s">
        <v>21</v>
      </c>
      <c r="N1239" t="s">
        <v>22</v>
      </c>
      <c r="O1239" t="s">
        <v>23</v>
      </c>
      <c r="P1239">
        <v>2.29</v>
      </c>
      <c r="Q1239" s="2" t="b">
        <f>FALSE()</f>
        <v>0</v>
      </c>
      <c r="R1239">
        <v>0</v>
      </c>
    </row>
    <row r="1240" spans="1:18" x14ac:dyDescent="0.25">
      <c r="A1240">
        <v>201239</v>
      </c>
      <c r="B1240">
        <v>50070</v>
      </c>
      <c r="C1240" t="s">
        <v>18</v>
      </c>
      <c r="D1240">
        <v>2777.65</v>
      </c>
      <c r="E1240">
        <v>332</v>
      </c>
      <c r="F1240">
        <v>0</v>
      </c>
      <c r="G1240">
        <v>6</v>
      </c>
      <c r="H1240">
        <v>1</v>
      </c>
      <c r="I1240" t="s">
        <v>33</v>
      </c>
      <c r="J1240">
        <v>0</v>
      </c>
      <c r="K1240">
        <v>58</v>
      </c>
      <c r="L1240" t="s">
        <v>24</v>
      </c>
      <c r="M1240" t="s">
        <v>21</v>
      </c>
      <c r="N1240" t="s">
        <v>22</v>
      </c>
      <c r="O1240" t="s">
        <v>23</v>
      </c>
      <c r="P1240">
        <v>4.16</v>
      </c>
      <c r="Q1240" s="2" t="b">
        <f>FALSE()</f>
        <v>0</v>
      </c>
      <c r="R1240">
        <v>0</v>
      </c>
    </row>
    <row r="1241" spans="1:18" x14ac:dyDescent="0.25">
      <c r="A1241">
        <v>201240</v>
      </c>
      <c r="B1241">
        <v>55896</v>
      </c>
      <c r="C1241" t="s">
        <v>34</v>
      </c>
      <c r="D1241">
        <v>397.44</v>
      </c>
      <c r="E1241">
        <v>1250</v>
      </c>
      <c r="F1241">
        <v>3</v>
      </c>
      <c r="G1241">
        <v>7</v>
      </c>
      <c r="H1241">
        <v>0</v>
      </c>
      <c r="I1241" t="s">
        <v>33</v>
      </c>
      <c r="J1241">
        <v>0</v>
      </c>
      <c r="K1241">
        <v>62</v>
      </c>
      <c r="L1241" t="s">
        <v>20</v>
      </c>
      <c r="M1241" t="s">
        <v>29</v>
      </c>
      <c r="N1241" t="s">
        <v>22</v>
      </c>
      <c r="O1241" t="s">
        <v>36</v>
      </c>
      <c r="P1241">
        <v>0.14000000000000001</v>
      </c>
      <c r="Q1241" s="2" t="b">
        <f>FALSE()</f>
        <v>0</v>
      </c>
      <c r="R1241">
        <v>1</v>
      </c>
    </row>
    <row r="1242" spans="1:18" x14ac:dyDescent="0.25">
      <c r="A1242">
        <v>201241</v>
      </c>
      <c r="B1242">
        <v>50644</v>
      </c>
      <c r="C1242" t="s">
        <v>34</v>
      </c>
      <c r="D1242">
        <v>3399.16</v>
      </c>
      <c r="E1242">
        <v>752</v>
      </c>
      <c r="F1242">
        <v>1</v>
      </c>
      <c r="G1242">
        <v>1</v>
      </c>
      <c r="H1242">
        <v>0</v>
      </c>
      <c r="I1242" t="s">
        <v>32</v>
      </c>
      <c r="J1242">
        <v>0</v>
      </c>
      <c r="K1242">
        <v>79</v>
      </c>
      <c r="L1242" t="s">
        <v>20</v>
      </c>
      <c r="M1242" t="s">
        <v>29</v>
      </c>
      <c r="N1242" t="s">
        <v>22</v>
      </c>
      <c r="O1242" t="s">
        <v>23</v>
      </c>
      <c r="P1242">
        <v>0.66</v>
      </c>
      <c r="Q1242" s="2" t="b">
        <f>FALSE()</f>
        <v>0</v>
      </c>
      <c r="R1242">
        <v>0</v>
      </c>
    </row>
    <row r="1243" spans="1:18" x14ac:dyDescent="0.25">
      <c r="A1243">
        <v>201242</v>
      </c>
      <c r="B1243">
        <v>52617</v>
      </c>
      <c r="C1243" t="s">
        <v>34</v>
      </c>
      <c r="D1243">
        <v>2781.29</v>
      </c>
      <c r="E1243">
        <v>2352</v>
      </c>
      <c r="F1243">
        <v>1</v>
      </c>
      <c r="G1243">
        <v>4</v>
      </c>
      <c r="H1243">
        <v>0</v>
      </c>
      <c r="I1243" t="s">
        <v>32</v>
      </c>
      <c r="J1243">
        <v>1</v>
      </c>
      <c r="K1243">
        <v>79</v>
      </c>
      <c r="L1243" t="s">
        <v>20</v>
      </c>
      <c r="M1243" t="s">
        <v>25</v>
      </c>
      <c r="N1243" t="s">
        <v>30</v>
      </c>
      <c r="O1243" t="s">
        <v>27</v>
      </c>
      <c r="P1243">
        <v>5.79</v>
      </c>
      <c r="Q1243" s="2" t="b">
        <f>FALSE()</f>
        <v>0</v>
      </c>
      <c r="R1243">
        <v>0</v>
      </c>
    </row>
    <row r="1244" spans="1:18" x14ac:dyDescent="0.25">
      <c r="A1244">
        <v>201243</v>
      </c>
      <c r="B1244">
        <v>51438</v>
      </c>
      <c r="C1244" t="s">
        <v>18</v>
      </c>
      <c r="D1244">
        <v>1294.33</v>
      </c>
      <c r="E1244">
        <v>3159</v>
      </c>
      <c r="F1244">
        <v>2</v>
      </c>
      <c r="G1244">
        <v>4</v>
      </c>
      <c r="H1244">
        <v>0</v>
      </c>
      <c r="I1244" t="s">
        <v>33</v>
      </c>
      <c r="J1244">
        <v>0</v>
      </c>
      <c r="K1244">
        <v>57</v>
      </c>
      <c r="L1244" t="s">
        <v>20</v>
      </c>
      <c r="M1244" t="s">
        <v>31</v>
      </c>
      <c r="N1244" t="s">
        <v>22</v>
      </c>
      <c r="O1244" t="s">
        <v>27</v>
      </c>
      <c r="P1244">
        <v>2.71</v>
      </c>
      <c r="Q1244" s="2" t="b">
        <f>FALSE()</f>
        <v>0</v>
      </c>
      <c r="R1244">
        <v>0</v>
      </c>
    </row>
    <row r="1245" spans="1:18" x14ac:dyDescent="0.25">
      <c r="A1245">
        <v>201244</v>
      </c>
      <c r="B1245">
        <v>55580</v>
      </c>
      <c r="C1245" t="s">
        <v>18</v>
      </c>
      <c r="D1245">
        <v>3141.35</v>
      </c>
      <c r="E1245">
        <v>1572</v>
      </c>
      <c r="F1245">
        <v>2</v>
      </c>
      <c r="G1245">
        <v>6</v>
      </c>
      <c r="H1245">
        <v>1</v>
      </c>
      <c r="I1245" t="s">
        <v>33</v>
      </c>
      <c r="J1245">
        <v>0</v>
      </c>
      <c r="K1245">
        <v>40</v>
      </c>
      <c r="L1245" t="s">
        <v>20</v>
      </c>
      <c r="M1245" t="s">
        <v>35</v>
      </c>
      <c r="N1245" t="s">
        <v>22</v>
      </c>
      <c r="O1245" t="s">
        <v>27</v>
      </c>
      <c r="P1245">
        <v>0.44</v>
      </c>
      <c r="Q1245" s="2" t="b">
        <f>FALSE()</f>
        <v>0</v>
      </c>
      <c r="R1245">
        <v>0</v>
      </c>
    </row>
    <row r="1246" spans="1:18" x14ac:dyDescent="0.25">
      <c r="A1246">
        <v>201245</v>
      </c>
      <c r="B1246">
        <v>50216</v>
      </c>
      <c r="C1246" t="s">
        <v>18</v>
      </c>
      <c r="D1246">
        <v>2700.72</v>
      </c>
      <c r="E1246">
        <v>3120</v>
      </c>
      <c r="F1246">
        <v>0</v>
      </c>
      <c r="G1246">
        <v>4</v>
      </c>
      <c r="H1246">
        <v>0</v>
      </c>
      <c r="I1246" t="s">
        <v>33</v>
      </c>
      <c r="J1246">
        <v>0</v>
      </c>
      <c r="K1246">
        <v>42</v>
      </c>
      <c r="L1246" t="s">
        <v>24</v>
      </c>
      <c r="M1246" t="s">
        <v>37</v>
      </c>
      <c r="N1246" t="s">
        <v>30</v>
      </c>
      <c r="O1246" t="s">
        <v>27</v>
      </c>
      <c r="P1246">
        <v>0.38</v>
      </c>
      <c r="Q1246" s="2" t="b">
        <f>FALSE()</f>
        <v>0</v>
      </c>
      <c r="R1246">
        <v>0</v>
      </c>
    </row>
    <row r="1247" spans="1:18" x14ac:dyDescent="0.25">
      <c r="A1247">
        <v>201246</v>
      </c>
      <c r="B1247">
        <v>50292</v>
      </c>
      <c r="C1247" t="s">
        <v>34</v>
      </c>
      <c r="D1247">
        <v>587.54999999999995</v>
      </c>
      <c r="E1247">
        <v>1973</v>
      </c>
      <c r="F1247">
        <v>0</v>
      </c>
      <c r="G1247">
        <v>4</v>
      </c>
      <c r="H1247">
        <v>0</v>
      </c>
      <c r="I1247" t="s">
        <v>33</v>
      </c>
      <c r="J1247">
        <v>1</v>
      </c>
      <c r="K1247">
        <v>21</v>
      </c>
      <c r="L1247" t="s">
        <v>20</v>
      </c>
      <c r="M1247" t="s">
        <v>37</v>
      </c>
      <c r="N1247" t="s">
        <v>22</v>
      </c>
      <c r="O1247" t="s">
        <v>36</v>
      </c>
      <c r="P1247">
        <v>2.09</v>
      </c>
      <c r="Q1247" s="2" t="b">
        <f>FALSE()</f>
        <v>0</v>
      </c>
      <c r="R1247">
        <v>0</v>
      </c>
    </row>
    <row r="1248" spans="1:18" x14ac:dyDescent="0.25">
      <c r="A1248">
        <v>201247</v>
      </c>
      <c r="B1248">
        <v>51104</v>
      </c>
      <c r="C1248" t="s">
        <v>34</v>
      </c>
      <c r="D1248">
        <v>1922.28</v>
      </c>
      <c r="E1248">
        <v>2606</v>
      </c>
      <c r="F1248">
        <v>1</v>
      </c>
      <c r="G1248">
        <v>3</v>
      </c>
      <c r="H1248">
        <v>0</v>
      </c>
      <c r="I1248" t="s">
        <v>19</v>
      </c>
      <c r="J1248">
        <v>0</v>
      </c>
      <c r="K1248">
        <v>47</v>
      </c>
      <c r="L1248" t="s">
        <v>24</v>
      </c>
      <c r="M1248" t="s">
        <v>35</v>
      </c>
      <c r="N1248" t="s">
        <v>22</v>
      </c>
      <c r="O1248" t="s">
        <v>36</v>
      </c>
      <c r="P1248">
        <v>3.57</v>
      </c>
      <c r="Q1248" s="2" t="b">
        <f>FALSE()</f>
        <v>0</v>
      </c>
      <c r="R1248">
        <v>0</v>
      </c>
    </row>
    <row r="1249" spans="1:18" x14ac:dyDescent="0.25">
      <c r="A1249">
        <v>201248</v>
      </c>
      <c r="B1249">
        <v>50315</v>
      </c>
      <c r="C1249" t="s">
        <v>34</v>
      </c>
      <c r="D1249">
        <v>1530.59</v>
      </c>
      <c r="E1249">
        <v>2532</v>
      </c>
      <c r="F1249">
        <v>1</v>
      </c>
      <c r="G1249">
        <v>6</v>
      </c>
      <c r="H1249">
        <v>0</v>
      </c>
      <c r="I1249" t="s">
        <v>19</v>
      </c>
      <c r="J1249">
        <v>0</v>
      </c>
      <c r="K1249">
        <v>42</v>
      </c>
      <c r="L1249" t="s">
        <v>20</v>
      </c>
      <c r="M1249" t="s">
        <v>25</v>
      </c>
      <c r="N1249" t="s">
        <v>30</v>
      </c>
      <c r="O1249" t="s">
        <v>27</v>
      </c>
      <c r="P1249">
        <v>0.96</v>
      </c>
      <c r="Q1249" s="2" t="b">
        <f>FALSE()</f>
        <v>0</v>
      </c>
      <c r="R1249">
        <v>0</v>
      </c>
    </row>
    <row r="1250" spans="1:18" x14ac:dyDescent="0.25">
      <c r="A1250">
        <v>201249</v>
      </c>
      <c r="B1250">
        <v>50058</v>
      </c>
      <c r="C1250" t="s">
        <v>18</v>
      </c>
      <c r="D1250">
        <v>1680.4</v>
      </c>
      <c r="E1250">
        <v>422</v>
      </c>
      <c r="F1250">
        <v>0</v>
      </c>
      <c r="G1250">
        <v>2</v>
      </c>
      <c r="H1250">
        <v>1</v>
      </c>
      <c r="I1250" t="s">
        <v>19</v>
      </c>
      <c r="J1250">
        <v>0</v>
      </c>
      <c r="K1250">
        <v>81</v>
      </c>
      <c r="L1250" t="s">
        <v>24</v>
      </c>
      <c r="M1250" t="s">
        <v>37</v>
      </c>
      <c r="N1250" t="s">
        <v>26</v>
      </c>
      <c r="O1250" t="s">
        <v>36</v>
      </c>
      <c r="P1250">
        <v>0.66</v>
      </c>
      <c r="Q1250" s="2" t="b">
        <f>FALSE()</f>
        <v>0</v>
      </c>
      <c r="R1250">
        <v>0</v>
      </c>
    </row>
    <row r="1251" spans="1:18" x14ac:dyDescent="0.25">
      <c r="A1251">
        <v>201250</v>
      </c>
      <c r="B1251">
        <v>50970</v>
      </c>
      <c r="C1251" t="s">
        <v>18</v>
      </c>
      <c r="D1251">
        <v>794.9</v>
      </c>
      <c r="E1251">
        <v>1165</v>
      </c>
      <c r="F1251">
        <v>0</v>
      </c>
      <c r="G1251">
        <v>6</v>
      </c>
      <c r="H1251">
        <v>1</v>
      </c>
      <c r="I1251" t="s">
        <v>19</v>
      </c>
      <c r="J1251">
        <v>0</v>
      </c>
      <c r="K1251">
        <v>81</v>
      </c>
      <c r="L1251" t="s">
        <v>24</v>
      </c>
      <c r="M1251" t="s">
        <v>25</v>
      </c>
      <c r="N1251" t="s">
        <v>22</v>
      </c>
      <c r="O1251" t="s">
        <v>23</v>
      </c>
      <c r="P1251">
        <v>0.72</v>
      </c>
      <c r="Q1251" s="2" t="b">
        <f>FALSE()</f>
        <v>0</v>
      </c>
      <c r="R1251">
        <v>0</v>
      </c>
    </row>
    <row r="1252" spans="1:18" x14ac:dyDescent="0.25">
      <c r="A1252">
        <v>201251</v>
      </c>
      <c r="B1252">
        <v>52288</v>
      </c>
      <c r="C1252" t="s">
        <v>34</v>
      </c>
      <c r="D1252">
        <v>2822.32</v>
      </c>
      <c r="E1252">
        <v>3425</v>
      </c>
      <c r="F1252">
        <v>1</v>
      </c>
      <c r="G1252">
        <v>6</v>
      </c>
      <c r="H1252">
        <v>0</v>
      </c>
      <c r="I1252" t="s">
        <v>33</v>
      </c>
      <c r="J1252">
        <v>0</v>
      </c>
      <c r="K1252">
        <v>40</v>
      </c>
      <c r="L1252" t="s">
        <v>24</v>
      </c>
      <c r="M1252" t="s">
        <v>25</v>
      </c>
      <c r="N1252" t="s">
        <v>22</v>
      </c>
      <c r="O1252" t="s">
        <v>23</v>
      </c>
      <c r="P1252">
        <v>2.56</v>
      </c>
      <c r="Q1252" s="2" t="b">
        <f>FALSE()</f>
        <v>0</v>
      </c>
      <c r="R1252">
        <v>0</v>
      </c>
    </row>
    <row r="1253" spans="1:18" x14ac:dyDescent="0.25">
      <c r="A1253">
        <v>201252</v>
      </c>
      <c r="B1253">
        <v>52309</v>
      </c>
      <c r="C1253" t="s">
        <v>28</v>
      </c>
      <c r="D1253">
        <v>3796.45</v>
      </c>
      <c r="E1253">
        <v>1480</v>
      </c>
      <c r="F1253">
        <v>0</v>
      </c>
      <c r="G1253">
        <v>3</v>
      </c>
      <c r="H1253">
        <v>1</v>
      </c>
      <c r="I1253" t="s">
        <v>33</v>
      </c>
      <c r="J1253">
        <v>1</v>
      </c>
      <c r="K1253">
        <v>62</v>
      </c>
      <c r="L1253" t="s">
        <v>38</v>
      </c>
      <c r="M1253" t="s">
        <v>35</v>
      </c>
      <c r="N1253" t="s">
        <v>30</v>
      </c>
      <c r="O1253" t="s">
        <v>23</v>
      </c>
      <c r="P1253">
        <v>1.59</v>
      </c>
      <c r="Q1253" s="2" t="b">
        <f>FALSE()</f>
        <v>0</v>
      </c>
      <c r="R1253">
        <v>1</v>
      </c>
    </row>
    <row r="1254" spans="1:18" x14ac:dyDescent="0.25">
      <c r="A1254">
        <v>201253</v>
      </c>
      <c r="B1254">
        <v>52549</v>
      </c>
      <c r="C1254" t="s">
        <v>34</v>
      </c>
      <c r="D1254">
        <v>1555.81</v>
      </c>
      <c r="E1254">
        <v>956</v>
      </c>
      <c r="F1254">
        <v>0</v>
      </c>
      <c r="G1254">
        <v>6</v>
      </c>
      <c r="H1254">
        <v>0</v>
      </c>
      <c r="I1254" t="s">
        <v>19</v>
      </c>
      <c r="J1254">
        <v>0</v>
      </c>
      <c r="K1254">
        <v>20</v>
      </c>
      <c r="L1254" t="s">
        <v>20</v>
      </c>
      <c r="M1254" t="s">
        <v>25</v>
      </c>
      <c r="N1254" t="s">
        <v>26</v>
      </c>
      <c r="O1254" t="s">
        <v>27</v>
      </c>
      <c r="P1254">
        <v>9.08</v>
      </c>
      <c r="Q1254" s="2" t="b">
        <f>FALSE()</f>
        <v>0</v>
      </c>
      <c r="R1254">
        <v>0</v>
      </c>
    </row>
    <row r="1255" spans="1:18" x14ac:dyDescent="0.25">
      <c r="A1255">
        <v>201254</v>
      </c>
      <c r="B1255">
        <v>55521</v>
      </c>
      <c r="C1255" t="s">
        <v>18</v>
      </c>
      <c r="D1255">
        <v>3099.35</v>
      </c>
      <c r="E1255">
        <v>1145</v>
      </c>
      <c r="F1255">
        <v>1</v>
      </c>
      <c r="G1255">
        <v>8</v>
      </c>
      <c r="H1255">
        <v>0</v>
      </c>
      <c r="I1255" t="s">
        <v>19</v>
      </c>
      <c r="J1255">
        <v>0</v>
      </c>
      <c r="K1255">
        <v>27</v>
      </c>
      <c r="L1255" t="s">
        <v>20</v>
      </c>
      <c r="M1255" t="s">
        <v>29</v>
      </c>
      <c r="N1255" t="s">
        <v>22</v>
      </c>
      <c r="O1255" t="s">
        <v>27</v>
      </c>
      <c r="P1255">
        <v>6.88</v>
      </c>
      <c r="Q1255" s="2" t="b">
        <f>FALSE()</f>
        <v>0</v>
      </c>
      <c r="R1255">
        <v>1</v>
      </c>
    </row>
    <row r="1256" spans="1:18" x14ac:dyDescent="0.25">
      <c r="A1256">
        <v>201255</v>
      </c>
      <c r="B1256">
        <v>53923</v>
      </c>
      <c r="C1256" t="s">
        <v>34</v>
      </c>
      <c r="D1256">
        <v>3496.1</v>
      </c>
      <c r="E1256">
        <v>2213</v>
      </c>
      <c r="F1256">
        <v>1</v>
      </c>
      <c r="G1256">
        <v>2</v>
      </c>
      <c r="H1256">
        <v>1</v>
      </c>
      <c r="I1256" t="s">
        <v>19</v>
      </c>
      <c r="J1256">
        <v>1</v>
      </c>
      <c r="K1256">
        <v>66</v>
      </c>
      <c r="L1256" t="s">
        <v>20</v>
      </c>
      <c r="M1256" t="s">
        <v>31</v>
      </c>
      <c r="N1256" t="s">
        <v>30</v>
      </c>
      <c r="O1256" t="s">
        <v>36</v>
      </c>
      <c r="P1256">
        <v>0.56000000000000005</v>
      </c>
      <c r="Q1256" s="2" t="b">
        <f>FALSE()</f>
        <v>0</v>
      </c>
      <c r="R1256">
        <v>0</v>
      </c>
    </row>
    <row r="1257" spans="1:18" x14ac:dyDescent="0.25">
      <c r="A1257">
        <v>201256</v>
      </c>
      <c r="B1257">
        <v>52626</v>
      </c>
      <c r="C1257" t="s">
        <v>18</v>
      </c>
      <c r="D1257">
        <v>7222.43</v>
      </c>
      <c r="E1257">
        <v>1784</v>
      </c>
      <c r="F1257">
        <v>0</v>
      </c>
      <c r="G1257">
        <v>5</v>
      </c>
      <c r="H1257">
        <v>0</v>
      </c>
      <c r="I1257" t="s">
        <v>19</v>
      </c>
      <c r="J1257">
        <v>0</v>
      </c>
      <c r="K1257">
        <v>76</v>
      </c>
      <c r="L1257" t="s">
        <v>20</v>
      </c>
      <c r="M1257" t="s">
        <v>29</v>
      </c>
      <c r="N1257" t="s">
        <v>22</v>
      </c>
      <c r="O1257" t="s">
        <v>36</v>
      </c>
      <c r="P1257">
        <v>0.95</v>
      </c>
      <c r="Q1257" s="2" t="b">
        <f>TRUE()</f>
        <v>1</v>
      </c>
      <c r="R1257">
        <v>1</v>
      </c>
    </row>
    <row r="1258" spans="1:18" x14ac:dyDescent="0.25">
      <c r="A1258">
        <v>201257</v>
      </c>
      <c r="B1258">
        <v>51061</v>
      </c>
      <c r="C1258" t="s">
        <v>18</v>
      </c>
      <c r="D1258">
        <v>3018.31</v>
      </c>
      <c r="E1258">
        <v>477</v>
      </c>
      <c r="F1258">
        <v>1</v>
      </c>
      <c r="G1258">
        <v>4</v>
      </c>
      <c r="H1258">
        <v>0</v>
      </c>
      <c r="I1258" t="s">
        <v>33</v>
      </c>
      <c r="J1258">
        <v>0</v>
      </c>
      <c r="K1258">
        <v>45</v>
      </c>
      <c r="L1258" t="s">
        <v>20</v>
      </c>
      <c r="M1258" t="s">
        <v>25</v>
      </c>
      <c r="N1258" t="s">
        <v>22</v>
      </c>
      <c r="O1258" t="s">
        <v>27</v>
      </c>
      <c r="P1258">
        <v>4.1100000000000003</v>
      </c>
      <c r="Q1258" s="2" t="b">
        <f>FALSE()</f>
        <v>0</v>
      </c>
      <c r="R1258">
        <v>0</v>
      </c>
    </row>
    <row r="1259" spans="1:18" x14ac:dyDescent="0.25">
      <c r="A1259">
        <v>201258</v>
      </c>
      <c r="B1259">
        <v>54100</v>
      </c>
      <c r="C1259" t="s">
        <v>18</v>
      </c>
      <c r="D1259">
        <v>2512.0700000000002</v>
      </c>
      <c r="E1259">
        <v>2309</v>
      </c>
      <c r="F1259">
        <v>3</v>
      </c>
      <c r="G1259">
        <v>6</v>
      </c>
      <c r="H1259">
        <v>0</v>
      </c>
      <c r="I1259" t="s">
        <v>33</v>
      </c>
      <c r="J1259">
        <v>0</v>
      </c>
      <c r="K1259">
        <v>49</v>
      </c>
      <c r="L1259" t="s">
        <v>20</v>
      </c>
      <c r="M1259" t="s">
        <v>25</v>
      </c>
      <c r="N1259" t="s">
        <v>22</v>
      </c>
      <c r="O1259" t="s">
        <v>36</v>
      </c>
      <c r="P1259">
        <v>8.68</v>
      </c>
      <c r="Q1259" s="2" t="b">
        <f>FALSE()</f>
        <v>0</v>
      </c>
      <c r="R1259">
        <v>1</v>
      </c>
    </row>
    <row r="1260" spans="1:18" x14ac:dyDescent="0.25">
      <c r="A1260">
        <v>201259</v>
      </c>
      <c r="B1260">
        <v>51918</v>
      </c>
      <c r="C1260" t="s">
        <v>18</v>
      </c>
      <c r="D1260">
        <v>270.52999999999997</v>
      </c>
      <c r="E1260">
        <v>3337</v>
      </c>
      <c r="F1260">
        <v>0</v>
      </c>
      <c r="G1260">
        <v>6</v>
      </c>
      <c r="H1260">
        <v>0</v>
      </c>
      <c r="I1260" t="s">
        <v>19</v>
      </c>
      <c r="J1260">
        <v>0</v>
      </c>
      <c r="K1260">
        <v>73</v>
      </c>
      <c r="L1260" t="s">
        <v>20</v>
      </c>
      <c r="M1260" t="s">
        <v>29</v>
      </c>
      <c r="N1260" t="s">
        <v>30</v>
      </c>
      <c r="O1260" t="s">
        <v>36</v>
      </c>
      <c r="P1260">
        <v>1.28</v>
      </c>
      <c r="Q1260" s="2" t="b">
        <f>FALSE()</f>
        <v>0</v>
      </c>
      <c r="R1260">
        <v>0</v>
      </c>
    </row>
    <row r="1261" spans="1:18" x14ac:dyDescent="0.25">
      <c r="A1261">
        <v>201260</v>
      </c>
      <c r="B1261">
        <v>53828</v>
      </c>
      <c r="C1261" t="s">
        <v>18</v>
      </c>
      <c r="D1261">
        <v>2310.1999999999998</v>
      </c>
      <c r="E1261">
        <v>1350</v>
      </c>
      <c r="F1261">
        <v>3</v>
      </c>
      <c r="G1261">
        <v>4</v>
      </c>
      <c r="H1261">
        <v>0</v>
      </c>
      <c r="I1261" t="s">
        <v>33</v>
      </c>
      <c r="J1261">
        <v>0</v>
      </c>
      <c r="K1261">
        <v>83</v>
      </c>
      <c r="L1261" t="s">
        <v>24</v>
      </c>
      <c r="M1261" t="s">
        <v>35</v>
      </c>
      <c r="N1261" t="s">
        <v>26</v>
      </c>
      <c r="O1261" t="s">
        <v>27</v>
      </c>
      <c r="P1261">
        <v>7.18</v>
      </c>
      <c r="Q1261" s="2" t="b">
        <f>FALSE()</f>
        <v>0</v>
      </c>
      <c r="R1261">
        <v>1</v>
      </c>
    </row>
    <row r="1262" spans="1:18" x14ac:dyDescent="0.25">
      <c r="A1262">
        <v>201261</v>
      </c>
      <c r="B1262">
        <v>55229</v>
      </c>
      <c r="C1262" t="s">
        <v>28</v>
      </c>
      <c r="D1262">
        <v>4702.83</v>
      </c>
      <c r="E1262">
        <v>1327</v>
      </c>
      <c r="F1262">
        <v>1</v>
      </c>
      <c r="G1262">
        <v>5</v>
      </c>
      <c r="H1262">
        <v>1</v>
      </c>
      <c r="I1262" t="s">
        <v>33</v>
      </c>
      <c r="J1262">
        <v>0</v>
      </c>
      <c r="K1262">
        <v>18</v>
      </c>
      <c r="L1262" t="s">
        <v>24</v>
      </c>
      <c r="M1262" t="s">
        <v>37</v>
      </c>
      <c r="N1262" t="s">
        <v>30</v>
      </c>
      <c r="O1262" t="s">
        <v>23</v>
      </c>
      <c r="P1262">
        <v>13.76</v>
      </c>
      <c r="Q1262" s="2" t="b">
        <f>FALSE()</f>
        <v>0</v>
      </c>
      <c r="R1262">
        <v>1</v>
      </c>
    </row>
    <row r="1263" spans="1:18" x14ac:dyDescent="0.25">
      <c r="A1263">
        <v>201262</v>
      </c>
      <c r="B1263">
        <v>50330</v>
      </c>
      <c r="C1263" t="s">
        <v>28</v>
      </c>
      <c r="D1263">
        <v>1144.48</v>
      </c>
      <c r="E1263">
        <v>16</v>
      </c>
      <c r="F1263">
        <v>1</v>
      </c>
      <c r="G1263">
        <v>5</v>
      </c>
      <c r="H1263">
        <v>0</v>
      </c>
      <c r="I1263" t="s">
        <v>33</v>
      </c>
      <c r="J1263">
        <v>0</v>
      </c>
      <c r="K1263">
        <v>33</v>
      </c>
      <c r="L1263" t="s">
        <v>24</v>
      </c>
      <c r="M1263" t="s">
        <v>21</v>
      </c>
      <c r="N1263" t="s">
        <v>26</v>
      </c>
      <c r="O1263" t="s">
        <v>27</v>
      </c>
      <c r="P1263">
        <v>2.35</v>
      </c>
      <c r="Q1263" s="2" t="b">
        <f>FALSE()</f>
        <v>0</v>
      </c>
      <c r="R1263">
        <v>0</v>
      </c>
    </row>
    <row r="1264" spans="1:18" x14ac:dyDescent="0.25">
      <c r="A1264">
        <v>201263</v>
      </c>
      <c r="B1264">
        <v>51917</v>
      </c>
      <c r="C1264" t="s">
        <v>18</v>
      </c>
      <c r="D1264">
        <v>6784.79</v>
      </c>
      <c r="E1264">
        <v>822</v>
      </c>
      <c r="F1264">
        <v>3</v>
      </c>
      <c r="G1264">
        <v>3</v>
      </c>
      <c r="H1264">
        <v>0</v>
      </c>
      <c r="I1264" t="s">
        <v>19</v>
      </c>
      <c r="J1264">
        <v>0</v>
      </c>
      <c r="K1264">
        <v>46</v>
      </c>
      <c r="L1264" t="s">
        <v>20</v>
      </c>
      <c r="M1264" t="s">
        <v>29</v>
      </c>
      <c r="N1264" t="s">
        <v>26</v>
      </c>
      <c r="O1264" t="s">
        <v>36</v>
      </c>
      <c r="P1264">
        <v>1.45</v>
      </c>
      <c r="Q1264" s="2" t="b">
        <f>FALSE()</f>
        <v>0</v>
      </c>
      <c r="R1264">
        <v>1</v>
      </c>
    </row>
    <row r="1265" spans="1:18" x14ac:dyDescent="0.25">
      <c r="A1265">
        <v>201264</v>
      </c>
      <c r="B1265">
        <v>52624</v>
      </c>
      <c r="C1265" t="s">
        <v>34</v>
      </c>
      <c r="D1265">
        <v>2384.9299999999998</v>
      </c>
      <c r="E1265">
        <v>3229</v>
      </c>
      <c r="F1265">
        <v>1</v>
      </c>
      <c r="G1265">
        <v>8</v>
      </c>
      <c r="H1265">
        <v>1</v>
      </c>
      <c r="I1265" t="s">
        <v>19</v>
      </c>
      <c r="J1265">
        <v>0</v>
      </c>
      <c r="K1265">
        <v>39</v>
      </c>
      <c r="L1265" t="s">
        <v>20</v>
      </c>
      <c r="M1265" t="s">
        <v>35</v>
      </c>
      <c r="N1265" t="s">
        <v>26</v>
      </c>
      <c r="O1265" t="s">
        <v>36</v>
      </c>
      <c r="P1265">
        <v>0.56999999999999995</v>
      </c>
      <c r="Q1265" s="2" t="b">
        <f>FALSE()</f>
        <v>0</v>
      </c>
      <c r="R1265">
        <v>1</v>
      </c>
    </row>
    <row r="1266" spans="1:18" x14ac:dyDescent="0.25">
      <c r="A1266">
        <v>201265</v>
      </c>
      <c r="B1266">
        <v>55574</v>
      </c>
      <c r="C1266" t="s">
        <v>18</v>
      </c>
      <c r="D1266">
        <v>9268.84</v>
      </c>
      <c r="E1266">
        <v>3577</v>
      </c>
      <c r="F1266">
        <v>1</v>
      </c>
      <c r="G1266">
        <v>5</v>
      </c>
      <c r="H1266">
        <v>1</v>
      </c>
      <c r="I1266" t="s">
        <v>19</v>
      </c>
      <c r="J1266">
        <v>1</v>
      </c>
      <c r="K1266">
        <v>80</v>
      </c>
      <c r="L1266" t="s">
        <v>24</v>
      </c>
      <c r="M1266" t="s">
        <v>21</v>
      </c>
      <c r="N1266" t="s">
        <v>30</v>
      </c>
      <c r="O1266" t="s">
        <v>27</v>
      </c>
      <c r="P1266">
        <v>3.67</v>
      </c>
      <c r="Q1266" s="2" t="b">
        <f>TRUE()</f>
        <v>1</v>
      </c>
      <c r="R1266">
        <v>1</v>
      </c>
    </row>
    <row r="1267" spans="1:18" x14ac:dyDescent="0.25">
      <c r="A1267">
        <v>201266</v>
      </c>
      <c r="B1267">
        <v>50578</v>
      </c>
      <c r="C1267" t="s">
        <v>28</v>
      </c>
      <c r="D1267">
        <v>1246.03</v>
      </c>
      <c r="E1267">
        <v>3097</v>
      </c>
      <c r="F1267">
        <v>2</v>
      </c>
      <c r="G1267">
        <v>3</v>
      </c>
      <c r="H1267">
        <v>1</v>
      </c>
      <c r="I1267" t="s">
        <v>33</v>
      </c>
      <c r="J1267">
        <v>0</v>
      </c>
      <c r="K1267">
        <v>55</v>
      </c>
      <c r="L1267" t="s">
        <v>24</v>
      </c>
      <c r="M1267" t="s">
        <v>21</v>
      </c>
      <c r="N1267" t="s">
        <v>22</v>
      </c>
      <c r="O1267" t="s">
        <v>27</v>
      </c>
      <c r="P1267">
        <v>2.75</v>
      </c>
      <c r="Q1267" s="2" t="b">
        <f>FALSE()</f>
        <v>0</v>
      </c>
      <c r="R1267">
        <v>0</v>
      </c>
    </row>
    <row r="1268" spans="1:18" x14ac:dyDescent="0.25">
      <c r="A1268">
        <v>201267</v>
      </c>
      <c r="B1268">
        <v>53280</v>
      </c>
      <c r="C1268" t="s">
        <v>18</v>
      </c>
      <c r="D1268">
        <v>2722.86</v>
      </c>
      <c r="E1268">
        <v>2313</v>
      </c>
      <c r="F1268">
        <v>2</v>
      </c>
      <c r="G1268">
        <v>3</v>
      </c>
      <c r="H1268">
        <v>1</v>
      </c>
      <c r="I1268" t="s">
        <v>19</v>
      </c>
      <c r="J1268">
        <v>0</v>
      </c>
      <c r="K1268">
        <v>47</v>
      </c>
      <c r="L1268" t="s">
        <v>24</v>
      </c>
      <c r="M1268" t="s">
        <v>21</v>
      </c>
      <c r="N1268" t="s">
        <v>30</v>
      </c>
      <c r="O1268" t="s">
        <v>36</v>
      </c>
      <c r="P1268">
        <v>5.31</v>
      </c>
      <c r="Q1268" s="2" t="b">
        <f>FALSE()</f>
        <v>0</v>
      </c>
      <c r="R1268">
        <v>0</v>
      </c>
    </row>
    <row r="1269" spans="1:18" x14ac:dyDescent="0.25">
      <c r="A1269">
        <v>201268</v>
      </c>
      <c r="B1269">
        <v>53371</v>
      </c>
      <c r="C1269" t="s">
        <v>18</v>
      </c>
      <c r="D1269">
        <v>2477.25</v>
      </c>
      <c r="E1269">
        <v>2075</v>
      </c>
      <c r="F1269">
        <v>1</v>
      </c>
      <c r="G1269">
        <v>3</v>
      </c>
      <c r="H1269">
        <v>0</v>
      </c>
      <c r="I1269" t="s">
        <v>33</v>
      </c>
      <c r="J1269">
        <v>1</v>
      </c>
      <c r="K1269">
        <v>26</v>
      </c>
      <c r="L1269" t="s">
        <v>24</v>
      </c>
      <c r="M1269" t="s">
        <v>37</v>
      </c>
      <c r="N1269" t="s">
        <v>22</v>
      </c>
      <c r="O1269" t="s">
        <v>27</v>
      </c>
      <c r="P1269">
        <v>2.34</v>
      </c>
      <c r="Q1269" s="2" t="b">
        <f>FALSE()</f>
        <v>0</v>
      </c>
      <c r="R1269">
        <v>0</v>
      </c>
    </row>
    <row r="1270" spans="1:18" x14ac:dyDescent="0.25">
      <c r="A1270">
        <v>201269</v>
      </c>
      <c r="B1270">
        <v>55397</v>
      </c>
      <c r="C1270" t="s">
        <v>34</v>
      </c>
      <c r="D1270">
        <v>3600.62</v>
      </c>
      <c r="E1270">
        <v>3515</v>
      </c>
      <c r="F1270">
        <v>0</v>
      </c>
      <c r="G1270">
        <v>4</v>
      </c>
      <c r="H1270">
        <v>0</v>
      </c>
      <c r="I1270" t="s">
        <v>33</v>
      </c>
      <c r="J1270">
        <v>0</v>
      </c>
      <c r="K1270">
        <v>20</v>
      </c>
      <c r="L1270" t="s">
        <v>20</v>
      </c>
      <c r="M1270" t="s">
        <v>25</v>
      </c>
      <c r="N1270" t="s">
        <v>30</v>
      </c>
      <c r="O1270" t="s">
        <v>23</v>
      </c>
      <c r="P1270">
        <v>2.46</v>
      </c>
      <c r="Q1270" s="2" t="b">
        <f>FALSE()</f>
        <v>0</v>
      </c>
      <c r="R1270">
        <v>1</v>
      </c>
    </row>
    <row r="1271" spans="1:18" x14ac:dyDescent="0.25">
      <c r="A1271">
        <v>201270</v>
      </c>
      <c r="B1271">
        <v>54092</v>
      </c>
      <c r="C1271" t="s">
        <v>18</v>
      </c>
      <c r="D1271">
        <v>4156.3999999999996</v>
      </c>
      <c r="E1271">
        <v>996</v>
      </c>
      <c r="F1271">
        <v>0</v>
      </c>
      <c r="G1271">
        <v>1</v>
      </c>
      <c r="H1271">
        <v>0</v>
      </c>
      <c r="I1271" t="s">
        <v>33</v>
      </c>
      <c r="J1271">
        <v>0</v>
      </c>
      <c r="K1271">
        <v>69</v>
      </c>
      <c r="L1271" t="s">
        <v>20</v>
      </c>
      <c r="M1271" t="s">
        <v>31</v>
      </c>
      <c r="N1271" t="s">
        <v>22</v>
      </c>
      <c r="O1271" t="s">
        <v>27</v>
      </c>
      <c r="P1271">
        <v>6.64</v>
      </c>
      <c r="Q1271" s="2" t="b">
        <f>FALSE()</f>
        <v>0</v>
      </c>
      <c r="R1271">
        <v>1</v>
      </c>
    </row>
    <row r="1272" spans="1:18" x14ac:dyDescent="0.25">
      <c r="A1272">
        <v>201271</v>
      </c>
      <c r="B1272">
        <v>55865</v>
      </c>
      <c r="C1272" t="s">
        <v>18</v>
      </c>
      <c r="D1272">
        <v>7863.94</v>
      </c>
      <c r="E1272">
        <v>3248</v>
      </c>
      <c r="F1272">
        <v>0</v>
      </c>
      <c r="G1272">
        <v>1</v>
      </c>
      <c r="H1272">
        <v>0</v>
      </c>
      <c r="I1272" t="s">
        <v>33</v>
      </c>
      <c r="J1272">
        <v>1</v>
      </c>
      <c r="K1272">
        <v>58</v>
      </c>
      <c r="L1272" t="s">
        <v>20</v>
      </c>
      <c r="M1272" t="s">
        <v>35</v>
      </c>
      <c r="N1272" t="s">
        <v>22</v>
      </c>
      <c r="O1272" t="s">
        <v>27</v>
      </c>
      <c r="P1272">
        <v>1.1200000000000001</v>
      </c>
      <c r="Q1272" s="2" t="b">
        <f>TRUE()</f>
        <v>1</v>
      </c>
      <c r="R1272">
        <v>1</v>
      </c>
    </row>
    <row r="1273" spans="1:18" x14ac:dyDescent="0.25">
      <c r="A1273">
        <v>201272</v>
      </c>
      <c r="B1273">
        <v>51789</v>
      </c>
      <c r="C1273" t="s">
        <v>18</v>
      </c>
      <c r="D1273">
        <v>5019.1000000000004</v>
      </c>
      <c r="E1273">
        <v>2078</v>
      </c>
      <c r="F1273">
        <v>1</v>
      </c>
      <c r="G1273">
        <v>5</v>
      </c>
      <c r="H1273">
        <v>1</v>
      </c>
      <c r="I1273" t="s">
        <v>19</v>
      </c>
      <c r="J1273">
        <v>0</v>
      </c>
      <c r="K1273">
        <v>52</v>
      </c>
      <c r="L1273" t="s">
        <v>24</v>
      </c>
      <c r="M1273" t="s">
        <v>35</v>
      </c>
      <c r="N1273" t="s">
        <v>30</v>
      </c>
      <c r="O1273" t="s">
        <v>36</v>
      </c>
      <c r="P1273">
        <v>2.98</v>
      </c>
      <c r="Q1273" s="2" t="b">
        <f>FALSE()</f>
        <v>0</v>
      </c>
      <c r="R1273">
        <v>1</v>
      </c>
    </row>
    <row r="1274" spans="1:18" x14ac:dyDescent="0.25">
      <c r="A1274">
        <v>201273</v>
      </c>
      <c r="B1274">
        <v>53739</v>
      </c>
      <c r="C1274" t="s">
        <v>18</v>
      </c>
      <c r="D1274">
        <v>1768.13</v>
      </c>
      <c r="E1274">
        <v>2046</v>
      </c>
      <c r="F1274">
        <v>1</v>
      </c>
      <c r="G1274">
        <v>3</v>
      </c>
      <c r="H1274">
        <v>1</v>
      </c>
      <c r="I1274" t="s">
        <v>19</v>
      </c>
      <c r="J1274">
        <v>0</v>
      </c>
      <c r="K1274">
        <v>77</v>
      </c>
      <c r="L1274" t="s">
        <v>24</v>
      </c>
      <c r="M1274" t="s">
        <v>37</v>
      </c>
      <c r="N1274" t="s">
        <v>22</v>
      </c>
      <c r="O1274" t="s">
        <v>36</v>
      </c>
      <c r="P1274">
        <v>9</v>
      </c>
      <c r="Q1274" s="2" t="b">
        <f>FALSE()</f>
        <v>0</v>
      </c>
      <c r="R1274">
        <v>0</v>
      </c>
    </row>
    <row r="1275" spans="1:18" x14ac:dyDescent="0.25">
      <c r="A1275">
        <v>201274</v>
      </c>
      <c r="B1275">
        <v>51242</v>
      </c>
      <c r="C1275" t="s">
        <v>18</v>
      </c>
      <c r="D1275">
        <v>3666.37</v>
      </c>
      <c r="E1275">
        <v>1422</v>
      </c>
      <c r="F1275">
        <v>1</v>
      </c>
      <c r="G1275">
        <v>1</v>
      </c>
      <c r="H1275">
        <v>0</v>
      </c>
      <c r="I1275" t="s">
        <v>33</v>
      </c>
      <c r="J1275">
        <v>0</v>
      </c>
      <c r="K1275">
        <v>22</v>
      </c>
      <c r="L1275" t="s">
        <v>20</v>
      </c>
      <c r="M1275" t="s">
        <v>21</v>
      </c>
      <c r="N1275" t="s">
        <v>26</v>
      </c>
      <c r="O1275" t="s">
        <v>23</v>
      </c>
      <c r="P1275">
        <v>6.91</v>
      </c>
      <c r="Q1275" s="2" t="b">
        <f>FALSE()</f>
        <v>0</v>
      </c>
      <c r="R1275">
        <v>1</v>
      </c>
    </row>
    <row r="1276" spans="1:18" x14ac:dyDescent="0.25">
      <c r="A1276">
        <v>201275</v>
      </c>
      <c r="B1276">
        <v>52500</v>
      </c>
      <c r="C1276" t="s">
        <v>18</v>
      </c>
      <c r="D1276">
        <v>1850.57</v>
      </c>
      <c r="E1276">
        <v>3085</v>
      </c>
      <c r="F1276">
        <v>1</v>
      </c>
      <c r="G1276">
        <v>5</v>
      </c>
      <c r="H1276">
        <v>0</v>
      </c>
      <c r="I1276" t="s">
        <v>19</v>
      </c>
      <c r="J1276">
        <v>0</v>
      </c>
      <c r="K1276">
        <v>49</v>
      </c>
      <c r="L1276" t="s">
        <v>20</v>
      </c>
      <c r="M1276" t="s">
        <v>29</v>
      </c>
      <c r="N1276" t="s">
        <v>26</v>
      </c>
      <c r="O1276" t="s">
        <v>27</v>
      </c>
      <c r="P1276">
        <v>6.56</v>
      </c>
      <c r="Q1276" s="2" t="b">
        <f>FALSE()</f>
        <v>0</v>
      </c>
      <c r="R1276">
        <v>0</v>
      </c>
    </row>
    <row r="1277" spans="1:18" x14ac:dyDescent="0.25">
      <c r="A1277">
        <v>201276</v>
      </c>
      <c r="B1277">
        <v>53464</v>
      </c>
      <c r="C1277" t="s">
        <v>34</v>
      </c>
      <c r="D1277">
        <v>1994.73</v>
      </c>
      <c r="E1277">
        <v>2368</v>
      </c>
      <c r="F1277">
        <v>1</v>
      </c>
      <c r="G1277">
        <v>7</v>
      </c>
      <c r="H1277">
        <v>0</v>
      </c>
      <c r="I1277" t="s">
        <v>19</v>
      </c>
      <c r="J1277">
        <v>0</v>
      </c>
      <c r="K1277">
        <v>38</v>
      </c>
      <c r="L1277" t="s">
        <v>24</v>
      </c>
      <c r="M1277" t="s">
        <v>29</v>
      </c>
      <c r="N1277" t="s">
        <v>26</v>
      </c>
      <c r="O1277" t="s">
        <v>23</v>
      </c>
      <c r="P1277">
        <v>0.98</v>
      </c>
      <c r="Q1277" s="2" t="b">
        <f>FALSE()</f>
        <v>0</v>
      </c>
      <c r="R1277">
        <v>1</v>
      </c>
    </row>
    <row r="1278" spans="1:18" x14ac:dyDescent="0.25">
      <c r="A1278">
        <v>201277</v>
      </c>
      <c r="B1278">
        <v>51752</v>
      </c>
      <c r="C1278" t="s">
        <v>34</v>
      </c>
      <c r="D1278">
        <v>2751.35</v>
      </c>
      <c r="E1278">
        <v>2492</v>
      </c>
      <c r="F1278">
        <v>0</v>
      </c>
      <c r="G1278">
        <v>4</v>
      </c>
      <c r="H1278">
        <v>1</v>
      </c>
      <c r="I1278" t="s">
        <v>33</v>
      </c>
      <c r="J1278">
        <v>0</v>
      </c>
      <c r="K1278">
        <v>81</v>
      </c>
      <c r="L1278" t="s">
        <v>20</v>
      </c>
      <c r="M1278" t="s">
        <v>29</v>
      </c>
      <c r="N1278" t="s">
        <v>22</v>
      </c>
      <c r="O1278" t="s">
        <v>36</v>
      </c>
      <c r="P1278">
        <v>6.45</v>
      </c>
      <c r="Q1278" s="2" t="b">
        <f>FALSE()</f>
        <v>0</v>
      </c>
      <c r="R1278">
        <v>0</v>
      </c>
    </row>
    <row r="1279" spans="1:18" x14ac:dyDescent="0.25">
      <c r="A1279">
        <v>201278</v>
      </c>
      <c r="B1279">
        <v>51571</v>
      </c>
      <c r="C1279" t="s">
        <v>18</v>
      </c>
      <c r="D1279">
        <v>3014.7</v>
      </c>
      <c r="E1279">
        <v>825</v>
      </c>
      <c r="F1279">
        <v>3</v>
      </c>
      <c r="G1279">
        <v>0</v>
      </c>
      <c r="H1279">
        <v>0</v>
      </c>
      <c r="I1279" t="s">
        <v>19</v>
      </c>
      <c r="J1279">
        <v>1</v>
      </c>
      <c r="K1279">
        <v>25</v>
      </c>
      <c r="L1279" t="s">
        <v>20</v>
      </c>
      <c r="M1279" t="s">
        <v>25</v>
      </c>
      <c r="N1279" t="s">
        <v>22</v>
      </c>
      <c r="O1279" t="s">
        <v>36</v>
      </c>
      <c r="P1279">
        <v>1.71</v>
      </c>
      <c r="Q1279" s="2" t="b">
        <f>FALSE()</f>
        <v>0</v>
      </c>
      <c r="R1279">
        <v>1</v>
      </c>
    </row>
    <row r="1280" spans="1:18" x14ac:dyDescent="0.25">
      <c r="A1280">
        <v>201279</v>
      </c>
      <c r="B1280">
        <v>53328</v>
      </c>
      <c r="C1280" t="s">
        <v>18</v>
      </c>
      <c r="D1280">
        <v>2178.31</v>
      </c>
      <c r="E1280">
        <v>1125</v>
      </c>
      <c r="F1280">
        <v>0</v>
      </c>
      <c r="G1280">
        <v>5</v>
      </c>
      <c r="H1280">
        <v>0</v>
      </c>
      <c r="I1280" t="s">
        <v>32</v>
      </c>
      <c r="J1280">
        <v>0</v>
      </c>
      <c r="K1280">
        <v>47</v>
      </c>
      <c r="L1280" t="s">
        <v>24</v>
      </c>
      <c r="M1280" t="s">
        <v>31</v>
      </c>
      <c r="N1280" t="s">
        <v>22</v>
      </c>
      <c r="O1280" t="s">
        <v>36</v>
      </c>
      <c r="P1280">
        <v>4.83</v>
      </c>
      <c r="Q1280" s="2" t="b">
        <f>FALSE()</f>
        <v>0</v>
      </c>
      <c r="R1280">
        <v>0</v>
      </c>
    </row>
    <row r="1281" spans="1:18" x14ac:dyDescent="0.25">
      <c r="A1281">
        <v>201280</v>
      </c>
      <c r="B1281">
        <v>55697</v>
      </c>
      <c r="C1281" t="s">
        <v>18</v>
      </c>
      <c r="D1281">
        <v>150.35</v>
      </c>
      <c r="E1281">
        <v>2154</v>
      </c>
      <c r="F1281">
        <v>0</v>
      </c>
      <c r="G1281">
        <v>4</v>
      </c>
      <c r="H1281">
        <v>1</v>
      </c>
      <c r="I1281" t="s">
        <v>32</v>
      </c>
      <c r="J1281">
        <v>1</v>
      </c>
      <c r="K1281">
        <v>47</v>
      </c>
      <c r="L1281" t="s">
        <v>24</v>
      </c>
      <c r="M1281" t="s">
        <v>25</v>
      </c>
      <c r="N1281" t="s">
        <v>26</v>
      </c>
      <c r="O1281" t="s">
        <v>23</v>
      </c>
      <c r="P1281">
        <v>0.98</v>
      </c>
      <c r="Q1281" s="2" t="b">
        <f>FALSE()</f>
        <v>0</v>
      </c>
      <c r="R1281">
        <v>0</v>
      </c>
    </row>
    <row r="1282" spans="1:18" x14ac:dyDescent="0.25">
      <c r="A1282">
        <v>201281</v>
      </c>
      <c r="B1282">
        <v>54521</v>
      </c>
      <c r="C1282" t="s">
        <v>34</v>
      </c>
      <c r="D1282">
        <v>4872</v>
      </c>
      <c r="E1282">
        <v>99</v>
      </c>
      <c r="F1282">
        <v>0</v>
      </c>
      <c r="G1282">
        <v>3</v>
      </c>
      <c r="H1282">
        <v>0</v>
      </c>
      <c r="I1282" t="s">
        <v>33</v>
      </c>
      <c r="J1282">
        <v>0</v>
      </c>
      <c r="K1282">
        <v>70</v>
      </c>
      <c r="L1282" t="s">
        <v>24</v>
      </c>
      <c r="M1282" t="s">
        <v>21</v>
      </c>
      <c r="N1282" t="s">
        <v>30</v>
      </c>
      <c r="O1282" t="s">
        <v>36</v>
      </c>
      <c r="P1282">
        <v>0.38</v>
      </c>
      <c r="Q1282" s="2" t="b">
        <f>FALSE()</f>
        <v>0</v>
      </c>
      <c r="R1282">
        <v>1</v>
      </c>
    </row>
    <row r="1283" spans="1:18" x14ac:dyDescent="0.25">
      <c r="A1283">
        <v>201282</v>
      </c>
      <c r="B1283">
        <v>53992</v>
      </c>
      <c r="C1283" t="s">
        <v>18</v>
      </c>
      <c r="D1283">
        <v>2154.73</v>
      </c>
      <c r="E1283">
        <v>3316</v>
      </c>
      <c r="F1283">
        <v>2</v>
      </c>
      <c r="G1283">
        <v>2</v>
      </c>
      <c r="H1283">
        <v>0</v>
      </c>
      <c r="I1283" t="s">
        <v>33</v>
      </c>
      <c r="J1283">
        <v>1</v>
      </c>
      <c r="K1283">
        <v>82</v>
      </c>
      <c r="L1283" t="s">
        <v>20</v>
      </c>
      <c r="M1283" t="s">
        <v>25</v>
      </c>
      <c r="N1283" t="s">
        <v>22</v>
      </c>
      <c r="O1283" t="s">
        <v>27</v>
      </c>
      <c r="P1283">
        <v>1.4</v>
      </c>
      <c r="Q1283" s="2" t="b">
        <f>FALSE()</f>
        <v>0</v>
      </c>
      <c r="R1283">
        <v>0</v>
      </c>
    </row>
    <row r="1284" spans="1:18" x14ac:dyDescent="0.25">
      <c r="A1284">
        <v>201283</v>
      </c>
      <c r="B1284">
        <v>50711</v>
      </c>
      <c r="C1284" t="s">
        <v>28</v>
      </c>
      <c r="D1284">
        <v>968.92</v>
      </c>
      <c r="E1284">
        <v>534</v>
      </c>
      <c r="F1284">
        <v>2</v>
      </c>
      <c r="G1284">
        <v>3</v>
      </c>
      <c r="H1284">
        <v>0</v>
      </c>
      <c r="I1284" t="s">
        <v>19</v>
      </c>
      <c r="J1284">
        <v>1</v>
      </c>
      <c r="K1284">
        <v>61</v>
      </c>
      <c r="L1284" t="s">
        <v>20</v>
      </c>
      <c r="M1284" t="s">
        <v>25</v>
      </c>
      <c r="N1284" t="s">
        <v>22</v>
      </c>
      <c r="O1284" t="s">
        <v>23</v>
      </c>
      <c r="P1284">
        <v>2.0699999999999998</v>
      </c>
      <c r="Q1284" s="2" t="b">
        <f>FALSE()</f>
        <v>0</v>
      </c>
      <c r="R1284">
        <v>0</v>
      </c>
    </row>
    <row r="1285" spans="1:18" x14ac:dyDescent="0.25">
      <c r="A1285">
        <v>201284</v>
      </c>
      <c r="B1285">
        <v>50969</v>
      </c>
      <c r="C1285" t="s">
        <v>34</v>
      </c>
      <c r="D1285">
        <v>3023</v>
      </c>
      <c r="E1285">
        <v>2962</v>
      </c>
      <c r="F1285">
        <v>1</v>
      </c>
      <c r="G1285">
        <v>5</v>
      </c>
      <c r="H1285">
        <v>0</v>
      </c>
      <c r="I1285" t="s">
        <v>33</v>
      </c>
      <c r="J1285">
        <v>0</v>
      </c>
      <c r="K1285">
        <v>24</v>
      </c>
      <c r="L1285" t="s">
        <v>24</v>
      </c>
      <c r="M1285" t="s">
        <v>37</v>
      </c>
      <c r="N1285" t="s">
        <v>30</v>
      </c>
      <c r="O1285" t="s">
        <v>23</v>
      </c>
      <c r="P1285">
        <v>3.9</v>
      </c>
      <c r="Q1285" s="2" t="b">
        <f>FALSE()</f>
        <v>0</v>
      </c>
      <c r="R1285">
        <v>0</v>
      </c>
    </row>
    <row r="1286" spans="1:18" x14ac:dyDescent="0.25">
      <c r="A1286">
        <v>201285</v>
      </c>
      <c r="B1286">
        <v>55081</v>
      </c>
      <c r="C1286" t="s">
        <v>34</v>
      </c>
      <c r="D1286">
        <v>1958.99</v>
      </c>
      <c r="E1286">
        <v>1263</v>
      </c>
      <c r="F1286">
        <v>1</v>
      </c>
      <c r="G1286">
        <v>8</v>
      </c>
      <c r="H1286">
        <v>0</v>
      </c>
      <c r="I1286" t="s">
        <v>33</v>
      </c>
      <c r="J1286">
        <v>0</v>
      </c>
      <c r="K1286">
        <v>27</v>
      </c>
      <c r="L1286" t="s">
        <v>20</v>
      </c>
      <c r="M1286" t="s">
        <v>31</v>
      </c>
      <c r="N1286" t="s">
        <v>26</v>
      </c>
      <c r="O1286" t="s">
        <v>36</v>
      </c>
      <c r="P1286">
        <v>0.02</v>
      </c>
      <c r="Q1286" s="2" t="b">
        <f>FALSE()</f>
        <v>0</v>
      </c>
      <c r="R1286">
        <v>1</v>
      </c>
    </row>
    <row r="1287" spans="1:18" x14ac:dyDescent="0.25">
      <c r="A1287">
        <v>201286</v>
      </c>
      <c r="B1287">
        <v>54806</v>
      </c>
      <c r="C1287" t="s">
        <v>34</v>
      </c>
      <c r="D1287">
        <v>1673.31</v>
      </c>
      <c r="E1287">
        <v>3173</v>
      </c>
      <c r="F1287">
        <v>1</v>
      </c>
      <c r="G1287">
        <v>3</v>
      </c>
      <c r="H1287">
        <v>0</v>
      </c>
      <c r="I1287" t="s">
        <v>33</v>
      </c>
      <c r="J1287">
        <v>1</v>
      </c>
      <c r="K1287">
        <v>81</v>
      </c>
      <c r="L1287" t="s">
        <v>20</v>
      </c>
      <c r="M1287" t="s">
        <v>29</v>
      </c>
      <c r="N1287" t="s">
        <v>26</v>
      </c>
      <c r="O1287" t="s">
        <v>23</v>
      </c>
      <c r="P1287">
        <v>3.75</v>
      </c>
      <c r="Q1287" s="2" t="b">
        <f>FALSE()</f>
        <v>0</v>
      </c>
      <c r="R1287">
        <v>0</v>
      </c>
    </row>
    <row r="1288" spans="1:18" x14ac:dyDescent="0.25">
      <c r="A1288">
        <v>201287</v>
      </c>
      <c r="B1288">
        <v>53699</v>
      </c>
      <c r="C1288" t="s">
        <v>18</v>
      </c>
      <c r="D1288">
        <v>1006.53</v>
      </c>
      <c r="E1288">
        <v>125</v>
      </c>
      <c r="F1288">
        <v>1</v>
      </c>
      <c r="G1288">
        <v>5</v>
      </c>
      <c r="H1288">
        <v>0</v>
      </c>
      <c r="I1288" t="s">
        <v>33</v>
      </c>
      <c r="J1288">
        <v>1</v>
      </c>
      <c r="K1288">
        <v>33</v>
      </c>
      <c r="L1288" t="s">
        <v>20</v>
      </c>
      <c r="M1288" t="s">
        <v>21</v>
      </c>
      <c r="N1288" t="s">
        <v>22</v>
      </c>
      <c r="O1288" t="s">
        <v>36</v>
      </c>
      <c r="P1288">
        <v>0.35</v>
      </c>
      <c r="Q1288" s="2" t="b">
        <f>FALSE()</f>
        <v>0</v>
      </c>
      <c r="R1288">
        <v>0</v>
      </c>
    </row>
    <row r="1289" spans="1:18" x14ac:dyDescent="0.25">
      <c r="A1289">
        <v>201288</v>
      </c>
      <c r="B1289">
        <v>50897</v>
      </c>
      <c r="C1289" t="s">
        <v>18</v>
      </c>
      <c r="D1289">
        <v>1251.21</v>
      </c>
      <c r="E1289">
        <v>3138</v>
      </c>
      <c r="F1289">
        <v>2</v>
      </c>
      <c r="G1289">
        <v>5</v>
      </c>
      <c r="H1289">
        <v>0</v>
      </c>
      <c r="I1289" t="s">
        <v>33</v>
      </c>
      <c r="J1289">
        <v>0</v>
      </c>
      <c r="K1289">
        <v>80</v>
      </c>
      <c r="L1289" t="s">
        <v>24</v>
      </c>
      <c r="M1289" t="s">
        <v>37</v>
      </c>
      <c r="N1289" t="s">
        <v>22</v>
      </c>
      <c r="O1289" t="s">
        <v>27</v>
      </c>
      <c r="P1289">
        <v>3.52</v>
      </c>
      <c r="Q1289" s="2" t="b">
        <f>FALSE()</f>
        <v>0</v>
      </c>
      <c r="R1289">
        <v>0</v>
      </c>
    </row>
    <row r="1290" spans="1:18" x14ac:dyDescent="0.25">
      <c r="A1290">
        <v>201289</v>
      </c>
      <c r="B1290">
        <v>54549</v>
      </c>
      <c r="C1290" t="s">
        <v>18</v>
      </c>
      <c r="D1290">
        <v>4328.74</v>
      </c>
      <c r="E1290">
        <v>2679</v>
      </c>
      <c r="F1290">
        <v>0</v>
      </c>
      <c r="G1290">
        <v>5</v>
      </c>
      <c r="H1290">
        <v>0</v>
      </c>
      <c r="I1290" t="s">
        <v>19</v>
      </c>
      <c r="J1290">
        <v>0</v>
      </c>
      <c r="K1290">
        <v>77</v>
      </c>
      <c r="L1290" t="s">
        <v>20</v>
      </c>
      <c r="M1290" t="s">
        <v>21</v>
      </c>
      <c r="N1290" t="s">
        <v>30</v>
      </c>
      <c r="O1290" t="s">
        <v>36</v>
      </c>
      <c r="P1290">
        <v>8.6</v>
      </c>
      <c r="Q1290" s="2" t="b">
        <f>FALSE()</f>
        <v>0</v>
      </c>
      <c r="R1290">
        <v>1</v>
      </c>
    </row>
    <row r="1291" spans="1:18" x14ac:dyDescent="0.25">
      <c r="A1291">
        <v>201290</v>
      </c>
      <c r="B1291">
        <v>54950</v>
      </c>
      <c r="C1291" t="s">
        <v>18</v>
      </c>
      <c r="D1291">
        <v>861.56</v>
      </c>
      <c r="E1291">
        <v>2425</v>
      </c>
      <c r="F1291">
        <v>0</v>
      </c>
      <c r="G1291">
        <v>6</v>
      </c>
      <c r="H1291">
        <v>1</v>
      </c>
      <c r="I1291" t="s">
        <v>32</v>
      </c>
      <c r="J1291">
        <v>0</v>
      </c>
      <c r="K1291">
        <v>76</v>
      </c>
      <c r="L1291" t="s">
        <v>24</v>
      </c>
      <c r="M1291" t="s">
        <v>37</v>
      </c>
      <c r="N1291" t="s">
        <v>26</v>
      </c>
      <c r="O1291" t="s">
        <v>36</v>
      </c>
      <c r="P1291">
        <v>1.07</v>
      </c>
      <c r="Q1291" s="2" t="b">
        <f>FALSE()</f>
        <v>0</v>
      </c>
      <c r="R1291">
        <v>0</v>
      </c>
    </row>
    <row r="1292" spans="1:18" x14ac:dyDescent="0.25">
      <c r="A1292">
        <v>201291</v>
      </c>
      <c r="B1292">
        <v>52284</v>
      </c>
      <c r="C1292" t="s">
        <v>18</v>
      </c>
      <c r="D1292">
        <v>3492.63</v>
      </c>
      <c r="E1292">
        <v>902</v>
      </c>
      <c r="F1292">
        <v>2</v>
      </c>
      <c r="G1292">
        <v>6</v>
      </c>
      <c r="H1292">
        <v>0</v>
      </c>
      <c r="I1292" t="s">
        <v>33</v>
      </c>
      <c r="J1292">
        <v>0</v>
      </c>
      <c r="K1292">
        <v>47</v>
      </c>
      <c r="L1292" t="s">
        <v>24</v>
      </c>
      <c r="M1292" t="s">
        <v>21</v>
      </c>
      <c r="N1292" t="s">
        <v>30</v>
      </c>
      <c r="O1292" t="s">
        <v>36</v>
      </c>
      <c r="P1292">
        <v>2.4</v>
      </c>
      <c r="Q1292" s="2" t="b">
        <f>FALSE()</f>
        <v>0</v>
      </c>
      <c r="R1292">
        <v>0</v>
      </c>
    </row>
    <row r="1293" spans="1:18" x14ac:dyDescent="0.25">
      <c r="A1293">
        <v>201292</v>
      </c>
      <c r="B1293">
        <v>55698</v>
      </c>
      <c r="C1293" t="s">
        <v>18</v>
      </c>
      <c r="D1293">
        <v>3321.8</v>
      </c>
      <c r="E1293">
        <v>3485</v>
      </c>
      <c r="F1293">
        <v>1</v>
      </c>
      <c r="G1293">
        <v>4</v>
      </c>
      <c r="H1293">
        <v>0</v>
      </c>
      <c r="I1293" t="s">
        <v>33</v>
      </c>
      <c r="J1293">
        <v>1</v>
      </c>
      <c r="K1293">
        <v>71</v>
      </c>
      <c r="L1293" t="s">
        <v>24</v>
      </c>
      <c r="M1293" t="s">
        <v>31</v>
      </c>
      <c r="N1293" t="s">
        <v>30</v>
      </c>
      <c r="O1293" t="s">
        <v>23</v>
      </c>
      <c r="P1293">
        <v>3.14</v>
      </c>
      <c r="Q1293" s="2" t="b">
        <f>FALSE()</f>
        <v>0</v>
      </c>
      <c r="R1293">
        <v>0</v>
      </c>
    </row>
    <row r="1294" spans="1:18" x14ac:dyDescent="0.25">
      <c r="A1294">
        <v>201293</v>
      </c>
      <c r="B1294">
        <v>53333</v>
      </c>
      <c r="C1294" t="s">
        <v>18</v>
      </c>
      <c r="D1294">
        <v>1784.78</v>
      </c>
      <c r="E1294">
        <v>2876</v>
      </c>
      <c r="F1294">
        <v>1</v>
      </c>
      <c r="G1294">
        <v>4</v>
      </c>
      <c r="H1294">
        <v>0</v>
      </c>
      <c r="I1294" t="s">
        <v>19</v>
      </c>
      <c r="J1294">
        <v>0</v>
      </c>
      <c r="K1294">
        <v>58</v>
      </c>
      <c r="L1294" t="s">
        <v>24</v>
      </c>
      <c r="M1294" t="s">
        <v>35</v>
      </c>
      <c r="N1294" t="s">
        <v>22</v>
      </c>
      <c r="O1294" t="s">
        <v>36</v>
      </c>
      <c r="P1294">
        <v>0.76</v>
      </c>
      <c r="Q1294" s="2" t="b">
        <f>FALSE()</f>
        <v>0</v>
      </c>
      <c r="R1294">
        <v>0</v>
      </c>
    </row>
    <row r="1295" spans="1:18" x14ac:dyDescent="0.25">
      <c r="A1295">
        <v>201294</v>
      </c>
      <c r="B1295">
        <v>51514</v>
      </c>
      <c r="C1295" t="s">
        <v>18</v>
      </c>
      <c r="D1295">
        <v>5273.07</v>
      </c>
      <c r="E1295">
        <v>3173</v>
      </c>
      <c r="F1295">
        <v>0</v>
      </c>
      <c r="G1295">
        <v>7</v>
      </c>
      <c r="H1295">
        <v>0</v>
      </c>
      <c r="I1295" t="s">
        <v>19</v>
      </c>
      <c r="J1295">
        <v>0</v>
      </c>
      <c r="K1295">
        <v>65</v>
      </c>
      <c r="L1295" t="s">
        <v>20</v>
      </c>
      <c r="M1295" t="s">
        <v>35</v>
      </c>
      <c r="N1295" t="s">
        <v>26</v>
      </c>
      <c r="O1295" t="s">
        <v>36</v>
      </c>
      <c r="P1295">
        <v>5.21</v>
      </c>
      <c r="Q1295" s="2" t="b">
        <f>FALSE()</f>
        <v>0</v>
      </c>
      <c r="R1295">
        <v>1</v>
      </c>
    </row>
    <row r="1296" spans="1:18" x14ac:dyDescent="0.25">
      <c r="A1296">
        <v>201295</v>
      </c>
      <c r="B1296">
        <v>53136</v>
      </c>
      <c r="C1296" t="s">
        <v>34</v>
      </c>
      <c r="D1296">
        <v>1556.81</v>
      </c>
      <c r="E1296">
        <v>293</v>
      </c>
      <c r="F1296">
        <v>0</v>
      </c>
      <c r="G1296">
        <v>7</v>
      </c>
      <c r="H1296">
        <v>0</v>
      </c>
      <c r="I1296" t="s">
        <v>33</v>
      </c>
      <c r="J1296">
        <v>0</v>
      </c>
      <c r="K1296">
        <v>31</v>
      </c>
      <c r="L1296" t="s">
        <v>24</v>
      </c>
      <c r="M1296" t="s">
        <v>29</v>
      </c>
      <c r="N1296" t="s">
        <v>22</v>
      </c>
      <c r="O1296" t="s">
        <v>36</v>
      </c>
      <c r="P1296">
        <v>0.71</v>
      </c>
      <c r="Q1296" s="2" t="b">
        <f>FALSE()</f>
        <v>0</v>
      </c>
      <c r="R1296">
        <v>1</v>
      </c>
    </row>
    <row r="1297" spans="1:18" x14ac:dyDescent="0.25">
      <c r="A1297">
        <v>201296</v>
      </c>
      <c r="B1297">
        <v>53542</v>
      </c>
      <c r="C1297" t="s">
        <v>18</v>
      </c>
      <c r="D1297">
        <v>1785.23</v>
      </c>
      <c r="E1297">
        <v>3630</v>
      </c>
      <c r="F1297">
        <v>2</v>
      </c>
      <c r="G1297">
        <v>5</v>
      </c>
      <c r="H1297">
        <v>1</v>
      </c>
      <c r="I1297" t="s">
        <v>33</v>
      </c>
      <c r="J1297">
        <v>0</v>
      </c>
      <c r="K1297">
        <v>31</v>
      </c>
      <c r="L1297" t="s">
        <v>20</v>
      </c>
      <c r="M1297" t="s">
        <v>35</v>
      </c>
      <c r="N1297" t="s">
        <v>22</v>
      </c>
      <c r="O1297" t="s">
        <v>27</v>
      </c>
      <c r="P1297">
        <v>2.15</v>
      </c>
      <c r="Q1297" s="2" t="b">
        <f>FALSE()</f>
        <v>0</v>
      </c>
      <c r="R1297">
        <v>0</v>
      </c>
    </row>
    <row r="1298" spans="1:18" x14ac:dyDescent="0.25">
      <c r="A1298">
        <v>201297</v>
      </c>
      <c r="B1298">
        <v>53291</v>
      </c>
      <c r="C1298" t="s">
        <v>34</v>
      </c>
      <c r="D1298">
        <v>742.61</v>
      </c>
      <c r="E1298">
        <v>719</v>
      </c>
      <c r="F1298">
        <v>0</v>
      </c>
      <c r="G1298">
        <v>4</v>
      </c>
      <c r="H1298">
        <v>1</v>
      </c>
      <c r="I1298" t="s">
        <v>33</v>
      </c>
      <c r="J1298">
        <v>1</v>
      </c>
      <c r="K1298">
        <v>76</v>
      </c>
      <c r="L1298" t="s">
        <v>20</v>
      </c>
      <c r="M1298" t="s">
        <v>35</v>
      </c>
      <c r="N1298" t="s">
        <v>22</v>
      </c>
      <c r="O1298" t="s">
        <v>27</v>
      </c>
      <c r="P1298">
        <v>0.62</v>
      </c>
      <c r="Q1298" s="2" t="b">
        <f>FALSE()</f>
        <v>0</v>
      </c>
      <c r="R1298">
        <v>0</v>
      </c>
    </row>
    <row r="1299" spans="1:18" x14ac:dyDescent="0.25">
      <c r="A1299">
        <v>201298</v>
      </c>
      <c r="B1299">
        <v>52673</v>
      </c>
      <c r="C1299" t="s">
        <v>28</v>
      </c>
      <c r="D1299">
        <v>4965.3500000000004</v>
      </c>
      <c r="E1299">
        <v>2654</v>
      </c>
      <c r="F1299">
        <v>0</v>
      </c>
      <c r="G1299">
        <v>7</v>
      </c>
      <c r="H1299">
        <v>1</v>
      </c>
      <c r="I1299" t="s">
        <v>32</v>
      </c>
      <c r="J1299">
        <v>0</v>
      </c>
      <c r="K1299">
        <v>36</v>
      </c>
      <c r="L1299" t="s">
        <v>24</v>
      </c>
      <c r="M1299" t="s">
        <v>35</v>
      </c>
      <c r="N1299" t="s">
        <v>22</v>
      </c>
      <c r="O1299" t="s">
        <v>36</v>
      </c>
      <c r="P1299">
        <v>3.82</v>
      </c>
      <c r="Q1299" s="2" t="b">
        <f>FALSE()</f>
        <v>0</v>
      </c>
      <c r="R1299">
        <v>1</v>
      </c>
    </row>
    <row r="1300" spans="1:18" x14ac:dyDescent="0.25">
      <c r="A1300">
        <v>201299</v>
      </c>
      <c r="B1300">
        <v>51057</v>
      </c>
      <c r="C1300" t="s">
        <v>34</v>
      </c>
      <c r="D1300">
        <v>1105.32</v>
      </c>
      <c r="E1300">
        <v>89</v>
      </c>
      <c r="F1300">
        <v>0</v>
      </c>
      <c r="G1300">
        <v>4</v>
      </c>
      <c r="H1300">
        <v>0</v>
      </c>
      <c r="I1300" t="s">
        <v>32</v>
      </c>
      <c r="J1300">
        <v>1</v>
      </c>
      <c r="K1300">
        <v>23</v>
      </c>
      <c r="L1300" t="s">
        <v>20</v>
      </c>
      <c r="M1300" t="s">
        <v>35</v>
      </c>
      <c r="N1300" t="s">
        <v>30</v>
      </c>
      <c r="O1300" t="s">
        <v>27</v>
      </c>
      <c r="P1300">
        <v>1.1599999999999999</v>
      </c>
      <c r="Q1300" s="2" t="b">
        <f>FALSE()</f>
        <v>0</v>
      </c>
      <c r="R1300">
        <v>0</v>
      </c>
    </row>
    <row r="1301" spans="1:18" x14ac:dyDescent="0.25">
      <c r="A1301">
        <v>201300</v>
      </c>
      <c r="B1301">
        <v>51452</v>
      </c>
      <c r="C1301" t="s">
        <v>18</v>
      </c>
      <c r="D1301">
        <v>2963.59</v>
      </c>
      <c r="E1301">
        <v>2784</v>
      </c>
      <c r="F1301">
        <v>3</v>
      </c>
      <c r="G1301">
        <v>3</v>
      </c>
      <c r="H1301">
        <v>0</v>
      </c>
      <c r="I1301" t="s">
        <v>19</v>
      </c>
      <c r="J1301">
        <v>0</v>
      </c>
      <c r="K1301">
        <v>70</v>
      </c>
      <c r="L1301" t="s">
        <v>20</v>
      </c>
      <c r="M1301" t="s">
        <v>25</v>
      </c>
      <c r="N1301" t="s">
        <v>30</v>
      </c>
      <c r="O1301" t="s">
        <v>36</v>
      </c>
      <c r="P1301">
        <v>3.48</v>
      </c>
      <c r="Q1301" s="2" t="b">
        <f>FALSE()</f>
        <v>0</v>
      </c>
      <c r="R1301">
        <v>1</v>
      </c>
    </row>
    <row r="1302" spans="1:18" x14ac:dyDescent="0.25">
      <c r="A1302">
        <v>201301</v>
      </c>
      <c r="B1302">
        <v>51141</v>
      </c>
      <c r="C1302" t="s">
        <v>18</v>
      </c>
      <c r="D1302">
        <v>2316.0300000000002</v>
      </c>
      <c r="E1302">
        <v>3328</v>
      </c>
      <c r="F1302">
        <v>0</v>
      </c>
      <c r="G1302">
        <v>5</v>
      </c>
      <c r="H1302">
        <v>0</v>
      </c>
      <c r="I1302" t="s">
        <v>33</v>
      </c>
      <c r="J1302">
        <v>0</v>
      </c>
      <c r="K1302">
        <v>60</v>
      </c>
      <c r="L1302" t="s">
        <v>20</v>
      </c>
      <c r="M1302" t="s">
        <v>37</v>
      </c>
      <c r="N1302" t="s">
        <v>30</v>
      </c>
      <c r="O1302" t="s">
        <v>27</v>
      </c>
      <c r="P1302">
        <v>1.89</v>
      </c>
      <c r="Q1302" s="2" t="b">
        <f>FALSE()</f>
        <v>0</v>
      </c>
      <c r="R1302">
        <v>0</v>
      </c>
    </row>
    <row r="1303" spans="1:18" x14ac:dyDescent="0.25">
      <c r="A1303">
        <v>201302</v>
      </c>
      <c r="B1303">
        <v>52560</v>
      </c>
      <c r="C1303" t="s">
        <v>18</v>
      </c>
      <c r="D1303">
        <v>1514.94</v>
      </c>
      <c r="E1303">
        <v>1220</v>
      </c>
      <c r="F1303">
        <v>0</v>
      </c>
      <c r="G1303">
        <v>5</v>
      </c>
      <c r="H1303">
        <v>1</v>
      </c>
      <c r="I1303" t="s">
        <v>33</v>
      </c>
      <c r="J1303">
        <v>0</v>
      </c>
      <c r="K1303">
        <v>42</v>
      </c>
      <c r="L1303" t="s">
        <v>24</v>
      </c>
      <c r="M1303" t="s">
        <v>25</v>
      </c>
      <c r="N1303" t="s">
        <v>30</v>
      </c>
      <c r="O1303" t="s">
        <v>27</v>
      </c>
      <c r="P1303">
        <v>4.0199999999999996</v>
      </c>
      <c r="Q1303" s="2" t="b">
        <f>FALSE()</f>
        <v>0</v>
      </c>
      <c r="R1303">
        <v>0</v>
      </c>
    </row>
    <row r="1304" spans="1:18" x14ac:dyDescent="0.25">
      <c r="A1304">
        <v>201303</v>
      </c>
      <c r="B1304">
        <v>52918</v>
      </c>
      <c r="C1304" t="s">
        <v>34</v>
      </c>
      <c r="D1304">
        <v>3332.18</v>
      </c>
      <c r="E1304">
        <v>3412</v>
      </c>
      <c r="F1304">
        <v>0</v>
      </c>
      <c r="G1304">
        <v>4</v>
      </c>
      <c r="H1304">
        <v>1</v>
      </c>
      <c r="I1304" t="s">
        <v>19</v>
      </c>
      <c r="J1304">
        <v>0</v>
      </c>
      <c r="K1304">
        <v>50</v>
      </c>
      <c r="L1304" t="s">
        <v>24</v>
      </c>
      <c r="M1304" t="s">
        <v>31</v>
      </c>
      <c r="N1304" t="s">
        <v>22</v>
      </c>
      <c r="O1304" t="s">
        <v>27</v>
      </c>
      <c r="P1304">
        <v>0.71</v>
      </c>
      <c r="Q1304" s="2" t="b">
        <f>FALSE()</f>
        <v>0</v>
      </c>
      <c r="R1304">
        <v>0</v>
      </c>
    </row>
    <row r="1305" spans="1:18" x14ac:dyDescent="0.25">
      <c r="A1305">
        <v>201304</v>
      </c>
      <c r="B1305">
        <v>52650</v>
      </c>
      <c r="C1305" t="s">
        <v>18</v>
      </c>
      <c r="D1305">
        <v>4015.45</v>
      </c>
      <c r="E1305">
        <v>321</v>
      </c>
      <c r="F1305">
        <v>0</v>
      </c>
      <c r="G1305">
        <v>7</v>
      </c>
      <c r="H1305">
        <v>1</v>
      </c>
      <c r="I1305" t="s">
        <v>33</v>
      </c>
      <c r="J1305">
        <v>0</v>
      </c>
      <c r="K1305">
        <v>69</v>
      </c>
      <c r="L1305" t="s">
        <v>20</v>
      </c>
      <c r="M1305" t="s">
        <v>31</v>
      </c>
      <c r="N1305" t="s">
        <v>30</v>
      </c>
      <c r="O1305" t="s">
        <v>27</v>
      </c>
      <c r="P1305">
        <v>5.64</v>
      </c>
      <c r="Q1305" s="2" t="b">
        <f>FALSE()</f>
        <v>0</v>
      </c>
      <c r="R1305">
        <v>1</v>
      </c>
    </row>
    <row r="1306" spans="1:18" x14ac:dyDescent="0.25">
      <c r="A1306">
        <v>201305</v>
      </c>
      <c r="B1306">
        <v>50262</v>
      </c>
      <c r="C1306" t="s">
        <v>28</v>
      </c>
      <c r="D1306">
        <v>7305.15</v>
      </c>
      <c r="E1306">
        <v>1997</v>
      </c>
      <c r="F1306">
        <v>1</v>
      </c>
      <c r="G1306">
        <v>3</v>
      </c>
      <c r="H1306">
        <v>0</v>
      </c>
      <c r="I1306" t="s">
        <v>19</v>
      </c>
      <c r="J1306">
        <v>0</v>
      </c>
      <c r="K1306">
        <v>84</v>
      </c>
      <c r="L1306" t="s">
        <v>20</v>
      </c>
      <c r="M1306" t="s">
        <v>31</v>
      </c>
      <c r="N1306" t="s">
        <v>30</v>
      </c>
      <c r="O1306" t="s">
        <v>27</v>
      </c>
      <c r="P1306">
        <v>0.68</v>
      </c>
      <c r="Q1306" s="2" t="b">
        <f>TRUE()</f>
        <v>1</v>
      </c>
      <c r="R1306">
        <v>1</v>
      </c>
    </row>
    <row r="1307" spans="1:18" x14ac:dyDescent="0.25">
      <c r="A1307">
        <v>201306</v>
      </c>
      <c r="B1307">
        <v>55857</v>
      </c>
      <c r="C1307" t="s">
        <v>34</v>
      </c>
      <c r="D1307">
        <v>2821.68</v>
      </c>
      <c r="E1307">
        <v>14</v>
      </c>
      <c r="F1307">
        <v>1</v>
      </c>
      <c r="G1307">
        <v>4</v>
      </c>
      <c r="H1307">
        <v>0</v>
      </c>
      <c r="I1307" t="s">
        <v>19</v>
      </c>
      <c r="J1307">
        <v>0</v>
      </c>
      <c r="K1307">
        <v>28</v>
      </c>
      <c r="L1307" t="s">
        <v>20</v>
      </c>
      <c r="M1307" t="s">
        <v>29</v>
      </c>
      <c r="N1307" t="s">
        <v>30</v>
      </c>
      <c r="O1307" t="s">
        <v>27</v>
      </c>
      <c r="P1307">
        <v>7.5</v>
      </c>
      <c r="Q1307" s="2" t="b">
        <f>FALSE()</f>
        <v>0</v>
      </c>
      <c r="R1307">
        <v>0</v>
      </c>
    </row>
    <row r="1308" spans="1:18" x14ac:dyDescent="0.25">
      <c r="A1308">
        <v>201307</v>
      </c>
      <c r="B1308">
        <v>50779</v>
      </c>
      <c r="C1308" t="s">
        <v>34</v>
      </c>
      <c r="D1308">
        <v>5154.3</v>
      </c>
      <c r="E1308">
        <v>1304</v>
      </c>
      <c r="F1308">
        <v>1</v>
      </c>
      <c r="G1308">
        <v>2</v>
      </c>
      <c r="H1308">
        <v>0</v>
      </c>
      <c r="I1308" t="s">
        <v>32</v>
      </c>
      <c r="J1308">
        <v>0</v>
      </c>
      <c r="K1308">
        <v>35</v>
      </c>
      <c r="L1308" t="s">
        <v>24</v>
      </c>
      <c r="M1308" t="s">
        <v>37</v>
      </c>
      <c r="N1308" t="s">
        <v>30</v>
      </c>
      <c r="O1308" t="s">
        <v>23</v>
      </c>
      <c r="P1308">
        <v>1.94</v>
      </c>
      <c r="Q1308" s="2" t="b">
        <f>FALSE()</f>
        <v>0</v>
      </c>
      <c r="R1308">
        <v>1</v>
      </c>
    </row>
    <row r="1309" spans="1:18" x14ac:dyDescent="0.25">
      <c r="A1309">
        <v>201308</v>
      </c>
      <c r="B1309">
        <v>55462</v>
      </c>
      <c r="C1309" t="s">
        <v>34</v>
      </c>
      <c r="D1309">
        <v>1154.43</v>
      </c>
      <c r="E1309">
        <v>2968</v>
      </c>
      <c r="F1309">
        <v>1</v>
      </c>
      <c r="G1309">
        <v>3</v>
      </c>
      <c r="H1309">
        <v>0</v>
      </c>
      <c r="I1309" t="s">
        <v>33</v>
      </c>
      <c r="J1309">
        <v>0</v>
      </c>
      <c r="K1309">
        <v>74</v>
      </c>
      <c r="L1309" t="s">
        <v>20</v>
      </c>
      <c r="M1309" t="s">
        <v>37</v>
      </c>
      <c r="N1309" t="s">
        <v>22</v>
      </c>
      <c r="O1309" t="s">
        <v>27</v>
      </c>
      <c r="P1309">
        <v>0.63</v>
      </c>
      <c r="Q1309" s="2" t="b">
        <f>FALSE()</f>
        <v>0</v>
      </c>
      <c r="R1309">
        <v>0</v>
      </c>
    </row>
    <row r="1310" spans="1:18" x14ac:dyDescent="0.25">
      <c r="A1310">
        <v>201309</v>
      </c>
      <c r="B1310">
        <v>52290</v>
      </c>
      <c r="C1310" t="s">
        <v>18</v>
      </c>
      <c r="D1310">
        <v>1358.69</v>
      </c>
      <c r="E1310">
        <v>3410</v>
      </c>
      <c r="F1310">
        <v>0</v>
      </c>
      <c r="G1310">
        <v>4</v>
      </c>
      <c r="H1310">
        <v>1</v>
      </c>
      <c r="I1310" t="s">
        <v>33</v>
      </c>
      <c r="J1310">
        <v>0</v>
      </c>
      <c r="K1310">
        <v>59</v>
      </c>
      <c r="L1310" t="s">
        <v>24</v>
      </c>
      <c r="M1310" t="s">
        <v>37</v>
      </c>
      <c r="N1310" t="s">
        <v>22</v>
      </c>
      <c r="O1310" t="s">
        <v>23</v>
      </c>
      <c r="P1310">
        <v>2.12</v>
      </c>
      <c r="Q1310" s="2" t="b">
        <f>FALSE()</f>
        <v>0</v>
      </c>
      <c r="R1310">
        <v>0</v>
      </c>
    </row>
    <row r="1311" spans="1:18" x14ac:dyDescent="0.25">
      <c r="A1311">
        <v>201310</v>
      </c>
      <c r="B1311">
        <v>50722</v>
      </c>
      <c r="C1311" t="s">
        <v>28</v>
      </c>
      <c r="D1311">
        <v>5205.1499999999996</v>
      </c>
      <c r="E1311">
        <v>963</v>
      </c>
      <c r="F1311">
        <v>4</v>
      </c>
      <c r="G1311">
        <v>4</v>
      </c>
      <c r="H1311">
        <v>0</v>
      </c>
      <c r="I1311" t="s">
        <v>19</v>
      </c>
      <c r="J1311">
        <v>1</v>
      </c>
      <c r="K1311">
        <v>83</v>
      </c>
      <c r="L1311" t="s">
        <v>20</v>
      </c>
      <c r="M1311" t="s">
        <v>31</v>
      </c>
      <c r="N1311" t="s">
        <v>22</v>
      </c>
      <c r="O1311" t="s">
        <v>27</v>
      </c>
      <c r="P1311">
        <v>2.84</v>
      </c>
      <c r="Q1311" s="2" t="b">
        <f>FALSE()</f>
        <v>0</v>
      </c>
      <c r="R1311">
        <v>1</v>
      </c>
    </row>
    <row r="1312" spans="1:18" x14ac:dyDescent="0.25">
      <c r="A1312">
        <v>201311</v>
      </c>
      <c r="B1312">
        <v>54272</v>
      </c>
      <c r="C1312" t="s">
        <v>34</v>
      </c>
      <c r="D1312">
        <v>2536.39</v>
      </c>
      <c r="E1312">
        <v>3132</v>
      </c>
      <c r="F1312">
        <v>2</v>
      </c>
      <c r="G1312">
        <v>1</v>
      </c>
      <c r="H1312">
        <v>1</v>
      </c>
      <c r="I1312" t="s">
        <v>33</v>
      </c>
      <c r="J1312">
        <v>0</v>
      </c>
      <c r="K1312">
        <v>50</v>
      </c>
      <c r="L1312" t="s">
        <v>20</v>
      </c>
      <c r="M1312" t="s">
        <v>29</v>
      </c>
      <c r="N1312" t="s">
        <v>30</v>
      </c>
      <c r="O1312" t="s">
        <v>36</v>
      </c>
      <c r="P1312">
        <v>1.89</v>
      </c>
      <c r="Q1312" s="2" t="b">
        <f>FALSE()</f>
        <v>0</v>
      </c>
      <c r="R1312">
        <v>0</v>
      </c>
    </row>
    <row r="1313" spans="1:18" x14ac:dyDescent="0.25">
      <c r="A1313">
        <v>201312</v>
      </c>
      <c r="B1313">
        <v>53755</v>
      </c>
      <c r="C1313" t="s">
        <v>28</v>
      </c>
      <c r="D1313">
        <v>769.1</v>
      </c>
      <c r="E1313">
        <v>491</v>
      </c>
      <c r="F1313">
        <v>3</v>
      </c>
      <c r="G1313">
        <v>6</v>
      </c>
      <c r="H1313">
        <v>1</v>
      </c>
      <c r="I1313" t="s">
        <v>32</v>
      </c>
      <c r="J1313">
        <v>0</v>
      </c>
      <c r="K1313">
        <v>18</v>
      </c>
      <c r="L1313" t="s">
        <v>24</v>
      </c>
      <c r="M1313" t="s">
        <v>37</v>
      </c>
      <c r="N1313" t="s">
        <v>30</v>
      </c>
      <c r="O1313" t="s">
        <v>27</v>
      </c>
      <c r="P1313">
        <v>6.76</v>
      </c>
      <c r="Q1313" s="2" t="b">
        <f>FALSE()</f>
        <v>0</v>
      </c>
      <c r="R1313">
        <v>1</v>
      </c>
    </row>
    <row r="1314" spans="1:18" x14ac:dyDescent="0.25">
      <c r="A1314">
        <v>201313</v>
      </c>
      <c r="B1314">
        <v>54689</v>
      </c>
      <c r="C1314" t="s">
        <v>18</v>
      </c>
      <c r="D1314">
        <v>3071.72</v>
      </c>
      <c r="E1314">
        <v>1666</v>
      </c>
      <c r="F1314">
        <v>1</v>
      </c>
      <c r="G1314">
        <v>5</v>
      </c>
      <c r="H1314">
        <v>0</v>
      </c>
      <c r="I1314" t="s">
        <v>19</v>
      </c>
      <c r="J1314">
        <v>0</v>
      </c>
      <c r="K1314">
        <v>74</v>
      </c>
      <c r="L1314" t="s">
        <v>24</v>
      </c>
      <c r="M1314" t="s">
        <v>37</v>
      </c>
      <c r="N1314" t="s">
        <v>30</v>
      </c>
      <c r="O1314" t="s">
        <v>36</v>
      </c>
      <c r="P1314">
        <v>10.28</v>
      </c>
      <c r="Q1314" s="2" t="b">
        <f>FALSE()</f>
        <v>0</v>
      </c>
      <c r="R1314">
        <v>0</v>
      </c>
    </row>
    <row r="1315" spans="1:18" x14ac:dyDescent="0.25">
      <c r="A1315">
        <v>201314</v>
      </c>
      <c r="B1315">
        <v>52940</v>
      </c>
      <c r="C1315" t="s">
        <v>34</v>
      </c>
      <c r="D1315">
        <v>5588.96</v>
      </c>
      <c r="E1315">
        <v>1281</v>
      </c>
      <c r="F1315">
        <v>0</v>
      </c>
      <c r="G1315">
        <v>2</v>
      </c>
      <c r="H1315">
        <v>0</v>
      </c>
      <c r="I1315" t="s">
        <v>33</v>
      </c>
      <c r="J1315">
        <v>1</v>
      </c>
      <c r="K1315">
        <v>34</v>
      </c>
      <c r="L1315" t="s">
        <v>20</v>
      </c>
      <c r="M1315" t="s">
        <v>25</v>
      </c>
      <c r="N1315" t="s">
        <v>22</v>
      </c>
      <c r="O1315" t="s">
        <v>27</v>
      </c>
      <c r="P1315">
        <v>5.76</v>
      </c>
      <c r="Q1315" s="2" t="b">
        <f>FALSE()</f>
        <v>0</v>
      </c>
      <c r="R1315">
        <v>1</v>
      </c>
    </row>
    <row r="1316" spans="1:18" x14ac:dyDescent="0.25">
      <c r="A1316">
        <v>201315</v>
      </c>
      <c r="B1316">
        <v>53316</v>
      </c>
      <c r="C1316" t="s">
        <v>18</v>
      </c>
      <c r="D1316">
        <v>3483.29</v>
      </c>
      <c r="E1316">
        <v>361</v>
      </c>
      <c r="F1316">
        <v>0</v>
      </c>
      <c r="G1316">
        <v>2</v>
      </c>
      <c r="H1316">
        <v>0</v>
      </c>
      <c r="I1316" t="s">
        <v>19</v>
      </c>
      <c r="J1316">
        <v>1</v>
      </c>
      <c r="K1316">
        <v>39</v>
      </c>
      <c r="L1316" t="s">
        <v>20</v>
      </c>
      <c r="M1316" t="s">
        <v>31</v>
      </c>
      <c r="N1316" t="s">
        <v>26</v>
      </c>
      <c r="O1316" t="s">
        <v>23</v>
      </c>
      <c r="P1316">
        <v>7.58</v>
      </c>
      <c r="Q1316" s="2" t="b">
        <f>FALSE()</f>
        <v>0</v>
      </c>
      <c r="R1316">
        <v>0</v>
      </c>
    </row>
    <row r="1317" spans="1:18" x14ac:dyDescent="0.25">
      <c r="A1317">
        <v>201316</v>
      </c>
      <c r="B1317">
        <v>51324</v>
      </c>
      <c r="C1317" t="s">
        <v>18</v>
      </c>
      <c r="D1317">
        <v>2002.08</v>
      </c>
      <c r="E1317">
        <v>2059</v>
      </c>
      <c r="F1317">
        <v>1</v>
      </c>
      <c r="G1317">
        <v>5</v>
      </c>
      <c r="H1317">
        <v>0</v>
      </c>
      <c r="I1317" t="s">
        <v>19</v>
      </c>
      <c r="J1317">
        <v>0</v>
      </c>
      <c r="K1317">
        <v>51</v>
      </c>
      <c r="L1317" t="s">
        <v>24</v>
      </c>
      <c r="M1317" t="s">
        <v>29</v>
      </c>
      <c r="N1317" t="s">
        <v>22</v>
      </c>
      <c r="O1317" t="s">
        <v>23</v>
      </c>
      <c r="P1317">
        <v>0.4</v>
      </c>
      <c r="Q1317" s="2" t="b">
        <f>FALSE()</f>
        <v>0</v>
      </c>
      <c r="R1317">
        <v>0</v>
      </c>
    </row>
    <row r="1318" spans="1:18" x14ac:dyDescent="0.25">
      <c r="A1318">
        <v>201317</v>
      </c>
      <c r="B1318">
        <v>52014</v>
      </c>
      <c r="C1318" t="s">
        <v>34</v>
      </c>
      <c r="D1318">
        <v>3443.94</v>
      </c>
      <c r="E1318">
        <v>1693</v>
      </c>
      <c r="F1318">
        <v>0</v>
      </c>
      <c r="G1318">
        <v>3</v>
      </c>
      <c r="H1318">
        <v>1</v>
      </c>
      <c r="I1318" t="s">
        <v>19</v>
      </c>
      <c r="J1318">
        <v>0</v>
      </c>
      <c r="K1318">
        <v>63</v>
      </c>
      <c r="L1318" t="s">
        <v>24</v>
      </c>
      <c r="M1318" t="s">
        <v>25</v>
      </c>
      <c r="N1318" t="s">
        <v>22</v>
      </c>
      <c r="O1318" t="s">
        <v>23</v>
      </c>
      <c r="P1318">
        <v>8.6999999999999993</v>
      </c>
      <c r="Q1318" s="2" t="b">
        <f>FALSE()</f>
        <v>0</v>
      </c>
      <c r="R1318">
        <v>0</v>
      </c>
    </row>
    <row r="1319" spans="1:18" x14ac:dyDescent="0.25">
      <c r="A1319">
        <v>201318</v>
      </c>
      <c r="B1319">
        <v>51792</v>
      </c>
      <c r="C1319" t="s">
        <v>34</v>
      </c>
      <c r="D1319">
        <v>789.82</v>
      </c>
      <c r="E1319">
        <v>1551</v>
      </c>
      <c r="F1319">
        <v>2</v>
      </c>
      <c r="G1319">
        <v>4</v>
      </c>
      <c r="H1319">
        <v>0</v>
      </c>
      <c r="I1319" t="s">
        <v>33</v>
      </c>
      <c r="J1319">
        <v>0</v>
      </c>
      <c r="K1319">
        <v>38</v>
      </c>
      <c r="L1319" t="s">
        <v>24</v>
      </c>
      <c r="M1319" t="s">
        <v>31</v>
      </c>
      <c r="N1319" t="s">
        <v>30</v>
      </c>
      <c r="O1319" t="s">
        <v>36</v>
      </c>
      <c r="P1319">
        <v>5.33</v>
      </c>
      <c r="Q1319" s="2" t="b">
        <f>FALSE()</f>
        <v>0</v>
      </c>
      <c r="R1319">
        <v>0</v>
      </c>
    </row>
    <row r="1320" spans="1:18" x14ac:dyDescent="0.25">
      <c r="A1320">
        <v>201319</v>
      </c>
      <c r="B1320">
        <v>53003</v>
      </c>
      <c r="C1320" t="s">
        <v>18</v>
      </c>
      <c r="D1320">
        <v>7974.27</v>
      </c>
      <c r="E1320">
        <v>3603</v>
      </c>
      <c r="F1320">
        <v>2</v>
      </c>
      <c r="G1320">
        <v>8</v>
      </c>
      <c r="H1320">
        <v>0</v>
      </c>
      <c r="I1320" t="s">
        <v>33</v>
      </c>
      <c r="J1320">
        <v>1</v>
      </c>
      <c r="K1320">
        <v>74</v>
      </c>
      <c r="L1320" t="s">
        <v>20</v>
      </c>
      <c r="M1320" t="s">
        <v>37</v>
      </c>
      <c r="N1320" t="s">
        <v>22</v>
      </c>
      <c r="O1320" t="s">
        <v>36</v>
      </c>
      <c r="P1320">
        <v>7.8</v>
      </c>
      <c r="Q1320" s="2" t="b">
        <f>TRUE()</f>
        <v>1</v>
      </c>
      <c r="R1320">
        <v>1</v>
      </c>
    </row>
    <row r="1321" spans="1:18" x14ac:dyDescent="0.25">
      <c r="A1321">
        <v>201320</v>
      </c>
      <c r="B1321">
        <v>54638</v>
      </c>
      <c r="C1321" t="s">
        <v>34</v>
      </c>
      <c r="D1321">
        <v>1080.19</v>
      </c>
      <c r="E1321">
        <v>2132</v>
      </c>
      <c r="F1321">
        <v>3</v>
      </c>
      <c r="G1321">
        <v>4</v>
      </c>
      <c r="H1321">
        <v>0</v>
      </c>
      <c r="I1321" t="s">
        <v>33</v>
      </c>
      <c r="J1321">
        <v>0</v>
      </c>
      <c r="K1321">
        <v>47</v>
      </c>
      <c r="L1321" t="s">
        <v>24</v>
      </c>
      <c r="M1321" t="s">
        <v>35</v>
      </c>
      <c r="N1321" t="s">
        <v>22</v>
      </c>
      <c r="O1321" t="s">
        <v>27</v>
      </c>
      <c r="P1321">
        <v>5.29</v>
      </c>
      <c r="Q1321" s="2" t="b">
        <f>FALSE()</f>
        <v>0</v>
      </c>
      <c r="R1321">
        <v>1</v>
      </c>
    </row>
    <row r="1322" spans="1:18" x14ac:dyDescent="0.25">
      <c r="A1322">
        <v>201321</v>
      </c>
      <c r="B1322">
        <v>55839</v>
      </c>
      <c r="C1322" t="s">
        <v>34</v>
      </c>
      <c r="D1322">
        <v>1303.27</v>
      </c>
      <c r="E1322">
        <v>284</v>
      </c>
      <c r="F1322">
        <v>3</v>
      </c>
      <c r="G1322">
        <v>7</v>
      </c>
      <c r="H1322">
        <v>0</v>
      </c>
      <c r="I1322" t="s">
        <v>33</v>
      </c>
      <c r="J1322">
        <v>0</v>
      </c>
      <c r="K1322">
        <v>68</v>
      </c>
      <c r="L1322" t="s">
        <v>20</v>
      </c>
      <c r="M1322" t="s">
        <v>31</v>
      </c>
      <c r="N1322" t="s">
        <v>22</v>
      </c>
      <c r="O1322" t="s">
        <v>36</v>
      </c>
      <c r="P1322">
        <v>0.93</v>
      </c>
      <c r="Q1322" s="2" t="b">
        <f>FALSE()</f>
        <v>0</v>
      </c>
      <c r="R1322">
        <v>1</v>
      </c>
    </row>
    <row r="1323" spans="1:18" x14ac:dyDescent="0.25">
      <c r="A1323">
        <v>201322</v>
      </c>
      <c r="B1323">
        <v>51295</v>
      </c>
      <c r="C1323" t="s">
        <v>34</v>
      </c>
      <c r="D1323">
        <v>7733.73</v>
      </c>
      <c r="E1323">
        <v>1899</v>
      </c>
      <c r="F1323">
        <v>0</v>
      </c>
      <c r="G1323">
        <v>4</v>
      </c>
      <c r="H1323">
        <v>0</v>
      </c>
      <c r="I1323" t="s">
        <v>33</v>
      </c>
      <c r="J1323">
        <v>0</v>
      </c>
      <c r="K1323">
        <v>60</v>
      </c>
      <c r="L1323" t="s">
        <v>20</v>
      </c>
      <c r="M1323" t="s">
        <v>31</v>
      </c>
      <c r="N1323" t="s">
        <v>22</v>
      </c>
      <c r="O1323" t="s">
        <v>27</v>
      </c>
      <c r="P1323">
        <v>1.27</v>
      </c>
      <c r="Q1323" s="2" t="b">
        <f>TRUE()</f>
        <v>1</v>
      </c>
      <c r="R1323">
        <v>1</v>
      </c>
    </row>
    <row r="1324" spans="1:18" x14ac:dyDescent="0.25">
      <c r="A1324">
        <v>201323</v>
      </c>
      <c r="B1324">
        <v>54065</v>
      </c>
      <c r="C1324" t="s">
        <v>34</v>
      </c>
      <c r="D1324">
        <v>2186.83</v>
      </c>
      <c r="E1324">
        <v>1829</v>
      </c>
      <c r="F1324">
        <v>2</v>
      </c>
      <c r="G1324">
        <v>4</v>
      </c>
      <c r="H1324">
        <v>1</v>
      </c>
      <c r="I1324" t="s">
        <v>19</v>
      </c>
      <c r="J1324">
        <v>0</v>
      </c>
      <c r="K1324">
        <v>62</v>
      </c>
      <c r="L1324" t="s">
        <v>20</v>
      </c>
      <c r="M1324" t="s">
        <v>31</v>
      </c>
      <c r="N1324" t="s">
        <v>22</v>
      </c>
      <c r="O1324" t="s">
        <v>36</v>
      </c>
      <c r="P1324">
        <v>2.5</v>
      </c>
      <c r="Q1324" s="2" t="b">
        <f>FALSE()</f>
        <v>0</v>
      </c>
      <c r="R1324">
        <v>0</v>
      </c>
    </row>
    <row r="1325" spans="1:18" x14ac:dyDescent="0.25">
      <c r="A1325">
        <v>201324</v>
      </c>
      <c r="B1325">
        <v>54463</v>
      </c>
      <c r="C1325" t="s">
        <v>34</v>
      </c>
      <c r="D1325">
        <v>2702.73</v>
      </c>
      <c r="E1325">
        <v>2443</v>
      </c>
      <c r="F1325">
        <v>2</v>
      </c>
      <c r="G1325">
        <v>1</v>
      </c>
      <c r="H1325">
        <v>1</v>
      </c>
      <c r="I1325" t="s">
        <v>19</v>
      </c>
      <c r="J1325">
        <v>1</v>
      </c>
      <c r="K1325">
        <v>73</v>
      </c>
      <c r="L1325" t="s">
        <v>20</v>
      </c>
      <c r="M1325" t="s">
        <v>37</v>
      </c>
      <c r="N1325" t="s">
        <v>22</v>
      </c>
      <c r="O1325" t="s">
        <v>27</v>
      </c>
      <c r="P1325">
        <v>1.66</v>
      </c>
      <c r="Q1325" s="2" t="b">
        <f>FALSE()</f>
        <v>0</v>
      </c>
      <c r="R1325">
        <v>0</v>
      </c>
    </row>
    <row r="1326" spans="1:18" x14ac:dyDescent="0.25">
      <c r="A1326">
        <v>201325</v>
      </c>
      <c r="B1326">
        <v>50759</v>
      </c>
      <c r="C1326" t="s">
        <v>18</v>
      </c>
      <c r="D1326">
        <v>1361.21</v>
      </c>
      <c r="E1326">
        <v>3265</v>
      </c>
      <c r="F1326">
        <v>0</v>
      </c>
      <c r="G1326">
        <v>2</v>
      </c>
      <c r="H1326">
        <v>0</v>
      </c>
      <c r="I1326" t="s">
        <v>32</v>
      </c>
      <c r="J1326">
        <v>0</v>
      </c>
      <c r="K1326">
        <v>48</v>
      </c>
      <c r="L1326" t="s">
        <v>24</v>
      </c>
      <c r="M1326" t="s">
        <v>29</v>
      </c>
      <c r="N1326" t="s">
        <v>30</v>
      </c>
      <c r="O1326" t="s">
        <v>36</v>
      </c>
      <c r="P1326">
        <v>4.45</v>
      </c>
      <c r="Q1326" s="2" t="b">
        <f>FALSE()</f>
        <v>0</v>
      </c>
      <c r="R1326">
        <v>0</v>
      </c>
    </row>
    <row r="1327" spans="1:18" x14ac:dyDescent="0.25">
      <c r="A1327">
        <v>201326</v>
      </c>
      <c r="B1327">
        <v>51309</v>
      </c>
      <c r="C1327" t="s">
        <v>18</v>
      </c>
      <c r="D1327">
        <v>7511.28</v>
      </c>
      <c r="E1327">
        <v>3507</v>
      </c>
      <c r="F1327">
        <v>1</v>
      </c>
      <c r="G1327">
        <v>6</v>
      </c>
      <c r="H1327">
        <v>0</v>
      </c>
      <c r="I1327" t="s">
        <v>19</v>
      </c>
      <c r="J1327">
        <v>0</v>
      </c>
      <c r="K1327">
        <v>71</v>
      </c>
      <c r="L1327" t="s">
        <v>20</v>
      </c>
      <c r="M1327" t="s">
        <v>31</v>
      </c>
      <c r="N1327" t="s">
        <v>22</v>
      </c>
      <c r="O1327" t="s">
        <v>36</v>
      </c>
      <c r="P1327">
        <v>4.5199999999999996</v>
      </c>
      <c r="Q1327" s="2" t="b">
        <f>TRUE()</f>
        <v>1</v>
      </c>
      <c r="R1327">
        <v>1</v>
      </c>
    </row>
    <row r="1328" spans="1:18" x14ac:dyDescent="0.25">
      <c r="A1328">
        <v>201327</v>
      </c>
      <c r="B1328">
        <v>51144</v>
      </c>
      <c r="C1328" t="s">
        <v>34</v>
      </c>
      <c r="D1328">
        <v>1593.13</v>
      </c>
      <c r="E1328">
        <v>815</v>
      </c>
      <c r="F1328">
        <v>0</v>
      </c>
      <c r="G1328">
        <v>7</v>
      </c>
      <c r="H1328">
        <v>0</v>
      </c>
      <c r="I1328" t="s">
        <v>33</v>
      </c>
      <c r="J1328">
        <v>0</v>
      </c>
      <c r="K1328">
        <v>83</v>
      </c>
      <c r="L1328" t="s">
        <v>24</v>
      </c>
      <c r="M1328" t="s">
        <v>37</v>
      </c>
      <c r="N1328" t="s">
        <v>26</v>
      </c>
      <c r="O1328" t="s">
        <v>27</v>
      </c>
      <c r="P1328">
        <v>1.05</v>
      </c>
      <c r="Q1328" s="2" t="b">
        <f>FALSE()</f>
        <v>0</v>
      </c>
      <c r="R1328">
        <v>1</v>
      </c>
    </row>
    <row r="1329" spans="1:18" x14ac:dyDescent="0.25">
      <c r="A1329">
        <v>201328</v>
      </c>
      <c r="B1329">
        <v>50077</v>
      </c>
      <c r="C1329" t="s">
        <v>34</v>
      </c>
      <c r="D1329">
        <v>1094.26</v>
      </c>
      <c r="E1329">
        <v>2471</v>
      </c>
      <c r="F1329">
        <v>0</v>
      </c>
      <c r="G1329">
        <v>4</v>
      </c>
      <c r="H1329">
        <v>0</v>
      </c>
      <c r="I1329" t="s">
        <v>32</v>
      </c>
      <c r="J1329">
        <v>0</v>
      </c>
      <c r="K1329">
        <v>83</v>
      </c>
      <c r="L1329" t="s">
        <v>24</v>
      </c>
      <c r="M1329" t="s">
        <v>31</v>
      </c>
      <c r="N1329" t="s">
        <v>22</v>
      </c>
      <c r="O1329" t="s">
        <v>36</v>
      </c>
      <c r="P1329">
        <v>0.56000000000000005</v>
      </c>
      <c r="Q1329" s="2" t="b">
        <f>FALSE()</f>
        <v>0</v>
      </c>
      <c r="R1329">
        <v>0</v>
      </c>
    </row>
    <row r="1330" spans="1:18" x14ac:dyDescent="0.25">
      <c r="A1330">
        <v>201329</v>
      </c>
      <c r="B1330">
        <v>54197</v>
      </c>
      <c r="C1330" t="s">
        <v>34</v>
      </c>
      <c r="D1330">
        <v>2550.63</v>
      </c>
      <c r="E1330">
        <v>3002</v>
      </c>
      <c r="F1330">
        <v>3</v>
      </c>
      <c r="G1330">
        <v>4</v>
      </c>
      <c r="H1330">
        <v>0</v>
      </c>
      <c r="I1330" t="s">
        <v>32</v>
      </c>
      <c r="J1330">
        <v>0</v>
      </c>
      <c r="K1330">
        <v>41</v>
      </c>
      <c r="L1330" t="s">
        <v>20</v>
      </c>
      <c r="M1330" t="s">
        <v>25</v>
      </c>
      <c r="N1330" t="s">
        <v>30</v>
      </c>
      <c r="O1330" t="s">
        <v>36</v>
      </c>
      <c r="P1330">
        <v>5.5</v>
      </c>
      <c r="Q1330" s="2" t="b">
        <f>FALSE()</f>
        <v>0</v>
      </c>
      <c r="R1330">
        <v>1</v>
      </c>
    </row>
    <row r="1331" spans="1:18" x14ac:dyDescent="0.25">
      <c r="A1331">
        <v>201330</v>
      </c>
      <c r="B1331">
        <v>53204</v>
      </c>
      <c r="C1331" t="s">
        <v>34</v>
      </c>
      <c r="D1331">
        <v>1671.18</v>
      </c>
      <c r="E1331">
        <v>2139</v>
      </c>
      <c r="F1331">
        <v>0</v>
      </c>
      <c r="G1331">
        <v>2</v>
      </c>
      <c r="H1331">
        <v>1</v>
      </c>
      <c r="I1331" t="s">
        <v>33</v>
      </c>
      <c r="J1331">
        <v>0</v>
      </c>
      <c r="K1331">
        <v>73</v>
      </c>
      <c r="L1331" t="s">
        <v>20</v>
      </c>
      <c r="M1331" t="s">
        <v>35</v>
      </c>
      <c r="N1331" t="s">
        <v>22</v>
      </c>
      <c r="O1331" t="s">
        <v>27</v>
      </c>
      <c r="P1331">
        <v>1.52</v>
      </c>
      <c r="Q1331" s="2" t="b">
        <f>FALSE()</f>
        <v>0</v>
      </c>
      <c r="R1331">
        <v>0</v>
      </c>
    </row>
    <row r="1332" spans="1:18" x14ac:dyDescent="0.25">
      <c r="A1332">
        <v>201331</v>
      </c>
      <c r="B1332">
        <v>55430</v>
      </c>
      <c r="C1332" t="s">
        <v>18</v>
      </c>
      <c r="D1332">
        <v>2810.67</v>
      </c>
      <c r="E1332">
        <v>2808</v>
      </c>
      <c r="F1332">
        <v>0</v>
      </c>
      <c r="G1332">
        <v>2</v>
      </c>
      <c r="H1332">
        <v>0</v>
      </c>
      <c r="I1332" t="s">
        <v>33</v>
      </c>
      <c r="J1332">
        <v>1</v>
      </c>
      <c r="K1332">
        <v>23</v>
      </c>
      <c r="L1332" t="s">
        <v>24</v>
      </c>
      <c r="M1332" t="s">
        <v>35</v>
      </c>
      <c r="N1332" t="s">
        <v>30</v>
      </c>
      <c r="O1332" t="s">
        <v>27</v>
      </c>
      <c r="P1332">
        <v>2.77</v>
      </c>
      <c r="Q1332" s="2" t="b">
        <f>FALSE()</f>
        <v>0</v>
      </c>
      <c r="R1332">
        <v>0</v>
      </c>
    </row>
    <row r="1333" spans="1:18" x14ac:dyDescent="0.25">
      <c r="A1333">
        <v>201332</v>
      </c>
      <c r="B1333">
        <v>50194</v>
      </c>
      <c r="C1333" t="s">
        <v>34</v>
      </c>
      <c r="D1333">
        <v>2221.6999999999998</v>
      </c>
      <c r="E1333">
        <v>129</v>
      </c>
      <c r="F1333">
        <v>0</v>
      </c>
      <c r="G1333">
        <v>6</v>
      </c>
      <c r="H1333">
        <v>0</v>
      </c>
      <c r="I1333" t="s">
        <v>32</v>
      </c>
      <c r="J1333">
        <v>0</v>
      </c>
      <c r="K1333">
        <v>48</v>
      </c>
      <c r="L1333" t="s">
        <v>24</v>
      </c>
      <c r="M1333" t="s">
        <v>35</v>
      </c>
      <c r="N1333" t="s">
        <v>22</v>
      </c>
      <c r="O1333" t="s">
        <v>27</v>
      </c>
      <c r="P1333">
        <v>2.0499999999999998</v>
      </c>
      <c r="Q1333" s="2" t="b">
        <f>FALSE()</f>
        <v>0</v>
      </c>
      <c r="R1333">
        <v>0</v>
      </c>
    </row>
    <row r="1334" spans="1:18" x14ac:dyDescent="0.25">
      <c r="A1334">
        <v>201333</v>
      </c>
      <c r="B1334">
        <v>55663</v>
      </c>
      <c r="C1334" t="s">
        <v>18</v>
      </c>
      <c r="D1334">
        <v>1673.35</v>
      </c>
      <c r="E1334">
        <v>2670</v>
      </c>
      <c r="F1334">
        <v>1</v>
      </c>
      <c r="G1334">
        <v>2</v>
      </c>
      <c r="H1334">
        <v>0</v>
      </c>
      <c r="I1334" t="s">
        <v>19</v>
      </c>
      <c r="J1334">
        <v>0</v>
      </c>
      <c r="K1334">
        <v>66</v>
      </c>
      <c r="L1334" t="s">
        <v>24</v>
      </c>
      <c r="M1334" t="s">
        <v>35</v>
      </c>
      <c r="N1334" t="s">
        <v>22</v>
      </c>
      <c r="O1334" t="s">
        <v>36</v>
      </c>
      <c r="P1334">
        <v>0.41</v>
      </c>
      <c r="Q1334" s="2" t="b">
        <f>FALSE()</f>
        <v>0</v>
      </c>
      <c r="R1334">
        <v>0</v>
      </c>
    </row>
    <row r="1335" spans="1:18" x14ac:dyDescent="0.25">
      <c r="A1335">
        <v>201334</v>
      </c>
      <c r="B1335">
        <v>53861</v>
      </c>
      <c r="C1335" t="s">
        <v>34</v>
      </c>
      <c r="D1335">
        <v>4694.3599999999997</v>
      </c>
      <c r="E1335">
        <v>661</v>
      </c>
      <c r="F1335">
        <v>0</v>
      </c>
      <c r="G1335">
        <v>6</v>
      </c>
      <c r="H1335">
        <v>1</v>
      </c>
      <c r="I1335" t="s">
        <v>19</v>
      </c>
      <c r="J1335">
        <v>1</v>
      </c>
      <c r="K1335">
        <v>56</v>
      </c>
      <c r="L1335" t="s">
        <v>24</v>
      </c>
      <c r="M1335" t="s">
        <v>35</v>
      </c>
      <c r="N1335" t="s">
        <v>30</v>
      </c>
      <c r="O1335" t="s">
        <v>27</v>
      </c>
      <c r="P1335">
        <v>0.4</v>
      </c>
      <c r="Q1335" s="2" t="b">
        <f>FALSE()</f>
        <v>0</v>
      </c>
      <c r="R1335">
        <v>1</v>
      </c>
    </row>
    <row r="1336" spans="1:18" x14ac:dyDescent="0.25">
      <c r="A1336">
        <v>201335</v>
      </c>
      <c r="B1336">
        <v>52780</v>
      </c>
      <c r="C1336" t="s">
        <v>18</v>
      </c>
      <c r="D1336">
        <v>4314.13</v>
      </c>
      <c r="E1336">
        <v>472</v>
      </c>
      <c r="F1336">
        <v>0</v>
      </c>
      <c r="G1336">
        <v>4</v>
      </c>
      <c r="H1336">
        <v>0</v>
      </c>
      <c r="I1336" t="s">
        <v>33</v>
      </c>
      <c r="J1336">
        <v>0</v>
      </c>
      <c r="K1336">
        <v>56</v>
      </c>
      <c r="L1336" t="s">
        <v>20</v>
      </c>
      <c r="M1336" t="s">
        <v>29</v>
      </c>
      <c r="N1336" t="s">
        <v>30</v>
      </c>
      <c r="O1336" t="s">
        <v>27</v>
      </c>
      <c r="P1336">
        <v>3.86</v>
      </c>
      <c r="Q1336" s="2" t="b">
        <f>FALSE()</f>
        <v>0</v>
      </c>
      <c r="R1336">
        <v>1</v>
      </c>
    </row>
    <row r="1337" spans="1:18" x14ac:dyDescent="0.25">
      <c r="A1337">
        <v>201336</v>
      </c>
      <c r="B1337">
        <v>53432</v>
      </c>
      <c r="C1337" t="s">
        <v>34</v>
      </c>
      <c r="D1337">
        <v>1652.44</v>
      </c>
      <c r="E1337">
        <v>1015</v>
      </c>
      <c r="F1337">
        <v>0</v>
      </c>
      <c r="G1337">
        <v>2</v>
      </c>
      <c r="H1337">
        <v>0</v>
      </c>
      <c r="I1337" t="s">
        <v>32</v>
      </c>
      <c r="J1337">
        <v>1</v>
      </c>
      <c r="K1337">
        <v>37</v>
      </c>
      <c r="L1337" t="s">
        <v>24</v>
      </c>
      <c r="M1337" t="s">
        <v>31</v>
      </c>
      <c r="N1337" t="s">
        <v>30</v>
      </c>
      <c r="O1337" t="s">
        <v>27</v>
      </c>
      <c r="P1337">
        <v>3</v>
      </c>
      <c r="Q1337" s="2" t="b">
        <f>FALSE()</f>
        <v>0</v>
      </c>
      <c r="R1337">
        <v>0</v>
      </c>
    </row>
    <row r="1338" spans="1:18" x14ac:dyDescent="0.25">
      <c r="A1338">
        <v>201337</v>
      </c>
      <c r="B1338">
        <v>55426</v>
      </c>
      <c r="C1338" t="s">
        <v>34</v>
      </c>
      <c r="D1338">
        <v>2954.21</v>
      </c>
      <c r="E1338">
        <v>3117</v>
      </c>
      <c r="F1338">
        <v>2</v>
      </c>
      <c r="G1338">
        <v>5</v>
      </c>
      <c r="H1338">
        <v>1</v>
      </c>
      <c r="I1338" t="s">
        <v>19</v>
      </c>
      <c r="J1338">
        <v>0</v>
      </c>
      <c r="K1338">
        <v>77</v>
      </c>
      <c r="L1338" t="s">
        <v>20</v>
      </c>
      <c r="M1338" t="s">
        <v>37</v>
      </c>
      <c r="N1338" t="s">
        <v>22</v>
      </c>
      <c r="O1338" t="s">
        <v>27</v>
      </c>
      <c r="P1338">
        <v>1.04</v>
      </c>
      <c r="Q1338" s="2" t="b">
        <f>FALSE()</f>
        <v>0</v>
      </c>
      <c r="R1338">
        <v>0</v>
      </c>
    </row>
    <row r="1339" spans="1:18" x14ac:dyDescent="0.25">
      <c r="A1339">
        <v>201338</v>
      </c>
      <c r="B1339">
        <v>55993</v>
      </c>
      <c r="C1339" t="s">
        <v>18</v>
      </c>
      <c r="D1339">
        <v>1117.54</v>
      </c>
      <c r="E1339">
        <v>3198</v>
      </c>
      <c r="F1339">
        <v>0</v>
      </c>
      <c r="G1339">
        <v>3</v>
      </c>
      <c r="H1339">
        <v>1</v>
      </c>
      <c r="I1339" t="s">
        <v>33</v>
      </c>
      <c r="J1339">
        <v>0</v>
      </c>
      <c r="K1339">
        <v>79</v>
      </c>
      <c r="L1339" t="s">
        <v>20</v>
      </c>
      <c r="M1339" t="s">
        <v>21</v>
      </c>
      <c r="N1339" t="s">
        <v>30</v>
      </c>
      <c r="O1339" t="s">
        <v>27</v>
      </c>
      <c r="P1339">
        <v>2.93</v>
      </c>
      <c r="Q1339" s="2" t="b">
        <f>FALSE()</f>
        <v>0</v>
      </c>
      <c r="R1339">
        <v>0</v>
      </c>
    </row>
    <row r="1340" spans="1:18" x14ac:dyDescent="0.25">
      <c r="A1340">
        <v>201339</v>
      </c>
      <c r="B1340">
        <v>55505</v>
      </c>
      <c r="C1340" t="s">
        <v>18</v>
      </c>
      <c r="D1340">
        <v>3000.62</v>
      </c>
      <c r="E1340">
        <v>2056</v>
      </c>
      <c r="F1340">
        <v>1</v>
      </c>
      <c r="G1340">
        <v>3</v>
      </c>
      <c r="H1340">
        <v>1</v>
      </c>
      <c r="I1340" t="s">
        <v>32</v>
      </c>
      <c r="J1340">
        <v>1</v>
      </c>
      <c r="K1340">
        <v>19</v>
      </c>
      <c r="L1340" t="s">
        <v>20</v>
      </c>
      <c r="M1340" t="s">
        <v>37</v>
      </c>
      <c r="N1340" t="s">
        <v>30</v>
      </c>
      <c r="O1340" t="s">
        <v>23</v>
      </c>
      <c r="P1340">
        <v>1.43</v>
      </c>
      <c r="Q1340" s="2" t="b">
        <f>FALSE()</f>
        <v>0</v>
      </c>
      <c r="R1340">
        <v>0</v>
      </c>
    </row>
    <row r="1341" spans="1:18" x14ac:dyDescent="0.25">
      <c r="A1341">
        <v>201340</v>
      </c>
      <c r="B1341">
        <v>51129</v>
      </c>
      <c r="C1341" t="s">
        <v>34</v>
      </c>
      <c r="D1341">
        <v>1672.37</v>
      </c>
      <c r="E1341">
        <v>3565</v>
      </c>
      <c r="F1341">
        <v>2</v>
      </c>
      <c r="G1341">
        <v>4</v>
      </c>
      <c r="H1341">
        <v>1</v>
      </c>
      <c r="I1341" t="s">
        <v>32</v>
      </c>
      <c r="J1341">
        <v>1</v>
      </c>
      <c r="K1341">
        <v>73</v>
      </c>
      <c r="L1341" t="s">
        <v>20</v>
      </c>
      <c r="M1341" t="s">
        <v>37</v>
      </c>
      <c r="N1341" t="s">
        <v>26</v>
      </c>
      <c r="O1341" t="s">
        <v>36</v>
      </c>
      <c r="P1341">
        <v>0.56999999999999995</v>
      </c>
      <c r="Q1341" s="2" t="b">
        <f>FALSE()</f>
        <v>0</v>
      </c>
      <c r="R1341">
        <v>0</v>
      </c>
    </row>
    <row r="1342" spans="1:18" x14ac:dyDescent="0.25">
      <c r="A1342">
        <v>201341</v>
      </c>
      <c r="B1342">
        <v>51962</v>
      </c>
      <c r="C1342" t="s">
        <v>18</v>
      </c>
      <c r="D1342">
        <v>2323.46</v>
      </c>
      <c r="E1342">
        <v>3313</v>
      </c>
      <c r="F1342">
        <v>0</v>
      </c>
      <c r="G1342">
        <v>4</v>
      </c>
      <c r="H1342">
        <v>0</v>
      </c>
      <c r="I1342" t="s">
        <v>33</v>
      </c>
      <c r="J1342">
        <v>1</v>
      </c>
      <c r="K1342">
        <v>79</v>
      </c>
      <c r="L1342" t="s">
        <v>24</v>
      </c>
      <c r="M1342" t="s">
        <v>35</v>
      </c>
      <c r="N1342" t="s">
        <v>26</v>
      </c>
      <c r="O1342" t="s">
        <v>36</v>
      </c>
      <c r="P1342">
        <v>0.7</v>
      </c>
      <c r="Q1342" s="2" t="b">
        <f>FALSE()</f>
        <v>0</v>
      </c>
      <c r="R1342">
        <v>0</v>
      </c>
    </row>
    <row r="1343" spans="1:18" x14ac:dyDescent="0.25">
      <c r="A1343">
        <v>201342</v>
      </c>
      <c r="B1343">
        <v>55681</v>
      </c>
      <c r="C1343" t="s">
        <v>18</v>
      </c>
      <c r="D1343">
        <v>2230.9</v>
      </c>
      <c r="E1343">
        <v>2558</v>
      </c>
      <c r="F1343">
        <v>1</v>
      </c>
      <c r="G1343">
        <v>1</v>
      </c>
      <c r="H1343">
        <v>0</v>
      </c>
      <c r="I1343" t="s">
        <v>32</v>
      </c>
      <c r="J1343">
        <v>0</v>
      </c>
      <c r="K1343">
        <v>59</v>
      </c>
      <c r="L1343" t="s">
        <v>24</v>
      </c>
      <c r="M1343" t="s">
        <v>31</v>
      </c>
      <c r="N1343" t="s">
        <v>22</v>
      </c>
      <c r="O1343" t="s">
        <v>27</v>
      </c>
      <c r="P1343">
        <v>0.01</v>
      </c>
      <c r="Q1343" s="2" t="b">
        <f>FALSE()</f>
        <v>0</v>
      </c>
      <c r="R1343">
        <v>0</v>
      </c>
    </row>
    <row r="1344" spans="1:18" x14ac:dyDescent="0.25">
      <c r="A1344">
        <v>201343</v>
      </c>
      <c r="B1344">
        <v>52532</v>
      </c>
      <c r="C1344" t="s">
        <v>18</v>
      </c>
      <c r="D1344">
        <v>723.6</v>
      </c>
      <c r="E1344">
        <v>415</v>
      </c>
      <c r="F1344">
        <v>1</v>
      </c>
      <c r="G1344">
        <v>3</v>
      </c>
      <c r="H1344">
        <v>0</v>
      </c>
      <c r="I1344" t="s">
        <v>33</v>
      </c>
      <c r="J1344">
        <v>1</v>
      </c>
      <c r="K1344">
        <v>53</v>
      </c>
      <c r="L1344" t="s">
        <v>20</v>
      </c>
      <c r="M1344" t="s">
        <v>21</v>
      </c>
      <c r="N1344" t="s">
        <v>22</v>
      </c>
      <c r="O1344" t="s">
        <v>27</v>
      </c>
      <c r="P1344">
        <v>7.09</v>
      </c>
      <c r="Q1344" s="2" t="b">
        <f>FALSE()</f>
        <v>0</v>
      </c>
      <c r="R1344">
        <v>0</v>
      </c>
    </row>
    <row r="1345" spans="1:18" x14ac:dyDescent="0.25">
      <c r="A1345">
        <v>201344</v>
      </c>
      <c r="B1345">
        <v>50527</v>
      </c>
      <c r="C1345" t="s">
        <v>18</v>
      </c>
      <c r="D1345">
        <v>5161.55</v>
      </c>
      <c r="E1345">
        <v>3050</v>
      </c>
      <c r="F1345">
        <v>0</v>
      </c>
      <c r="G1345">
        <v>3</v>
      </c>
      <c r="H1345">
        <v>1</v>
      </c>
      <c r="I1345" t="s">
        <v>19</v>
      </c>
      <c r="J1345">
        <v>0</v>
      </c>
      <c r="K1345">
        <v>81</v>
      </c>
      <c r="L1345" t="s">
        <v>20</v>
      </c>
      <c r="M1345" t="s">
        <v>37</v>
      </c>
      <c r="N1345" t="s">
        <v>30</v>
      </c>
      <c r="O1345" t="s">
        <v>27</v>
      </c>
      <c r="P1345">
        <v>2.54</v>
      </c>
      <c r="Q1345" s="2" t="b">
        <f>FALSE()</f>
        <v>0</v>
      </c>
      <c r="R1345">
        <v>1</v>
      </c>
    </row>
    <row r="1346" spans="1:18" x14ac:dyDescent="0.25">
      <c r="A1346">
        <v>201345</v>
      </c>
      <c r="B1346">
        <v>53237</v>
      </c>
      <c r="C1346" t="s">
        <v>18</v>
      </c>
      <c r="D1346">
        <v>2844.19</v>
      </c>
      <c r="E1346">
        <v>2155</v>
      </c>
      <c r="F1346">
        <v>1</v>
      </c>
      <c r="G1346">
        <v>5</v>
      </c>
      <c r="H1346">
        <v>0</v>
      </c>
      <c r="I1346" t="s">
        <v>19</v>
      </c>
      <c r="J1346">
        <v>0</v>
      </c>
      <c r="K1346">
        <v>56</v>
      </c>
      <c r="L1346" t="s">
        <v>20</v>
      </c>
      <c r="M1346" t="s">
        <v>37</v>
      </c>
      <c r="N1346" t="s">
        <v>22</v>
      </c>
      <c r="O1346" t="s">
        <v>27</v>
      </c>
      <c r="P1346">
        <v>3.14</v>
      </c>
      <c r="Q1346" s="2" t="b">
        <f>FALSE()</f>
        <v>0</v>
      </c>
      <c r="R1346">
        <v>0</v>
      </c>
    </row>
    <row r="1347" spans="1:18" x14ac:dyDescent="0.25">
      <c r="A1347">
        <v>201346</v>
      </c>
      <c r="B1347">
        <v>55199</v>
      </c>
      <c r="C1347" t="s">
        <v>18</v>
      </c>
      <c r="D1347">
        <v>1757.68</v>
      </c>
      <c r="E1347">
        <v>3637</v>
      </c>
      <c r="F1347">
        <v>2</v>
      </c>
      <c r="G1347">
        <v>5</v>
      </c>
      <c r="H1347">
        <v>0</v>
      </c>
      <c r="I1347" t="s">
        <v>33</v>
      </c>
      <c r="J1347">
        <v>0</v>
      </c>
      <c r="K1347">
        <v>20</v>
      </c>
      <c r="L1347" t="s">
        <v>24</v>
      </c>
      <c r="M1347" t="s">
        <v>21</v>
      </c>
      <c r="N1347" t="s">
        <v>22</v>
      </c>
      <c r="O1347" t="s">
        <v>23</v>
      </c>
      <c r="P1347">
        <v>3.04</v>
      </c>
      <c r="Q1347" s="2" t="b">
        <f>FALSE()</f>
        <v>0</v>
      </c>
      <c r="R1347">
        <v>0</v>
      </c>
    </row>
    <row r="1348" spans="1:18" x14ac:dyDescent="0.25">
      <c r="A1348">
        <v>201347</v>
      </c>
      <c r="B1348">
        <v>53818</v>
      </c>
      <c r="C1348" t="s">
        <v>18</v>
      </c>
      <c r="D1348">
        <v>1283.8499999999999</v>
      </c>
      <c r="E1348">
        <v>2026</v>
      </c>
      <c r="F1348">
        <v>0</v>
      </c>
      <c r="G1348">
        <v>6</v>
      </c>
      <c r="H1348">
        <v>0</v>
      </c>
      <c r="I1348" t="s">
        <v>33</v>
      </c>
      <c r="J1348">
        <v>0</v>
      </c>
      <c r="K1348">
        <v>55</v>
      </c>
      <c r="L1348" t="s">
        <v>20</v>
      </c>
      <c r="M1348" t="s">
        <v>29</v>
      </c>
      <c r="N1348" t="s">
        <v>22</v>
      </c>
      <c r="O1348" t="s">
        <v>36</v>
      </c>
      <c r="P1348">
        <v>1.1499999999999999</v>
      </c>
      <c r="Q1348" s="2" t="b">
        <f>FALSE()</f>
        <v>0</v>
      </c>
      <c r="R1348">
        <v>0</v>
      </c>
    </row>
    <row r="1349" spans="1:18" x14ac:dyDescent="0.25">
      <c r="A1349">
        <v>201348</v>
      </c>
      <c r="B1349">
        <v>55969</v>
      </c>
      <c r="C1349" t="s">
        <v>28</v>
      </c>
      <c r="D1349">
        <v>6420.32</v>
      </c>
      <c r="E1349">
        <v>236</v>
      </c>
      <c r="F1349">
        <v>1</v>
      </c>
      <c r="G1349">
        <v>2</v>
      </c>
      <c r="H1349">
        <v>0</v>
      </c>
      <c r="I1349" t="s">
        <v>19</v>
      </c>
      <c r="J1349">
        <v>0</v>
      </c>
      <c r="K1349">
        <v>60</v>
      </c>
      <c r="L1349" t="s">
        <v>38</v>
      </c>
      <c r="M1349" t="s">
        <v>31</v>
      </c>
      <c r="N1349" t="s">
        <v>22</v>
      </c>
      <c r="O1349" t="s">
        <v>27</v>
      </c>
      <c r="P1349">
        <v>0.44</v>
      </c>
      <c r="Q1349" s="2" t="b">
        <f>FALSE()</f>
        <v>0</v>
      </c>
      <c r="R1349">
        <v>1</v>
      </c>
    </row>
    <row r="1350" spans="1:18" x14ac:dyDescent="0.25">
      <c r="A1350">
        <v>201349</v>
      </c>
      <c r="B1350">
        <v>50353</v>
      </c>
      <c r="C1350" t="s">
        <v>28</v>
      </c>
      <c r="D1350">
        <v>1505.14</v>
      </c>
      <c r="E1350">
        <v>77</v>
      </c>
      <c r="F1350">
        <v>1</v>
      </c>
      <c r="G1350">
        <v>4</v>
      </c>
      <c r="H1350">
        <v>1</v>
      </c>
      <c r="I1350" t="s">
        <v>33</v>
      </c>
      <c r="J1350">
        <v>0</v>
      </c>
      <c r="K1350">
        <v>21</v>
      </c>
      <c r="L1350" t="s">
        <v>24</v>
      </c>
      <c r="M1350" t="s">
        <v>25</v>
      </c>
      <c r="N1350" t="s">
        <v>30</v>
      </c>
      <c r="O1350" t="s">
        <v>27</v>
      </c>
      <c r="P1350">
        <v>4.83</v>
      </c>
      <c r="Q1350" s="2" t="b">
        <f>FALSE()</f>
        <v>0</v>
      </c>
      <c r="R1350">
        <v>0</v>
      </c>
    </row>
    <row r="1351" spans="1:18" x14ac:dyDescent="0.25">
      <c r="A1351">
        <v>201350</v>
      </c>
      <c r="B1351">
        <v>52342</v>
      </c>
      <c r="C1351" t="s">
        <v>18</v>
      </c>
      <c r="D1351">
        <v>1301.04</v>
      </c>
      <c r="E1351">
        <v>1052</v>
      </c>
      <c r="F1351">
        <v>1</v>
      </c>
      <c r="G1351">
        <v>3</v>
      </c>
      <c r="H1351">
        <v>0</v>
      </c>
      <c r="I1351" t="s">
        <v>19</v>
      </c>
      <c r="J1351">
        <v>0</v>
      </c>
      <c r="K1351">
        <v>53</v>
      </c>
      <c r="L1351" t="s">
        <v>24</v>
      </c>
      <c r="M1351" t="s">
        <v>21</v>
      </c>
      <c r="N1351" t="s">
        <v>22</v>
      </c>
      <c r="O1351" t="s">
        <v>27</v>
      </c>
      <c r="P1351">
        <v>0.05</v>
      </c>
      <c r="Q1351" s="2" t="b">
        <f>FALSE()</f>
        <v>0</v>
      </c>
      <c r="R1351">
        <v>0</v>
      </c>
    </row>
    <row r="1352" spans="1:18" x14ac:dyDescent="0.25">
      <c r="A1352">
        <v>201351</v>
      </c>
      <c r="B1352">
        <v>53864</v>
      </c>
      <c r="C1352" t="s">
        <v>18</v>
      </c>
      <c r="D1352">
        <v>3010.65</v>
      </c>
      <c r="E1352">
        <v>2178</v>
      </c>
      <c r="F1352">
        <v>0</v>
      </c>
      <c r="G1352">
        <v>5</v>
      </c>
      <c r="H1352">
        <v>1</v>
      </c>
      <c r="I1352" t="s">
        <v>19</v>
      </c>
      <c r="J1352">
        <v>1</v>
      </c>
      <c r="K1352">
        <v>59</v>
      </c>
      <c r="L1352" t="s">
        <v>20</v>
      </c>
      <c r="M1352" t="s">
        <v>37</v>
      </c>
      <c r="N1352" t="s">
        <v>30</v>
      </c>
      <c r="O1352" t="s">
        <v>27</v>
      </c>
      <c r="P1352">
        <v>7.29</v>
      </c>
      <c r="Q1352" s="2" t="b">
        <f>FALSE()</f>
        <v>0</v>
      </c>
      <c r="R1352">
        <v>0</v>
      </c>
    </row>
    <row r="1353" spans="1:18" x14ac:dyDescent="0.25">
      <c r="A1353">
        <v>201352</v>
      </c>
      <c r="B1353">
        <v>54511</v>
      </c>
      <c r="C1353" t="s">
        <v>18</v>
      </c>
      <c r="D1353">
        <v>4809.53</v>
      </c>
      <c r="E1353">
        <v>3035</v>
      </c>
      <c r="F1353">
        <v>2</v>
      </c>
      <c r="G1353">
        <v>1</v>
      </c>
      <c r="H1353">
        <v>0</v>
      </c>
      <c r="I1353" t="s">
        <v>32</v>
      </c>
      <c r="J1353">
        <v>0</v>
      </c>
      <c r="K1353">
        <v>19</v>
      </c>
      <c r="L1353" t="s">
        <v>24</v>
      </c>
      <c r="M1353" t="s">
        <v>29</v>
      </c>
      <c r="N1353" t="s">
        <v>30</v>
      </c>
      <c r="O1353" t="s">
        <v>36</v>
      </c>
      <c r="P1353">
        <v>2.36</v>
      </c>
      <c r="Q1353" s="2" t="b">
        <f>FALSE()</f>
        <v>0</v>
      </c>
      <c r="R1353">
        <v>1</v>
      </c>
    </row>
    <row r="1354" spans="1:18" x14ac:dyDescent="0.25">
      <c r="A1354">
        <v>201353</v>
      </c>
      <c r="B1354">
        <v>54085</v>
      </c>
      <c r="C1354" t="s">
        <v>18</v>
      </c>
      <c r="D1354">
        <v>1458.89</v>
      </c>
      <c r="E1354">
        <v>3336</v>
      </c>
      <c r="F1354">
        <v>0</v>
      </c>
      <c r="G1354">
        <v>5</v>
      </c>
      <c r="H1354">
        <v>0</v>
      </c>
      <c r="I1354" t="s">
        <v>33</v>
      </c>
      <c r="J1354">
        <v>0</v>
      </c>
      <c r="K1354">
        <v>61</v>
      </c>
      <c r="L1354" t="s">
        <v>24</v>
      </c>
      <c r="M1354" t="s">
        <v>35</v>
      </c>
      <c r="N1354" t="s">
        <v>30</v>
      </c>
      <c r="O1354" t="s">
        <v>27</v>
      </c>
      <c r="P1354">
        <v>0.65</v>
      </c>
      <c r="Q1354" s="2" t="b">
        <f>FALSE()</f>
        <v>0</v>
      </c>
      <c r="R1354">
        <v>0</v>
      </c>
    </row>
    <row r="1355" spans="1:18" x14ac:dyDescent="0.25">
      <c r="A1355">
        <v>201354</v>
      </c>
      <c r="B1355">
        <v>55742</v>
      </c>
      <c r="C1355" t="s">
        <v>34</v>
      </c>
      <c r="D1355">
        <v>688.28</v>
      </c>
      <c r="E1355">
        <v>3277</v>
      </c>
      <c r="F1355">
        <v>0</v>
      </c>
      <c r="G1355">
        <v>8</v>
      </c>
      <c r="H1355">
        <v>1</v>
      </c>
      <c r="I1355" t="s">
        <v>19</v>
      </c>
      <c r="J1355">
        <v>0</v>
      </c>
      <c r="K1355">
        <v>46</v>
      </c>
      <c r="L1355" t="s">
        <v>24</v>
      </c>
      <c r="M1355" t="s">
        <v>37</v>
      </c>
      <c r="N1355" t="s">
        <v>30</v>
      </c>
      <c r="O1355" t="s">
        <v>36</v>
      </c>
      <c r="P1355">
        <v>3.06</v>
      </c>
      <c r="Q1355" s="2" t="b">
        <f>FALSE()</f>
        <v>0</v>
      </c>
      <c r="R1355">
        <v>1</v>
      </c>
    </row>
    <row r="1356" spans="1:18" x14ac:dyDescent="0.25">
      <c r="A1356">
        <v>201355</v>
      </c>
      <c r="B1356">
        <v>55641</v>
      </c>
      <c r="C1356" t="s">
        <v>18</v>
      </c>
      <c r="D1356">
        <v>296.85000000000002</v>
      </c>
      <c r="E1356">
        <v>3617</v>
      </c>
      <c r="F1356">
        <v>0</v>
      </c>
      <c r="G1356">
        <v>2</v>
      </c>
      <c r="H1356">
        <v>0</v>
      </c>
      <c r="I1356" t="s">
        <v>33</v>
      </c>
      <c r="J1356">
        <v>0</v>
      </c>
      <c r="K1356">
        <v>64</v>
      </c>
      <c r="L1356" t="s">
        <v>24</v>
      </c>
      <c r="M1356" t="s">
        <v>37</v>
      </c>
      <c r="N1356" t="s">
        <v>22</v>
      </c>
      <c r="O1356" t="s">
        <v>36</v>
      </c>
      <c r="P1356">
        <v>9.4700000000000006</v>
      </c>
      <c r="Q1356" s="2" t="b">
        <f>FALSE()</f>
        <v>0</v>
      </c>
      <c r="R1356">
        <v>0</v>
      </c>
    </row>
    <row r="1357" spans="1:18" x14ac:dyDescent="0.25">
      <c r="A1357">
        <v>201356</v>
      </c>
      <c r="B1357">
        <v>55921</v>
      </c>
      <c r="C1357" t="s">
        <v>18</v>
      </c>
      <c r="D1357">
        <v>1950.76</v>
      </c>
      <c r="E1357">
        <v>2825</v>
      </c>
      <c r="F1357">
        <v>0</v>
      </c>
      <c r="G1357">
        <v>4</v>
      </c>
      <c r="H1357">
        <v>0</v>
      </c>
      <c r="I1357" t="s">
        <v>32</v>
      </c>
      <c r="J1357">
        <v>1</v>
      </c>
      <c r="K1357">
        <v>36</v>
      </c>
      <c r="L1357" t="s">
        <v>24</v>
      </c>
      <c r="M1357" t="s">
        <v>37</v>
      </c>
      <c r="N1357" t="s">
        <v>30</v>
      </c>
      <c r="O1357" t="s">
        <v>36</v>
      </c>
      <c r="P1357">
        <v>0.36</v>
      </c>
      <c r="Q1357" s="2" t="b">
        <f>FALSE()</f>
        <v>0</v>
      </c>
      <c r="R1357">
        <v>0</v>
      </c>
    </row>
    <row r="1358" spans="1:18" x14ac:dyDescent="0.25">
      <c r="A1358">
        <v>201357</v>
      </c>
      <c r="B1358">
        <v>54934</v>
      </c>
      <c r="C1358" t="s">
        <v>28</v>
      </c>
      <c r="D1358">
        <v>7859.55</v>
      </c>
      <c r="E1358">
        <v>3322</v>
      </c>
      <c r="F1358">
        <v>1</v>
      </c>
      <c r="G1358">
        <v>3</v>
      </c>
      <c r="H1358">
        <v>0</v>
      </c>
      <c r="I1358" t="s">
        <v>33</v>
      </c>
      <c r="J1358">
        <v>1</v>
      </c>
      <c r="K1358">
        <v>78</v>
      </c>
      <c r="L1358" t="s">
        <v>24</v>
      </c>
      <c r="M1358" t="s">
        <v>21</v>
      </c>
      <c r="N1358" t="s">
        <v>26</v>
      </c>
      <c r="O1358" t="s">
        <v>36</v>
      </c>
      <c r="P1358">
        <v>4.0199999999999996</v>
      </c>
      <c r="Q1358" s="2" t="b">
        <f>TRUE()</f>
        <v>1</v>
      </c>
      <c r="R1358">
        <v>1</v>
      </c>
    </row>
    <row r="1359" spans="1:18" x14ac:dyDescent="0.25">
      <c r="A1359">
        <v>201358</v>
      </c>
      <c r="B1359">
        <v>51953</v>
      </c>
      <c r="C1359" t="s">
        <v>18</v>
      </c>
      <c r="D1359">
        <v>5502.82</v>
      </c>
      <c r="E1359">
        <v>533</v>
      </c>
      <c r="F1359">
        <v>1</v>
      </c>
      <c r="G1359">
        <v>2</v>
      </c>
      <c r="H1359">
        <v>1</v>
      </c>
      <c r="I1359" t="s">
        <v>32</v>
      </c>
      <c r="J1359">
        <v>0</v>
      </c>
      <c r="K1359">
        <v>32</v>
      </c>
      <c r="L1359" t="s">
        <v>24</v>
      </c>
      <c r="M1359" t="s">
        <v>25</v>
      </c>
      <c r="N1359" t="s">
        <v>30</v>
      </c>
      <c r="O1359" t="s">
        <v>27</v>
      </c>
      <c r="P1359">
        <v>0.16</v>
      </c>
      <c r="Q1359" s="2" t="b">
        <f>FALSE()</f>
        <v>0</v>
      </c>
      <c r="R1359">
        <v>1</v>
      </c>
    </row>
    <row r="1360" spans="1:18" x14ac:dyDescent="0.25">
      <c r="A1360">
        <v>201359</v>
      </c>
      <c r="B1360">
        <v>52160</v>
      </c>
      <c r="C1360" t="s">
        <v>34</v>
      </c>
      <c r="D1360">
        <v>4100.49</v>
      </c>
      <c r="E1360">
        <v>3077</v>
      </c>
      <c r="F1360">
        <v>2</v>
      </c>
      <c r="G1360">
        <v>5</v>
      </c>
      <c r="H1360">
        <v>0</v>
      </c>
      <c r="I1360" t="s">
        <v>33</v>
      </c>
      <c r="J1360">
        <v>0</v>
      </c>
      <c r="K1360">
        <v>30</v>
      </c>
      <c r="L1360" t="s">
        <v>24</v>
      </c>
      <c r="M1360" t="s">
        <v>29</v>
      </c>
      <c r="N1360" t="s">
        <v>22</v>
      </c>
      <c r="O1360" t="s">
        <v>27</v>
      </c>
      <c r="P1360">
        <v>8.19</v>
      </c>
      <c r="Q1360" s="2" t="b">
        <f>FALSE()</f>
        <v>0</v>
      </c>
      <c r="R1360">
        <v>1</v>
      </c>
    </row>
    <row r="1361" spans="1:18" x14ac:dyDescent="0.25">
      <c r="A1361">
        <v>201360</v>
      </c>
      <c r="B1361">
        <v>52265</v>
      </c>
      <c r="C1361" t="s">
        <v>28</v>
      </c>
      <c r="D1361">
        <v>2018.97</v>
      </c>
      <c r="E1361">
        <v>3313</v>
      </c>
      <c r="F1361">
        <v>0</v>
      </c>
      <c r="G1361">
        <v>1</v>
      </c>
      <c r="H1361">
        <v>0</v>
      </c>
      <c r="I1361" t="s">
        <v>33</v>
      </c>
      <c r="J1361">
        <v>0</v>
      </c>
      <c r="K1361">
        <v>70</v>
      </c>
      <c r="L1361" t="s">
        <v>20</v>
      </c>
      <c r="M1361" t="s">
        <v>21</v>
      </c>
      <c r="N1361" t="s">
        <v>26</v>
      </c>
      <c r="O1361" t="s">
        <v>27</v>
      </c>
      <c r="P1361">
        <v>9.1199999999999992</v>
      </c>
      <c r="Q1361" s="2" t="b">
        <f>FALSE()</f>
        <v>0</v>
      </c>
      <c r="R1361">
        <v>0</v>
      </c>
    </row>
    <row r="1362" spans="1:18" x14ac:dyDescent="0.25">
      <c r="A1362">
        <v>201361</v>
      </c>
      <c r="B1362">
        <v>55716</v>
      </c>
      <c r="C1362" t="s">
        <v>18</v>
      </c>
      <c r="D1362">
        <v>1880.12</v>
      </c>
      <c r="E1362">
        <v>1736</v>
      </c>
      <c r="F1362">
        <v>0</v>
      </c>
      <c r="G1362">
        <v>1</v>
      </c>
      <c r="H1362">
        <v>0</v>
      </c>
      <c r="I1362" t="s">
        <v>33</v>
      </c>
      <c r="J1362">
        <v>0</v>
      </c>
      <c r="K1362">
        <v>63</v>
      </c>
      <c r="L1362" t="s">
        <v>24</v>
      </c>
      <c r="M1362" t="s">
        <v>35</v>
      </c>
      <c r="N1362" t="s">
        <v>22</v>
      </c>
      <c r="O1362" t="s">
        <v>23</v>
      </c>
      <c r="P1362">
        <v>1.1100000000000001</v>
      </c>
      <c r="Q1362" s="2" t="b">
        <f>FALSE()</f>
        <v>0</v>
      </c>
      <c r="R1362">
        <v>0</v>
      </c>
    </row>
    <row r="1363" spans="1:18" x14ac:dyDescent="0.25">
      <c r="A1363">
        <v>201362</v>
      </c>
      <c r="B1363">
        <v>53681</v>
      </c>
      <c r="C1363" t="s">
        <v>34</v>
      </c>
      <c r="D1363">
        <v>562.39</v>
      </c>
      <c r="E1363">
        <v>2473</v>
      </c>
      <c r="F1363">
        <v>3</v>
      </c>
      <c r="G1363">
        <v>4</v>
      </c>
      <c r="H1363">
        <v>1</v>
      </c>
      <c r="I1363" t="s">
        <v>32</v>
      </c>
      <c r="J1363">
        <v>0</v>
      </c>
      <c r="K1363">
        <v>65</v>
      </c>
      <c r="L1363" t="s">
        <v>24</v>
      </c>
      <c r="M1363" t="s">
        <v>31</v>
      </c>
      <c r="N1363" t="s">
        <v>22</v>
      </c>
      <c r="O1363" t="s">
        <v>27</v>
      </c>
      <c r="P1363">
        <v>3.59</v>
      </c>
      <c r="Q1363" s="2" t="b">
        <f>FALSE()</f>
        <v>0</v>
      </c>
      <c r="R1363">
        <v>1</v>
      </c>
    </row>
    <row r="1364" spans="1:18" x14ac:dyDescent="0.25">
      <c r="A1364">
        <v>201363</v>
      </c>
      <c r="B1364">
        <v>55684</v>
      </c>
      <c r="C1364" t="s">
        <v>18</v>
      </c>
      <c r="D1364">
        <v>3026.12</v>
      </c>
      <c r="E1364">
        <v>1890</v>
      </c>
      <c r="F1364">
        <v>1</v>
      </c>
      <c r="G1364">
        <v>0</v>
      </c>
      <c r="H1364">
        <v>0</v>
      </c>
      <c r="I1364" t="s">
        <v>33</v>
      </c>
      <c r="J1364">
        <v>0</v>
      </c>
      <c r="K1364">
        <v>42</v>
      </c>
      <c r="L1364" t="s">
        <v>24</v>
      </c>
      <c r="M1364" t="s">
        <v>31</v>
      </c>
      <c r="N1364" t="s">
        <v>22</v>
      </c>
      <c r="O1364" t="s">
        <v>36</v>
      </c>
      <c r="P1364">
        <v>0.21</v>
      </c>
      <c r="Q1364" s="2" t="b">
        <f>FALSE()</f>
        <v>0</v>
      </c>
      <c r="R1364">
        <v>0</v>
      </c>
    </row>
    <row r="1365" spans="1:18" x14ac:dyDescent="0.25">
      <c r="A1365">
        <v>201364</v>
      </c>
      <c r="B1365">
        <v>53889</v>
      </c>
      <c r="C1365" t="s">
        <v>34</v>
      </c>
      <c r="D1365">
        <v>2003.63</v>
      </c>
      <c r="E1365">
        <v>2175</v>
      </c>
      <c r="F1365">
        <v>0</v>
      </c>
      <c r="G1365">
        <v>6</v>
      </c>
      <c r="H1365">
        <v>0</v>
      </c>
      <c r="I1365" t="s">
        <v>19</v>
      </c>
      <c r="J1365">
        <v>0</v>
      </c>
      <c r="K1365">
        <v>67</v>
      </c>
      <c r="L1365" t="s">
        <v>20</v>
      </c>
      <c r="M1365" t="s">
        <v>25</v>
      </c>
      <c r="N1365" t="s">
        <v>30</v>
      </c>
      <c r="O1365" t="s">
        <v>27</v>
      </c>
      <c r="P1365">
        <v>2.2000000000000002</v>
      </c>
      <c r="Q1365" s="2" t="b">
        <f>FALSE()</f>
        <v>0</v>
      </c>
      <c r="R1365">
        <v>0</v>
      </c>
    </row>
    <row r="1366" spans="1:18" x14ac:dyDescent="0.25">
      <c r="A1366">
        <v>201365</v>
      </c>
      <c r="B1366">
        <v>50197</v>
      </c>
      <c r="C1366" t="s">
        <v>18</v>
      </c>
      <c r="D1366">
        <v>3962.16</v>
      </c>
      <c r="E1366">
        <v>3159</v>
      </c>
      <c r="F1366">
        <v>1</v>
      </c>
      <c r="G1366">
        <v>4</v>
      </c>
      <c r="H1366">
        <v>0</v>
      </c>
      <c r="I1366" t="s">
        <v>33</v>
      </c>
      <c r="J1366">
        <v>0</v>
      </c>
      <c r="K1366">
        <v>31</v>
      </c>
      <c r="L1366" t="s">
        <v>20</v>
      </c>
      <c r="M1366" t="s">
        <v>31</v>
      </c>
      <c r="N1366" t="s">
        <v>22</v>
      </c>
      <c r="O1366" t="s">
        <v>36</v>
      </c>
      <c r="P1366">
        <v>0.01</v>
      </c>
      <c r="Q1366" s="2" t="b">
        <f>FALSE()</f>
        <v>0</v>
      </c>
      <c r="R1366">
        <v>1</v>
      </c>
    </row>
    <row r="1367" spans="1:18" x14ac:dyDescent="0.25">
      <c r="A1367">
        <v>201366</v>
      </c>
      <c r="B1367">
        <v>52154</v>
      </c>
      <c r="C1367" t="s">
        <v>18</v>
      </c>
      <c r="D1367">
        <v>2553.9899999999998</v>
      </c>
      <c r="E1367">
        <v>88</v>
      </c>
      <c r="F1367">
        <v>1</v>
      </c>
      <c r="G1367">
        <v>6</v>
      </c>
      <c r="H1367">
        <v>1</v>
      </c>
      <c r="I1367" t="s">
        <v>33</v>
      </c>
      <c r="J1367">
        <v>0</v>
      </c>
      <c r="K1367">
        <v>69</v>
      </c>
      <c r="L1367" t="s">
        <v>24</v>
      </c>
      <c r="M1367" t="s">
        <v>37</v>
      </c>
      <c r="N1367" t="s">
        <v>30</v>
      </c>
      <c r="O1367" t="s">
        <v>27</v>
      </c>
      <c r="P1367">
        <v>2.83</v>
      </c>
      <c r="Q1367" s="2" t="b">
        <f>FALSE()</f>
        <v>0</v>
      </c>
      <c r="R1367">
        <v>0</v>
      </c>
    </row>
    <row r="1368" spans="1:18" x14ac:dyDescent="0.25">
      <c r="A1368">
        <v>201367</v>
      </c>
      <c r="B1368">
        <v>55207</v>
      </c>
      <c r="C1368" t="s">
        <v>34</v>
      </c>
      <c r="D1368">
        <v>2602.5100000000002</v>
      </c>
      <c r="E1368">
        <v>645</v>
      </c>
      <c r="F1368">
        <v>0</v>
      </c>
      <c r="G1368">
        <v>5</v>
      </c>
      <c r="H1368">
        <v>1</v>
      </c>
      <c r="I1368" t="s">
        <v>33</v>
      </c>
      <c r="J1368">
        <v>0</v>
      </c>
      <c r="K1368">
        <v>83</v>
      </c>
      <c r="L1368" t="s">
        <v>20</v>
      </c>
      <c r="M1368" t="s">
        <v>25</v>
      </c>
      <c r="N1368" t="s">
        <v>30</v>
      </c>
      <c r="O1368" t="s">
        <v>23</v>
      </c>
      <c r="P1368">
        <v>2.31</v>
      </c>
      <c r="Q1368" s="2" t="b">
        <f>FALSE()</f>
        <v>0</v>
      </c>
      <c r="R1368">
        <v>0</v>
      </c>
    </row>
    <row r="1369" spans="1:18" x14ac:dyDescent="0.25">
      <c r="A1369">
        <v>201368</v>
      </c>
      <c r="B1369">
        <v>55994</v>
      </c>
      <c r="C1369" t="s">
        <v>18</v>
      </c>
      <c r="D1369">
        <v>684.22</v>
      </c>
      <c r="E1369">
        <v>440</v>
      </c>
      <c r="F1369">
        <v>2</v>
      </c>
      <c r="G1369">
        <v>6</v>
      </c>
      <c r="H1369">
        <v>0</v>
      </c>
      <c r="I1369" t="s">
        <v>33</v>
      </c>
      <c r="J1369">
        <v>1</v>
      </c>
      <c r="K1369">
        <v>22</v>
      </c>
      <c r="L1369" t="s">
        <v>24</v>
      </c>
      <c r="M1369" t="s">
        <v>37</v>
      </c>
      <c r="N1369" t="s">
        <v>22</v>
      </c>
      <c r="O1369" t="s">
        <v>36</v>
      </c>
      <c r="P1369">
        <v>0.88</v>
      </c>
      <c r="Q1369" s="2" t="b">
        <f>FALSE()</f>
        <v>0</v>
      </c>
      <c r="R1369">
        <v>0</v>
      </c>
    </row>
    <row r="1370" spans="1:18" x14ac:dyDescent="0.25">
      <c r="A1370">
        <v>201369</v>
      </c>
      <c r="B1370">
        <v>53697</v>
      </c>
      <c r="C1370" t="s">
        <v>18</v>
      </c>
      <c r="D1370">
        <v>1660.31</v>
      </c>
      <c r="E1370">
        <v>3124</v>
      </c>
      <c r="F1370">
        <v>0</v>
      </c>
      <c r="G1370">
        <v>3</v>
      </c>
      <c r="H1370">
        <v>0</v>
      </c>
      <c r="I1370" t="s">
        <v>33</v>
      </c>
      <c r="J1370">
        <v>0</v>
      </c>
      <c r="K1370">
        <v>55</v>
      </c>
      <c r="L1370" t="s">
        <v>20</v>
      </c>
      <c r="M1370" t="s">
        <v>21</v>
      </c>
      <c r="N1370" t="s">
        <v>22</v>
      </c>
      <c r="O1370" t="s">
        <v>36</v>
      </c>
      <c r="P1370">
        <v>1.96</v>
      </c>
      <c r="Q1370" s="2" t="b">
        <f>FALSE()</f>
        <v>0</v>
      </c>
      <c r="R1370">
        <v>0</v>
      </c>
    </row>
    <row r="1371" spans="1:18" x14ac:dyDescent="0.25">
      <c r="A1371">
        <v>201370</v>
      </c>
      <c r="B1371">
        <v>50647</v>
      </c>
      <c r="C1371" t="s">
        <v>34</v>
      </c>
      <c r="D1371">
        <v>2454.89</v>
      </c>
      <c r="E1371">
        <v>2614</v>
      </c>
      <c r="F1371">
        <v>0</v>
      </c>
      <c r="G1371">
        <v>3</v>
      </c>
      <c r="H1371">
        <v>0</v>
      </c>
      <c r="I1371" t="s">
        <v>33</v>
      </c>
      <c r="J1371">
        <v>0</v>
      </c>
      <c r="K1371">
        <v>33</v>
      </c>
      <c r="L1371" t="s">
        <v>24</v>
      </c>
      <c r="M1371" t="s">
        <v>31</v>
      </c>
      <c r="N1371" t="s">
        <v>22</v>
      </c>
      <c r="O1371" t="s">
        <v>23</v>
      </c>
      <c r="P1371">
        <v>6.02</v>
      </c>
      <c r="Q1371" s="2" t="b">
        <f>FALSE()</f>
        <v>0</v>
      </c>
      <c r="R1371">
        <v>0</v>
      </c>
    </row>
    <row r="1372" spans="1:18" x14ac:dyDescent="0.25">
      <c r="A1372">
        <v>201371</v>
      </c>
      <c r="B1372">
        <v>54908</v>
      </c>
      <c r="C1372" t="s">
        <v>18</v>
      </c>
      <c r="D1372">
        <v>2612.88</v>
      </c>
      <c r="E1372">
        <v>1229</v>
      </c>
      <c r="F1372">
        <v>1</v>
      </c>
      <c r="G1372">
        <v>4</v>
      </c>
      <c r="H1372">
        <v>0</v>
      </c>
      <c r="I1372" t="s">
        <v>19</v>
      </c>
      <c r="J1372">
        <v>0</v>
      </c>
      <c r="K1372">
        <v>42</v>
      </c>
      <c r="L1372" t="s">
        <v>24</v>
      </c>
      <c r="M1372" t="s">
        <v>29</v>
      </c>
      <c r="N1372" t="s">
        <v>22</v>
      </c>
      <c r="O1372" t="s">
        <v>23</v>
      </c>
      <c r="P1372">
        <v>0.81</v>
      </c>
      <c r="Q1372" s="2" t="b">
        <f>FALSE()</f>
        <v>0</v>
      </c>
      <c r="R1372">
        <v>0</v>
      </c>
    </row>
    <row r="1373" spans="1:18" x14ac:dyDescent="0.25">
      <c r="A1373">
        <v>201372</v>
      </c>
      <c r="B1373">
        <v>54480</v>
      </c>
      <c r="C1373" t="s">
        <v>34</v>
      </c>
      <c r="D1373">
        <v>2917.89</v>
      </c>
      <c r="E1373">
        <v>878</v>
      </c>
      <c r="F1373">
        <v>1</v>
      </c>
      <c r="G1373">
        <v>2</v>
      </c>
      <c r="H1373">
        <v>0</v>
      </c>
      <c r="I1373" t="s">
        <v>19</v>
      </c>
      <c r="J1373">
        <v>0</v>
      </c>
      <c r="K1373">
        <v>51</v>
      </c>
      <c r="L1373" t="s">
        <v>24</v>
      </c>
      <c r="M1373" t="s">
        <v>29</v>
      </c>
      <c r="N1373" t="s">
        <v>30</v>
      </c>
      <c r="O1373" t="s">
        <v>36</v>
      </c>
      <c r="P1373">
        <v>0.46</v>
      </c>
      <c r="Q1373" s="2" t="b">
        <f>FALSE()</f>
        <v>0</v>
      </c>
      <c r="R1373">
        <v>0</v>
      </c>
    </row>
    <row r="1374" spans="1:18" x14ac:dyDescent="0.25">
      <c r="A1374">
        <v>201373</v>
      </c>
      <c r="B1374">
        <v>52685</v>
      </c>
      <c r="C1374" t="s">
        <v>18</v>
      </c>
      <c r="D1374">
        <v>1920.56</v>
      </c>
      <c r="E1374">
        <v>1831</v>
      </c>
      <c r="F1374">
        <v>0</v>
      </c>
      <c r="G1374">
        <v>6</v>
      </c>
      <c r="H1374">
        <v>0</v>
      </c>
      <c r="I1374" t="s">
        <v>19</v>
      </c>
      <c r="J1374">
        <v>0</v>
      </c>
      <c r="K1374">
        <v>30</v>
      </c>
      <c r="L1374" t="s">
        <v>20</v>
      </c>
      <c r="M1374" t="s">
        <v>29</v>
      </c>
      <c r="N1374" t="s">
        <v>30</v>
      </c>
      <c r="O1374" t="s">
        <v>23</v>
      </c>
      <c r="P1374">
        <v>3.74</v>
      </c>
      <c r="Q1374" s="2" t="b">
        <f>FALSE()</f>
        <v>0</v>
      </c>
      <c r="R1374">
        <v>0</v>
      </c>
    </row>
    <row r="1375" spans="1:18" x14ac:dyDescent="0.25">
      <c r="A1375">
        <v>201374</v>
      </c>
      <c r="B1375">
        <v>54630</v>
      </c>
      <c r="C1375" t="s">
        <v>18</v>
      </c>
      <c r="D1375">
        <v>725.27</v>
      </c>
      <c r="E1375">
        <v>2772</v>
      </c>
      <c r="F1375">
        <v>2</v>
      </c>
      <c r="G1375">
        <v>5</v>
      </c>
      <c r="H1375">
        <v>0</v>
      </c>
      <c r="I1375" t="s">
        <v>33</v>
      </c>
      <c r="J1375">
        <v>0</v>
      </c>
      <c r="K1375">
        <v>37</v>
      </c>
      <c r="L1375" t="s">
        <v>38</v>
      </c>
      <c r="M1375" t="s">
        <v>37</v>
      </c>
      <c r="N1375" t="s">
        <v>30</v>
      </c>
      <c r="O1375" t="s">
        <v>27</v>
      </c>
      <c r="P1375">
        <v>2.12</v>
      </c>
      <c r="Q1375" s="2" t="b">
        <f>FALSE()</f>
        <v>0</v>
      </c>
      <c r="R1375">
        <v>0</v>
      </c>
    </row>
    <row r="1376" spans="1:18" x14ac:dyDescent="0.25">
      <c r="A1376">
        <v>201375</v>
      </c>
      <c r="B1376">
        <v>52540</v>
      </c>
      <c r="C1376" t="s">
        <v>34</v>
      </c>
      <c r="D1376">
        <v>2610.63</v>
      </c>
      <c r="E1376">
        <v>248</v>
      </c>
      <c r="F1376">
        <v>3</v>
      </c>
      <c r="G1376">
        <v>5</v>
      </c>
      <c r="H1376">
        <v>1</v>
      </c>
      <c r="I1376" t="s">
        <v>33</v>
      </c>
      <c r="J1376">
        <v>0</v>
      </c>
      <c r="K1376">
        <v>81</v>
      </c>
      <c r="L1376" t="s">
        <v>24</v>
      </c>
      <c r="M1376" t="s">
        <v>35</v>
      </c>
      <c r="N1376" t="s">
        <v>22</v>
      </c>
      <c r="O1376" t="s">
        <v>27</v>
      </c>
      <c r="P1376">
        <v>1.0900000000000001</v>
      </c>
      <c r="Q1376" s="2" t="b">
        <f>FALSE()</f>
        <v>0</v>
      </c>
      <c r="R1376">
        <v>1</v>
      </c>
    </row>
    <row r="1377" spans="1:18" x14ac:dyDescent="0.25">
      <c r="A1377">
        <v>201376</v>
      </c>
      <c r="B1377">
        <v>54406</v>
      </c>
      <c r="C1377" t="s">
        <v>28</v>
      </c>
      <c r="D1377">
        <v>2475.02</v>
      </c>
      <c r="E1377">
        <v>2200</v>
      </c>
      <c r="F1377">
        <v>0</v>
      </c>
      <c r="G1377">
        <v>3</v>
      </c>
      <c r="H1377">
        <v>0</v>
      </c>
      <c r="I1377" t="s">
        <v>33</v>
      </c>
      <c r="J1377">
        <v>0</v>
      </c>
      <c r="K1377">
        <v>75</v>
      </c>
      <c r="L1377" t="s">
        <v>20</v>
      </c>
      <c r="M1377" t="s">
        <v>31</v>
      </c>
      <c r="N1377" t="s">
        <v>22</v>
      </c>
      <c r="O1377" t="s">
        <v>27</v>
      </c>
      <c r="P1377">
        <v>1.37</v>
      </c>
      <c r="Q1377" s="2" t="b">
        <f>FALSE()</f>
        <v>0</v>
      </c>
      <c r="R1377">
        <v>0</v>
      </c>
    </row>
    <row r="1378" spans="1:18" x14ac:dyDescent="0.25">
      <c r="A1378">
        <v>201377</v>
      </c>
      <c r="B1378">
        <v>55627</v>
      </c>
      <c r="C1378" t="s">
        <v>34</v>
      </c>
      <c r="D1378">
        <v>3512.48</v>
      </c>
      <c r="E1378">
        <v>2789</v>
      </c>
      <c r="F1378">
        <v>3</v>
      </c>
      <c r="G1378">
        <v>4</v>
      </c>
      <c r="H1378">
        <v>0</v>
      </c>
      <c r="I1378" t="s">
        <v>33</v>
      </c>
      <c r="J1378">
        <v>0</v>
      </c>
      <c r="K1378">
        <v>30</v>
      </c>
      <c r="L1378" t="s">
        <v>24</v>
      </c>
      <c r="M1378" t="s">
        <v>25</v>
      </c>
      <c r="N1378" t="s">
        <v>30</v>
      </c>
      <c r="O1378" t="s">
        <v>23</v>
      </c>
      <c r="P1378">
        <v>6.02</v>
      </c>
      <c r="Q1378" s="2" t="b">
        <f>FALSE()</f>
        <v>0</v>
      </c>
      <c r="R1378">
        <v>1</v>
      </c>
    </row>
    <row r="1379" spans="1:18" x14ac:dyDescent="0.25">
      <c r="A1379">
        <v>201378</v>
      </c>
      <c r="B1379">
        <v>50131</v>
      </c>
      <c r="C1379" t="s">
        <v>18</v>
      </c>
      <c r="D1379">
        <v>4829.4799999999996</v>
      </c>
      <c r="E1379">
        <v>33</v>
      </c>
      <c r="F1379">
        <v>0</v>
      </c>
      <c r="G1379">
        <v>3</v>
      </c>
      <c r="H1379">
        <v>0</v>
      </c>
      <c r="I1379" t="s">
        <v>33</v>
      </c>
      <c r="J1379">
        <v>0</v>
      </c>
      <c r="K1379">
        <v>73</v>
      </c>
      <c r="L1379" t="s">
        <v>20</v>
      </c>
      <c r="M1379" t="s">
        <v>37</v>
      </c>
      <c r="N1379" t="s">
        <v>22</v>
      </c>
      <c r="O1379" t="s">
        <v>36</v>
      </c>
      <c r="P1379">
        <v>3.87</v>
      </c>
      <c r="Q1379" s="2" t="b">
        <f>FALSE()</f>
        <v>0</v>
      </c>
      <c r="R1379">
        <v>1</v>
      </c>
    </row>
    <row r="1380" spans="1:18" x14ac:dyDescent="0.25">
      <c r="A1380">
        <v>201379</v>
      </c>
      <c r="B1380">
        <v>52449</v>
      </c>
      <c r="C1380" t="s">
        <v>34</v>
      </c>
      <c r="D1380">
        <v>3338.76</v>
      </c>
      <c r="E1380">
        <v>1044</v>
      </c>
      <c r="F1380">
        <v>0</v>
      </c>
      <c r="G1380">
        <v>5</v>
      </c>
      <c r="H1380">
        <v>1</v>
      </c>
      <c r="I1380" t="s">
        <v>33</v>
      </c>
      <c r="J1380">
        <v>0</v>
      </c>
      <c r="K1380">
        <v>68</v>
      </c>
      <c r="L1380" t="s">
        <v>20</v>
      </c>
      <c r="M1380" t="s">
        <v>21</v>
      </c>
      <c r="N1380" t="s">
        <v>26</v>
      </c>
      <c r="O1380" t="s">
        <v>27</v>
      </c>
      <c r="P1380">
        <v>1.52</v>
      </c>
      <c r="Q1380" s="2" t="b">
        <f>FALSE()</f>
        <v>0</v>
      </c>
      <c r="R1380">
        <v>0</v>
      </c>
    </row>
    <row r="1381" spans="1:18" x14ac:dyDescent="0.25">
      <c r="A1381">
        <v>201380</v>
      </c>
      <c r="B1381">
        <v>55155</v>
      </c>
      <c r="C1381" t="s">
        <v>34</v>
      </c>
      <c r="D1381">
        <v>2845.65</v>
      </c>
      <c r="E1381">
        <v>2799</v>
      </c>
      <c r="F1381">
        <v>1</v>
      </c>
      <c r="G1381">
        <v>4</v>
      </c>
      <c r="H1381">
        <v>1</v>
      </c>
      <c r="I1381" t="s">
        <v>19</v>
      </c>
      <c r="J1381">
        <v>1</v>
      </c>
      <c r="K1381">
        <v>81</v>
      </c>
      <c r="L1381" t="s">
        <v>24</v>
      </c>
      <c r="M1381" t="s">
        <v>25</v>
      </c>
      <c r="N1381" t="s">
        <v>22</v>
      </c>
      <c r="O1381" t="s">
        <v>23</v>
      </c>
      <c r="P1381">
        <v>0.11</v>
      </c>
      <c r="Q1381" s="2" t="b">
        <f>FALSE()</f>
        <v>0</v>
      </c>
      <c r="R1381">
        <v>0</v>
      </c>
    </row>
    <row r="1382" spans="1:18" x14ac:dyDescent="0.25">
      <c r="A1382">
        <v>201381</v>
      </c>
      <c r="B1382">
        <v>52403</v>
      </c>
      <c r="C1382" t="s">
        <v>34</v>
      </c>
      <c r="D1382">
        <v>1278.55</v>
      </c>
      <c r="E1382">
        <v>1965</v>
      </c>
      <c r="F1382">
        <v>1</v>
      </c>
      <c r="G1382">
        <v>5</v>
      </c>
      <c r="H1382">
        <v>1</v>
      </c>
      <c r="I1382" t="s">
        <v>32</v>
      </c>
      <c r="J1382">
        <v>0</v>
      </c>
      <c r="K1382">
        <v>73</v>
      </c>
      <c r="L1382" t="s">
        <v>24</v>
      </c>
      <c r="M1382" t="s">
        <v>37</v>
      </c>
      <c r="N1382" t="s">
        <v>22</v>
      </c>
      <c r="O1382" t="s">
        <v>36</v>
      </c>
      <c r="P1382">
        <v>0.54</v>
      </c>
      <c r="Q1382" s="2" t="b">
        <f>FALSE()</f>
        <v>0</v>
      </c>
      <c r="R1382">
        <v>0</v>
      </c>
    </row>
    <row r="1383" spans="1:18" x14ac:dyDescent="0.25">
      <c r="A1383">
        <v>201382</v>
      </c>
      <c r="B1383">
        <v>52051</v>
      </c>
      <c r="C1383" t="s">
        <v>34</v>
      </c>
      <c r="D1383">
        <v>929.12</v>
      </c>
      <c r="E1383">
        <v>3409</v>
      </c>
      <c r="F1383">
        <v>0</v>
      </c>
      <c r="G1383">
        <v>2</v>
      </c>
      <c r="H1383">
        <v>0</v>
      </c>
      <c r="I1383" t="s">
        <v>32</v>
      </c>
      <c r="J1383">
        <v>0</v>
      </c>
      <c r="K1383">
        <v>51</v>
      </c>
      <c r="L1383" t="s">
        <v>24</v>
      </c>
      <c r="M1383" t="s">
        <v>35</v>
      </c>
      <c r="N1383" t="s">
        <v>26</v>
      </c>
      <c r="O1383" t="s">
        <v>27</v>
      </c>
      <c r="P1383">
        <v>14.72</v>
      </c>
      <c r="Q1383" s="2" t="b">
        <f>FALSE()</f>
        <v>0</v>
      </c>
      <c r="R1383">
        <v>0</v>
      </c>
    </row>
    <row r="1384" spans="1:18" x14ac:dyDescent="0.25">
      <c r="A1384">
        <v>201383</v>
      </c>
      <c r="B1384">
        <v>51707</v>
      </c>
      <c r="C1384" t="s">
        <v>18</v>
      </c>
      <c r="D1384">
        <v>930.89</v>
      </c>
      <c r="E1384">
        <v>1985</v>
      </c>
      <c r="F1384">
        <v>2</v>
      </c>
      <c r="G1384">
        <v>4</v>
      </c>
      <c r="H1384">
        <v>0</v>
      </c>
      <c r="I1384" t="s">
        <v>33</v>
      </c>
      <c r="J1384">
        <v>0</v>
      </c>
      <c r="K1384">
        <v>75</v>
      </c>
      <c r="L1384" t="s">
        <v>24</v>
      </c>
      <c r="M1384" t="s">
        <v>35</v>
      </c>
      <c r="N1384" t="s">
        <v>30</v>
      </c>
      <c r="O1384" t="s">
        <v>27</v>
      </c>
      <c r="P1384">
        <v>8.06</v>
      </c>
      <c r="Q1384" s="2" t="b">
        <f>FALSE()</f>
        <v>0</v>
      </c>
      <c r="R1384">
        <v>0</v>
      </c>
    </row>
    <row r="1385" spans="1:18" x14ac:dyDescent="0.25">
      <c r="A1385">
        <v>201384</v>
      </c>
      <c r="B1385">
        <v>54252</v>
      </c>
      <c r="C1385" t="s">
        <v>34</v>
      </c>
      <c r="D1385">
        <v>6817.65</v>
      </c>
      <c r="E1385">
        <v>3566</v>
      </c>
      <c r="F1385">
        <v>1</v>
      </c>
      <c r="G1385">
        <v>6</v>
      </c>
      <c r="H1385">
        <v>0</v>
      </c>
      <c r="I1385" t="s">
        <v>33</v>
      </c>
      <c r="J1385">
        <v>1</v>
      </c>
      <c r="K1385">
        <v>26</v>
      </c>
      <c r="L1385" t="s">
        <v>20</v>
      </c>
      <c r="M1385" t="s">
        <v>35</v>
      </c>
      <c r="N1385" t="s">
        <v>30</v>
      </c>
      <c r="O1385" t="s">
        <v>36</v>
      </c>
      <c r="P1385">
        <v>0.3</v>
      </c>
      <c r="Q1385" s="2" t="b">
        <f>FALSE()</f>
        <v>0</v>
      </c>
      <c r="R1385">
        <v>1</v>
      </c>
    </row>
    <row r="1386" spans="1:18" x14ac:dyDescent="0.25">
      <c r="A1386">
        <v>201385</v>
      </c>
      <c r="B1386">
        <v>51118</v>
      </c>
      <c r="C1386" t="s">
        <v>34</v>
      </c>
      <c r="D1386">
        <v>957.54</v>
      </c>
      <c r="E1386">
        <v>2424</v>
      </c>
      <c r="F1386">
        <v>1</v>
      </c>
      <c r="G1386">
        <v>5</v>
      </c>
      <c r="H1386">
        <v>0</v>
      </c>
      <c r="I1386" t="s">
        <v>33</v>
      </c>
      <c r="J1386">
        <v>0</v>
      </c>
      <c r="K1386">
        <v>65</v>
      </c>
      <c r="L1386" t="s">
        <v>24</v>
      </c>
      <c r="M1386" t="s">
        <v>37</v>
      </c>
      <c r="N1386" t="s">
        <v>22</v>
      </c>
      <c r="O1386" t="s">
        <v>27</v>
      </c>
      <c r="P1386">
        <v>1.06</v>
      </c>
      <c r="Q1386" s="2" t="b">
        <f>FALSE()</f>
        <v>0</v>
      </c>
      <c r="R1386">
        <v>0</v>
      </c>
    </row>
    <row r="1387" spans="1:18" x14ac:dyDescent="0.25">
      <c r="A1387">
        <v>201386</v>
      </c>
      <c r="B1387">
        <v>50520</v>
      </c>
      <c r="C1387" t="s">
        <v>18</v>
      </c>
      <c r="D1387">
        <v>2604.73</v>
      </c>
      <c r="E1387">
        <v>764</v>
      </c>
      <c r="F1387">
        <v>2</v>
      </c>
      <c r="G1387">
        <v>8</v>
      </c>
      <c r="H1387">
        <v>0</v>
      </c>
      <c r="I1387" t="s">
        <v>32</v>
      </c>
      <c r="J1387">
        <v>0</v>
      </c>
      <c r="K1387">
        <v>24</v>
      </c>
      <c r="L1387" t="s">
        <v>24</v>
      </c>
      <c r="M1387" t="s">
        <v>21</v>
      </c>
      <c r="N1387" t="s">
        <v>22</v>
      </c>
      <c r="O1387" t="s">
        <v>27</v>
      </c>
      <c r="P1387">
        <v>1.7</v>
      </c>
      <c r="Q1387" s="2" t="b">
        <f>FALSE()</f>
        <v>0</v>
      </c>
      <c r="R1387">
        <v>1</v>
      </c>
    </row>
    <row r="1388" spans="1:18" x14ac:dyDescent="0.25">
      <c r="A1388">
        <v>201387</v>
      </c>
      <c r="B1388">
        <v>52968</v>
      </c>
      <c r="C1388" t="s">
        <v>18</v>
      </c>
      <c r="D1388">
        <v>3934.75</v>
      </c>
      <c r="E1388">
        <v>686</v>
      </c>
      <c r="F1388">
        <v>1</v>
      </c>
      <c r="G1388">
        <v>5</v>
      </c>
      <c r="H1388">
        <v>0</v>
      </c>
      <c r="I1388" t="s">
        <v>33</v>
      </c>
      <c r="J1388">
        <v>0</v>
      </c>
      <c r="K1388">
        <v>53</v>
      </c>
      <c r="L1388" t="s">
        <v>24</v>
      </c>
      <c r="M1388" t="s">
        <v>21</v>
      </c>
      <c r="N1388" t="s">
        <v>26</v>
      </c>
      <c r="O1388" t="s">
        <v>36</v>
      </c>
      <c r="P1388">
        <v>0.32</v>
      </c>
      <c r="Q1388" s="2" t="b">
        <f>FALSE()</f>
        <v>0</v>
      </c>
      <c r="R1388">
        <v>1</v>
      </c>
    </row>
    <row r="1389" spans="1:18" x14ac:dyDescent="0.25">
      <c r="A1389">
        <v>201388</v>
      </c>
      <c r="B1389">
        <v>51769</v>
      </c>
      <c r="C1389" t="s">
        <v>18</v>
      </c>
      <c r="D1389">
        <v>3451.17</v>
      </c>
      <c r="E1389">
        <v>3397</v>
      </c>
      <c r="F1389">
        <v>2</v>
      </c>
      <c r="G1389">
        <v>3</v>
      </c>
      <c r="H1389">
        <v>0</v>
      </c>
      <c r="I1389" t="s">
        <v>33</v>
      </c>
      <c r="J1389">
        <v>0</v>
      </c>
      <c r="K1389">
        <v>27</v>
      </c>
      <c r="L1389" t="s">
        <v>24</v>
      </c>
      <c r="M1389" t="s">
        <v>25</v>
      </c>
      <c r="N1389" t="s">
        <v>30</v>
      </c>
      <c r="O1389" t="s">
        <v>27</v>
      </c>
      <c r="P1389">
        <v>1.38</v>
      </c>
      <c r="Q1389" s="2" t="b">
        <f>FALSE()</f>
        <v>0</v>
      </c>
      <c r="R1389">
        <v>0</v>
      </c>
    </row>
    <row r="1390" spans="1:18" x14ac:dyDescent="0.25">
      <c r="A1390">
        <v>201389</v>
      </c>
      <c r="B1390">
        <v>54568</v>
      </c>
      <c r="C1390" t="s">
        <v>34</v>
      </c>
      <c r="D1390">
        <v>4019.12</v>
      </c>
      <c r="E1390">
        <v>713</v>
      </c>
      <c r="F1390">
        <v>0</v>
      </c>
      <c r="G1390">
        <v>4</v>
      </c>
      <c r="H1390">
        <v>0</v>
      </c>
      <c r="I1390" t="s">
        <v>33</v>
      </c>
      <c r="J1390">
        <v>0</v>
      </c>
      <c r="K1390">
        <v>73</v>
      </c>
      <c r="L1390" t="s">
        <v>24</v>
      </c>
      <c r="M1390" t="s">
        <v>21</v>
      </c>
      <c r="N1390" t="s">
        <v>26</v>
      </c>
      <c r="O1390" t="s">
        <v>36</v>
      </c>
      <c r="P1390">
        <v>3.04</v>
      </c>
      <c r="Q1390" s="2" t="b">
        <f>FALSE()</f>
        <v>0</v>
      </c>
      <c r="R1390">
        <v>1</v>
      </c>
    </row>
    <row r="1391" spans="1:18" x14ac:dyDescent="0.25">
      <c r="A1391">
        <v>201390</v>
      </c>
      <c r="B1391">
        <v>52769</v>
      </c>
      <c r="C1391" t="s">
        <v>18</v>
      </c>
      <c r="D1391">
        <v>1699.59</v>
      </c>
      <c r="E1391">
        <v>3553</v>
      </c>
      <c r="F1391">
        <v>2</v>
      </c>
      <c r="G1391">
        <v>1</v>
      </c>
      <c r="H1391">
        <v>0</v>
      </c>
      <c r="I1391" t="s">
        <v>33</v>
      </c>
      <c r="J1391">
        <v>0</v>
      </c>
      <c r="K1391">
        <v>30</v>
      </c>
      <c r="L1391" t="s">
        <v>24</v>
      </c>
      <c r="M1391" t="s">
        <v>37</v>
      </c>
      <c r="N1391" t="s">
        <v>26</v>
      </c>
      <c r="O1391" t="s">
        <v>27</v>
      </c>
      <c r="P1391">
        <v>3.93</v>
      </c>
      <c r="Q1391" s="2" t="b">
        <f>FALSE()</f>
        <v>0</v>
      </c>
      <c r="R1391">
        <v>0</v>
      </c>
    </row>
    <row r="1392" spans="1:18" x14ac:dyDescent="0.25">
      <c r="A1392">
        <v>201391</v>
      </c>
      <c r="B1392">
        <v>50353</v>
      </c>
      <c r="C1392" t="s">
        <v>34</v>
      </c>
      <c r="D1392">
        <v>3078.9</v>
      </c>
      <c r="E1392">
        <v>2327</v>
      </c>
      <c r="F1392">
        <v>2</v>
      </c>
      <c r="G1392">
        <v>6</v>
      </c>
      <c r="H1392">
        <v>0</v>
      </c>
      <c r="I1392" t="s">
        <v>33</v>
      </c>
      <c r="J1392">
        <v>1</v>
      </c>
      <c r="K1392">
        <v>20</v>
      </c>
      <c r="L1392" t="s">
        <v>20</v>
      </c>
      <c r="M1392" t="s">
        <v>29</v>
      </c>
      <c r="N1392" t="s">
        <v>22</v>
      </c>
      <c r="O1392" t="s">
        <v>27</v>
      </c>
      <c r="P1392">
        <v>6.4</v>
      </c>
      <c r="Q1392" s="2" t="b">
        <f>FALSE()</f>
        <v>0</v>
      </c>
      <c r="R1392">
        <v>0</v>
      </c>
    </row>
    <row r="1393" spans="1:18" x14ac:dyDescent="0.25">
      <c r="A1393">
        <v>201392</v>
      </c>
      <c r="B1393">
        <v>51499</v>
      </c>
      <c r="C1393" t="s">
        <v>28</v>
      </c>
      <c r="D1393">
        <v>1340.53</v>
      </c>
      <c r="E1393">
        <v>484</v>
      </c>
      <c r="F1393">
        <v>2</v>
      </c>
      <c r="G1393">
        <v>0</v>
      </c>
      <c r="H1393">
        <v>0</v>
      </c>
      <c r="I1393" t="s">
        <v>33</v>
      </c>
      <c r="J1393">
        <v>0</v>
      </c>
      <c r="K1393">
        <v>71</v>
      </c>
      <c r="L1393" t="s">
        <v>24</v>
      </c>
      <c r="M1393" t="s">
        <v>25</v>
      </c>
      <c r="N1393" t="s">
        <v>26</v>
      </c>
      <c r="O1393" t="s">
        <v>23</v>
      </c>
      <c r="P1393">
        <v>1.29</v>
      </c>
      <c r="Q1393" s="2" t="b">
        <f>FALSE()</f>
        <v>0</v>
      </c>
      <c r="R1393">
        <v>0</v>
      </c>
    </row>
    <row r="1394" spans="1:18" x14ac:dyDescent="0.25">
      <c r="A1394">
        <v>201393</v>
      </c>
      <c r="B1394">
        <v>53560</v>
      </c>
      <c r="C1394" t="s">
        <v>18</v>
      </c>
      <c r="D1394">
        <v>3210.83</v>
      </c>
      <c r="E1394">
        <v>1584</v>
      </c>
      <c r="F1394">
        <v>3</v>
      </c>
      <c r="G1394">
        <v>3</v>
      </c>
      <c r="H1394">
        <v>0</v>
      </c>
      <c r="I1394" t="s">
        <v>33</v>
      </c>
      <c r="J1394">
        <v>0</v>
      </c>
      <c r="K1394">
        <v>79</v>
      </c>
      <c r="L1394" t="s">
        <v>20</v>
      </c>
      <c r="M1394" t="s">
        <v>31</v>
      </c>
      <c r="N1394" t="s">
        <v>26</v>
      </c>
      <c r="O1394" t="s">
        <v>23</v>
      </c>
      <c r="P1394">
        <v>2.66</v>
      </c>
      <c r="Q1394" s="2" t="b">
        <f>FALSE()</f>
        <v>0</v>
      </c>
      <c r="R1394">
        <v>1</v>
      </c>
    </row>
    <row r="1395" spans="1:18" x14ac:dyDescent="0.25">
      <c r="A1395">
        <v>201394</v>
      </c>
      <c r="B1395">
        <v>53911</v>
      </c>
      <c r="C1395" t="s">
        <v>28</v>
      </c>
      <c r="D1395">
        <v>1931.4</v>
      </c>
      <c r="E1395">
        <v>1584</v>
      </c>
      <c r="F1395">
        <v>0</v>
      </c>
      <c r="G1395">
        <v>1</v>
      </c>
      <c r="H1395">
        <v>0</v>
      </c>
      <c r="I1395" t="s">
        <v>33</v>
      </c>
      <c r="J1395">
        <v>0</v>
      </c>
      <c r="K1395">
        <v>22</v>
      </c>
      <c r="L1395" t="s">
        <v>24</v>
      </c>
      <c r="M1395" t="s">
        <v>37</v>
      </c>
      <c r="N1395" t="s">
        <v>22</v>
      </c>
      <c r="O1395" t="s">
        <v>27</v>
      </c>
      <c r="P1395">
        <v>0.43</v>
      </c>
      <c r="Q1395" s="2" t="b">
        <f>FALSE()</f>
        <v>0</v>
      </c>
      <c r="R1395">
        <v>0</v>
      </c>
    </row>
    <row r="1396" spans="1:18" x14ac:dyDescent="0.25">
      <c r="A1396">
        <v>201395</v>
      </c>
      <c r="B1396">
        <v>50646</v>
      </c>
      <c r="C1396" t="s">
        <v>18</v>
      </c>
      <c r="D1396">
        <v>3429.37</v>
      </c>
      <c r="E1396">
        <v>1436</v>
      </c>
      <c r="F1396">
        <v>2</v>
      </c>
      <c r="G1396">
        <v>5</v>
      </c>
      <c r="H1396">
        <v>0</v>
      </c>
      <c r="I1396" t="s">
        <v>33</v>
      </c>
      <c r="J1396">
        <v>0</v>
      </c>
      <c r="K1396">
        <v>69</v>
      </c>
      <c r="L1396" t="s">
        <v>24</v>
      </c>
      <c r="M1396" t="s">
        <v>29</v>
      </c>
      <c r="N1396" t="s">
        <v>22</v>
      </c>
      <c r="O1396" t="s">
        <v>27</v>
      </c>
      <c r="P1396">
        <v>0.91</v>
      </c>
      <c r="Q1396" s="2" t="b">
        <f>FALSE()</f>
        <v>0</v>
      </c>
      <c r="R1396">
        <v>0</v>
      </c>
    </row>
    <row r="1397" spans="1:18" x14ac:dyDescent="0.25">
      <c r="A1397">
        <v>201396</v>
      </c>
      <c r="B1397">
        <v>51743</v>
      </c>
      <c r="C1397" t="s">
        <v>34</v>
      </c>
      <c r="D1397">
        <v>895.1</v>
      </c>
      <c r="E1397">
        <v>797</v>
      </c>
      <c r="F1397">
        <v>1</v>
      </c>
      <c r="G1397">
        <v>1</v>
      </c>
      <c r="H1397">
        <v>0</v>
      </c>
      <c r="I1397" t="s">
        <v>33</v>
      </c>
      <c r="J1397">
        <v>0</v>
      </c>
      <c r="K1397">
        <v>18</v>
      </c>
      <c r="L1397" t="s">
        <v>20</v>
      </c>
      <c r="M1397" t="s">
        <v>35</v>
      </c>
      <c r="N1397" t="s">
        <v>22</v>
      </c>
      <c r="O1397" t="s">
        <v>36</v>
      </c>
      <c r="P1397">
        <v>10.32</v>
      </c>
      <c r="Q1397" s="2" t="b">
        <f>FALSE()</f>
        <v>0</v>
      </c>
      <c r="R1397">
        <v>0</v>
      </c>
    </row>
    <row r="1398" spans="1:18" x14ac:dyDescent="0.25">
      <c r="A1398">
        <v>201397</v>
      </c>
      <c r="B1398">
        <v>50053</v>
      </c>
      <c r="C1398" t="s">
        <v>18</v>
      </c>
      <c r="D1398">
        <v>2460.5300000000002</v>
      </c>
      <c r="E1398">
        <v>706</v>
      </c>
      <c r="F1398">
        <v>2</v>
      </c>
      <c r="G1398">
        <v>4</v>
      </c>
      <c r="H1398">
        <v>0</v>
      </c>
      <c r="I1398" t="s">
        <v>32</v>
      </c>
      <c r="J1398">
        <v>0</v>
      </c>
      <c r="K1398">
        <v>77</v>
      </c>
      <c r="L1398" t="s">
        <v>24</v>
      </c>
      <c r="M1398" t="s">
        <v>37</v>
      </c>
      <c r="N1398" t="s">
        <v>26</v>
      </c>
      <c r="O1398" t="s">
        <v>27</v>
      </c>
      <c r="P1398">
        <v>0.23</v>
      </c>
      <c r="Q1398" s="2" t="b">
        <f>FALSE()</f>
        <v>0</v>
      </c>
      <c r="R1398">
        <v>0</v>
      </c>
    </row>
    <row r="1399" spans="1:18" x14ac:dyDescent="0.25">
      <c r="A1399">
        <v>201398</v>
      </c>
      <c r="B1399">
        <v>53508</v>
      </c>
      <c r="C1399" t="s">
        <v>18</v>
      </c>
      <c r="D1399">
        <v>3212.58</v>
      </c>
      <c r="E1399">
        <v>2745</v>
      </c>
      <c r="F1399">
        <v>1</v>
      </c>
      <c r="G1399">
        <v>3</v>
      </c>
      <c r="H1399">
        <v>0</v>
      </c>
      <c r="I1399" t="s">
        <v>33</v>
      </c>
      <c r="J1399">
        <v>0</v>
      </c>
      <c r="K1399">
        <v>28</v>
      </c>
      <c r="L1399" t="s">
        <v>24</v>
      </c>
      <c r="M1399" t="s">
        <v>31</v>
      </c>
      <c r="N1399" t="s">
        <v>26</v>
      </c>
      <c r="O1399" t="s">
        <v>27</v>
      </c>
      <c r="P1399">
        <v>0.85</v>
      </c>
      <c r="Q1399" s="2" t="b">
        <f>FALSE()</f>
        <v>0</v>
      </c>
      <c r="R1399">
        <v>0</v>
      </c>
    </row>
    <row r="1400" spans="1:18" x14ac:dyDescent="0.25">
      <c r="A1400">
        <v>201399</v>
      </c>
      <c r="B1400">
        <v>52964</v>
      </c>
      <c r="C1400" t="s">
        <v>28</v>
      </c>
      <c r="D1400">
        <v>1895.62</v>
      </c>
      <c r="E1400">
        <v>690</v>
      </c>
      <c r="F1400">
        <v>1</v>
      </c>
      <c r="G1400">
        <v>3</v>
      </c>
      <c r="H1400">
        <v>1</v>
      </c>
      <c r="I1400" t="s">
        <v>33</v>
      </c>
      <c r="J1400">
        <v>0</v>
      </c>
      <c r="K1400">
        <v>29</v>
      </c>
      <c r="L1400" t="s">
        <v>24</v>
      </c>
      <c r="M1400" t="s">
        <v>21</v>
      </c>
      <c r="N1400" t="s">
        <v>26</v>
      </c>
      <c r="O1400" t="s">
        <v>36</v>
      </c>
      <c r="P1400">
        <v>1.82</v>
      </c>
      <c r="Q1400" s="2" t="b">
        <f>FALSE()</f>
        <v>0</v>
      </c>
      <c r="R1400">
        <v>0</v>
      </c>
    </row>
    <row r="1401" spans="1:18" x14ac:dyDescent="0.25">
      <c r="A1401">
        <v>201400</v>
      </c>
      <c r="B1401">
        <v>55639</v>
      </c>
      <c r="C1401" t="s">
        <v>34</v>
      </c>
      <c r="D1401">
        <v>1631.31</v>
      </c>
      <c r="E1401">
        <v>408</v>
      </c>
      <c r="F1401">
        <v>1</v>
      </c>
      <c r="G1401">
        <v>7</v>
      </c>
      <c r="H1401">
        <v>0</v>
      </c>
      <c r="I1401" t="s">
        <v>33</v>
      </c>
      <c r="J1401">
        <v>0</v>
      </c>
      <c r="K1401">
        <v>30</v>
      </c>
      <c r="L1401" t="s">
        <v>38</v>
      </c>
      <c r="M1401" t="s">
        <v>29</v>
      </c>
      <c r="N1401" t="s">
        <v>26</v>
      </c>
      <c r="O1401" t="s">
        <v>27</v>
      </c>
      <c r="P1401">
        <v>11.08</v>
      </c>
      <c r="Q1401" s="2" t="b">
        <f>FALSE()</f>
        <v>0</v>
      </c>
      <c r="R1401">
        <v>1</v>
      </c>
    </row>
    <row r="1402" spans="1:18" x14ac:dyDescent="0.25">
      <c r="A1402">
        <v>201401</v>
      </c>
      <c r="B1402">
        <v>51977</v>
      </c>
      <c r="C1402" t="s">
        <v>34</v>
      </c>
      <c r="D1402">
        <v>4827.3900000000003</v>
      </c>
      <c r="E1402">
        <v>2233</v>
      </c>
      <c r="F1402">
        <v>3</v>
      </c>
      <c r="G1402">
        <v>2</v>
      </c>
      <c r="H1402">
        <v>1</v>
      </c>
      <c r="I1402" t="s">
        <v>33</v>
      </c>
      <c r="J1402">
        <v>0</v>
      </c>
      <c r="K1402">
        <v>53</v>
      </c>
      <c r="L1402" t="s">
        <v>38</v>
      </c>
      <c r="M1402" t="s">
        <v>37</v>
      </c>
      <c r="N1402" t="s">
        <v>30</v>
      </c>
      <c r="O1402" t="s">
        <v>36</v>
      </c>
      <c r="P1402">
        <v>2.76</v>
      </c>
      <c r="Q1402" s="2" t="b">
        <f>FALSE()</f>
        <v>0</v>
      </c>
      <c r="R1402">
        <v>1</v>
      </c>
    </row>
    <row r="1403" spans="1:18" x14ac:dyDescent="0.25">
      <c r="A1403">
        <v>201402</v>
      </c>
      <c r="B1403">
        <v>54689</v>
      </c>
      <c r="C1403" t="s">
        <v>28</v>
      </c>
      <c r="D1403">
        <v>2937.13</v>
      </c>
      <c r="E1403">
        <v>1521</v>
      </c>
      <c r="F1403">
        <v>3</v>
      </c>
      <c r="G1403">
        <v>9</v>
      </c>
      <c r="H1403">
        <v>0</v>
      </c>
      <c r="I1403" t="s">
        <v>33</v>
      </c>
      <c r="J1403">
        <v>0</v>
      </c>
      <c r="K1403">
        <v>55</v>
      </c>
      <c r="L1403" t="s">
        <v>20</v>
      </c>
      <c r="M1403" t="s">
        <v>35</v>
      </c>
      <c r="N1403" t="s">
        <v>22</v>
      </c>
      <c r="O1403" t="s">
        <v>27</v>
      </c>
      <c r="P1403">
        <v>1.55</v>
      </c>
      <c r="Q1403" s="2" t="b">
        <f>FALSE()</f>
        <v>0</v>
      </c>
      <c r="R1403">
        <v>1</v>
      </c>
    </row>
    <row r="1404" spans="1:18" x14ac:dyDescent="0.25">
      <c r="A1404">
        <v>201403</v>
      </c>
      <c r="B1404">
        <v>51316</v>
      </c>
      <c r="C1404" t="s">
        <v>18</v>
      </c>
      <c r="D1404">
        <v>1995.55</v>
      </c>
      <c r="E1404">
        <v>618</v>
      </c>
      <c r="F1404">
        <v>0</v>
      </c>
      <c r="G1404">
        <v>2</v>
      </c>
      <c r="H1404">
        <v>0</v>
      </c>
      <c r="I1404" t="s">
        <v>33</v>
      </c>
      <c r="J1404">
        <v>0</v>
      </c>
      <c r="K1404">
        <v>84</v>
      </c>
      <c r="L1404" t="s">
        <v>20</v>
      </c>
      <c r="M1404" t="s">
        <v>29</v>
      </c>
      <c r="N1404" t="s">
        <v>22</v>
      </c>
      <c r="O1404" t="s">
        <v>27</v>
      </c>
      <c r="P1404">
        <v>1.29</v>
      </c>
      <c r="Q1404" s="2" t="b">
        <f>FALSE()</f>
        <v>0</v>
      </c>
      <c r="R1404">
        <v>0</v>
      </c>
    </row>
    <row r="1405" spans="1:18" x14ac:dyDescent="0.25">
      <c r="A1405">
        <v>201404</v>
      </c>
      <c r="B1405">
        <v>52399</v>
      </c>
      <c r="C1405" t="s">
        <v>18</v>
      </c>
      <c r="D1405">
        <v>2482.3000000000002</v>
      </c>
      <c r="E1405">
        <v>2454</v>
      </c>
      <c r="F1405">
        <v>2</v>
      </c>
      <c r="G1405">
        <v>4</v>
      </c>
      <c r="H1405">
        <v>0</v>
      </c>
      <c r="I1405" t="s">
        <v>19</v>
      </c>
      <c r="J1405">
        <v>0</v>
      </c>
      <c r="K1405">
        <v>46</v>
      </c>
      <c r="L1405" t="s">
        <v>24</v>
      </c>
      <c r="M1405" t="s">
        <v>29</v>
      </c>
      <c r="N1405" t="s">
        <v>30</v>
      </c>
      <c r="O1405" t="s">
        <v>36</v>
      </c>
      <c r="P1405">
        <v>0.15</v>
      </c>
      <c r="Q1405" s="2" t="b">
        <f>FALSE()</f>
        <v>0</v>
      </c>
      <c r="R1405">
        <v>0</v>
      </c>
    </row>
    <row r="1406" spans="1:18" x14ac:dyDescent="0.25">
      <c r="A1406">
        <v>201405</v>
      </c>
      <c r="B1406">
        <v>50634</v>
      </c>
      <c r="C1406" t="s">
        <v>18</v>
      </c>
      <c r="D1406">
        <v>3167.04</v>
      </c>
      <c r="E1406">
        <v>1074</v>
      </c>
      <c r="F1406">
        <v>0</v>
      </c>
      <c r="G1406">
        <v>3</v>
      </c>
      <c r="H1406">
        <v>1</v>
      </c>
      <c r="I1406" t="s">
        <v>19</v>
      </c>
      <c r="J1406">
        <v>0</v>
      </c>
      <c r="K1406">
        <v>76</v>
      </c>
      <c r="L1406" t="s">
        <v>20</v>
      </c>
      <c r="M1406" t="s">
        <v>37</v>
      </c>
      <c r="N1406" t="s">
        <v>22</v>
      </c>
      <c r="O1406" t="s">
        <v>27</v>
      </c>
      <c r="P1406">
        <v>2.41</v>
      </c>
      <c r="Q1406" s="2" t="b">
        <f>FALSE()</f>
        <v>0</v>
      </c>
      <c r="R1406">
        <v>0</v>
      </c>
    </row>
    <row r="1407" spans="1:18" x14ac:dyDescent="0.25">
      <c r="A1407">
        <v>201406</v>
      </c>
      <c r="B1407">
        <v>54934</v>
      </c>
      <c r="C1407" t="s">
        <v>34</v>
      </c>
      <c r="D1407">
        <v>3677.49</v>
      </c>
      <c r="E1407">
        <v>569</v>
      </c>
      <c r="F1407">
        <v>1</v>
      </c>
      <c r="G1407">
        <v>1</v>
      </c>
      <c r="H1407">
        <v>0</v>
      </c>
      <c r="I1407" t="s">
        <v>33</v>
      </c>
      <c r="J1407">
        <v>0</v>
      </c>
      <c r="K1407">
        <v>53</v>
      </c>
      <c r="L1407" t="s">
        <v>24</v>
      </c>
      <c r="M1407" t="s">
        <v>37</v>
      </c>
      <c r="N1407" t="s">
        <v>30</v>
      </c>
      <c r="O1407" t="s">
        <v>36</v>
      </c>
      <c r="P1407">
        <v>2.46</v>
      </c>
      <c r="Q1407" s="2" t="b">
        <f>FALSE()</f>
        <v>0</v>
      </c>
      <c r="R1407">
        <v>1</v>
      </c>
    </row>
    <row r="1408" spans="1:18" x14ac:dyDescent="0.25">
      <c r="A1408">
        <v>201407</v>
      </c>
      <c r="B1408">
        <v>55284</v>
      </c>
      <c r="C1408" t="s">
        <v>28</v>
      </c>
      <c r="D1408">
        <v>6636.07</v>
      </c>
      <c r="E1408">
        <v>1023</v>
      </c>
      <c r="F1408">
        <v>1</v>
      </c>
      <c r="G1408">
        <v>4</v>
      </c>
      <c r="H1408">
        <v>1</v>
      </c>
      <c r="I1408" t="s">
        <v>19</v>
      </c>
      <c r="J1408">
        <v>0</v>
      </c>
      <c r="K1408">
        <v>64</v>
      </c>
      <c r="L1408" t="s">
        <v>20</v>
      </c>
      <c r="M1408" t="s">
        <v>29</v>
      </c>
      <c r="N1408" t="s">
        <v>30</v>
      </c>
      <c r="O1408" t="s">
        <v>36</v>
      </c>
      <c r="P1408">
        <v>1.9</v>
      </c>
      <c r="Q1408" s="2" t="b">
        <f>FALSE()</f>
        <v>0</v>
      </c>
      <c r="R1408">
        <v>1</v>
      </c>
    </row>
    <row r="1409" spans="1:18" x14ac:dyDescent="0.25">
      <c r="A1409">
        <v>201408</v>
      </c>
      <c r="B1409">
        <v>53458</v>
      </c>
      <c r="C1409" t="s">
        <v>18</v>
      </c>
      <c r="D1409">
        <v>8664.27</v>
      </c>
      <c r="E1409">
        <v>29</v>
      </c>
      <c r="F1409">
        <v>2</v>
      </c>
      <c r="G1409">
        <v>4</v>
      </c>
      <c r="H1409">
        <v>0</v>
      </c>
      <c r="I1409" t="s">
        <v>19</v>
      </c>
      <c r="J1409">
        <v>0</v>
      </c>
      <c r="K1409">
        <v>20</v>
      </c>
      <c r="L1409" t="s">
        <v>38</v>
      </c>
      <c r="M1409" t="s">
        <v>29</v>
      </c>
      <c r="N1409" t="s">
        <v>22</v>
      </c>
      <c r="O1409" t="s">
        <v>27</v>
      </c>
      <c r="P1409">
        <v>5.73</v>
      </c>
      <c r="Q1409" s="2" t="b">
        <f>TRUE()</f>
        <v>1</v>
      </c>
      <c r="R1409">
        <v>1</v>
      </c>
    </row>
    <row r="1410" spans="1:18" x14ac:dyDescent="0.25">
      <c r="A1410">
        <v>201409</v>
      </c>
      <c r="B1410">
        <v>51877</v>
      </c>
      <c r="C1410" t="s">
        <v>28</v>
      </c>
      <c r="D1410">
        <v>8904.2000000000007</v>
      </c>
      <c r="E1410">
        <v>1439</v>
      </c>
      <c r="F1410">
        <v>1</v>
      </c>
      <c r="G1410">
        <v>4</v>
      </c>
      <c r="H1410">
        <v>1</v>
      </c>
      <c r="I1410" t="s">
        <v>33</v>
      </c>
      <c r="J1410">
        <v>1</v>
      </c>
      <c r="K1410">
        <v>63</v>
      </c>
      <c r="L1410" t="s">
        <v>24</v>
      </c>
      <c r="M1410" t="s">
        <v>31</v>
      </c>
      <c r="N1410" t="s">
        <v>26</v>
      </c>
      <c r="O1410" t="s">
        <v>36</v>
      </c>
      <c r="P1410">
        <v>1.05</v>
      </c>
      <c r="Q1410" s="2" t="b">
        <f>TRUE()</f>
        <v>1</v>
      </c>
      <c r="R1410">
        <v>1</v>
      </c>
    </row>
    <row r="1411" spans="1:18" x14ac:dyDescent="0.25">
      <c r="A1411">
        <v>201410</v>
      </c>
      <c r="B1411">
        <v>55846</v>
      </c>
      <c r="C1411" t="s">
        <v>18</v>
      </c>
      <c r="D1411">
        <v>4709.05</v>
      </c>
      <c r="E1411">
        <v>241</v>
      </c>
      <c r="F1411">
        <v>1</v>
      </c>
      <c r="G1411">
        <v>5</v>
      </c>
      <c r="H1411">
        <v>0</v>
      </c>
      <c r="I1411" t="s">
        <v>33</v>
      </c>
      <c r="J1411">
        <v>0</v>
      </c>
      <c r="K1411">
        <v>19</v>
      </c>
      <c r="L1411" t="s">
        <v>20</v>
      </c>
      <c r="M1411" t="s">
        <v>21</v>
      </c>
      <c r="N1411" t="s">
        <v>26</v>
      </c>
      <c r="O1411" t="s">
        <v>27</v>
      </c>
      <c r="P1411">
        <v>7.11</v>
      </c>
      <c r="Q1411" s="2" t="b">
        <f>FALSE()</f>
        <v>0</v>
      </c>
      <c r="R1411">
        <v>1</v>
      </c>
    </row>
    <row r="1412" spans="1:18" x14ac:dyDescent="0.25">
      <c r="A1412">
        <v>201411</v>
      </c>
      <c r="B1412">
        <v>53809</v>
      </c>
      <c r="C1412" t="s">
        <v>28</v>
      </c>
      <c r="D1412">
        <v>942.45</v>
      </c>
      <c r="E1412">
        <v>1288</v>
      </c>
      <c r="F1412">
        <v>0</v>
      </c>
      <c r="G1412">
        <v>7</v>
      </c>
      <c r="H1412">
        <v>1</v>
      </c>
      <c r="I1412" t="s">
        <v>33</v>
      </c>
      <c r="J1412">
        <v>1</v>
      </c>
      <c r="K1412">
        <v>51</v>
      </c>
      <c r="L1412" t="s">
        <v>20</v>
      </c>
      <c r="M1412" t="s">
        <v>25</v>
      </c>
      <c r="N1412" t="s">
        <v>22</v>
      </c>
      <c r="O1412" t="s">
        <v>36</v>
      </c>
      <c r="P1412">
        <v>3.79</v>
      </c>
      <c r="Q1412" s="2" t="b">
        <f>FALSE()</f>
        <v>0</v>
      </c>
      <c r="R1412">
        <v>1</v>
      </c>
    </row>
    <row r="1413" spans="1:18" x14ac:dyDescent="0.25">
      <c r="A1413">
        <v>201412</v>
      </c>
      <c r="B1413">
        <v>54102</v>
      </c>
      <c r="C1413" t="s">
        <v>18</v>
      </c>
      <c r="D1413">
        <v>371.11</v>
      </c>
      <c r="E1413">
        <v>3050</v>
      </c>
      <c r="F1413">
        <v>1</v>
      </c>
      <c r="G1413">
        <v>5</v>
      </c>
      <c r="H1413">
        <v>0</v>
      </c>
      <c r="I1413" t="s">
        <v>19</v>
      </c>
      <c r="J1413">
        <v>0</v>
      </c>
      <c r="K1413">
        <v>55</v>
      </c>
      <c r="L1413" t="s">
        <v>24</v>
      </c>
      <c r="M1413" t="s">
        <v>31</v>
      </c>
      <c r="N1413" t="s">
        <v>22</v>
      </c>
      <c r="O1413" t="s">
        <v>36</v>
      </c>
      <c r="P1413">
        <v>0.25</v>
      </c>
      <c r="Q1413" s="2" t="b">
        <f>FALSE()</f>
        <v>0</v>
      </c>
      <c r="R1413">
        <v>0</v>
      </c>
    </row>
    <row r="1414" spans="1:18" x14ac:dyDescent="0.25">
      <c r="A1414">
        <v>201413</v>
      </c>
      <c r="B1414">
        <v>55792</v>
      </c>
      <c r="C1414" t="s">
        <v>18</v>
      </c>
      <c r="D1414">
        <v>3209.22</v>
      </c>
      <c r="E1414">
        <v>2323</v>
      </c>
      <c r="F1414">
        <v>3</v>
      </c>
      <c r="G1414">
        <v>7</v>
      </c>
      <c r="H1414">
        <v>1</v>
      </c>
      <c r="I1414" t="s">
        <v>32</v>
      </c>
      <c r="J1414">
        <v>0</v>
      </c>
      <c r="K1414">
        <v>32</v>
      </c>
      <c r="L1414" t="s">
        <v>24</v>
      </c>
      <c r="M1414" t="s">
        <v>31</v>
      </c>
      <c r="N1414" t="s">
        <v>30</v>
      </c>
      <c r="O1414" t="s">
        <v>36</v>
      </c>
      <c r="P1414">
        <v>10.73</v>
      </c>
      <c r="Q1414" s="2" t="b">
        <f>FALSE()</f>
        <v>0</v>
      </c>
      <c r="R1414">
        <v>1</v>
      </c>
    </row>
    <row r="1415" spans="1:18" x14ac:dyDescent="0.25">
      <c r="A1415">
        <v>201414</v>
      </c>
      <c r="B1415">
        <v>52049</v>
      </c>
      <c r="C1415" t="s">
        <v>18</v>
      </c>
      <c r="D1415">
        <v>1325.25</v>
      </c>
      <c r="E1415">
        <v>1797</v>
      </c>
      <c r="F1415">
        <v>0</v>
      </c>
      <c r="G1415">
        <v>2</v>
      </c>
      <c r="H1415">
        <v>0</v>
      </c>
      <c r="I1415" t="s">
        <v>19</v>
      </c>
      <c r="J1415">
        <v>0</v>
      </c>
      <c r="K1415">
        <v>72</v>
      </c>
      <c r="L1415" t="s">
        <v>24</v>
      </c>
      <c r="M1415" t="s">
        <v>35</v>
      </c>
      <c r="N1415" t="s">
        <v>26</v>
      </c>
      <c r="O1415" t="s">
        <v>27</v>
      </c>
      <c r="P1415">
        <v>5.4</v>
      </c>
      <c r="Q1415" s="2" t="b">
        <f>FALSE()</f>
        <v>0</v>
      </c>
      <c r="R1415">
        <v>0</v>
      </c>
    </row>
    <row r="1416" spans="1:18" x14ac:dyDescent="0.25">
      <c r="A1416">
        <v>201415</v>
      </c>
      <c r="B1416">
        <v>53111</v>
      </c>
      <c r="C1416" t="s">
        <v>34</v>
      </c>
      <c r="D1416">
        <v>822.25</v>
      </c>
      <c r="E1416">
        <v>1806</v>
      </c>
      <c r="F1416">
        <v>0</v>
      </c>
      <c r="G1416">
        <v>1</v>
      </c>
      <c r="H1416">
        <v>0</v>
      </c>
      <c r="I1416" t="s">
        <v>19</v>
      </c>
      <c r="J1416">
        <v>0</v>
      </c>
      <c r="K1416">
        <v>33</v>
      </c>
      <c r="L1416" t="s">
        <v>20</v>
      </c>
      <c r="M1416" t="s">
        <v>31</v>
      </c>
      <c r="N1416" t="s">
        <v>22</v>
      </c>
      <c r="O1416" t="s">
        <v>36</v>
      </c>
      <c r="P1416">
        <v>0.43</v>
      </c>
      <c r="Q1416" s="2" t="b">
        <f>FALSE()</f>
        <v>0</v>
      </c>
      <c r="R1416">
        <v>0</v>
      </c>
    </row>
    <row r="1417" spans="1:18" x14ac:dyDescent="0.25">
      <c r="A1417">
        <v>201416</v>
      </c>
      <c r="B1417">
        <v>51915</v>
      </c>
      <c r="C1417" t="s">
        <v>18</v>
      </c>
      <c r="D1417">
        <v>2932.89</v>
      </c>
      <c r="E1417">
        <v>2789</v>
      </c>
      <c r="F1417">
        <v>2</v>
      </c>
      <c r="G1417">
        <v>4</v>
      </c>
      <c r="H1417">
        <v>0</v>
      </c>
      <c r="I1417" t="s">
        <v>33</v>
      </c>
      <c r="J1417">
        <v>0</v>
      </c>
      <c r="K1417">
        <v>41</v>
      </c>
      <c r="L1417" t="s">
        <v>24</v>
      </c>
      <c r="M1417" t="s">
        <v>21</v>
      </c>
      <c r="N1417" t="s">
        <v>22</v>
      </c>
      <c r="O1417" t="s">
        <v>23</v>
      </c>
      <c r="P1417">
        <v>7.94</v>
      </c>
      <c r="Q1417" s="2" t="b">
        <f>FALSE()</f>
        <v>0</v>
      </c>
      <c r="R1417">
        <v>0</v>
      </c>
    </row>
    <row r="1418" spans="1:18" x14ac:dyDescent="0.25">
      <c r="A1418">
        <v>201417</v>
      </c>
      <c r="B1418">
        <v>54514</v>
      </c>
      <c r="C1418" t="s">
        <v>34</v>
      </c>
      <c r="D1418">
        <v>4084.64</v>
      </c>
      <c r="E1418">
        <v>2325</v>
      </c>
      <c r="F1418">
        <v>1</v>
      </c>
      <c r="G1418">
        <v>4</v>
      </c>
      <c r="H1418">
        <v>0</v>
      </c>
      <c r="I1418" t="s">
        <v>32</v>
      </c>
      <c r="J1418">
        <v>0</v>
      </c>
      <c r="K1418">
        <v>79</v>
      </c>
      <c r="L1418" t="s">
        <v>24</v>
      </c>
      <c r="M1418" t="s">
        <v>35</v>
      </c>
      <c r="N1418" t="s">
        <v>26</v>
      </c>
      <c r="O1418" t="s">
        <v>27</v>
      </c>
      <c r="P1418">
        <v>1.37</v>
      </c>
      <c r="Q1418" s="2" t="b">
        <f>FALSE()</f>
        <v>0</v>
      </c>
      <c r="R1418">
        <v>1</v>
      </c>
    </row>
    <row r="1419" spans="1:18" x14ac:dyDescent="0.25">
      <c r="A1419">
        <v>201418</v>
      </c>
      <c r="B1419">
        <v>53963</v>
      </c>
      <c r="C1419" t="s">
        <v>34</v>
      </c>
      <c r="D1419">
        <v>2819.04</v>
      </c>
      <c r="E1419">
        <v>1393</v>
      </c>
      <c r="F1419">
        <v>0</v>
      </c>
      <c r="G1419">
        <v>8</v>
      </c>
      <c r="H1419">
        <v>0</v>
      </c>
      <c r="I1419" t="s">
        <v>33</v>
      </c>
      <c r="J1419">
        <v>0</v>
      </c>
      <c r="K1419">
        <v>25</v>
      </c>
      <c r="L1419" t="s">
        <v>24</v>
      </c>
      <c r="M1419" t="s">
        <v>25</v>
      </c>
      <c r="N1419" t="s">
        <v>30</v>
      </c>
      <c r="O1419" t="s">
        <v>27</v>
      </c>
      <c r="P1419">
        <v>10.46</v>
      </c>
      <c r="Q1419" s="2" t="b">
        <f>FALSE()</f>
        <v>0</v>
      </c>
      <c r="R1419">
        <v>1</v>
      </c>
    </row>
    <row r="1420" spans="1:18" x14ac:dyDescent="0.25">
      <c r="A1420">
        <v>201419</v>
      </c>
      <c r="B1420">
        <v>52784</v>
      </c>
      <c r="C1420" t="s">
        <v>34</v>
      </c>
      <c r="D1420">
        <v>2537.15</v>
      </c>
      <c r="E1420">
        <v>718</v>
      </c>
      <c r="F1420">
        <v>2</v>
      </c>
      <c r="G1420">
        <v>2</v>
      </c>
      <c r="H1420">
        <v>1</v>
      </c>
      <c r="I1420" t="s">
        <v>33</v>
      </c>
      <c r="J1420">
        <v>0</v>
      </c>
      <c r="K1420">
        <v>66</v>
      </c>
      <c r="L1420" t="s">
        <v>24</v>
      </c>
      <c r="M1420" t="s">
        <v>25</v>
      </c>
      <c r="N1420" t="s">
        <v>22</v>
      </c>
      <c r="O1420" t="s">
        <v>27</v>
      </c>
      <c r="P1420">
        <v>3.77</v>
      </c>
      <c r="Q1420" s="2" t="b">
        <f>FALSE()</f>
        <v>0</v>
      </c>
      <c r="R1420">
        <v>0</v>
      </c>
    </row>
    <row r="1421" spans="1:18" x14ac:dyDescent="0.25">
      <c r="A1421">
        <v>201420</v>
      </c>
      <c r="B1421">
        <v>52881</v>
      </c>
      <c r="C1421" t="s">
        <v>34</v>
      </c>
      <c r="D1421">
        <v>466.32</v>
      </c>
      <c r="E1421">
        <v>654</v>
      </c>
      <c r="F1421">
        <v>2</v>
      </c>
      <c r="G1421">
        <v>5</v>
      </c>
      <c r="H1421">
        <v>0</v>
      </c>
      <c r="I1421" t="s">
        <v>33</v>
      </c>
      <c r="J1421">
        <v>0</v>
      </c>
      <c r="K1421">
        <v>31</v>
      </c>
      <c r="L1421" t="s">
        <v>24</v>
      </c>
      <c r="M1421" t="s">
        <v>21</v>
      </c>
      <c r="N1421" t="s">
        <v>30</v>
      </c>
      <c r="O1421" t="s">
        <v>36</v>
      </c>
      <c r="P1421">
        <v>13.6</v>
      </c>
      <c r="Q1421" s="2" t="b">
        <f>FALSE()</f>
        <v>0</v>
      </c>
      <c r="R1421">
        <v>0</v>
      </c>
    </row>
    <row r="1422" spans="1:18" x14ac:dyDescent="0.25">
      <c r="A1422">
        <v>201421</v>
      </c>
      <c r="B1422">
        <v>52064</v>
      </c>
      <c r="C1422" t="s">
        <v>34</v>
      </c>
      <c r="D1422">
        <v>1572.9</v>
      </c>
      <c r="E1422">
        <v>1329</v>
      </c>
      <c r="F1422">
        <v>2</v>
      </c>
      <c r="G1422">
        <v>1</v>
      </c>
      <c r="H1422">
        <v>1</v>
      </c>
      <c r="I1422" t="s">
        <v>19</v>
      </c>
      <c r="J1422">
        <v>0</v>
      </c>
      <c r="K1422">
        <v>28</v>
      </c>
      <c r="L1422" t="s">
        <v>20</v>
      </c>
      <c r="M1422" t="s">
        <v>35</v>
      </c>
      <c r="N1422" t="s">
        <v>30</v>
      </c>
      <c r="O1422" t="s">
        <v>36</v>
      </c>
      <c r="P1422">
        <v>0.5</v>
      </c>
      <c r="Q1422" s="2" t="b">
        <f>FALSE()</f>
        <v>0</v>
      </c>
      <c r="R1422">
        <v>0</v>
      </c>
    </row>
    <row r="1423" spans="1:18" x14ac:dyDescent="0.25">
      <c r="A1423">
        <v>201422</v>
      </c>
      <c r="B1423">
        <v>55354</v>
      </c>
      <c r="C1423" t="s">
        <v>34</v>
      </c>
      <c r="D1423">
        <v>3206.84</v>
      </c>
      <c r="E1423">
        <v>2951</v>
      </c>
      <c r="F1423">
        <v>1</v>
      </c>
      <c r="G1423">
        <v>0</v>
      </c>
      <c r="H1423">
        <v>0</v>
      </c>
      <c r="I1423" t="s">
        <v>33</v>
      </c>
      <c r="J1423">
        <v>0</v>
      </c>
      <c r="K1423">
        <v>40</v>
      </c>
      <c r="L1423" t="s">
        <v>20</v>
      </c>
      <c r="M1423" t="s">
        <v>21</v>
      </c>
      <c r="N1423" t="s">
        <v>22</v>
      </c>
      <c r="O1423" t="s">
        <v>36</v>
      </c>
      <c r="P1423">
        <v>7.07</v>
      </c>
      <c r="Q1423" s="2" t="b">
        <f>FALSE()</f>
        <v>0</v>
      </c>
      <c r="R1423">
        <v>0</v>
      </c>
    </row>
    <row r="1424" spans="1:18" x14ac:dyDescent="0.25">
      <c r="A1424">
        <v>201423</v>
      </c>
      <c r="B1424">
        <v>50608</v>
      </c>
      <c r="C1424" t="s">
        <v>18</v>
      </c>
      <c r="D1424">
        <v>10472.01</v>
      </c>
      <c r="E1424">
        <v>3521</v>
      </c>
      <c r="F1424">
        <v>0</v>
      </c>
      <c r="G1424">
        <v>4</v>
      </c>
      <c r="H1424">
        <v>1</v>
      </c>
      <c r="I1424" t="s">
        <v>33</v>
      </c>
      <c r="J1424">
        <v>0</v>
      </c>
      <c r="K1424">
        <v>77</v>
      </c>
      <c r="L1424" t="s">
        <v>20</v>
      </c>
      <c r="M1424" t="s">
        <v>35</v>
      </c>
      <c r="N1424" t="s">
        <v>26</v>
      </c>
      <c r="O1424" t="s">
        <v>27</v>
      </c>
      <c r="P1424">
        <v>2.92</v>
      </c>
      <c r="Q1424" s="2" t="b">
        <f>TRUE()</f>
        <v>1</v>
      </c>
      <c r="R1424">
        <v>1</v>
      </c>
    </row>
    <row r="1425" spans="1:18" x14ac:dyDescent="0.25">
      <c r="A1425">
        <v>201424</v>
      </c>
      <c r="B1425">
        <v>51699</v>
      </c>
      <c r="C1425" t="s">
        <v>18</v>
      </c>
      <c r="D1425">
        <v>1085.1600000000001</v>
      </c>
      <c r="E1425">
        <v>218</v>
      </c>
      <c r="F1425">
        <v>4</v>
      </c>
      <c r="G1425">
        <v>4</v>
      </c>
      <c r="H1425">
        <v>0</v>
      </c>
      <c r="I1425" t="s">
        <v>33</v>
      </c>
      <c r="J1425">
        <v>1</v>
      </c>
      <c r="K1425">
        <v>84</v>
      </c>
      <c r="L1425" t="s">
        <v>24</v>
      </c>
      <c r="M1425" t="s">
        <v>35</v>
      </c>
      <c r="N1425" t="s">
        <v>30</v>
      </c>
      <c r="O1425" t="s">
        <v>27</v>
      </c>
      <c r="P1425">
        <v>1.46</v>
      </c>
      <c r="Q1425" s="2" t="b">
        <f>FALSE()</f>
        <v>0</v>
      </c>
      <c r="R1425">
        <v>1</v>
      </c>
    </row>
    <row r="1426" spans="1:18" x14ac:dyDescent="0.25">
      <c r="A1426">
        <v>201425</v>
      </c>
      <c r="B1426">
        <v>50288</v>
      </c>
      <c r="C1426" t="s">
        <v>34</v>
      </c>
      <c r="D1426">
        <v>2489.4899999999998</v>
      </c>
      <c r="E1426">
        <v>1299</v>
      </c>
      <c r="F1426">
        <v>2</v>
      </c>
      <c r="G1426">
        <v>2</v>
      </c>
      <c r="H1426">
        <v>0</v>
      </c>
      <c r="I1426" t="s">
        <v>33</v>
      </c>
      <c r="J1426">
        <v>0</v>
      </c>
      <c r="K1426">
        <v>59</v>
      </c>
      <c r="L1426" t="s">
        <v>24</v>
      </c>
      <c r="M1426" t="s">
        <v>29</v>
      </c>
      <c r="N1426" t="s">
        <v>22</v>
      </c>
      <c r="O1426" t="s">
        <v>36</v>
      </c>
      <c r="P1426">
        <v>1.69</v>
      </c>
      <c r="Q1426" s="2" t="b">
        <f>FALSE()</f>
        <v>0</v>
      </c>
      <c r="R1426">
        <v>0</v>
      </c>
    </row>
    <row r="1427" spans="1:18" x14ac:dyDescent="0.25">
      <c r="A1427">
        <v>201426</v>
      </c>
      <c r="B1427">
        <v>53471</v>
      </c>
      <c r="C1427" t="s">
        <v>18</v>
      </c>
      <c r="D1427">
        <v>1949.89</v>
      </c>
      <c r="E1427">
        <v>106</v>
      </c>
      <c r="F1427">
        <v>1</v>
      </c>
      <c r="G1427">
        <v>3</v>
      </c>
      <c r="H1427">
        <v>0</v>
      </c>
      <c r="I1427" t="s">
        <v>33</v>
      </c>
      <c r="J1427">
        <v>0</v>
      </c>
      <c r="K1427">
        <v>61</v>
      </c>
      <c r="L1427" t="s">
        <v>20</v>
      </c>
      <c r="M1427" t="s">
        <v>31</v>
      </c>
      <c r="N1427" t="s">
        <v>26</v>
      </c>
      <c r="O1427" t="s">
        <v>27</v>
      </c>
      <c r="P1427">
        <v>1.47</v>
      </c>
      <c r="Q1427" s="2" t="b">
        <f>FALSE()</f>
        <v>0</v>
      </c>
      <c r="R1427">
        <v>0</v>
      </c>
    </row>
    <row r="1428" spans="1:18" x14ac:dyDescent="0.25">
      <c r="A1428">
        <v>201427</v>
      </c>
      <c r="B1428">
        <v>55972</v>
      </c>
      <c r="C1428" t="s">
        <v>18</v>
      </c>
      <c r="D1428">
        <v>2672.39</v>
      </c>
      <c r="E1428">
        <v>2323</v>
      </c>
      <c r="F1428">
        <v>0</v>
      </c>
      <c r="G1428">
        <v>5</v>
      </c>
      <c r="H1428">
        <v>0</v>
      </c>
      <c r="I1428" t="s">
        <v>33</v>
      </c>
      <c r="J1428">
        <v>0</v>
      </c>
      <c r="K1428">
        <v>73</v>
      </c>
      <c r="L1428" t="s">
        <v>20</v>
      </c>
      <c r="M1428" t="s">
        <v>31</v>
      </c>
      <c r="N1428" t="s">
        <v>30</v>
      </c>
      <c r="O1428" t="s">
        <v>27</v>
      </c>
      <c r="P1428">
        <v>3.59</v>
      </c>
      <c r="Q1428" s="2" t="b">
        <f>FALSE()</f>
        <v>0</v>
      </c>
      <c r="R1428">
        <v>0</v>
      </c>
    </row>
    <row r="1429" spans="1:18" x14ac:dyDescent="0.25">
      <c r="A1429">
        <v>201428</v>
      </c>
      <c r="B1429">
        <v>50056</v>
      </c>
      <c r="C1429" t="s">
        <v>34</v>
      </c>
      <c r="D1429">
        <v>2899.15</v>
      </c>
      <c r="E1429">
        <v>2426</v>
      </c>
      <c r="F1429">
        <v>0</v>
      </c>
      <c r="G1429">
        <v>3</v>
      </c>
      <c r="H1429">
        <v>0</v>
      </c>
      <c r="I1429" t="s">
        <v>19</v>
      </c>
      <c r="J1429">
        <v>0</v>
      </c>
      <c r="K1429">
        <v>53</v>
      </c>
      <c r="L1429" t="s">
        <v>38</v>
      </c>
      <c r="M1429" t="s">
        <v>35</v>
      </c>
      <c r="N1429" t="s">
        <v>26</v>
      </c>
      <c r="O1429" t="s">
        <v>27</v>
      </c>
      <c r="P1429">
        <v>0.69</v>
      </c>
      <c r="Q1429" s="2" t="b">
        <f>FALSE()</f>
        <v>0</v>
      </c>
      <c r="R1429">
        <v>0</v>
      </c>
    </row>
    <row r="1430" spans="1:18" x14ac:dyDescent="0.25">
      <c r="A1430">
        <v>201429</v>
      </c>
      <c r="B1430">
        <v>53883</v>
      </c>
      <c r="C1430" t="s">
        <v>18</v>
      </c>
      <c r="D1430">
        <v>2848.02</v>
      </c>
      <c r="E1430">
        <v>52</v>
      </c>
      <c r="F1430">
        <v>2</v>
      </c>
      <c r="G1430">
        <v>3</v>
      </c>
      <c r="H1430">
        <v>0</v>
      </c>
      <c r="I1430" t="s">
        <v>19</v>
      </c>
      <c r="J1430">
        <v>0</v>
      </c>
      <c r="K1430">
        <v>74</v>
      </c>
      <c r="L1430" t="s">
        <v>20</v>
      </c>
      <c r="M1430" t="s">
        <v>25</v>
      </c>
      <c r="N1430" t="s">
        <v>22</v>
      </c>
      <c r="O1430" t="s">
        <v>27</v>
      </c>
      <c r="P1430">
        <v>7.22</v>
      </c>
      <c r="Q1430" s="2" t="b">
        <f>FALSE()</f>
        <v>0</v>
      </c>
      <c r="R1430">
        <v>0</v>
      </c>
    </row>
    <row r="1431" spans="1:18" x14ac:dyDescent="0.25">
      <c r="A1431">
        <v>201430</v>
      </c>
      <c r="B1431">
        <v>53422</v>
      </c>
      <c r="C1431" t="s">
        <v>18</v>
      </c>
      <c r="D1431">
        <v>1142.57</v>
      </c>
      <c r="E1431">
        <v>3564</v>
      </c>
      <c r="F1431">
        <v>1</v>
      </c>
      <c r="G1431">
        <v>6</v>
      </c>
      <c r="H1431">
        <v>0</v>
      </c>
      <c r="I1431" t="s">
        <v>19</v>
      </c>
      <c r="J1431">
        <v>0</v>
      </c>
      <c r="K1431">
        <v>30</v>
      </c>
      <c r="L1431" t="s">
        <v>20</v>
      </c>
      <c r="M1431" t="s">
        <v>31</v>
      </c>
      <c r="N1431" t="s">
        <v>30</v>
      </c>
      <c r="O1431" t="s">
        <v>36</v>
      </c>
      <c r="P1431">
        <v>0.89</v>
      </c>
      <c r="Q1431" s="2" t="b">
        <f>FALSE()</f>
        <v>0</v>
      </c>
      <c r="R1431">
        <v>0</v>
      </c>
    </row>
    <row r="1432" spans="1:18" x14ac:dyDescent="0.25">
      <c r="A1432">
        <v>201431</v>
      </c>
      <c r="B1432">
        <v>50502</v>
      </c>
      <c r="C1432" t="s">
        <v>18</v>
      </c>
      <c r="D1432">
        <v>2008.18</v>
      </c>
      <c r="E1432">
        <v>49</v>
      </c>
      <c r="F1432">
        <v>0</v>
      </c>
      <c r="G1432">
        <v>2</v>
      </c>
      <c r="H1432">
        <v>1</v>
      </c>
      <c r="I1432" t="s">
        <v>19</v>
      </c>
      <c r="J1432">
        <v>0</v>
      </c>
      <c r="K1432">
        <v>43</v>
      </c>
      <c r="L1432" t="s">
        <v>20</v>
      </c>
      <c r="M1432" t="s">
        <v>29</v>
      </c>
      <c r="N1432" t="s">
        <v>22</v>
      </c>
      <c r="O1432" t="s">
        <v>27</v>
      </c>
      <c r="P1432">
        <v>3.94</v>
      </c>
      <c r="Q1432" s="2" t="b">
        <f>FALSE()</f>
        <v>0</v>
      </c>
      <c r="R1432">
        <v>0</v>
      </c>
    </row>
    <row r="1433" spans="1:18" x14ac:dyDescent="0.25">
      <c r="A1433">
        <v>201432</v>
      </c>
      <c r="B1433">
        <v>52173</v>
      </c>
      <c r="C1433" t="s">
        <v>18</v>
      </c>
      <c r="D1433">
        <v>2600.02</v>
      </c>
      <c r="E1433">
        <v>1361</v>
      </c>
      <c r="F1433">
        <v>0</v>
      </c>
      <c r="G1433">
        <v>4</v>
      </c>
      <c r="H1433">
        <v>0</v>
      </c>
      <c r="I1433" t="s">
        <v>33</v>
      </c>
      <c r="J1433">
        <v>0</v>
      </c>
      <c r="K1433">
        <v>34</v>
      </c>
      <c r="L1433" t="s">
        <v>24</v>
      </c>
      <c r="M1433" t="s">
        <v>37</v>
      </c>
      <c r="N1433" t="s">
        <v>26</v>
      </c>
      <c r="O1433" t="s">
        <v>27</v>
      </c>
      <c r="P1433">
        <v>4.71</v>
      </c>
      <c r="Q1433" s="2" t="b">
        <f>FALSE()</f>
        <v>0</v>
      </c>
      <c r="R1433">
        <v>0</v>
      </c>
    </row>
    <row r="1434" spans="1:18" x14ac:dyDescent="0.25">
      <c r="A1434">
        <v>201433</v>
      </c>
      <c r="B1434">
        <v>55995</v>
      </c>
      <c r="C1434" t="s">
        <v>18</v>
      </c>
      <c r="D1434">
        <v>508.46</v>
      </c>
      <c r="E1434">
        <v>799</v>
      </c>
      <c r="F1434">
        <v>4</v>
      </c>
      <c r="G1434">
        <v>3</v>
      </c>
      <c r="H1434">
        <v>0</v>
      </c>
      <c r="I1434" t="s">
        <v>33</v>
      </c>
      <c r="J1434">
        <v>1</v>
      </c>
      <c r="K1434">
        <v>41</v>
      </c>
      <c r="L1434" t="s">
        <v>24</v>
      </c>
      <c r="M1434" t="s">
        <v>29</v>
      </c>
      <c r="N1434" t="s">
        <v>30</v>
      </c>
      <c r="O1434" t="s">
        <v>36</v>
      </c>
      <c r="P1434">
        <v>5.91</v>
      </c>
      <c r="Q1434" s="2" t="b">
        <f>FALSE()</f>
        <v>0</v>
      </c>
      <c r="R1434">
        <v>1</v>
      </c>
    </row>
    <row r="1435" spans="1:18" x14ac:dyDescent="0.25">
      <c r="A1435">
        <v>201434</v>
      </c>
      <c r="B1435">
        <v>54930</v>
      </c>
      <c r="C1435" t="s">
        <v>18</v>
      </c>
      <c r="D1435">
        <v>3431.01</v>
      </c>
      <c r="E1435">
        <v>2621</v>
      </c>
      <c r="F1435">
        <v>2</v>
      </c>
      <c r="G1435">
        <v>1</v>
      </c>
      <c r="H1435">
        <v>0</v>
      </c>
      <c r="I1435" t="s">
        <v>19</v>
      </c>
      <c r="J1435">
        <v>1</v>
      </c>
      <c r="K1435">
        <v>66</v>
      </c>
      <c r="L1435" t="s">
        <v>24</v>
      </c>
      <c r="M1435" t="s">
        <v>35</v>
      </c>
      <c r="N1435" t="s">
        <v>22</v>
      </c>
      <c r="O1435" t="s">
        <v>27</v>
      </c>
      <c r="P1435">
        <v>4.18</v>
      </c>
      <c r="Q1435" s="2" t="b">
        <f>FALSE()</f>
        <v>0</v>
      </c>
      <c r="R1435">
        <v>0</v>
      </c>
    </row>
    <row r="1436" spans="1:18" x14ac:dyDescent="0.25">
      <c r="A1436">
        <v>201435</v>
      </c>
      <c r="B1436">
        <v>55026</v>
      </c>
      <c r="C1436" t="s">
        <v>34</v>
      </c>
      <c r="D1436">
        <v>3307.88</v>
      </c>
      <c r="E1436">
        <v>1740</v>
      </c>
      <c r="F1436">
        <v>1</v>
      </c>
      <c r="G1436">
        <v>2</v>
      </c>
      <c r="H1436">
        <v>0</v>
      </c>
      <c r="I1436" t="s">
        <v>19</v>
      </c>
      <c r="J1436">
        <v>0</v>
      </c>
      <c r="K1436">
        <v>35</v>
      </c>
      <c r="L1436" t="s">
        <v>24</v>
      </c>
      <c r="M1436" t="s">
        <v>35</v>
      </c>
      <c r="N1436" t="s">
        <v>30</v>
      </c>
      <c r="O1436" t="s">
        <v>36</v>
      </c>
      <c r="P1436">
        <v>21.53</v>
      </c>
      <c r="Q1436" s="2" t="b">
        <f>FALSE()</f>
        <v>0</v>
      </c>
      <c r="R1436">
        <v>0</v>
      </c>
    </row>
    <row r="1437" spans="1:18" x14ac:dyDescent="0.25">
      <c r="A1437">
        <v>201436</v>
      </c>
      <c r="B1437">
        <v>54987</v>
      </c>
      <c r="C1437" t="s">
        <v>18</v>
      </c>
      <c r="D1437">
        <v>116.45</v>
      </c>
      <c r="E1437">
        <v>262</v>
      </c>
      <c r="F1437">
        <v>1</v>
      </c>
      <c r="G1437">
        <v>5</v>
      </c>
      <c r="H1437">
        <v>1</v>
      </c>
      <c r="I1437" t="s">
        <v>19</v>
      </c>
      <c r="J1437">
        <v>0</v>
      </c>
      <c r="K1437">
        <v>30</v>
      </c>
      <c r="L1437" t="s">
        <v>24</v>
      </c>
      <c r="M1437" t="s">
        <v>21</v>
      </c>
      <c r="N1437" t="s">
        <v>30</v>
      </c>
      <c r="O1437" t="s">
        <v>36</v>
      </c>
      <c r="P1437">
        <v>1.51</v>
      </c>
      <c r="Q1437" s="2" t="b">
        <f>FALSE()</f>
        <v>0</v>
      </c>
      <c r="R1437">
        <v>0</v>
      </c>
    </row>
    <row r="1438" spans="1:18" x14ac:dyDescent="0.25">
      <c r="A1438">
        <v>201437</v>
      </c>
      <c r="B1438">
        <v>53818</v>
      </c>
      <c r="C1438" t="s">
        <v>34</v>
      </c>
      <c r="D1438">
        <v>960.34</v>
      </c>
      <c r="E1438">
        <v>2393</v>
      </c>
      <c r="F1438">
        <v>3</v>
      </c>
      <c r="G1438">
        <v>4</v>
      </c>
      <c r="H1438">
        <v>0</v>
      </c>
      <c r="I1438" t="s">
        <v>32</v>
      </c>
      <c r="J1438">
        <v>0</v>
      </c>
      <c r="K1438">
        <v>64</v>
      </c>
      <c r="L1438" t="s">
        <v>24</v>
      </c>
      <c r="M1438" t="s">
        <v>29</v>
      </c>
      <c r="N1438" t="s">
        <v>30</v>
      </c>
      <c r="O1438" t="s">
        <v>23</v>
      </c>
      <c r="P1438">
        <v>0.42</v>
      </c>
      <c r="Q1438" s="2" t="b">
        <f>FALSE()</f>
        <v>0</v>
      </c>
      <c r="R1438">
        <v>1</v>
      </c>
    </row>
    <row r="1439" spans="1:18" x14ac:dyDescent="0.25">
      <c r="A1439">
        <v>201438</v>
      </c>
      <c r="B1439">
        <v>55549</v>
      </c>
      <c r="C1439" t="s">
        <v>18</v>
      </c>
      <c r="D1439">
        <v>699.07</v>
      </c>
      <c r="E1439">
        <v>1779</v>
      </c>
      <c r="F1439">
        <v>0</v>
      </c>
      <c r="G1439">
        <v>6</v>
      </c>
      <c r="H1439">
        <v>0</v>
      </c>
      <c r="I1439" t="s">
        <v>19</v>
      </c>
      <c r="J1439">
        <v>0</v>
      </c>
      <c r="K1439">
        <v>54</v>
      </c>
      <c r="L1439" t="s">
        <v>24</v>
      </c>
      <c r="M1439" t="s">
        <v>31</v>
      </c>
      <c r="N1439" t="s">
        <v>26</v>
      </c>
      <c r="O1439" t="s">
        <v>23</v>
      </c>
      <c r="P1439">
        <v>1.36</v>
      </c>
      <c r="Q1439" s="2" t="b">
        <f>FALSE()</f>
        <v>0</v>
      </c>
      <c r="R1439">
        <v>0</v>
      </c>
    </row>
    <row r="1440" spans="1:18" x14ac:dyDescent="0.25">
      <c r="A1440">
        <v>201439</v>
      </c>
      <c r="B1440">
        <v>50039</v>
      </c>
      <c r="C1440" t="s">
        <v>34</v>
      </c>
      <c r="D1440">
        <v>2411.56</v>
      </c>
      <c r="E1440">
        <v>2992</v>
      </c>
      <c r="F1440">
        <v>0</v>
      </c>
      <c r="G1440">
        <v>4</v>
      </c>
      <c r="H1440">
        <v>0</v>
      </c>
      <c r="I1440" t="s">
        <v>33</v>
      </c>
      <c r="J1440">
        <v>0</v>
      </c>
      <c r="K1440">
        <v>81</v>
      </c>
      <c r="L1440" t="s">
        <v>24</v>
      </c>
      <c r="M1440" t="s">
        <v>25</v>
      </c>
      <c r="N1440" t="s">
        <v>22</v>
      </c>
      <c r="O1440" t="s">
        <v>27</v>
      </c>
      <c r="P1440">
        <v>6.12</v>
      </c>
      <c r="Q1440" s="2" t="b">
        <f>FALSE()</f>
        <v>0</v>
      </c>
      <c r="R1440">
        <v>0</v>
      </c>
    </row>
    <row r="1441" spans="1:18" x14ac:dyDescent="0.25">
      <c r="A1441">
        <v>201440</v>
      </c>
      <c r="B1441">
        <v>51866</v>
      </c>
      <c r="C1441" t="s">
        <v>28</v>
      </c>
      <c r="D1441">
        <v>1413.07</v>
      </c>
      <c r="E1441">
        <v>544</v>
      </c>
      <c r="F1441">
        <v>1</v>
      </c>
      <c r="G1441">
        <v>2</v>
      </c>
      <c r="H1441">
        <v>1</v>
      </c>
      <c r="I1441" t="s">
        <v>33</v>
      </c>
      <c r="J1441">
        <v>0</v>
      </c>
      <c r="K1441">
        <v>79</v>
      </c>
      <c r="L1441" t="s">
        <v>20</v>
      </c>
      <c r="M1441" t="s">
        <v>35</v>
      </c>
      <c r="N1441" t="s">
        <v>22</v>
      </c>
      <c r="O1441" t="s">
        <v>36</v>
      </c>
      <c r="P1441">
        <v>6.85</v>
      </c>
      <c r="Q1441" s="2" t="b">
        <f>FALSE()</f>
        <v>0</v>
      </c>
      <c r="R1441">
        <v>0</v>
      </c>
    </row>
    <row r="1442" spans="1:18" x14ac:dyDescent="0.25">
      <c r="A1442">
        <v>201441</v>
      </c>
      <c r="B1442">
        <v>54107</v>
      </c>
      <c r="C1442" t="s">
        <v>34</v>
      </c>
      <c r="D1442">
        <v>5590.03</v>
      </c>
      <c r="E1442">
        <v>1889</v>
      </c>
      <c r="F1442">
        <v>0</v>
      </c>
      <c r="G1442">
        <v>2</v>
      </c>
      <c r="H1442">
        <v>0</v>
      </c>
      <c r="I1442" t="s">
        <v>32</v>
      </c>
      <c r="J1442">
        <v>0</v>
      </c>
      <c r="K1442">
        <v>54</v>
      </c>
      <c r="L1442" t="s">
        <v>24</v>
      </c>
      <c r="M1442" t="s">
        <v>37</v>
      </c>
      <c r="N1442" t="s">
        <v>30</v>
      </c>
      <c r="O1442" t="s">
        <v>23</v>
      </c>
      <c r="P1442">
        <v>4.08</v>
      </c>
      <c r="Q1442" s="2" t="b">
        <f>FALSE()</f>
        <v>0</v>
      </c>
      <c r="R1442">
        <v>1</v>
      </c>
    </row>
    <row r="1443" spans="1:18" x14ac:dyDescent="0.25">
      <c r="A1443">
        <v>201442</v>
      </c>
      <c r="B1443">
        <v>55259</v>
      </c>
      <c r="C1443" t="s">
        <v>34</v>
      </c>
      <c r="D1443">
        <v>712.83</v>
      </c>
      <c r="E1443">
        <v>1013</v>
      </c>
      <c r="F1443">
        <v>1</v>
      </c>
      <c r="G1443">
        <v>3</v>
      </c>
      <c r="H1443">
        <v>0</v>
      </c>
      <c r="I1443" t="s">
        <v>33</v>
      </c>
      <c r="J1443">
        <v>1</v>
      </c>
      <c r="K1443">
        <v>55</v>
      </c>
      <c r="L1443" t="s">
        <v>24</v>
      </c>
      <c r="M1443" t="s">
        <v>29</v>
      </c>
      <c r="N1443" t="s">
        <v>22</v>
      </c>
      <c r="O1443" t="s">
        <v>36</v>
      </c>
      <c r="P1443">
        <v>1.28</v>
      </c>
      <c r="Q1443" s="2" t="b">
        <f>FALSE()</f>
        <v>0</v>
      </c>
      <c r="R1443">
        <v>0</v>
      </c>
    </row>
    <row r="1444" spans="1:18" x14ac:dyDescent="0.25">
      <c r="A1444">
        <v>201443</v>
      </c>
      <c r="B1444">
        <v>50728</v>
      </c>
      <c r="C1444" t="s">
        <v>18</v>
      </c>
      <c r="D1444">
        <v>2063.3200000000002</v>
      </c>
      <c r="E1444">
        <v>505</v>
      </c>
      <c r="F1444">
        <v>4</v>
      </c>
      <c r="G1444">
        <v>3</v>
      </c>
      <c r="H1444">
        <v>0</v>
      </c>
      <c r="I1444" t="s">
        <v>33</v>
      </c>
      <c r="J1444">
        <v>0</v>
      </c>
      <c r="K1444">
        <v>31</v>
      </c>
      <c r="L1444" t="s">
        <v>24</v>
      </c>
      <c r="M1444" t="s">
        <v>37</v>
      </c>
      <c r="N1444" t="s">
        <v>22</v>
      </c>
      <c r="O1444" t="s">
        <v>23</v>
      </c>
      <c r="P1444">
        <v>3.16</v>
      </c>
      <c r="Q1444" s="2" t="b">
        <f>FALSE()</f>
        <v>0</v>
      </c>
      <c r="R1444">
        <v>1</v>
      </c>
    </row>
    <row r="1445" spans="1:18" x14ac:dyDescent="0.25">
      <c r="A1445">
        <v>201444</v>
      </c>
      <c r="B1445">
        <v>54322</v>
      </c>
      <c r="C1445" t="s">
        <v>34</v>
      </c>
      <c r="D1445">
        <v>1617.64</v>
      </c>
      <c r="E1445">
        <v>945</v>
      </c>
      <c r="F1445">
        <v>4</v>
      </c>
      <c r="G1445">
        <v>3</v>
      </c>
      <c r="H1445">
        <v>0</v>
      </c>
      <c r="I1445" t="s">
        <v>19</v>
      </c>
      <c r="J1445">
        <v>1</v>
      </c>
      <c r="K1445">
        <v>70</v>
      </c>
      <c r="L1445" t="s">
        <v>20</v>
      </c>
      <c r="M1445" t="s">
        <v>25</v>
      </c>
      <c r="N1445" t="s">
        <v>22</v>
      </c>
      <c r="O1445" t="s">
        <v>36</v>
      </c>
      <c r="P1445">
        <v>0.97</v>
      </c>
      <c r="Q1445" s="2" t="b">
        <f>FALSE()</f>
        <v>0</v>
      </c>
      <c r="R1445">
        <v>1</v>
      </c>
    </row>
    <row r="1446" spans="1:18" x14ac:dyDescent="0.25">
      <c r="A1446">
        <v>201445</v>
      </c>
      <c r="B1446">
        <v>50683</v>
      </c>
      <c r="C1446" t="s">
        <v>18</v>
      </c>
      <c r="D1446">
        <v>3613.33</v>
      </c>
      <c r="E1446">
        <v>10</v>
      </c>
      <c r="F1446">
        <v>1</v>
      </c>
      <c r="G1446">
        <v>2</v>
      </c>
      <c r="H1446">
        <v>1</v>
      </c>
      <c r="I1446" t="s">
        <v>19</v>
      </c>
      <c r="J1446">
        <v>0</v>
      </c>
      <c r="K1446">
        <v>42</v>
      </c>
      <c r="L1446" t="s">
        <v>20</v>
      </c>
      <c r="M1446" t="s">
        <v>31</v>
      </c>
      <c r="N1446" t="s">
        <v>30</v>
      </c>
      <c r="O1446" t="s">
        <v>23</v>
      </c>
      <c r="P1446">
        <v>8.2200000000000006</v>
      </c>
      <c r="Q1446" s="2" t="b">
        <f>FALSE()</f>
        <v>0</v>
      </c>
      <c r="R1446">
        <v>1</v>
      </c>
    </row>
    <row r="1447" spans="1:18" x14ac:dyDescent="0.25">
      <c r="A1447">
        <v>201446</v>
      </c>
      <c r="B1447">
        <v>51541</v>
      </c>
      <c r="C1447" t="s">
        <v>18</v>
      </c>
      <c r="D1447">
        <v>2257.92</v>
      </c>
      <c r="E1447">
        <v>2740</v>
      </c>
      <c r="F1447">
        <v>2</v>
      </c>
      <c r="G1447">
        <v>5</v>
      </c>
      <c r="H1447">
        <v>0</v>
      </c>
      <c r="I1447" t="s">
        <v>32</v>
      </c>
      <c r="J1447">
        <v>0</v>
      </c>
      <c r="K1447">
        <v>36</v>
      </c>
      <c r="L1447" t="s">
        <v>24</v>
      </c>
      <c r="M1447" t="s">
        <v>31</v>
      </c>
      <c r="N1447" t="s">
        <v>22</v>
      </c>
      <c r="O1447" t="s">
        <v>36</v>
      </c>
      <c r="P1447">
        <v>1.8</v>
      </c>
      <c r="Q1447" s="2" t="b">
        <f>FALSE()</f>
        <v>0</v>
      </c>
      <c r="R1447">
        <v>0</v>
      </c>
    </row>
    <row r="1448" spans="1:18" x14ac:dyDescent="0.25">
      <c r="A1448">
        <v>201447</v>
      </c>
      <c r="B1448">
        <v>52175</v>
      </c>
      <c r="C1448" t="s">
        <v>18</v>
      </c>
      <c r="D1448">
        <v>3554.57</v>
      </c>
      <c r="E1448">
        <v>2979</v>
      </c>
      <c r="F1448">
        <v>0</v>
      </c>
      <c r="G1448">
        <v>1</v>
      </c>
      <c r="H1448">
        <v>0</v>
      </c>
      <c r="I1448" t="s">
        <v>33</v>
      </c>
      <c r="J1448">
        <v>0</v>
      </c>
      <c r="K1448">
        <v>63</v>
      </c>
      <c r="L1448" t="s">
        <v>20</v>
      </c>
      <c r="M1448" t="s">
        <v>29</v>
      </c>
      <c r="N1448" t="s">
        <v>30</v>
      </c>
      <c r="O1448" t="s">
        <v>23</v>
      </c>
      <c r="P1448">
        <v>2.73</v>
      </c>
      <c r="Q1448" s="2" t="b">
        <f>FALSE()</f>
        <v>0</v>
      </c>
      <c r="R1448">
        <v>0</v>
      </c>
    </row>
    <row r="1449" spans="1:18" x14ac:dyDescent="0.25">
      <c r="A1449">
        <v>201448</v>
      </c>
      <c r="B1449">
        <v>50519</v>
      </c>
      <c r="C1449" t="s">
        <v>18</v>
      </c>
      <c r="D1449">
        <v>4280.82</v>
      </c>
      <c r="E1449">
        <v>253</v>
      </c>
      <c r="F1449">
        <v>1</v>
      </c>
      <c r="G1449">
        <v>2</v>
      </c>
      <c r="H1449">
        <v>0</v>
      </c>
      <c r="I1449" t="s">
        <v>33</v>
      </c>
      <c r="J1449">
        <v>1</v>
      </c>
      <c r="K1449">
        <v>22</v>
      </c>
      <c r="L1449" t="s">
        <v>38</v>
      </c>
      <c r="M1449" t="s">
        <v>37</v>
      </c>
      <c r="N1449" t="s">
        <v>30</v>
      </c>
      <c r="O1449" t="s">
        <v>36</v>
      </c>
      <c r="P1449">
        <v>0.45</v>
      </c>
      <c r="Q1449" s="2" t="b">
        <f>FALSE()</f>
        <v>0</v>
      </c>
      <c r="R1449">
        <v>1</v>
      </c>
    </row>
    <row r="1450" spans="1:18" x14ac:dyDescent="0.25">
      <c r="A1450">
        <v>201449</v>
      </c>
      <c r="B1450">
        <v>55348</v>
      </c>
      <c r="C1450" t="s">
        <v>34</v>
      </c>
      <c r="D1450">
        <v>2264.2800000000002</v>
      </c>
      <c r="E1450">
        <v>3635</v>
      </c>
      <c r="F1450">
        <v>2</v>
      </c>
      <c r="G1450">
        <v>9</v>
      </c>
      <c r="H1450">
        <v>0</v>
      </c>
      <c r="I1450" t="s">
        <v>19</v>
      </c>
      <c r="J1450">
        <v>0</v>
      </c>
      <c r="K1450">
        <v>68</v>
      </c>
      <c r="L1450" t="s">
        <v>24</v>
      </c>
      <c r="M1450" t="s">
        <v>37</v>
      </c>
      <c r="N1450" t="s">
        <v>22</v>
      </c>
      <c r="O1450" t="s">
        <v>36</v>
      </c>
      <c r="P1450">
        <v>3.73</v>
      </c>
      <c r="Q1450" s="2" t="b">
        <f>FALSE()</f>
        <v>0</v>
      </c>
      <c r="R1450">
        <v>1</v>
      </c>
    </row>
    <row r="1451" spans="1:18" x14ac:dyDescent="0.25">
      <c r="A1451">
        <v>201450</v>
      </c>
      <c r="B1451">
        <v>52492</v>
      </c>
      <c r="C1451" t="s">
        <v>18</v>
      </c>
      <c r="D1451">
        <v>2176.2600000000002</v>
      </c>
      <c r="E1451">
        <v>2202</v>
      </c>
      <c r="F1451">
        <v>2</v>
      </c>
      <c r="G1451">
        <v>3</v>
      </c>
      <c r="H1451">
        <v>0</v>
      </c>
      <c r="I1451" t="s">
        <v>33</v>
      </c>
      <c r="J1451">
        <v>0</v>
      </c>
      <c r="K1451">
        <v>60</v>
      </c>
      <c r="L1451" t="s">
        <v>20</v>
      </c>
      <c r="M1451" t="s">
        <v>21</v>
      </c>
      <c r="N1451" t="s">
        <v>22</v>
      </c>
      <c r="O1451" t="s">
        <v>36</v>
      </c>
      <c r="P1451">
        <v>3.97</v>
      </c>
      <c r="Q1451" s="2" t="b">
        <f>FALSE()</f>
        <v>0</v>
      </c>
      <c r="R1451">
        <v>0</v>
      </c>
    </row>
    <row r="1452" spans="1:18" x14ac:dyDescent="0.25">
      <c r="A1452">
        <v>201451</v>
      </c>
      <c r="B1452">
        <v>50901</v>
      </c>
      <c r="C1452" t="s">
        <v>18</v>
      </c>
      <c r="D1452">
        <v>1407.43</v>
      </c>
      <c r="E1452">
        <v>552</v>
      </c>
      <c r="F1452">
        <v>0</v>
      </c>
      <c r="G1452">
        <v>8</v>
      </c>
      <c r="H1452">
        <v>0</v>
      </c>
      <c r="I1452" t="s">
        <v>19</v>
      </c>
      <c r="J1452">
        <v>1</v>
      </c>
      <c r="K1452">
        <v>28</v>
      </c>
      <c r="L1452" t="s">
        <v>20</v>
      </c>
      <c r="M1452" t="s">
        <v>31</v>
      </c>
      <c r="N1452" t="s">
        <v>26</v>
      </c>
      <c r="O1452" t="s">
        <v>36</v>
      </c>
      <c r="P1452">
        <v>8.09</v>
      </c>
      <c r="Q1452" s="2" t="b">
        <f>FALSE()</f>
        <v>0</v>
      </c>
      <c r="R1452">
        <v>1</v>
      </c>
    </row>
    <row r="1453" spans="1:18" x14ac:dyDescent="0.25">
      <c r="A1453">
        <v>201452</v>
      </c>
      <c r="B1453">
        <v>52062</v>
      </c>
      <c r="C1453" t="s">
        <v>18</v>
      </c>
      <c r="D1453">
        <v>2692.12</v>
      </c>
      <c r="E1453">
        <v>2340</v>
      </c>
      <c r="F1453">
        <v>0</v>
      </c>
      <c r="G1453">
        <v>8</v>
      </c>
      <c r="H1453">
        <v>0</v>
      </c>
      <c r="I1453" t="s">
        <v>32</v>
      </c>
      <c r="J1453">
        <v>0</v>
      </c>
      <c r="K1453">
        <v>28</v>
      </c>
      <c r="L1453" t="s">
        <v>24</v>
      </c>
      <c r="M1453" t="s">
        <v>29</v>
      </c>
      <c r="N1453" t="s">
        <v>22</v>
      </c>
      <c r="O1453" t="s">
        <v>36</v>
      </c>
      <c r="P1453">
        <v>4.0999999999999996</v>
      </c>
      <c r="Q1453" s="2" t="b">
        <f>FALSE()</f>
        <v>0</v>
      </c>
      <c r="R1453">
        <v>1</v>
      </c>
    </row>
    <row r="1454" spans="1:18" x14ac:dyDescent="0.25">
      <c r="A1454">
        <v>201453</v>
      </c>
      <c r="B1454">
        <v>50813</v>
      </c>
      <c r="C1454" t="s">
        <v>28</v>
      </c>
      <c r="D1454">
        <v>1991.77</v>
      </c>
      <c r="E1454">
        <v>3588</v>
      </c>
      <c r="F1454">
        <v>1</v>
      </c>
      <c r="G1454">
        <v>2</v>
      </c>
      <c r="H1454">
        <v>0</v>
      </c>
      <c r="I1454" t="s">
        <v>33</v>
      </c>
      <c r="J1454">
        <v>0</v>
      </c>
      <c r="K1454">
        <v>61</v>
      </c>
      <c r="L1454" t="s">
        <v>24</v>
      </c>
      <c r="M1454" t="s">
        <v>35</v>
      </c>
      <c r="N1454" t="s">
        <v>22</v>
      </c>
      <c r="O1454" t="s">
        <v>36</v>
      </c>
      <c r="P1454">
        <v>3.89</v>
      </c>
      <c r="Q1454" s="2" t="b">
        <f>FALSE()</f>
        <v>0</v>
      </c>
      <c r="R1454">
        <v>0</v>
      </c>
    </row>
    <row r="1455" spans="1:18" x14ac:dyDescent="0.25">
      <c r="A1455">
        <v>201454</v>
      </c>
      <c r="B1455">
        <v>52515</v>
      </c>
      <c r="C1455" t="s">
        <v>34</v>
      </c>
      <c r="D1455">
        <v>814.51</v>
      </c>
      <c r="E1455">
        <v>2835</v>
      </c>
      <c r="F1455">
        <v>0</v>
      </c>
      <c r="G1455">
        <v>2</v>
      </c>
      <c r="H1455">
        <v>0</v>
      </c>
      <c r="I1455" t="s">
        <v>33</v>
      </c>
      <c r="J1455">
        <v>0</v>
      </c>
      <c r="K1455">
        <v>33</v>
      </c>
      <c r="L1455" t="s">
        <v>24</v>
      </c>
      <c r="M1455" t="s">
        <v>25</v>
      </c>
      <c r="N1455" t="s">
        <v>30</v>
      </c>
      <c r="O1455" t="s">
        <v>36</v>
      </c>
      <c r="P1455">
        <v>4.78</v>
      </c>
      <c r="Q1455" s="2" t="b">
        <f>FALSE()</f>
        <v>0</v>
      </c>
      <c r="R1455">
        <v>0</v>
      </c>
    </row>
    <row r="1456" spans="1:18" x14ac:dyDescent="0.25">
      <c r="A1456">
        <v>201455</v>
      </c>
      <c r="B1456">
        <v>52395</v>
      </c>
      <c r="C1456" t="s">
        <v>18</v>
      </c>
      <c r="D1456">
        <v>2290.92</v>
      </c>
      <c r="E1456">
        <v>3412</v>
      </c>
      <c r="F1456">
        <v>0</v>
      </c>
      <c r="G1456">
        <v>2</v>
      </c>
      <c r="H1456">
        <v>0</v>
      </c>
      <c r="I1456" t="s">
        <v>33</v>
      </c>
      <c r="J1456">
        <v>0</v>
      </c>
      <c r="K1456">
        <v>54</v>
      </c>
      <c r="L1456" t="s">
        <v>24</v>
      </c>
      <c r="M1456" t="s">
        <v>25</v>
      </c>
      <c r="N1456" t="s">
        <v>30</v>
      </c>
      <c r="O1456" t="s">
        <v>27</v>
      </c>
      <c r="P1456">
        <v>0.64</v>
      </c>
      <c r="Q1456" s="2" t="b">
        <f>FALSE()</f>
        <v>0</v>
      </c>
      <c r="R1456">
        <v>0</v>
      </c>
    </row>
    <row r="1457" spans="1:18" x14ac:dyDescent="0.25">
      <c r="A1457">
        <v>201456</v>
      </c>
      <c r="B1457">
        <v>53810</v>
      </c>
      <c r="C1457" t="s">
        <v>18</v>
      </c>
      <c r="D1457">
        <v>901.05</v>
      </c>
      <c r="E1457">
        <v>3530</v>
      </c>
      <c r="F1457">
        <v>2</v>
      </c>
      <c r="G1457">
        <v>3</v>
      </c>
      <c r="H1457">
        <v>0</v>
      </c>
      <c r="I1457" t="s">
        <v>33</v>
      </c>
      <c r="J1457">
        <v>0</v>
      </c>
      <c r="K1457">
        <v>76</v>
      </c>
      <c r="L1457" t="s">
        <v>20</v>
      </c>
      <c r="M1457" t="s">
        <v>31</v>
      </c>
      <c r="N1457" t="s">
        <v>26</v>
      </c>
      <c r="O1457" t="s">
        <v>27</v>
      </c>
      <c r="P1457">
        <v>0.08</v>
      </c>
      <c r="Q1457" s="2" t="b">
        <f>FALSE()</f>
        <v>0</v>
      </c>
      <c r="R1457">
        <v>0</v>
      </c>
    </row>
    <row r="1458" spans="1:18" x14ac:dyDescent="0.25">
      <c r="A1458">
        <v>201457</v>
      </c>
      <c r="B1458">
        <v>51302</v>
      </c>
      <c r="C1458" t="s">
        <v>34</v>
      </c>
      <c r="D1458">
        <v>4018.11</v>
      </c>
      <c r="E1458">
        <v>974</v>
      </c>
      <c r="F1458">
        <v>1</v>
      </c>
      <c r="G1458">
        <v>3</v>
      </c>
      <c r="H1458">
        <v>0</v>
      </c>
      <c r="I1458" t="s">
        <v>33</v>
      </c>
      <c r="J1458">
        <v>1</v>
      </c>
      <c r="K1458">
        <v>78</v>
      </c>
      <c r="L1458" t="s">
        <v>24</v>
      </c>
      <c r="M1458" t="s">
        <v>37</v>
      </c>
      <c r="N1458" t="s">
        <v>30</v>
      </c>
      <c r="O1458" t="s">
        <v>36</v>
      </c>
      <c r="P1458">
        <v>12.87</v>
      </c>
      <c r="Q1458" s="2" t="b">
        <f>FALSE()</f>
        <v>0</v>
      </c>
      <c r="R1458">
        <v>1</v>
      </c>
    </row>
    <row r="1459" spans="1:18" x14ac:dyDescent="0.25">
      <c r="A1459">
        <v>201458</v>
      </c>
      <c r="B1459">
        <v>52933</v>
      </c>
      <c r="C1459" t="s">
        <v>28</v>
      </c>
      <c r="D1459">
        <v>2229.27</v>
      </c>
      <c r="E1459">
        <v>2746</v>
      </c>
      <c r="F1459">
        <v>0</v>
      </c>
      <c r="G1459">
        <v>3</v>
      </c>
      <c r="H1459">
        <v>0</v>
      </c>
      <c r="I1459" t="s">
        <v>19</v>
      </c>
      <c r="J1459">
        <v>0</v>
      </c>
      <c r="K1459">
        <v>84</v>
      </c>
      <c r="L1459" t="s">
        <v>20</v>
      </c>
      <c r="M1459" t="s">
        <v>35</v>
      </c>
      <c r="N1459" t="s">
        <v>22</v>
      </c>
      <c r="O1459" t="s">
        <v>27</v>
      </c>
      <c r="P1459">
        <v>0.33</v>
      </c>
      <c r="Q1459" s="2" t="b">
        <f>FALSE()</f>
        <v>0</v>
      </c>
      <c r="R1459">
        <v>0</v>
      </c>
    </row>
    <row r="1460" spans="1:18" x14ac:dyDescent="0.25">
      <c r="A1460">
        <v>201459</v>
      </c>
      <c r="B1460">
        <v>50128</v>
      </c>
      <c r="C1460" t="s">
        <v>28</v>
      </c>
      <c r="D1460">
        <v>3043.06</v>
      </c>
      <c r="E1460">
        <v>2057</v>
      </c>
      <c r="F1460">
        <v>1</v>
      </c>
      <c r="G1460">
        <v>5</v>
      </c>
      <c r="H1460">
        <v>0</v>
      </c>
      <c r="I1460" t="s">
        <v>33</v>
      </c>
      <c r="J1460">
        <v>0</v>
      </c>
      <c r="K1460">
        <v>37</v>
      </c>
      <c r="L1460" t="s">
        <v>24</v>
      </c>
      <c r="M1460" t="s">
        <v>31</v>
      </c>
      <c r="N1460" t="s">
        <v>22</v>
      </c>
      <c r="O1460" t="s">
        <v>27</v>
      </c>
      <c r="P1460">
        <v>0.56000000000000005</v>
      </c>
      <c r="Q1460" s="2" t="b">
        <f>FALSE()</f>
        <v>0</v>
      </c>
      <c r="R1460">
        <v>0</v>
      </c>
    </row>
    <row r="1461" spans="1:18" x14ac:dyDescent="0.25">
      <c r="A1461">
        <v>201460</v>
      </c>
      <c r="B1461">
        <v>50338</v>
      </c>
      <c r="C1461" t="s">
        <v>18</v>
      </c>
      <c r="D1461">
        <v>2093.69</v>
      </c>
      <c r="E1461">
        <v>2755</v>
      </c>
      <c r="F1461">
        <v>2</v>
      </c>
      <c r="G1461">
        <v>2</v>
      </c>
      <c r="H1461">
        <v>0</v>
      </c>
      <c r="I1461" t="s">
        <v>19</v>
      </c>
      <c r="J1461">
        <v>0</v>
      </c>
      <c r="K1461">
        <v>27</v>
      </c>
      <c r="L1461" t="s">
        <v>20</v>
      </c>
      <c r="M1461" t="s">
        <v>21</v>
      </c>
      <c r="N1461" t="s">
        <v>30</v>
      </c>
      <c r="O1461" t="s">
        <v>27</v>
      </c>
      <c r="P1461">
        <v>1.34</v>
      </c>
      <c r="Q1461" s="2" t="b">
        <f>FALSE()</f>
        <v>0</v>
      </c>
      <c r="R1461">
        <v>0</v>
      </c>
    </row>
    <row r="1462" spans="1:18" x14ac:dyDescent="0.25">
      <c r="A1462">
        <v>201461</v>
      </c>
      <c r="B1462">
        <v>50495</v>
      </c>
      <c r="C1462" t="s">
        <v>34</v>
      </c>
      <c r="D1462">
        <v>190.11</v>
      </c>
      <c r="E1462">
        <v>1726</v>
      </c>
      <c r="F1462">
        <v>1</v>
      </c>
      <c r="G1462">
        <v>1</v>
      </c>
      <c r="H1462">
        <v>1</v>
      </c>
      <c r="I1462" t="s">
        <v>32</v>
      </c>
      <c r="J1462">
        <v>1</v>
      </c>
      <c r="K1462">
        <v>82</v>
      </c>
      <c r="L1462" t="s">
        <v>24</v>
      </c>
      <c r="M1462" t="s">
        <v>21</v>
      </c>
      <c r="N1462" t="s">
        <v>22</v>
      </c>
      <c r="O1462" t="s">
        <v>27</v>
      </c>
      <c r="P1462">
        <v>3.65</v>
      </c>
      <c r="Q1462" s="2" t="b">
        <f>FALSE()</f>
        <v>0</v>
      </c>
      <c r="R1462">
        <v>0</v>
      </c>
    </row>
    <row r="1463" spans="1:18" x14ac:dyDescent="0.25">
      <c r="A1463">
        <v>201462</v>
      </c>
      <c r="B1463">
        <v>52625</v>
      </c>
      <c r="C1463" t="s">
        <v>34</v>
      </c>
      <c r="D1463">
        <v>1048.6500000000001</v>
      </c>
      <c r="E1463">
        <v>1090</v>
      </c>
      <c r="F1463">
        <v>2</v>
      </c>
      <c r="G1463">
        <v>2</v>
      </c>
      <c r="H1463">
        <v>0</v>
      </c>
      <c r="I1463" t="s">
        <v>19</v>
      </c>
      <c r="J1463">
        <v>0</v>
      </c>
      <c r="K1463">
        <v>65</v>
      </c>
      <c r="L1463" t="s">
        <v>20</v>
      </c>
      <c r="M1463" t="s">
        <v>21</v>
      </c>
      <c r="N1463" t="s">
        <v>22</v>
      </c>
      <c r="O1463" t="s">
        <v>27</v>
      </c>
      <c r="P1463">
        <v>9.3699999999999992</v>
      </c>
      <c r="Q1463" s="2" t="b">
        <f>FALSE()</f>
        <v>0</v>
      </c>
      <c r="R1463">
        <v>0</v>
      </c>
    </row>
    <row r="1464" spans="1:18" x14ac:dyDescent="0.25">
      <c r="A1464">
        <v>201463</v>
      </c>
      <c r="B1464">
        <v>52340</v>
      </c>
      <c r="C1464" t="s">
        <v>18</v>
      </c>
      <c r="D1464">
        <v>2834.56</v>
      </c>
      <c r="E1464">
        <v>631</v>
      </c>
      <c r="F1464">
        <v>1</v>
      </c>
      <c r="G1464">
        <v>3</v>
      </c>
      <c r="H1464">
        <v>0</v>
      </c>
      <c r="I1464" t="s">
        <v>19</v>
      </c>
      <c r="J1464">
        <v>0</v>
      </c>
      <c r="K1464">
        <v>61</v>
      </c>
      <c r="L1464" t="s">
        <v>20</v>
      </c>
      <c r="M1464" t="s">
        <v>31</v>
      </c>
      <c r="N1464" t="s">
        <v>30</v>
      </c>
      <c r="O1464" t="s">
        <v>27</v>
      </c>
      <c r="P1464">
        <v>0.03</v>
      </c>
      <c r="Q1464" s="2" t="b">
        <f>FALSE()</f>
        <v>0</v>
      </c>
      <c r="R1464">
        <v>0</v>
      </c>
    </row>
    <row r="1465" spans="1:18" x14ac:dyDescent="0.25">
      <c r="A1465">
        <v>201464</v>
      </c>
      <c r="B1465">
        <v>51471</v>
      </c>
      <c r="C1465" t="s">
        <v>18</v>
      </c>
      <c r="D1465">
        <v>4766.04</v>
      </c>
      <c r="E1465">
        <v>220</v>
      </c>
      <c r="F1465">
        <v>2</v>
      </c>
      <c r="G1465">
        <v>8</v>
      </c>
      <c r="H1465">
        <v>0</v>
      </c>
      <c r="I1465" t="s">
        <v>33</v>
      </c>
      <c r="J1465">
        <v>0</v>
      </c>
      <c r="K1465">
        <v>57</v>
      </c>
      <c r="L1465" t="s">
        <v>24</v>
      </c>
      <c r="M1465" t="s">
        <v>29</v>
      </c>
      <c r="N1465" t="s">
        <v>22</v>
      </c>
      <c r="O1465" t="s">
        <v>36</v>
      </c>
      <c r="P1465">
        <v>0.18</v>
      </c>
      <c r="Q1465" s="2" t="b">
        <f>FALSE()</f>
        <v>0</v>
      </c>
      <c r="R1465">
        <v>1</v>
      </c>
    </row>
    <row r="1466" spans="1:18" x14ac:dyDescent="0.25">
      <c r="A1466">
        <v>201465</v>
      </c>
      <c r="B1466">
        <v>55173</v>
      </c>
      <c r="C1466" t="s">
        <v>18</v>
      </c>
      <c r="D1466">
        <v>1225.4100000000001</v>
      </c>
      <c r="E1466">
        <v>1518</v>
      </c>
      <c r="F1466">
        <v>1</v>
      </c>
      <c r="G1466">
        <v>3</v>
      </c>
      <c r="H1466">
        <v>0</v>
      </c>
      <c r="I1466" t="s">
        <v>33</v>
      </c>
      <c r="J1466">
        <v>1</v>
      </c>
      <c r="K1466">
        <v>70</v>
      </c>
      <c r="L1466" t="s">
        <v>24</v>
      </c>
      <c r="M1466" t="s">
        <v>25</v>
      </c>
      <c r="N1466" t="s">
        <v>30</v>
      </c>
      <c r="O1466" t="s">
        <v>23</v>
      </c>
      <c r="P1466">
        <v>2.11</v>
      </c>
      <c r="Q1466" s="2" t="b">
        <f>FALSE()</f>
        <v>0</v>
      </c>
      <c r="R1466">
        <v>0</v>
      </c>
    </row>
    <row r="1467" spans="1:18" x14ac:dyDescent="0.25">
      <c r="A1467">
        <v>201466</v>
      </c>
      <c r="B1467">
        <v>55341</v>
      </c>
      <c r="C1467" t="s">
        <v>34</v>
      </c>
      <c r="D1467">
        <v>710.06</v>
      </c>
      <c r="E1467">
        <v>3295</v>
      </c>
      <c r="F1467">
        <v>1</v>
      </c>
      <c r="G1467">
        <v>6</v>
      </c>
      <c r="H1467">
        <v>0</v>
      </c>
      <c r="I1467" t="s">
        <v>33</v>
      </c>
      <c r="J1467">
        <v>1</v>
      </c>
      <c r="K1467">
        <v>75</v>
      </c>
      <c r="L1467" t="s">
        <v>24</v>
      </c>
      <c r="M1467" t="s">
        <v>35</v>
      </c>
      <c r="N1467" t="s">
        <v>30</v>
      </c>
      <c r="O1467" t="s">
        <v>27</v>
      </c>
      <c r="P1467">
        <v>2.36</v>
      </c>
      <c r="Q1467" s="2" t="b">
        <f>FALSE()</f>
        <v>0</v>
      </c>
      <c r="R1467">
        <v>0</v>
      </c>
    </row>
    <row r="1468" spans="1:18" x14ac:dyDescent="0.25">
      <c r="A1468">
        <v>201467</v>
      </c>
      <c r="B1468">
        <v>51806</v>
      </c>
      <c r="C1468" t="s">
        <v>18</v>
      </c>
      <c r="D1468">
        <v>2230.42</v>
      </c>
      <c r="E1468">
        <v>729</v>
      </c>
      <c r="F1468">
        <v>0</v>
      </c>
      <c r="G1468">
        <v>5</v>
      </c>
      <c r="H1468">
        <v>1</v>
      </c>
      <c r="I1468" t="s">
        <v>33</v>
      </c>
      <c r="J1468">
        <v>0</v>
      </c>
      <c r="K1468">
        <v>41</v>
      </c>
      <c r="L1468" t="s">
        <v>24</v>
      </c>
      <c r="M1468" t="s">
        <v>21</v>
      </c>
      <c r="N1468" t="s">
        <v>22</v>
      </c>
      <c r="O1468" t="s">
        <v>36</v>
      </c>
      <c r="P1468">
        <v>1.1399999999999999</v>
      </c>
      <c r="Q1468" s="2" t="b">
        <f>FALSE()</f>
        <v>0</v>
      </c>
      <c r="R1468">
        <v>0</v>
      </c>
    </row>
    <row r="1469" spans="1:18" x14ac:dyDescent="0.25">
      <c r="A1469">
        <v>201468</v>
      </c>
      <c r="B1469">
        <v>52853</v>
      </c>
      <c r="C1469" t="s">
        <v>34</v>
      </c>
      <c r="D1469">
        <v>750.53</v>
      </c>
      <c r="E1469">
        <v>3193</v>
      </c>
      <c r="F1469">
        <v>1</v>
      </c>
      <c r="G1469">
        <v>6</v>
      </c>
      <c r="H1469">
        <v>0</v>
      </c>
      <c r="I1469" t="s">
        <v>19</v>
      </c>
      <c r="J1469">
        <v>0</v>
      </c>
      <c r="K1469">
        <v>45</v>
      </c>
      <c r="L1469" t="s">
        <v>24</v>
      </c>
      <c r="M1469" t="s">
        <v>21</v>
      </c>
      <c r="N1469" t="s">
        <v>22</v>
      </c>
      <c r="O1469" t="s">
        <v>27</v>
      </c>
      <c r="P1469">
        <v>10.69</v>
      </c>
      <c r="Q1469" s="2" t="b">
        <f>FALSE()</f>
        <v>0</v>
      </c>
      <c r="R1469">
        <v>0</v>
      </c>
    </row>
    <row r="1470" spans="1:18" x14ac:dyDescent="0.25">
      <c r="A1470">
        <v>201469</v>
      </c>
      <c r="B1470">
        <v>52762</v>
      </c>
      <c r="C1470" t="s">
        <v>18</v>
      </c>
      <c r="D1470">
        <v>1971.97</v>
      </c>
      <c r="E1470">
        <v>2612</v>
      </c>
      <c r="F1470">
        <v>1</v>
      </c>
      <c r="G1470">
        <v>6</v>
      </c>
      <c r="H1470">
        <v>0</v>
      </c>
      <c r="I1470" t="s">
        <v>19</v>
      </c>
      <c r="J1470">
        <v>0</v>
      </c>
      <c r="K1470">
        <v>26</v>
      </c>
      <c r="L1470" t="s">
        <v>20</v>
      </c>
      <c r="M1470" t="s">
        <v>31</v>
      </c>
      <c r="N1470" t="s">
        <v>22</v>
      </c>
      <c r="O1470" t="s">
        <v>23</v>
      </c>
      <c r="P1470">
        <v>5.62</v>
      </c>
      <c r="Q1470" s="2" t="b">
        <f>FALSE()</f>
        <v>0</v>
      </c>
      <c r="R1470">
        <v>0</v>
      </c>
    </row>
    <row r="1471" spans="1:18" x14ac:dyDescent="0.25">
      <c r="A1471">
        <v>201470</v>
      </c>
      <c r="B1471">
        <v>51690</v>
      </c>
      <c r="C1471" t="s">
        <v>34</v>
      </c>
      <c r="D1471">
        <v>3977.3</v>
      </c>
      <c r="E1471">
        <v>2638</v>
      </c>
      <c r="F1471">
        <v>2</v>
      </c>
      <c r="G1471">
        <v>7</v>
      </c>
      <c r="H1471">
        <v>0</v>
      </c>
      <c r="I1471" t="s">
        <v>19</v>
      </c>
      <c r="J1471">
        <v>0</v>
      </c>
      <c r="K1471">
        <v>68</v>
      </c>
      <c r="L1471" t="s">
        <v>24</v>
      </c>
      <c r="M1471" t="s">
        <v>37</v>
      </c>
      <c r="N1471" t="s">
        <v>30</v>
      </c>
      <c r="O1471" t="s">
        <v>27</v>
      </c>
      <c r="P1471">
        <v>1.84</v>
      </c>
      <c r="Q1471" s="2" t="b">
        <f>FALSE()</f>
        <v>0</v>
      </c>
      <c r="R1471">
        <v>1</v>
      </c>
    </row>
    <row r="1472" spans="1:18" x14ac:dyDescent="0.25">
      <c r="A1472">
        <v>201471</v>
      </c>
      <c r="B1472">
        <v>50991</v>
      </c>
      <c r="C1472" t="s">
        <v>34</v>
      </c>
      <c r="D1472">
        <v>2244.81</v>
      </c>
      <c r="E1472">
        <v>1866</v>
      </c>
      <c r="F1472">
        <v>2</v>
      </c>
      <c r="G1472">
        <v>5</v>
      </c>
      <c r="H1472">
        <v>1</v>
      </c>
      <c r="I1472" t="s">
        <v>33</v>
      </c>
      <c r="J1472">
        <v>0</v>
      </c>
      <c r="K1472">
        <v>51</v>
      </c>
      <c r="L1472" t="s">
        <v>24</v>
      </c>
      <c r="M1472" t="s">
        <v>35</v>
      </c>
      <c r="N1472" t="s">
        <v>26</v>
      </c>
      <c r="O1472" t="s">
        <v>23</v>
      </c>
      <c r="P1472">
        <v>0.7</v>
      </c>
      <c r="Q1472" s="2" t="b">
        <f>FALSE()</f>
        <v>0</v>
      </c>
      <c r="R1472">
        <v>0</v>
      </c>
    </row>
    <row r="1473" spans="1:18" x14ac:dyDescent="0.25">
      <c r="A1473">
        <v>201472</v>
      </c>
      <c r="B1473">
        <v>52785</v>
      </c>
      <c r="C1473" t="s">
        <v>18</v>
      </c>
      <c r="D1473">
        <v>448.22</v>
      </c>
      <c r="E1473">
        <v>999</v>
      </c>
      <c r="F1473">
        <v>0</v>
      </c>
      <c r="G1473">
        <v>2</v>
      </c>
      <c r="H1473">
        <v>1</v>
      </c>
      <c r="I1473" t="s">
        <v>33</v>
      </c>
      <c r="J1473">
        <v>0</v>
      </c>
      <c r="K1473">
        <v>48</v>
      </c>
      <c r="L1473" t="s">
        <v>20</v>
      </c>
      <c r="M1473" t="s">
        <v>37</v>
      </c>
      <c r="N1473" t="s">
        <v>30</v>
      </c>
      <c r="O1473" t="s">
        <v>27</v>
      </c>
      <c r="P1473">
        <v>0.36</v>
      </c>
      <c r="Q1473" s="2" t="b">
        <f>FALSE()</f>
        <v>0</v>
      </c>
      <c r="R1473">
        <v>0</v>
      </c>
    </row>
    <row r="1474" spans="1:18" x14ac:dyDescent="0.25">
      <c r="A1474">
        <v>201473</v>
      </c>
      <c r="B1474">
        <v>55076</v>
      </c>
      <c r="C1474" t="s">
        <v>28</v>
      </c>
      <c r="D1474">
        <v>5677.81</v>
      </c>
      <c r="E1474">
        <v>998</v>
      </c>
      <c r="F1474">
        <v>1</v>
      </c>
      <c r="G1474">
        <v>1</v>
      </c>
      <c r="H1474">
        <v>0</v>
      </c>
      <c r="I1474" t="s">
        <v>19</v>
      </c>
      <c r="J1474">
        <v>1</v>
      </c>
      <c r="K1474">
        <v>34</v>
      </c>
      <c r="L1474" t="s">
        <v>24</v>
      </c>
      <c r="M1474" t="s">
        <v>35</v>
      </c>
      <c r="N1474" t="s">
        <v>30</v>
      </c>
      <c r="O1474" t="s">
        <v>27</v>
      </c>
      <c r="P1474">
        <v>1.56</v>
      </c>
      <c r="Q1474" s="2" t="b">
        <f>FALSE()</f>
        <v>0</v>
      </c>
      <c r="R1474">
        <v>1</v>
      </c>
    </row>
    <row r="1475" spans="1:18" x14ac:dyDescent="0.25">
      <c r="A1475">
        <v>201474</v>
      </c>
      <c r="B1475">
        <v>52429</v>
      </c>
      <c r="C1475" t="s">
        <v>18</v>
      </c>
      <c r="D1475">
        <v>3095.64</v>
      </c>
      <c r="E1475">
        <v>2932</v>
      </c>
      <c r="F1475">
        <v>2</v>
      </c>
      <c r="G1475">
        <v>4</v>
      </c>
      <c r="H1475">
        <v>0</v>
      </c>
      <c r="I1475" t="s">
        <v>19</v>
      </c>
      <c r="J1475">
        <v>0</v>
      </c>
      <c r="K1475">
        <v>24</v>
      </c>
      <c r="L1475" t="s">
        <v>20</v>
      </c>
      <c r="M1475" t="s">
        <v>35</v>
      </c>
      <c r="N1475" t="s">
        <v>22</v>
      </c>
      <c r="O1475" t="s">
        <v>23</v>
      </c>
      <c r="P1475">
        <v>0</v>
      </c>
      <c r="Q1475" s="2" t="b">
        <f>FALSE()</f>
        <v>0</v>
      </c>
      <c r="R1475">
        <v>0</v>
      </c>
    </row>
    <row r="1476" spans="1:18" x14ac:dyDescent="0.25">
      <c r="A1476">
        <v>201475</v>
      </c>
      <c r="B1476">
        <v>51908</v>
      </c>
      <c r="C1476" t="s">
        <v>18</v>
      </c>
      <c r="D1476">
        <v>3825.83</v>
      </c>
      <c r="E1476">
        <v>1636</v>
      </c>
      <c r="F1476">
        <v>0</v>
      </c>
      <c r="G1476">
        <v>3</v>
      </c>
      <c r="H1476">
        <v>0</v>
      </c>
      <c r="I1476" t="s">
        <v>32</v>
      </c>
      <c r="J1476">
        <v>0</v>
      </c>
      <c r="K1476">
        <v>84</v>
      </c>
      <c r="L1476" t="s">
        <v>20</v>
      </c>
      <c r="M1476" t="s">
        <v>31</v>
      </c>
      <c r="N1476" t="s">
        <v>22</v>
      </c>
      <c r="O1476" t="s">
        <v>36</v>
      </c>
      <c r="P1476">
        <v>13.42</v>
      </c>
      <c r="Q1476" s="2" t="b">
        <f>FALSE()</f>
        <v>0</v>
      </c>
      <c r="R1476">
        <v>1</v>
      </c>
    </row>
    <row r="1477" spans="1:18" x14ac:dyDescent="0.25">
      <c r="A1477">
        <v>201476</v>
      </c>
      <c r="B1477">
        <v>50793</v>
      </c>
      <c r="C1477" t="s">
        <v>18</v>
      </c>
      <c r="D1477">
        <v>1999.35</v>
      </c>
      <c r="E1477">
        <v>1830</v>
      </c>
      <c r="F1477">
        <v>1</v>
      </c>
      <c r="G1477">
        <v>3</v>
      </c>
      <c r="H1477">
        <v>1</v>
      </c>
      <c r="I1477" t="s">
        <v>33</v>
      </c>
      <c r="J1477">
        <v>0</v>
      </c>
      <c r="K1477">
        <v>39</v>
      </c>
      <c r="L1477" t="s">
        <v>20</v>
      </c>
      <c r="M1477" t="s">
        <v>25</v>
      </c>
      <c r="N1477" t="s">
        <v>30</v>
      </c>
      <c r="O1477" t="s">
        <v>27</v>
      </c>
      <c r="P1477">
        <v>4.9400000000000004</v>
      </c>
      <c r="Q1477" s="2" t="b">
        <f>FALSE()</f>
        <v>0</v>
      </c>
      <c r="R1477">
        <v>0</v>
      </c>
    </row>
    <row r="1478" spans="1:18" x14ac:dyDescent="0.25">
      <c r="A1478">
        <v>201477</v>
      </c>
      <c r="B1478">
        <v>50952</v>
      </c>
      <c r="C1478" t="s">
        <v>28</v>
      </c>
      <c r="D1478">
        <v>7691.55</v>
      </c>
      <c r="E1478">
        <v>1369</v>
      </c>
      <c r="F1478">
        <v>2</v>
      </c>
      <c r="G1478">
        <v>3</v>
      </c>
      <c r="H1478">
        <v>0</v>
      </c>
      <c r="I1478" t="s">
        <v>33</v>
      </c>
      <c r="J1478">
        <v>0</v>
      </c>
      <c r="K1478">
        <v>78</v>
      </c>
      <c r="L1478" t="s">
        <v>24</v>
      </c>
      <c r="M1478" t="s">
        <v>37</v>
      </c>
      <c r="N1478" t="s">
        <v>30</v>
      </c>
      <c r="O1478" t="s">
        <v>27</v>
      </c>
      <c r="P1478">
        <v>1.17</v>
      </c>
      <c r="Q1478" s="2" t="b">
        <f>TRUE()</f>
        <v>1</v>
      </c>
      <c r="R1478">
        <v>1</v>
      </c>
    </row>
    <row r="1479" spans="1:18" x14ac:dyDescent="0.25">
      <c r="A1479">
        <v>201478</v>
      </c>
      <c r="B1479">
        <v>52175</v>
      </c>
      <c r="C1479" t="s">
        <v>18</v>
      </c>
      <c r="D1479">
        <v>3310.3</v>
      </c>
      <c r="E1479">
        <v>40</v>
      </c>
      <c r="F1479">
        <v>1</v>
      </c>
      <c r="G1479">
        <v>6</v>
      </c>
      <c r="H1479">
        <v>0</v>
      </c>
      <c r="I1479" t="s">
        <v>33</v>
      </c>
      <c r="J1479">
        <v>0</v>
      </c>
      <c r="K1479">
        <v>68</v>
      </c>
      <c r="L1479" t="s">
        <v>24</v>
      </c>
      <c r="M1479" t="s">
        <v>37</v>
      </c>
      <c r="N1479" t="s">
        <v>30</v>
      </c>
      <c r="O1479" t="s">
        <v>36</v>
      </c>
      <c r="P1479">
        <v>5.87</v>
      </c>
      <c r="Q1479" s="2" t="b">
        <f>FALSE()</f>
        <v>0</v>
      </c>
      <c r="R1479">
        <v>0</v>
      </c>
    </row>
    <row r="1480" spans="1:18" x14ac:dyDescent="0.25">
      <c r="A1480">
        <v>201479</v>
      </c>
      <c r="B1480">
        <v>52614</v>
      </c>
      <c r="C1480" t="s">
        <v>18</v>
      </c>
      <c r="D1480">
        <v>7370.53</v>
      </c>
      <c r="E1480">
        <v>2832</v>
      </c>
      <c r="F1480">
        <v>1</v>
      </c>
      <c r="G1480">
        <v>3</v>
      </c>
      <c r="H1480">
        <v>0</v>
      </c>
      <c r="I1480" t="s">
        <v>19</v>
      </c>
      <c r="J1480">
        <v>0</v>
      </c>
      <c r="K1480">
        <v>72</v>
      </c>
      <c r="L1480" t="s">
        <v>20</v>
      </c>
      <c r="M1480" t="s">
        <v>37</v>
      </c>
      <c r="N1480" t="s">
        <v>22</v>
      </c>
      <c r="O1480" t="s">
        <v>27</v>
      </c>
      <c r="P1480">
        <v>0.38</v>
      </c>
      <c r="Q1480" s="2" t="b">
        <f>TRUE()</f>
        <v>1</v>
      </c>
      <c r="R1480">
        <v>1</v>
      </c>
    </row>
    <row r="1481" spans="1:18" x14ac:dyDescent="0.25">
      <c r="A1481">
        <v>201480</v>
      </c>
      <c r="B1481">
        <v>53759</v>
      </c>
      <c r="C1481" t="s">
        <v>18</v>
      </c>
      <c r="D1481">
        <v>252.31</v>
      </c>
      <c r="E1481">
        <v>1768</v>
      </c>
      <c r="F1481">
        <v>0</v>
      </c>
      <c r="G1481">
        <v>5</v>
      </c>
      <c r="H1481">
        <v>0</v>
      </c>
      <c r="I1481" t="s">
        <v>19</v>
      </c>
      <c r="J1481">
        <v>0</v>
      </c>
      <c r="K1481">
        <v>28</v>
      </c>
      <c r="L1481" t="s">
        <v>24</v>
      </c>
      <c r="M1481" t="s">
        <v>25</v>
      </c>
      <c r="N1481" t="s">
        <v>22</v>
      </c>
      <c r="O1481" t="s">
        <v>27</v>
      </c>
      <c r="P1481">
        <v>6.34</v>
      </c>
      <c r="Q1481" s="2" t="b">
        <f>FALSE()</f>
        <v>0</v>
      </c>
      <c r="R1481">
        <v>0</v>
      </c>
    </row>
    <row r="1482" spans="1:18" x14ac:dyDescent="0.25">
      <c r="A1482">
        <v>201481</v>
      </c>
      <c r="B1482">
        <v>52285</v>
      </c>
      <c r="C1482" t="s">
        <v>34</v>
      </c>
      <c r="D1482">
        <v>1574.13</v>
      </c>
      <c r="E1482">
        <v>2507</v>
      </c>
      <c r="F1482">
        <v>3</v>
      </c>
      <c r="G1482">
        <v>2</v>
      </c>
      <c r="H1482">
        <v>0</v>
      </c>
      <c r="I1482" t="s">
        <v>33</v>
      </c>
      <c r="J1482">
        <v>0</v>
      </c>
      <c r="K1482">
        <v>26</v>
      </c>
      <c r="L1482" t="s">
        <v>20</v>
      </c>
      <c r="M1482" t="s">
        <v>21</v>
      </c>
      <c r="N1482" t="s">
        <v>22</v>
      </c>
      <c r="O1482" t="s">
        <v>23</v>
      </c>
      <c r="P1482">
        <v>1.01</v>
      </c>
      <c r="Q1482" s="2" t="b">
        <f>FALSE()</f>
        <v>0</v>
      </c>
      <c r="R1482">
        <v>1</v>
      </c>
    </row>
    <row r="1483" spans="1:18" x14ac:dyDescent="0.25">
      <c r="A1483">
        <v>201482</v>
      </c>
      <c r="B1483">
        <v>53190</v>
      </c>
      <c r="C1483" t="s">
        <v>34</v>
      </c>
      <c r="D1483">
        <v>1931.9</v>
      </c>
      <c r="E1483">
        <v>1976</v>
      </c>
      <c r="F1483">
        <v>0</v>
      </c>
      <c r="G1483">
        <v>6</v>
      </c>
      <c r="H1483">
        <v>1</v>
      </c>
      <c r="I1483" t="s">
        <v>19</v>
      </c>
      <c r="J1483">
        <v>0</v>
      </c>
      <c r="K1483">
        <v>26</v>
      </c>
      <c r="L1483" t="s">
        <v>20</v>
      </c>
      <c r="M1483" t="s">
        <v>35</v>
      </c>
      <c r="N1483" t="s">
        <v>22</v>
      </c>
      <c r="O1483" t="s">
        <v>36</v>
      </c>
      <c r="P1483">
        <v>1.29</v>
      </c>
      <c r="Q1483" s="2" t="b">
        <f>FALSE()</f>
        <v>0</v>
      </c>
      <c r="R1483">
        <v>0</v>
      </c>
    </row>
    <row r="1484" spans="1:18" x14ac:dyDescent="0.25">
      <c r="A1484">
        <v>201483</v>
      </c>
      <c r="B1484">
        <v>51599</v>
      </c>
      <c r="C1484" t="s">
        <v>18</v>
      </c>
      <c r="D1484">
        <v>1976.01</v>
      </c>
      <c r="E1484">
        <v>3398</v>
      </c>
      <c r="F1484">
        <v>3</v>
      </c>
      <c r="G1484">
        <v>2</v>
      </c>
      <c r="H1484">
        <v>1</v>
      </c>
      <c r="I1484" t="s">
        <v>32</v>
      </c>
      <c r="J1484">
        <v>0</v>
      </c>
      <c r="K1484">
        <v>72</v>
      </c>
      <c r="L1484" t="s">
        <v>20</v>
      </c>
      <c r="M1484" t="s">
        <v>21</v>
      </c>
      <c r="N1484" t="s">
        <v>30</v>
      </c>
      <c r="O1484" t="s">
        <v>27</v>
      </c>
      <c r="P1484">
        <v>2.4900000000000002</v>
      </c>
      <c r="Q1484" s="2" t="b">
        <f>FALSE()</f>
        <v>0</v>
      </c>
      <c r="R1484">
        <v>1</v>
      </c>
    </row>
    <row r="1485" spans="1:18" x14ac:dyDescent="0.25">
      <c r="A1485">
        <v>201484</v>
      </c>
      <c r="B1485">
        <v>54054</v>
      </c>
      <c r="C1485" t="s">
        <v>34</v>
      </c>
      <c r="D1485">
        <v>4134.22</v>
      </c>
      <c r="E1485">
        <v>2341</v>
      </c>
      <c r="F1485">
        <v>0</v>
      </c>
      <c r="G1485">
        <v>6</v>
      </c>
      <c r="H1485">
        <v>0</v>
      </c>
      <c r="I1485" t="s">
        <v>19</v>
      </c>
      <c r="J1485">
        <v>0</v>
      </c>
      <c r="K1485">
        <v>26</v>
      </c>
      <c r="L1485" t="s">
        <v>20</v>
      </c>
      <c r="M1485" t="s">
        <v>29</v>
      </c>
      <c r="N1485" t="s">
        <v>22</v>
      </c>
      <c r="O1485" t="s">
        <v>27</v>
      </c>
      <c r="P1485">
        <v>1.78</v>
      </c>
      <c r="Q1485" s="2" t="b">
        <f>FALSE()</f>
        <v>0</v>
      </c>
      <c r="R1485">
        <v>1</v>
      </c>
    </row>
    <row r="1486" spans="1:18" x14ac:dyDescent="0.25">
      <c r="A1486">
        <v>201485</v>
      </c>
      <c r="B1486">
        <v>54895</v>
      </c>
      <c r="C1486" t="s">
        <v>18</v>
      </c>
      <c r="D1486">
        <v>2432.19</v>
      </c>
      <c r="E1486">
        <v>2782</v>
      </c>
      <c r="F1486">
        <v>3</v>
      </c>
      <c r="G1486">
        <v>6</v>
      </c>
      <c r="H1486">
        <v>0</v>
      </c>
      <c r="I1486" t="s">
        <v>32</v>
      </c>
      <c r="J1486">
        <v>0</v>
      </c>
      <c r="K1486">
        <v>72</v>
      </c>
      <c r="L1486" t="s">
        <v>20</v>
      </c>
      <c r="M1486" t="s">
        <v>29</v>
      </c>
      <c r="N1486" t="s">
        <v>30</v>
      </c>
      <c r="O1486" t="s">
        <v>27</v>
      </c>
      <c r="P1486">
        <v>1.67</v>
      </c>
      <c r="Q1486" s="2" t="b">
        <f>FALSE()</f>
        <v>0</v>
      </c>
      <c r="R1486">
        <v>1</v>
      </c>
    </row>
    <row r="1487" spans="1:18" x14ac:dyDescent="0.25">
      <c r="A1487">
        <v>201486</v>
      </c>
      <c r="B1487">
        <v>53124</v>
      </c>
      <c r="C1487" t="s">
        <v>18</v>
      </c>
      <c r="D1487">
        <v>4027.79</v>
      </c>
      <c r="E1487">
        <v>242</v>
      </c>
      <c r="F1487">
        <v>2</v>
      </c>
      <c r="G1487">
        <v>7</v>
      </c>
      <c r="H1487">
        <v>1</v>
      </c>
      <c r="I1487" t="s">
        <v>33</v>
      </c>
      <c r="J1487">
        <v>0</v>
      </c>
      <c r="K1487">
        <v>84</v>
      </c>
      <c r="L1487" t="s">
        <v>24</v>
      </c>
      <c r="M1487" t="s">
        <v>31</v>
      </c>
      <c r="N1487" t="s">
        <v>22</v>
      </c>
      <c r="O1487" t="s">
        <v>36</v>
      </c>
      <c r="P1487">
        <v>4.1100000000000003</v>
      </c>
      <c r="Q1487" s="2" t="b">
        <f>FALSE()</f>
        <v>0</v>
      </c>
      <c r="R1487">
        <v>1</v>
      </c>
    </row>
    <row r="1488" spans="1:18" x14ac:dyDescent="0.25">
      <c r="A1488">
        <v>201487</v>
      </c>
      <c r="B1488">
        <v>51316</v>
      </c>
      <c r="C1488" t="s">
        <v>28</v>
      </c>
      <c r="D1488">
        <v>2064.6999999999998</v>
      </c>
      <c r="E1488">
        <v>817</v>
      </c>
      <c r="F1488">
        <v>3</v>
      </c>
      <c r="G1488">
        <v>4</v>
      </c>
      <c r="H1488">
        <v>0</v>
      </c>
      <c r="I1488" t="s">
        <v>33</v>
      </c>
      <c r="J1488">
        <v>0</v>
      </c>
      <c r="K1488">
        <v>62</v>
      </c>
      <c r="L1488" t="s">
        <v>24</v>
      </c>
      <c r="M1488" t="s">
        <v>29</v>
      </c>
      <c r="N1488" t="s">
        <v>22</v>
      </c>
      <c r="O1488" t="s">
        <v>23</v>
      </c>
      <c r="P1488">
        <v>0.14000000000000001</v>
      </c>
      <c r="Q1488" s="2" t="b">
        <f>FALSE()</f>
        <v>0</v>
      </c>
      <c r="R1488">
        <v>1</v>
      </c>
    </row>
    <row r="1489" spans="1:18" x14ac:dyDescent="0.25">
      <c r="A1489">
        <v>201488</v>
      </c>
      <c r="B1489">
        <v>55184</v>
      </c>
      <c r="C1489" t="s">
        <v>18</v>
      </c>
      <c r="D1489">
        <v>5825.6</v>
      </c>
      <c r="E1489">
        <v>2152</v>
      </c>
      <c r="F1489">
        <v>2</v>
      </c>
      <c r="G1489">
        <v>9</v>
      </c>
      <c r="H1489">
        <v>0</v>
      </c>
      <c r="I1489" t="s">
        <v>33</v>
      </c>
      <c r="J1489">
        <v>1</v>
      </c>
      <c r="K1489">
        <v>46</v>
      </c>
      <c r="L1489" t="s">
        <v>24</v>
      </c>
      <c r="M1489" t="s">
        <v>31</v>
      </c>
      <c r="N1489" t="s">
        <v>22</v>
      </c>
      <c r="O1489" t="s">
        <v>27</v>
      </c>
      <c r="P1489">
        <v>0.75</v>
      </c>
      <c r="Q1489" s="2" t="b">
        <f>FALSE()</f>
        <v>0</v>
      </c>
      <c r="R1489">
        <v>1</v>
      </c>
    </row>
    <row r="1490" spans="1:18" x14ac:dyDescent="0.25">
      <c r="A1490">
        <v>201489</v>
      </c>
      <c r="B1490">
        <v>52927</v>
      </c>
      <c r="C1490" t="s">
        <v>34</v>
      </c>
      <c r="D1490">
        <v>1938.03</v>
      </c>
      <c r="E1490">
        <v>769</v>
      </c>
      <c r="F1490">
        <v>0</v>
      </c>
      <c r="G1490">
        <v>8</v>
      </c>
      <c r="H1490">
        <v>0</v>
      </c>
      <c r="I1490" t="s">
        <v>33</v>
      </c>
      <c r="J1490">
        <v>0</v>
      </c>
      <c r="K1490">
        <v>41</v>
      </c>
      <c r="L1490" t="s">
        <v>24</v>
      </c>
      <c r="M1490" t="s">
        <v>25</v>
      </c>
      <c r="N1490" t="s">
        <v>22</v>
      </c>
      <c r="O1490" t="s">
        <v>23</v>
      </c>
      <c r="P1490">
        <v>0.13</v>
      </c>
      <c r="Q1490" s="2" t="b">
        <f>FALSE()</f>
        <v>0</v>
      </c>
      <c r="R1490">
        <v>1</v>
      </c>
    </row>
    <row r="1491" spans="1:18" x14ac:dyDescent="0.25">
      <c r="A1491">
        <v>201490</v>
      </c>
      <c r="B1491">
        <v>54086</v>
      </c>
      <c r="C1491" t="s">
        <v>34</v>
      </c>
      <c r="D1491">
        <v>2865.62</v>
      </c>
      <c r="E1491">
        <v>3238</v>
      </c>
      <c r="F1491">
        <v>2</v>
      </c>
      <c r="G1491">
        <v>4</v>
      </c>
      <c r="H1491">
        <v>1</v>
      </c>
      <c r="I1491" t="s">
        <v>19</v>
      </c>
      <c r="J1491">
        <v>0</v>
      </c>
      <c r="K1491">
        <v>62</v>
      </c>
      <c r="L1491" t="s">
        <v>24</v>
      </c>
      <c r="M1491" t="s">
        <v>25</v>
      </c>
      <c r="N1491" t="s">
        <v>22</v>
      </c>
      <c r="O1491" t="s">
        <v>23</v>
      </c>
      <c r="P1491">
        <v>10.06</v>
      </c>
      <c r="Q1491" s="2" t="b">
        <f>FALSE()</f>
        <v>0</v>
      </c>
      <c r="R1491">
        <v>0</v>
      </c>
    </row>
    <row r="1492" spans="1:18" x14ac:dyDescent="0.25">
      <c r="A1492">
        <v>201491</v>
      </c>
      <c r="B1492">
        <v>50889</v>
      </c>
      <c r="C1492" t="s">
        <v>34</v>
      </c>
      <c r="D1492">
        <v>1788.91</v>
      </c>
      <c r="E1492">
        <v>3070</v>
      </c>
      <c r="F1492">
        <v>0</v>
      </c>
      <c r="G1492">
        <v>3</v>
      </c>
      <c r="H1492">
        <v>0</v>
      </c>
      <c r="I1492" t="s">
        <v>33</v>
      </c>
      <c r="J1492">
        <v>0</v>
      </c>
      <c r="K1492">
        <v>73</v>
      </c>
      <c r="L1492" t="s">
        <v>20</v>
      </c>
      <c r="M1492" t="s">
        <v>35</v>
      </c>
      <c r="N1492" t="s">
        <v>30</v>
      </c>
      <c r="O1492" t="s">
        <v>23</v>
      </c>
      <c r="P1492">
        <v>0.15</v>
      </c>
      <c r="Q1492" s="2" t="b">
        <f>FALSE()</f>
        <v>0</v>
      </c>
      <c r="R1492">
        <v>0</v>
      </c>
    </row>
    <row r="1493" spans="1:18" x14ac:dyDescent="0.25">
      <c r="A1493">
        <v>201492</v>
      </c>
      <c r="B1493">
        <v>54415</v>
      </c>
      <c r="C1493" t="s">
        <v>34</v>
      </c>
      <c r="D1493">
        <v>1972.54</v>
      </c>
      <c r="E1493">
        <v>2487</v>
      </c>
      <c r="F1493">
        <v>1</v>
      </c>
      <c r="G1493">
        <v>2</v>
      </c>
      <c r="H1493">
        <v>0</v>
      </c>
      <c r="I1493" t="s">
        <v>32</v>
      </c>
      <c r="J1493">
        <v>0</v>
      </c>
      <c r="K1493">
        <v>67</v>
      </c>
      <c r="L1493" t="s">
        <v>20</v>
      </c>
      <c r="M1493" t="s">
        <v>37</v>
      </c>
      <c r="N1493" t="s">
        <v>22</v>
      </c>
      <c r="O1493" t="s">
        <v>27</v>
      </c>
      <c r="P1493">
        <v>2.68</v>
      </c>
      <c r="Q1493" s="2" t="b">
        <f>FALSE()</f>
        <v>0</v>
      </c>
      <c r="R1493">
        <v>0</v>
      </c>
    </row>
    <row r="1494" spans="1:18" x14ac:dyDescent="0.25">
      <c r="A1494">
        <v>201493</v>
      </c>
      <c r="B1494">
        <v>50518</v>
      </c>
      <c r="C1494" t="s">
        <v>18</v>
      </c>
      <c r="D1494">
        <v>1764.66</v>
      </c>
      <c r="E1494">
        <v>47</v>
      </c>
      <c r="F1494">
        <v>1</v>
      </c>
      <c r="G1494">
        <v>4</v>
      </c>
      <c r="H1494">
        <v>0</v>
      </c>
      <c r="I1494" t="s">
        <v>33</v>
      </c>
      <c r="J1494">
        <v>0</v>
      </c>
      <c r="K1494">
        <v>47</v>
      </c>
      <c r="L1494" t="s">
        <v>20</v>
      </c>
      <c r="M1494" t="s">
        <v>31</v>
      </c>
      <c r="N1494" t="s">
        <v>22</v>
      </c>
      <c r="O1494" t="s">
        <v>23</v>
      </c>
      <c r="P1494">
        <v>5.25</v>
      </c>
      <c r="Q1494" s="2" t="b">
        <f>FALSE()</f>
        <v>0</v>
      </c>
      <c r="R1494">
        <v>0</v>
      </c>
    </row>
    <row r="1495" spans="1:18" x14ac:dyDescent="0.25">
      <c r="A1495">
        <v>201494</v>
      </c>
      <c r="B1495">
        <v>55432</v>
      </c>
      <c r="C1495" t="s">
        <v>18</v>
      </c>
      <c r="D1495">
        <v>1350.56</v>
      </c>
      <c r="E1495">
        <v>1210</v>
      </c>
      <c r="F1495">
        <v>2</v>
      </c>
      <c r="G1495">
        <v>3</v>
      </c>
      <c r="H1495">
        <v>0</v>
      </c>
      <c r="I1495" t="s">
        <v>33</v>
      </c>
      <c r="J1495">
        <v>0</v>
      </c>
      <c r="K1495">
        <v>60</v>
      </c>
      <c r="L1495" t="s">
        <v>24</v>
      </c>
      <c r="M1495" t="s">
        <v>29</v>
      </c>
      <c r="N1495" t="s">
        <v>22</v>
      </c>
      <c r="O1495" t="s">
        <v>36</v>
      </c>
      <c r="P1495">
        <v>0.77</v>
      </c>
      <c r="Q1495" s="2" t="b">
        <f>FALSE()</f>
        <v>0</v>
      </c>
      <c r="R1495">
        <v>0</v>
      </c>
    </row>
    <row r="1496" spans="1:18" x14ac:dyDescent="0.25">
      <c r="A1496">
        <v>201495</v>
      </c>
      <c r="B1496">
        <v>51634</v>
      </c>
      <c r="C1496" t="s">
        <v>34</v>
      </c>
      <c r="D1496">
        <v>5707.6</v>
      </c>
      <c r="E1496">
        <v>1850</v>
      </c>
      <c r="F1496">
        <v>1</v>
      </c>
      <c r="G1496">
        <v>6</v>
      </c>
      <c r="H1496">
        <v>1</v>
      </c>
      <c r="I1496" t="s">
        <v>19</v>
      </c>
      <c r="J1496">
        <v>0</v>
      </c>
      <c r="K1496">
        <v>74</v>
      </c>
      <c r="L1496" t="s">
        <v>24</v>
      </c>
      <c r="M1496" t="s">
        <v>37</v>
      </c>
      <c r="N1496" t="s">
        <v>22</v>
      </c>
      <c r="O1496" t="s">
        <v>27</v>
      </c>
      <c r="P1496">
        <v>4.2</v>
      </c>
      <c r="Q1496" s="2" t="b">
        <f>FALSE()</f>
        <v>0</v>
      </c>
      <c r="R1496">
        <v>1</v>
      </c>
    </row>
    <row r="1497" spans="1:18" x14ac:dyDescent="0.25">
      <c r="A1497">
        <v>201496</v>
      </c>
      <c r="B1497">
        <v>51718</v>
      </c>
      <c r="C1497" t="s">
        <v>34</v>
      </c>
      <c r="D1497">
        <v>5600.42</v>
      </c>
      <c r="E1497">
        <v>2500</v>
      </c>
      <c r="F1497">
        <v>2</v>
      </c>
      <c r="G1497">
        <v>3</v>
      </c>
      <c r="H1497">
        <v>0</v>
      </c>
      <c r="I1497" t="s">
        <v>33</v>
      </c>
      <c r="J1497">
        <v>1</v>
      </c>
      <c r="K1497">
        <v>20</v>
      </c>
      <c r="L1497" t="s">
        <v>20</v>
      </c>
      <c r="M1497" t="s">
        <v>25</v>
      </c>
      <c r="N1497" t="s">
        <v>30</v>
      </c>
      <c r="O1497" t="s">
        <v>27</v>
      </c>
      <c r="P1497">
        <v>11.45</v>
      </c>
      <c r="Q1497" s="2" t="b">
        <f>FALSE()</f>
        <v>0</v>
      </c>
      <c r="R1497">
        <v>1</v>
      </c>
    </row>
    <row r="1498" spans="1:18" x14ac:dyDescent="0.25">
      <c r="A1498">
        <v>201497</v>
      </c>
      <c r="B1498">
        <v>53145</v>
      </c>
      <c r="C1498" t="s">
        <v>18</v>
      </c>
      <c r="D1498">
        <v>462.53</v>
      </c>
      <c r="E1498">
        <v>605</v>
      </c>
      <c r="F1498">
        <v>1</v>
      </c>
      <c r="G1498">
        <v>6</v>
      </c>
      <c r="H1498">
        <v>1</v>
      </c>
      <c r="I1498" t="s">
        <v>32</v>
      </c>
      <c r="J1498">
        <v>0</v>
      </c>
      <c r="K1498">
        <v>56</v>
      </c>
      <c r="L1498" t="s">
        <v>20</v>
      </c>
      <c r="M1498" t="s">
        <v>21</v>
      </c>
      <c r="N1498" t="s">
        <v>22</v>
      </c>
      <c r="O1498" t="s">
        <v>36</v>
      </c>
      <c r="P1498">
        <v>17.78</v>
      </c>
      <c r="Q1498" s="2" t="b">
        <f>FALSE()</f>
        <v>0</v>
      </c>
      <c r="R1498">
        <v>0</v>
      </c>
    </row>
    <row r="1499" spans="1:18" x14ac:dyDescent="0.25">
      <c r="A1499">
        <v>201498</v>
      </c>
      <c r="B1499">
        <v>53998</v>
      </c>
      <c r="C1499" t="s">
        <v>34</v>
      </c>
      <c r="D1499">
        <v>527.37</v>
      </c>
      <c r="E1499">
        <v>161</v>
      </c>
      <c r="F1499">
        <v>0</v>
      </c>
      <c r="G1499">
        <v>1</v>
      </c>
      <c r="H1499">
        <v>0</v>
      </c>
      <c r="I1499" t="s">
        <v>33</v>
      </c>
      <c r="J1499">
        <v>0</v>
      </c>
      <c r="K1499">
        <v>48</v>
      </c>
      <c r="L1499" t="s">
        <v>24</v>
      </c>
      <c r="M1499" t="s">
        <v>25</v>
      </c>
      <c r="N1499" t="s">
        <v>22</v>
      </c>
      <c r="O1499" t="s">
        <v>27</v>
      </c>
      <c r="P1499">
        <v>0.08</v>
      </c>
      <c r="Q1499" s="2" t="b">
        <f>FALSE()</f>
        <v>0</v>
      </c>
      <c r="R1499">
        <v>0</v>
      </c>
    </row>
    <row r="1500" spans="1:18" x14ac:dyDescent="0.25">
      <c r="A1500">
        <v>201499</v>
      </c>
      <c r="B1500">
        <v>52956</v>
      </c>
      <c r="C1500" t="s">
        <v>18</v>
      </c>
      <c r="D1500">
        <v>2822.53</v>
      </c>
      <c r="E1500">
        <v>1214</v>
      </c>
      <c r="F1500">
        <v>0</v>
      </c>
      <c r="G1500">
        <v>2</v>
      </c>
      <c r="H1500">
        <v>1</v>
      </c>
      <c r="I1500" t="s">
        <v>19</v>
      </c>
      <c r="J1500">
        <v>0</v>
      </c>
      <c r="K1500">
        <v>47</v>
      </c>
      <c r="L1500" t="s">
        <v>20</v>
      </c>
      <c r="M1500" t="s">
        <v>37</v>
      </c>
      <c r="N1500" t="s">
        <v>30</v>
      </c>
      <c r="O1500" t="s">
        <v>36</v>
      </c>
      <c r="P1500">
        <v>2.2599999999999998</v>
      </c>
      <c r="Q1500" s="2" t="b">
        <f>FALSE()</f>
        <v>0</v>
      </c>
      <c r="R1500">
        <v>0</v>
      </c>
    </row>
    <row r="1501" spans="1:18" x14ac:dyDescent="0.25">
      <c r="A1501">
        <v>201500</v>
      </c>
      <c r="B1501">
        <v>51868</v>
      </c>
      <c r="C1501" t="s">
        <v>18</v>
      </c>
      <c r="D1501">
        <v>426.37</v>
      </c>
      <c r="E1501">
        <v>2693</v>
      </c>
      <c r="F1501">
        <v>0</v>
      </c>
      <c r="G1501">
        <v>6</v>
      </c>
      <c r="H1501">
        <v>1</v>
      </c>
      <c r="I1501" t="s">
        <v>33</v>
      </c>
      <c r="J1501">
        <v>0</v>
      </c>
      <c r="K1501">
        <v>79</v>
      </c>
      <c r="L1501" t="s">
        <v>24</v>
      </c>
      <c r="M1501" t="s">
        <v>35</v>
      </c>
      <c r="N1501" t="s">
        <v>26</v>
      </c>
      <c r="O1501" t="s">
        <v>27</v>
      </c>
      <c r="P1501">
        <v>3.2</v>
      </c>
      <c r="Q1501" s="2" t="b">
        <f>FALSE()</f>
        <v>0</v>
      </c>
      <c r="R1501">
        <v>0</v>
      </c>
    </row>
    <row r="1502" spans="1:18" x14ac:dyDescent="0.25">
      <c r="A1502">
        <v>201501</v>
      </c>
      <c r="B1502">
        <v>54770</v>
      </c>
      <c r="C1502" t="s">
        <v>28</v>
      </c>
      <c r="D1502">
        <v>4314.17</v>
      </c>
      <c r="E1502">
        <v>2524</v>
      </c>
      <c r="F1502">
        <v>3</v>
      </c>
      <c r="G1502">
        <v>5</v>
      </c>
      <c r="H1502">
        <v>0</v>
      </c>
      <c r="I1502" t="s">
        <v>33</v>
      </c>
      <c r="J1502">
        <v>1</v>
      </c>
      <c r="K1502">
        <v>23</v>
      </c>
      <c r="L1502" t="s">
        <v>24</v>
      </c>
      <c r="M1502" t="s">
        <v>29</v>
      </c>
      <c r="N1502" t="s">
        <v>30</v>
      </c>
      <c r="O1502" t="s">
        <v>36</v>
      </c>
      <c r="P1502">
        <v>2.21</v>
      </c>
      <c r="Q1502" s="2" t="b">
        <f>FALSE()</f>
        <v>0</v>
      </c>
      <c r="R1502">
        <v>1</v>
      </c>
    </row>
    <row r="1503" spans="1:18" x14ac:dyDescent="0.25">
      <c r="A1503">
        <v>201502</v>
      </c>
      <c r="B1503">
        <v>52167</v>
      </c>
      <c r="C1503" t="s">
        <v>28</v>
      </c>
      <c r="D1503">
        <v>1596.6</v>
      </c>
      <c r="E1503">
        <v>960</v>
      </c>
      <c r="F1503">
        <v>3</v>
      </c>
      <c r="G1503">
        <v>4</v>
      </c>
      <c r="H1503">
        <v>0</v>
      </c>
      <c r="I1503" t="s">
        <v>33</v>
      </c>
      <c r="J1503">
        <v>0</v>
      </c>
      <c r="K1503">
        <v>22</v>
      </c>
      <c r="L1503" t="s">
        <v>24</v>
      </c>
      <c r="M1503" t="s">
        <v>25</v>
      </c>
      <c r="N1503" t="s">
        <v>30</v>
      </c>
      <c r="O1503" t="s">
        <v>27</v>
      </c>
      <c r="P1503">
        <v>3.54</v>
      </c>
      <c r="Q1503" s="2" t="b">
        <f>FALSE()</f>
        <v>0</v>
      </c>
      <c r="R1503">
        <v>1</v>
      </c>
    </row>
    <row r="1504" spans="1:18" x14ac:dyDescent="0.25">
      <c r="A1504">
        <v>201503</v>
      </c>
      <c r="B1504">
        <v>53390</v>
      </c>
      <c r="C1504" t="s">
        <v>34</v>
      </c>
      <c r="D1504">
        <v>1947.41</v>
      </c>
      <c r="E1504">
        <v>3179</v>
      </c>
      <c r="F1504">
        <v>1</v>
      </c>
      <c r="G1504">
        <v>3</v>
      </c>
      <c r="H1504">
        <v>0</v>
      </c>
      <c r="I1504" t="s">
        <v>19</v>
      </c>
      <c r="J1504">
        <v>1</v>
      </c>
      <c r="K1504">
        <v>36</v>
      </c>
      <c r="L1504" t="s">
        <v>24</v>
      </c>
      <c r="M1504" t="s">
        <v>21</v>
      </c>
      <c r="N1504" t="s">
        <v>30</v>
      </c>
      <c r="O1504" t="s">
        <v>36</v>
      </c>
      <c r="P1504">
        <v>3.81</v>
      </c>
      <c r="Q1504" s="2" t="b">
        <f>FALSE()</f>
        <v>0</v>
      </c>
      <c r="R1504">
        <v>0</v>
      </c>
    </row>
    <row r="1505" spans="1:18" x14ac:dyDescent="0.25">
      <c r="A1505">
        <v>201504</v>
      </c>
      <c r="B1505">
        <v>52056</v>
      </c>
      <c r="C1505" t="s">
        <v>18</v>
      </c>
      <c r="D1505">
        <v>693.45</v>
      </c>
      <c r="E1505">
        <v>3279</v>
      </c>
      <c r="F1505">
        <v>1</v>
      </c>
      <c r="G1505">
        <v>5</v>
      </c>
      <c r="H1505">
        <v>0</v>
      </c>
      <c r="I1505" t="s">
        <v>33</v>
      </c>
      <c r="J1505">
        <v>0</v>
      </c>
      <c r="K1505">
        <v>34</v>
      </c>
      <c r="L1505" t="s">
        <v>24</v>
      </c>
      <c r="M1505" t="s">
        <v>31</v>
      </c>
      <c r="N1505" t="s">
        <v>22</v>
      </c>
      <c r="O1505" t="s">
        <v>27</v>
      </c>
      <c r="P1505">
        <v>0.5</v>
      </c>
      <c r="Q1505" s="2" t="b">
        <f>FALSE()</f>
        <v>0</v>
      </c>
      <c r="R1505">
        <v>0</v>
      </c>
    </row>
    <row r="1506" spans="1:18" x14ac:dyDescent="0.25">
      <c r="A1506">
        <v>201505</v>
      </c>
      <c r="B1506">
        <v>52440</v>
      </c>
      <c r="C1506" t="s">
        <v>18</v>
      </c>
      <c r="D1506">
        <v>3523.98</v>
      </c>
      <c r="E1506">
        <v>307</v>
      </c>
      <c r="F1506">
        <v>3</v>
      </c>
      <c r="G1506">
        <v>9</v>
      </c>
      <c r="H1506">
        <v>0</v>
      </c>
      <c r="I1506" t="s">
        <v>33</v>
      </c>
      <c r="J1506">
        <v>0</v>
      </c>
      <c r="K1506">
        <v>55</v>
      </c>
      <c r="L1506" t="s">
        <v>24</v>
      </c>
      <c r="M1506" t="s">
        <v>31</v>
      </c>
      <c r="N1506" t="s">
        <v>22</v>
      </c>
      <c r="O1506" t="s">
        <v>27</v>
      </c>
      <c r="P1506">
        <v>3.04</v>
      </c>
      <c r="Q1506" s="2" t="b">
        <f>FALSE()</f>
        <v>0</v>
      </c>
      <c r="R1506">
        <v>1</v>
      </c>
    </row>
    <row r="1507" spans="1:18" x14ac:dyDescent="0.25">
      <c r="A1507">
        <v>201506</v>
      </c>
      <c r="B1507">
        <v>51245</v>
      </c>
      <c r="C1507" t="s">
        <v>34</v>
      </c>
      <c r="D1507">
        <v>1454.75</v>
      </c>
      <c r="E1507">
        <v>27</v>
      </c>
      <c r="F1507">
        <v>1</v>
      </c>
      <c r="G1507">
        <v>5</v>
      </c>
      <c r="H1507">
        <v>1</v>
      </c>
      <c r="I1507" t="s">
        <v>32</v>
      </c>
      <c r="J1507">
        <v>1</v>
      </c>
      <c r="K1507">
        <v>72</v>
      </c>
      <c r="L1507" t="s">
        <v>20</v>
      </c>
      <c r="M1507" t="s">
        <v>31</v>
      </c>
      <c r="N1507" t="s">
        <v>22</v>
      </c>
      <c r="O1507" t="s">
        <v>27</v>
      </c>
      <c r="P1507">
        <v>10.24</v>
      </c>
      <c r="Q1507" s="2" t="b">
        <f>FALSE()</f>
        <v>0</v>
      </c>
      <c r="R1507">
        <v>0</v>
      </c>
    </row>
    <row r="1508" spans="1:18" x14ac:dyDescent="0.25">
      <c r="A1508">
        <v>201507</v>
      </c>
      <c r="B1508">
        <v>53200</v>
      </c>
      <c r="C1508" t="s">
        <v>34</v>
      </c>
      <c r="D1508">
        <v>1948.77</v>
      </c>
      <c r="E1508">
        <v>1589</v>
      </c>
      <c r="F1508">
        <v>0</v>
      </c>
      <c r="G1508">
        <v>4</v>
      </c>
      <c r="H1508">
        <v>0</v>
      </c>
      <c r="I1508" t="s">
        <v>33</v>
      </c>
      <c r="J1508">
        <v>0</v>
      </c>
      <c r="K1508">
        <v>44</v>
      </c>
      <c r="L1508" t="s">
        <v>24</v>
      </c>
      <c r="M1508" t="s">
        <v>31</v>
      </c>
      <c r="N1508" t="s">
        <v>30</v>
      </c>
      <c r="O1508" t="s">
        <v>27</v>
      </c>
      <c r="P1508">
        <v>0.59</v>
      </c>
      <c r="Q1508" s="2" t="b">
        <f>FALSE()</f>
        <v>0</v>
      </c>
      <c r="R1508">
        <v>0</v>
      </c>
    </row>
    <row r="1509" spans="1:18" x14ac:dyDescent="0.25">
      <c r="A1509">
        <v>201508</v>
      </c>
      <c r="B1509">
        <v>51059</v>
      </c>
      <c r="C1509" t="s">
        <v>18</v>
      </c>
      <c r="D1509">
        <v>6502.07</v>
      </c>
      <c r="E1509">
        <v>1543</v>
      </c>
      <c r="F1509">
        <v>1</v>
      </c>
      <c r="G1509">
        <v>5</v>
      </c>
      <c r="H1509">
        <v>0</v>
      </c>
      <c r="I1509" t="s">
        <v>33</v>
      </c>
      <c r="J1509">
        <v>0</v>
      </c>
      <c r="K1509">
        <v>68</v>
      </c>
      <c r="L1509" t="s">
        <v>38</v>
      </c>
      <c r="M1509" t="s">
        <v>29</v>
      </c>
      <c r="N1509" t="s">
        <v>22</v>
      </c>
      <c r="O1509" t="s">
        <v>27</v>
      </c>
      <c r="P1509">
        <v>2.1</v>
      </c>
      <c r="Q1509" s="2" t="b">
        <f>FALSE()</f>
        <v>0</v>
      </c>
      <c r="R1509">
        <v>1</v>
      </c>
    </row>
    <row r="1510" spans="1:18" x14ac:dyDescent="0.25">
      <c r="A1510">
        <v>201509</v>
      </c>
      <c r="B1510">
        <v>52848</v>
      </c>
      <c r="C1510" t="s">
        <v>28</v>
      </c>
      <c r="D1510">
        <v>1013.69</v>
      </c>
      <c r="E1510">
        <v>1297</v>
      </c>
      <c r="F1510">
        <v>0</v>
      </c>
      <c r="G1510">
        <v>2</v>
      </c>
      <c r="H1510">
        <v>1</v>
      </c>
      <c r="I1510" t="s">
        <v>33</v>
      </c>
      <c r="J1510">
        <v>1</v>
      </c>
      <c r="K1510">
        <v>40</v>
      </c>
      <c r="L1510" t="s">
        <v>24</v>
      </c>
      <c r="M1510" t="s">
        <v>29</v>
      </c>
      <c r="N1510" t="s">
        <v>30</v>
      </c>
      <c r="O1510" t="s">
        <v>27</v>
      </c>
      <c r="P1510">
        <v>4.32</v>
      </c>
      <c r="Q1510" s="2" t="b">
        <f>FALSE()</f>
        <v>0</v>
      </c>
      <c r="R1510">
        <v>0</v>
      </c>
    </row>
    <row r="1511" spans="1:18" x14ac:dyDescent="0.25">
      <c r="A1511">
        <v>201510</v>
      </c>
      <c r="B1511">
        <v>53225</v>
      </c>
      <c r="C1511" t="s">
        <v>18</v>
      </c>
      <c r="D1511">
        <v>1632.63</v>
      </c>
      <c r="E1511">
        <v>1328</v>
      </c>
      <c r="F1511">
        <v>1</v>
      </c>
      <c r="G1511">
        <v>3</v>
      </c>
      <c r="H1511">
        <v>0</v>
      </c>
      <c r="I1511" t="s">
        <v>19</v>
      </c>
      <c r="J1511">
        <v>0</v>
      </c>
      <c r="K1511">
        <v>28</v>
      </c>
      <c r="L1511" t="s">
        <v>24</v>
      </c>
      <c r="M1511" t="s">
        <v>21</v>
      </c>
      <c r="N1511" t="s">
        <v>26</v>
      </c>
      <c r="O1511" t="s">
        <v>36</v>
      </c>
      <c r="P1511">
        <v>6.61</v>
      </c>
      <c r="Q1511" s="2" t="b">
        <f>FALSE()</f>
        <v>0</v>
      </c>
      <c r="R1511">
        <v>0</v>
      </c>
    </row>
    <row r="1512" spans="1:18" x14ac:dyDescent="0.25">
      <c r="A1512">
        <v>201511</v>
      </c>
      <c r="B1512">
        <v>51683</v>
      </c>
      <c r="C1512" t="s">
        <v>34</v>
      </c>
      <c r="D1512">
        <v>569.33000000000004</v>
      </c>
      <c r="E1512">
        <v>1697</v>
      </c>
      <c r="F1512">
        <v>2</v>
      </c>
      <c r="G1512">
        <v>3</v>
      </c>
      <c r="H1512">
        <v>0</v>
      </c>
      <c r="I1512" t="s">
        <v>32</v>
      </c>
      <c r="J1512">
        <v>0</v>
      </c>
      <c r="K1512">
        <v>19</v>
      </c>
      <c r="L1512" t="s">
        <v>20</v>
      </c>
      <c r="M1512" t="s">
        <v>31</v>
      </c>
      <c r="N1512" t="s">
        <v>22</v>
      </c>
      <c r="O1512" t="s">
        <v>36</v>
      </c>
      <c r="P1512">
        <v>7.81</v>
      </c>
      <c r="Q1512" s="2" t="b">
        <f>FALSE()</f>
        <v>0</v>
      </c>
      <c r="R1512">
        <v>0</v>
      </c>
    </row>
    <row r="1513" spans="1:18" x14ac:dyDescent="0.25">
      <c r="A1513">
        <v>201512</v>
      </c>
      <c r="B1513">
        <v>53708</v>
      </c>
      <c r="C1513" t="s">
        <v>34</v>
      </c>
      <c r="D1513">
        <v>663.28</v>
      </c>
      <c r="E1513">
        <v>3551</v>
      </c>
      <c r="F1513">
        <v>2</v>
      </c>
      <c r="G1513">
        <v>3</v>
      </c>
      <c r="H1513">
        <v>0</v>
      </c>
      <c r="I1513" t="s">
        <v>32</v>
      </c>
      <c r="J1513">
        <v>0</v>
      </c>
      <c r="K1513">
        <v>81</v>
      </c>
      <c r="L1513" t="s">
        <v>24</v>
      </c>
      <c r="M1513" t="s">
        <v>31</v>
      </c>
      <c r="N1513" t="s">
        <v>26</v>
      </c>
      <c r="O1513" t="s">
        <v>36</v>
      </c>
      <c r="P1513">
        <v>1.57</v>
      </c>
      <c r="Q1513" s="2" t="b">
        <f>FALSE()</f>
        <v>0</v>
      </c>
      <c r="R1513">
        <v>0</v>
      </c>
    </row>
    <row r="1514" spans="1:18" x14ac:dyDescent="0.25">
      <c r="A1514">
        <v>201513</v>
      </c>
      <c r="B1514">
        <v>52031</v>
      </c>
      <c r="C1514" t="s">
        <v>34</v>
      </c>
      <c r="D1514">
        <v>1247.22</v>
      </c>
      <c r="E1514">
        <v>2421</v>
      </c>
      <c r="F1514">
        <v>2</v>
      </c>
      <c r="G1514">
        <v>3</v>
      </c>
      <c r="H1514">
        <v>0</v>
      </c>
      <c r="I1514" t="s">
        <v>33</v>
      </c>
      <c r="J1514">
        <v>0</v>
      </c>
      <c r="K1514">
        <v>23</v>
      </c>
      <c r="L1514" t="s">
        <v>20</v>
      </c>
      <c r="M1514" t="s">
        <v>37</v>
      </c>
      <c r="N1514" t="s">
        <v>22</v>
      </c>
      <c r="O1514" t="s">
        <v>36</v>
      </c>
      <c r="P1514">
        <v>2.71</v>
      </c>
      <c r="Q1514" s="2" t="b">
        <f>FALSE()</f>
        <v>0</v>
      </c>
      <c r="R1514">
        <v>0</v>
      </c>
    </row>
    <row r="1515" spans="1:18" x14ac:dyDescent="0.25">
      <c r="A1515">
        <v>201514</v>
      </c>
      <c r="B1515">
        <v>53345</v>
      </c>
      <c r="C1515" t="s">
        <v>18</v>
      </c>
      <c r="D1515">
        <v>1992.79</v>
      </c>
      <c r="E1515">
        <v>2144</v>
      </c>
      <c r="F1515">
        <v>0</v>
      </c>
      <c r="G1515">
        <v>6</v>
      </c>
      <c r="H1515">
        <v>0</v>
      </c>
      <c r="I1515" t="s">
        <v>32</v>
      </c>
      <c r="J1515">
        <v>0</v>
      </c>
      <c r="K1515">
        <v>61</v>
      </c>
      <c r="L1515" t="s">
        <v>38</v>
      </c>
      <c r="M1515" t="s">
        <v>25</v>
      </c>
      <c r="N1515" t="s">
        <v>22</v>
      </c>
      <c r="O1515" t="s">
        <v>36</v>
      </c>
      <c r="P1515">
        <v>2.5</v>
      </c>
      <c r="Q1515" s="2" t="b">
        <f>FALSE()</f>
        <v>0</v>
      </c>
      <c r="R1515">
        <v>0</v>
      </c>
    </row>
    <row r="1516" spans="1:18" x14ac:dyDescent="0.25">
      <c r="A1516">
        <v>201515</v>
      </c>
      <c r="B1516">
        <v>55832</v>
      </c>
      <c r="C1516" t="s">
        <v>18</v>
      </c>
      <c r="D1516">
        <v>2128.0700000000002</v>
      </c>
      <c r="E1516">
        <v>68</v>
      </c>
      <c r="F1516">
        <v>0</v>
      </c>
      <c r="G1516">
        <v>2</v>
      </c>
      <c r="H1516">
        <v>0</v>
      </c>
      <c r="I1516" t="s">
        <v>33</v>
      </c>
      <c r="J1516">
        <v>1</v>
      </c>
      <c r="K1516">
        <v>26</v>
      </c>
      <c r="L1516" t="s">
        <v>20</v>
      </c>
      <c r="M1516" t="s">
        <v>25</v>
      </c>
      <c r="N1516" t="s">
        <v>22</v>
      </c>
      <c r="O1516" t="s">
        <v>23</v>
      </c>
      <c r="P1516">
        <v>3.35</v>
      </c>
      <c r="Q1516" s="2" t="b">
        <f>FALSE()</f>
        <v>0</v>
      </c>
      <c r="R1516">
        <v>0</v>
      </c>
    </row>
    <row r="1517" spans="1:18" x14ac:dyDescent="0.25">
      <c r="A1517">
        <v>201516</v>
      </c>
      <c r="B1517">
        <v>51549</v>
      </c>
      <c r="C1517" t="s">
        <v>34</v>
      </c>
      <c r="D1517">
        <v>5898.45</v>
      </c>
      <c r="E1517">
        <v>1106</v>
      </c>
      <c r="F1517">
        <v>0</v>
      </c>
      <c r="G1517">
        <v>1</v>
      </c>
      <c r="H1517">
        <v>0</v>
      </c>
      <c r="I1517" t="s">
        <v>33</v>
      </c>
      <c r="J1517">
        <v>0</v>
      </c>
      <c r="K1517">
        <v>62</v>
      </c>
      <c r="L1517" t="s">
        <v>20</v>
      </c>
      <c r="M1517" t="s">
        <v>37</v>
      </c>
      <c r="N1517" t="s">
        <v>26</v>
      </c>
      <c r="O1517" t="s">
        <v>27</v>
      </c>
      <c r="P1517">
        <v>2.3199999999999998</v>
      </c>
      <c r="Q1517" s="2" t="b">
        <f>FALSE()</f>
        <v>0</v>
      </c>
      <c r="R1517">
        <v>1</v>
      </c>
    </row>
    <row r="1518" spans="1:18" x14ac:dyDescent="0.25">
      <c r="A1518">
        <v>201517</v>
      </c>
      <c r="B1518">
        <v>55672</v>
      </c>
      <c r="C1518" t="s">
        <v>34</v>
      </c>
      <c r="D1518">
        <v>343.7</v>
      </c>
      <c r="E1518">
        <v>2058</v>
      </c>
      <c r="F1518">
        <v>0</v>
      </c>
      <c r="G1518">
        <v>1</v>
      </c>
      <c r="H1518">
        <v>0</v>
      </c>
      <c r="I1518" t="s">
        <v>33</v>
      </c>
      <c r="J1518">
        <v>0</v>
      </c>
      <c r="K1518">
        <v>76</v>
      </c>
      <c r="L1518" t="s">
        <v>24</v>
      </c>
      <c r="M1518" t="s">
        <v>21</v>
      </c>
      <c r="N1518" t="s">
        <v>22</v>
      </c>
      <c r="O1518" t="s">
        <v>36</v>
      </c>
      <c r="P1518">
        <v>0.13</v>
      </c>
      <c r="Q1518" s="2" t="b">
        <f>FALSE()</f>
        <v>0</v>
      </c>
      <c r="R1518">
        <v>0</v>
      </c>
    </row>
    <row r="1519" spans="1:18" x14ac:dyDescent="0.25">
      <c r="A1519">
        <v>201518</v>
      </c>
      <c r="B1519">
        <v>53534</v>
      </c>
      <c r="C1519" t="s">
        <v>34</v>
      </c>
      <c r="D1519">
        <v>1650.34</v>
      </c>
      <c r="E1519">
        <v>2882</v>
      </c>
      <c r="F1519">
        <v>1</v>
      </c>
      <c r="G1519">
        <v>6</v>
      </c>
      <c r="H1519">
        <v>0</v>
      </c>
      <c r="I1519" t="s">
        <v>19</v>
      </c>
      <c r="J1519">
        <v>1</v>
      </c>
      <c r="K1519">
        <v>72</v>
      </c>
      <c r="L1519" t="s">
        <v>20</v>
      </c>
      <c r="M1519" t="s">
        <v>37</v>
      </c>
      <c r="N1519" t="s">
        <v>22</v>
      </c>
      <c r="O1519" t="s">
        <v>27</v>
      </c>
      <c r="P1519">
        <v>4.4000000000000004</v>
      </c>
      <c r="Q1519" s="2" t="b">
        <f>FALSE()</f>
        <v>0</v>
      </c>
      <c r="R1519">
        <v>0</v>
      </c>
    </row>
    <row r="1520" spans="1:18" x14ac:dyDescent="0.25">
      <c r="A1520">
        <v>201519</v>
      </c>
      <c r="B1520">
        <v>55541</v>
      </c>
      <c r="C1520" t="s">
        <v>34</v>
      </c>
      <c r="D1520">
        <v>1655.09</v>
      </c>
      <c r="E1520">
        <v>575</v>
      </c>
      <c r="F1520">
        <v>0</v>
      </c>
      <c r="G1520">
        <v>0</v>
      </c>
      <c r="H1520">
        <v>1</v>
      </c>
      <c r="I1520" t="s">
        <v>19</v>
      </c>
      <c r="J1520">
        <v>0</v>
      </c>
      <c r="K1520">
        <v>77</v>
      </c>
      <c r="L1520" t="s">
        <v>20</v>
      </c>
      <c r="M1520" t="s">
        <v>31</v>
      </c>
      <c r="N1520" t="s">
        <v>22</v>
      </c>
      <c r="O1520" t="s">
        <v>23</v>
      </c>
      <c r="P1520">
        <v>3.15</v>
      </c>
      <c r="Q1520" s="2" t="b">
        <f>FALSE()</f>
        <v>0</v>
      </c>
      <c r="R1520">
        <v>0</v>
      </c>
    </row>
    <row r="1521" spans="1:18" x14ac:dyDescent="0.25">
      <c r="A1521">
        <v>201520</v>
      </c>
      <c r="B1521">
        <v>52172</v>
      </c>
      <c r="C1521" t="s">
        <v>34</v>
      </c>
      <c r="D1521">
        <v>3328.94</v>
      </c>
      <c r="E1521">
        <v>548</v>
      </c>
      <c r="F1521">
        <v>1</v>
      </c>
      <c r="G1521">
        <v>5</v>
      </c>
      <c r="H1521">
        <v>0</v>
      </c>
      <c r="I1521" t="s">
        <v>33</v>
      </c>
      <c r="J1521">
        <v>0</v>
      </c>
      <c r="K1521">
        <v>76</v>
      </c>
      <c r="L1521" t="s">
        <v>20</v>
      </c>
      <c r="M1521" t="s">
        <v>35</v>
      </c>
      <c r="N1521" t="s">
        <v>22</v>
      </c>
      <c r="O1521" t="s">
        <v>27</v>
      </c>
      <c r="P1521">
        <v>0.89</v>
      </c>
      <c r="Q1521" s="2" t="b">
        <f>FALSE()</f>
        <v>0</v>
      </c>
      <c r="R1521">
        <v>0</v>
      </c>
    </row>
    <row r="1522" spans="1:18" x14ac:dyDescent="0.25">
      <c r="A1522">
        <v>201521</v>
      </c>
      <c r="B1522">
        <v>52391</v>
      </c>
      <c r="C1522" t="s">
        <v>18</v>
      </c>
      <c r="D1522">
        <v>96.42</v>
      </c>
      <c r="E1522">
        <v>1664</v>
      </c>
      <c r="F1522">
        <v>0</v>
      </c>
      <c r="G1522">
        <v>2</v>
      </c>
      <c r="H1522">
        <v>0</v>
      </c>
      <c r="I1522" t="s">
        <v>33</v>
      </c>
      <c r="J1522">
        <v>0</v>
      </c>
      <c r="K1522">
        <v>79</v>
      </c>
      <c r="L1522" t="s">
        <v>20</v>
      </c>
      <c r="M1522" t="s">
        <v>25</v>
      </c>
      <c r="N1522" t="s">
        <v>22</v>
      </c>
      <c r="O1522" t="s">
        <v>27</v>
      </c>
      <c r="P1522">
        <v>1.83</v>
      </c>
      <c r="Q1522" s="2" t="b">
        <f>FALSE()</f>
        <v>0</v>
      </c>
      <c r="R1522">
        <v>0</v>
      </c>
    </row>
    <row r="1523" spans="1:18" x14ac:dyDescent="0.25">
      <c r="A1523">
        <v>201522</v>
      </c>
      <c r="B1523">
        <v>50862</v>
      </c>
      <c r="C1523" t="s">
        <v>18</v>
      </c>
      <c r="D1523">
        <v>1662.44</v>
      </c>
      <c r="E1523">
        <v>765</v>
      </c>
      <c r="F1523">
        <v>4</v>
      </c>
      <c r="G1523">
        <v>6</v>
      </c>
      <c r="H1523">
        <v>0</v>
      </c>
      <c r="I1523" t="s">
        <v>19</v>
      </c>
      <c r="J1523">
        <v>0</v>
      </c>
      <c r="K1523">
        <v>28</v>
      </c>
      <c r="L1523" t="s">
        <v>24</v>
      </c>
      <c r="M1523" t="s">
        <v>37</v>
      </c>
      <c r="N1523" t="s">
        <v>22</v>
      </c>
      <c r="O1523" t="s">
        <v>23</v>
      </c>
      <c r="P1523">
        <v>2.57</v>
      </c>
      <c r="Q1523" s="2" t="b">
        <f>FALSE()</f>
        <v>0</v>
      </c>
      <c r="R1523">
        <v>1</v>
      </c>
    </row>
    <row r="1524" spans="1:18" x14ac:dyDescent="0.25">
      <c r="A1524">
        <v>201523</v>
      </c>
      <c r="B1524">
        <v>54245</v>
      </c>
      <c r="C1524" t="s">
        <v>34</v>
      </c>
      <c r="D1524">
        <v>2771.03</v>
      </c>
      <c r="E1524">
        <v>5</v>
      </c>
      <c r="F1524">
        <v>0</v>
      </c>
      <c r="G1524">
        <v>3</v>
      </c>
      <c r="H1524">
        <v>0</v>
      </c>
      <c r="I1524" t="s">
        <v>32</v>
      </c>
      <c r="J1524">
        <v>0</v>
      </c>
      <c r="K1524">
        <v>50</v>
      </c>
      <c r="L1524" t="s">
        <v>20</v>
      </c>
      <c r="M1524" t="s">
        <v>21</v>
      </c>
      <c r="N1524" t="s">
        <v>26</v>
      </c>
      <c r="O1524" t="s">
        <v>23</v>
      </c>
      <c r="P1524">
        <v>5.71</v>
      </c>
      <c r="Q1524" s="2" t="b">
        <f>FALSE()</f>
        <v>0</v>
      </c>
      <c r="R1524">
        <v>0</v>
      </c>
    </row>
    <row r="1525" spans="1:18" x14ac:dyDescent="0.25">
      <c r="A1525">
        <v>201524</v>
      </c>
      <c r="B1525">
        <v>55587</v>
      </c>
      <c r="C1525" t="s">
        <v>28</v>
      </c>
      <c r="D1525">
        <v>1362.35</v>
      </c>
      <c r="E1525">
        <v>3262</v>
      </c>
      <c r="F1525">
        <v>1</v>
      </c>
      <c r="G1525">
        <v>6</v>
      </c>
      <c r="H1525">
        <v>1</v>
      </c>
      <c r="I1525" t="s">
        <v>33</v>
      </c>
      <c r="J1525">
        <v>0</v>
      </c>
      <c r="K1525">
        <v>79</v>
      </c>
      <c r="L1525" t="s">
        <v>20</v>
      </c>
      <c r="M1525" t="s">
        <v>25</v>
      </c>
      <c r="N1525" t="s">
        <v>22</v>
      </c>
      <c r="O1525" t="s">
        <v>23</v>
      </c>
      <c r="P1525">
        <v>0.56999999999999995</v>
      </c>
      <c r="Q1525" s="2" t="b">
        <f>FALSE()</f>
        <v>0</v>
      </c>
      <c r="R1525">
        <v>0</v>
      </c>
    </row>
    <row r="1526" spans="1:18" x14ac:dyDescent="0.25">
      <c r="A1526">
        <v>201525</v>
      </c>
      <c r="B1526">
        <v>54207</v>
      </c>
      <c r="C1526" t="s">
        <v>18</v>
      </c>
      <c r="D1526">
        <v>9018.4699999999993</v>
      </c>
      <c r="E1526">
        <v>731</v>
      </c>
      <c r="F1526">
        <v>0</v>
      </c>
      <c r="G1526">
        <v>5</v>
      </c>
      <c r="H1526">
        <v>0</v>
      </c>
      <c r="I1526" t="s">
        <v>32</v>
      </c>
      <c r="J1526">
        <v>1</v>
      </c>
      <c r="K1526">
        <v>66</v>
      </c>
      <c r="L1526" t="s">
        <v>20</v>
      </c>
      <c r="M1526" t="s">
        <v>29</v>
      </c>
      <c r="N1526" t="s">
        <v>30</v>
      </c>
      <c r="O1526" t="s">
        <v>27</v>
      </c>
      <c r="P1526">
        <v>2.61</v>
      </c>
      <c r="Q1526" s="2" t="b">
        <f>TRUE()</f>
        <v>1</v>
      </c>
      <c r="R1526">
        <v>1</v>
      </c>
    </row>
    <row r="1527" spans="1:18" x14ac:dyDescent="0.25">
      <c r="A1527">
        <v>201526</v>
      </c>
      <c r="B1527">
        <v>53705</v>
      </c>
      <c r="C1527" t="s">
        <v>28</v>
      </c>
      <c r="D1527">
        <v>1484.64</v>
      </c>
      <c r="E1527">
        <v>2695</v>
      </c>
      <c r="F1527">
        <v>1</v>
      </c>
      <c r="G1527">
        <v>8</v>
      </c>
      <c r="H1527">
        <v>0</v>
      </c>
      <c r="I1527" t="s">
        <v>33</v>
      </c>
      <c r="J1527">
        <v>0</v>
      </c>
      <c r="K1527">
        <v>59</v>
      </c>
      <c r="L1527" t="s">
        <v>24</v>
      </c>
      <c r="M1527" t="s">
        <v>35</v>
      </c>
      <c r="N1527" t="s">
        <v>22</v>
      </c>
      <c r="O1527" t="s">
        <v>23</v>
      </c>
      <c r="P1527">
        <v>2.72</v>
      </c>
      <c r="Q1527" s="2" t="b">
        <f>FALSE()</f>
        <v>0</v>
      </c>
      <c r="R1527">
        <v>1</v>
      </c>
    </row>
    <row r="1528" spans="1:18" x14ac:dyDescent="0.25">
      <c r="A1528">
        <v>201527</v>
      </c>
      <c r="B1528">
        <v>51628</v>
      </c>
      <c r="C1528" t="s">
        <v>18</v>
      </c>
      <c r="D1528">
        <v>5111.74</v>
      </c>
      <c r="E1528">
        <v>998</v>
      </c>
      <c r="F1528">
        <v>1</v>
      </c>
      <c r="G1528">
        <v>2</v>
      </c>
      <c r="H1528">
        <v>0</v>
      </c>
      <c r="I1528" t="s">
        <v>33</v>
      </c>
      <c r="J1528">
        <v>0</v>
      </c>
      <c r="K1528">
        <v>66</v>
      </c>
      <c r="L1528" t="s">
        <v>24</v>
      </c>
      <c r="M1528" t="s">
        <v>35</v>
      </c>
      <c r="N1528" t="s">
        <v>22</v>
      </c>
      <c r="O1528" t="s">
        <v>27</v>
      </c>
      <c r="P1528">
        <v>1.39</v>
      </c>
      <c r="Q1528" s="2" t="b">
        <f>FALSE()</f>
        <v>0</v>
      </c>
      <c r="R1528">
        <v>1</v>
      </c>
    </row>
    <row r="1529" spans="1:18" x14ac:dyDescent="0.25">
      <c r="A1529">
        <v>201528</v>
      </c>
      <c r="B1529">
        <v>51205</v>
      </c>
      <c r="C1529" t="s">
        <v>18</v>
      </c>
      <c r="D1529">
        <v>2031.62</v>
      </c>
      <c r="E1529">
        <v>2751</v>
      </c>
      <c r="F1529">
        <v>0</v>
      </c>
      <c r="G1529">
        <v>2</v>
      </c>
      <c r="H1529">
        <v>1</v>
      </c>
      <c r="I1529" t="s">
        <v>19</v>
      </c>
      <c r="J1529">
        <v>0</v>
      </c>
      <c r="K1529">
        <v>79</v>
      </c>
      <c r="L1529" t="s">
        <v>20</v>
      </c>
      <c r="M1529" t="s">
        <v>29</v>
      </c>
      <c r="N1529" t="s">
        <v>22</v>
      </c>
      <c r="O1529" t="s">
        <v>23</v>
      </c>
      <c r="P1529">
        <v>5.73</v>
      </c>
      <c r="Q1529" s="2" t="b">
        <f>FALSE()</f>
        <v>0</v>
      </c>
      <c r="R1529">
        <v>0</v>
      </c>
    </row>
    <row r="1530" spans="1:18" x14ac:dyDescent="0.25">
      <c r="A1530">
        <v>201529</v>
      </c>
      <c r="B1530">
        <v>55348</v>
      </c>
      <c r="C1530" t="s">
        <v>34</v>
      </c>
      <c r="D1530">
        <v>2266.25</v>
      </c>
      <c r="E1530">
        <v>85</v>
      </c>
      <c r="F1530">
        <v>0</v>
      </c>
      <c r="G1530">
        <v>4</v>
      </c>
      <c r="H1530">
        <v>0</v>
      </c>
      <c r="I1530" t="s">
        <v>19</v>
      </c>
      <c r="J1530">
        <v>0</v>
      </c>
      <c r="K1530">
        <v>25</v>
      </c>
      <c r="L1530" t="s">
        <v>24</v>
      </c>
      <c r="M1530" t="s">
        <v>31</v>
      </c>
      <c r="N1530" t="s">
        <v>22</v>
      </c>
      <c r="O1530" t="s">
        <v>36</v>
      </c>
      <c r="P1530">
        <v>3.04</v>
      </c>
      <c r="Q1530" s="2" t="b">
        <f>FALSE()</f>
        <v>0</v>
      </c>
      <c r="R1530">
        <v>0</v>
      </c>
    </row>
    <row r="1531" spans="1:18" x14ac:dyDescent="0.25">
      <c r="A1531">
        <v>201530</v>
      </c>
      <c r="B1531">
        <v>52638</v>
      </c>
      <c r="C1531" t="s">
        <v>18</v>
      </c>
      <c r="D1531">
        <v>2470</v>
      </c>
      <c r="E1531">
        <v>2388</v>
      </c>
      <c r="F1531">
        <v>2</v>
      </c>
      <c r="G1531">
        <v>1</v>
      </c>
      <c r="H1531">
        <v>0</v>
      </c>
      <c r="I1531" t="s">
        <v>33</v>
      </c>
      <c r="J1531">
        <v>1</v>
      </c>
      <c r="K1531">
        <v>35</v>
      </c>
      <c r="L1531" t="s">
        <v>24</v>
      </c>
      <c r="M1531" t="s">
        <v>21</v>
      </c>
      <c r="N1531" t="s">
        <v>22</v>
      </c>
      <c r="O1531" t="s">
        <v>36</v>
      </c>
      <c r="P1531">
        <v>2.73</v>
      </c>
      <c r="Q1531" s="2" t="b">
        <f>FALSE()</f>
        <v>0</v>
      </c>
      <c r="R1531">
        <v>0</v>
      </c>
    </row>
    <row r="1532" spans="1:18" x14ac:dyDescent="0.25">
      <c r="A1532">
        <v>201531</v>
      </c>
      <c r="B1532">
        <v>52654</v>
      </c>
      <c r="C1532" t="s">
        <v>28</v>
      </c>
      <c r="D1532">
        <v>1883.24</v>
      </c>
      <c r="E1532">
        <v>844</v>
      </c>
      <c r="F1532">
        <v>0</v>
      </c>
      <c r="G1532">
        <v>1</v>
      </c>
      <c r="H1532">
        <v>0</v>
      </c>
      <c r="I1532" t="s">
        <v>33</v>
      </c>
      <c r="J1532">
        <v>0</v>
      </c>
      <c r="K1532">
        <v>31</v>
      </c>
      <c r="L1532" t="s">
        <v>24</v>
      </c>
      <c r="M1532" t="s">
        <v>35</v>
      </c>
      <c r="N1532" t="s">
        <v>22</v>
      </c>
      <c r="O1532" t="s">
        <v>27</v>
      </c>
      <c r="P1532">
        <v>6.88</v>
      </c>
      <c r="Q1532" s="2" t="b">
        <f>FALSE()</f>
        <v>0</v>
      </c>
      <c r="R1532">
        <v>0</v>
      </c>
    </row>
    <row r="1533" spans="1:18" x14ac:dyDescent="0.25">
      <c r="A1533">
        <v>201532</v>
      </c>
      <c r="B1533">
        <v>54338</v>
      </c>
      <c r="C1533" t="s">
        <v>34</v>
      </c>
      <c r="D1533">
        <v>3829.55</v>
      </c>
      <c r="E1533">
        <v>3205</v>
      </c>
      <c r="F1533">
        <v>1</v>
      </c>
      <c r="G1533">
        <v>3</v>
      </c>
      <c r="H1533">
        <v>0</v>
      </c>
      <c r="I1533" t="s">
        <v>32</v>
      </c>
      <c r="J1533">
        <v>0</v>
      </c>
      <c r="K1533">
        <v>49</v>
      </c>
      <c r="L1533" t="s">
        <v>24</v>
      </c>
      <c r="M1533" t="s">
        <v>31</v>
      </c>
      <c r="N1533" t="s">
        <v>22</v>
      </c>
      <c r="O1533" t="s">
        <v>36</v>
      </c>
      <c r="P1533">
        <v>2.84</v>
      </c>
      <c r="Q1533" s="2" t="b">
        <f>FALSE()</f>
        <v>0</v>
      </c>
      <c r="R1533">
        <v>1</v>
      </c>
    </row>
    <row r="1534" spans="1:18" x14ac:dyDescent="0.25">
      <c r="A1534">
        <v>201533</v>
      </c>
      <c r="B1534">
        <v>54023</v>
      </c>
      <c r="C1534" t="s">
        <v>34</v>
      </c>
      <c r="D1534">
        <v>2227.96</v>
      </c>
      <c r="E1534">
        <v>2021</v>
      </c>
      <c r="F1534">
        <v>2</v>
      </c>
      <c r="G1534">
        <v>3</v>
      </c>
      <c r="H1534">
        <v>0</v>
      </c>
      <c r="I1534" t="s">
        <v>33</v>
      </c>
      <c r="J1534">
        <v>1</v>
      </c>
      <c r="K1534">
        <v>24</v>
      </c>
      <c r="L1534" t="s">
        <v>20</v>
      </c>
      <c r="M1534" t="s">
        <v>21</v>
      </c>
      <c r="N1534" t="s">
        <v>26</v>
      </c>
      <c r="O1534" t="s">
        <v>27</v>
      </c>
      <c r="P1534">
        <v>3.5</v>
      </c>
      <c r="Q1534" s="2" t="b">
        <f>FALSE()</f>
        <v>0</v>
      </c>
      <c r="R1534">
        <v>0</v>
      </c>
    </row>
    <row r="1535" spans="1:18" x14ac:dyDescent="0.25">
      <c r="A1535">
        <v>201534</v>
      </c>
      <c r="B1535">
        <v>50662</v>
      </c>
      <c r="C1535" t="s">
        <v>18</v>
      </c>
      <c r="D1535">
        <v>1843</v>
      </c>
      <c r="E1535">
        <v>1887</v>
      </c>
      <c r="F1535">
        <v>2</v>
      </c>
      <c r="G1535">
        <v>5</v>
      </c>
      <c r="H1535">
        <v>0</v>
      </c>
      <c r="I1535" t="s">
        <v>33</v>
      </c>
      <c r="J1535">
        <v>0</v>
      </c>
      <c r="K1535">
        <v>43</v>
      </c>
      <c r="L1535" t="s">
        <v>20</v>
      </c>
      <c r="M1535" t="s">
        <v>25</v>
      </c>
      <c r="N1535" t="s">
        <v>22</v>
      </c>
      <c r="O1535" t="s">
        <v>36</v>
      </c>
      <c r="P1535">
        <v>0.33</v>
      </c>
      <c r="Q1535" s="2" t="b">
        <f>FALSE()</f>
        <v>0</v>
      </c>
      <c r="R1535">
        <v>0</v>
      </c>
    </row>
    <row r="1536" spans="1:18" x14ac:dyDescent="0.25">
      <c r="A1536">
        <v>201535</v>
      </c>
      <c r="B1536">
        <v>55688</v>
      </c>
      <c r="C1536" t="s">
        <v>18</v>
      </c>
      <c r="D1536">
        <v>1130.24</v>
      </c>
      <c r="E1536">
        <v>1358</v>
      </c>
      <c r="F1536">
        <v>1</v>
      </c>
      <c r="G1536">
        <v>4</v>
      </c>
      <c r="H1536">
        <v>1</v>
      </c>
      <c r="I1536" t="s">
        <v>33</v>
      </c>
      <c r="J1536">
        <v>0</v>
      </c>
      <c r="K1536">
        <v>30</v>
      </c>
      <c r="L1536" t="s">
        <v>24</v>
      </c>
      <c r="M1536" t="s">
        <v>31</v>
      </c>
      <c r="N1536" t="s">
        <v>30</v>
      </c>
      <c r="O1536" t="s">
        <v>27</v>
      </c>
      <c r="P1536">
        <v>0.77</v>
      </c>
      <c r="Q1536" s="2" t="b">
        <f>FALSE()</f>
        <v>0</v>
      </c>
      <c r="R1536">
        <v>0</v>
      </c>
    </row>
    <row r="1537" spans="1:18" x14ac:dyDescent="0.25">
      <c r="A1537">
        <v>201536</v>
      </c>
      <c r="B1537">
        <v>52378</v>
      </c>
      <c r="C1537" t="s">
        <v>28</v>
      </c>
      <c r="D1537">
        <v>2689.77</v>
      </c>
      <c r="E1537">
        <v>2916</v>
      </c>
      <c r="F1537">
        <v>0</v>
      </c>
      <c r="G1537">
        <v>2</v>
      </c>
      <c r="H1537">
        <v>0</v>
      </c>
      <c r="I1537" t="s">
        <v>33</v>
      </c>
      <c r="J1537">
        <v>1</v>
      </c>
      <c r="K1537">
        <v>36</v>
      </c>
      <c r="L1537" t="s">
        <v>20</v>
      </c>
      <c r="M1537" t="s">
        <v>21</v>
      </c>
      <c r="N1537" t="s">
        <v>22</v>
      </c>
      <c r="O1537" t="s">
        <v>27</v>
      </c>
      <c r="P1537">
        <v>1.22</v>
      </c>
      <c r="Q1537" s="2" t="b">
        <f>FALSE()</f>
        <v>0</v>
      </c>
      <c r="R1537">
        <v>0</v>
      </c>
    </row>
    <row r="1538" spans="1:18" x14ac:dyDescent="0.25">
      <c r="A1538">
        <v>201537</v>
      </c>
      <c r="B1538">
        <v>52251</v>
      </c>
      <c r="C1538" t="s">
        <v>18</v>
      </c>
      <c r="D1538">
        <v>1744.73</v>
      </c>
      <c r="E1538">
        <v>1490</v>
      </c>
      <c r="F1538">
        <v>1</v>
      </c>
      <c r="G1538">
        <v>4</v>
      </c>
      <c r="H1538">
        <v>0</v>
      </c>
      <c r="I1538" t="s">
        <v>19</v>
      </c>
      <c r="J1538">
        <v>0</v>
      </c>
      <c r="K1538">
        <v>67</v>
      </c>
      <c r="L1538" t="s">
        <v>24</v>
      </c>
      <c r="M1538" t="s">
        <v>37</v>
      </c>
      <c r="N1538" t="s">
        <v>30</v>
      </c>
      <c r="O1538" t="s">
        <v>36</v>
      </c>
      <c r="P1538">
        <v>0.1</v>
      </c>
      <c r="Q1538" s="2" t="b">
        <f>FALSE()</f>
        <v>0</v>
      </c>
      <c r="R1538">
        <v>0</v>
      </c>
    </row>
    <row r="1539" spans="1:18" x14ac:dyDescent="0.25">
      <c r="A1539">
        <v>201538</v>
      </c>
      <c r="B1539">
        <v>51034</v>
      </c>
      <c r="C1539" t="s">
        <v>34</v>
      </c>
      <c r="D1539">
        <v>4432.7</v>
      </c>
      <c r="E1539">
        <v>690</v>
      </c>
      <c r="F1539">
        <v>3</v>
      </c>
      <c r="G1539">
        <v>7</v>
      </c>
      <c r="H1539">
        <v>1</v>
      </c>
      <c r="I1539" t="s">
        <v>33</v>
      </c>
      <c r="J1539">
        <v>0</v>
      </c>
      <c r="K1539">
        <v>51</v>
      </c>
      <c r="L1539" t="s">
        <v>24</v>
      </c>
      <c r="M1539" t="s">
        <v>37</v>
      </c>
      <c r="N1539" t="s">
        <v>22</v>
      </c>
      <c r="O1539" t="s">
        <v>23</v>
      </c>
      <c r="P1539">
        <v>0.52</v>
      </c>
      <c r="Q1539" s="2" t="b">
        <f>FALSE()</f>
        <v>0</v>
      </c>
      <c r="R1539">
        <v>1</v>
      </c>
    </row>
    <row r="1540" spans="1:18" x14ac:dyDescent="0.25">
      <c r="A1540">
        <v>201539</v>
      </c>
      <c r="B1540">
        <v>50428</v>
      </c>
      <c r="C1540" t="s">
        <v>34</v>
      </c>
      <c r="D1540">
        <v>1177.71</v>
      </c>
      <c r="E1540">
        <v>3314</v>
      </c>
      <c r="F1540">
        <v>3</v>
      </c>
      <c r="G1540">
        <v>7</v>
      </c>
      <c r="H1540">
        <v>1</v>
      </c>
      <c r="I1540" t="s">
        <v>19</v>
      </c>
      <c r="J1540">
        <v>0</v>
      </c>
      <c r="K1540">
        <v>34</v>
      </c>
      <c r="L1540" t="s">
        <v>38</v>
      </c>
      <c r="M1540" t="s">
        <v>25</v>
      </c>
      <c r="N1540" t="s">
        <v>22</v>
      </c>
      <c r="O1540" t="s">
        <v>23</v>
      </c>
      <c r="P1540">
        <v>0.65</v>
      </c>
      <c r="Q1540" s="2" t="b">
        <f>FALSE()</f>
        <v>0</v>
      </c>
      <c r="R1540">
        <v>1</v>
      </c>
    </row>
    <row r="1541" spans="1:18" x14ac:dyDescent="0.25">
      <c r="A1541">
        <v>201540</v>
      </c>
      <c r="B1541">
        <v>52000</v>
      </c>
      <c r="C1541" t="s">
        <v>34</v>
      </c>
      <c r="D1541">
        <v>2488.13</v>
      </c>
      <c r="E1541">
        <v>2884</v>
      </c>
      <c r="F1541">
        <v>1</v>
      </c>
      <c r="G1541">
        <v>10</v>
      </c>
      <c r="H1541">
        <v>0</v>
      </c>
      <c r="I1541" t="s">
        <v>33</v>
      </c>
      <c r="J1541">
        <v>0</v>
      </c>
      <c r="K1541">
        <v>35</v>
      </c>
      <c r="L1541" t="s">
        <v>24</v>
      </c>
      <c r="M1541" t="s">
        <v>37</v>
      </c>
      <c r="N1541" t="s">
        <v>30</v>
      </c>
      <c r="O1541" t="s">
        <v>36</v>
      </c>
      <c r="P1541">
        <v>0.39</v>
      </c>
      <c r="Q1541" s="2" t="b">
        <f>FALSE()</f>
        <v>0</v>
      </c>
      <c r="R1541">
        <v>1</v>
      </c>
    </row>
    <row r="1542" spans="1:18" x14ac:dyDescent="0.25">
      <c r="A1542">
        <v>201541</v>
      </c>
      <c r="B1542">
        <v>51829</v>
      </c>
      <c r="C1542" t="s">
        <v>18</v>
      </c>
      <c r="D1542">
        <v>1168.95</v>
      </c>
      <c r="E1542">
        <v>676</v>
      </c>
      <c r="F1542">
        <v>0</v>
      </c>
      <c r="G1542">
        <v>5</v>
      </c>
      <c r="H1542">
        <v>0</v>
      </c>
      <c r="I1542" t="s">
        <v>32</v>
      </c>
      <c r="J1542">
        <v>0</v>
      </c>
      <c r="K1542">
        <v>28</v>
      </c>
      <c r="L1542" t="s">
        <v>24</v>
      </c>
      <c r="M1542" t="s">
        <v>21</v>
      </c>
      <c r="N1542" t="s">
        <v>22</v>
      </c>
      <c r="O1542" t="s">
        <v>23</v>
      </c>
      <c r="P1542">
        <v>3.18</v>
      </c>
      <c r="Q1542" s="2" t="b">
        <f>FALSE()</f>
        <v>0</v>
      </c>
      <c r="R1542">
        <v>0</v>
      </c>
    </row>
    <row r="1543" spans="1:18" x14ac:dyDescent="0.25">
      <c r="A1543">
        <v>201542</v>
      </c>
      <c r="B1543">
        <v>52654</v>
      </c>
      <c r="C1543" t="s">
        <v>34</v>
      </c>
      <c r="D1543">
        <v>4040.51</v>
      </c>
      <c r="E1543">
        <v>766</v>
      </c>
      <c r="F1543">
        <v>1</v>
      </c>
      <c r="G1543">
        <v>7</v>
      </c>
      <c r="H1543">
        <v>1</v>
      </c>
      <c r="I1543" t="s">
        <v>33</v>
      </c>
      <c r="J1543">
        <v>1</v>
      </c>
      <c r="K1543">
        <v>45</v>
      </c>
      <c r="L1543" t="s">
        <v>20</v>
      </c>
      <c r="M1543" t="s">
        <v>35</v>
      </c>
      <c r="N1543" t="s">
        <v>30</v>
      </c>
      <c r="O1543" t="s">
        <v>23</v>
      </c>
      <c r="P1543">
        <v>7.0000000000000007E-2</v>
      </c>
      <c r="Q1543" s="2" t="b">
        <f>FALSE()</f>
        <v>0</v>
      </c>
      <c r="R1543">
        <v>1</v>
      </c>
    </row>
    <row r="1544" spans="1:18" x14ac:dyDescent="0.25">
      <c r="A1544">
        <v>201543</v>
      </c>
      <c r="B1544">
        <v>51016</v>
      </c>
      <c r="C1544" t="s">
        <v>34</v>
      </c>
      <c r="D1544">
        <v>347.8</v>
      </c>
      <c r="E1544">
        <v>2183</v>
      </c>
      <c r="F1544">
        <v>1</v>
      </c>
      <c r="G1544">
        <v>4</v>
      </c>
      <c r="H1544">
        <v>0</v>
      </c>
      <c r="I1544" t="s">
        <v>19</v>
      </c>
      <c r="J1544">
        <v>0</v>
      </c>
      <c r="K1544">
        <v>48</v>
      </c>
      <c r="L1544" t="s">
        <v>20</v>
      </c>
      <c r="M1544" t="s">
        <v>25</v>
      </c>
      <c r="N1544" t="s">
        <v>22</v>
      </c>
      <c r="O1544" t="s">
        <v>36</v>
      </c>
      <c r="P1544">
        <v>5.63</v>
      </c>
      <c r="Q1544" s="2" t="b">
        <f>FALSE()</f>
        <v>0</v>
      </c>
      <c r="R1544">
        <v>0</v>
      </c>
    </row>
    <row r="1545" spans="1:18" x14ac:dyDescent="0.25">
      <c r="A1545">
        <v>201544</v>
      </c>
      <c r="B1545">
        <v>51134</v>
      </c>
      <c r="C1545" t="s">
        <v>28</v>
      </c>
      <c r="D1545">
        <v>3495.12</v>
      </c>
      <c r="E1545">
        <v>3107</v>
      </c>
      <c r="F1545">
        <v>2</v>
      </c>
      <c r="G1545">
        <v>3</v>
      </c>
      <c r="H1545">
        <v>0</v>
      </c>
      <c r="I1545" t="s">
        <v>32</v>
      </c>
      <c r="J1545">
        <v>0</v>
      </c>
      <c r="K1545">
        <v>71</v>
      </c>
      <c r="L1545" t="s">
        <v>24</v>
      </c>
      <c r="M1545" t="s">
        <v>29</v>
      </c>
      <c r="N1545" t="s">
        <v>22</v>
      </c>
      <c r="O1545" t="s">
        <v>36</v>
      </c>
      <c r="P1545">
        <v>5.8</v>
      </c>
      <c r="Q1545" s="2" t="b">
        <f>FALSE()</f>
        <v>0</v>
      </c>
      <c r="R1545">
        <v>0</v>
      </c>
    </row>
    <row r="1546" spans="1:18" x14ac:dyDescent="0.25">
      <c r="A1546">
        <v>201545</v>
      </c>
      <c r="B1546">
        <v>53995</v>
      </c>
      <c r="C1546" t="s">
        <v>18</v>
      </c>
      <c r="D1546">
        <v>1632.51</v>
      </c>
      <c r="E1546">
        <v>2086</v>
      </c>
      <c r="F1546">
        <v>2</v>
      </c>
      <c r="G1546">
        <v>4</v>
      </c>
      <c r="H1546">
        <v>0</v>
      </c>
      <c r="I1546" t="s">
        <v>19</v>
      </c>
      <c r="J1546">
        <v>0</v>
      </c>
      <c r="K1546">
        <v>59</v>
      </c>
      <c r="L1546" t="s">
        <v>24</v>
      </c>
      <c r="M1546" t="s">
        <v>35</v>
      </c>
      <c r="N1546" t="s">
        <v>30</v>
      </c>
      <c r="O1546" t="s">
        <v>23</v>
      </c>
      <c r="P1546">
        <v>6.87</v>
      </c>
      <c r="Q1546" s="2" t="b">
        <f>FALSE()</f>
        <v>0</v>
      </c>
      <c r="R1546">
        <v>0</v>
      </c>
    </row>
    <row r="1547" spans="1:18" x14ac:dyDescent="0.25">
      <c r="A1547">
        <v>201546</v>
      </c>
      <c r="B1547">
        <v>53755</v>
      </c>
      <c r="C1547" t="s">
        <v>18</v>
      </c>
      <c r="D1547">
        <v>3449.85</v>
      </c>
      <c r="E1547">
        <v>600</v>
      </c>
      <c r="F1547">
        <v>2</v>
      </c>
      <c r="G1547">
        <v>4</v>
      </c>
      <c r="H1547">
        <v>0</v>
      </c>
      <c r="I1547" t="s">
        <v>33</v>
      </c>
      <c r="J1547">
        <v>0</v>
      </c>
      <c r="K1547">
        <v>72</v>
      </c>
      <c r="L1547" t="s">
        <v>24</v>
      </c>
      <c r="M1547" t="s">
        <v>29</v>
      </c>
      <c r="N1547" t="s">
        <v>30</v>
      </c>
      <c r="O1547" t="s">
        <v>27</v>
      </c>
      <c r="P1547">
        <v>1.69</v>
      </c>
      <c r="Q1547" s="2" t="b">
        <f>FALSE()</f>
        <v>0</v>
      </c>
      <c r="R1547">
        <v>0</v>
      </c>
    </row>
    <row r="1548" spans="1:18" x14ac:dyDescent="0.25">
      <c r="A1548">
        <v>201547</v>
      </c>
      <c r="B1548">
        <v>55234</v>
      </c>
      <c r="C1548" t="s">
        <v>18</v>
      </c>
      <c r="D1548">
        <v>1415.19</v>
      </c>
      <c r="E1548">
        <v>1450</v>
      </c>
      <c r="F1548">
        <v>0</v>
      </c>
      <c r="G1548">
        <v>3</v>
      </c>
      <c r="H1548">
        <v>0</v>
      </c>
      <c r="I1548" t="s">
        <v>33</v>
      </c>
      <c r="J1548">
        <v>0</v>
      </c>
      <c r="K1548">
        <v>54</v>
      </c>
      <c r="L1548" t="s">
        <v>24</v>
      </c>
      <c r="M1548" t="s">
        <v>35</v>
      </c>
      <c r="N1548" t="s">
        <v>22</v>
      </c>
      <c r="O1548" t="s">
        <v>36</v>
      </c>
      <c r="P1548">
        <v>6.6</v>
      </c>
      <c r="Q1548" s="2" t="b">
        <f>FALSE()</f>
        <v>0</v>
      </c>
      <c r="R1548">
        <v>0</v>
      </c>
    </row>
    <row r="1549" spans="1:18" x14ac:dyDescent="0.25">
      <c r="A1549">
        <v>201548</v>
      </c>
      <c r="B1549">
        <v>50711</v>
      </c>
      <c r="C1549" t="s">
        <v>34</v>
      </c>
      <c r="D1549">
        <v>2039.84</v>
      </c>
      <c r="E1549">
        <v>361</v>
      </c>
      <c r="F1549">
        <v>0</v>
      </c>
      <c r="G1549">
        <v>5</v>
      </c>
      <c r="H1549">
        <v>1</v>
      </c>
      <c r="I1549" t="s">
        <v>19</v>
      </c>
      <c r="J1549">
        <v>0</v>
      </c>
      <c r="K1549">
        <v>48</v>
      </c>
      <c r="L1549" t="s">
        <v>24</v>
      </c>
      <c r="M1549" t="s">
        <v>21</v>
      </c>
      <c r="N1549" t="s">
        <v>30</v>
      </c>
      <c r="O1549" t="s">
        <v>27</v>
      </c>
      <c r="P1549">
        <v>0.64</v>
      </c>
      <c r="Q1549" s="2" t="b">
        <f>FALSE()</f>
        <v>0</v>
      </c>
      <c r="R1549">
        <v>0</v>
      </c>
    </row>
    <row r="1550" spans="1:18" x14ac:dyDescent="0.25">
      <c r="A1550">
        <v>201549</v>
      </c>
      <c r="B1550">
        <v>50250</v>
      </c>
      <c r="C1550" t="s">
        <v>18</v>
      </c>
      <c r="D1550">
        <v>2565.9899999999998</v>
      </c>
      <c r="E1550">
        <v>1899</v>
      </c>
      <c r="F1550">
        <v>1</v>
      </c>
      <c r="G1550">
        <v>8</v>
      </c>
      <c r="H1550">
        <v>0</v>
      </c>
      <c r="I1550" t="s">
        <v>33</v>
      </c>
      <c r="J1550">
        <v>0</v>
      </c>
      <c r="K1550">
        <v>44</v>
      </c>
      <c r="L1550" t="s">
        <v>20</v>
      </c>
      <c r="M1550" t="s">
        <v>35</v>
      </c>
      <c r="N1550" t="s">
        <v>26</v>
      </c>
      <c r="O1550" t="s">
        <v>27</v>
      </c>
      <c r="P1550">
        <v>3.12</v>
      </c>
      <c r="Q1550" s="2" t="b">
        <f>FALSE()</f>
        <v>0</v>
      </c>
      <c r="R1550">
        <v>1</v>
      </c>
    </row>
    <row r="1551" spans="1:18" x14ac:dyDescent="0.25">
      <c r="A1551">
        <v>201550</v>
      </c>
      <c r="B1551">
        <v>55772</v>
      </c>
      <c r="C1551" t="s">
        <v>34</v>
      </c>
      <c r="D1551">
        <v>1437.71</v>
      </c>
      <c r="E1551">
        <v>528</v>
      </c>
      <c r="F1551">
        <v>0</v>
      </c>
      <c r="G1551">
        <v>6</v>
      </c>
      <c r="H1551">
        <v>1</v>
      </c>
      <c r="I1551" t="s">
        <v>32</v>
      </c>
      <c r="J1551">
        <v>0</v>
      </c>
      <c r="K1551">
        <v>18</v>
      </c>
      <c r="L1551" t="s">
        <v>20</v>
      </c>
      <c r="M1551" t="s">
        <v>29</v>
      </c>
      <c r="N1551" t="s">
        <v>22</v>
      </c>
      <c r="O1551" t="s">
        <v>36</v>
      </c>
      <c r="P1551">
        <v>0.19</v>
      </c>
      <c r="Q1551" s="2" t="b">
        <f>FALSE()</f>
        <v>0</v>
      </c>
      <c r="R1551">
        <v>0</v>
      </c>
    </row>
    <row r="1552" spans="1:18" x14ac:dyDescent="0.25">
      <c r="A1552">
        <v>201551</v>
      </c>
      <c r="B1552">
        <v>53567</v>
      </c>
      <c r="C1552" t="s">
        <v>18</v>
      </c>
      <c r="D1552">
        <v>1864.91</v>
      </c>
      <c r="E1552">
        <v>2352</v>
      </c>
      <c r="F1552">
        <v>2</v>
      </c>
      <c r="G1552">
        <v>4</v>
      </c>
      <c r="H1552">
        <v>0</v>
      </c>
      <c r="I1552" t="s">
        <v>19</v>
      </c>
      <c r="J1552">
        <v>0</v>
      </c>
      <c r="K1552">
        <v>64</v>
      </c>
      <c r="L1552" t="s">
        <v>24</v>
      </c>
      <c r="M1552" t="s">
        <v>37</v>
      </c>
      <c r="N1552" t="s">
        <v>22</v>
      </c>
      <c r="O1552" t="s">
        <v>36</v>
      </c>
      <c r="P1552">
        <v>5.37</v>
      </c>
      <c r="Q1552" s="2" t="b">
        <f>FALSE()</f>
        <v>0</v>
      </c>
      <c r="R1552">
        <v>0</v>
      </c>
    </row>
    <row r="1553" spans="1:18" x14ac:dyDescent="0.25">
      <c r="A1553">
        <v>201552</v>
      </c>
      <c r="B1553">
        <v>52047</v>
      </c>
      <c r="C1553" t="s">
        <v>34</v>
      </c>
      <c r="D1553">
        <v>1387.31</v>
      </c>
      <c r="E1553">
        <v>3043</v>
      </c>
      <c r="F1553">
        <v>0</v>
      </c>
      <c r="G1553">
        <v>3</v>
      </c>
      <c r="H1553">
        <v>1</v>
      </c>
      <c r="I1553" t="s">
        <v>32</v>
      </c>
      <c r="J1553">
        <v>0</v>
      </c>
      <c r="K1553">
        <v>83</v>
      </c>
      <c r="L1553" t="s">
        <v>20</v>
      </c>
      <c r="M1553" t="s">
        <v>31</v>
      </c>
      <c r="N1553" t="s">
        <v>30</v>
      </c>
      <c r="O1553" t="s">
        <v>36</v>
      </c>
      <c r="P1553">
        <v>1.84</v>
      </c>
      <c r="Q1553" s="2" t="b">
        <f>FALSE()</f>
        <v>0</v>
      </c>
      <c r="R1553">
        <v>0</v>
      </c>
    </row>
    <row r="1554" spans="1:18" x14ac:dyDescent="0.25">
      <c r="A1554">
        <v>201553</v>
      </c>
      <c r="B1554">
        <v>55519</v>
      </c>
      <c r="C1554" t="s">
        <v>18</v>
      </c>
      <c r="D1554">
        <v>1043.6600000000001</v>
      </c>
      <c r="E1554">
        <v>2033</v>
      </c>
      <c r="F1554">
        <v>3</v>
      </c>
      <c r="G1554">
        <v>5</v>
      </c>
      <c r="H1554">
        <v>1</v>
      </c>
      <c r="I1554" t="s">
        <v>33</v>
      </c>
      <c r="J1554">
        <v>0</v>
      </c>
      <c r="K1554">
        <v>73</v>
      </c>
      <c r="L1554" t="s">
        <v>24</v>
      </c>
      <c r="M1554" t="s">
        <v>37</v>
      </c>
      <c r="N1554" t="s">
        <v>30</v>
      </c>
      <c r="O1554" t="s">
        <v>27</v>
      </c>
      <c r="P1554">
        <v>0.12</v>
      </c>
      <c r="Q1554" s="2" t="b">
        <f>FALSE()</f>
        <v>0</v>
      </c>
      <c r="R1554">
        <v>1</v>
      </c>
    </row>
    <row r="1555" spans="1:18" x14ac:dyDescent="0.25">
      <c r="A1555">
        <v>201554</v>
      </c>
      <c r="B1555">
        <v>52063</v>
      </c>
      <c r="C1555" t="s">
        <v>28</v>
      </c>
      <c r="D1555">
        <v>1475.69</v>
      </c>
      <c r="E1555">
        <v>68</v>
      </c>
      <c r="F1555">
        <v>0</v>
      </c>
      <c r="G1555">
        <v>11</v>
      </c>
      <c r="H1555">
        <v>0</v>
      </c>
      <c r="I1555" t="s">
        <v>19</v>
      </c>
      <c r="J1555">
        <v>0</v>
      </c>
      <c r="K1555">
        <v>73</v>
      </c>
      <c r="L1555" t="s">
        <v>20</v>
      </c>
      <c r="M1555" t="s">
        <v>35</v>
      </c>
      <c r="N1555" t="s">
        <v>30</v>
      </c>
      <c r="O1555" t="s">
        <v>27</v>
      </c>
      <c r="P1555">
        <v>5.31</v>
      </c>
      <c r="Q1555" s="2" t="b">
        <f>FALSE()</f>
        <v>0</v>
      </c>
      <c r="R1555">
        <v>1</v>
      </c>
    </row>
    <row r="1556" spans="1:18" x14ac:dyDescent="0.25">
      <c r="A1556">
        <v>201555</v>
      </c>
      <c r="B1556">
        <v>50537</v>
      </c>
      <c r="C1556" t="s">
        <v>18</v>
      </c>
      <c r="D1556">
        <v>542.23</v>
      </c>
      <c r="E1556">
        <v>992</v>
      </c>
      <c r="F1556">
        <v>0</v>
      </c>
      <c r="G1556">
        <v>5</v>
      </c>
      <c r="H1556">
        <v>0</v>
      </c>
      <c r="I1556" t="s">
        <v>33</v>
      </c>
      <c r="J1556">
        <v>0</v>
      </c>
      <c r="K1556">
        <v>32</v>
      </c>
      <c r="L1556" t="s">
        <v>20</v>
      </c>
      <c r="M1556" t="s">
        <v>25</v>
      </c>
      <c r="N1556" t="s">
        <v>26</v>
      </c>
      <c r="O1556" t="s">
        <v>23</v>
      </c>
      <c r="P1556">
        <v>2.56</v>
      </c>
      <c r="Q1556" s="2" t="b">
        <f>FALSE()</f>
        <v>0</v>
      </c>
      <c r="R1556">
        <v>0</v>
      </c>
    </row>
    <row r="1557" spans="1:18" x14ac:dyDescent="0.25">
      <c r="A1557">
        <v>201556</v>
      </c>
      <c r="B1557">
        <v>52469</v>
      </c>
      <c r="C1557" t="s">
        <v>18</v>
      </c>
      <c r="D1557">
        <v>741.8</v>
      </c>
      <c r="E1557">
        <v>1597</v>
      </c>
      <c r="F1557">
        <v>0</v>
      </c>
      <c r="G1557">
        <v>4</v>
      </c>
      <c r="H1557">
        <v>0</v>
      </c>
      <c r="I1557" t="s">
        <v>19</v>
      </c>
      <c r="J1557">
        <v>0</v>
      </c>
      <c r="K1557">
        <v>79</v>
      </c>
      <c r="L1557" t="s">
        <v>24</v>
      </c>
      <c r="M1557" t="s">
        <v>35</v>
      </c>
      <c r="N1557" t="s">
        <v>22</v>
      </c>
      <c r="O1557" t="s">
        <v>27</v>
      </c>
      <c r="P1557">
        <v>0.51</v>
      </c>
      <c r="Q1557" s="2" t="b">
        <f>FALSE()</f>
        <v>0</v>
      </c>
      <c r="R1557">
        <v>0</v>
      </c>
    </row>
    <row r="1558" spans="1:18" x14ac:dyDescent="0.25">
      <c r="A1558">
        <v>201557</v>
      </c>
      <c r="B1558">
        <v>54807</v>
      </c>
      <c r="C1558" t="s">
        <v>18</v>
      </c>
      <c r="D1558">
        <v>454.26</v>
      </c>
      <c r="E1558">
        <v>1604</v>
      </c>
      <c r="F1558">
        <v>1</v>
      </c>
      <c r="G1558">
        <v>1</v>
      </c>
      <c r="H1558">
        <v>0</v>
      </c>
      <c r="I1558" t="s">
        <v>32</v>
      </c>
      <c r="J1558">
        <v>0</v>
      </c>
      <c r="K1558">
        <v>60</v>
      </c>
      <c r="L1558" t="s">
        <v>20</v>
      </c>
      <c r="M1558" t="s">
        <v>21</v>
      </c>
      <c r="N1558" t="s">
        <v>22</v>
      </c>
      <c r="O1558" t="s">
        <v>23</v>
      </c>
      <c r="P1558">
        <v>3.96</v>
      </c>
      <c r="Q1558" s="2" t="b">
        <f>FALSE()</f>
        <v>0</v>
      </c>
      <c r="R1558">
        <v>0</v>
      </c>
    </row>
    <row r="1559" spans="1:18" x14ac:dyDescent="0.25">
      <c r="A1559">
        <v>201558</v>
      </c>
      <c r="B1559">
        <v>50997</v>
      </c>
      <c r="C1559" t="s">
        <v>18</v>
      </c>
      <c r="D1559">
        <v>4069.48</v>
      </c>
      <c r="E1559">
        <v>3295</v>
      </c>
      <c r="F1559">
        <v>2</v>
      </c>
      <c r="G1559">
        <v>3</v>
      </c>
      <c r="H1559">
        <v>1</v>
      </c>
      <c r="I1559" t="s">
        <v>32</v>
      </c>
      <c r="J1559">
        <v>0</v>
      </c>
      <c r="K1559">
        <v>60</v>
      </c>
      <c r="L1559" t="s">
        <v>24</v>
      </c>
      <c r="M1559" t="s">
        <v>35</v>
      </c>
      <c r="N1559" t="s">
        <v>30</v>
      </c>
      <c r="O1559" t="s">
        <v>23</v>
      </c>
      <c r="P1559">
        <v>0.19</v>
      </c>
      <c r="Q1559" s="2" t="b">
        <f>FALSE()</f>
        <v>0</v>
      </c>
      <c r="R1559">
        <v>1</v>
      </c>
    </row>
    <row r="1560" spans="1:18" x14ac:dyDescent="0.25">
      <c r="A1560">
        <v>201559</v>
      </c>
      <c r="B1560">
        <v>53764</v>
      </c>
      <c r="C1560" t="s">
        <v>18</v>
      </c>
      <c r="D1560">
        <v>1411.55</v>
      </c>
      <c r="E1560">
        <v>2125</v>
      </c>
      <c r="F1560">
        <v>0</v>
      </c>
      <c r="G1560">
        <v>4</v>
      </c>
      <c r="H1560">
        <v>0</v>
      </c>
      <c r="I1560" t="s">
        <v>19</v>
      </c>
      <c r="J1560">
        <v>1</v>
      </c>
      <c r="K1560">
        <v>80</v>
      </c>
      <c r="L1560" t="s">
        <v>24</v>
      </c>
      <c r="M1560" t="s">
        <v>37</v>
      </c>
      <c r="N1560" t="s">
        <v>22</v>
      </c>
      <c r="O1560" t="s">
        <v>36</v>
      </c>
      <c r="P1560">
        <v>3.21</v>
      </c>
      <c r="Q1560" s="2" t="b">
        <f>FALSE()</f>
        <v>0</v>
      </c>
      <c r="R1560">
        <v>0</v>
      </c>
    </row>
    <row r="1561" spans="1:18" x14ac:dyDescent="0.25">
      <c r="A1561">
        <v>201560</v>
      </c>
      <c r="B1561">
        <v>53436</v>
      </c>
      <c r="C1561" t="s">
        <v>34</v>
      </c>
      <c r="D1561">
        <v>1568.15</v>
      </c>
      <c r="E1561">
        <v>2004</v>
      </c>
      <c r="F1561">
        <v>0</v>
      </c>
      <c r="G1561">
        <v>1</v>
      </c>
      <c r="H1561">
        <v>1</v>
      </c>
      <c r="I1561" t="s">
        <v>19</v>
      </c>
      <c r="J1561">
        <v>0</v>
      </c>
      <c r="K1561">
        <v>75</v>
      </c>
      <c r="L1561" t="s">
        <v>20</v>
      </c>
      <c r="M1561" t="s">
        <v>25</v>
      </c>
      <c r="N1561" t="s">
        <v>22</v>
      </c>
      <c r="O1561" t="s">
        <v>36</v>
      </c>
      <c r="P1561">
        <v>5.75</v>
      </c>
      <c r="Q1561" s="2" t="b">
        <f>FALSE()</f>
        <v>0</v>
      </c>
      <c r="R1561">
        <v>0</v>
      </c>
    </row>
    <row r="1562" spans="1:18" x14ac:dyDescent="0.25">
      <c r="A1562">
        <v>201561</v>
      </c>
      <c r="B1562">
        <v>50913</v>
      </c>
      <c r="C1562" t="s">
        <v>18</v>
      </c>
      <c r="D1562">
        <v>3674.99</v>
      </c>
      <c r="E1562">
        <v>1757</v>
      </c>
      <c r="F1562">
        <v>1</v>
      </c>
      <c r="G1562">
        <v>3</v>
      </c>
      <c r="H1562">
        <v>1</v>
      </c>
      <c r="I1562" t="s">
        <v>19</v>
      </c>
      <c r="J1562">
        <v>1</v>
      </c>
      <c r="K1562">
        <v>28</v>
      </c>
      <c r="L1562" t="s">
        <v>24</v>
      </c>
      <c r="M1562" t="s">
        <v>37</v>
      </c>
      <c r="N1562" t="s">
        <v>30</v>
      </c>
      <c r="O1562" t="s">
        <v>27</v>
      </c>
      <c r="P1562">
        <v>11.89</v>
      </c>
      <c r="Q1562" s="2" t="b">
        <f>FALSE()</f>
        <v>0</v>
      </c>
      <c r="R1562">
        <v>1</v>
      </c>
    </row>
    <row r="1563" spans="1:18" x14ac:dyDescent="0.25">
      <c r="A1563">
        <v>201562</v>
      </c>
      <c r="B1563">
        <v>52347</v>
      </c>
      <c r="C1563" t="s">
        <v>18</v>
      </c>
      <c r="D1563">
        <v>1742.06</v>
      </c>
      <c r="E1563">
        <v>579</v>
      </c>
      <c r="F1563">
        <v>1</v>
      </c>
      <c r="G1563">
        <v>3</v>
      </c>
      <c r="H1563">
        <v>0</v>
      </c>
      <c r="I1563" t="s">
        <v>33</v>
      </c>
      <c r="J1563">
        <v>0</v>
      </c>
      <c r="K1563">
        <v>77</v>
      </c>
      <c r="L1563" t="s">
        <v>24</v>
      </c>
      <c r="M1563" t="s">
        <v>37</v>
      </c>
      <c r="N1563" t="s">
        <v>30</v>
      </c>
      <c r="O1563" t="s">
        <v>23</v>
      </c>
      <c r="P1563">
        <v>8</v>
      </c>
      <c r="Q1563" s="2" t="b">
        <f>FALSE()</f>
        <v>0</v>
      </c>
      <c r="R1563">
        <v>0</v>
      </c>
    </row>
    <row r="1564" spans="1:18" x14ac:dyDescent="0.25">
      <c r="A1564">
        <v>201563</v>
      </c>
      <c r="B1564">
        <v>51660</v>
      </c>
      <c r="C1564" t="s">
        <v>34</v>
      </c>
      <c r="D1564">
        <v>5699.76</v>
      </c>
      <c r="E1564">
        <v>834</v>
      </c>
      <c r="F1564">
        <v>1</v>
      </c>
      <c r="G1564">
        <v>4</v>
      </c>
      <c r="H1564">
        <v>0</v>
      </c>
      <c r="I1564" t="s">
        <v>19</v>
      </c>
      <c r="J1564">
        <v>0</v>
      </c>
      <c r="K1564">
        <v>26</v>
      </c>
      <c r="L1564" t="s">
        <v>24</v>
      </c>
      <c r="M1564" t="s">
        <v>29</v>
      </c>
      <c r="N1564" t="s">
        <v>22</v>
      </c>
      <c r="O1564" t="s">
        <v>36</v>
      </c>
      <c r="P1564">
        <v>0.65</v>
      </c>
      <c r="Q1564" s="2" t="b">
        <f>FALSE()</f>
        <v>0</v>
      </c>
      <c r="R1564">
        <v>1</v>
      </c>
    </row>
    <row r="1565" spans="1:18" x14ac:dyDescent="0.25">
      <c r="A1565">
        <v>201564</v>
      </c>
      <c r="B1565">
        <v>55760</v>
      </c>
      <c r="C1565" t="s">
        <v>34</v>
      </c>
      <c r="D1565">
        <v>2768.5</v>
      </c>
      <c r="E1565">
        <v>3613</v>
      </c>
      <c r="F1565">
        <v>1</v>
      </c>
      <c r="G1565">
        <v>6</v>
      </c>
      <c r="H1565">
        <v>1</v>
      </c>
      <c r="I1565" t="s">
        <v>33</v>
      </c>
      <c r="J1565">
        <v>0</v>
      </c>
      <c r="K1565">
        <v>76</v>
      </c>
      <c r="L1565" t="s">
        <v>24</v>
      </c>
      <c r="M1565" t="s">
        <v>37</v>
      </c>
      <c r="N1565" t="s">
        <v>30</v>
      </c>
      <c r="O1565" t="s">
        <v>27</v>
      </c>
      <c r="P1565">
        <v>3.6</v>
      </c>
      <c r="Q1565" s="2" t="b">
        <f>FALSE()</f>
        <v>0</v>
      </c>
      <c r="R1565">
        <v>0</v>
      </c>
    </row>
    <row r="1566" spans="1:18" x14ac:dyDescent="0.25">
      <c r="A1566">
        <v>201565</v>
      </c>
      <c r="B1566">
        <v>54875</v>
      </c>
      <c r="C1566" t="s">
        <v>18</v>
      </c>
      <c r="D1566">
        <v>706.72</v>
      </c>
      <c r="E1566">
        <v>577</v>
      </c>
      <c r="F1566">
        <v>1</v>
      </c>
      <c r="G1566">
        <v>7</v>
      </c>
      <c r="H1566">
        <v>0</v>
      </c>
      <c r="I1566" t="s">
        <v>19</v>
      </c>
      <c r="J1566">
        <v>0</v>
      </c>
      <c r="K1566">
        <v>83</v>
      </c>
      <c r="L1566" t="s">
        <v>20</v>
      </c>
      <c r="M1566" t="s">
        <v>21</v>
      </c>
      <c r="N1566" t="s">
        <v>30</v>
      </c>
      <c r="O1566" t="s">
        <v>27</v>
      </c>
      <c r="P1566">
        <v>0.88</v>
      </c>
      <c r="Q1566" s="2" t="b">
        <f>FALSE()</f>
        <v>0</v>
      </c>
      <c r="R1566">
        <v>1</v>
      </c>
    </row>
    <row r="1567" spans="1:18" x14ac:dyDescent="0.25">
      <c r="A1567">
        <v>201566</v>
      </c>
      <c r="B1567">
        <v>50033</v>
      </c>
      <c r="C1567" t="s">
        <v>34</v>
      </c>
      <c r="D1567">
        <v>5552.51</v>
      </c>
      <c r="E1567">
        <v>2333</v>
      </c>
      <c r="F1567">
        <v>4</v>
      </c>
      <c r="G1567">
        <v>3</v>
      </c>
      <c r="H1567">
        <v>0</v>
      </c>
      <c r="I1567" t="s">
        <v>19</v>
      </c>
      <c r="J1567">
        <v>0</v>
      </c>
      <c r="K1567">
        <v>82</v>
      </c>
      <c r="L1567" t="s">
        <v>24</v>
      </c>
      <c r="M1567" t="s">
        <v>21</v>
      </c>
      <c r="N1567" t="s">
        <v>22</v>
      </c>
      <c r="O1567" t="s">
        <v>27</v>
      </c>
      <c r="P1567">
        <v>1.5</v>
      </c>
      <c r="Q1567" s="2" t="b">
        <f>FALSE()</f>
        <v>0</v>
      </c>
      <c r="R1567">
        <v>1</v>
      </c>
    </row>
    <row r="1568" spans="1:18" x14ac:dyDescent="0.25">
      <c r="A1568">
        <v>201567</v>
      </c>
      <c r="B1568">
        <v>53109</v>
      </c>
      <c r="C1568" t="s">
        <v>18</v>
      </c>
      <c r="D1568">
        <v>3867.59</v>
      </c>
      <c r="E1568">
        <v>698</v>
      </c>
      <c r="F1568">
        <v>1</v>
      </c>
      <c r="G1568">
        <v>2</v>
      </c>
      <c r="H1568">
        <v>0</v>
      </c>
      <c r="I1568" t="s">
        <v>33</v>
      </c>
      <c r="J1568">
        <v>0</v>
      </c>
      <c r="K1568">
        <v>30</v>
      </c>
      <c r="L1568" t="s">
        <v>24</v>
      </c>
      <c r="M1568" t="s">
        <v>29</v>
      </c>
      <c r="N1568" t="s">
        <v>26</v>
      </c>
      <c r="O1568" t="s">
        <v>36</v>
      </c>
      <c r="P1568">
        <v>9.08</v>
      </c>
      <c r="Q1568" s="2" t="b">
        <f>FALSE()</f>
        <v>0</v>
      </c>
      <c r="R1568">
        <v>1</v>
      </c>
    </row>
    <row r="1569" spans="1:18" x14ac:dyDescent="0.25">
      <c r="A1569">
        <v>201568</v>
      </c>
      <c r="B1569">
        <v>55575</v>
      </c>
      <c r="C1569" t="s">
        <v>34</v>
      </c>
      <c r="D1569">
        <v>1195.97</v>
      </c>
      <c r="E1569">
        <v>378</v>
      </c>
      <c r="F1569">
        <v>3</v>
      </c>
      <c r="G1569">
        <v>5</v>
      </c>
      <c r="H1569">
        <v>1</v>
      </c>
      <c r="I1569" t="s">
        <v>19</v>
      </c>
      <c r="J1569">
        <v>0</v>
      </c>
      <c r="K1569">
        <v>68</v>
      </c>
      <c r="L1569" t="s">
        <v>20</v>
      </c>
      <c r="M1569" t="s">
        <v>37</v>
      </c>
      <c r="N1569" t="s">
        <v>26</v>
      </c>
      <c r="O1569" t="s">
        <v>27</v>
      </c>
      <c r="P1569">
        <v>1.96</v>
      </c>
      <c r="Q1569" s="2" t="b">
        <f>FALSE()</f>
        <v>0</v>
      </c>
      <c r="R1569">
        <v>1</v>
      </c>
    </row>
    <row r="1570" spans="1:18" x14ac:dyDescent="0.25">
      <c r="A1570">
        <v>201569</v>
      </c>
      <c r="B1570">
        <v>55896</v>
      </c>
      <c r="C1570" t="s">
        <v>34</v>
      </c>
      <c r="D1570">
        <v>3482.33</v>
      </c>
      <c r="E1570">
        <v>1180</v>
      </c>
      <c r="F1570">
        <v>1</v>
      </c>
      <c r="G1570">
        <v>2</v>
      </c>
      <c r="H1570">
        <v>1</v>
      </c>
      <c r="I1570" t="s">
        <v>33</v>
      </c>
      <c r="J1570">
        <v>1</v>
      </c>
      <c r="K1570">
        <v>59</v>
      </c>
      <c r="L1570" t="s">
        <v>20</v>
      </c>
      <c r="M1570" t="s">
        <v>35</v>
      </c>
      <c r="N1570" t="s">
        <v>30</v>
      </c>
      <c r="O1570" t="s">
        <v>27</v>
      </c>
      <c r="P1570">
        <v>2.19</v>
      </c>
      <c r="Q1570" s="2" t="b">
        <f>FALSE()</f>
        <v>0</v>
      </c>
      <c r="R1570">
        <v>0</v>
      </c>
    </row>
    <row r="1571" spans="1:18" x14ac:dyDescent="0.25">
      <c r="A1571">
        <v>201570</v>
      </c>
      <c r="B1571">
        <v>50601</v>
      </c>
      <c r="C1571" t="s">
        <v>18</v>
      </c>
      <c r="D1571">
        <v>2913.89</v>
      </c>
      <c r="E1571">
        <v>2738</v>
      </c>
      <c r="F1571">
        <v>2</v>
      </c>
      <c r="G1571">
        <v>5</v>
      </c>
      <c r="H1571">
        <v>0</v>
      </c>
      <c r="I1571" t="s">
        <v>33</v>
      </c>
      <c r="J1571">
        <v>1</v>
      </c>
      <c r="K1571">
        <v>48</v>
      </c>
      <c r="L1571" t="s">
        <v>20</v>
      </c>
      <c r="M1571" t="s">
        <v>31</v>
      </c>
      <c r="N1571" t="s">
        <v>22</v>
      </c>
      <c r="O1571" t="s">
        <v>27</v>
      </c>
      <c r="P1571">
        <v>0.72</v>
      </c>
      <c r="Q1571" s="2" t="b">
        <f>FALSE()</f>
        <v>0</v>
      </c>
      <c r="R1571">
        <v>0</v>
      </c>
    </row>
    <row r="1572" spans="1:18" x14ac:dyDescent="0.25">
      <c r="A1572">
        <v>201571</v>
      </c>
      <c r="B1572">
        <v>54538</v>
      </c>
      <c r="C1572" t="s">
        <v>34</v>
      </c>
      <c r="D1572">
        <v>2763.67</v>
      </c>
      <c r="E1572">
        <v>70</v>
      </c>
      <c r="F1572">
        <v>1</v>
      </c>
      <c r="G1572">
        <v>2</v>
      </c>
      <c r="H1572">
        <v>0</v>
      </c>
      <c r="I1572" t="s">
        <v>19</v>
      </c>
      <c r="J1572">
        <v>1</v>
      </c>
      <c r="K1572">
        <v>51</v>
      </c>
      <c r="L1572" t="s">
        <v>24</v>
      </c>
      <c r="M1572" t="s">
        <v>21</v>
      </c>
      <c r="N1572" t="s">
        <v>30</v>
      </c>
      <c r="O1572" t="s">
        <v>27</v>
      </c>
      <c r="P1572">
        <v>7.87</v>
      </c>
      <c r="Q1572" s="2" t="b">
        <f>FALSE()</f>
        <v>0</v>
      </c>
      <c r="R1572">
        <v>0</v>
      </c>
    </row>
    <row r="1573" spans="1:18" x14ac:dyDescent="0.25">
      <c r="A1573">
        <v>201572</v>
      </c>
      <c r="B1573">
        <v>53497</v>
      </c>
      <c r="C1573" t="s">
        <v>34</v>
      </c>
      <c r="D1573">
        <v>738.45</v>
      </c>
      <c r="E1573">
        <v>3545</v>
      </c>
      <c r="F1573">
        <v>2</v>
      </c>
      <c r="G1573">
        <v>7</v>
      </c>
      <c r="H1573">
        <v>1</v>
      </c>
      <c r="I1573" t="s">
        <v>33</v>
      </c>
      <c r="J1573">
        <v>0</v>
      </c>
      <c r="K1573">
        <v>62</v>
      </c>
      <c r="L1573" t="s">
        <v>24</v>
      </c>
      <c r="M1573" t="s">
        <v>37</v>
      </c>
      <c r="N1573" t="s">
        <v>30</v>
      </c>
      <c r="O1573" t="s">
        <v>27</v>
      </c>
      <c r="P1573">
        <v>0.46</v>
      </c>
      <c r="Q1573" s="2" t="b">
        <f>FALSE()</f>
        <v>0</v>
      </c>
      <c r="R1573">
        <v>1</v>
      </c>
    </row>
    <row r="1574" spans="1:18" x14ac:dyDescent="0.25">
      <c r="A1574">
        <v>201573</v>
      </c>
      <c r="B1574">
        <v>54910</v>
      </c>
      <c r="C1574" t="s">
        <v>34</v>
      </c>
      <c r="D1574">
        <v>1506.95</v>
      </c>
      <c r="E1574">
        <v>3223</v>
      </c>
      <c r="F1574">
        <v>3</v>
      </c>
      <c r="G1574">
        <v>5</v>
      </c>
      <c r="H1574">
        <v>0</v>
      </c>
      <c r="I1574" t="s">
        <v>19</v>
      </c>
      <c r="J1574">
        <v>0</v>
      </c>
      <c r="K1574">
        <v>65</v>
      </c>
      <c r="L1574" t="s">
        <v>24</v>
      </c>
      <c r="M1574" t="s">
        <v>35</v>
      </c>
      <c r="N1574" t="s">
        <v>26</v>
      </c>
      <c r="O1574" t="s">
        <v>27</v>
      </c>
      <c r="P1574">
        <v>1.37</v>
      </c>
      <c r="Q1574" s="2" t="b">
        <f>FALSE()</f>
        <v>0</v>
      </c>
      <c r="R1574">
        <v>1</v>
      </c>
    </row>
    <row r="1575" spans="1:18" x14ac:dyDescent="0.25">
      <c r="A1575">
        <v>201574</v>
      </c>
      <c r="B1575">
        <v>54106</v>
      </c>
      <c r="C1575" t="s">
        <v>34</v>
      </c>
      <c r="D1575">
        <v>6188.86</v>
      </c>
      <c r="E1575">
        <v>2950</v>
      </c>
      <c r="F1575">
        <v>2</v>
      </c>
      <c r="G1575">
        <v>5</v>
      </c>
      <c r="H1575">
        <v>0</v>
      </c>
      <c r="I1575" t="s">
        <v>19</v>
      </c>
      <c r="J1575">
        <v>0</v>
      </c>
      <c r="K1575">
        <v>79</v>
      </c>
      <c r="L1575" t="s">
        <v>24</v>
      </c>
      <c r="M1575" t="s">
        <v>31</v>
      </c>
      <c r="N1575" t="s">
        <v>26</v>
      </c>
      <c r="O1575" t="s">
        <v>27</v>
      </c>
      <c r="P1575">
        <v>1.61</v>
      </c>
      <c r="Q1575" s="2" t="b">
        <f>FALSE()</f>
        <v>0</v>
      </c>
      <c r="R1575">
        <v>1</v>
      </c>
    </row>
    <row r="1576" spans="1:18" x14ac:dyDescent="0.25">
      <c r="A1576">
        <v>201575</v>
      </c>
      <c r="B1576">
        <v>50245</v>
      </c>
      <c r="C1576" t="s">
        <v>18</v>
      </c>
      <c r="D1576">
        <v>1117.8499999999999</v>
      </c>
      <c r="E1576">
        <v>3305</v>
      </c>
      <c r="F1576">
        <v>1</v>
      </c>
      <c r="G1576">
        <v>1</v>
      </c>
      <c r="H1576">
        <v>0</v>
      </c>
      <c r="I1576" t="s">
        <v>32</v>
      </c>
      <c r="J1576">
        <v>1</v>
      </c>
      <c r="K1576">
        <v>78</v>
      </c>
      <c r="L1576" t="s">
        <v>20</v>
      </c>
      <c r="M1576" t="s">
        <v>35</v>
      </c>
      <c r="N1576" t="s">
        <v>22</v>
      </c>
      <c r="O1576" t="s">
        <v>36</v>
      </c>
      <c r="P1576">
        <v>7.57</v>
      </c>
      <c r="Q1576" s="2" t="b">
        <f>FALSE()</f>
        <v>0</v>
      </c>
      <c r="R1576">
        <v>0</v>
      </c>
    </row>
    <row r="1577" spans="1:18" x14ac:dyDescent="0.25">
      <c r="A1577">
        <v>201576</v>
      </c>
      <c r="B1577">
        <v>54767</v>
      </c>
      <c r="C1577" t="s">
        <v>34</v>
      </c>
      <c r="D1577">
        <v>1201.1400000000001</v>
      </c>
      <c r="E1577">
        <v>2535</v>
      </c>
      <c r="F1577">
        <v>1</v>
      </c>
      <c r="G1577">
        <v>8</v>
      </c>
      <c r="H1577">
        <v>1</v>
      </c>
      <c r="I1577" t="s">
        <v>32</v>
      </c>
      <c r="J1577">
        <v>0</v>
      </c>
      <c r="K1577">
        <v>73</v>
      </c>
      <c r="L1577" t="s">
        <v>20</v>
      </c>
      <c r="M1577" t="s">
        <v>29</v>
      </c>
      <c r="N1577" t="s">
        <v>22</v>
      </c>
      <c r="O1577" t="s">
        <v>36</v>
      </c>
      <c r="P1577">
        <v>6.21</v>
      </c>
      <c r="Q1577" s="2" t="b">
        <f>FALSE()</f>
        <v>0</v>
      </c>
      <c r="R1577">
        <v>1</v>
      </c>
    </row>
    <row r="1578" spans="1:18" x14ac:dyDescent="0.25">
      <c r="A1578">
        <v>201577</v>
      </c>
      <c r="B1578">
        <v>53800</v>
      </c>
      <c r="C1578" t="s">
        <v>34</v>
      </c>
      <c r="D1578">
        <v>7934.22</v>
      </c>
      <c r="E1578">
        <v>1805</v>
      </c>
      <c r="F1578">
        <v>1</v>
      </c>
      <c r="G1578">
        <v>2</v>
      </c>
      <c r="H1578">
        <v>0</v>
      </c>
      <c r="I1578" t="s">
        <v>19</v>
      </c>
      <c r="J1578">
        <v>0</v>
      </c>
      <c r="K1578">
        <v>31</v>
      </c>
      <c r="L1578" t="s">
        <v>24</v>
      </c>
      <c r="M1578" t="s">
        <v>35</v>
      </c>
      <c r="N1578" t="s">
        <v>22</v>
      </c>
      <c r="O1578" t="s">
        <v>36</v>
      </c>
      <c r="P1578">
        <v>0.61</v>
      </c>
      <c r="Q1578" s="2" t="b">
        <f>TRUE()</f>
        <v>1</v>
      </c>
      <c r="R1578">
        <v>1</v>
      </c>
    </row>
    <row r="1579" spans="1:18" x14ac:dyDescent="0.25">
      <c r="A1579">
        <v>201578</v>
      </c>
      <c r="B1579">
        <v>55497</v>
      </c>
      <c r="C1579" t="s">
        <v>28</v>
      </c>
      <c r="D1579">
        <v>2284.87</v>
      </c>
      <c r="E1579">
        <v>1353</v>
      </c>
      <c r="F1579">
        <v>1</v>
      </c>
      <c r="G1579">
        <v>2</v>
      </c>
      <c r="H1579">
        <v>0</v>
      </c>
      <c r="I1579" t="s">
        <v>33</v>
      </c>
      <c r="J1579">
        <v>1</v>
      </c>
      <c r="K1579">
        <v>76</v>
      </c>
      <c r="L1579" t="s">
        <v>20</v>
      </c>
      <c r="M1579" t="s">
        <v>31</v>
      </c>
      <c r="N1579" t="s">
        <v>22</v>
      </c>
      <c r="O1579" t="s">
        <v>27</v>
      </c>
      <c r="P1579">
        <v>2.58</v>
      </c>
      <c r="Q1579" s="2" t="b">
        <f>FALSE()</f>
        <v>0</v>
      </c>
      <c r="R1579">
        <v>0</v>
      </c>
    </row>
    <row r="1580" spans="1:18" x14ac:dyDescent="0.25">
      <c r="A1580">
        <v>201579</v>
      </c>
      <c r="B1580">
        <v>51275</v>
      </c>
      <c r="C1580" t="s">
        <v>18</v>
      </c>
      <c r="D1580">
        <v>2306.7800000000002</v>
      </c>
      <c r="E1580">
        <v>3090</v>
      </c>
      <c r="F1580">
        <v>1</v>
      </c>
      <c r="G1580">
        <v>2</v>
      </c>
      <c r="H1580">
        <v>0</v>
      </c>
      <c r="I1580" t="s">
        <v>33</v>
      </c>
      <c r="J1580">
        <v>0</v>
      </c>
      <c r="K1580">
        <v>45</v>
      </c>
      <c r="L1580" t="s">
        <v>20</v>
      </c>
      <c r="M1580" t="s">
        <v>31</v>
      </c>
      <c r="N1580" t="s">
        <v>30</v>
      </c>
      <c r="O1580" t="s">
        <v>27</v>
      </c>
      <c r="P1580">
        <v>3.89</v>
      </c>
      <c r="Q1580" s="2" t="b">
        <f>FALSE()</f>
        <v>0</v>
      </c>
      <c r="R1580">
        <v>0</v>
      </c>
    </row>
    <row r="1581" spans="1:18" x14ac:dyDescent="0.25">
      <c r="A1581">
        <v>201580</v>
      </c>
      <c r="B1581">
        <v>52094</v>
      </c>
      <c r="C1581" t="s">
        <v>18</v>
      </c>
      <c r="D1581">
        <v>2597.17</v>
      </c>
      <c r="E1581">
        <v>779</v>
      </c>
      <c r="F1581">
        <v>1</v>
      </c>
      <c r="G1581">
        <v>5</v>
      </c>
      <c r="H1581">
        <v>0</v>
      </c>
      <c r="I1581" t="s">
        <v>33</v>
      </c>
      <c r="J1581">
        <v>0</v>
      </c>
      <c r="K1581">
        <v>73</v>
      </c>
      <c r="L1581" t="s">
        <v>20</v>
      </c>
      <c r="M1581" t="s">
        <v>35</v>
      </c>
      <c r="N1581" t="s">
        <v>22</v>
      </c>
      <c r="O1581" t="s">
        <v>27</v>
      </c>
      <c r="P1581">
        <v>0.22</v>
      </c>
      <c r="Q1581" s="2" t="b">
        <f>FALSE()</f>
        <v>0</v>
      </c>
      <c r="R1581">
        <v>0</v>
      </c>
    </row>
    <row r="1582" spans="1:18" x14ac:dyDescent="0.25">
      <c r="A1582">
        <v>201581</v>
      </c>
      <c r="B1582">
        <v>50701</v>
      </c>
      <c r="C1582" t="s">
        <v>18</v>
      </c>
      <c r="D1582">
        <v>1472.22</v>
      </c>
      <c r="E1582">
        <v>1371</v>
      </c>
      <c r="F1582">
        <v>0</v>
      </c>
      <c r="G1582">
        <v>2</v>
      </c>
      <c r="H1582">
        <v>0</v>
      </c>
      <c r="I1582" t="s">
        <v>19</v>
      </c>
      <c r="J1582">
        <v>1</v>
      </c>
      <c r="K1582">
        <v>34</v>
      </c>
      <c r="L1582" t="s">
        <v>24</v>
      </c>
      <c r="M1582" t="s">
        <v>25</v>
      </c>
      <c r="N1582" t="s">
        <v>26</v>
      </c>
      <c r="O1582" t="s">
        <v>27</v>
      </c>
      <c r="P1582">
        <v>1.58</v>
      </c>
      <c r="Q1582" s="2" t="b">
        <f>FALSE()</f>
        <v>0</v>
      </c>
      <c r="R1582">
        <v>0</v>
      </c>
    </row>
    <row r="1583" spans="1:18" x14ac:dyDescent="0.25">
      <c r="A1583">
        <v>201582</v>
      </c>
      <c r="B1583">
        <v>51169</v>
      </c>
      <c r="C1583" t="s">
        <v>18</v>
      </c>
      <c r="D1583">
        <v>168.2</v>
      </c>
      <c r="E1583">
        <v>768</v>
      </c>
      <c r="F1583">
        <v>2</v>
      </c>
      <c r="G1583">
        <v>7</v>
      </c>
      <c r="H1583">
        <v>0</v>
      </c>
      <c r="I1583" t="s">
        <v>33</v>
      </c>
      <c r="J1583">
        <v>0</v>
      </c>
      <c r="K1583">
        <v>63</v>
      </c>
      <c r="L1583" t="s">
        <v>20</v>
      </c>
      <c r="M1583" t="s">
        <v>37</v>
      </c>
      <c r="N1583" t="s">
        <v>26</v>
      </c>
      <c r="O1583" t="s">
        <v>27</v>
      </c>
      <c r="P1583">
        <v>1.25</v>
      </c>
      <c r="Q1583" s="2" t="b">
        <f>FALSE()</f>
        <v>0</v>
      </c>
      <c r="R1583">
        <v>1</v>
      </c>
    </row>
    <row r="1584" spans="1:18" x14ac:dyDescent="0.25">
      <c r="A1584">
        <v>201583</v>
      </c>
      <c r="B1584">
        <v>51591</v>
      </c>
      <c r="C1584" t="s">
        <v>28</v>
      </c>
      <c r="D1584">
        <v>1550</v>
      </c>
      <c r="E1584">
        <v>3029</v>
      </c>
      <c r="F1584">
        <v>0</v>
      </c>
      <c r="G1584">
        <v>3</v>
      </c>
      <c r="H1584">
        <v>0</v>
      </c>
      <c r="I1584" t="s">
        <v>19</v>
      </c>
      <c r="J1584">
        <v>0</v>
      </c>
      <c r="K1584">
        <v>70</v>
      </c>
      <c r="L1584" t="s">
        <v>24</v>
      </c>
      <c r="M1584" t="s">
        <v>25</v>
      </c>
      <c r="N1584" t="s">
        <v>22</v>
      </c>
      <c r="O1584" t="s">
        <v>36</v>
      </c>
      <c r="P1584">
        <v>5.09</v>
      </c>
      <c r="Q1584" s="2" t="b">
        <f>FALSE()</f>
        <v>0</v>
      </c>
      <c r="R1584">
        <v>0</v>
      </c>
    </row>
    <row r="1585" spans="1:18" x14ac:dyDescent="0.25">
      <c r="A1585">
        <v>201584</v>
      </c>
      <c r="B1585">
        <v>54796</v>
      </c>
      <c r="C1585" t="s">
        <v>18</v>
      </c>
      <c r="D1585">
        <v>3954.74</v>
      </c>
      <c r="E1585">
        <v>3562</v>
      </c>
      <c r="F1585">
        <v>1</v>
      </c>
      <c r="G1585">
        <v>4</v>
      </c>
      <c r="H1585">
        <v>1</v>
      </c>
      <c r="I1585" t="s">
        <v>33</v>
      </c>
      <c r="J1585">
        <v>0</v>
      </c>
      <c r="K1585">
        <v>48</v>
      </c>
      <c r="L1585" t="s">
        <v>24</v>
      </c>
      <c r="M1585" t="s">
        <v>29</v>
      </c>
      <c r="N1585" t="s">
        <v>22</v>
      </c>
      <c r="O1585" t="s">
        <v>23</v>
      </c>
      <c r="P1585">
        <v>3.7</v>
      </c>
      <c r="Q1585" s="2" t="b">
        <f>FALSE()</f>
        <v>0</v>
      </c>
      <c r="R1585">
        <v>1</v>
      </c>
    </row>
    <row r="1586" spans="1:18" x14ac:dyDescent="0.25">
      <c r="A1586">
        <v>201585</v>
      </c>
      <c r="B1586">
        <v>55917</v>
      </c>
      <c r="C1586" t="s">
        <v>28</v>
      </c>
      <c r="D1586">
        <v>1491.86</v>
      </c>
      <c r="E1586">
        <v>1235</v>
      </c>
      <c r="F1586">
        <v>0</v>
      </c>
      <c r="G1586">
        <v>5</v>
      </c>
      <c r="H1586">
        <v>0</v>
      </c>
      <c r="I1586" t="s">
        <v>19</v>
      </c>
      <c r="J1586">
        <v>0</v>
      </c>
      <c r="K1586">
        <v>51</v>
      </c>
      <c r="L1586" t="s">
        <v>20</v>
      </c>
      <c r="M1586" t="s">
        <v>37</v>
      </c>
      <c r="N1586" t="s">
        <v>22</v>
      </c>
      <c r="O1586" t="s">
        <v>23</v>
      </c>
      <c r="P1586">
        <v>4.3899999999999997</v>
      </c>
      <c r="Q1586" s="2" t="b">
        <f>FALSE()</f>
        <v>0</v>
      </c>
      <c r="R1586">
        <v>0</v>
      </c>
    </row>
    <row r="1587" spans="1:18" x14ac:dyDescent="0.25">
      <c r="A1587">
        <v>201586</v>
      </c>
      <c r="B1587">
        <v>51286</v>
      </c>
      <c r="C1587" t="s">
        <v>18</v>
      </c>
      <c r="D1587">
        <v>925.82</v>
      </c>
      <c r="E1587">
        <v>2039</v>
      </c>
      <c r="F1587">
        <v>0</v>
      </c>
      <c r="G1587">
        <v>7</v>
      </c>
      <c r="H1587">
        <v>0</v>
      </c>
      <c r="I1587" t="s">
        <v>32</v>
      </c>
      <c r="J1587">
        <v>0</v>
      </c>
      <c r="K1587">
        <v>60</v>
      </c>
      <c r="L1587" t="s">
        <v>24</v>
      </c>
      <c r="M1587" t="s">
        <v>35</v>
      </c>
      <c r="N1587" t="s">
        <v>26</v>
      </c>
      <c r="O1587" t="s">
        <v>36</v>
      </c>
      <c r="P1587">
        <v>23.56</v>
      </c>
      <c r="Q1587" s="2" t="b">
        <f>FALSE()</f>
        <v>0</v>
      </c>
      <c r="R1587">
        <v>1</v>
      </c>
    </row>
    <row r="1588" spans="1:18" x14ac:dyDescent="0.25">
      <c r="A1588">
        <v>201587</v>
      </c>
      <c r="B1588">
        <v>54042</v>
      </c>
      <c r="C1588" t="s">
        <v>34</v>
      </c>
      <c r="D1588">
        <v>6773.34</v>
      </c>
      <c r="E1588">
        <v>77</v>
      </c>
      <c r="F1588">
        <v>1</v>
      </c>
      <c r="G1588">
        <v>3</v>
      </c>
      <c r="H1588">
        <v>0</v>
      </c>
      <c r="I1588" t="s">
        <v>19</v>
      </c>
      <c r="J1588">
        <v>1</v>
      </c>
      <c r="K1588">
        <v>64</v>
      </c>
      <c r="L1588" t="s">
        <v>24</v>
      </c>
      <c r="M1588" t="s">
        <v>31</v>
      </c>
      <c r="N1588" t="s">
        <v>30</v>
      </c>
      <c r="O1588" t="s">
        <v>27</v>
      </c>
      <c r="P1588">
        <v>0.4</v>
      </c>
      <c r="Q1588" s="2" t="b">
        <f>FALSE()</f>
        <v>0</v>
      </c>
      <c r="R1588">
        <v>1</v>
      </c>
    </row>
    <row r="1589" spans="1:18" x14ac:dyDescent="0.25">
      <c r="A1589">
        <v>201588</v>
      </c>
      <c r="B1589">
        <v>50856</v>
      </c>
      <c r="C1589" t="s">
        <v>34</v>
      </c>
      <c r="D1589">
        <v>5933.45</v>
      </c>
      <c r="E1589">
        <v>2582</v>
      </c>
      <c r="F1589">
        <v>0</v>
      </c>
      <c r="G1589">
        <v>4</v>
      </c>
      <c r="H1589">
        <v>0</v>
      </c>
      <c r="I1589" t="s">
        <v>33</v>
      </c>
      <c r="J1589">
        <v>0</v>
      </c>
      <c r="K1589">
        <v>54</v>
      </c>
      <c r="L1589" t="s">
        <v>20</v>
      </c>
      <c r="M1589" t="s">
        <v>31</v>
      </c>
      <c r="N1589" t="s">
        <v>22</v>
      </c>
      <c r="O1589" t="s">
        <v>36</v>
      </c>
      <c r="P1589">
        <v>11.35</v>
      </c>
      <c r="Q1589" s="2" t="b">
        <f>FALSE()</f>
        <v>0</v>
      </c>
      <c r="R1589">
        <v>1</v>
      </c>
    </row>
    <row r="1590" spans="1:18" x14ac:dyDescent="0.25">
      <c r="A1590">
        <v>201589</v>
      </c>
      <c r="B1590">
        <v>54194</v>
      </c>
      <c r="C1590" t="s">
        <v>34</v>
      </c>
      <c r="D1590">
        <v>3706.81</v>
      </c>
      <c r="E1590">
        <v>1930</v>
      </c>
      <c r="F1590">
        <v>1</v>
      </c>
      <c r="G1590">
        <v>2</v>
      </c>
      <c r="H1590">
        <v>0</v>
      </c>
      <c r="I1590" t="s">
        <v>19</v>
      </c>
      <c r="J1590">
        <v>0</v>
      </c>
      <c r="K1590">
        <v>45</v>
      </c>
      <c r="L1590" t="s">
        <v>38</v>
      </c>
      <c r="M1590" t="s">
        <v>29</v>
      </c>
      <c r="N1590" t="s">
        <v>30</v>
      </c>
      <c r="O1590" t="s">
        <v>23</v>
      </c>
      <c r="P1590">
        <v>2.04</v>
      </c>
      <c r="Q1590" s="2" t="b">
        <f>FALSE()</f>
        <v>0</v>
      </c>
      <c r="R1590">
        <v>1</v>
      </c>
    </row>
    <row r="1591" spans="1:18" x14ac:dyDescent="0.25">
      <c r="A1591">
        <v>201590</v>
      </c>
      <c r="B1591">
        <v>52696</v>
      </c>
      <c r="C1591" t="s">
        <v>34</v>
      </c>
      <c r="D1591">
        <v>1008.75</v>
      </c>
      <c r="E1591">
        <v>3441</v>
      </c>
      <c r="F1591">
        <v>0</v>
      </c>
      <c r="G1591">
        <v>3</v>
      </c>
      <c r="H1591">
        <v>0</v>
      </c>
      <c r="I1591" t="s">
        <v>19</v>
      </c>
      <c r="J1591">
        <v>0</v>
      </c>
      <c r="K1591">
        <v>81</v>
      </c>
      <c r="L1591" t="s">
        <v>24</v>
      </c>
      <c r="M1591" t="s">
        <v>37</v>
      </c>
      <c r="N1591" t="s">
        <v>22</v>
      </c>
      <c r="O1591" t="s">
        <v>27</v>
      </c>
      <c r="P1591">
        <v>0.74</v>
      </c>
      <c r="Q1591" s="2" t="b">
        <f>FALSE()</f>
        <v>0</v>
      </c>
      <c r="R1591">
        <v>0</v>
      </c>
    </row>
    <row r="1592" spans="1:18" x14ac:dyDescent="0.25">
      <c r="A1592">
        <v>201591</v>
      </c>
      <c r="B1592">
        <v>55326</v>
      </c>
      <c r="C1592" t="s">
        <v>18</v>
      </c>
      <c r="D1592">
        <v>3934.59</v>
      </c>
      <c r="E1592">
        <v>547</v>
      </c>
      <c r="F1592">
        <v>1</v>
      </c>
      <c r="G1592">
        <v>5</v>
      </c>
      <c r="H1592">
        <v>1</v>
      </c>
      <c r="I1592" t="s">
        <v>19</v>
      </c>
      <c r="J1592">
        <v>0</v>
      </c>
      <c r="K1592">
        <v>53</v>
      </c>
      <c r="L1592" t="s">
        <v>24</v>
      </c>
      <c r="M1592" t="s">
        <v>31</v>
      </c>
      <c r="N1592" t="s">
        <v>26</v>
      </c>
      <c r="O1592" t="s">
        <v>36</v>
      </c>
      <c r="P1592">
        <v>4.66</v>
      </c>
      <c r="Q1592" s="2" t="b">
        <f>FALSE()</f>
        <v>0</v>
      </c>
      <c r="R1592">
        <v>1</v>
      </c>
    </row>
    <row r="1593" spans="1:18" x14ac:dyDescent="0.25">
      <c r="A1593">
        <v>201592</v>
      </c>
      <c r="B1593">
        <v>53878</v>
      </c>
      <c r="C1593" t="s">
        <v>18</v>
      </c>
      <c r="D1593">
        <v>2477.0300000000002</v>
      </c>
      <c r="E1593">
        <v>3414</v>
      </c>
      <c r="F1593">
        <v>3</v>
      </c>
      <c r="G1593">
        <v>5</v>
      </c>
      <c r="H1593">
        <v>1</v>
      </c>
      <c r="I1593" t="s">
        <v>33</v>
      </c>
      <c r="J1593">
        <v>1</v>
      </c>
      <c r="K1593">
        <v>63</v>
      </c>
      <c r="L1593" t="s">
        <v>20</v>
      </c>
      <c r="M1593" t="s">
        <v>29</v>
      </c>
      <c r="N1593" t="s">
        <v>30</v>
      </c>
      <c r="O1593" t="s">
        <v>36</v>
      </c>
      <c r="P1593">
        <v>5.94</v>
      </c>
      <c r="Q1593" s="2" t="b">
        <f>FALSE()</f>
        <v>0</v>
      </c>
      <c r="R1593">
        <v>1</v>
      </c>
    </row>
    <row r="1594" spans="1:18" x14ac:dyDescent="0.25">
      <c r="A1594">
        <v>201593</v>
      </c>
      <c r="B1594">
        <v>54336</v>
      </c>
      <c r="C1594" t="s">
        <v>28</v>
      </c>
      <c r="D1594">
        <v>6418.85</v>
      </c>
      <c r="E1594">
        <v>3064</v>
      </c>
      <c r="F1594">
        <v>1</v>
      </c>
      <c r="G1594">
        <v>4</v>
      </c>
      <c r="H1594">
        <v>0</v>
      </c>
      <c r="I1594" t="s">
        <v>33</v>
      </c>
      <c r="J1594">
        <v>0</v>
      </c>
      <c r="K1594">
        <v>27</v>
      </c>
      <c r="L1594" t="s">
        <v>20</v>
      </c>
      <c r="M1594" t="s">
        <v>29</v>
      </c>
      <c r="N1594" t="s">
        <v>22</v>
      </c>
      <c r="O1594" t="s">
        <v>27</v>
      </c>
      <c r="P1594">
        <v>0.05</v>
      </c>
      <c r="Q1594" s="2" t="b">
        <f>FALSE()</f>
        <v>0</v>
      </c>
      <c r="R1594">
        <v>1</v>
      </c>
    </row>
    <row r="1595" spans="1:18" x14ac:dyDescent="0.25">
      <c r="A1595">
        <v>201594</v>
      </c>
      <c r="B1595">
        <v>55904</v>
      </c>
      <c r="C1595" t="s">
        <v>18</v>
      </c>
      <c r="D1595">
        <v>3972.77</v>
      </c>
      <c r="E1595">
        <v>494</v>
      </c>
      <c r="F1595">
        <v>1</v>
      </c>
      <c r="G1595">
        <v>6</v>
      </c>
      <c r="H1595">
        <v>0</v>
      </c>
      <c r="I1595" t="s">
        <v>19</v>
      </c>
      <c r="J1595">
        <v>0</v>
      </c>
      <c r="K1595">
        <v>63</v>
      </c>
      <c r="L1595" t="s">
        <v>38</v>
      </c>
      <c r="M1595" t="s">
        <v>21</v>
      </c>
      <c r="N1595" t="s">
        <v>30</v>
      </c>
      <c r="O1595" t="s">
        <v>36</v>
      </c>
      <c r="P1595">
        <v>4.1500000000000004</v>
      </c>
      <c r="Q1595" s="2" t="b">
        <f>FALSE()</f>
        <v>0</v>
      </c>
      <c r="R1595">
        <v>1</v>
      </c>
    </row>
    <row r="1596" spans="1:18" x14ac:dyDescent="0.25">
      <c r="A1596">
        <v>201595</v>
      </c>
      <c r="B1596">
        <v>53095</v>
      </c>
      <c r="C1596" t="s">
        <v>18</v>
      </c>
      <c r="D1596">
        <v>2717.1</v>
      </c>
      <c r="E1596">
        <v>2342</v>
      </c>
      <c r="F1596">
        <v>0</v>
      </c>
      <c r="G1596">
        <v>3</v>
      </c>
      <c r="H1596">
        <v>0</v>
      </c>
      <c r="I1596" t="s">
        <v>19</v>
      </c>
      <c r="J1596">
        <v>1</v>
      </c>
      <c r="K1596">
        <v>58</v>
      </c>
      <c r="L1596" t="s">
        <v>20</v>
      </c>
      <c r="M1596" t="s">
        <v>35</v>
      </c>
      <c r="N1596" t="s">
        <v>22</v>
      </c>
      <c r="O1596" t="s">
        <v>36</v>
      </c>
      <c r="P1596">
        <v>5.21</v>
      </c>
      <c r="Q1596" s="2" t="b">
        <f>FALSE()</f>
        <v>0</v>
      </c>
      <c r="R1596">
        <v>0</v>
      </c>
    </row>
    <row r="1597" spans="1:18" x14ac:dyDescent="0.25">
      <c r="A1597">
        <v>201596</v>
      </c>
      <c r="B1597">
        <v>53191</v>
      </c>
      <c r="C1597" t="s">
        <v>18</v>
      </c>
      <c r="D1597">
        <v>3347.55</v>
      </c>
      <c r="E1597">
        <v>2591</v>
      </c>
      <c r="F1597">
        <v>3</v>
      </c>
      <c r="G1597">
        <v>6</v>
      </c>
      <c r="H1597">
        <v>1</v>
      </c>
      <c r="I1597" t="s">
        <v>19</v>
      </c>
      <c r="J1597">
        <v>0</v>
      </c>
      <c r="K1597">
        <v>61</v>
      </c>
      <c r="L1597" t="s">
        <v>24</v>
      </c>
      <c r="M1597" t="s">
        <v>25</v>
      </c>
      <c r="N1597" t="s">
        <v>26</v>
      </c>
      <c r="O1597" t="s">
        <v>36</v>
      </c>
      <c r="P1597">
        <v>3.06</v>
      </c>
      <c r="Q1597" s="2" t="b">
        <f>FALSE()</f>
        <v>0</v>
      </c>
      <c r="R1597">
        <v>1</v>
      </c>
    </row>
    <row r="1598" spans="1:18" x14ac:dyDescent="0.25">
      <c r="A1598">
        <v>201597</v>
      </c>
      <c r="B1598">
        <v>50674</v>
      </c>
      <c r="C1598" t="s">
        <v>34</v>
      </c>
      <c r="D1598">
        <v>3335.31</v>
      </c>
      <c r="E1598">
        <v>1688</v>
      </c>
      <c r="F1598">
        <v>0</v>
      </c>
      <c r="G1598">
        <v>2</v>
      </c>
      <c r="H1598">
        <v>1</v>
      </c>
      <c r="I1598" t="s">
        <v>33</v>
      </c>
      <c r="J1598">
        <v>0</v>
      </c>
      <c r="K1598">
        <v>80</v>
      </c>
      <c r="L1598" t="s">
        <v>20</v>
      </c>
      <c r="M1598" t="s">
        <v>37</v>
      </c>
      <c r="N1598" t="s">
        <v>22</v>
      </c>
      <c r="O1598" t="s">
        <v>36</v>
      </c>
      <c r="P1598">
        <v>3.42</v>
      </c>
      <c r="Q1598" s="2" t="b">
        <f>FALSE()</f>
        <v>0</v>
      </c>
      <c r="R1598">
        <v>0</v>
      </c>
    </row>
    <row r="1599" spans="1:18" x14ac:dyDescent="0.25">
      <c r="A1599">
        <v>201598</v>
      </c>
      <c r="B1599">
        <v>53191</v>
      </c>
      <c r="C1599" t="s">
        <v>34</v>
      </c>
      <c r="D1599">
        <v>3092.34</v>
      </c>
      <c r="E1599">
        <v>3608</v>
      </c>
      <c r="F1599">
        <v>0</v>
      </c>
      <c r="G1599">
        <v>8</v>
      </c>
      <c r="H1599">
        <v>0</v>
      </c>
      <c r="I1599" t="s">
        <v>19</v>
      </c>
      <c r="J1599">
        <v>0</v>
      </c>
      <c r="K1599">
        <v>52</v>
      </c>
      <c r="L1599" t="s">
        <v>24</v>
      </c>
      <c r="M1599" t="s">
        <v>21</v>
      </c>
      <c r="N1599" t="s">
        <v>30</v>
      </c>
      <c r="O1599" t="s">
        <v>23</v>
      </c>
      <c r="P1599">
        <v>0.67</v>
      </c>
      <c r="Q1599" s="2" t="b">
        <f>FALSE()</f>
        <v>0</v>
      </c>
      <c r="R1599">
        <v>1</v>
      </c>
    </row>
    <row r="1600" spans="1:18" x14ac:dyDescent="0.25">
      <c r="A1600">
        <v>201599</v>
      </c>
      <c r="B1600">
        <v>50041</v>
      </c>
      <c r="C1600" t="s">
        <v>34</v>
      </c>
      <c r="D1600">
        <v>2987.52</v>
      </c>
      <c r="E1600">
        <v>2473</v>
      </c>
      <c r="F1600">
        <v>1</v>
      </c>
      <c r="G1600">
        <v>7</v>
      </c>
      <c r="H1600">
        <v>0</v>
      </c>
      <c r="I1600" t="s">
        <v>33</v>
      </c>
      <c r="J1600">
        <v>0</v>
      </c>
      <c r="K1600">
        <v>44</v>
      </c>
      <c r="L1600" t="s">
        <v>24</v>
      </c>
      <c r="M1600" t="s">
        <v>21</v>
      </c>
      <c r="N1600" t="s">
        <v>22</v>
      </c>
      <c r="O1600" t="s">
        <v>36</v>
      </c>
      <c r="P1600">
        <v>10.17</v>
      </c>
      <c r="Q1600" s="2" t="b">
        <f>FALSE()</f>
        <v>0</v>
      </c>
      <c r="R1600">
        <v>1</v>
      </c>
    </row>
    <row r="1601" spans="1:18" x14ac:dyDescent="0.25">
      <c r="A1601">
        <v>201600</v>
      </c>
      <c r="B1601">
        <v>52130</v>
      </c>
      <c r="C1601" t="s">
        <v>18</v>
      </c>
      <c r="D1601">
        <v>2758.23</v>
      </c>
      <c r="E1601">
        <v>2541</v>
      </c>
      <c r="F1601">
        <v>1</v>
      </c>
      <c r="G1601">
        <v>7</v>
      </c>
      <c r="H1601">
        <v>0</v>
      </c>
      <c r="I1601" t="s">
        <v>33</v>
      </c>
      <c r="J1601">
        <v>0</v>
      </c>
      <c r="K1601">
        <v>35</v>
      </c>
      <c r="L1601" t="s">
        <v>24</v>
      </c>
      <c r="M1601" t="s">
        <v>35</v>
      </c>
      <c r="N1601" t="s">
        <v>26</v>
      </c>
      <c r="O1601" t="s">
        <v>36</v>
      </c>
      <c r="P1601">
        <v>0.17</v>
      </c>
      <c r="Q1601" s="2" t="b">
        <f>FALSE()</f>
        <v>0</v>
      </c>
      <c r="R1601">
        <v>1</v>
      </c>
    </row>
    <row r="1602" spans="1:18" x14ac:dyDescent="0.25">
      <c r="A1602">
        <v>201601</v>
      </c>
      <c r="B1602">
        <v>53014</v>
      </c>
      <c r="C1602" t="s">
        <v>18</v>
      </c>
      <c r="D1602">
        <v>1445.42</v>
      </c>
      <c r="E1602">
        <v>1168</v>
      </c>
      <c r="F1602">
        <v>0</v>
      </c>
      <c r="G1602">
        <v>4</v>
      </c>
      <c r="H1602">
        <v>0</v>
      </c>
      <c r="I1602" t="s">
        <v>33</v>
      </c>
      <c r="J1602">
        <v>0</v>
      </c>
      <c r="K1602">
        <v>43</v>
      </c>
      <c r="L1602" t="s">
        <v>24</v>
      </c>
      <c r="M1602" t="s">
        <v>25</v>
      </c>
      <c r="N1602" t="s">
        <v>22</v>
      </c>
      <c r="O1602" t="s">
        <v>36</v>
      </c>
      <c r="P1602">
        <v>0.56000000000000005</v>
      </c>
      <c r="Q1602" s="2" t="b">
        <f>FALSE()</f>
        <v>0</v>
      </c>
      <c r="R1602">
        <v>0</v>
      </c>
    </row>
    <row r="1603" spans="1:18" x14ac:dyDescent="0.25">
      <c r="A1603">
        <v>201602</v>
      </c>
      <c r="B1603">
        <v>55115</v>
      </c>
      <c r="C1603" t="s">
        <v>18</v>
      </c>
      <c r="D1603">
        <v>2036.1</v>
      </c>
      <c r="E1603">
        <v>1798</v>
      </c>
      <c r="F1603">
        <v>3</v>
      </c>
      <c r="G1603">
        <v>3</v>
      </c>
      <c r="H1603">
        <v>0</v>
      </c>
      <c r="I1603" t="s">
        <v>19</v>
      </c>
      <c r="J1603">
        <v>0</v>
      </c>
      <c r="K1603">
        <v>32</v>
      </c>
      <c r="L1603" t="s">
        <v>24</v>
      </c>
      <c r="M1603" t="s">
        <v>35</v>
      </c>
      <c r="N1603" t="s">
        <v>30</v>
      </c>
      <c r="O1603" t="s">
        <v>36</v>
      </c>
      <c r="P1603">
        <v>3.8</v>
      </c>
      <c r="Q1603" s="2" t="b">
        <f>FALSE()</f>
        <v>0</v>
      </c>
      <c r="R1603">
        <v>1</v>
      </c>
    </row>
    <row r="1604" spans="1:18" x14ac:dyDescent="0.25">
      <c r="A1604">
        <v>201603</v>
      </c>
      <c r="B1604">
        <v>50921</v>
      </c>
      <c r="C1604" t="s">
        <v>28</v>
      </c>
      <c r="D1604">
        <v>1648.02</v>
      </c>
      <c r="E1604">
        <v>3614</v>
      </c>
      <c r="F1604">
        <v>2</v>
      </c>
      <c r="G1604">
        <v>7</v>
      </c>
      <c r="H1604">
        <v>0</v>
      </c>
      <c r="I1604" t="s">
        <v>19</v>
      </c>
      <c r="J1604">
        <v>0</v>
      </c>
      <c r="K1604">
        <v>42</v>
      </c>
      <c r="L1604" t="s">
        <v>20</v>
      </c>
      <c r="M1604" t="s">
        <v>35</v>
      </c>
      <c r="N1604" t="s">
        <v>26</v>
      </c>
      <c r="O1604" t="s">
        <v>36</v>
      </c>
      <c r="P1604">
        <v>0.56999999999999995</v>
      </c>
      <c r="Q1604" s="2" t="b">
        <f>FALSE()</f>
        <v>0</v>
      </c>
      <c r="R1604">
        <v>1</v>
      </c>
    </row>
    <row r="1605" spans="1:18" x14ac:dyDescent="0.25">
      <c r="A1605">
        <v>201604</v>
      </c>
      <c r="B1605">
        <v>55360</v>
      </c>
      <c r="C1605" t="s">
        <v>34</v>
      </c>
      <c r="D1605">
        <v>2374.37</v>
      </c>
      <c r="E1605">
        <v>3626</v>
      </c>
      <c r="F1605">
        <v>1</v>
      </c>
      <c r="G1605">
        <v>4</v>
      </c>
      <c r="H1605">
        <v>0</v>
      </c>
      <c r="I1605" t="s">
        <v>19</v>
      </c>
      <c r="J1605">
        <v>0</v>
      </c>
      <c r="K1605">
        <v>41</v>
      </c>
      <c r="L1605" t="s">
        <v>20</v>
      </c>
      <c r="M1605" t="s">
        <v>25</v>
      </c>
      <c r="N1605" t="s">
        <v>26</v>
      </c>
      <c r="O1605" t="s">
        <v>23</v>
      </c>
      <c r="P1605">
        <v>0.45</v>
      </c>
      <c r="Q1605" s="2" t="b">
        <f>FALSE()</f>
        <v>0</v>
      </c>
      <c r="R1605">
        <v>0</v>
      </c>
    </row>
    <row r="1606" spans="1:18" x14ac:dyDescent="0.25">
      <c r="A1606">
        <v>201605</v>
      </c>
      <c r="B1606">
        <v>50068</v>
      </c>
      <c r="C1606" t="s">
        <v>34</v>
      </c>
      <c r="D1606">
        <v>2469.16</v>
      </c>
      <c r="E1606">
        <v>1620</v>
      </c>
      <c r="F1606">
        <v>2</v>
      </c>
      <c r="G1606">
        <v>4</v>
      </c>
      <c r="H1606">
        <v>0</v>
      </c>
      <c r="I1606" t="s">
        <v>33</v>
      </c>
      <c r="J1606">
        <v>0</v>
      </c>
      <c r="K1606">
        <v>55</v>
      </c>
      <c r="L1606" t="s">
        <v>24</v>
      </c>
      <c r="M1606" t="s">
        <v>21</v>
      </c>
      <c r="N1606" t="s">
        <v>30</v>
      </c>
      <c r="O1606" t="s">
        <v>36</v>
      </c>
      <c r="P1606">
        <v>1.58</v>
      </c>
      <c r="Q1606" s="2" t="b">
        <f>FALSE()</f>
        <v>0</v>
      </c>
      <c r="R1606">
        <v>0</v>
      </c>
    </row>
    <row r="1607" spans="1:18" x14ac:dyDescent="0.25">
      <c r="A1607">
        <v>201606</v>
      </c>
      <c r="B1607">
        <v>50977</v>
      </c>
      <c r="C1607" t="s">
        <v>18</v>
      </c>
      <c r="D1607">
        <v>5137.54</v>
      </c>
      <c r="E1607">
        <v>1255</v>
      </c>
      <c r="F1607">
        <v>2</v>
      </c>
      <c r="G1607">
        <v>4</v>
      </c>
      <c r="H1607">
        <v>0</v>
      </c>
      <c r="I1607" t="s">
        <v>19</v>
      </c>
      <c r="J1607">
        <v>0</v>
      </c>
      <c r="K1607">
        <v>70</v>
      </c>
      <c r="L1607" t="s">
        <v>20</v>
      </c>
      <c r="M1607" t="s">
        <v>31</v>
      </c>
      <c r="N1607" t="s">
        <v>30</v>
      </c>
      <c r="O1607" t="s">
        <v>27</v>
      </c>
      <c r="P1607">
        <v>1.8</v>
      </c>
      <c r="Q1607" s="2" t="b">
        <f>FALSE()</f>
        <v>0</v>
      </c>
      <c r="R1607">
        <v>1</v>
      </c>
    </row>
    <row r="1608" spans="1:18" x14ac:dyDescent="0.25">
      <c r="A1608">
        <v>201607</v>
      </c>
      <c r="B1608">
        <v>53553</v>
      </c>
      <c r="C1608" t="s">
        <v>34</v>
      </c>
      <c r="D1608">
        <v>4978.88</v>
      </c>
      <c r="E1608">
        <v>3060</v>
      </c>
      <c r="F1608">
        <v>1</v>
      </c>
      <c r="G1608">
        <v>3</v>
      </c>
      <c r="H1608">
        <v>0</v>
      </c>
      <c r="I1608" t="s">
        <v>32</v>
      </c>
      <c r="J1608">
        <v>0</v>
      </c>
      <c r="K1608">
        <v>74</v>
      </c>
      <c r="L1608" t="s">
        <v>20</v>
      </c>
      <c r="M1608" t="s">
        <v>25</v>
      </c>
      <c r="N1608" t="s">
        <v>22</v>
      </c>
      <c r="O1608" t="s">
        <v>36</v>
      </c>
      <c r="P1608">
        <v>0.78</v>
      </c>
      <c r="Q1608" s="2" t="b">
        <f>FALSE()</f>
        <v>0</v>
      </c>
      <c r="R1608">
        <v>1</v>
      </c>
    </row>
    <row r="1609" spans="1:18" x14ac:dyDescent="0.25">
      <c r="A1609">
        <v>201608</v>
      </c>
      <c r="B1609">
        <v>50491</v>
      </c>
      <c r="C1609" t="s">
        <v>34</v>
      </c>
      <c r="D1609">
        <v>2944.53</v>
      </c>
      <c r="E1609">
        <v>1887</v>
      </c>
      <c r="F1609">
        <v>1</v>
      </c>
      <c r="G1609">
        <v>5</v>
      </c>
      <c r="H1609">
        <v>0</v>
      </c>
      <c r="I1609" t="s">
        <v>33</v>
      </c>
      <c r="J1609">
        <v>0</v>
      </c>
      <c r="K1609">
        <v>60</v>
      </c>
      <c r="L1609" t="s">
        <v>24</v>
      </c>
      <c r="M1609" t="s">
        <v>37</v>
      </c>
      <c r="N1609" t="s">
        <v>30</v>
      </c>
      <c r="O1609" t="s">
        <v>27</v>
      </c>
      <c r="P1609">
        <v>0.64</v>
      </c>
      <c r="Q1609" s="2" t="b">
        <f>FALSE()</f>
        <v>0</v>
      </c>
      <c r="R1609">
        <v>0</v>
      </c>
    </row>
    <row r="1610" spans="1:18" x14ac:dyDescent="0.25">
      <c r="A1610">
        <v>201609</v>
      </c>
      <c r="B1610">
        <v>55512</v>
      </c>
      <c r="C1610" t="s">
        <v>18</v>
      </c>
      <c r="D1610">
        <v>2676.88</v>
      </c>
      <c r="E1610">
        <v>297</v>
      </c>
      <c r="F1610">
        <v>0</v>
      </c>
      <c r="G1610">
        <v>1</v>
      </c>
      <c r="H1610">
        <v>0</v>
      </c>
      <c r="I1610" t="s">
        <v>33</v>
      </c>
      <c r="J1610">
        <v>0</v>
      </c>
      <c r="K1610">
        <v>76</v>
      </c>
      <c r="L1610" t="s">
        <v>20</v>
      </c>
      <c r="M1610" t="s">
        <v>21</v>
      </c>
      <c r="N1610" t="s">
        <v>22</v>
      </c>
      <c r="O1610" t="s">
        <v>36</v>
      </c>
      <c r="P1610">
        <v>1.51</v>
      </c>
      <c r="Q1610" s="2" t="b">
        <f>FALSE()</f>
        <v>0</v>
      </c>
      <c r="R1610">
        <v>0</v>
      </c>
    </row>
    <row r="1611" spans="1:18" x14ac:dyDescent="0.25">
      <c r="A1611">
        <v>201610</v>
      </c>
      <c r="B1611">
        <v>54056</v>
      </c>
      <c r="C1611" t="s">
        <v>34</v>
      </c>
      <c r="D1611">
        <v>861.82</v>
      </c>
      <c r="E1611">
        <v>2253</v>
      </c>
      <c r="F1611">
        <v>0</v>
      </c>
      <c r="G1611">
        <v>2</v>
      </c>
      <c r="H1611">
        <v>0</v>
      </c>
      <c r="I1611" t="s">
        <v>32</v>
      </c>
      <c r="J1611">
        <v>0</v>
      </c>
      <c r="K1611">
        <v>79</v>
      </c>
      <c r="L1611" t="s">
        <v>20</v>
      </c>
      <c r="M1611" t="s">
        <v>25</v>
      </c>
      <c r="N1611" t="s">
        <v>22</v>
      </c>
      <c r="O1611" t="s">
        <v>27</v>
      </c>
      <c r="P1611">
        <v>2.2999999999999998</v>
      </c>
      <c r="Q1611" s="2" t="b">
        <f>FALSE()</f>
        <v>0</v>
      </c>
      <c r="R1611">
        <v>0</v>
      </c>
    </row>
    <row r="1612" spans="1:18" x14ac:dyDescent="0.25">
      <c r="A1612">
        <v>201611</v>
      </c>
      <c r="B1612">
        <v>53259</v>
      </c>
      <c r="C1612" t="s">
        <v>34</v>
      </c>
      <c r="D1612">
        <v>734.7</v>
      </c>
      <c r="E1612">
        <v>1640</v>
      </c>
      <c r="F1612">
        <v>1</v>
      </c>
      <c r="G1612">
        <v>5</v>
      </c>
      <c r="H1612">
        <v>0</v>
      </c>
      <c r="I1612" t="s">
        <v>19</v>
      </c>
      <c r="J1612">
        <v>0</v>
      </c>
      <c r="K1612">
        <v>34</v>
      </c>
      <c r="L1612" t="s">
        <v>24</v>
      </c>
      <c r="M1612" t="s">
        <v>31</v>
      </c>
      <c r="N1612" t="s">
        <v>26</v>
      </c>
      <c r="O1612" t="s">
        <v>23</v>
      </c>
      <c r="P1612">
        <v>4.96</v>
      </c>
      <c r="Q1612" s="2" t="b">
        <f>FALSE()</f>
        <v>0</v>
      </c>
      <c r="R1612">
        <v>0</v>
      </c>
    </row>
    <row r="1613" spans="1:18" x14ac:dyDescent="0.25">
      <c r="A1613">
        <v>201612</v>
      </c>
      <c r="B1613">
        <v>55464</v>
      </c>
      <c r="C1613" t="s">
        <v>34</v>
      </c>
      <c r="D1613">
        <v>3125.71</v>
      </c>
      <c r="E1613">
        <v>2794</v>
      </c>
      <c r="F1613">
        <v>3</v>
      </c>
      <c r="G1613">
        <v>7</v>
      </c>
      <c r="H1613">
        <v>0</v>
      </c>
      <c r="I1613" t="s">
        <v>19</v>
      </c>
      <c r="J1613">
        <v>0</v>
      </c>
      <c r="K1613">
        <v>45</v>
      </c>
      <c r="L1613" t="s">
        <v>24</v>
      </c>
      <c r="M1613" t="s">
        <v>21</v>
      </c>
      <c r="N1613" t="s">
        <v>30</v>
      </c>
      <c r="O1613" t="s">
        <v>27</v>
      </c>
      <c r="P1613">
        <v>1.06</v>
      </c>
      <c r="Q1613" s="2" t="b">
        <f>FALSE()</f>
        <v>0</v>
      </c>
      <c r="R1613">
        <v>1</v>
      </c>
    </row>
    <row r="1614" spans="1:18" x14ac:dyDescent="0.25">
      <c r="A1614">
        <v>201613</v>
      </c>
      <c r="B1614">
        <v>51194</v>
      </c>
      <c r="C1614" t="s">
        <v>18</v>
      </c>
      <c r="D1614">
        <v>684.29</v>
      </c>
      <c r="E1614">
        <v>971</v>
      </c>
      <c r="F1614">
        <v>1</v>
      </c>
      <c r="G1614">
        <v>5</v>
      </c>
      <c r="H1614">
        <v>0</v>
      </c>
      <c r="I1614" t="s">
        <v>33</v>
      </c>
      <c r="J1614">
        <v>0</v>
      </c>
      <c r="K1614">
        <v>40</v>
      </c>
      <c r="L1614" t="s">
        <v>20</v>
      </c>
      <c r="M1614" t="s">
        <v>21</v>
      </c>
      <c r="N1614" t="s">
        <v>26</v>
      </c>
      <c r="O1614" t="s">
        <v>23</v>
      </c>
      <c r="P1614">
        <v>1.17</v>
      </c>
      <c r="Q1614" s="2" t="b">
        <f>FALSE()</f>
        <v>0</v>
      </c>
      <c r="R1614">
        <v>0</v>
      </c>
    </row>
    <row r="1615" spans="1:18" x14ac:dyDescent="0.25">
      <c r="A1615">
        <v>201614</v>
      </c>
      <c r="B1615">
        <v>54218</v>
      </c>
      <c r="C1615" t="s">
        <v>18</v>
      </c>
      <c r="D1615">
        <v>7117.58</v>
      </c>
      <c r="E1615">
        <v>3197</v>
      </c>
      <c r="F1615">
        <v>2</v>
      </c>
      <c r="G1615">
        <v>7</v>
      </c>
      <c r="H1615">
        <v>0</v>
      </c>
      <c r="I1615" t="s">
        <v>19</v>
      </c>
      <c r="J1615">
        <v>0</v>
      </c>
      <c r="K1615">
        <v>72</v>
      </c>
      <c r="L1615" t="s">
        <v>20</v>
      </c>
      <c r="M1615" t="s">
        <v>29</v>
      </c>
      <c r="N1615" t="s">
        <v>22</v>
      </c>
      <c r="O1615" t="s">
        <v>23</v>
      </c>
      <c r="P1615">
        <v>3.79</v>
      </c>
      <c r="Q1615" s="2" t="b">
        <f>TRUE()</f>
        <v>1</v>
      </c>
      <c r="R1615">
        <v>1</v>
      </c>
    </row>
    <row r="1616" spans="1:18" x14ac:dyDescent="0.25">
      <c r="A1616">
        <v>201615</v>
      </c>
      <c r="B1616">
        <v>53853</v>
      </c>
      <c r="C1616" t="s">
        <v>18</v>
      </c>
      <c r="D1616">
        <v>497.17</v>
      </c>
      <c r="E1616">
        <v>3497</v>
      </c>
      <c r="F1616">
        <v>0</v>
      </c>
      <c r="G1616">
        <v>4</v>
      </c>
      <c r="H1616">
        <v>1</v>
      </c>
      <c r="I1616" t="s">
        <v>33</v>
      </c>
      <c r="J1616">
        <v>0</v>
      </c>
      <c r="K1616">
        <v>44</v>
      </c>
      <c r="L1616" t="s">
        <v>20</v>
      </c>
      <c r="M1616" t="s">
        <v>25</v>
      </c>
      <c r="N1616" t="s">
        <v>22</v>
      </c>
      <c r="O1616" t="s">
        <v>23</v>
      </c>
      <c r="P1616">
        <v>0.35</v>
      </c>
      <c r="Q1616" s="2" t="b">
        <f>FALSE()</f>
        <v>0</v>
      </c>
      <c r="R1616">
        <v>0</v>
      </c>
    </row>
    <row r="1617" spans="1:18" x14ac:dyDescent="0.25">
      <c r="A1617">
        <v>201616</v>
      </c>
      <c r="B1617">
        <v>53879</v>
      </c>
      <c r="C1617" t="s">
        <v>18</v>
      </c>
      <c r="D1617">
        <v>2067.14</v>
      </c>
      <c r="E1617">
        <v>1979</v>
      </c>
      <c r="F1617">
        <v>2</v>
      </c>
      <c r="G1617">
        <v>4</v>
      </c>
      <c r="H1617">
        <v>0</v>
      </c>
      <c r="I1617" t="s">
        <v>33</v>
      </c>
      <c r="J1617">
        <v>0</v>
      </c>
      <c r="K1617">
        <v>62</v>
      </c>
      <c r="L1617" t="s">
        <v>24</v>
      </c>
      <c r="M1617" t="s">
        <v>35</v>
      </c>
      <c r="N1617" t="s">
        <v>22</v>
      </c>
      <c r="O1617" t="s">
        <v>27</v>
      </c>
      <c r="P1617">
        <v>1.34</v>
      </c>
      <c r="Q1617" s="2" t="b">
        <f>FALSE()</f>
        <v>0</v>
      </c>
      <c r="R1617">
        <v>0</v>
      </c>
    </row>
    <row r="1618" spans="1:18" x14ac:dyDescent="0.25">
      <c r="A1618">
        <v>201617</v>
      </c>
      <c r="B1618">
        <v>50148</v>
      </c>
      <c r="C1618" t="s">
        <v>18</v>
      </c>
      <c r="D1618">
        <v>6231.74</v>
      </c>
      <c r="E1618">
        <v>1057</v>
      </c>
      <c r="F1618">
        <v>0</v>
      </c>
      <c r="G1618">
        <v>0</v>
      </c>
      <c r="H1618">
        <v>0</v>
      </c>
      <c r="I1618" t="s">
        <v>33</v>
      </c>
      <c r="J1618">
        <v>0</v>
      </c>
      <c r="K1618">
        <v>24</v>
      </c>
      <c r="L1618" t="s">
        <v>24</v>
      </c>
      <c r="M1618" t="s">
        <v>29</v>
      </c>
      <c r="N1618" t="s">
        <v>30</v>
      </c>
      <c r="O1618" t="s">
        <v>27</v>
      </c>
      <c r="P1618">
        <v>1.2</v>
      </c>
      <c r="Q1618" s="2" t="b">
        <f>FALSE()</f>
        <v>0</v>
      </c>
      <c r="R1618">
        <v>1</v>
      </c>
    </row>
    <row r="1619" spans="1:18" x14ac:dyDescent="0.25">
      <c r="A1619">
        <v>201618</v>
      </c>
      <c r="B1619">
        <v>51456</v>
      </c>
      <c r="C1619" t="s">
        <v>34</v>
      </c>
      <c r="D1619">
        <v>1630.68</v>
      </c>
      <c r="E1619">
        <v>1306</v>
      </c>
      <c r="F1619">
        <v>1</v>
      </c>
      <c r="G1619">
        <v>7</v>
      </c>
      <c r="H1619">
        <v>1</v>
      </c>
      <c r="I1619" t="s">
        <v>32</v>
      </c>
      <c r="J1619">
        <v>0</v>
      </c>
      <c r="K1619">
        <v>51</v>
      </c>
      <c r="L1619" t="s">
        <v>24</v>
      </c>
      <c r="M1619" t="s">
        <v>37</v>
      </c>
      <c r="N1619" t="s">
        <v>22</v>
      </c>
      <c r="O1619" t="s">
        <v>36</v>
      </c>
      <c r="P1619">
        <v>0.1</v>
      </c>
      <c r="Q1619" s="2" t="b">
        <f>FALSE()</f>
        <v>0</v>
      </c>
      <c r="R1619">
        <v>1</v>
      </c>
    </row>
    <row r="1620" spans="1:18" x14ac:dyDescent="0.25">
      <c r="A1620">
        <v>201619</v>
      </c>
      <c r="B1620">
        <v>53780</v>
      </c>
      <c r="C1620" t="s">
        <v>18</v>
      </c>
      <c r="D1620">
        <v>2677.31</v>
      </c>
      <c r="E1620">
        <v>1058</v>
      </c>
      <c r="F1620">
        <v>0</v>
      </c>
      <c r="G1620">
        <v>3</v>
      </c>
      <c r="H1620">
        <v>0</v>
      </c>
      <c r="I1620" t="s">
        <v>19</v>
      </c>
      <c r="J1620">
        <v>0</v>
      </c>
      <c r="K1620">
        <v>73</v>
      </c>
      <c r="L1620" t="s">
        <v>24</v>
      </c>
      <c r="M1620" t="s">
        <v>21</v>
      </c>
      <c r="N1620" t="s">
        <v>30</v>
      </c>
      <c r="O1620" t="s">
        <v>27</v>
      </c>
      <c r="P1620">
        <v>0.59</v>
      </c>
      <c r="Q1620" s="2" t="b">
        <f>FALSE()</f>
        <v>0</v>
      </c>
      <c r="R1620">
        <v>0</v>
      </c>
    </row>
    <row r="1621" spans="1:18" x14ac:dyDescent="0.25">
      <c r="A1621">
        <v>201620</v>
      </c>
      <c r="B1621">
        <v>55949</v>
      </c>
      <c r="C1621" t="s">
        <v>18</v>
      </c>
      <c r="D1621">
        <v>1230.75</v>
      </c>
      <c r="E1621">
        <v>1774</v>
      </c>
      <c r="F1621">
        <v>3</v>
      </c>
      <c r="G1621">
        <v>4</v>
      </c>
      <c r="H1621">
        <v>0</v>
      </c>
      <c r="I1621" t="s">
        <v>33</v>
      </c>
      <c r="J1621">
        <v>1</v>
      </c>
      <c r="K1621">
        <v>65</v>
      </c>
      <c r="L1621" t="s">
        <v>20</v>
      </c>
      <c r="M1621" t="s">
        <v>35</v>
      </c>
      <c r="N1621" t="s">
        <v>30</v>
      </c>
      <c r="O1621" t="s">
        <v>36</v>
      </c>
      <c r="P1621">
        <v>0.94</v>
      </c>
      <c r="Q1621" s="2" t="b">
        <f>FALSE()</f>
        <v>0</v>
      </c>
      <c r="R1621">
        <v>1</v>
      </c>
    </row>
    <row r="1622" spans="1:18" x14ac:dyDescent="0.25">
      <c r="A1622">
        <v>201621</v>
      </c>
      <c r="B1622">
        <v>54210</v>
      </c>
      <c r="C1622" t="s">
        <v>18</v>
      </c>
      <c r="D1622">
        <v>2034.59</v>
      </c>
      <c r="E1622">
        <v>3241</v>
      </c>
      <c r="F1622">
        <v>0</v>
      </c>
      <c r="G1622">
        <v>5</v>
      </c>
      <c r="H1622">
        <v>0</v>
      </c>
      <c r="I1622" t="s">
        <v>32</v>
      </c>
      <c r="J1622">
        <v>0</v>
      </c>
      <c r="K1622">
        <v>46</v>
      </c>
      <c r="L1622" t="s">
        <v>20</v>
      </c>
      <c r="M1622" t="s">
        <v>25</v>
      </c>
      <c r="N1622" t="s">
        <v>22</v>
      </c>
      <c r="O1622" t="s">
        <v>36</v>
      </c>
      <c r="P1622">
        <v>9.43</v>
      </c>
      <c r="Q1622" s="2" t="b">
        <f>FALSE()</f>
        <v>0</v>
      </c>
      <c r="R1622">
        <v>0</v>
      </c>
    </row>
    <row r="1623" spans="1:18" x14ac:dyDescent="0.25">
      <c r="A1623">
        <v>201622</v>
      </c>
      <c r="B1623">
        <v>52877</v>
      </c>
      <c r="C1623" t="s">
        <v>34</v>
      </c>
      <c r="D1623">
        <v>5766.4</v>
      </c>
      <c r="E1623">
        <v>2943</v>
      </c>
      <c r="F1623">
        <v>2</v>
      </c>
      <c r="G1623">
        <v>2</v>
      </c>
      <c r="H1623">
        <v>1</v>
      </c>
      <c r="I1623" t="s">
        <v>33</v>
      </c>
      <c r="J1623">
        <v>0</v>
      </c>
      <c r="K1623">
        <v>26</v>
      </c>
      <c r="L1623" t="s">
        <v>20</v>
      </c>
      <c r="M1623" t="s">
        <v>35</v>
      </c>
      <c r="N1623" t="s">
        <v>30</v>
      </c>
      <c r="O1623" t="s">
        <v>27</v>
      </c>
      <c r="P1623">
        <v>1.23</v>
      </c>
      <c r="Q1623" s="2" t="b">
        <f>FALSE()</f>
        <v>0</v>
      </c>
      <c r="R1623">
        <v>1</v>
      </c>
    </row>
    <row r="1624" spans="1:18" x14ac:dyDescent="0.25">
      <c r="A1624">
        <v>201623</v>
      </c>
      <c r="B1624">
        <v>51160</v>
      </c>
      <c r="C1624" t="s">
        <v>34</v>
      </c>
      <c r="D1624">
        <v>3697.78</v>
      </c>
      <c r="E1624">
        <v>1090</v>
      </c>
      <c r="F1624">
        <v>0</v>
      </c>
      <c r="G1624">
        <v>5</v>
      </c>
      <c r="H1624">
        <v>1</v>
      </c>
      <c r="I1624" t="s">
        <v>33</v>
      </c>
      <c r="J1624">
        <v>0</v>
      </c>
      <c r="K1624">
        <v>43</v>
      </c>
      <c r="L1624" t="s">
        <v>24</v>
      </c>
      <c r="M1624" t="s">
        <v>37</v>
      </c>
      <c r="N1624" t="s">
        <v>30</v>
      </c>
      <c r="O1624" t="s">
        <v>36</v>
      </c>
      <c r="P1624">
        <v>4.3099999999999996</v>
      </c>
      <c r="Q1624" s="2" t="b">
        <f>FALSE()</f>
        <v>0</v>
      </c>
      <c r="R1624">
        <v>1</v>
      </c>
    </row>
    <row r="1625" spans="1:18" x14ac:dyDescent="0.25">
      <c r="A1625">
        <v>201624</v>
      </c>
      <c r="B1625">
        <v>54078</v>
      </c>
      <c r="C1625" t="s">
        <v>18</v>
      </c>
      <c r="D1625">
        <v>2470.27</v>
      </c>
      <c r="E1625">
        <v>1815</v>
      </c>
      <c r="F1625">
        <v>1</v>
      </c>
      <c r="G1625">
        <v>6</v>
      </c>
      <c r="H1625">
        <v>1</v>
      </c>
      <c r="I1625" t="s">
        <v>33</v>
      </c>
      <c r="J1625">
        <v>0</v>
      </c>
      <c r="K1625">
        <v>42</v>
      </c>
      <c r="L1625" t="s">
        <v>20</v>
      </c>
      <c r="M1625" t="s">
        <v>31</v>
      </c>
      <c r="N1625" t="s">
        <v>30</v>
      </c>
      <c r="O1625" t="s">
        <v>36</v>
      </c>
      <c r="P1625">
        <v>1.26</v>
      </c>
      <c r="Q1625" s="2" t="b">
        <f>FALSE()</f>
        <v>0</v>
      </c>
      <c r="R1625">
        <v>0</v>
      </c>
    </row>
    <row r="1626" spans="1:18" x14ac:dyDescent="0.25">
      <c r="A1626">
        <v>201625</v>
      </c>
      <c r="B1626">
        <v>52445</v>
      </c>
      <c r="C1626" t="s">
        <v>18</v>
      </c>
      <c r="D1626">
        <v>2661.88</v>
      </c>
      <c r="E1626">
        <v>3521</v>
      </c>
      <c r="F1626">
        <v>1</v>
      </c>
      <c r="G1626">
        <v>4</v>
      </c>
      <c r="H1626">
        <v>0</v>
      </c>
      <c r="I1626" t="s">
        <v>33</v>
      </c>
      <c r="J1626">
        <v>0</v>
      </c>
      <c r="K1626">
        <v>75</v>
      </c>
      <c r="L1626" t="s">
        <v>20</v>
      </c>
      <c r="M1626" t="s">
        <v>29</v>
      </c>
      <c r="N1626" t="s">
        <v>30</v>
      </c>
      <c r="O1626" t="s">
        <v>36</v>
      </c>
      <c r="P1626">
        <v>1.23</v>
      </c>
      <c r="Q1626" s="2" t="b">
        <f>FALSE()</f>
        <v>0</v>
      </c>
      <c r="R1626">
        <v>0</v>
      </c>
    </row>
    <row r="1627" spans="1:18" x14ac:dyDescent="0.25">
      <c r="A1627">
        <v>201626</v>
      </c>
      <c r="B1627">
        <v>55145</v>
      </c>
      <c r="C1627" t="s">
        <v>34</v>
      </c>
      <c r="D1627">
        <v>2978.49</v>
      </c>
      <c r="E1627">
        <v>2015</v>
      </c>
      <c r="F1627">
        <v>0</v>
      </c>
      <c r="G1627">
        <v>8</v>
      </c>
      <c r="H1627">
        <v>1</v>
      </c>
      <c r="I1627" t="s">
        <v>33</v>
      </c>
      <c r="J1627">
        <v>0</v>
      </c>
      <c r="K1627">
        <v>73</v>
      </c>
      <c r="L1627" t="s">
        <v>20</v>
      </c>
      <c r="M1627" t="s">
        <v>25</v>
      </c>
      <c r="N1627" t="s">
        <v>30</v>
      </c>
      <c r="O1627" t="s">
        <v>36</v>
      </c>
      <c r="P1627">
        <v>0.83</v>
      </c>
      <c r="Q1627" s="2" t="b">
        <f>FALSE()</f>
        <v>0</v>
      </c>
      <c r="R1627">
        <v>1</v>
      </c>
    </row>
    <row r="1628" spans="1:18" x14ac:dyDescent="0.25">
      <c r="A1628">
        <v>201627</v>
      </c>
      <c r="B1628">
        <v>50869</v>
      </c>
      <c r="C1628" t="s">
        <v>28</v>
      </c>
      <c r="D1628">
        <v>1797.12</v>
      </c>
      <c r="E1628">
        <v>1347</v>
      </c>
      <c r="F1628">
        <v>3</v>
      </c>
      <c r="G1628">
        <v>1</v>
      </c>
      <c r="H1628">
        <v>1</v>
      </c>
      <c r="I1628" t="s">
        <v>33</v>
      </c>
      <c r="J1628">
        <v>0</v>
      </c>
      <c r="K1628">
        <v>65</v>
      </c>
      <c r="L1628" t="s">
        <v>24</v>
      </c>
      <c r="M1628" t="s">
        <v>29</v>
      </c>
      <c r="N1628" t="s">
        <v>30</v>
      </c>
      <c r="O1628" t="s">
        <v>36</v>
      </c>
      <c r="P1628">
        <v>3.16</v>
      </c>
      <c r="Q1628" s="2" t="b">
        <f>FALSE()</f>
        <v>0</v>
      </c>
      <c r="R1628">
        <v>1</v>
      </c>
    </row>
    <row r="1629" spans="1:18" x14ac:dyDescent="0.25">
      <c r="A1629">
        <v>201628</v>
      </c>
      <c r="B1629">
        <v>54940</v>
      </c>
      <c r="C1629" t="s">
        <v>34</v>
      </c>
      <c r="D1629">
        <v>2980.03</v>
      </c>
      <c r="E1629">
        <v>1484</v>
      </c>
      <c r="F1629">
        <v>3</v>
      </c>
      <c r="G1629">
        <v>2</v>
      </c>
      <c r="H1629">
        <v>0</v>
      </c>
      <c r="I1629" t="s">
        <v>19</v>
      </c>
      <c r="J1629">
        <v>0</v>
      </c>
      <c r="K1629">
        <v>44</v>
      </c>
      <c r="L1629" t="s">
        <v>20</v>
      </c>
      <c r="M1629" t="s">
        <v>31</v>
      </c>
      <c r="N1629" t="s">
        <v>26</v>
      </c>
      <c r="O1629" t="s">
        <v>27</v>
      </c>
      <c r="P1629">
        <v>1.46</v>
      </c>
      <c r="Q1629" s="2" t="b">
        <f>FALSE()</f>
        <v>0</v>
      </c>
      <c r="R1629">
        <v>1</v>
      </c>
    </row>
    <row r="1630" spans="1:18" x14ac:dyDescent="0.25">
      <c r="A1630">
        <v>201629</v>
      </c>
      <c r="B1630">
        <v>51296</v>
      </c>
      <c r="C1630" t="s">
        <v>18</v>
      </c>
      <c r="D1630">
        <v>1662.14</v>
      </c>
      <c r="E1630">
        <v>87</v>
      </c>
      <c r="F1630">
        <v>1</v>
      </c>
      <c r="G1630">
        <v>3</v>
      </c>
      <c r="H1630">
        <v>1</v>
      </c>
      <c r="I1630" t="s">
        <v>19</v>
      </c>
      <c r="J1630">
        <v>1</v>
      </c>
      <c r="K1630">
        <v>76</v>
      </c>
      <c r="L1630" t="s">
        <v>24</v>
      </c>
      <c r="M1630" t="s">
        <v>37</v>
      </c>
      <c r="N1630" t="s">
        <v>22</v>
      </c>
      <c r="O1630" t="s">
        <v>27</v>
      </c>
      <c r="P1630">
        <v>0.9</v>
      </c>
      <c r="Q1630" s="2" t="b">
        <f>FALSE()</f>
        <v>0</v>
      </c>
      <c r="R1630">
        <v>0</v>
      </c>
    </row>
    <row r="1631" spans="1:18" x14ac:dyDescent="0.25">
      <c r="A1631">
        <v>201630</v>
      </c>
      <c r="B1631">
        <v>52511</v>
      </c>
      <c r="C1631" t="s">
        <v>34</v>
      </c>
      <c r="D1631">
        <v>1537.03</v>
      </c>
      <c r="E1631">
        <v>2802</v>
      </c>
      <c r="F1631">
        <v>1</v>
      </c>
      <c r="G1631">
        <v>6</v>
      </c>
      <c r="H1631">
        <v>1</v>
      </c>
      <c r="I1631" t="s">
        <v>33</v>
      </c>
      <c r="J1631">
        <v>0</v>
      </c>
      <c r="K1631">
        <v>39</v>
      </c>
      <c r="L1631" t="s">
        <v>24</v>
      </c>
      <c r="M1631" t="s">
        <v>21</v>
      </c>
      <c r="N1631" t="s">
        <v>22</v>
      </c>
      <c r="O1631" t="s">
        <v>36</v>
      </c>
      <c r="P1631">
        <v>0.31</v>
      </c>
      <c r="Q1631" s="2" t="b">
        <f>FALSE()</f>
        <v>0</v>
      </c>
      <c r="R1631">
        <v>0</v>
      </c>
    </row>
    <row r="1632" spans="1:18" x14ac:dyDescent="0.25">
      <c r="A1632">
        <v>201631</v>
      </c>
      <c r="B1632">
        <v>53505</v>
      </c>
      <c r="C1632" t="s">
        <v>34</v>
      </c>
      <c r="D1632">
        <v>1137.3499999999999</v>
      </c>
      <c r="E1632">
        <v>241</v>
      </c>
      <c r="F1632">
        <v>1</v>
      </c>
      <c r="G1632">
        <v>3</v>
      </c>
      <c r="H1632">
        <v>0</v>
      </c>
      <c r="I1632" t="s">
        <v>19</v>
      </c>
      <c r="J1632">
        <v>0</v>
      </c>
      <c r="K1632">
        <v>39</v>
      </c>
      <c r="L1632" t="s">
        <v>24</v>
      </c>
      <c r="M1632" t="s">
        <v>21</v>
      </c>
      <c r="N1632" t="s">
        <v>30</v>
      </c>
      <c r="O1632" t="s">
        <v>27</v>
      </c>
      <c r="P1632">
        <v>0.99</v>
      </c>
      <c r="Q1632" s="2" t="b">
        <f>FALSE()</f>
        <v>0</v>
      </c>
      <c r="R1632">
        <v>0</v>
      </c>
    </row>
    <row r="1633" spans="1:18" x14ac:dyDescent="0.25">
      <c r="A1633">
        <v>201632</v>
      </c>
      <c r="B1633">
        <v>54143</v>
      </c>
      <c r="C1633" t="s">
        <v>34</v>
      </c>
      <c r="D1633">
        <v>6140.75</v>
      </c>
      <c r="E1633">
        <v>2677</v>
      </c>
      <c r="F1633">
        <v>1</v>
      </c>
      <c r="G1633">
        <v>5</v>
      </c>
      <c r="H1633">
        <v>0</v>
      </c>
      <c r="I1633" t="s">
        <v>33</v>
      </c>
      <c r="J1633">
        <v>0</v>
      </c>
      <c r="K1633">
        <v>21</v>
      </c>
      <c r="L1633" t="s">
        <v>24</v>
      </c>
      <c r="M1633" t="s">
        <v>21</v>
      </c>
      <c r="N1633" t="s">
        <v>30</v>
      </c>
      <c r="O1633" t="s">
        <v>36</v>
      </c>
      <c r="P1633">
        <v>1.36</v>
      </c>
      <c r="Q1633" s="2" t="b">
        <f>FALSE()</f>
        <v>0</v>
      </c>
      <c r="R1633">
        <v>1</v>
      </c>
    </row>
    <row r="1634" spans="1:18" x14ac:dyDescent="0.25">
      <c r="A1634">
        <v>201633</v>
      </c>
      <c r="B1634">
        <v>55297</v>
      </c>
      <c r="C1634" t="s">
        <v>18</v>
      </c>
      <c r="D1634">
        <v>3144.83</v>
      </c>
      <c r="E1634">
        <v>1248</v>
      </c>
      <c r="F1634">
        <v>2</v>
      </c>
      <c r="G1634">
        <v>6</v>
      </c>
      <c r="H1634">
        <v>0</v>
      </c>
      <c r="I1634" t="s">
        <v>33</v>
      </c>
      <c r="J1634">
        <v>0</v>
      </c>
      <c r="K1634">
        <v>37</v>
      </c>
      <c r="L1634" t="s">
        <v>24</v>
      </c>
      <c r="M1634" t="s">
        <v>31</v>
      </c>
      <c r="N1634" t="s">
        <v>30</v>
      </c>
      <c r="O1634" t="s">
        <v>23</v>
      </c>
      <c r="P1634">
        <v>0.49</v>
      </c>
      <c r="Q1634" s="2" t="b">
        <f>FALSE()</f>
        <v>0</v>
      </c>
      <c r="R1634">
        <v>0</v>
      </c>
    </row>
    <row r="1635" spans="1:18" x14ac:dyDescent="0.25">
      <c r="A1635">
        <v>201634</v>
      </c>
      <c r="B1635">
        <v>52721</v>
      </c>
      <c r="C1635" t="s">
        <v>18</v>
      </c>
      <c r="D1635">
        <v>232.6</v>
      </c>
      <c r="E1635">
        <v>1256</v>
      </c>
      <c r="F1635">
        <v>0</v>
      </c>
      <c r="G1635">
        <v>4</v>
      </c>
      <c r="H1635">
        <v>1</v>
      </c>
      <c r="I1635" t="s">
        <v>33</v>
      </c>
      <c r="J1635">
        <v>1</v>
      </c>
      <c r="K1635">
        <v>58</v>
      </c>
      <c r="L1635" t="s">
        <v>24</v>
      </c>
      <c r="M1635" t="s">
        <v>21</v>
      </c>
      <c r="N1635" t="s">
        <v>22</v>
      </c>
      <c r="O1635" t="s">
        <v>36</v>
      </c>
      <c r="P1635">
        <v>0.94</v>
      </c>
      <c r="Q1635" s="2" t="b">
        <f>FALSE()</f>
        <v>0</v>
      </c>
      <c r="R1635">
        <v>0</v>
      </c>
    </row>
    <row r="1636" spans="1:18" x14ac:dyDescent="0.25">
      <c r="A1636">
        <v>201635</v>
      </c>
      <c r="B1636">
        <v>53865</v>
      </c>
      <c r="C1636" t="s">
        <v>34</v>
      </c>
      <c r="D1636">
        <v>3495.09</v>
      </c>
      <c r="E1636">
        <v>3623</v>
      </c>
      <c r="F1636">
        <v>3</v>
      </c>
      <c r="G1636">
        <v>7</v>
      </c>
      <c r="H1636">
        <v>0</v>
      </c>
      <c r="I1636" t="s">
        <v>19</v>
      </c>
      <c r="J1636">
        <v>0</v>
      </c>
      <c r="K1636">
        <v>34</v>
      </c>
      <c r="L1636" t="s">
        <v>20</v>
      </c>
      <c r="M1636" t="s">
        <v>29</v>
      </c>
      <c r="N1636" t="s">
        <v>22</v>
      </c>
      <c r="O1636" t="s">
        <v>36</v>
      </c>
      <c r="P1636">
        <v>5.62</v>
      </c>
      <c r="Q1636" s="2" t="b">
        <f>FALSE()</f>
        <v>0</v>
      </c>
      <c r="R1636">
        <v>1</v>
      </c>
    </row>
    <row r="1637" spans="1:18" x14ac:dyDescent="0.25">
      <c r="A1637">
        <v>201636</v>
      </c>
      <c r="B1637">
        <v>50255</v>
      </c>
      <c r="C1637" t="s">
        <v>18</v>
      </c>
      <c r="D1637">
        <v>6558.23</v>
      </c>
      <c r="E1637">
        <v>911</v>
      </c>
      <c r="F1637">
        <v>2</v>
      </c>
      <c r="G1637">
        <v>5</v>
      </c>
      <c r="H1637">
        <v>0</v>
      </c>
      <c r="I1637" t="s">
        <v>33</v>
      </c>
      <c r="J1637">
        <v>0</v>
      </c>
      <c r="K1637">
        <v>54</v>
      </c>
      <c r="L1637" t="s">
        <v>20</v>
      </c>
      <c r="M1637" t="s">
        <v>35</v>
      </c>
      <c r="N1637" t="s">
        <v>22</v>
      </c>
      <c r="O1637" t="s">
        <v>27</v>
      </c>
      <c r="P1637">
        <v>1.84</v>
      </c>
      <c r="Q1637" s="2" t="b">
        <f>FALSE()</f>
        <v>0</v>
      </c>
      <c r="R1637">
        <v>1</v>
      </c>
    </row>
    <row r="1638" spans="1:18" x14ac:dyDescent="0.25">
      <c r="A1638">
        <v>201637</v>
      </c>
      <c r="B1638">
        <v>54686</v>
      </c>
      <c r="C1638" t="s">
        <v>18</v>
      </c>
      <c r="D1638">
        <v>4197.26</v>
      </c>
      <c r="E1638">
        <v>2427</v>
      </c>
      <c r="F1638">
        <v>0</v>
      </c>
      <c r="G1638">
        <v>5</v>
      </c>
      <c r="H1638">
        <v>1</v>
      </c>
      <c r="I1638" t="s">
        <v>33</v>
      </c>
      <c r="J1638">
        <v>1</v>
      </c>
      <c r="K1638">
        <v>27</v>
      </c>
      <c r="L1638" t="s">
        <v>24</v>
      </c>
      <c r="M1638" t="s">
        <v>31</v>
      </c>
      <c r="N1638" t="s">
        <v>30</v>
      </c>
      <c r="O1638" t="s">
        <v>36</v>
      </c>
      <c r="P1638">
        <v>0.16</v>
      </c>
      <c r="Q1638" s="2" t="b">
        <f>FALSE()</f>
        <v>0</v>
      </c>
      <c r="R1638">
        <v>1</v>
      </c>
    </row>
    <row r="1639" spans="1:18" x14ac:dyDescent="0.25">
      <c r="A1639">
        <v>201638</v>
      </c>
      <c r="B1639">
        <v>52961</v>
      </c>
      <c r="C1639" t="s">
        <v>34</v>
      </c>
      <c r="D1639">
        <v>3019.67</v>
      </c>
      <c r="E1639">
        <v>988</v>
      </c>
      <c r="F1639">
        <v>1</v>
      </c>
      <c r="G1639">
        <v>5</v>
      </c>
      <c r="H1639">
        <v>0</v>
      </c>
      <c r="I1639" t="s">
        <v>33</v>
      </c>
      <c r="J1639">
        <v>0</v>
      </c>
      <c r="K1639">
        <v>66</v>
      </c>
      <c r="L1639" t="s">
        <v>20</v>
      </c>
      <c r="M1639" t="s">
        <v>29</v>
      </c>
      <c r="N1639" t="s">
        <v>26</v>
      </c>
      <c r="O1639" t="s">
        <v>27</v>
      </c>
      <c r="P1639">
        <v>3.16</v>
      </c>
      <c r="Q1639" s="2" t="b">
        <f>FALSE()</f>
        <v>0</v>
      </c>
      <c r="R1639">
        <v>0</v>
      </c>
    </row>
    <row r="1640" spans="1:18" x14ac:dyDescent="0.25">
      <c r="A1640">
        <v>201639</v>
      </c>
      <c r="B1640">
        <v>55412</v>
      </c>
      <c r="C1640" t="s">
        <v>28</v>
      </c>
      <c r="D1640">
        <v>1743.35</v>
      </c>
      <c r="E1640">
        <v>604</v>
      </c>
      <c r="F1640">
        <v>0</v>
      </c>
      <c r="G1640">
        <v>5</v>
      </c>
      <c r="H1640">
        <v>1</v>
      </c>
      <c r="I1640" t="s">
        <v>32</v>
      </c>
      <c r="J1640">
        <v>0</v>
      </c>
      <c r="K1640">
        <v>70</v>
      </c>
      <c r="L1640" t="s">
        <v>38</v>
      </c>
      <c r="M1640" t="s">
        <v>35</v>
      </c>
      <c r="N1640" t="s">
        <v>22</v>
      </c>
      <c r="O1640" t="s">
        <v>36</v>
      </c>
      <c r="P1640">
        <v>2.33</v>
      </c>
      <c r="Q1640" s="2" t="b">
        <f>FALSE()</f>
        <v>0</v>
      </c>
      <c r="R1640">
        <v>0</v>
      </c>
    </row>
    <row r="1641" spans="1:18" x14ac:dyDescent="0.25">
      <c r="A1641">
        <v>201640</v>
      </c>
      <c r="B1641">
        <v>55268</v>
      </c>
      <c r="C1641" t="s">
        <v>34</v>
      </c>
      <c r="D1641">
        <v>1761.05</v>
      </c>
      <c r="E1641">
        <v>1306</v>
      </c>
      <c r="F1641">
        <v>1</v>
      </c>
      <c r="G1641">
        <v>4</v>
      </c>
      <c r="H1641">
        <v>0</v>
      </c>
      <c r="I1641" t="s">
        <v>33</v>
      </c>
      <c r="J1641">
        <v>0</v>
      </c>
      <c r="K1641">
        <v>76</v>
      </c>
      <c r="L1641" t="s">
        <v>20</v>
      </c>
      <c r="M1641" t="s">
        <v>29</v>
      </c>
      <c r="N1641" t="s">
        <v>30</v>
      </c>
      <c r="O1641" t="s">
        <v>36</v>
      </c>
      <c r="P1641">
        <v>1.23</v>
      </c>
      <c r="Q1641" s="2" t="b">
        <f>FALSE()</f>
        <v>0</v>
      </c>
      <c r="R1641">
        <v>0</v>
      </c>
    </row>
    <row r="1642" spans="1:18" x14ac:dyDescent="0.25">
      <c r="A1642">
        <v>201641</v>
      </c>
      <c r="B1642">
        <v>51455</v>
      </c>
      <c r="C1642" t="s">
        <v>18</v>
      </c>
      <c r="D1642">
        <v>4053.62</v>
      </c>
      <c r="E1642">
        <v>2188</v>
      </c>
      <c r="F1642">
        <v>2</v>
      </c>
      <c r="G1642">
        <v>1</v>
      </c>
      <c r="H1642">
        <v>1</v>
      </c>
      <c r="I1642" t="s">
        <v>32</v>
      </c>
      <c r="J1642">
        <v>1</v>
      </c>
      <c r="K1642">
        <v>50</v>
      </c>
      <c r="L1642" t="s">
        <v>24</v>
      </c>
      <c r="M1642" t="s">
        <v>29</v>
      </c>
      <c r="N1642" t="s">
        <v>22</v>
      </c>
      <c r="O1642" t="s">
        <v>36</v>
      </c>
      <c r="P1642">
        <v>0.61</v>
      </c>
      <c r="Q1642" s="2" t="b">
        <f>FALSE()</f>
        <v>0</v>
      </c>
      <c r="R1642">
        <v>1</v>
      </c>
    </row>
    <row r="1643" spans="1:18" x14ac:dyDescent="0.25">
      <c r="A1643">
        <v>201642</v>
      </c>
      <c r="B1643">
        <v>55891</v>
      </c>
      <c r="C1643" t="s">
        <v>34</v>
      </c>
      <c r="D1643">
        <v>6466.99</v>
      </c>
      <c r="E1643">
        <v>1069</v>
      </c>
      <c r="F1643">
        <v>2</v>
      </c>
      <c r="G1643">
        <v>7</v>
      </c>
      <c r="H1643">
        <v>0</v>
      </c>
      <c r="I1643" t="s">
        <v>19</v>
      </c>
      <c r="J1643">
        <v>0</v>
      </c>
      <c r="K1643">
        <v>83</v>
      </c>
      <c r="L1643" t="s">
        <v>24</v>
      </c>
      <c r="M1643" t="s">
        <v>21</v>
      </c>
      <c r="N1643" t="s">
        <v>22</v>
      </c>
      <c r="O1643" t="s">
        <v>27</v>
      </c>
      <c r="P1643">
        <v>3.35</v>
      </c>
      <c r="Q1643" s="2" t="b">
        <f>FALSE()</f>
        <v>0</v>
      </c>
      <c r="R1643">
        <v>1</v>
      </c>
    </row>
    <row r="1644" spans="1:18" x14ac:dyDescent="0.25">
      <c r="A1644">
        <v>201643</v>
      </c>
      <c r="B1644">
        <v>50973</v>
      </c>
      <c r="C1644" t="s">
        <v>18</v>
      </c>
      <c r="D1644">
        <v>1827.39</v>
      </c>
      <c r="E1644">
        <v>2292</v>
      </c>
      <c r="F1644">
        <v>4</v>
      </c>
      <c r="G1644">
        <v>6</v>
      </c>
      <c r="H1644">
        <v>1</v>
      </c>
      <c r="I1644" t="s">
        <v>19</v>
      </c>
      <c r="J1644">
        <v>1</v>
      </c>
      <c r="K1644">
        <v>63</v>
      </c>
      <c r="L1644" t="s">
        <v>20</v>
      </c>
      <c r="M1644" t="s">
        <v>29</v>
      </c>
      <c r="N1644" t="s">
        <v>22</v>
      </c>
      <c r="O1644" t="s">
        <v>23</v>
      </c>
      <c r="P1644">
        <v>0.64</v>
      </c>
      <c r="Q1644" s="2" t="b">
        <f>FALSE()</f>
        <v>0</v>
      </c>
      <c r="R1644">
        <v>1</v>
      </c>
    </row>
    <row r="1645" spans="1:18" x14ac:dyDescent="0.25">
      <c r="A1645">
        <v>201644</v>
      </c>
      <c r="B1645">
        <v>50728</v>
      </c>
      <c r="C1645" t="s">
        <v>18</v>
      </c>
      <c r="D1645">
        <v>2583.63</v>
      </c>
      <c r="E1645">
        <v>2770</v>
      </c>
      <c r="F1645">
        <v>0</v>
      </c>
      <c r="G1645">
        <v>2</v>
      </c>
      <c r="H1645">
        <v>0</v>
      </c>
      <c r="I1645" t="s">
        <v>33</v>
      </c>
      <c r="J1645">
        <v>0</v>
      </c>
      <c r="K1645">
        <v>45</v>
      </c>
      <c r="L1645" t="s">
        <v>24</v>
      </c>
      <c r="M1645" t="s">
        <v>31</v>
      </c>
      <c r="N1645" t="s">
        <v>30</v>
      </c>
      <c r="O1645" t="s">
        <v>27</v>
      </c>
      <c r="P1645">
        <v>0.72</v>
      </c>
      <c r="Q1645" s="2" t="b">
        <f>FALSE()</f>
        <v>0</v>
      </c>
      <c r="R1645">
        <v>0</v>
      </c>
    </row>
    <row r="1646" spans="1:18" x14ac:dyDescent="0.25">
      <c r="A1646">
        <v>201645</v>
      </c>
      <c r="B1646">
        <v>54668</v>
      </c>
      <c r="C1646" t="s">
        <v>34</v>
      </c>
      <c r="D1646">
        <v>3921.5</v>
      </c>
      <c r="E1646">
        <v>1877</v>
      </c>
      <c r="F1646">
        <v>1</v>
      </c>
      <c r="G1646">
        <v>4</v>
      </c>
      <c r="H1646">
        <v>0</v>
      </c>
      <c r="I1646" t="s">
        <v>19</v>
      </c>
      <c r="J1646">
        <v>0</v>
      </c>
      <c r="K1646">
        <v>30</v>
      </c>
      <c r="L1646" t="s">
        <v>20</v>
      </c>
      <c r="M1646" t="s">
        <v>21</v>
      </c>
      <c r="N1646" t="s">
        <v>22</v>
      </c>
      <c r="O1646" t="s">
        <v>27</v>
      </c>
      <c r="P1646">
        <v>0.03</v>
      </c>
      <c r="Q1646" s="2" t="b">
        <f>FALSE()</f>
        <v>0</v>
      </c>
      <c r="R1646">
        <v>1</v>
      </c>
    </row>
    <row r="1647" spans="1:18" x14ac:dyDescent="0.25">
      <c r="A1647">
        <v>201646</v>
      </c>
      <c r="B1647">
        <v>51817</v>
      </c>
      <c r="C1647" t="s">
        <v>18</v>
      </c>
      <c r="D1647">
        <v>1982.29</v>
      </c>
      <c r="E1647">
        <v>1433</v>
      </c>
      <c r="F1647">
        <v>4</v>
      </c>
      <c r="G1647">
        <v>3</v>
      </c>
      <c r="H1647">
        <v>1</v>
      </c>
      <c r="I1647" t="s">
        <v>33</v>
      </c>
      <c r="J1647">
        <v>0</v>
      </c>
      <c r="K1647">
        <v>45</v>
      </c>
      <c r="L1647" t="s">
        <v>24</v>
      </c>
      <c r="M1647" t="s">
        <v>37</v>
      </c>
      <c r="N1647" t="s">
        <v>26</v>
      </c>
      <c r="O1647" t="s">
        <v>36</v>
      </c>
      <c r="P1647">
        <v>2.2200000000000002</v>
      </c>
      <c r="Q1647" s="2" t="b">
        <f>FALSE()</f>
        <v>0</v>
      </c>
      <c r="R1647">
        <v>1</v>
      </c>
    </row>
    <row r="1648" spans="1:18" x14ac:dyDescent="0.25">
      <c r="A1648">
        <v>201647</v>
      </c>
      <c r="B1648">
        <v>53980</v>
      </c>
      <c r="C1648" t="s">
        <v>34</v>
      </c>
      <c r="D1648">
        <v>2763.17</v>
      </c>
      <c r="E1648">
        <v>2240</v>
      </c>
      <c r="F1648">
        <v>2</v>
      </c>
      <c r="G1648">
        <v>4</v>
      </c>
      <c r="H1648">
        <v>0</v>
      </c>
      <c r="I1648" t="s">
        <v>33</v>
      </c>
      <c r="J1648">
        <v>0</v>
      </c>
      <c r="K1648">
        <v>74</v>
      </c>
      <c r="L1648" t="s">
        <v>20</v>
      </c>
      <c r="M1648" t="s">
        <v>31</v>
      </c>
      <c r="N1648" t="s">
        <v>22</v>
      </c>
      <c r="O1648" t="s">
        <v>27</v>
      </c>
      <c r="P1648">
        <v>1.38</v>
      </c>
      <c r="Q1648" s="2" t="b">
        <f>FALSE()</f>
        <v>0</v>
      </c>
      <c r="R1648">
        <v>0</v>
      </c>
    </row>
    <row r="1649" spans="1:18" x14ac:dyDescent="0.25">
      <c r="A1649">
        <v>201648</v>
      </c>
      <c r="B1649">
        <v>53673</v>
      </c>
      <c r="C1649" t="s">
        <v>18</v>
      </c>
      <c r="D1649">
        <v>218.19</v>
      </c>
      <c r="E1649">
        <v>2184</v>
      </c>
      <c r="F1649">
        <v>1</v>
      </c>
      <c r="G1649">
        <v>5</v>
      </c>
      <c r="H1649">
        <v>1</v>
      </c>
      <c r="I1649" t="s">
        <v>33</v>
      </c>
      <c r="J1649">
        <v>0</v>
      </c>
      <c r="K1649">
        <v>76</v>
      </c>
      <c r="L1649" t="s">
        <v>24</v>
      </c>
      <c r="M1649" t="s">
        <v>37</v>
      </c>
      <c r="N1649" t="s">
        <v>22</v>
      </c>
      <c r="O1649" t="s">
        <v>27</v>
      </c>
      <c r="P1649">
        <v>0.68</v>
      </c>
      <c r="Q1649" s="2" t="b">
        <f>FALSE()</f>
        <v>0</v>
      </c>
      <c r="R1649">
        <v>0</v>
      </c>
    </row>
    <row r="1650" spans="1:18" x14ac:dyDescent="0.25">
      <c r="A1650">
        <v>201649</v>
      </c>
      <c r="B1650">
        <v>54885</v>
      </c>
      <c r="C1650" t="s">
        <v>18</v>
      </c>
      <c r="D1650">
        <v>1964.33</v>
      </c>
      <c r="E1650">
        <v>1004</v>
      </c>
      <c r="F1650">
        <v>0</v>
      </c>
      <c r="G1650">
        <v>5</v>
      </c>
      <c r="H1650">
        <v>0</v>
      </c>
      <c r="I1650" t="s">
        <v>33</v>
      </c>
      <c r="J1650">
        <v>0</v>
      </c>
      <c r="K1650">
        <v>60</v>
      </c>
      <c r="L1650" t="s">
        <v>20</v>
      </c>
      <c r="M1650" t="s">
        <v>25</v>
      </c>
      <c r="N1650" t="s">
        <v>22</v>
      </c>
      <c r="O1650" t="s">
        <v>23</v>
      </c>
      <c r="P1650">
        <v>5.45</v>
      </c>
      <c r="Q1650" s="2" t="b">
        <f>FALSE()</f>
        <v>0</v>
      </c>
      <c r="R1650">
        <v>0</v>
      </c>
    </row>
    <row r="1651" spans="1:18" x14ac:dyDescent="0.25">
      <c r="A1651">
        <v>201650</v>
      </c>
      <c r="B1651">
        <v>55672</v>
      </c>
      <c r="C1651" t="s">
        <v>18</v>
      </c>
      <c r="D1651">
        <v>7018.55</v>
      </c>
      <c r="E1651">
        <v>1853</v>
      </c>
      <c r="F1651">
        <v>2</v>
      </c>
      <c r="G1651">
        <v>3</v>
      </c>
      <c r="H1651">
        <v>1</v>
      </c>
      <c r="I1651" t="s">
        <v>33</v>
      </c>
      <c r="J1651">
        <v>0</v>
      </c>
      <c r="K1651">
        <v>25</v>
      </c>
      <c r="L1651" t="s">
        <v>20</v>
      </c>
      <c r="M1651" t="s">
        <v>35</v>
      </c>
      <c r="N1651" t="s">
        <v>22</v>
      </c>
      <c r="O1651" t="s">
        <v>36</v>
      </c>
      <c r="P1651">
        <v>0.67</v>
      </c>
      <c r="Q1651" s="2" t="b">
        <f>TRUE()</f>
        <v>1</v>
      </c>
      <c r="R1651">
        <v>1</v>
      </c>
    </row>
    <row r="1652" spans="1:18" x14ac:dyDescent="0.25">
      <c r="A1652">
        <v>201651</v>
      </c>
      <c r="B1652">
        <v>52021</v>
      </c>
      <c r="C1652" t="s">
        <v>34</v>
      </c>
      <c r="D1652">
        <v>661.75</v>
      </c>
      <c r="E1652">
        <v>1550</v>
      </c>
      <c r="F1652">
        <v>2</v>
      </c>
      <c r="G1652">
        <v>4</v>
      </c>
      <c r="H1652">
        <v>0</v>
      </c>
      <c r="I1652" t="s">
        <v>33</v>
      </c>
      <c r="J1652">
        <v>0</v>
      </c>
      <c r="K1652">
        <v>82</v>
      </c>
      <c r="L1652" t="s">
        <v>24</v>
      </c>
      <c r="M1652" t="s">
        <v>29</v>
      </c>
      <c r="N1652" t="s">
        <v>30</v>
      </c>
      <c r="O1652" t="s">
        <v>23</v>
      </c>
      <c r="P1652">
        <v>1.03</v>
      </c>
      <c r="Q1652" s="2" t="b">
        <f>FALSE()</f>
        <v>0</v>
      </c>
      <c r="R1652">
        <v>0</v>
      </c>
    </row>
    <row r="1653" spans="1:18" x14ac:dyDescent="0.25">
      <c r="A1653">
        <v>201652</v>
      </c>
      <c r="B1653">
        <v>50383</v>
      </c>
      <c r="C1653" t="s">
        <v>18</v>
      </c>
      <c r="D1653">
        <v>509.37</v>
      </c>
      <c r="E1653">
        <v>378</v>
      </c>
      <c r="F1653">
        <v>1</v>
      </c>
      <c r="G1653">
        <v>5</v>
      </c>
      <c r="H1653">
        <v>0</v>
      </c>
      <c r="I1653" t="s">
        <v>33</v>
      </c>
      <c r="J1653">
        <v>1</v>
      </c>
      <c r="K1653">
        <v>49</v>
      </c>
      <c r="L1653" t="s">
        <v>24</v>
      </c>
      <c r="M1653" t="s">
        <v>25</v>
      </c>
      <c r="N1653" t="s">
        <v>22</v>
      </c>
      <c r="O1653" t="s">
        <v>27</v>
      </c>
      <c r="P1653">
        <v>2.2999999999999998</v>
      </c>
      <c r="Q1653" s="2" t="b">
        <f>FALSE()</f>
        <v>0</v>
      </c>
      <c r="R1653">
        <v>0</v>
      </c>
    </row>
    <row r="1654" spans="1:18" x14ac:dyDescent="0.25">
      <c r="A1654">
        <v>201653</v>
      </c>
      <c r="B1654">
        <v>55760</v>
      </c>
      <c r="C1654" t="s">
        <v>28</v>
      </c>
      <c r="D1654">
        <v>1576.95</v>
      </c>
      <c r="E1654">
        <v>190</v>
      </c>
      <c r="F1654">
        <v>1</v>
      </c>
      <c r="G1654">
        <v>0</v>
      </c>
      <c r="H1654">
        <v>0</v>
      </c>
      <c r="I1654" t="s">
        <v>19</v>
      </c>
      <c r="J1654">
        <v>0</v>
      </c>
      <c r="K1654">
        <v>25</v>
      </c>
      <c r="L1654" t="s">
        <v>24</v>
      </c>
      <c r="M1654" t="s">
        <v>21</v>
      </c>
      <c r="N1654" t="s">
        <v>22</v>
      </c>
      <c r="O1654" t="s">
        <v>36</v>
      </c>
      <c r="P1654">
        <v>4.07</v>
      </c>
      <c r="Q1654" s="2" t="b">
        <f>FALSE()</f>
        <v>0</v>
      </c>
      <c r="R1654">
        <v>0</v>
      </c>
    </row>
    <row r="1655" spans="1:18" x14ac:dyDescent="0.25">
      <c r="A1655">
        <v>201654</v>
      </c>
      <c r="B1655">
        <v>53137</v>
      </c>
      <c r="C1655" t="s">
        <v>28</v>
      </c>
      <c r="D1655">
        <v>3062.7</v>
      </c>
      <c r="E1655">
        <v>660</v>
      </c>
      <c r="F1655">
        <v>0</v>
      </c>
      <c r="G1655">
        <v>4</v>
      </c>
      <c r="H1655">
        <v>1</v>
      </c>
      <c r="I1655" t="s">
        <v>33</v>
      </c>
      <c r="J1655">
        <v>0</v>
      </c>
      <c r="K1655">
        <v>44</v>
      </c>
      <c r="L1655" t="s">
        <v>38</v>
      </c>
      <c r="M1655" t="s">
        <v>31</v>
      </c>
      <c r="N1655" t="s">
        <v>30</v>
      </c>
      <c r="O1655" t="s">
        <v>36</v>
      </c>
      <c r="P1655">
        <v>1.1100000000000001</v>
      </c>
      <c r="Q1655" s="2" t="b">
        <f>FALSE()</f>
        <v>0</v>
      </c>
      <c r="R1655">
        <v>0</v>
      </c>
    </row>
    <row r="1656" spans="1:18" x14ac:dyDescent="0.25">
      <c r="A1656">
        <v>201655</v>
      </c>
      <c r="B1656">
        <v>55167</v>
      </c>
      <c r="C1656" t="s">
        <v>28</v>
      </c>
      <c r="D1656">
        <v>246.88</v>
      </c>
      <c r="E1656">
        <v>1955</v>
      </c>
      <c r="F1656">
        <v>2</v>
      </c>
      <c r="G1656">
        <v>5</v>
      </c>
      <c r="H1656">
        <v>0</v>
      </c>
      <c r="I1656" t="s">
        <v>33</v>
      </c>
      <c r="J1656">
        <v>0</v>
      </c>
      <c r="K1656">
        <v>24</v>
      </c>
      <c r="L1656" t="s">
        <v>24</v>
      </c>
      <c r="M1656" t="s">
        <v>21</v>
      </c>
      <c r="N1656" t="s">
        <v>22</v>
      </c>
      <c r="O1656" t="s">
        <v>36</v>
      </c>
      <c r="P1656">
        <v>0.14000000000000001</v>
      </c>
      <c r="Q1656" s="2" t="b">
        <f>FALSE()</f>
        <v>0</v>
      </c>
      <c r="R1656">
        <v>0</v>
      </c>
    </row>
    <row r="1657" spans="1:18" x14ac:dyDescent="0.25">
      <c r="A1657">
        <v>201656</v>
      </c>
      <c r="B1657">
        <v>52720</v>
      </c>
      <c r="C1657" t="s">
        <v>18</v>
      </c>
      <c r="D1657">
        <v>4610.5</v>
      </c>
      <c r="E1657">
        <v>2137</v>
      </c>
      <c r="F1657">
        <v>1</v>
      </c>
      <c r="G1657">
        <v>3</v>
      </c>
      <c r="H1657">
        <v>0</v>
      </c>
      <c r="I1657" t="s">
        <v>33</v>
      </c>
      <c r="J1657">
        <v>0</v>
      </c>
      <c r="K1657">
        <v>34</v>
      </c>
      <c r="L1657" t="s">
        <v>24</v>
      </c>
      <c r="M1657" t="s">
        <v>25</v>
      </c>
      <c r="N1657" t="s">
        <v>22</v>
      </c>
      <c r="O1657" t="s">
        <v>36</v>
      </c>
      <c r="P1657">
        <v>0.05</v>
      </c>
      <c r="Q1657" s="2" t="b">
        <f>FALSE()</f>
        <v>0</v>
      </c>
      <c r="R1657">
        <v>1</v>
      </c>
    </row>
    <row r="1658" spans="1:18" x14ac:dyDescent="0.25">
      <c r="A1658">
        <v>201657</v>
      </c>
      <c r="B1658">
        <v>50556</v>
      </c>
      <c r="C1658" t="s">
        <v>34</v>
      </c>
      <c r="D1658">
        <v>4633.16</v>
      </c>
      <c r="E1658">
        <v>956</v>
      </c>
      <c r="F1658">
        <v>0</v>
      </c>
      <c r="G1658">
        <v>5</v>
      </c>
      <c r="H1658">
        <v>1</v>
      </c>
      <c r="I1658" t="s">
        <v>19</v>
      </c>
      <c r="J1658">
        <v>1</v>
      </c>
      <c r="K1658">
        <v>47</v>
      </c>
      <c r="L1658" t="s">
        <v>20</v>
      </c>
      <c r="M1658" t="s">
        <v>21</v>
      </c>
      <c r="N1658" t="s">
        <v>26</v>
      </c>
      <c r="O1658" t="s">
        <v>36</v>
      </c>
      <c r="P1658">
        <v>6.64</v>
      </c>
      <c r="Q1658" s="2" t="b">
        <f>FALSE()</f>
        <v>0</v>
      </c>
      <c r="R1658">
        <v>1</v>
      </c>
    </row>
    <row r="1659" spans="1:18" x14ac:dyDescent="0.25">
      <c r="A1659">
        <v>201658</v>
      </c>
      <c r="B1659">
        <v>50919</v>
      </c>
      <c r="C1659" t="s">
        <v>34</v>
      </c>
      <c r="D1659">
        <v>1871.14</v>
      </c>
      <c r="E1659">
        <v>3541</v>
      </c>
      <c r="F1659">
        <v>2</v>
      </c>
      <c r="G1659">
        <v>5</v>
      </c>
      <c r="H1659">
        <v>0</v>
      </c>
      <c r="I1659" t="s">
        <v>33</v>
      </c>
      <c r="J1659">
        <v>0</v>
      </c>
      <c r="K1659">
        <v>34</v>
      </c>
      <c r="L1659" t="s">
        <v>20</v>
      </c>
      <c r="M1659" t="s">
        <v>37</v>
      </c>
      <c r="N1659" t="s">
        <v>26</v>
      </c>
      <c r="O1659" t="s">
        <v>27</v>
      </c>
      <c r="P1659">
        <v>2.44</v>
      </c>
      <c r="Q1659" s="2" t="b">
        <f>FALSE()</f>
        <v>0</v>
      </c>
      <c r="R1659">
        <v>0</v>
      </c>
    </row>
    <row r="1660" spans="1:18" x14ac:dyDescent="0.25">
      <c r="A1660">
        <v>201659</v>
      </c>
      <c r="B1660">
        <v>53420</v>
      </c>
      <c r="C1660" t="s">
        <v>28</v>
      </c>
      <c r="D1660">
        <v>3349.28</v>
      </c>
      <c r="E1660">
        <v>2669</v>
      </c>
      <c r="F1660">
        <v>0</v>
      </c>
      <c r="G1660">
        <v>6</v>
      </c>
      <c r="H1660">
        <v>0</v>
      </c>
      <c r="I1660" t="s">
        <v>32</v>
      </c>
      <c r="J1660">
        <v>0</v>
      </c>
      <c r="K1660">
        <v>32</v>
      </c>
      <c r="L1660" t="s">
        <v>24</v>
      </c>
      <c r="M1660" t="s">
        <v>21</v>
      </c>
      <c r="N1660" t="s">
        <v>22</v>
      </c>
      <c r="O1660" t="s">
        <v>27</v>
      </c>
      <c r="P1660">
        <v>0.63</v>
      </c>
      <c r="Q1660" s="2" t="b">
        <f>FALSE()</f>
        <v>0</v>
      </c>
      <c r="R1660">
        <v>0</v>
      </c>
    </row>
    <row r="1661" spans="1:18" x14ac:dyDescent="0.25">
      <c r="A1661">
        <v>201660</v>
      </c>
      <c r="B1661">
        <v>55754</v>
      </c>
      <c r="C1661" t="s">
        <v>28</v>
      </c>
      <c r="D1661">
        <v>1061.48</v>
      </c>
      <c r="E1661">
        <v>812</v>
      </c>
      <c r="F1661">
        <v>0</v>
      </c>
      <c r="G1661">
        <v>5</v>
      </c>
      <c r="H1661">
        <v>0</v>
      </c>
      <c r="I1661" t="s">
        <v>32</v>
      </c>
      <c r="J1661">
        <v>0</v>
      </c>
      <c r="K1661">
        <v>39</v>
      </c>
      <c r="L1661" t="s">
        <v>24</v>
      </c>
      <c r="M1661" t="s">
        <v>31</v>
      </c>
      <c r="N1661" t="s">
        <v>26</v>
      </c>
      <c r="O1661" t="s">
        <v>36</v>
      </c>
      <c r="P1661">
        <v>0.3</v>
      </c>
      <c r="Q1661" s="2" t="b">
        <f>FALSE()</f>
        <v>0</v>
      </c>
      <c r="R1661">
        <v>0</v>
      </c>
    </row>
    <row r="1662" spans="1:18" x14ac:dyDescent="0.25">
      <c r="A1662">
        <v>201661</v>
      </c>
      <c r="B1662">
        <v>55860</v>
      </c>
      <c r="C1662" t="s">
        <v>34</v>
      </c>
      <c r="D1662">
        <v>3639.5</v>
      </c>
      <c r="E1662">
        <v>1480</v>
      </c>
      <c r="F1662">
        <v>1</v>
      </c>
      <c r="G1662">
        <v>4</v>
      </c>
      <c r="H1662">
        <v>1</v>
      </c>
      <c r="I1662" t="s">
        <v>19</v>
      </c>
      <c r="J1662">
        <v>0</v>
      </c>
      <c r="K1662">
        <v>65</v>
      </c>
      <c r="L1662" t="s">
        <v>24</v>
      </c>
      <c r="M1662" t="s">
        <v>37</v>
      </c>
      <c r="N1662" t="s">
        <v>22</v>
      </c>
      <c r="O1662" t="s">
        <v>27</v>
      </c>
      <c r="P1662">
        <v>5.7</v>
      </c>
      <c r="Q1662" s="2" t="b">
        <f>FALSE()</f>
        <v>0</v>
      </c>
      <c r="R1662">
        <v>1</v>
      </c>
    </row>
    <row r="1663" spans="1:18" x14ac:dyDescent="0.25">
      <c r="A1663">
        <v>201662</v>
      </c>
      <c r="B1663">
        <v>55925</v>
      </c>
      <c r="C1663" t="s">
        <v>18</v>
      </c>
      <c r="D1663">
        <v>5694.24</v>
      </c>
      <c r="E1663">
        <v>1869</v>
      </c>
      <c r="F1663">
        <v>2</v>
      </c>
      <c r="G1663">
        <v>5</v>
      </c>
      <c r="H1663">
        <v>0</v>
      </c>
      <c r="I1663" t="s">
        <v>33</v>
      </c>
      <c r="J1663">
        <v>0</v>
      </c>
      <c r="K1663">
        <v>46</v>
      </c>
      <c r="L1663" t="s">
        <v>24</v>
      </c>
      <c r="M1663" t="s">
        <v>29</v>
      </c>
      <c r="N1663" t="s">
        <v>22</v>
      </c>
      <c r="O1663" t="s">
        <v>36</v>
      </c>
      <c r="P1663">
        <v>4.6500000000000004</v>
      </c>
      <c r="Q1663" s="2" t="b">
        <f>FALSE()</f>
        <v>0</v>
      </c>
      <c r="R1663">
        <v>1</v>
      </c>
    </row>
    <row r="1664" spans="1:18" x14ac:dyDescent="0.25">
      <c r="A1664">
        <v>201663</v>
      </c>
      <c r="B1664">
        <v>50919</v>
      </c>
      <c r="C1664" t="s">
        <v>18</v>
      </c>
      <c r="D1664">
        <v>476.61</v>
      </c>
      <c r="E1664">
        <v>3497</v>
      </c>
      <c r="F1664">
        <v>1</v>
      </c>
      <c r="G1664">
        <v>6</v>
      </c>
      <c r="H1664">
        <v>0</v>
      </c>
      <c r="I1664" t="s">
        <v>33</v>
      </c>
      <c r="J1664">
        <v>1</v>
      </c>
      <c r="K1664">
        <v>27</v>
      </c>
      <c r="L1664" t="s">
        <v>24</v>
      </c>
      <c r="M1664" t="s">
        <v>29</v>
      </c>
      <c r="N1664" t="s">
        <v>30</v>
      </c>
      <c r="O1664" t="s">
        <v>36</v>
      </c>
      <c r="P1664">
        <v>2.09</v>
      </c>
      <c r="Q1664" s="2" t="b">
        <f>FALSE()</f>
        <v>0</v>
      </c>
      <c r="R1664">
        <v>0</v>
      </c>
    </row>
    <row r="1665" spans="1:18" x14ac:dyDescent="0.25">
      <c r="A1665">
        <v>201664</v>
      </c>
      <c r="B1665">
        <v>55439</v>
      </c>
      <c r="C1665" t="s">
        <v>28</v>
      </c>
      <c r="D1665">
        <v>3495.06</v>
      </c>
      <c r="E1665">
        <v>1129</v>
      </c>
      <c r="F1665">
        <v>0</v>
      </c>
      <c r="G1665">
        <v>3</v>
      </c>
      <c r="H1665">
        <v>0</v>
      </c>
      <c r="I1665" t="s">
        <v>33</v>
      </c>
      <c r="J1665">
        <v>1</v>
      </c>
      <c r="K1665">
        <v>65</v>
      </c>
      <c r="L1665" t="s">
        <v>24</v>
      </c>
      <c r="M1665" t="s">
        <v>29</v>
      </c>
      <c r="N1665" t="s">
        <v>26</v>
      </c>
      <c r="O1665" t="s">
        <v>27</v>
      </c>
      <c r="P1665">
        <v>1.83</v>
      </c>
      <c r="Q1665" s="2" t="b">
        <f>FALSE()</f>
        <v>0</v>
      </c>
      <c r="R1665">
        <v>0</v>
      </c>
    </row>
    <row r="1666" spans="1:18" x14ac:dyDescent="0.25">
      <c r="A1666">
        <v>201665</v>
      </c>
      <c r="B1666">
        <v>55154</v>
      </c>
      <c r="C1666" t="s">
        <v>18</v>
      </c>
      <c r="D1666">
        <v>1884.41</v>
      </c>
      <c r="E1666">
        <v>2987</v>
      </c>
      <c r="F1666">
        <v>0</v>
      </c>
      <c r="G1666">
        <v>6</v>
      </c>
      <c r="H1666">
        <v>0</v>
      </c>
      <c r="I1666" t="s">
        <v>19</v>
      </c>
      <c r="J1666">
        <v>0</v>
      </c>
      <c r="K1666">
        <v>75</v>
      </c>
      <c r="L1666" t="s">
        <v>24</v>
      </c>
      <c r="M1666" t="s">
        <v>21</v>
      </c>
      <c r="N1666" t="s">
        <v>22</v>
      </c>
      <c r="O1666" t="s">
        <v>36</v>
      </c>
      <c r="P1666">
        <v>1.1200000000000001</v>
      </c>
      <c r="Q1666" s="2" t="b">
        <f>FALSE()</f>
        <v>0</v>
      </c>
      <c r="R1666">
        <v>0</v>
      </c>
    </row>
    <row r="1667" spans="1:18" x14ac:dyDescent="0.25">
      <c r="A1667">
        <v>201666</v>
      </c>
      <c r="B1667">
        <v>52339</v>
      </c>
      <c r="C1667" t="s">
        <v>34</v>
      </c>
      <c r="D1667">
        <v>8461.5499999999993</v>
      </c>
      <c r="E1667">
        <v>3537</v>
      </c>
      <c r="F1667">
        <v>2</v>
      </c>
      <c r="G1667">
        <v>2</v>
      </c>
      <c r="H1667">
        <v>0</v>
      </c>
      <c r="I1667" t="s">
        <v>32</v>
      </c>
      <c r="J1667">
        <v>0</v>
      </c>
      <c r="K1667">
        <v>41</v>
      </c>
      <c r="L1667" t="s">
        <v>24</v>
      </c>
      <c r="M1667" t="s">
        <v>29</v>
      </c>
      <c r="N1667" t="s">
        <v>30</v>
      </c>
      <c r="O1667" t="s">
        <v>27</v>
      </c>
      <c r="P1667">
        <v>2.74</v>
      </c>
      <c r="Q1667" s="2" t="b">
        <f>TRUE()</f>
        <v>1</v>
      </c>
      <c r="R1667">
        <v>1</v>
      </c>
    </row>
    <row r="1668" spans="1:18" x14ac:dyDescent="0.25">
      <c r="A1668">
        <v>201667</v>
      </c>
      <c r="B1668">
        <v>52867</v>
      </c>
      <c r="C1668" t="s">
        <v>34</v>
      </c>
      <c r="D1668">
        <v>4994.71</v>
      </c>
      <c r="E1668">
        <v>422</v>
      </c>
      <c r="F1668">
        <v>1</v>
      </c>
      <c r="G1668">
        <v>1</v>
      </c>
      <c r="H1668">
        <v>0</v>
      </c>
      <c r="I1668" t="s">
        <v>32</v>
      </c>
      <c r="J1668">
        <v>0</v>
      </c>
      <c r="K1668">
        <v>43</v>
      </c>
      <c r="L1668" t="s">
        <v>24</v>
      </c>
      <c r="M1668" t="s">
        <v>35</v>
      </c>
      <c r="N1668" t="s">
        <v>22</v>
      </c>
      <c r="O1668" t="s">
        <v>27</v>
      </c>
      <c r="P1668">
        <v>10.09</v>
      </c>
      <c r="Q1668" s="2" t="b">
        <f>FALSE()</f>
        <v>0</v>
      </c>
      <c r="R1668">
        <v>1</v>
      </c>
    </row>
    <row r="1669" spans="1:18" x14ac:dyDescent="0.25">
      <c r="A1669">
        <v>201668</v>
      </c>
      <c r="B1669">
        <v>50165</v>
      </c>
      <c r="C1669" t="s">
        <v>34</v>
      </c>
      <c r="D1669">
        <v>1781.66</v>
      </c>
      <c r="E1669">
        <v>3210</v>
      </c>
      <c r="F1669">
        <v>6</v>
      </c>
      <c r="G1669">
        <v>6</v>
      </c>
      <c r="H1669">
        <v>1</v>
      </c>
      <c r="I1669" t="s">
        <v>32</v>
      </c>
      <c r="J1669">
        <v>0</v>
      </c>
      <c r="K1669">
        <v>29</v>
      </c>
      <c r="L1669" t="s">
        <v>20</v>
      </c>
      <c r="M1669" t="s">
        <v>35</v>
      </c>
      <c r="N1669" t="s">
        <v>22</v>
      </c>
      <c r="O1669" t="s">
        <v>36</v>
      </c>
      <c r="P1669">
        <v>3.16</v>
      </c>
      <c r="Q1669" s="2" t="b">
        <f>FALSE()</f>
        <v>0</v>
      </c>
      <c r="R1669">
        <v>1</v>
      </c>
    </row>
    <row r="1670" spans="1:18" x14ac:dyDescent="0.25">
      <c r="A1670">
        <v>201669</v>
      </c>
      <c r="B1670">
        <v>50283</v>
      </c>
      <c r="C1670" t="s">
        <v>28</v>
      </c>
      <c r="D1670">
        <v>1336.47</v>
      </c>
      <c r="E1670">
        <v>2175</v>
      </c>
      <c r="F1670">
        <v>0</v>
      </c>
      <c r="G1670">
        <v>2</v>
      </c>
      <c r="H1670">
        <v>0</v>
      </c>
      <c r="I1670" t="s">
        <v>33</v>
      </c>
      <c r="J1670">
        <v>0</v>
      </c>
      <c r="K1670">
        <v>61</v>
      </c>
      <c r="L1670" t="s">
        <v>20</v>
      </c>
      <c r="M1670" t="s">
        <v>21</v>
      </c>
      <c r="N1670" t="s">
        <v>22</v>
      </c>
      <c r="O1670" t="s">
        <v>27</v>
      </c>
      <c r="P1670">
        <v>1.62</v>
      </c>
      <c r="Q1670" s="2" t="b">
        <f>FALSE()</f>
        <v>0</v>
      </c>
      <c r="R1670">
        <v>0</v>
      </c>
    </row>
    <row r="1671" spans="1:18" x14ac:dyDescent="0.25">
      <c r="A1671">
        <v>201670</v>
      </c>
      <c r="B1671">
        <v>54137</v>
      </c>
      <c r="C1671" t="s">
        <v>18</v>
      </c>
      <c r="D1671">
        <v>74.599999999999994</v>
      </c>
      <c r="E1671">
        <v>2125</v>
      </c>
      <c r="F1671">
        <v>3</v>
      </c>
      <c r="G1671">
        <v>5</v>
      </c>
      <c r="H1671">
        <v>1</v>
      </c>
      <c r="I1671" t="s">
        <v>33</v>
      </c>
      <c r="J1671">
        <v>0</v>
      </c>
      <c r="K1671">
        <v>21</v>
      </c>
      <c r="L1671" t="s">
        <v>20</v>
      </c>
      <c r="M1671" t="s">
        <v>35</v>
      </c>
      <c r="N1671" t="s">
        <v>30</v>
      </c>
      <c r="O1671" t="s">
        <v>36</v>
      </c>
      <c r="P1671">
        <v>1.6</v>
      </c>
      <c r="Q1671" s="2" t="b">
        <f>FALSE()</f>
        <v>0</v>
      </c>
      <c r="R1671">
        <v>1</v>
      </c>
    </row>
    <row r="1672" spans="1:18" x14ac:dyDescent="0.25">
      <c r="A1672">
        <v>201671</v>
      </c>
      <c r="B1672">
        <v>51638</v>
      </c>
      <c r="C1672" t="s">
        <v>34</v>
      </c>
      <c r="D1672">
        <v>4285.75</v>
      </c>
      <c r="E1672">
        <v>2731</v>
      </c>
      <c r="F1672">
        <v>2</v>
      </c>
      <c r="G1672">
        <v>6</v>
      </c>
      <c r="H1672">
        <v>0</v>
      </c>
      <c r="I1672" t="s">
        <v>32</v>
      </c>
      <c r="J1672">
        <v>0</v>
      </c>
      <c r="K1672">
        <v>26</v>
      </c>
      <c r="L1672" t="s">
        <v>24</v>
      </c>
      <c r="M1672" t="s">
        <v>35</v>
      </c>
      <c r="N1672" t="s">
        <v>22</v>
      </c>
      <c r="O1672" t="s">
        <v>36</v>
      </c>
      <c r="P1672">
        <v>10.19</v>
      </c>
      <c r="Q1672" s="2" t="b">
        <f>FALSE()</f>
        <v>0</v>
      </c>
      <c r="R1672">
        <v>1</v>
      </c>
    </row>
    <row r="1673" spans="1:18" x14ac:dyDescent="0.25">
      <c r="A1673">
        <v>201672</v>
      </c>
      <c r="B1673">
        <v>55428</v>
      </c>
      <c r="C1673" t="s">
        <v>34</v>
      </c>
      <c r="D1673">
        <v>3119.6</v>
      </c>
      <c r="E1673">
        <v>1931</v>
      </c>
      <c r="F1673">
        <v>0</v>
      </c>
      <c r="G1673">
        <v>3</v>
      </c>
      <c r="H1673">
        <v>0</v>
      </c>
      <c r="I1673" t="s">
        <v>33</v>
      </c>
      <c r="J1673">
        <v>0</v>
      </c>
      <c r="K1673">
        <v>31</v>
      </c>
      <c r="L1673" t="s">
        <v>24</v>
      </c>
      <c r="M1673" t="s">
        <v>31</v>
      </c>
      <c r="N1673" t="s">
        <v>30</v>
      </c>
      <c r="O1673" t="s">
        <v>27</v>
      </c>
      <c r="P1673">
        <v>1.08</v>
      </c>
      <c r="Q1673" s="2" t="b">
        <f>FALSE()</f>
        <v>0</v>
      </c>
      <c r="R1673">
        <v>0</v>
      </c>
    </row>
    <row r="1674" spans="1:18" x14ac:dyDescent="0.25">
      <c r="A1674">
        <v>201673</v>
      </c>
      <c r="B1674">
        <v>52512</v>
      </c>
      <c r="C1674" t="s">
        <v>34</v>
      </c>
      <c r="D1674">
        <v>3654.44</v>
      </c>
      <c r="E1674">
        <v>2179</v>
      </c>
      <c r="F1674">
        <v>0</v>
      </c>
      <c r="G1674">
        <v>2</v>
      </c>
      <c r="H1674">
        <v>0</v>
      </c>
      <c r="I1674" t="s">
        <v>33</v>
      </c>
      <c r="J1674">
        <v>0</v>
      </c>
      <c r="K1674">
        <v>72</v>
      </c>
      <c r="L1674" t="s">
        <v>24</v>
      </c>
      <c r="M1674" t="s">
        <v>37</v>
      </c>
      <c r="N1674" t="s">
        <v>22</v>
      </c>
      <c r="O1674" t="s">
        <v>36</v>
      </c>
      <c r="P1674">
        <v>1.92</v>
      </c>
      <c r="Q1674" s="2" t="b">
        <f>FALSE()</f>
        <v>0</v>
      </c>
      <c r="R1674">
        <v>1</v>
      </c>
    </row>
    <row r="1675" spans="1:18" x14ac:dyDescent="0.25">
      <c r="A1675">
        <v>201674</v>
      </c>
      <c r="B1675">
        <v>53934</v>
      </c>
      <c r="C1675" t="s">
        <v>18</v>
      </c>
      <c r="D1675">
        <v>5101.13</v>
      </c>
      <c r="E1675">
        <v>848</v>
      </c>
      <c r="F1675">
        <v>0</v>
      </c>
      <c r="G1675">
        <v>2</v>
      </c>
      <c r="H1675">
        <v>0</v>
      </c>
      <c r="I1675" t="s">
        <v>33</v>
      </c>
      <c r="J1675">
        <v>0</v>
      </c>
      <c r="K1675">
        <v>68</v>
      </c>
      <c r="L1675" t="s">
        <v>24</v>
      </c>
      <c r="M1675" t="s">
        <v>25</v>
      </c>
      <c r="N1675" t="s">
        <v>30</v>
      </c>
      <c r="O1675" t="s">
        <v>23</v>
      </c>
      <c r="P1675">
        <v>3.2</v>
      </c>
      <c r="Q1675" s="2" t="b">
        <f>FALSE()</f>
        <v>0</v>
      </c>
      <c r="R1675">
        <v>1</v>
      </c>
    </row>
    <row r="1676" spans="1:18" x14ac:dyDescent="0.25">
      <c r="A1676">
        <v>201675</v>
      </c>
      <c r="B1676">
        <v>55531</v>
      </c>
      <c r="C1676" t="s">
        <v>18</v>
      </c>
      <c r="D1676">
        <v>1219.26</v>
      </c>
      <c r="E1676">
        <v>2321</v>
      </c>
      <c r="F1676">
        <v>1</v>
      </c>
      <c r="G1676">
        <v>3</v>
      </c>
      <c r="H1676">
        <v>0</v>
      </c>
      <c r="I1676" t="s">
        <v>19</v>
      </c>
      <c r="J1676">
        <v>0</v>
      </c>
      <c r="K1676">
        <v>81</v>
      </c>
      <c r="L1676" t="s">
        <v>24</v>
      </c>
      <c r="M1676" t="s">
        <v>37</v>
      </c>
      <c r="N1676" t="s">
        <v>22</v>
      </c>
      <c r="O1676" t="s">
        <v>36</v>
      </c>
      <c r="P1676">
        <v>5.83</v>
      </c>
      <c r="Q1676" s="2" t="b">
        <f>FALSE()</f>
        <v>0</v>
      </c>
      <c r="R1676">
        <v>0</v>
      </c>
    </row>
    <row r="1677" spans="1:18" x14ac:dyDescent="0.25">
      <c r="A1677">
        <v>201676</v>
      </c>
      <c r="B1677">
        <v>52170</v>
      </c>
      <c r="C1677" t="s">
        <v>18</v>
      </c>
      <c r="D1677">
        <v>4170.09</v>
      </c>
      <c r="E1677">
        <v>3631</v>
      </c>
      <c r="F1677">
        <v>1</v>
      </c>
      <c r="G1677">
        <v>2</v>
      </c>
      <c r="H1677">
        <v>0</v>
      </c>
      <c r="I1677" t="s">
        <v>19</v>
      </c>
      <c r="J1677">
        <v>0</v>
      </c>
      <c r="K1677">
        <v>35</v>
      </c>
      <c r="L1677" t="s">
        <v>24</v>
      </c>
      <c r="M1677" t="s">
        <v>21</v>
      </c>
      <c r="N1677" t="s">
        <v>22</v>
      </c>
      <c r="O1677" t="s">
        <v>36</v>
      </c>
      <c r="P1677">
        <v>1.1200000000000001</v>
      </c>
      <c r="Q1677" s="2" t="b">
        <f>FALSE()</f>
        <v>0</v>
      </c>
      <c r="R1677">
        <v>1</v>
      </c>
    </row>
    <row r="1678" spans="1:18" x14ac:dyDescent="0.25">
      <c r="A1678">
        <v>201677</v>
      </c>
      <c r="B1678">
        <v>52963</v>
      </c>
      <c r="C1678" t="s">
        <v>28</v>
      </c>
      <c r="D1678">
        <v>4879.17</v>
      </c>
      <c r="E1678">
        <v>2754</v>
      </c>
      <c r="F1678">
        <v>1</v>
      </c>
      <c r="G1678">
        <v>4</v>
      </c>
      <c r="H1678">
        <v>0</v>
      </c>
      <c r="I1678" t="s">
        <v>33</v>
      </c>
      <c r="J1678">
        <v>0</v>
      </c>
      <c r="K1678">
        <v>83</v>
      </c>
      <c r="L1678" t="s">
        <v>20</v>
      </c>
      <c r="M1678" t="s">
        <v>29</v>
      </c>
      <c r="N1678" t="s">
        <v>30</v>
      </c>
      <c r="O1678" t="s">
        <v>36</v>
      </c>
      <c r="P1678">
        <v>3.51</v>
      </c>
      <c r="Q1678" s="2" t="b">
        <f>FALSE()</f>
        <v>0</v>
      </c>
      <c r="R1678">
        <v>1</v>
      </c>
    </row>
    <row r="1679" spans="1:18" x14ac:dyDescent="0.25">
      <c r="A1679">
        <v>201678</v>
      </c>
      <c r="B1679">
        <v>50229</v>
      </c>
      <c r="C1679" t="s">
        <v>28</v>
      </c>
      <c r="D1679">
        <v>2700.16</v>
      </c>
      <c r="E1679">
        <v>13</v>
      </c>
      <c r="F1679">
        <v>1</v>
      </c>
      <c r="G1679">
        <v>5</v>
      </c>
      <c r="H1679">
        <v>0</v>
      </c>
      <c r="I1679" t="s">
        <v>33</v>
      </c>
      <c r="J1679">
        <v>0</v>
      </c>
      <c r="K1679">
        <v>41</v>
      </c>
      <c r="L1679" t="s">
        <v>20</v>
      </c>
      <c r="M1679" t="s">
        <v>25</v>
      </c>
      <c r="N1679" t="s">
        <v>30</v>
      </c>
      <c r="O1679" t="s">
        <v>36</v>
      </c>
      <c r="P1679">
        <v>2.99</v>
      </c>
      <c r="Q1679" s="2" t="b">
        <f>FALSE()</f>
        <v>0</v>
      </c>
      <c r="R1679">
        <v>0</v>
      </c>
    </row>
    <row r="1680" spans="1:18" x14ac:dyDescent="0.25">
      <c r="A1680">
        <v>201679</v>
      </c>
      <c r="B1680">
        <v>51855</v>
      </c>
      <c r="C1680" t="s">
        <v>18</v>
      </c>
      <c r="D1680">
        <v>742.54</v>
      </c>
      <c r="E1680">
        <v>2500</v>
      </c>
      <c r="F1680">
        <v>1</v>
      </c>
      <c r="G1680">
        <v>6</v>
      </c>
      <c r="H1680">
        <v>0</v>
      </c>
      <c r="I1680" t="s">
        <v>33</v>
      </c>
      <c r="J1680">
        <v>0</v>
      </c>
      <c r="K1680">
        <v>46</v>
      </c>
      <c r="L1680" t="s">
        <v>24</v>
      </c>
      <c r="M1680" t="s">
        <v>25</v>
      </c>
      <c r="N1680" t="s">
        <v>30</v>
      </c>
      <c r="O1680" t="s">
        <v>27</v>
      </c>
      <c r="P1680">
        <v>0.4</v>
      </c>
      <c r="Q1680" s="2" t="b">
        <f>FALSE()</f>
        <v>0</v>
      </c>
      <c r="R1680">
        <v>0</v>
      </c>
    </row>
    <row r="1681" spans="1:18" x14ac:dyDescent="0.25">
      <c r="A1681">
        <v>201680</v>
      </c>
      <c r="B1681">
        <v>54525</v>
      </c>
      <c r="C1681" t="s">
        <v>34</v>
      </c>
      <c r="D1681">
        <v>1032.3800000000001</v>
      </c>
      <c r="E1681">
        <v>3235</v>
      </c>
      <c r="F1681">
        <v>1</v>
      </c>
      <c r="G1681">
        <v>4</v>
      </c>
      <c r="H1681">
        <v>0</v>
      </c>
      <c r="I1681" t="s">
        <v>33</v>
      </c>
      <c r="J1681">
        <v>0</v>
      </c>
      <c r="K1681">
        <v>70</v>
      </c>
      <c r="L1681" t="s">
        <v>24</v>
      </c>
      <c r="M1681" t="s">
        <v>31</v>
      </c>
      <c r="N1681" t="s">
        <v>22</v>
      </c>
      <c r="O1681" t="s">
        <v>27</v>
      </c>
      <c r="P1681">
        <v>2.1800000000000002</v>
      </c>
      <c r="Q1681" s="2" t="b">
        <f>FALSE()</f>
        <v>0</v>
      </c>
      <c r="R1681">
        <v>0</v>
      </c>
    </row>
    <row r="1682" spans="1:18" x14ac:dyDescent="0.25">
      <c r="A1682">
        <v>201681</v>
      </c>
      <c r="B1682">
        <v>50950</v>
      </c>
      <c r="C1682" t="s">
        <v>18</v>
      </c>
      <c r="D1682">
        <v>4007.71</v>
      </c>
      <c r="E1682">
        <v>2694</v>
      </c>
      <c r="F1682">
        <v>1</v>
      </c>
      <c r="G1682">
        <v>2</v>
      </c>
      <c r="H1682">
        <v>0</v>
      </c>
      <c r="I1682" t="s">
        <v>32</v>
      </c>
      <c r="J1682">
        <v>0</v>
      </c>
      <c r="K1682">
        <v>28</v>
      </c>
      <c r="L1682" t="s">
        <v>24</v>
      </c>
      <c r="M1682" t="s">
        <v>35</v>
      </c>
      <c r="N1682" t="s">
        <v>30</v>
      </c>
      <c r="O1682" t="s">
        <v>23</v>
      </c>
      <c r="P1682">
        <v>2.66</v>
      </c>
      <c r="Q1682" s="2" t="b">
        <f>FALSE()</f>
        <v>0</v>
      </c>
      <c r="R1682">
        <v>1</v>
      </c>
    </row>
    <row r="1683" spans="1:18" x14ac:dyDescent="0.25">
      <c r="A1683">
        <v>201682</v>
      </c>
      <c r="B1683">
        <v>51776</v>
      </c>
      <c r="C1683" t="s">
        <v>34</v>
      </c>
      <c r="D1683">
        <v>224.24</v>
      </c>
      <c r="E1683">
        <v>2790</v>
      </c>
      <c r="F1683">
        <v>3</v>
      </c>
      <c r="G1683">
        <v>4</v>
      </c>
      <c r="H1683">
        <v>1</v>
      </c>
      <c r="I1683" t="s">
        <v>32</v>
      </c>
      <c r="J1683">
        <v>0</v>
      </c>
      <c r="K1683">
        <v>63</v>
      </c>
      <c r="L1683" t="s">
        <v>24</v>
      </c>
      <c r="M1683" t="s">
        <v>21</v>
      </c>
      <c r="N1683" t="s">
        <v>22</v>
      </c>
      <c r="O1683" t="s">
        <v>23</v>
      </c>
      <c r="P1683">
        <v>0.21</v>
      </c>
      <c r="Q1683" s="2" t="b">
        <f>FALSE()</f>
        <v>0</v>
      </c>
      <c r="R1683">
        <v>1</v>
      </c>
    </row>
    <row r="1684" spans="1:18" x14ac:dyDescent="0.25">
      <c r="A1684">
        <v>201683</v>
      </c>
      <c r="B1684">
        <v>53716</v>
      </c>
      <c r="C1684" t="s">
        <v>34</v>
      </c>
      <c r="D1684">
        <v>3370.57</v>
      </c>
      <c r="E1684">
        <v>2816</v>
      </c>
      <c r="F1684">
        <v>2</v>
      </c>
      <c r="G1684">
        <v>6</v>
      </c>
      <c r="H1684">
        <v>1</v>
      </c>
      <c r="I1684" t="s">
        <v>33</v>
      </c>
      <c r="J1684">
        <v>0</v>
      </c>
      <c r="K1684">
        <v>18</v>
      </c>
      <c r="L1684" t="s">
        <v>20</v>
      </c>
      <c r="M1684" t="s">
        <v>37</v>
      </c>
      <c r="N1684" t="s">
        <v>30</v>
      </c>
      <c r="O1684" t="s">
        <v>23</v>
      </c>
      <c r="P1684">
        <v>1.84</v>
      </c>
      <c r="Q1684" s="2" t="b">
        <f>FALSE()</f>
        <v>0</v>
      </c>
      <c r="R1684">
        <v>0</v>
      </c>
    </row>
    <row r="1685" spans="1:18" x14ac:dyDescent="0.25">
      <c r="A1685">
        <v>201684</v>
      </c>
      <c r="B1685">
        <v>54142</v>
      </c>
      <c r="C1685" t="s">
        <v>18</v>
      </c>
      <c r="D1685">
        <v>4664.1099999999997</v>
      </c>
      <c r="E1685">
        <v>2888</v>
      </c>
      <c r="F1685">
        <v>1</v>
      </c>
      <c r="G1685">
        <v>4</v>
      </c>
      <c r="H1685">
        <v>1</v>
      </c>
      <c r="I1685" t="s">
        <v>33</v>
      </c>
      <c r="J1685">
        <v>0</v>
      </c>
      <c r="K1685">
        <v>53</v>
      </c>
      <c r="L1685" t="s">
        <v>24</v>
      </c>
      <c r="M1685" t="s">
        <v>35</v>
      </c>
      <c r="N1685" t="s">
        <v>22</v>
      </c>
      <c r="O1685" t="s">
        <v>27</v>
      </c>
      <c r="P1685">
        <v>0.61</v>
      </c>
      <c r="Q1685" s="2" t="b">
        <f>FALSE()</f>
        <v>0</v>
      </c>
      <c r="R1685">
        <v>1</v>
      </c>
    </row>
    <row r="1686" spans="1:18" x14ac:dyDescent="0.25">
      <c r="A1686">
        <v>201685</v>
      </c>
      <c r="B1686">
        <v>50623</v>
      </c>
      <c r="C1686" t="s">
        <v>18</v>
      </c>
      <c r="D1686">
        <v>5369.15</v>
      </c>
      <c r="E1686">
        <v>2700</v>
      </c>
      <c r="F1686">
        <v>0</v>
      </c>
      <c r="G1686">
        <v>7</v>
      </c>
      <c r="H1686">
        <v>0</v>
      </c>
      <c r="I1686" t="s">
        <v>19</v>
      </c>
      <c r="J1686">
        <v>1</v>
      </c>
      <c r="K1686">
        <v>40</v>
      </c>
      <c r="L1686" t="s">
        <v>20</v>
      </c>
      <c r="M1686" t="s">
        <v>21</v>
      </c>
      <c r="N1686" t="s">
        <v>30</v>
      </c>
      <c r="O1686" t="s">
        <v>36</v>
      </c>
      <c r="P1686">
        <v>0.02</v>
      </c>
      <c r="Q1686" s="2" t="b">
        <f>FALSE()</f>
        <v>0</v>
      </c>
      <c r="R1686">
        <v>1</v>
      </c>
    </row>
    <row r="1687" spans="1:18" x14ac:dyDescent="0.25">
      <c r="A1687">
        <v>201686</v>
      </c>
      <c r="B1687">
        <v>52583</v>
      </c>
      <c r="C1687" t="s">
        <v>18</v>
      </c>
      <c r="D1687">
        <v>1270.98</v>
      </c>
      <c r="E1687">
        <v>2976</v>
      </c>
      <c r="F1687">
        <v>2</v>
      </c>
      <c r="G1687">
        <v>1</v>
      </c>
      <c r="H1687">
        <v>0</v>
      </c>
      <c r="I1687" t="s">
        <v>19</v>
      </c>
      <c r="J1687">
        <v>0</v>
      </c>
      <c r="K1687">
        <v>70</v>
      </c>
      <c r="L1687" t="s">
        <v>24</v>
      </c>
      <c r="M1687" t="s">
        <v>35</v>
      </c>
      <c r="N1687" t="s">
        <v>26</v>
      </c>
      <c r="O1687" t="s">
        <v>23</v>
      </c>
      <c r="P1687">
        <v>10.36</v>
      </c>
      <c r="Q1687" s="2" t="b">
        <f>FALSE()</f>
        <v>0</v>
      </c>
      <c r="R1687">
        <v>0</v>
      </c>
    </row>
    <row r="1688" spans="1:18" x14ac:dyDescent="0.25">
      <c r="A1688">
        <v>201687</v>
      </c>
      <c r="B1688">
        <v>53734</v>
      </c>
      <c r="C1688" t="s">
        <v>34</v>
      </c>
      <c r="D1688">
        <v>4896.46</v>
      </c>
      <c r="E1688">
        <v>2856</v>
      </c>
      <c r="F1688">
        <v>0</v>
      </c>
      <c r="G1688">
        <v>4</v>
      </c>
      <c r="H1688">
        <v>1</v>
      </c>
      <c r="I1688" t="s">
        <v>19</v>
      </c>
      <c r="J1688">
        <v>0</v>
      </c>
      <c r="K1688">
        <v>30</v>
      </c>
      <c r="L1688" t="s">
        <v>20</v>
      </c>
      <c r="M1688" t="s">
        <v>21</v>
      </c>
      <c r="N1688" t="s">
        <v>30</v>
      </c>
      <c r="O1688" t="s">
        <v>36</v>
      </c>
      <c r="P1688">
        <v>4.7300000000000004</v>
      </c>
      <c r="Q1688" s="2" t="b">
        <f>FALSE()</f>
        <v>0</v>
      </c>
      <c r="R1688">
        <v>1</v>
      </c>
    </row>
    <row r="1689" spans="1:18" x14ac:dyDescent="0.25">
      <c r="A1689">
        <v>201688</v>
      </c>
      <c r="B1689">
        <v>51669</v>
      </c>
      <c r="C1689" t="s">
        <v>18</v>
      </c>
      <c r="D1689">
        <v>592.34</v>
      </c>
      <c r="E1689">
        <v>3144</v>
      </c>
      <c r="F1689">
        <v>4</v>
      </c>
      <c r="G1689">
        <v>3</v>
      </c>
      <c r="H1689">
        <v>0</v>
      </c>
      <c r="I1689" t="s">
        <v>19</v>
      </c>
      <c r="J1689">
        <v>0</v>
      </c>
      <c r="K1689">
        <v>53</v>
      </c>
      <c r="L1689" t="s">
        <v>24</v>
      </c>
      <c r="M1689" t="s">
        <v>21</v>
      </c>
      <c r="N1689" t="s">
        <v>22</v>
      </c>
      <c r="O1689" t="s">
        <v>23</v>
      </c>
      <c r="P1689">
        <v>2.14</v>
      </c>
      <c r="Q1689" s="2" t="b">
        <f>FALSE()</f>
        <v>0</v>
      </c>
      <c r="R1689">
        <v>1</v>
      </c>
    </row>
    <row r="1690" spans="1:18" x14ac:dyDescent="0.25">
      <c r="A1690">
        <v>201689</v>
      </c>
      <c r="B1690">
        <v>51484</v>
      </c>
      <c r="C1690" t="s">
        <v>34</v>
      </c>
      <c r="D1690">
        <v>4847.54</v>
      </c>
      <c r="E1690">
        <v>1635</v>
      </c>
      <c r="F1690">
        <v>2</v>
      </c>
      <c r="G1690">
        <v>5</v>
      </c>
      <c r="H1690">
        <v>1</v>
      </c>
      <c r="I1690" t="s">
        <v>32</v>
      </c>
      <c r="J1690">
        <v>0</v>
      </c>
      <c r="K1690">
        <v>40</v>
      </c>
      <c r="L1690" t="s">
        <v>24</v>
      </c>
      <c r="M1690" t="s">
        <v>37</v>
      </c>
      <c r="N1690" t="s">
        <v>30</v>
      </c>
      <c r="O1690" t="s">
        <v>36</v>
      </c>
      <c r="P1690">
        <v>0.34</v>
      </c>
      <c r="Q1690" s="2" t="b">
        <f>FALSE()</f>
        <v>0</v>
      </c>
      <c r="R1690">
        <v>1</v>
      </c>
    </row>
    <row r="1691" spans="1:18" x14ac:dyDescent="0.25">
      <c r="A1691">
        <v>201690</v>
      </c>
      <c r="B1691">
        <v>52148</v>
      </c>
      <c r="C1691" t="s">
        <v>34</v>
      </c>
      <c r="D1691">
        <v>4087.39</v>
      </c>
      <c r="E1691">
        <v>3098</v>
      </c>
      <c r="F1691">
        <v>2</v>
      </c>
      <c r="G1691">
        <v>6</v>
      </c>
      <c r="H1691">
        <v>0</v>
      </c>
      <c r="I1691" t="s">
        <v>33</v>
      </c>
      <c r="J1691">
        <v>0</v>
      </c>
      <c r="K1691">
        <v>24</v>
      </c>
      <c r="L1691" t="s">
        <v>20</v>
      </c>
      <c r="M1691" t="s">
        <v>37</v>
      </c>
      <c r="N1691" t="s">
        <v>30</v>
      </c>
      <c r="O1691" t="s">
        <v>27</v>
      </c>
      <c r="P1691">
        <v>4.9800000000000004</v>
      </c>
      <c r="Q1691" s="2" t="b">
        <f>FALSE()</f>
        <v>0</v>
      </c>
      <c r="R1691">
        <v>1</v>
      </c>
    </row>
    <row r="1692" spans="1:18" x14ac:dyDescent="0.25">
      <c r="A1692">
        <v>201691</v>
      </c>
      <c r="B1692">
        <v>51631</v>
      </c>
      <c r="C1692" t="s">
        <v>34</v>
      </c>
      <c r="D1692">
        <v>4970.0600000000004</v>
      </c>
      <c r="E1692">
        <v>1698</v>
      </c>
      <c r="F1692">
        <v>1</v>
      </c>
      <c r="G1692">
        <v>5</v>
      </c>
      <c r="H1692">
        <v>0</v>
      </c>
      <c r="I1692" t="s">
        <v>33</v>
      </c>
      <c r="J1692">
        <v>0</v>
      </c>
      <c r="K1692">
        <v>50</v>
      </c>
      <c r="L1692" t="s">
        <v>24</v>
      </c>
      <c r="M1692" t="s">
        <v>35</v>
      </c>
      <c r="N1692" t="s">
        <v>22</v>
      </c>
      <c r="O1692" t="s">
        <v>27</v>
      </c>
      <c r="P1692">
        <v>1.24</v>
      </c>
      <c r="Q1692" s="2" t="b">
        <f>FALSE()</f>
        <v>0</v>
      </c>
      <c r="R1692">
        <v>1</v>
      </c>
    </row>
    <row r="1693" spans="1:18" x14ac:dyDescent="0.25">
      <c r="A1693">
        <v>201692</v>
      </c>
      <c r="B1693">
        <v>53846</v>
      </c>
      <c r="C1693" t="s">
        <v>28</v>
      </c>
      <c r="D1693">
        <v>2858.36</v>
      </c>
      <c r="E1693">
        <v>1803</v>
      </c>
      <c r="F1693">
        <v>1</v>
      </c>
      <c r="G1693">
        <v>3</v>
      </c>
      <c r="H1693">
        <v>0</v>
      </c>
      <c r="I1693" t="s">
        <v>33</v>
      </c>
      <c r="J1693">
        <v>0</v>
      </c>
      <c r="K1693">
        <v>30</v>
      </c>
      <c r="L1693" t="s">
        <v>24</v>
      </c>
      <c r="M1693" t="s">
        <v>35</v>
      </c>
      <c r="N1693" t="s">
        <v>30</v>
      </c>
      <c r="O1693" t="s">
        <v>27</v>
      </c>
      <c r="P1693">
        <v>1.26</v>
      </c>
      <c r="Q1693" s="2" t="b">
        <f>FALSE()</f>
        <v>0</v>
      </c>
      <c r="R1693">
        <v>0</v>
      </c>
    </row>
    <row r="1694" spans="1:18" x14ac:dyDescent="0.25">
      <c r="A1694">
        <v>201693</v>
      </c>
      <c r="B1694">
        <v>52181</v>
      </c>
      <c r="C1694" t="s">
        <v>18</v>
      </c>
      <c r="D1694">
        <v>8730.9699999999993</v>
      </c>
      <c r="E1694">
        <v>1382</v>
      </c>
      <c r="F1694">
        <v>0</v>
      </c>
      <c r="G1694">
        <v>2</v>
      </c>
      <c r="H1694">
        <v>0</v>
      </c>
      <c r="I1694" t="s">
        <v>33</v>
      </c>
      <c r="J1694">
        <v>0</v>
      </c>
      <c r="K1694">
        <v>21</v>
      </c>
      <c r="L1694" t="s">
        <v>24</v>
      </c>
      <c r="M1694" t="s">
        <v>29</v>
      </c>
      <c r="N1694" t="s">
        <v>22</v>
      </c>
      <c r="O1694" t="s">
        <v>36</v>
      </c>
      <c r="P1694">
        <v>0.47</v>
      </c>
      <c r="Q1694" s="2" t="b">
        <f>TRUE()</f>
        <v>1</v>
      </c>
      <c r="R1694">
        <v>1</v>
      </c>
    </row>
    <row r="1695" spans="1:18" x14ac:dyDescent="0.25">
      <c r="A1695">
        <v>201694</v>
      </c>
      <c r="B1695">
        <v>55642</v>
      </c>
      <c r="C1695" t="s">
        <v>18</v>
      </c>
      <c r="D1695">
        <v>1011.59</v>
      </c>
      <c r="E1695">
        <v>3577</v>
      </c>
      <c r="F1695">
        <v>0</v>
      </c>
      <c r="G1695">
        <v>1</v>
      </c>
      <c r="H1695">
        <v>0</v>
      </c>
      <c r="I1695" t="s">
        <v>32</v>
      </c>
      <c r="J1695">
        <v>0</v>
      </c>
      <c r="K1695">
        <v>66</v>
      </c>
      <c r="L1695" t="s">
        <v>20</v>
      </c>
      <c r="M1695" t="s">
        <v>29</v>
      </c>
      <c r="N1695" t="s">
        <v>22</v>
      </c>
      <c r="O1695" t="s">
        <v>23</v>
      </c>
      <c r="P1695">
        <v>1.85</v>
      </c>
      <c r="Q1695" s="2" t="b">
        <f>FALSE()</f>
        <v>0</v>
      </c>
      <c r="R1695">
        <v>0</v>
      </c>
    </row>
    <row r="1696" spans="1:18" x14ac:dyDescent="0.25">
      <c r="A1696">
        <v>201695</v>
      </c>
      <c r="B1696">
        <v>54580</v>
      </c>
      <c r="C1696" t="s">
        <v>34</v>
      </c>
      <c r="D1696">
        <v>3485.45</v>
      </c>
      <c r="E1696">
        <v>3309</v>
      </c>
      <c r="F1696">
        <v>1</v>
      </c>
      <c r="G1696">
        <v>3</v>
      </c>
      <c r="H1696">
        <v>0</v>
      </c>
      <c r="I1696" t="s">
        <v>33</v>
      </c>
      <c r="J1696">
        <v>0</v>
      </c>
      <c r="K1696">
        <v>41</v>
      </c>
      <c r="L1696" t="s">
        <v>20</v>
      </c>
      <c r="M1696" t="s">
        <v>31</v>
      </c>
      <c r="N1696" t="s">
        <v>22</v>
      </c>
      <c r="O1696" t="s">
        <v>36</v>
      </c>
      <c r="P1696">
        <v>0.21</v>
      </c>
      <c r="Q1696" s="2" t="b">
        <f>FALSE()</f>
        <v>0</v>
      </c>
      <c r="R1696">
        <v>0</v>
      </c>
    </row>
    <row r="1697" spans="1:18" x14ac:dyDescent="0.25">
      <c r="A1697">
        <v>201696</v>
      </c>
      <c r="B1697">
        <v>52420</v>
      </c>
      <c r="C1697" t="s">
        <v>34</v>
      </c>
      <c r="D1697">
        <v>3914.77</v>
      </c>
      <c r="E1697">
        <v>79</v>
      </c>
      <c r="F1697">
        <v>2</v>
      </c>
      <c r="G1697">
        <v>2</v>
      </c>
      <c r="H1697">
        <v>0</v>
      </c>
      <c r="I1697" t="s">
        <v>33</v>
      </c>
      <c r="J1697">
        <v>0</v>
      </c>
      <c r="K1697">
        <v>80</v>
      </c>
      <c r="L1697" t="s">
        <v>24</v>
      </c>
      <c r="M1697" t="s">
        <v>25</v>
      </c>
      <c r="N1697" t="s">
        <v>30</v>
      </c>
      <c r="O1697" t="s">
        <v>36</v>
      </c>
      <c r="P1697">
        <v>4.32</v>
      </c>
      <c r="Q1697" s="2" t="b">
        <f>FALSE()</f>
        <v>0</v>
      </c>
      <c r="R1697">
        <v>1</v>
      </c>
    </row>
    <row r="1698" spans="1:18" x14ac:dyDescent="0.25">
      <c r="A1698">
        <v>201697</v>
      </c>
      <c r="B1698">
        <v>55880</v>
      </c>
      <c r="C1698" t="s">
        <v>34</v>
      </c>
      <c r="D1698">
        <v>3732.53</v>
      </c>
      <c r="E1698">
        <v>3484</v>
      </c>
      <c r="F1698">
        <v>0</v>
      </c>
      <c r="G1698">
        <v>4</v>
      </c>
      <c r="H1698">
        <v>0</v>
      </c>
      <c r="I1698" t="s">
        <v>33</v>
      </c>
      <c r="J1698">
        <v>0</v>
      </c>
      <c r="K1698">
        <v>25</v>
      </c>
      <c r="L1698" t="s">
        <v>20</v>
      </c>
      <c r="M1698" t="s">
        <v>29</v>
      </c>
      <c r="N1698" t="s">
        <v>26</v>
      </c>
      <c r="O1698" t="s">
        <v>27</v>
      </c>
      <c r="P1698">
        <v>2.2400000000000002</v>
      </c>
      <c r="Q1698" s="2" t="b">
        <f>FALSE()</f>
        <v>0</v>
      </c>
      <c r="R1698">
        <v>1</v>
      </c>
    </row>
    <row r="1699" spans="1:18" x14ac:dyDescent="0.25">
      <c r="A1699">
        <v>201698</v>
      </c>
      <c r="B1699">
        <v>53616</v>
      </c>
      <c r="C1699" t="s">
        <v>18</v>
      </c>
      <c r="D1699">
        <v>5500.8</v>
      </c>
      <c r="E1699">
        <v>1836</v>
      </c>
      <c r="F1699">
        <v>0</v>
      </c>
      <c r="G1699">
        <v>4</v>
      </c>
      <c r="H1699">
        <v>1</v>
      </c>
      <c r="I1699" t="s">
        <v>33</v>
      </c>
      <c r="J1699">
        <v>0</v>
      </c>
      <c r="K1699">
        <v>23</v>
      </c>
      <c r="L1699" t="s">
        <v>24</v>
      </c>
      <c r="M1699" t="s">
        <v>29</v>
      </c>
      <c r="N1699" t="s">
        <v>30</v>
      </c>
      <c r="O1699" t="s">
        <v>23</v>
      </c>
      <c r="P1699">
        <v>5.26</v>
      </c>
      <c r="Q1699" s="2" t="b">
        <f>FALSE()</f>
        <v>0</v>
      </c>
      <c r="R1699">
        <v>1</v>
      </c>
    </row>
    <row r="1700" spans="1:18" x14ac:dyDescent="0.25">
      <c r="A1700">
        <v>201699</v>
      </c>
      <c r="B1700">
        <v>55616</v>
      </c>
      <c r="C1700" t="s">
        <v>18</v>
      </c>
      <c r="D1700">
        <v>1863.99</v>
      </c>
      <c r="E1700">
        <v>61</v>
      </c>
      <c r="F1700">
        <v>1</v>
      </c>
      <c r="G1700">
        <v>3</v>
      </c>
      <c r="H1700">
        <v>1</v>
      </c>
      <c r="I1700" t="s">
        <v>33</v>
      </c>
      <c r="J1700">
        <v>0</v>
      </c>
      <c r="K1700">
        <v>21</v>
      </c>
      <c r="L1700" t="s">
        <v>24</v>
      </c>
      <c r="M1700" t="s">
        <v>31</v>
      </c>
      <c r="N1700" t="s">
        <v>22</v>
      </c>
      <c r="O1700" t="s">
        <v>36</v>
      </c>
      <c r="P1700">
        <v>2.16</v>
      </c>
      <c r="Q1700" s="2" t="b">
        <f>FALSE()</f>
        <v>0</v>
      </c>
      <c r="R1700">
        <v>0</v>
      </c>
    </row>
    <row r="1701" spans="1:18" x14ac:dyDescent="0.25">
      <c r="A1701">
        <v>201700</v>
      </c>
      <c r="B1701">
        <v>50434</v>
      </c>
      <c r="C1701" t="s">
        <v>18</v>
      </c>
      <c r="D1701">
        <v>1996.42</v>
      </c>
      <c r="E1701">
        <v>444</v>
      </c>
      <c r="F1701">
        <v>1</v>
      </c>
      <c r="G1701">
        <v>4</v>
      </c>
      <c r="H1701">
        <v>0</v>
      </c>
      <c r="I1701" t="s">
        <v>19</v>
      </c>
      <c r="J1701">
        <v>1</v>
      </c>
      <c r="K1701">
        <v>23</v>
      </c>
      <c r="L1701" t="s">
        <v>20</v>
      </c>
      <c r="M1701" t="s">
        <v>29</v>
      </c>
      <c r="N1701" t="s">
        <v>30</v>
      </c>
      <c r="O1701" t="s">
        <v>36</v>
      </c>
      <c r="P1701">
        <v>5.79</v>
      </c>
      <c r="Q1701" s="2" t="b">
        <f>FALSE()</f>
        <v>0</v>
      </c>
      <c r="R1701">
        <v>0</v>
      </c>
    </row>
    <row r="1702" spans="1:18" x14ac:dyDescent="0.25">
      <c r="A1702">
        <v>201701</v>
      </c>
      <c r="B1702">
        <v>54608</v>
      </c>
      <c r="C1702" t="s">
        <v>34</v>
      </c>
      <c r="D1702">
        <v>734.52</v>
      </c>
      <c r="E1702">
        <v>2373</v>
      </c>
      <c r="F1702">
        <v>1</v>
      </c>
      <c r="G1702">
        <v>3</v>
      </c>
      <c r="H1702">
        <v>0</v>
      </c>
      <c r="I1702" t="s">
        <v>32</v>
      </c>
      <c r="J1702">
        <v>0</v>
      </c>
      <c r="K1702">
        <v>84</v>
      </c>
      <c r="L1702" t="s">
        <v>24</v>
      </c>
      <c r="M1702" t="s">
        <v>31</v>
      </c>
      <c r="N1702" t="s">
        <v>26</v>
      </c>
      <c r="O1702" t="s">
        <v>27</v>
      </c>
      <c r="P1702">
        <v>4.5999999999999996</v>
      </c>
      <c r="Q1702" s="2" t="b">
        <f>FALSE()</f>
        <v>0</v>
      </c>
      <c r="R1702">
        <v>0</v>
      </c>
    </row>
    <row r="1703" spans="1:18" x14ac:dyDescent="0.25">
      <c r="A1703">
        <v>201702</v>
      </c>
      <c r="B1703">
        <v>52444</v>
      </c>
      <c r="C1703" t="s">
        <v>18</v>
      </c>
      <c r="D1703">
        <v>3496.94</v>
      </c>
      <c r="E1703">
        <v>3340</v>
      </c>
      <c r="F1703">
        <v>3</v>
      </c>
      <c r="G1703">
        <v>1</v>
      </c>
      <c r="H1703">
        <v>0</v>
      </c>
      <c r="I1703" t="s">
        <v>33</v>
      </c>
      <c r="J1703">
        <v>0</v>
      </c>
      <c r="K1703">
        <v>51</v>
      </c>
      <c r="L1703" t="s">
        <v>24</v>
      </c>
      <c r="M1703" t="s">
        <v>21</v>
      </c>
      <c r="N1703" t="s">
        <v>22</v>
      </c>
      <c r="O1703" t="s">
        <v>36</v>
      </c>
      <c r="P1703">
        <v>0.63</v>
      </c>
      <c r="Q1703" s="2" t="b">
        <f>FALSE()</f>
        <v>0</v>
      </c>
      <c r="R1703">
        <v>1</v>
      </c>
    </row>
    <row r="1704" spans="1:18" x14ac:dyDescent="0.25">
      <c r="A1704">
        <v>201703</v>
      </c>
      <c r="B1704">
        <v>50534</v>
      </c>
      <c r="C1704" t="s">
        <v>28</v>
      </c>
      <c r="D1704">
        <v>2284.7399999999998</v>
      </c>
      <c r="E1704">
        <v>1118</v>
      </c>
      <c r="F1704">
        <v>2</v>
      </c>
      <c r="G1704">
        <v>5</v>
      </c>
      <c r="H1704">
        <v>0</v>
      </c>
      <c r="I1704" t="s">
        <v>19</v>
      </c>
      <c r="J1704">
        <v>0</v>
      </c>
      <c r="K1704">
        <v>68</v>
      </c>
      <c r="L1704" t="s">
        <v>24</v>
      </c>
      <c r="M1704" t="s">
        <v>31</v>
      </c>
      <c r="N1704" t="s">
        <v>22</v>
      </c>
      <c r="O1704" t="s">
        <v>36</v>
      </c>
      <c r="P1704">
        <v>0.85</v>
      </c>
      <c r="Q1704" s="2" t="b">
        <f>FALSE()</f>
        <v>0</v>
      </c>
      <c r="R1704">
        <v>0</v>
      </c>
    </row>
    <row r="1705" spans="1:18" x14ac:dyDescent="0.25">
      <c r="A1705">
        <v>201704</v>
      </c>
      <c r="B1705">
        <v>52449</v>
      </c>
      <c r="C1705" t="s">
        <v>18</v>
      </c>
      <c r="D1705">
        <v>3261</v>
      </c>
      <c r="E1705">
        <v>3319</v>
      </c>
      <c r="F1705">
        <v>1</v>
      </c>
      <c r="G1705">
        <v>1</v>
      </c>
      <c r="H1705">
        <v>1</v>
      </c>
      <c r="I1705" t="s">
        <v>33</v>
      </c>
      <c r="J1705">
        <v>0</v>
      </c>
      <c r="K1705">
        <v>60</v>
      </c>
      <c r="L1705" t="s">
        <v>24</v>
      </c>
      <c r="M1705" t="s">
        <v>21</v>
      </c>
      <c r="N1705" t="s">
        <v>30</v>
      </c>
      <c r="O1705" t="s">
        <v>27</v>
      </c>
      <c r="P1705">
        <v>0.06</v>
      </c>
      <c r="Q1705" s="2" t="b">
        <f>FALSE()</f>
        <v>0</v>
      </c>
      <c r="R1705">
        <v>0</v>
      </c>
    </row>
    <row r="1706" spans="1:18" x14ac:dyDescent="0.25">
      <c r="A1706">
        <v>201705</v>
      </c>
      <c r="B1706">
        <v>53225</v>
      </c>
      <c r="C1706" t="s">
        <v>28</v>
      </c>
      <c r="D1706">
        <v>4059.48</v>
      </c>
      <c r="E1706">
        <v>3377</v>
      </c>
      <c r="F1706">
        <v>1</v>
      </c>
      <c r="G1706">
        <v>3</v>
      </c>
      <c r="H1706">
        <v>0</v>
      </c>
      <c r="I1706" t="s">
        <v>33</v>
      </c>
      <c r="J1706">
        <v>0</v>
      </c>
      <c r="K1706">
        <v>39</v>
      </c>
      <c r="L1706" t="s">
        <v>24</v>
      </c>
      <c r="M1706" t="s">
        <v>25</v>
      </c>
      <c r="N1706" t="s">
        <v>22</v>
      </c>
      <c r="O1706" t="s">
        <v>36</v>
      </c>
      <c r="P1706">
        <v>2.65</v>
      </c>
      <c r="Q1706" s="2" t="b">
        <f>FALSE()</f>
        <v>0</v>
      </c>
      <c r="R1706">
        <v>1</v>
      </c>
    </row>
    <row r="1707" spans="1:18" x14ac:dyDescent="0.25">
      <c r="A1707">
        <v>201706</v>
      </c>
      <c r="B1707">
        <v>51772</v>
      </c>
      <c r="C1707" t="s">
        <v>18</v>
      </c>
      <c r="D1707">
        <v>2754.36</v>
      </c>
      <c r="E1707">
        <v>3064</v>
      </c>
      <c r="F1707">
        <v>0</v>
      </c>
      <c r="G1707">
        <v>4</v>
      </c>
      <c r="H1707">
        <v>0</v>
      </c>
      <c r="I1707" t="s">
        <v>33</v>
      </c>
      <c r="J1707">
        <v>0</v>
      </c>
      <c r="K1707">
        <v>69</v>
      </c>
      <c r="L1707" t="s">
        <v>20</v>
      </c>
      <c r="M1707" t="s">
        <v>25</v>
      </c>
      <c r="N1707" t="s">
        <v>30</v>
      </c>
      <c r="O1707" t="s">
        <v>27</v>
      </c>
      <c r="P1707">
        <v>1.45</v>
      </c>
      <c r="Q1707" s="2" t="b">
        <f>FALSE()</f>
        <v>0</v>
      </c>
      <c r="R1707">
        <v>0</v>
      </c>
    </row>
    <row r="1708" spans="1:18" x14ac:dyDescent="0.25">
      <c r="A1708">
        <v>201707</v>
      </c>
      <c r="B1708">
        <v>55801</v>
      </c>
      <c r="C1708" t="s">
        <v>18</v>
      </c>
      <c r="D1708">
        <v>2253.77</v>
      </c>
      <c r="E1708">
        <v>3037</v>
      </c>
      <c r="F1708">
        <v>3</v>
      </c>
      <c r="G1708">
        <v>7</v>
      </c>
      <c r="H1708">
        <v>1</v>
      </c>
      <c r="I1708" t="s">
        <v>32</v>
      </c>
      <c r="J1708">
        <v>0</v>
      </c>
      <c r="K1708">
        <v>25</v>
      </c>
      <c r="L1708" t="s">
        <v>24</v>
      </c>
      <c r="M1708" t="s">
        <v>29</v>
      </c>
      <c r="N1708" t="s">
        <v>30</v>
      </c>
      <c r="O1708" t="s">
        <v>23</v>
      </c>
      <c r="P1708">
        <v>1</v>
      </c>
      <c r="Q1708" s="2" t="b">
        <f>FALSE()</f>
        <v>0</v>
      </c>
      <c r="R1708">
        <v>1</v>
      </c>
    </row>
    <row r="1709" spans="1:18" x14ac:dyDescent="0.25">
      <c r="A1709">
        <v>201708</v>
      </c>
      <c r="B1709">
        <v>51439</v>
      </c>
      <c r="C1709" t="s">
        <v>34</v>
      </c>
      <c r="D1709">
        <v>2673.62</v>
      </c>
      <c r="E1709">
        <v>3264</v>
      </c>
      <c r="F1709">
        <v>5</v>
      </c>
      <c r="G1709">
        <v>4</v>
      </c>
      <c r="H1709">
        <v>1</v>
      </c>
      <c r="I1709" t="s">
        <v>33</v>
      </c>
      <c r="J1709">
        <v>1</v>
      </c>
      <c r="K1709">
        <v>66</v>
      </c>
      <c r="L1709" t="s">
        <v>24</v>
      </c>
      <c r="M1709" t="s">
        <v>37</v>
      </c>
      <c r="N1709" t="s">
        <v>22</v>
      </c>
      <c r="O1709" t="s">
        <v>27</v>
      </c>
      <c r="P1709">
        <v>7.29</v>
      </c>
      <c r="Q1709" s="2" t="b">
        <f>FALSE()</f>
        <v>0</v>
      </c>
      <c r="R1709">
        <v>1</v>
      </c>
    </row>
    <row r="1710" spans="1:18" x14ac:dyDescent="0.25">
      <c r="A1710">
        <v>201709</v>
      </c>
      <c r="B1710">
        <v>52115</v>
      </c>
      <c r="C1710" t="s">
        <v>18</v>
      </c>
      <c r="D1710">
        <v>2417.52</v>
      </c>
      <c r="E1710">
        <v>2916</v>
      </c>
      <c r="F1710">
        <v>0</v>
      </c>
      <c r="G1710">
        <v>3</v>
      </c>
      <c r="H1710">
        <v>0</v>
      </c>
      <c r="I1710" t="s">
        <v>33</v>
      </c>
      <c r="J1710">
        <v>1</v>
      </c>
      <c r="K1710">
        <v>40</v>
      </c>
      <c r="L1710" t="s">
        <v>20</v>
      </c>
      <c r="M1710" t="s">
        <v>31</v>
      </c>
      <c r="N1710" t="s">
        <v>22</v>
      </c>
      <c r="O1710" t="s">
        <v>36</v>
      </c>
      <c r="P1710">
        <v>5.72</v>
      </c>
      <c r="Q1710" s="2" t="b">
        <f>FALSE()</f>
        <v>0</v>
      </c>
      <c r="R1710">
        <v>0</v>
      </c>
    </row>
    <row r="1711" spans="1:18" x14ac:dyDescent="0.25">
      <c r="A1711">
        <v>201710</v>
      </c>
      <c r="B1711">
        <v>52509</v>
      </c>
      <c r="C1711" t="s">
        <v>18</v>
      </c>
      <c r="D1711">
        <v>1960.71</v>
      </c>
      <c r="E1711">
        <v>873</v>
      </c>
      <c r="F1711">
        <v>0</v>
      </c>
      <c r="G1711">
        <v>1</v>
      </c>
      <c r="H1711">
        <v>0</v>
      </c>
      <c r="I1711" t="s">
        <v>19</v>
      </c>
      <c r="J1711">
        <v>0</v>
      </c>
      <c r="K1711">
        <v>22</v>
      </c>
      <c r="L1711" t="s">
        <v>20</v>
      </c>
      <c r="M1711" t="s">
        <v>35</v>
      </c>
      <c r="N1711" t="s">
        <v>26</v>
      </c>
      <c r="O1711" t="s">
        <v>36</v>
      </c>
      <c r="P1711">
        <v>2.2000000000000002</v>
      </c>
      <c r="Q1711" s="2" t="b">
        <f>FALSE()</f>
        <v>0</v>
      </c>
      <c r="R1711">
        <v>0</v>
      </c>
    </row>
    <row r="1712" spans="1:18" x14ac:dyDescent="0.25">
      <c r="A1712">
        <v>201711</v>
      </c>
      <c r="B1712">
        <v>51675</v>
      </c>
      <c r="C1712" t="s">
        <v>18</v>
      </c>
      <c r="D1712">
        <v>2980.86</v>
      </c>
      <c r="E1712">
        <v>1787</v>
      </c>
      <c r="F1712">
        <v>0</v>
      </c>
      <c r="G1712">
        <v>4</v>
      </c>
      <c r="H1712">
        <v>1</v>
      </c>
      <c r="I1712" t="s">
        <v>32</v>
      </c>
      <c r="J1712">
        <v>0</v>
      </c>
      <c r="K1712">
        <v>36</v>
      </c>
      <c r="L1712" t="s">
        <v>20</v>
      </c>
      <c r="M1712" t="s">
        <v>35</v>
      </c>
      <c r="N1712" t="s">
        <v>22</v>
      </c>
      <c r="O1712" t="s">
        <v>36</v>
      </c>
      <c r="P1712">
        <v>0.77</v>
      </c>
      <c r="Q1712" s="2" t="b">
        <f>FALSE()</f>
        <v>0</v>
      </c>
      <c r="R1712">
        <v>0</v>
      </c>
    </row>
    <row r="1713" spans="1:18" x14ac:dyDescent="0.25">
      <c r="A1713">
        <v>201712</v>
      </c>
      <c r="B1713">
        <v>54100</v>
      </c>
      <c r="C1713" t="s">
        <v>18</v>
      </c>
      <c r="D1713">
        <v>4083.55</v>
      </c>
      <c r="E1713">
        <v>764</v>
      </c>
      <c r="F1713">
        <v>1</v>
      </c>
      <c r="G1713">
        <v>2</v>
      </c>
      <c r="H1713">
        <v>0</v>
      </c>
      <c r="I1713" t="s">
        <v>32</v>
      </c>
      <c r="J1713">
        <v>1</v>
      </c>
      <c r="K1713">
        <v>33</v>
      </c>
      <c r="L1713" t="s">
        <v>24</v>
      </c>
      <c r="M1713" t="s">
        <v>29</v>
      </c>
      <c r="N1713" t="s">
        <v>30</v>
      </c>
      <c r="O1713" t="s">
        <v>36</v>
      </c>
      <c r="P1713">
        <v>6.06</v>
      </c>
      <c r="Q1713" s="2" t="b">
        <f>FALSE()</f>
        <v>0</v>
      </c>
      <c r="R1713">
        <v>1</v>
      </c>
    </row>
    <row r="1714" spans="1:18" x14ac:dyDescent="0.25">
      <c r="A1714">
        <v>201713</v>
      </c>
      <c r="B1714">
        <v>51317</v>
      </c>
      <c r="C1714" t="s">
        <v>18</v>
      </c>
      <c r="D1714">
        <v>1308</v>
      </c>
      <c r="E1714">
        <v>1933</v>
      </c>
      <c r="F1714">
        <v>1</v>
      </c>
      <c r="G1714">
        <v>3</v>
      </c>
      <c r="H1714">
        <v>0</v>
      </c>
      <c r="I1714" t="s">
        <v>33</v>
      </c>
      <c r="J1714">
        <v>0</v>
      </c>
      <c r="K1714">
        <v>76</v>
      </c>
      <c r="L1714" t="s">
        <v>24</v>
      </c>
      <c r="M1714" t="s">
        <v>25</v>
      </c>
      <c r="N1714" t="s">
        <v>30</v>
      </c>
      <c r="O1714" t="s">
        <v>36</v>
      </c>
      <c r="P1714">
        <v>0.79</v>
      </c>
      <c r="Q1714" s="2" t="b">
        <f>FALSE()</f>
        <v>0</v>
      </c>
      <c r="R1714">
        <v>0</v>
      </c>
    </row>
    <row r="1715" spans="1:18" x14ac:dyDescent="0.25">
      <c r="A1715">
        <v>201714</v>
      </c>
      <c r="B1715">
        <v>53673</v>
      </c>
      <c r="C1715" t="s">
        <v>28</v>
      </c>
      <c r="D1715">
        <v>4199.1000000000004</v>
      </c>
      <c r="E1715">
        <v>3620</v>
      </c>
      <c r="F1715">
        <v>0</v>
      </c>
      <c r="G1715">
        <v>3</v>
      </c>
      <c r="H1715">
        <v>0</v>
      </c>
      <c r="I1715" t="s">
        <v>33</v>
      </c>
      <c r="J1715">
        <v>0</v>
      </c>
      <c r="K1715">
        <v>74</v>
      </c>
      <c r="L1715" t="s">
        <v>20</v>
      </c>
      <c r="M1715" t="s">
        <v>29</v>
      </c>
      <c r="N1715" t="s">
        <v>26</v>
      </c>
      <c r="O1715" t="s">
        <v>23</v>
      </c>
      <c r="P1715">
        <v>0.51</v>
      </c>
      <c r="Q1715" s="2" t="b">
        <f>FALSE()</f>
        <v>0</v>
      </c>
      <c r="R1715">
        <v>1</v>
      </c>
    </row>
    <row r="1716" spans="1:18" x14ac:dyDescent="0.25">
      <c r="A1716">
        <v>201715</v>
      </c>
      <c r="B1716">
        <v>52121</v>
      </c>
      <c r="C1716" t="s">
        <v>18</v>
      </c>
      <c r="D1716">
        <v>5424.04</v>
      </c>
      <c r="E1716">
        <v>2637</v>
      </c>
      <c r="F1716">
        <v>0</v>
      </c>
      <c r="G1716">
        <v>2</v>
      </c>
      <c r="H1716">
        <v>0</v>
      </c>
      <c r="I1716" t="s">
        <v>19</v>
      </c>
      <c r="J1716">
        <v>0</v>
      </c>
      <c r="K1716">
        <v>44</v>
      </c>
      <c r="L1716" t="s">
        <v>24</v>
      </c>
      <c r="M1716" t="s">
        <v>37</v>
      </c>
      <c r="N1716" t="s">
        <v>22</v>
      </c>
      <c r="O1716" t="s">
        <v>36</v>
      </c>
      <c r="P1716">
        <v>5.08</v>
      </c>
      <c r="Q1716" s="2" t="b">
        <f>FALSE()</f>
        <v>0</v>
      </c>
      <c r="R1716">
        <v>1</v>
      </c>
    </row>
    <row r="1717" spans="1:18" x14ac:dyDescent="0.25">
      <c r="A1717">
        <v>201716</v>
      </c>
      <c r="B1717">
        <v>54091</v>
      </c>
      <c r="C1717" t="s">
        <v>28</v>
      </c>
      <c r="D1717">
        <v>4151.51</v>
      </c>
      <c r="E1717">
        <v>1805</v>
      </c>
      <c r="F1717">
        <v>0</v>
      </c>
      <c r="G1717">
        <v>3</v>
      </c>
      <c r="H1717">
        <v>0</v>
      </c>
      <c r="I1717" t="s">
        <v>19</v>
      </c>
      <c r="J1717">
        <v>1</v>
      </c>
      <c r="K1717">
        <v>79</v>
      </c>
      <c r="L1717" t="s">
        <v>24</v>
      </c>
      <c r="M1717" t="s">
        <v>37</v>
      </c>
      <c r="N1717" t="s">
        <v>30</v>
      </c>
      <c r="O1717" t="s">
        <v>27</v>
      </c>
      <c r="P1717">
        <v>2.41</v>
      </c>
      <c r="Q1717" s="2" t="b">
        <f>FALSE()</f>
        <v>0</v>
      </c>
      <c r="R1717">
        <v>1</v>
      </c>
    </row>
    <row r="1718" spans="1:18" x14ac:dyDescent="0.25">
      <c r="A1718">
        <v>201717</v>
      </c>
      <c r="B1718">
        <v>55854</v>
      </c>
      <c r="C1718" t="s">
        <v>18</v>
      </c>
      <c r="D1718">
        <v>408.12</v>
      </c>
      <c r="E1718">
        <v>1628</v>
      </c>
      <c r="F1718">
        <v>3</v>
      </c>
      <c r="G1718">
        <v>2</v>
      </c>
      <c r="H1718">
        <v>0</v>
      </c>
      <c r="I1718" t="s">
        <v>19</v>
      </c>
      <c r="J1718">
        <v>1</v>
      </c>
      <c r="K1718">
        <v>71</v>
      </c>
      <c r="L1718" t="s">
        <v>20</v>
      </c>
      <c r="M1718" t="s">
        <v>35</v>
      </c>
      <c r="N1718" t="s">
        <v>26</v>
      </c>
      <c r="O1718" t="s">
        <v>23</v>
      </c>
      <c r="P1718">
        <v>6.8</v>
      </c>
      <c r="Q1718" s="2" t="b">
        <f>FALSE()</f>
        <v>0</v>
      </c>
      <c r="R1718">
        <v>1</v>
      </c>
    </row>
    <row r="1719" spans="1:18" x14ac:dyDescent="0.25">
      <c r="A1719">
        <v>201718</v>
      </c>
      <c r="B1719">
        <v>53283</v>
      </c>
      <c r="C1719" t="s">
        <v>28</v>
      </c>
      <c r="D1719">
        <v>5126.47</v>
      </c>
      <c r="E1719">
        <v>1903</v>
      </c>
      <c r="F1719">
        <v>2</v>
      </c>
      <c r="G1719">
        <v>4</v>
      </c>
      <c r="H1719">
        <v>0</v>
      </c>
      <c r="I1719" t="s">
        <v>33</v>
      </c>
      <c r="J1719">
        <v>0</v>
      </c>
      <c r="K1719">
        <v>43</v>
      </c>
      <c r="L1719" t="s">
        <v>20</v>
      </c>
      <c r="M1719" t="s">
        <v>31</v>
      </c>
      <c r="N1719" t="s">
        <v>30</v>
      </c>
      <c r="O1719" t="s">
        <v>27</v>
      </c>
      <c r="P1719">
        <v>3.33</v>
      </c>
      <c r="Q1719" s="2" t="b">
        <f>FALSE()</f>
        <v>0</v>
      </c>
      <c r="R1719">
        <v>1</v>
      </c>
    </row>
    <row r="1720" spans="1:18" x14ac:dyDescent="0.25">
      <c r="A1720">
        <v>201719</v>
      </c>
      <c r="B1720">
        <v>53389</v>
      </c>
      <c r="C1720" t="s">
        <v>18</v>
      </c>
      <c r="D1720">
        <v>1889.46</v>
      </c>
      <c r="E1720">
        <v>397</v>
      </c>
      <c r="F1720">
        <v>2</v>
      </c>
      <c r="G1720">
        <v>5</v>
      </c>
      <c r="H1720">
        <v>0</v>
      </c>
      <c r="I1720" t="s">
        <v>32</v>
      </c>
      <c r="J1720">
        <v>0</v>
      </c>
      <c r="K1720">
        <v>70</v>
      </c>
      <c r="L1720" t="s">
        <v>24</v>
      </c>
      <c r="M1720" t="s">
        <v>35</v>
      </c>
      <c r="N1720" t="s">
        <v>22</v>
      </c>
      <c r="O1720" t="s">
        <v>36</v>
      </c>
      <c r="P1720">
        <v>0.05</v>
      </c>
      <c r="Q1720" s="2" t="b">
        <f>FALSE()</f>
        <v>0</v>
      </c>
      <c r="R1720">
        <v>0</v>
      </c>
    </row>
    <row r="1721" spans="1:18" x14ac:dyDescent="0.25">
      <c r="A1721">
        <v>201720</v>
      </c>
      <c r="B1721">
        <v>55319</v>
      </c>
      <c r="C1721" t="s">
        <v>28</v>
      </c>
      <c r="D1721">
        <v>6067.14</v>
      </c>
      <c r="E1721">
        <v>1388</v>
      </c>
      <c r="F1721">
        <v>2</v>
      </c>
      <c r="G1721">
        <v>6</v>
      </c>
      <c r="H1721">
        <v>0</v>
      </c>
      <c r="I1721" t="s">
        <v>32</v>
      </c>
      <c r="J1721">
        <v>0</v>
      </c>
      <c r="K1721">
        <v>38</v>
      </c>
      <c r="L1721" t="s">
        <v>20</v>
      </c>
      <c r="M1721" t="s">
        <v>35</v>
      </c>
      <c r="N1721" t="s">
        <v>22</v>
      </c>
      <c r="O1721" t="s">
        <v>27</v>
      </c>
      <c r="P1721">
        <v>1.49</v>
      </c>
      <c r="Q1721" s="2" t="b">
        <f>FALSE()</f>
        <v>0</v>
      </c>
      <c r="R1721">
        <v>1</v>
      </c>
    </row>
    <row r="1722" spans="1:18" x14ac:dyDescent="0.25">
      <c r="A1722">
        <v>201721</v>
      </c>
      <c r="B1722">
        <v>52148</v>
      </c>
      <c r="C1722" t="s">
        <v>18</v>
      </c>
      <c r="D1722">
        <v>725.31</v>
      </c>
      <c r="E1722">
        <v>3158</v>
      </c>
      <c r="F1722">
        <v>0</v>
      </c>
      <c r="G1722">
        <v>10</v>
      </c>
      <c r="H1722">
        <v>0</v>
      </c>
      <c r="I1722" t="s">
        <v>33</v>
      </c>
      <c r="J1722">
        <v>0</v>
      </c>
      <c r="K1722">
        <v>68</v>
      </c>
      <c r="L1722" t="s">
        <v>24</v>
      </c>
      <c r="M1722" t="s">
        <v>29</v>
      </c>
      <c r="N1722" t="s">
        <v>30</v>
      </c>
      <c r="O1722" t="s">
        <v>27</v>
      </c>
      <c r="P1722">
        <v>6.32</v>
      </c>
      <c r="Q1722" s="2" t="b">
        <f>FALSE()</f>
        <v>0</v>
      </c>
      <c r="R1722">
        <v>1</v>
      </c>
    </row>
    <row r="1723" spans="1:18" x14ac:dyDescent="0.25">
      <c r="A1723">
        <v>201722</v>
      </c>
      <c r="B1723">
        <v>55162</v>
      </c>
      <c r="C1723" t="s">
        <v>34</v>
      </c>
      <c r="D1723">
        <v>205.1</v>
      </c>
      <c r="E1723">
        <v>1080</v>
      </c>
      <c r="F1723">
        <v>2</v>
      </c>
      <c r="G1723">
        <v>3</v>
      </c>
      <c r="H1723">
        <v>0</v>
      </c>
      <c r="I1723" t="s">
        <v>32</v>
      </c>
      <c r="J1723">
        <v>0</v>
      </c>
      <c r="K1723">
        <v>37</v>
      </c>
      <c r="L1723" t="s">
        <v>20</v>
      </c>
      <c r="M1723" t="s">
        <v>37</v>
      </c>
      <c r="N1723" t="s">
        <v>30</v>
      </c>
      <c r="O1723" t="s">
        <v>27</v>
      </c>
      <c r="P1723">
        <v>2.02</v>
      </c>
      <c r="Q1723" s="2" t="b">
        <f>FALSE()</f>
        <v>0</v>
      </c>
      <c r="R1723">
        <v>0</v>
      </c>
    </row>
    <row r="1724" spans="1:18" x14ac:dyDescent="0.25">
      <c r="A1724">
        <v>201723</v>
      </c>
      <c r="B1724">
        <v>52167</v>
      </c>
      <c r="C1724" t="s">
        <v>18</v>
      </c>
      <c r="D1724">
        <v>2540.59</v>
      </c>
      <c r="E1724">
        <v>1437</v>
      </c>
      <c r="F1724">
        <v>0</v>
      </c>
      <c r="G1724">
        <v>3</v>
      </c>
      <c r="H1724">
        <v>1</v>
      </c>
      <c r="I1724" t="s">
        <v>33</v>
      </c>
      <c r="J1724">
        <v>0</v>
      </c>
      <c r="K1724">
        <v>44</v>
      </c>
      <c r="L1724" t="s">
        <v>20</v>
      </c>
      <c r="M1724" t="s">
        <v>25</v>
      </c>
      <c r="N1724" t="s">
        <v>30</v>
      </c>
      <c r="O1724" t="s">
        <v>27</v>
      </c>
      <c r="P1724">
        <v>0.87</v>
      </c>
      <c r="Q1724" s="2" t="b">
        <f>FALSE()</f>
        <v>0</v>
      </c>
      <c r="R1724">
        <v>0</v>
      </c>
    </row>
    <row r="1725" spans="1:18" x14ac:dyDescent="0.25">
      <c r="A1725">
        <v>201724</v>
      </c>
      <c r="B1725">
        <v>52153</v>
      </c>
      <c r="C1725" t="s">
        <v>18</v>
      </c>
      <c r="D1725">
        <v>3334.76</v>
      </c>
      <c r="E1725">
        <v>3383</v>
      </c>
      <c r="F1725">
        <v>3</v>
      </c>
      <c r="G1725">
        <v>3</v>
      </c>
      <c r="H1725">
        <v>0</v>
      </c>
      <c r="I1725" t="s">
        <v>33</v>
      </c>
      <c r="J1725">
        <v>0</v>
      </c>
      <c r="K1725">
        <v>83</v>
      </c>
      <c r="L1725" t="s">
        <v>20</v>
      </c>
      <c r="M1725" t="s">
        <v>29</v>
      </c>
      <c r="N1725" t="s">
        <v>30</v>
      </c>
      <c r="O1725" t="s">
        <v>23</v>
      </c>
      <c r="P1725">
        <v>3.09</v>
      </c>
      <c r="Q1725" s="2" t="b">
        <f>FALSE()</f>
        <v>0</v>
      </c>
      <c r="R1725">
        <v>1</v>
      </c>
    </row>
    <row r="1726" spans="1:18" x14ac:dyDescent="0.25">
      <c r="A1726">
        <v>201725</v>
      </c>
      <c r="B1726">
        <v>52063</v>
      </c>
      <c r="C1726" t="s">
        <v>18</v>
      </c>
      <c r="D1726">
        <v>4611.3900000000003</v>
      </c>
      <c r="E1726">
        <v>169</v>
      </c>
      <c r="F1726">
        <v>2</v>
      </c>
      <c r="G1726">
        <v>4</v>
      </c>
      <c r="H1726">
        <v>0</v>
      </c>
      <c r="I1726" t="s">
        <v>33</v>
      </c>
      <c r="J1726">
        <v>0</v>
      </c>
      <c r="K1726">
        <v>21</v>
      </c>
      <c r="L1726" t="s">
        <v>24</v>
      </c>
      <c r="M1726" t="s">
        <v>29</v>
      </c>
      <c r="N1726" t="s">
        <v>22</v>
      </c>
      <c r="O1726" t="s">
        <v>27</v>
      </c>
      <c r="P1726">
        <v>10.7</v>
      </c>
      <c r="Q1726" s="2" t="b">
        <f>FALSE()</f>
        <v>0</v>
      </c>
      <c r="R1726">
        <v>1</v>
      </c>
    </row>
    <row r="1727" spans="1:18" x14ac:dyDescent="0.25">
      <c r="A1727">
        <v>201726</v>
      </c>
      <c r="B1727">
        <v>53513</v>
      </c>
      <c r="C1727" t="s">
        <v>28</v>
      </c>
      <c r="D1727">
        <v>1519.66</v>
      </c>
      <c r="E1727">
        <v>3257</v>
      </c>
      <c r="F1727">
        <v>1</v>
      </c>
      <c r="G1727">
        <v>3</v>
      </c>
      <c r="H1727">
        <v>0</v>
      </c>
      <c r="I1727" t="s">
        <v>32</v>
      </c>
      <c r="J1727">
        <v>0</v>
      </c>
      <c r="K1727">
        <v>78</v>
      </c>
      <c r="L1727" t="s">
        <v>24</v>
      </c>
      <c r="M1727" t="s">
        <v>31</v>
      </c>
      <c r="N1727" t="s">
        <v>22</v>
      </c>
      <c r="O1727" t="s">
        <v>36</v>
      </c>
      <c r="P1727">
        <v>5.5</v>
      </c>
      <c r="Q1727" s="2" t="b">
        <f>FALSE()</f>
        <v>0</v>
      </c>
      <c r="R1727">
        <v>0</v>
      </c>
    </row>
    <row r="1728" spans="1:18" x14ac:dyDescent="0.25">
      <c r="A1728">
        <v>201727</v>
      </c>
      <c r="B1728">
        <v>54060</v>
      </c>
      <c r="C1728" t="s">
        <v>18</v>
      </c>
      <c r="D1728">
        <v>3903.18</v>
      </c>
      <c r="E1728">
        <v>506</v>
      </c>
      <c r="F1728">
        <v>1</v>
      </c>
      <c r="G1728">
        <v>2</v>
      </c>
      <c r="H1728">
        <v>1</v>
      </c>
      <c r="I1728" t="s">
        <v>33</v>
      </c>
      <c r="J1728">
        <v>0</v>
      </c>
      <c r="K1728">
        <v>39</v>
      </c>
      <c r="L1728" t="s">
        <v>20</v>
      </c>
      <c r="M1728" t="s">
        <v>21</v>
      </c>
      <c r="N1728" t="s">
        <v>30</v>
      </c>
      <c r="O1728" t="s">
        <v>36</v>
      </c>
      <c r="P1728">
        <v>5.47</v>
      </c>
      <c r="Q1728" s="2" t="b">
        <f>FALSE()</f>
        <v>0</v>
      </c>
      <c r="R1728">
        <v>1</v>
      </c>
    </row>
    <row r="1729" spans="1:18" x14ac:dyDescent="0.25">
      <c r="A1729">
        <v>201728</v>
      </c>
      <c r="B1729">
        <v>53928</v>
      </c>
      <c r="C1729" t="s">
        <v>18</v>
      </c>
      <c r="D1729">
        <v>2551.9499999999998</v>
      </c>
      <c r="E1729">
        <v>968</v>
      </c>
      <c r="F1729">
        <v>0</v>
      </c>
      <c r="G1729">
        <v>2</v>
      </c>
      <c r="H1729">
        <v>1</v>
      </c>
      <c r="I1729" t="s">
        <v>19</v>
      </c>
      <c r="J1729">
        <v>0</v>
      </c>
      <c r="K1729">
        <v>72</v>
      </c>
      <c r="L1729" t="s">
        <v>24</v>
      </c>
      <c r="M1729" t="s">
        <v>31</v>
      </c>
      <c r="N1729" t="s">
        <v>30</v>
      </c>
      <c r="O1729" t="s">
        <v>23</v>
      </c>
      <c r="P1729">
        <v>0.82</v>
      </c>
      <c r="Q1729" s="2" t="b">
        <f>FALSE()</f>
        <v>0</v>
      </c>
      <c r="R1729">
        <v>0</v>
      </c>
    </row>
    <row r="1730" spans="1:18" x14ac:dyDescent="0.25">
      <c r="A1730">
        <v>201729</v>
      </c>
      <c r="B1730">
        <v>52440</v>
      </c>
      <c r="C1730" t="s">
        <v>34</v>
      </c>
      <c r="D1730">
        <v>2805.81</v>
      </c>
      <c r="E1730">
        <v>3497</v>
      </c>
      <c r="F1730">
        <v>1</v>
      </c>
      <c r="G1730">
        <v>3</v>
      </c>
      <c r="H1730">
        <v>0</v>
      </c>
      <c r="I1730" t="s">
        <v>19</v>
      </c>
      <c r="J1730">
        <v>0</v>
      </c>
      <c r="K1730">
        <v>22</v>
      </c>
      <c r="L1730" t="s">
        <v>24</v>
      </c>
      <c r="M1730" t="s">
        <v>25</v>
      </c>
      <c r="N1730" t="s">
        <v>30</v>
      </c>
      <c r="O1730" t="s">
        <v>36</v>
      </c>
      <c r="P1730">
        <v>5.73</v>
      </c>
      <c r="Q1730" s="2" t="b">
        <f>FALSE()</f>
        <v>0</v>
      </c>
      <c r="R1730">
        <v>0</v>
      </c>
    </row>
    <row r="1731" spans="1:18" x14ac:dyDescent="0.25">
      <c r="A1731">
        <v>201730</v>
      </c>
      <c r="B1731">
        <v>54334</v>
      </c>
      <c r="C1731" t="s">
        <v>18</v>
      </c>
      <c r="D1731">
        <v>1511.95</v>
      </c>
      <c r="E1731">
        <v>3475</v>
      </c>
      <c r="F1731">
        <v>1</v>
      </c>
      <c r="G1731">
        <v>3</v>
      </c>
      <c r="H1731">
        <v>1</v>
      </c>
      <c r="I1731" t="s">
        <v>33</v>
      </c>
      <c r="J1731">
        <v>0</v>
      </c>
      <c r="K1731">
        <v>83</v>
      </c>
      <c r="L1731" t="s">
        <v>20</v>
      </c>
      <c r="M1731" t="s">
        <v>25</v>
      </c>
      <c r="N1731" t="s">
        <v>26</v>
      </c>
      <c r="O1731" t="s">
        <v>23</v>
      </c>
      <c r="P1731">
        <v>1.81</v>
      </c>
      <c r="Q1731" s="2" t="b">
        <f>FALSE()</f>
        <v>0</v>
      </c>
      <c r="R1731">
        <v>0</v>
      </c>
    </row>
    <row r="1732" spans="1:18" x14ac:dyDescent="0.25">
      <c r="A1732">
        <v>201731</v>
      </c>
      <c r="B1732">
        <v>53041</v>
      </c>
      <c r="C1732" t="s">
        <v>34</v>
      </c>
      <c r="D1732">
        <v>10298.69</v>
      </c>
      <c r="E1732">
        <v>2883</v>
      </c>
      <c r="F1732">
        <v>3</v>
      </c>
      <c r="G1732">
        <v>3</v>
      </c>
      <c r="H1732">
        <v>1</v>
      </c>
      <c r="I1732" t="s">
        <v>19</v>
      </c>
      <c r="J1732">
        <v>0</v>
      </c>
      <c r="K1732">
        <v>63</v>
      </c>
      <c r="L1732" t="s">
        <v>20</v>
      </c>
      <c r="M1732" t="s">
        <v>21</v>
      </c>
      <c r="N1732" t="s">
        <v>22</v>
      </c>
      <c r="O1732" t="s">
        <v>23</v>
      </c>
      <c r="P1732">
        <v>1.98</v>
      </c>
      <c r="Q1732" s="2" t="b">
        <f>TRUE()</f>
        <v>1</v>
      </c>
      <c r="R1732">
        <v>1</v>
      </c>
    </row>
    <row r="1733" spans="1:18" x14ac:dyDescent="0.25">
      <c r="A1733">
        <v>201732</v>
      </c>
      <c r="B1733">
        <v>53139</v>
      </c>
      <c r="C1733" t="s">
        <v>18</v>
      </c>
      <c r="D1733">
        <v>3297.28</v>
      </c>
      <c r="E1733">
        <v>2241</v>
      </c>
      <c r="F1733">
        <v>1</v>
      </c>
      <c r="G1733">
        <v>4</v>
      </c>
      <c r="H1733">
        <v>0</v>
      </c>
      <c r="I1733" t="s">
        <v>33</v>
      </c>
      <c r="J1733">
        <v>0</v>
      </c>
      <c r="K1733">
        <v>72</v>
      </c>
      <c r="L1733" t="s">
        <v>24</v>
      </c>
      <c r="M1733" t="s">
        <v>35</v>
      </c>
      <c r="N1733" t="s">
        <v>22</v>
      </c>
      <c r="O1733" t="s">
        <v>23</v>
      </c>
      <c r="P1733">
        <v>2.2999999999999998</v>
      </c>
      <c r="Q1733" s="2" t="b">
        <f>FALSE()</f>
        <v>0</v>
      </c>
      <c r="R1733">
        <v>0</v>
      </c>
    </row>
    <row r="1734" spans="1:18" x14ac:dyDescent="0.25">
      <c r="A1734">
        <v>201733</v>
      </c>
      <c r="B1734">
        <v>50310</v>
      </c>
      <c r="C1734" t="s">
        <v>34</v>
      </c>
      <c r="D1734">
        <v>1552.71</v>
      </c>
      <c r="E1734">
        <v>2814</v>
      </c>
      <c r="F1734">
        <v>0</v>
      </c>
      <c r="G1734">
        <v>5</v>
      </c>
      <c r="H1734">
        <v>0</v>
      </c>
      <c r="I1734" t="s">
        <v>33</v>
      </c>
      <c r="J1734">
        <v>0</v>
      </c>
      <c r="K1734">
        <v>50</v>
      </c>
      <c r="L1734" t="s">
        <v>24</v>
      </c>
      <c r="M1734" t="s">
        <v>37</v>
      </c>
      <c r="N1734" t="s">
        <v>22</v>
      </c>
      <c r="O1734" t="s">
        <v>27</v>
      </c>
      <c r="P1734">
        <v>4.5599999999999996</v>
      </c>
      <c r="Q1734" s="2" t="b">
        <f>FALSE()</f>
        <v>0</v>
      </c>
      <c r="R1734">
        <v>0</v>
      </c>
    </row>
    <row r="1735" spans="1:18" x14ac:dyDescent="0.25">
      <c r="A1735">
        <v>201734</v>
      </c>
      <c r="B1735">
        <v>53548</v>
      </c>
      <c r="C1735" t="s">
        <v>18</v>
      </c>
      <c r="D1735">
        <v>237.7</v>
      </c>
      <c r="E1735">
        <v>2683</v>
      </c>
      <c r="F1735">
        <v>1</v>
      </c>
      <c r="G1735">
        <v>1</v>
      </c>
      <c r="H1735">
        <v>0</v>
      </c>
      <c r="I1735" t="s">
        <v>33</v>
      </c>
      <c r="J1735">
        <v>1</v>
      </c>
      <c r="K1735">
        <v>29</v>
      </c>
      <c r="L1735" t="s">
        <v>20</v>
      </c>
      <c r="M1735" t="s">
        <v>31</v>
      </c>
      <c r="N1735" t="s">
        <v>22</v>
      </c>
      <c r="O1735" t="s">
        <v>27</v>
      </c>
      <c r="P1735">
        <v>0.68</v>
      </c>
      <c r="Q1735" s="2" t="b">
        <f>FALSE()</f>
        <v>0</v>
      </c>
      <c r="R1735">
        <v>0</v>
      </c>
    </row>
    <row r="1736" spans="1:18" x14ac:dyDescent="0.25">
      <c r="A1736">
        <v>201735</v>
      </c>
      <c r="B1736">
        <v>53443</v>
      </c>
      <c r="C1736" t="s">
        <v>18</v>
      </c>
      <c r="D1736">
        <v>1222.45</v>
      </c>
      <c r="E1736">
        <v>1772</v>
      </c>
      <c r="F1736">
        <v>0</v>
      </c>
      <c r="G1736">
        <v>4</v>
      </c>
      <c r="H1736">
        <v>0</v>
      </c>
      <c r="I1736" t="s">
        <v>33</v>
      </c>
      <c r="J1736">
        <v>1</v>
      </c>
      <c r="K1736">
        <v>59</v>
      </c>
      <c r="L1736" t="s">
        <v>20</v>
      </c>
      <c r="M1736" t="s">
        <v>25</v>
      </c>
      <c r="N1736" t="s">
        <v>26</v>
      </c>
      <c r="O1736" t="s">
        <v>23</v>
      </c>
      <c r="P1736">
        <v>1.1000000000000001</v>
      </c>
      <c r="Q1736" s="2" t="b">
        <f>FALSE()</f>
        <v>0</v>
      </c>
      <c r="R1736">
        <v>0</v>
      </c>
    </row>
    <row r="1737" spans="1:18" x14ac:dyDescent="0.25">
      <c r="A1737">
        <v>201736</v>
      </c>
      <c r="B1737">
        <v>53023</v>
      </c>
      <c r="C1737" t="s">
        <v>34</v>
      </c>
      <c r="D1737">
        <v>485.68</v>
      </c>
      <c r="E1737">
        <v>1982</v>
      </c>
      <c r="F1737">
        <v>0</v>
      </c>
      <c r="G1737">
        <v>4</v>
      </c>
      <c r="H1737">
        <v>0</v>
      </c>
      <c r="I1737" t="s">
        <v>19</v>
      </c>
      <c r="J1737">
        <v>0</v>
      </c>
      <c r="K1737">
        <v>76</v>
      </c>
      <c r="L1737" t="s">
        <v>20</v>
      </c>
      <c r="M1737" t="s">
        <v>31</v>
      </c>
      <c r="N1737" t="s">
        <v>30</v>
      </c>
      <c r="O1737" t="s">
        <v>27</v>
      </c>
      <c r="P1737">
        <v>4.1100000000000003</v>
      </c>
      <c r="Q1737" s="2" t="b">
        <f>FALSE()</f>
        <v>0</v>
      </c>
      <c r="R1737">
        <v>0</v>
      </c>
    </row>
    <row r="1738" spans="1:18" x14ac:dyDescent="0.25">
      <c r="A1738">
        <v>201737</v>
      </c>
      <c r="B1738">
        <v>54643</v>
      </c>
      <c r="C1738" t="s">
        <v>18</v>
      </c>
      <c r="D1738">
        <v>2736.33</v>
      </c>
      <c r="E1738">
        <v>1050</v>
      </c>
      <c r="F1738">
        <v>0</v>
      </c>
      <c r="G1738">
        <v>4</v>
      </c>
      <c r="H1738">
        <v>0</v>
      </c>
      <c r="I1738" t="s">
        <v>19</v>
      </c>
      <c r="J1738">
        <v>0</v>
      </c>
      <c r="K1738">
        <v>79</v>
      </c>
      <c r="L1738" t="s">
        <v>24</v>
      </c>
      <c r="M1738" t="s">
        <v>21</v>
      </c>
      <c r="N1738" t="s">
        <v>22</v>
      </c>
      <c r="O1738" t="s">
        <v>36</v>
      </c>
      <c r="P1738">
        <v>2.39</v>
      </c>
      <c r="Q1738" s="2" t="b">
        <f>FALSE()</f>
        <v>0</v>
      </c>
      <c r="R1738">
        <v>0</v>
      </c>
    </row>
    <row r="1739" spans="1:18" x14ac:dyDescent="0.25">
      <c r="A1739">
        <v>201738</v>
      </c>
      <c r="B1739">
        <v>50488</v>
      </c>
      <c r="C1739" t="s">
        <v>18</v>
      </c>
      <c r="D1739">
        <v>999.45</v>
      </c>
      <c r="E1739">
        <v>838</v>
      </c>
      <c r="F1739">
        <v>3</v>
      </c>
      <c r="G1739">
        <v>2</v>
      </c>
      <c r="H1739">
        <v>1</v>
      </c>
      <c r="I1739" t="s">
        <v>33</v>
      </c>
      <c r="J1739">
        <v>0</v>
      </c>
      <c r="K1739">
        <v>24</v>
      </c>
      <c r="L1739" t="s">
        <v>24</v>
      </c>
      <c r="M1739" t="s">
        <v>35</v>
      </c>
      <c r="N1739" t="s">
        <v>22</v>
      </c>
      <c r="O1739" t="s">
        <v>27</v>
      </c>
      <c r="P1739">
        <v>0.17</v>
      </c>
      <c r="Q1739" s="2" t="b">
        <f>FALSE()</f>
        <v>0</v>
      </c>
      <c r="R1739">
        <v>1</v>
      </c>
    </row>
    <row r="1740" spans="1:18" x14ac:dyDescent="0.25">
      <c r="A1740">
        <v>201739</v>
      </c>
      <c r="B1740">
        <v>52590</v>
      </c>
      <c r="C1740" t="s">
        <v>34</v>
      </c>
      <c r="D1740">
        <v>710.87</v>
      </c>
      <c r="E1740">
        <v>2002</v>
      </c>
      <c r="F1740">
        <v>2</v>
      </c>
      <c r="G1740">
        <v>0</v>
      </c>
      <c r="H1740">
        <v>0</v>
      </c>
      <c r="I1740" t="s">
        <v>33</v>
      </c>
      <c r="J1740">
        <v>0</v>
      </c>
      <c r="K1740">
        <v>82</v>
      </c>
      <c r="L1740" t="s">
        <v>24</v>
      </c>
      <c r="M1740" t="s">
        <v>25</v>
      </c>
      <c r="N1740" t="s">
        <v>30</v>
      </c>
      <c r="O1740" t="s">
        <v>27</v>
      </c>
      <c r="P1740">
        <v>2.37</v>
      </c>
      <c r="Q1740" s="2" t="b">
        <f>FALSE()</f>
        <v>0</v>
      </c>
      <c r="R1740">
        <v>0</v>
      </c>
    </row>
    <row r="1741" spans="1:18" x14ac:dyDescent="0.25">
      <c r="A1741">
        <v>201740</v>
      </c>
      <c r="B1741">
        <v>52199</v>
      </c>
      <c r="C1741" t="s">
        <v>28</v>
      </c>
      <c r="D1741">
        <v>5844.22</v>
      </c>
      <c r="E1741">
        <v>173</v>
      </c>
      <c r="F1741">
        <v>1</v>
      </c>
      <c r="G1741">
        <v>7</v>
      </c>
      <c r="H1741">
        <v>0</v>
      </c>
      <c r="I1741" t="s">
        <v>32</v>
      </c>
      <c r="J1741">
        <v>0</v>
      </c>
      <c r="K1741">
        <v>32</v>
      </c>
      <c r="L1741" t="s">
        <v>20</v>
      </c>
      <c r="M1741" t="s">
        <v>31</v>
      </c>
      <c r="N1741" t="s">
        <v>30</v>
      </c>
      <c r="O1741" t="s">
        <v>36</v>
      </c>
      <c r="P1741">
        <v>1.61</v>
      </c>
      <c r="Q1741" s="2" t="b">
        <f>FALSE()</f>
        <v>0</v>
      </c>
      <c r="R1741">
        <v>1</v>
      </c>
    </row>
    <row r="1742" spans="1:18" x14ac:dyDescent="0.25">
      <c r="A1742">
        <v>201741</v>
      </c>
      <c r="B1742">
        <v>51100</v>
      </c>
      <c r="C1742" t="s">
        <v>18</v>
      </c>
      <c r="D1742">
        <v>1146.06</v>
      </c>
      <c r="E1742">
        <v>3176</v>
      </c>
      <c r="F1742">
        <v>1</v>
      </c>
      <c r="G1742">
        <v>1</v>
      </c>
      <c r="H1742">
        <v>0</v>
      </c>
      <c r="I1742" t="s">
        <v>19</v>
      </c>
      <c r="J1742">
        <v>0</v>
      </c>
      <c r="K1742">
        <v>73</v>
      </c>
      <c r="L1742" t="s">
        <v>20</v>
      </c>
      <c r="M1742" t="s">
        <v>35</v>
      </c>
      <c r="N1742" t="s">
        <v>22</v>
      </c>
      <c r="O1742" t="s">
        <v>27</v>
      </c>
      <c r="P1742">
        <v>4.43</v>
      </c>
      <c r="Q1742" s="2" t="b">
        <f>FALSE()</f>
        <v>0</v>
      </c>
      <c r="R1742">
        <v>0</v>
      </c>
    </row>
    <row r="1743" spans="1:18" x14ac:dyDescent="0.25">
      <c r="A1743">
        <v>201742</v>
      </c>
      <c r="B1743">
        <v>54980</v>
      </c>
      <c r="C1743" t="s">
        <v>34</v>
      </c>
      <c r="D1743">
        <v>5328.88</v>
      </c>
      <c r="E1743">
        <v>3109</v>
      </c>
      <c r="F1743">
        <v>2</v>
      </c>
      <c r="G1743">
        <v>4</v>
      </c>
      <c r="H1743">
        <v>0</v>
      </c>
      <c r="I1743" t="s">
        <v>33</v>
      </c>
      <c r="J1743">
        <v>0</v>
      </c>
      <c r="K1743">
        <v>18</v>
      </c>
      <c r="L1743" t="s">
        <v>20</v>
      </c>
      <c r="M1743" t="s">
        <v>37</v>
      </c>
      <c r="N1743" t="s">
        <v>30</v>
      </c>
      <c r="O1743" t="s">
        <v>36</v>
      </c>
      <c r="P1743">
        <v>0.35</v>
      </c>
      <c r="Q1743" s="2" t="b">
        <f>FALSE()</f>
        <v>0</v>
      </c>
      <c r="R1743">
        <v>1</v>
      </c>
    </row>
    <row r="1744" spans="1:18" x14ac:dyDescent="0.25">
      <c r="A1744">
        <v>201743</v>
      </c>
      <c r="B1744">
        <v>55134</v>
      </c>
      <c r="C1744" t="s">
        <v>34</v>
      </c>
      <c r="D1744">
        <v>7022.95</v>
      </c>
      <c r="E1744">
        <v>305</v>
      </c>
      <c r="F1744">
        <v>0</v>
      </c>
      <c r="G1744">
        <v>5</v>
      </c>
      <c r="H1744">
        <v>0</v>
      </c>
      <c r="I1744" t="s">
        <v>19</v>
      </c>
      <c r="J1744">
        <v>1</v>
      </c>
      <c r="K1744">
        <v>33</v>
      </c>
      <c r="L1744" t="s">
        <v>24</v>
      </c>
      <c r="M1744" t="s">
        <v>21</v>
      </c>
      <c r="N1744" t="s">
        <v>26</v>
      </c>
      <c r="O1744" t="s">
        <v>27</v>
      </c>
      <c r="P1744">
        <v>2.39</v>
      </c>
      <c r="Q1744" s="2" t="b">
        <f>TRUE()</f>
        <v>1</v>
      </c>
      <c r="R1744">
        <v>1</v>
      </c>
    </row>
    <row r="1745" spans="1:18" x14ac:dyDescent="0.25">
      <c r="A1745">
        <v>201744</v>
      </c>
      <c r="B1745">
        <v>54600</v>
      </c>
      <c r="C1745" t="s">
        <v>34</v>
      </c>
      <c r="D1745">
        <v>4739.29</v>
      </c>
      <c r="E1745">
        <v>2015</v>
      </c>
      <c r="F1745">
        <v>2</v>
      </c>
      <c r="G1745">
        <v>6</v>
      </c>
      <c r="H1745">
        <v>1</v>
      </c>
      <c r="I1745" t="s">
        <v>33</v>
      </c>
      <c r="J1745">
        <v>0</v>
      </c>
      <c r="K1745">
        <v>22</v>
      </c>
      <c r="L1745" t="s">
        <v>24</v>
      </c>
      <c r="M1745" t="s">
        <v>35</v>
      </c>
      <c r="N1745" t="s">
        <v>26</v>
      </c>
      <c r="O1745" t="s">
        <v>36</v>
      </c>
      <c r="P1745">
        <v>3.03</v>
      </c>
      <c r="Q1745" s="2" t="b">
        <f>FALSE()</f>
        <v>0</v>
      </c>
      <c r="R1745">
        <v>1</v>
      </c>
    </row>
    <row r="1746" spans="1:18" x14ac:dyDescent="0.25">
      <c r="A1746">
        <v>201745</v>
      </c>
      <c r="B1746">
        <v>51094</v>
      </c>
      <c r="C1746" t="s">
        <v>18</v>
      </c>
      <c r="D1746">
        <v>2349.9499999999998</v>
      </c>
      <c r="E1746">
        <v>908</v>
      </c>
      <c r="F1746">
        <v>0</v>
      </c>
      <c r="G1746">
        <v>5</v>
      </c>
      <c r="H1746">
        <v>0</v>
      </c>
      <c r="I1746" t="s">
        <v>32</v>
      </c>
      <c r="J1746">
        <v>0</v>
      </c>
      <c r="K1746">
        <v>82</v>
      </c>
      <c r="L1746" t="s">
        <v>20</v>
      </c>
      <c r="M1746" t="s">
        <v>37</v>
      </c>
      <c r="N1746" t="s">
        <v>26</v>
      </c>
      <c r="O1746" t="s">
        <v>36</v>
      </c>
      <c r="P1746">
        <v>0.35</v>
      </c>
      <c r="Q1746" s="2" t="b">
        <f>FALSE()</f>
        <v>0</v>
      </c>
      <c r="R1746">
        <v>0</v>
      </c>
    </row>
    <row r="1747" spans="1:18" x14ac:dyDescent="0.25">
      <c r="A1747">
        <v>201746</v>
      </c>
      <c r="B1747">
        <v>51613</v>
      </c>
      <c r="C1747" t="s">
        <v>28</v>
      </c>
      <c r="D1747">
        <v>1146.78</v>
      </c>
      <c r="E1747">
        <v>546</v>
      </c>
      <c r="F1747">
        <v>1</v>
      </c>
      <c r="G1747">
        <v>1</v>
      </c>
      <c r="H1747">
        <v>0</v>
      </c>
      <c r="I1747" t="s">
        <v>32</v>
      </c>
      <c r="J1747">
        <v>1</v>
      </c>
      <c r="K1747">
        <v>55</v>
      </c>
      <c r="L1747" t="s">
        <v>20</v>
      </c>
      <c r="M1747" t="s">
        <v>21</v>
      </c>
      <c r="N1747" t="s">
        <v>26</v>
      </c>
      <c r="O1747" t="s">
        <v>36</v>
      </c>
      <c r="P1747">
        <v>4.9400000000000004</v>
      </c>
      <c r="Q1747" s="2" t="b">
        <f>FALSE()</f>
        <v>0</v>
      </c>
      <c r="R1747">
        <v>0</v>
      </c>
    </row>
    <row r="1748" spans="1:18" x14ac:dyDescent="0.25">
      <c r="A1748">
        <v>201747</v>
      </c>
      <c r="B1748">
        <v>54603</v>
      </c>
      <c r="C1748" t="s">
        <v>18</v>
      </c>
      <c r="D1748">
        <v>4351.51</v>
      </c>
      <c r="E1748">
        <v>708</v>
      </c>
      <c r="F1748">
        <v>0</v>
      </c>
      <c r="G1748">
        <v>7</v>
      </c>
      <c r="H1748">
        <v>1</v>
      </c>
      <c r="I1748" t="s">
        <v>19</v>
      </c>
      <c r="J1748">
        <v>0</v>
      </c>
      <c r="K1748">
        <v>37</v>
      </c>
      <c r="L1748" t="s">
        <v>24</v>
      </c>
      <c r="M1748" t="s">
        <v>21</v>
      </c>
      <c r="N1748" t="s">
        <v>30</v>
      </c>
      <c r="O1748" t="s">
        <v>23</v>
      </c>
      <c r="P1748">
        <v>5.35</v>
      </c>
      <c r="Q1748" s="2" t="b">
        <f>FALSE()</f>
        <v>0</v>
      </c>
      <c r="R1748">
        <v>1</v>
      </c>
    </row>
    <row r="1749" spans="1:18" x14ac:dyDescent="0.25">
      <c r="A1749">
        <v>201748</v>
      </c>
      <c r="B1749">
        <v>55332</v>
      </c>
      <c r="C1749" t="s">
        <v>28</v>
      </c>
      <c r="D1749">
        <v>1734.16</v>
      </c>
      <c r="E1749">
        <v>3023</v>
      </c>
      <c r="F1749">
        <v>2</v>
      </c>
      <c r="G1749">
        <v>3</v>
      </c>
      <c r="H1749">
        <v>1</v>
      </c>
      <c r="I1749" t="s">
        <v>33</v>
      </c>
      <c r="J1749">
        <v>1</v>
      </c>
      <c r="K1749">
        <v>74</v>
      </c>
      <c r="L1749" t="s">
        <v>20</v>
      </c>
      <c r="M1749" t="s">
        <v>37</v>
      </c>
      <c r="N1749" t="s">
        <v>22</v>
      </c>
      <c r="O1749" t="s">
        <v>27</v>
      </c>
      <c r="P1749">
        <v>1.5</v>
      </c>
      <c r="Q1749" s="2" t="b">
        <f>FALSE()</f>
        <v>0</v>
      </c>
      <c r="R1749">
        <v>0</v>
      </c>
    </row>
    <row r="1750" spans="1:18" x14ac:dyDescent="0.25">
      <c r="A1750">
        <v>201749</v>
      </c>
      <c r="B1750">
        <v>51026</v>
      </c>
      <c r="C1750" t="s">
        <v>34</v>
      </c>
      <c r="D1750">
        <v>1620.97</v>
      </c>
      <c r="E1750">
        <v>1994</v>
      </c>
      <c r="F1750">
        <v>1</v>
      </c>
      <c r="G1750">
        <v>6</v>
      </c>
      <c r="H1750">
        <v>0</v>
      </c>
      <c r="I1750" t="s">
        <v>33</v>
      </c>
      <c r="J1750">
        <v>1</v>
      </c>
      <c r="K1750">
        <v>49</v>
      </c>
      <c r="L1750" t="s">
        <v>20</v>
      </c>
      <c r="M1750" t="s">
        <v>35</v>
      </c>
      <c r="N1750" t="s">
        <v>22</v>
      </c>
      <c r="O1750" t="s">
        <v>23</v>
      </c>
      <c r="P1750">
        <v>0.86</v>
      </c>
      <c r="Q1750" s="2" t="b">
        <f>FALSE()</f>
        <v>0</v>
      </c>
      <c r="R1750">
        <v>0</v>
      </c>
    </row>
    <row r="1751" spans="1:18" x14ac:dyDescent="0.25">
      <c r="A1751">
        <v>201750</v>
      </c>
      <c r="B1751">
        <v>53982</v>
      </c>
      <c r="C1751" t="s">
        <v>18</v>
      </c>
      <c r="D1751">
        <v>6920.45</v>
      </c>
      <c r="E1751">
        <v>2317</v>
      </c>
      <c r="F1751">
        <v>1</v>
      </c>
      <c r="G1751">
        <v>3</v>
      </c>
      <c r="H1751">
        <v>0</v>
      </c>
      <c r="I1751" t="s">
        <v>33</v>
      </c>
      <c r="J1751">
        <v>1</v>
      </c>
      <c r="K1751">
        <v>43</v>
      </c>
      <c r="L1751" t="s">
        <v>24</v>
      </c>
      <c r="M1751" t="s">
        <v>31</v>
      </c>
      <c r="N1751" t="s">
        <v>26</v>
      </c>
      <c r="O1751" t="s">
        <v>23</v>
      </c>
      <c r="P1751">
        <v>8.59</v>
      </c>
      <c r="Q1751" s="2" t="b">
        <f>FALSE()</f>
        <v>0</v>
      </c>
      <c r="R1751">
        <v>1</v>
      </c>
    </row>
    <row r="1752" spans="1:18" x14ac:dyDescent="0.25">
      <c r="A1752">
        <v>201751</v>
      </c>
      <c r="B1752">
        <v>55274</v>
      </c>
      <c r="C1752" t="s">
        <v>18</v>
      </c>
      <c r="D1752">
        <v>2897.14</v>
      </c>
      <c r="E1752">
        <v>394</v>
      </c>
      <c r="F1752">
        <v>0</v>
      </c>
      <c r="G1752">
        <v>3</v>
      </c>
      <c r="H1752">
        <v>0</v>
      </c>
      <c r="I1752" t="s">
        <v>19</v>
      </c>
      <c r="J1752">
        <v>0</v>
      </c>
      <c r="K1752">
        <v>29</v>
      </c>
      <c r="L1752" t="s">
        <v>20</v>
      </c>
      <c r="M1752" t="s">
        <v>35</v>
      </c>
      <c r="N1752" t="s">
        <v>22</v>
      </c>
      <c r="O1752" t="s">
        <v>27</v>
      </c>
      <c r="P1752">
        <v>2.67</v>
      </c>
      <c r="Q1752" s="2" t="b">
        <f>FALSE()</f>
        <v>0</v>
      </c>
      <c r="R1752">
        <v>0</v>
      </c>
    </row>
    <row r="1753" spans="1:18" x14ac:dyDescent="0.25">
      <c r="A1753">
        <v>201752</v>
      </c>
      <c r="B1753">
        <v>53285</v>
      </c>
      <c r="C1753" t="s">
        <v>34</v>
      </c>
      <c r="D1753">
        <v>3087.49</v>
      </c>
      <c r="E1753">
        <v>95</v>
      </c>
      <c r="F1753">
        <v>1</v>
      </c>
      <c r="G1753">
        <v>4</v>
      </c>
      <c r="H1753">
        <v>1</v>
      </c>
      <c r="I1753" t="s">
        <v>32</v>
      </c>
      <c r="J1753">
        <v>0</v>
      </c>
      <c r="K1753">
        <v>47</v>
      </c>
      <c r="L1753" t="s">
        <v>24</v>
      </c>
      <c r="M1753" t="s">
        <v>35</v>
      </c>
      <c r="N1753" t="s">
        <v>26</v>
      </c>
      <c r="O1753" t="s">
        <v>36</v>
      </c>
      <c r="P1753">
        <v>0.56999999999999995</v>
      </c>
      <c r="Q1753" s="2" t="b">
        <f>FALSE()</f>
        <v>0</v>
      </c>
      <c r="R1753">
        <v>0</v>
      </c>
    </row>
    <row r="1754" spans="1:18" x14ac:dyDescent="0.25">
      <c r="A1754">
        <v>201753</v>
      </c>
      <c r="B1754">
        <v>51494</v>
      </c>
      <c r="C1754" t="s">
        <v>34</v>
      </c>
      <c r="D1754">
        <v>2362.67</v>
      </c>
      <c r="E1754">
        <v>685</v>
      </c>
      <c r="F1754">
        <v>0</v>
      </c>
      <c r="G1754">
        <v>2</v>
      </c>
      <c r="H1754">
        <v>0</v>
      </c>
      <c r="I1754" t="s">
        <v>19</v>
      </c>
      <c r="J1754">
        <v>0</v>
      </c>
      <c r="K1754">
        <v>57</v>
      </c>
      <c r="L1754" t="s">
        <v>24</v>
      </c>
      <c r="M1754" t="s">
        <v>37</v>
      </c>
      <c r="N1754" t="s">
        <v>22</v>
      </c>
      <c r="O1754" t="s">
        <v>27</v>
      </c>
      <c r="P1754">
        <v>0.94</v>
      </c>
      <c r="Q1754" s="2" t="b">
        <f>FALSE()</f>
        <v>0</v>
      </c>
      <c r="R1754">
        <v>0</v>
      </c>
    </row>
    <row r="1755" spans="1:18" x14ac:dyDescent="0.25">
      <c r="A1755">
        <v>201754</v>
      </c>
      <c r="B1755">
        <v>52413</v>
      </c>
      <c r="C1755" t="s">
        <v>18</v>
      </c>
      <c r="D1755">
        <v>1866.33</v>
      </c>
      <c r="E1755">
        <v>2743</v>
      </c>
      <c r="F1755">
        <v>2</v>
      </c>
      <c r="G1755">
        <v>8</v>
      </c>
      <c r="H1755">
        <v>0</v>
      </c>
      <c r="I1755" t="s">
        <v>33</v>
      </c>
      <c r="J1755">
        <v>0</v>
      </c>
      <c r="K1755">
        <v>29</v>
      </c>
      <c r="L1755" t="s">
        <v>24</v>
      </c>
      <c r="M1755" t="s">
        <v>35</v>
      </c>
      <c r="N1755" t="s">
        <v>30</v>
      </c>
      <c r="O1755" t="s">
        <v>36</v>
      </c>
      <c r="P1755">
        <v>5.35</v>
      </c>
      <c r="Q1755" s="2" t="b">
        <f>FALSE()</f>
        <v>0</v>
      </c>
      <c r="R1755">
        <v>1</v>
      </c>
    </row>
    <row r="1756" spans="1:18" x14ac:dyDescent="0.25">
      <c r="A1756">
        <v>201755</v>
      </c>
      <c r="B1756">
        <v>55336</v>
      </c>
      <c r="C1756" t="s">
        <v>28</v>
      </c>
      <c r="D1756">
        <v>1397.73</v>
      </c>
      <c r="E1756">
        <v>3106</v>
      </c>
      <c r="F1756">
        <v>1</v>
      </c>
      <c r="G1756">
        <v>2</v>
      </c>
      <c r="H1756">
        <v>1</v>
      </c>
      <c r="I1756" t="s">
        <v>19</v>
      </c>
      <c r="J1756">
        <v>0</v>
      </c>
      <c r="K1756">
        <v>60</v>
      </c>
      <c r="L1756" t="s">
        <v>20</v>
      </c>
      <c r="M1756" t="s">
        <v>35</v>
      </c>
      <c r="N1756" t="s">
        <v>22</v>
      </c>
      <c r="O1756" t="s">
        <v>36</v>
      </c>
      <c r="P1756">
        <v>7.0000000000000007E-2</v>
      </c>
      <c r="Q1756" s="2" t="b">
        <f>FALSE()</f>
        <v>0</v>
      </c>
      <c r="R1756">
        <v>0</v>
      </c>
    </row>
    <row r="1757" spans="1:18" x14ac:dyDescent="0.25">
      <c r="A1757">
        <v>201756</v>
      </c>
      <c r="B1757">
        <v>50108</v>
      </c>
      <c r="C1757" t="s">
        <v>34</v>
      </c>
      <c r="D1757">
        <v>3014.04</v>
      </c>
      <c r="E1757">
        <v>2301</v>
      </c>
      <c r="F1757">
        <v>0</v>
      </c>
      <c r="G1757">
        <v>5</v>
      </c>
      <c r="H1757">
        <v>1</v>
      </c>
      <c r="I1757" t="s">
        <v>33</v>
      </c>
      <c r="J1757">
        <v>0</v>
      </c>
      <c r="K1757">
        <v>80</v>
      </c>
      <c r="L1757" t="s">
        <v>24</v>
      </c>
      <c r="M1757" t="s">
        <v>35</v>
      </c>
      <c r="N1757" t="s">
        <v>30</v>
      </c>
      <c r="O1757" t="s">
        <v>36</v>
      </c>
      <c r="P1757">
        <v>1.01</v>
      </c>
      <c r="Q1757" s="2" t="b">
        <f>FALSE()</f>
        <v>0</v>
      </c>
      <c r="R1757">
        <v>0</v>
      </c>
    </row>
    <row r="1758" spans="1:18" x14ac:dyDescent="0.25">
      <c r="A1758">
        <v>201757</v>
      </c>
      <c r="B1758">
        <v>51268</v>
      </c>
      <c r="C1758" t="s">
        <v>18</v>
      </c>
      <c r="D1758">
        <v>2839.88</v>
      </c>
      <c r="E1758">
        <v>1067</v>
      </c>
      <c r="F1758">
        <v>0</v>
      </c>
      <c r="G1758">
        <v>6</v>
      </c>
      <c r="H1758">
        <v>0</v>
      </c>
      <c r="I1758" t="s">
        <v>33</v>
      </c>
      <c r="J1758">
        <v>0</v>
      </c>
      <c r="K1758">
        <v>18</v>
      </c>
      <c r="L1758" t="s">
        <v>24</v>
      </c>
      <c r="M1758" t="s">
        <v>29</v>
      </c>
      <c r="N1758" t="s">
        <v>22</v>
      </c>
      <c r="O1758" t="s">
        <v>27</v>
      </c>
      <c r="P1758">
        <v>6.48</v>
      </c>
      <c r="Q1758" s="2" t="b">
        <f>FALSE()</f>
        <v>0</v>
      </c>
      <c r="R1758">
        <v>0</v>
      </c>
    </row>
    <row r="1759" spans="1:18" x14ac:dyDescent="0.25">
      <c r="A1759">
        <v>201758</v>
      </c>
      <c r="B1759">
        <v>55926</v>
      </c>
      <c r="C1759" t="s">
        <v>18</v>
      </c>
      <c r="D1759">
        <v>1246.5899999999999</v>
      </c>
      <c r="E1759">
        <v>2832</v>
      </c>
      <c r="F1759">
        <v>0</v>
      </c>
      <c r="G1759">
        <v>4</v>
      </c>
      <c r="H1759">
        <v>0</v>
      </c>
      <c r="I1759" t="s">
        <v>32</v>
      </c>
      <c r="J1759">
        <v>0</v>
      </c>
      <c r="K1759">
        <v>32</v>
      </c>
      <c r="L1759" t="s">
        <v>20</v>
      </c>
      <c r="M1759" t="s">
        <v>25</v>
      </c>
      <c r="N1759" t="s">
        <v>26</v>
      </c>
      <c r="O1759" t="s">
        <v>36</v>
      </c>
      <c r="P1759">
        <v>2.31</v>
      </c>
      <c r="Q1759" s="2" t="b">
        <f>FALSE()</f>
        <v>0</v>
      </c>
      <c r="R1759">
        <v>0</v>
      </c>
    </row>
    <row r="1760" spans="1:18" x14ac:dyDescent="0.25">
      <c r="A1760">
        <v>201759</v>
      </c>
      <c r="B1760">
        <v>54740</v>
      </c>
      <c r="C1760" t="s">
        <v>18</v>
      </c>
      <c r="D1760">
        <v>457.35</v>
      </c>
      <c r="E1760">
        <v>3097</v>
      </c>
      <c r="F1760">
        <v>0</v>
      </c>
      <c r="G1760">
        <v>2</v>
      </c>
      <c r="H1760">
        <v>0</v>
      </c>
      <c r="I1760" t="s">
        <v>33</v>
      </c>
      <c r="J1760">
        <v>0</v>
      </c>
      <c r="K1760">
        <v>83</v>
      </c>
      <c r="L1760" t="s">
        <v>24</v>
      </c>
      <c r="M1760" t="s">
        <v>21</v>
      </c>
      <c r="N1760" t="s">
        <v>30</v>
      </c>
      <c r="O1760" t="s">
        <v>23</v>
      </c>
      <c r="P1760">
        <v>2.41</v>
      </c>
      <c r="Q1760" s="2" t="b">
        <f>FALSE()</f>
        <v>0</v>
      </c>
      <c r="R1760">
        <v>0</v>
      </c>
    </row>
    <row r="1761" spans="1:18" x14ac:dyDescent="0.25">
      <c r="A1761">
        <v>201760</v>
      </c>
      <c r="B1761">
        <v>51158</v>
      </c>
      <c r="C1761" t="s">
        <v>34</v>
      </c>
      <c r="D1761">
        <v>3268.81</v>
      </c>
      <c r="E1761">
        <v>3460</v>
      </c>
      <c r="F1761">
        <v>1</v>
      </c>
      <c r="G1761">
        <v>2</v>
      </c>
      <c r="H1761">
        <v>0</v>
      </c>
      <c r="I1761" t="s">
        <v>33</v>
      </c>
      <c r="J1761">
        <v>0</v>
      </c>
      <c r="K1761">
        <v>37</v>
      </c>
      <c r="L1761" t="s">
        <v>20</v>
      </c>
      <c r="M1761" t="s">
        <v>21</v>
      </c>
      <c r="N1761" t="s">
        <v>26</v>
      </c>
      <c r="O1761" t="s">
        <v>27</v>
      </c>
      <c r="P1761">
        <v>0.99</v>
      </c>
      <c r="Q1761" s="2" t="b">
        <f>FALSE()</f>
        <v>0</v>
      </c>
      <c r="R1761">
        <v>0</v>
      </c>
    </row>
    <row r="1762" spans="1:18" x14ac:dyDescent="0.25">
      <c r="A1762">
        <v>201761</v>
      </c>
      <c r="B1762">
        <v>50288</v>
      </c>
      <c r="C1762" t="s">
        <v>28</v>
      </c>
      <c r="D1762">
        <v>7177.21</v>
      </c>
      <c r="E1762">
        <v>1234</v>
      </c>
      <c r="F1762">
        <v>0</v>
      </c>
      <c r="G1762">
        <v>4</v>
      </c>
      <c r="H1762">
        <v>0</v>
      </c>
      <c r="I1762" t="s">
        <v>33</v>
      </c>
      <c r="J1762">
        <v>1</v>
      </c>
      <c r="K1762">
        <v>43</v>
      </c>
      <c r="L1762" t="s">
        <v>20</v>
      </c>
      <c r="M1762" t="s">
        <v>35</v>
      </c>
      <c r="N1762" t="s">
        <v>26</v>
      </c>
      <c r="O1762" t="s">
        <v>27</v>
      </c>
      <c r="P1762">
        <v>2.3199999999999998</v>
      </c>
      <c r="Q1762" s="2" t="b">
        <f>TRUE()</f>
        <v>1</v>
      </c>
      <c r="R1762">
        <v>1</v>
      </c>
    </row>
    <row r="1763" spans="1:18" x14ac:dyDescent="0.25">
      <c r="A1763">
        <v>201762</v>
      </c>
      <c r="B1763">
        <v>54270</v>
      </c>
      <c r="C1763" t="s">
        <v>34</v>
      </c>
      <c r="D1763">
        <v>1338.86</v>
      </c>
      <c r="E1763">
        <v>2220</v>
      </c>
      <c r="F1763">
        <v>0</v>
      </c>
      <c r="G1763">
        <v>6</v>
      </c>
      <c r="H1763">
        <v>0</v>
      </c>
      <c r="I1763" t="s">
        <v>32</v>
      </c>
      <c r="J1763">
        <v>0</v>
      </c>
      <c r="K1763">
        <v>24</v>
      </c>
      <c r="L1763" t="s">
        <v>20</v>
      </c>
      <c r="M1763" t="s">
        <v>21</v>
      </c>
      <c r="N1763" t="s">
        <v>22</v>
      </c>
      <c r="O1763" t="s">
        <v>36</v>
      </c>
      <c r="P1763">
        <v>2.61</v>
      </c>
      <c r="Q1763" s="2" t="b">
        <f>FALSE()</f>
        <v>0</v>
      </c>
      <c r="R1763">
        <v>0</v>
      </c>
    </row>
    <row r="1764" spans="1:18" x14ac:dyDescent="0.25">
      <c r="A1764">
        <v>201763</v>
      </c>
      <c r="B1764">
        <v>50066</v>
      </c>
      <c r="C1764" t="s">
        <v>18</v>
      </c>
      <c r="D1764">
        <v>6911.21</v>
      </c>
      <c r="E1764">
        <v>2632</v>
      </c>
      <c r="F1764">
        <v>0</v>
      </c>
      <c r="G1764">
        <v>8</v>
      </c>
      <c r="H1764">
        <v>1</v>
      </c>
      <c r="I1764" t="s">
        <v>19</v>
      </c>
      <c r="J1764">
        <v>0</v>
      </c>
      <c r="K1764">
        <v>42</v>
      </c>
      <c r="L1764" t="s">
        <v>24</v>
      </c>
      <c r="M1764" t="s">
        <v>31</v>
      </c>
      <c r="N1764" t="s">
        <v>22</v>
      </c>
      <c r="O1764" t="s">
        <v>36</v>
      </c>
      <c r="P1764">
        <v>4.97</v>
      </c>
      <c r="Q1764" s="2" t="b">
        <f>FALSE()</f>
        <v>0</v>
      </c>
      <c r="R1764">
        <v>1</v>
      </c>
    </row>
    <row r="1765" spans="1:18" x14ac:dyDescent="0.25">
      <c r="A1765">
        <v>201764</v>
      </c>
      <c r="B1765">
        <v>53403</v>
      </c>
      <c r="C1765" t="s">
        <v>18</v>
      </c>
      <c r="D1765">
        <v>2907.82</v>
      </c>
      <c r="E1765">
        <v>3588</v>
      </c>
      <c r="F1765">
        <v>0</v>
      </c>
      <c r="G1765">
        <v>3</v>
      </c>
      <c r="H1765">
        <v>0</v>
      </c>
      <c r="I1765" t="s">
        <v>33</v>
      </c>
      <c r="J1765">
        <v>0</v>
      </c>
      <c r="K1765">
        <v>21</v>
      </c>
      <c r="L1765" t="s">
        <v>20</v>
      </c>
      <c r="M1765" t="s">
        <v>31</v>
      </c>
      <c r="N1765" t="s">
        <v>22</v>
      </c>
      <c r="O1765" t="s">
        <v>36</v>
      </c>
      <c r="P1765">
        <v>2.2000000000000002</v>
      </c>
      <c r="Q1765" s="2" t="b">
        <f>FALSE()</f>
        <v>0</v>
      </c>
      <c r="R1765">
        <v>0</v>
      </c>
    </row>
    <row r="1766" spans="1:18" x14ac:dyDescent="0.25">
      <c r="A1766">
        <v>201765</v>
      </c>
      <c r="B1766">
        <v>52280</v>
      </c>
      <c r="C1766" t="s">
        <v>18</v>
      </c>
      <c r="D1766">
        <v>370.8</v>
      </c>
      <c r="E1766">
        <v>1414</v>
      </c>
      <c r="F1766">
        <v>1</v>
      </c>
      <c r="G1766">
        <v>6</v>
      </c>
      <c r="H1766">
        <v>0</v>
      </c>
      <c r="I1766" t="s">
        <v>33</v>
      </c>
      <c r="J1766">
        <v>0</v>
      </c>
      <c r="K1766">
        <v>75</v>
      </c>
      <c r="L1766" t="s">
        <v>20</v>
      </c>
      <c r="M1766" t="s">
        <v>21</v>
      </c>
      <c r="N1766" t="s">
        <v>26</v>
      </c>
      <c r="O1766" t="s">
        <v>27</v>
      </c>
      <c r="P1766">
        <v>2.74</v>
      </c>
      <c r="Q1766" s="2" t="b">
        <f>FALSE()</f>
        <v>0</v>
      </c>
      <c r="R1766">
        <v>0</v>
      </c>
    </row>
    <row r="1767" spans="1:18" x14ac:dyDescent="0.25">
      <c r="A1767">
        <v>201766</v>
      </c>
      <c r="B1767">
        <v>53533</v>
      </c>
      <c r="C1767" t="s">
        <v>18</v>
      </c>
      <c r="D1767">
        <v>1330.26</v>
      </c>
      <c r="E1767">
        <v>3478</v>
      </c>
      <c r="F1767">
        <v>0</v>
      </c>
      <c r="G1767">
        <v>5</v>
      </c>
      <c r="H1767">
        <v>1</v>
      </c>
      <c r="I1767" t="s">
        <v>33</v>
      </c>
      <c r="J1767">
        <v>0</v>
      </c>
      <c r="K1767">
        <v>81</v>
      </c>
      <c r="L1767" t="s">
        <v>20</v>
      </c>
      <c r="M1767" t="s">
        <v>35</v>
      </c>
      <c r="N1767" t="s">
        <v>22</v>
      </c>
      <c r="O1767" t="s">
        <v>27</v>
      </c>
      <c r="P1767">
        <v>1.39</v>
      </c>
      <c r="Q1767" s="2" t="b">
        <f>FALSE()</f>
        <v>0</v>
      </c>
      <c r="R1767">
        <v>0</v>
      </c>
    </row>
    <row r="1768" spans="1:18" x14ac:dyDescent="0.25">
      <c r="A1768">
        <v>201767</v>
      </c>
      <c r="B1768">
        <v>54749</v>
      </c>
      <c r="C1768" t="s">
        <v>34</v>
      </c>
      <c r="D1768">
        <v>6663.62</v>
      </c>
      <c r="E1768">
        <v>2354</v>
      </c>
      <c r="F1768">
        <v>1</v>
      </c>
      <c r="G1768">
        <v>5</v>
      </c>
      <c r="H1768">
        <v>0</v>
      </c>
      <c r="I1768" t="s">
        <v>19</v>
      </c>
      <c r="J1768">
        <v>0</v>
      </c>
      <c r="K1768">
        <v>62</v>
      </c>
      <c r="L1768" t="s">
        <v>20</v>
      </c>
      <c r="M1768" t="s">
        <v>29</v>
      </c>
      <c r="N1768" t="s">
        <v>22</v>
      </c>
      <c r="O1768" t="s">
        <v>27</v>
      </c>
      <c r="P1768">
        <v>4.74</v>
      </c>
      <c r="Q1768" s="2" t="b">
        <f>FALSE()</f>
        <v>0</v>
      </c>
      <c r="R1768">
        <v>1</v>
      </c>
    </row>
    <row r="1769" spans="1:18" x14ac:dyDescent="0.25">
      <c r="A1769">
        <v>201768</v>
      </c>
      <c r="B1769">
        <v>54803</v>
      </c>
      <c r="C1769" t="s">
        <v>34</v>
      </c>
      <c r="D1769">
        <v>5298.04</v>
      </c>
      <c r="E1769">
        <v>2314</v>
      </c>
      <c r="F1769">
        <v>0</v>
      </c>
      <c r="G1769">
        <v>6</v>
      </c>
      <c r="H1769">
        <v>0</v>
      </c>
      <c r="I1769" t="s">
        <v>19</v>
      </c>
      <c r="J1769">
        <v>0</v>
      </c>
      <c r="K1769">
        <v>51</v>
      </c>
      <c r="L1769" t="s">
        <v>24</v>
      </c>
      <c r="M1769" t="s">
        <v>21</v>
      </c>
      <c r="N1769" t="s">
        <v>26</v>
      </c>
      <c r="O1769" t="s">
        <v>36</v>
      </c>
      <c r="P1769">
        <v>3.68</v>
      </c>
      <c r="Q1769" s="2" t="b">
        <f>FALSE()</f>
        <v>0</v>
      </c>
      <c r="R1769">
        <v>1</v>
      </c>
    </row>
    <row r="1770" spans="1:18" x14ac:dyDescent="0.25">
      <c r="A1770">
        <v>201769</v>
      </c>
      <c r="B1770">
        <v>52791</v>
      </c>
      <c r="C1770" t="s">
        <v>34</v>
      </c>
      <c r="D1770">
        <v>546.33000000000004</v>
      </c>
      <c r="E1770">
        <v>1472</v>
      </c>
      <c r="F1770">
        <v>3</v>
      </c>
      <c r="G1770">
        <v>1</v>
      </c>
      <c r="H1770">
        <v>1</v>
      </c>
      <c r="I1770" t="s">
        <v>33</v>
      </c>
      <c r="J1770">
        <v>0</v>
      </c>
      <c r="K1770">
        <v>72</v>
      </c>
      <c r="L1770" t="s">
        <v>20</v>
      </c>
      <c r="M1770" t="s">
        <v>25</v>
      </c>
      <c r="N1770" t="s">
        <v>30</v>
      </c>
      <c r="O1770" t="s">
        <v>27</v>
      </c>
      <c r="P1770">
        <v>0.25</v>
      </c>
      <c r="Q1770" s="2" t="b">
        <f>FALSE()</f>
        <v>0</v>
      </c>
      <c r="R1770">
        <v>1</v>
      </c>
    </row>
    <row r="1771" spans="1:18" x14ac:dyDescent="0.25">
      <c r="A1771">
        <v>201770</v>
      </c>
      <c r="B1771">
        <v>51613</v>
      </c>
      <c r="C1771" t="s">
        <v>34</v>
      </c>
      <c r="D1771">
        <v>1153.8900000000001</v>
      </c>
      <c r="E1771">
        <v>1945</v>
      </c>
      <c r="F1771">
        <v>0</v>
      </c>
      <c r="G1771">
        <v>3</v>
      </c>
      <c r="H1771">
        <v>1</v>
      </c>
      <c r="I1771" t="s">
        <v>33</v>
      </c>
      <c r="J1771">
        <v>0</v>
      </c>
      <c r="K1771">
        <v>62</v>
      </c>
      <c r="L1771" t="s">
        <v>24</v>
      </c>
      <c r="M1771" t="s">
        <v>29</v>
      </c>
      <c r="N1771" t="s">
        <v>22</v>
      </c>
      <c r="O1771" t="s">
        <v>36</v>
      </c>
      <c r="P1771">
        <v>2.4700000000000002</v>
      </c>
      <c r="Q1771" s="2" t="b">
        <f>FALSE()</f>
        <v>0</v>
      </c>
      <c r="R1771">
        <v>0</v>
      </c>
    </row>
    <row r="1772" spans="1:18" x14ac:dyDescent="0.25">
      <c r="A1772">
        <v>201771</v>
      </c>
      <c r="B1772">
        <v>50056</v>
      </c>
      <c r="C1772" t="s">
        <v>34</v>
      </c>
      <c r="D1772">
        <v>3156.17</v>
      </c>
      <c r="E1772">
        <v>3570</v>
      </c>
      <c r="F1772">
        <v>0</v>
      </c>
      <c r="G1772">
        <v>6</v>
      </c>
      <c r="H1772">
        <v>0</v>
      </c>
      <c r="I1772" t="s">
        <v>19</v>
      </c>
      <c r="J1772">
        <v>0</v>
      </c>
      <c r="K1772">
        <v>77</v>
      </c>
      <c r="L1772" t="s">
        <v>24</v>
      </c>
      <c r="M1772" t="s">
        <v>29</v>
      </c>
      <c r="N1772" t="s">
        <v>26</v>
      </c>
      <c r="O1772" t="s">
        <v>27</v>
      </c>
      <c r="P1772">
        <v>1.65</v>
      </c>
      <c r="Q1772" s="2" t="b">
        <f>FALSE()</f>
        <v>0</v>
      </c>
      <c r="R1772">
        <v>0</v>
      </c>
    </row>
    <row r="1773" spans="1:18" x14ac:dyDescent="0.25">
      <c r="A1773">
        <v>201772</v>
      </c>
      <c r="B1773">
        <v>50876</v>
      </c>
      <c r="C1773" t="s">
        <v>18</v>
      </c>
      <c r="D1773">
        <v>4008.52</v>
      </c>
      <c r="E1773">
        <v>3039</v>
      </c>
      <c r="F1773">
        <v>0</v>
      </c>
      <c r="G1773">
        <v>3</v>
      </c>
      <c r="H1773">
        <v>1</v>
      </c>
      <c r="I1773" t="s">
        <v>33</v>
      </c>
      <c r="J1773">
        <v>0</v>
      </c>
      <c r="K1773">
        <v>58</v>
      </c>
      <c r="L1773" t="s">
        <v>24</v>
      </c>
      <c r="M1773" t="s">
        <v>35</v>
      </c>
      <c r="N1773" t="s">
        <v>30</v>
      </c>
      <c r="O1773" t="s">
        <v>36</v>
      </c>
      <c r="P1773">
        <v>2.65</v>
      </c>
      <c r="Q1773" s="2" t="b">
        <f>FALSE()</f>
        <v>0</v>
      </c>
      <c r="R1773">
        <v>1</v>
      </c>
    </row>
    <row r="1774" spans="1:18" x14ac:dyDescent="0.25">
      <c r="A1774">
        <v>201773</v>
      </c>
      <c r="B1774">
        <v>50219</v>
      </c>
      <c r="C1774" t="s">
        <v>34</v>
      </c>
      <c r="D1774">
        <v>1782.22</v>
      </c>
      <c r="E1774">
        <v>2386</v>
      </c>
      <c r="F1774">
        <v>2</v>
      </c>
      <c r="G1774">
        <v>1</v>
      </c>
      <c r="H1774">
        <v>1</v>
      </c>
      <c r="I1774" t="s">
        <v>33</v>
      </c>
      <c r="J1774">
        <v>0</v>
      </c>
      <c r="K1774">
        <v>45</v>
      </c>
      <c r="L1774" t="s">
        <v>20</v>
      </c>
      <c r="M1774" t="s">
        <v>29</v>
      </c>
      <c r="N1774" t="s">
        <v>22</v>
      </c>
      <c r="O1774" t="s">
        <v>23</v>
      </c>
      <c r="P1774">
        <v>0.98</v>
      </c>
      <c r="Q1774" s="2" t="b">
        <f>FALSE()</f>
        <v>0</v>
      </c>
      <c r="R1774">
        <v>0</v>
      </c>
    </row>
    <row r="1775" spans="1:18" x14ac:dyDescent="0.25">
      <c r="A1775">
        <v>201774</v>
      </c>
      <c r="B1775">
        <v>55886</v>
      </c>
      <c r="C1775" t="s">
        <v>28</v>
      </c>
      <c r="D1775">
        <v>1455.89</v>
      </c>
      <c r="E1775">
        <v>3266</v>
      </c>
      <c r="F1775">
        <v>3</v>
      </c>
      <c r="G1775">
        <v>3</v>
      </c>
      <c r="H1775">
        <v>1</v>
      </c>
      <c r="I1775" t="s">
        <v>33</v>
      </c>
      <c r="J1775">
        <v>0</v>
      </c>
      <c r="K1775">
        <v>43</v>
      </c>
      <c r="L1775" t="s">
        <v>24</v>
      </c>
      <c r="M1775" t="s">
        <v>29</v>
      </c>
      <c r="N1775" t="s">
        <v>30</v>
      </c>
      <c r="O1775" t="s">
        <v>36</v>
      </c>
      <c r="P1775">
        <v>2.14</v>
      </c>
      <c r="Q1775" s="2" t="b">
        <f>FALSE()</f>
        <v>0</v>
      </c>
      <c r="R1775">
        <v>1</v>
      </c>
    </row>
    <row r="1776" spans="1:18" x14ac:dyDescent="0.25">
      <c r="A1776">
        <v>201775</v>
      </c>
      <c r="B1776">
        <v>55528</v>
      </c>
      <c r="C1776" t="s">
        <v>34</v>
      </c>
      <c r="D1776">
        <v>2703.31</v>
      </c>
      <c r="E1776">
        <v>380</v>
      </c>
      <c r="F1776">
        <v>0</v>
      </c>
      <c r="G1776">
        <v>2</v>
      </c>
      <c r="H1776">
        <v>1</v>
      </c>
      <c r="I1776" t="s">
        <v>19</v>
      </c>
      <c r="J1776">
        <v>0</v>
      </c>
      <c r="K1776">
        <v>77</v>
      </c>
      <c r="L1776" t="s">
        <v>20</v>
      </c>
      <c r="M1776" t="s">
        <v>21</v>
      </c>
      <c r="N1776" t="s">
        <v>30</v>
      </c>
      <c r="O1776" t="s">
        <v>36</v>
      </c>
      <c r="P1776">
        <v>0.82</v>
      </c>
      <c r="Q1776" s="2" t="b">
        <f>FALSE()</f>
        <v>0</v>
      </c>
      <c r="R1776">
        <v>0</v>
      </c>
    </row>
    <row r="1777" spans="1:18" x14ac:dyDescent="0.25">
      <c r="A1777">
        <v>201776</v>
      </c>
      <c r="B1777">
        <v>52991</v>
      </c>
      <c r="C1777" t="s">
        <v>18</v>
      </c>
      <c r="D1777">
        <v>761.38</v>
      </c>
      <c r="E1777">
        <v>1655</v>
      </c>
      <c r="F1777">
        <v>1</v>
      </c>
      <c r="G1777">
        <v>2</v>
      </c>
      <c r="H1777">
        <v>0</v>
      </c>
      <c r="I1777" t="s">
        <v>19</v>
      </c>
      <c r="J1777">
        <v>0</v>
      </c>
      <c r="K1777">
        <v>63</v>
      </c>
      <c r="L1777" t="s">
        <v>20</v>
      </c>
      <c r="M1777" t="s">
        <v>31</v>
      </c>
      <c r="N1777" t="s">
        <v>22</v>
      </c>
      <c r="O1777" t="s">
        <v>23</v>
      </c>
      <c r="P1777">
        <v>9.33</v>
      </c>
      <c r="Q1777" s="2" t="b">
        <f>FALSE()</f>
        <v>0</v>
      </c>
      <c r="R1777">
        <v>0</v>
      </c>
    </row>
    <row r="1778" spans="1:18" x14ac:dyDescent="0.25">
      <c r="A1778">
        <v>201777</v>
      </c>
      <c r="B1778">
        <v>53288</v>
      </c>
      <c r="C1778" t="s">
        <v>18</v>
      </c>
      <c r="D1778">
        <v>1149.67</v>
      </c>
      <c r="E1778">
        <v>1548</v>
      </c>
      <c r="F1778">
        <v>0</v>
      </c>
      <c r="G1778">
        <v>8</v>
      </c>
      <c r="H1778">
        <v>0</v>
      </c>
      <c r="I1778" t="s">
        <v>19</v>
      </c>
      <c r="J1778">
        <v>0</v>
      </c>
      <c r="K1778">
        <v>75</v>
      </c>
      <c r="L1778" t="s">
        <v>24</v>
      </c>
      <c r="M1778" t="s">
        <v>37</v>
      </c>
      <c r="N1778" t="s">
        <v>30</v>
      </c>
      <c r="O1778" t="s">
        <v>27</v>
      </c>
      <c r="P1778">
        <v>2.77</v>
      </c>
      <c r="Q1778" s="2" t="b">
        <f>FALSE()</f>
        <v>0</v>
      </c>
      <c r="R1778">
        <v>1</v>
      </c>
    </row>
    <row r="1779" spans="1:18" x14ac:dyDescent="0.25">
      <c r="A1779">
        <v>201778</v>
      </c>
      <c r="B1779">
        <v>55354</v>
      </c>
      <c r="C1779" t="s">
        <v>18</v>
      </c>
      <c r="D1779">
        <v>2396.44</v>
      </c>
      <c r="E1779">
        <v>2023</v>
      </c>
      <c r="F1779">
        <v>1</v>
      </c>
      <c r="G1779">
        <v>3</v>
      </c>
      <c r="H1779">
        <v>0</v>
      </c>
      <c r="I1779" t="s">
        <v>32</v>
      </c>
      <c r="J1779">
        <v>0</v>
      </c>
      <c r="K1779">
        <v>35</v>
      </c>
      <c r="L1779" t="s">
        <v>24</v>
      </c>
      <c r="M1779" t="s">
        <v>31</v>
      </c>
      <c r="N1779" t="s">
        <v>22</v>
      </c>
      <c r="O1779" t="s">
        <v>36</v>
      </c>
      <c r="P1779">
        <v>2.2000000000000002</v>
      </c>
      <c r="Q1779" s="2" t="b">
        <f>FALSE()</f>
        <v>0</v>
      </c>
      <c r="R1779">
        <v>0</v>
      </c>
    </row>
    <row r="1780" spans="1:18" x14ac:dyDescent="0.25">
      <c r="A1780">
        <v>201779</v>
      </c>
      <c r="B1780">
        <v>50824</v>
      </c>
      <c r="C1780" t="s">
        <v>34</v>
      </c>
      <c r="D1780">
        <v>2451.9499999999998</v>
      </c>
      <c r="E1780">
        <v>1557</v>
      </c>
      <c r="F1780">
        <v>0</v>
      </c>
      <c r="G1780">
        <v>5</v>
      </c>
      <c r="H1780">
        <v>0</v>
      </c>
      <c r="I1780" t="s">
        <v>19</v>
      </c>
      <c r="J1780">
        <v>0</v>
      </c>
      <c r="K1780">
        <v>62</v>
      </c>
      <c r="L1780" t="s">
        <v>24</v>
      </c>
      <c r="M1780" t="s">
        <v>31</v>
      </c>
      <c r="N1780" t="s">
        <v>30</v>
      </c>
      <c r="O1780" t="s">
        <v>27</v>
      </c>
      <c r="P1780">
        <v>0.15</v>
      </c>
      <c r="Q1780" s="2" t="b">
        <f>FALSE()</f>
        <v>0</v>
      </c>
      <c r="R1780">
        <v>0</v>
      </c>
    </row>
    <row r="1781" spans="1:18" x14ac:dyDescent="0.25">
      <c r="A1781">
        <v>201780</v>
      </c>
      <c r="B1781">
        <v>50049</v>
      </c>
      <c r="C1781" t="s">
        <v>18</v>
      </c>
      <c r="D1781">
        <v>2335.92</v>
      </c>
      <c r="E1781">
        <v>1521</v>
      </c>
      <c r="F1781">
        <v>2</v>
      </c>
      <c r="G1781">
        <v>2</v>
      </c>
      <c r="H1781">
        <v>0</v>
      </c>
      <c r="I1781" t="s">
        <v>33</v>
      </c>
      <c r="J1781">
        <v>0</v>
      </c>
      <c r="K1781">
        <v>69</v>
      </c>
      <c r="L1781" t="s">
        <v>20</v>
      </c>
      <c r="M1781" t="s">
        <v>21</v>
      </c>
      <c r="N1781" t="s">
        <v>30</v>
      </c>
      <c r="O1781" t="s">
        <v>36</v>
      </c>
      <c r="P1781">
        <v>1.67</v>
      </c>
      <c r="Q1781" s="2" t="b">
        <f>FALSE()</f>
        <v>0</v>
      </c>
      <c r="R1781">
        <v>0</v>
      </c>
    </row>
    <row r="1782" spans="1:18" x14ac:dyDescent="0.25">
      <c r="A1782">
        <v>201781</v>
      </c>
      <c r="B1782">
        <v>55597</v>
      </c>
      <c r="C1782" t="s">
        <v>28</v>
      </c>
      <c r="D1782">
        <v>4130.72</v>
      </c>
      <c r="E1782">
        <v>3472</v>
      </c>
      <c r="F1782">
        <v>0</v>
      </c>
      <c r="G1782">
        <v>2</v>
      </c>
      <c r="H1782">
        <v>1</v>
      </c>
      <c r="I1782" t="s">
        <v>19</v>
      </c>
      <c r="J1782">
        <v>1</v>
      </c>
      <c r="K1782">
        <v>60</v>
      </c>
      <c r="L1782" t="s">
        <v>24</v>
      </c>
      <c r="M1782" t="s">
        <v>29</v>
      </c>
      <c r="N1782" t="s">
        <v>26</v>
      </c>
      <c r="O1782" t="s">
        <v>27</v>
      </c>
      <c r="P1782">
        <v>0.84</v>
      </c>
      <c r="Q1782" s="2" t="b">
        <f>FALSE()</f>
        <v>0</v>
      </c>
      <c r="R1782">
        <v>1</v>
      </c>
    </row>
    <row r="1783" spans="1:18" x14ac:dyDescent="0.25">
      <c r="A1783">
        <v>201782</v>
      </c>
      <c r="B1783">
        <v>52695</v>
      </c>
      <c r="C1783" t="s">
        <v>34</v>
      </c>
      <c r="D1783">
        <v>2032.49</v>
      </c>
      <c r="E1783">
        <v>2398</v>
      </c>
      <c r="F1783">
        <v>1</v>
      </c>
      <c r="G1783">
        <v>6</v>
      </c>
      <c r="H1783">
        <v>1</v>
      </c>
      <c r="I1783" t="s">
        <v>32</v>
      </c>
      <c r="J1783">
        <v>0</v>
      </c>
      <c r="K1783">
        <v>60</v>
      </c>
      <c r="L1783" t="s">
        <v>20</v>
      </c>
      <c r="M1783" t="s">
        <v>29</v>
      </c>
      <c r="N1783" t="s">
        <v>30</v>
      </c>
      <c r="O1783" t="s">
        <v>23</v>
      </c>
      <c r="P1783">
        <v>4.41</v>
      </c>
      <c r="Q1783" s="2" t="b">
        <f>FALSE()</f>
        <v>0</v>
      </c>
      <c r="R1783">
        <v>0</v>
      </c>
    </row>
    <row r="1784" spans="1:18" x14ac:dyDescent="0.25">
      <c r="A1784">
        <v>201783</v>
      </c>
      <c r="B1784">
        <v>51955</v>
      </c>
      <c r="C1784" t="s">
        <v>28</v>
      </c>
      <c r="D1784">
        <v>2444.71</v>
      </c>
      <c r="E1784">
        <v>1442</v>
      </c>
      <c r="F1784">
        <v>0</v>
      </c>
      <c r="G1784">
        <v>3</v>
      </c>
      <c r="H1784">
        <v>1</v>
      </c>
      <c r="I1784" t="s">
        <v>33</v>
      </c>
      <c r="J1784">
        <v>1</v>
      </c>
      <c r="K1784">
        <v>35</v>
      </c>
      <c r="L1784" t="s">
        <v>24</v>
      </c>
      <c r="M1784" t="s">
        <v>35</v>
      </c>
      <c r="N1784" t="s">
        <v>22</v>
      </c>
      <c r="O1784" t="s">
        <v>27</v>
      </c>
      <c r="P1784">
        <v>5.1100000000000003</v>
      </c>
      <c r="Q1784" s="2" t="b">
        <f>FALSE()</f>
        <v>0</v>
      </c>
      <c r="R1784">
        <v>0</v>
      </c>
    </row>
    <row r="1785" spans="1:18" x14ac:dyDescent="0.25">
      <c r="A1785">
        <v>201784</v>
      </c>
      <c r="B1785">
        <v>52147</v>
      </c>
      <c r="C1785" t="s">
        <v>18</v>
      </c>
      <c r="D1785">
        <v>648.16</v>
      </c>
      <c r="E1785">
        <v>264</v>
      </c>
      <c r="F1785">
        <v>1</v>
      </c>
      <c r="G1785">
        <v>6</v>
      </c>
      <c r="H1785">
        <v>1</v>
      </c>
      <c r="I1785" t="s">
        <v>19</v>
      </c>
      <c r="J1785">
        <v>1</v>
      </c>
      <c r="K1785">
        <v>30</v>
      </c>
      <c r="L1785" t="s">
        <v>20</v>
      </c>
      <c r="M1785" t="s">
        <v>25</v>
      </c>
      <c r="N1785" t="s">
        <v>22</v>
      </c>
      <c r="O1785" t="s">
        <v>23</v>
      </c>
      <c r="P1785">
        <v>4.24</v>
      </c>
      <c r="Q1785" s="2" t="b">
        <f>FALSE()</f>
        <v>0</v>
      </c>
      <c r="R1785">
        <v>0</v>
      </c>
    </row>
    <row r="1786" spans="1:18" x14ac:dyDescent="0.25">
      <c r="A1786">
        <v>201785</v>
      </c>
      <c r="B1786">
        <v>55470</v>
      </c>
      <c r="C1786" t="s">
        <v>34</v>
      </c>
      <c r="D1786">
        <v>2688.38</v>
      </c>
      <c r="E1786">
        <v>1252</v>
      </c>
      <c r="F1786">
        <v>1</v>
      </c>
      <c r="G1786">
        <v>4</v>
      </c>
      <c r="H1786">
        <v>0</v>
      </c>
      <c r="I1786" t="s">
        <v>33</v>
      </c>
      <c r="J1786">
        <v>0</v>
      </c>
      <c r="K1786">
        <v>74</v>
      </c>
      <c r="L1786" t="s">
        <v>24</v>
      </c>
      <c r="M1786" t="s">
        <v>35</v>
      </c>
      <c r="N1786" t="s">
        <v>26</v>
      </c>
      <c r="O1786" t="s">
        <v>27</v>
      </c>
      <c r="P1786">
        <v>9.84</v>
      </c>
      <c r="Q1786" s="2" t="b">
        <f>FALSE()</f>
        <v>0</v>
      </c>
      <c r="R1786">
        <v>0</v>
      </c>
    </row>
    <row r="1787" spans="1:18" x14ac:dyDescent="0.25">
      <c r="A1787">
        <v>201786</v>
      </c>
      <c r="B1787">
        <v>54494</v>
      </c>
      <c r="C1787" t="s">
        <v>18</v>
      </c>
      <c r="D1787">
        <v>1688.5</v>
      </c>
      <c r="E1787">
        <v>2099</v>
      </c>
      <c r="F1787">
        <v>0</v>
      </c>
      <c r="G1787">
        <v>4</v>
      </c>
      <c r="H1787">
        <v>0</v>
      </c>
      <c r="I1787" t="s">
        <v>19</v>
      </c>
      <c r="J1787">
        <v>0</v>
      </c>
      <c r="K1787">
        <v>76</v>
      </c>
      <c r="L1787" t="s">
        <v>24</v>
      </c>
      <c r="M1787" t="s">
        <v>37</v>
      </c>
      <c r="N1787" t="s">
        <v>22</v>
      </c>
      <c r="O1787" t="s">
        <v>23</v>
      </c>
      <c r="P1787">
        <v>2.6</v>
      </c>
      <c r="Q1787" s="2" t="b">
        <f>FALSE()</f>
        <v>0</v>
      </c>
      <c r="R1787">
        <v>0</v>
      </c>
    </row>
    <row r="1788" spans="1:18" x14ac:dyDescent="0.25">
      <c r="A1788">
        <v>201787</v>
      </c>
      <c r="B1788">
        <v>54232</v>
      </c>
      <c r="C1788" t="s">
        <v>34</v>
      </c>
      <c r="D1788">
        <v>3541.2</v>
      </c>
      <c r="E1788">
        <v>1870</v>
      </c>
      <c r="F1788">
        <v>0</v>
      </c>
      <c r="G1788">
        <v>2</v>
      </c>
      <c r="H1788">
        <v>0</v>
      </c>
      <c r="I1788" t="s">
        <v>33</v>
      </c>
      <c r="J1788">
        <v>0</v>
      </c>
      <c r="K1788">
        <v>27</v>
      </c>
      <c r="L1788" t="s">
        <v>24</v>
      </c>
      <c r="M1788" t="s">
        <v>37</v>
      </c>
      <c r="N1788" t="s">
        <v>26</v>
      </c>
      <c r="O1788" t="s">
        <v>36</v>
      </c>
      <c r="P1788">
        <v>0.99</v>
      </c>
      <c r="Q1788" s="2" t="b">
        <f>FALSE()</f>
        <v>0</v>
      </c>
      <c r="R1788">
        <v>0</v>
      </c>
    </row>
    <row r="1789" spans="1:18" x14ac:dyDescent="0.25">
      <c r="A1789">
        <v>201788</v>
      </c>
      <c r="B1789">
        <v>51321</v>
      </c>
      <c r="C1789" t="s">
        <v>34</v>
      </c>
      <c r="D1789">
        <v>2961.41</v>
      </c>
      <c r="E1789">
        <v>811</v>
      </c>
      <c r="F1789">
        <v>0</v>
      </c>
      <c r="G1789">
        <v>4</v>
      </c>
      <c r="H1789">
        <v>0</v>
      </c>
      <c r="I1789" t="s">
        <v>19</v>
      </c>
      <c r="J1789">
        <v>0</v>
      </c>
      <c r="K1789">
        <v>60</v>
      </c>
      <c r="L1789" t="s">
        <v>20</v>
      </c>
      <c r="M1789" t="s">
        <v>31</v>
      </c>
      <c r="N1789" t="s">
        <v>30</v>
      </c>
      <c r="O1789" t="s">
        <v>36</v>
      </c>
      <c r="P1789">
        <v>5.13</v>
      </c>
      <c r="Q1789" s="2" t="b">
        <f>FALSE()</f>
        <v>0</v>
      </c>
      <c r="R1789">
        <v>0</v>
      </c>
    </row>
    <row r="1790" spans="1:18" x14ac:dyDescent="0.25">
      <c r="A1790">
        <v>201789</v>
      </c>
      <c r="B1790">
        <v>52116</v>
      </c>
      <c r="C1790" t="s">
        <v>34</v>
      </c>
      <c r="D1790">
        <v>4563.6899999999996</v>
      </c>
      <c r="E1790">
        <v>2302</v>
      </c>
      <c r="F1790">
        <v>1</v>
      </c>
      <c r="G1790">
        <v>9</v>
      </c>
      <c r="H1790">
        <v>0</v>
      </c>
      <c r="I1790" t="s">
        <v>19</v>
      </c>
      <c r="J1790">
        <v>0</v>
      </c>
      <c r="K1790">
        <v>18</v>
      </c>
      <c r="L1790" t="s">
        <v>24</v>
      </c>
      <c r="M1790" t="s">
        <v>37</v>
      </c>
      <c r="N1790" t="s">
        <v>30</v>
      </c>
      <c r="O1790" t="s">
        <v>36</v>
      </c>
      <c r="P1790">
        <v>0.01</v>
      </c>
      <c r="Q1790" s="2" t="b">
        <f>FALSE()</f>
        <v>0</v>
      </c>
      <c r="R1790">
        <v>1</v>
      </c>
    </row>
    <row r="1791" spans="1:18" x14ac:dyDescent="0.25">
      <c r="A1791">
        <v>201790</v>
      </c>
      <c r="B1791">
        <v>50420</v>
      </c>
      <c r="C1791" t="s">
        <v>18</v>
      </c>
      <c r="D1791">
        <v>1709.88</v>
      </c>
      <c r="E1791">
        <v>542</v>
      </c>
      <c r="F1791">
        <v>1</v>
      </c>
      <c r="G1791">
        <v>2</v>
      </c>
      <c r="H1791">
        <v>0</v>
      </c>
      <c r="I1791" t="s">
        <v>33</v>
      </c>
      <c r="J1791">
        <v>1</v>
      </c>
      <c r="K1791">
        <v>48</v>
      </c>
      <c r="L1791" t="s">
        <v>24</v>
      </c>
      <c r="M1791" t="s">
        <v>25</v>
      </c>
      <c r="N1791" t="s">
        <v>22</v>
      </c>
      <c r="O1791" t="s">
        <v>27</v>
      </c>
      <c r="P1791">
        <v>1.07</v>
      </c>
      <c r="Q1791" s="2" t="b">
        <f>FALSE()</f>
        <v>0</v>
      </c>
      <c r="R1791">
        <v>0</v>
      </c>
    </row>
    <row r="1792" spans="1:18" x14ac:dyDescent="0.25">
      <c r="A1792">
        <v>201791</v>
      </c>
      <c r="B1792">
        <v>52818</v>
      </c>
      <c r="C1792" t="s">
        <v>34</v>
      </c>
      <c r="D1792">
        <v>4511.1000000000004</v>
      </c>
      <c r="E1792">
        <v>968</v>
      </c>
      <c r="F1792">
        <v>0</v>
      </c>
      <c r="G1792">
        <v>4</v>
      </c>
      <c r="H1792">
        <v>0</v>
      </c>
      <c r="I1792" t="s">
        <v>32</v>
      </c>
      <c r="J1792">
        <v>0</v>
      </c>
      <c r="K1792">
        <v>42</v>
      </c>
      <c r="L1792" t="s">
        <v>24</v>
      </c>
      <c r="M1792" t="s">
        <v>35</v>
      </c>
      <c r="N1792" t="s">
        <v>26</v>
      </c>
      <c r="O1792" t="s">
        <v>36</v>
      </c>
      <c r="P1792">
        <v>3.62</v>
      </c>
      <c r="Q1792" s="2" t="b">
        <f>FALSE()</f>
        <v>0</v>
      </c>
      <c r="R1792">
        <v>1</v>
      </c>
    </row>
    <row r="1793" spans="1:18" x14ac:dyDescent="0.25">
      <c r="A1793">
        <v>201792</v>
      </c>
      <c r="B1793">
        <v>53855</v>
      </c>
      <c r="C1793" t="s">
        <v>18</v>
      </c>
      <c r="D1793">
        <v>4420.5</v>
      </c>
      <c r="E1793">
        <v>3388</v>
      </c>
      <c r="F1793">
        <v>3</v>
      </c>
      <c r="G1793">
        <v>2</v>
      </c>
      <c r="H1793">
        <v>0</v>
      </c>
      <c r="I1793" t="s">
        <v>19</v>
      </c>
      <c r="J1793">
        <v>0</v>
      </c>
      <c r="K1793">
        <v>55</v>
      </c>
      <c r="L1793" t="s">
        <v>20</v>
      </c>
      <c r="M1793" t="s">
        <v>31</v>
      </c>
      <c r="N1793" t="s">
        <v>22</v>
      </c>
      <c r="O1793" t="s">
        <v>36</v>
      </c>
      <c r="P1793">
        <v>6.11</v>
      </c>
      <c r="Q1793" s="2" t="b">
        <f>FALSE()</f>
        <v>0</v>
      </c>
      <c r="R1793">
        <v>1</v>
      </c>
    </row>
    <row r="1794" spans="1:18" x14ac:dyDescent="0.25">
      <c r="A1794">
        <v>201793</v>
      </c>
      <c r="B1794">
        <v>53057</v>
      </c>
      <c r="C1794" t="s">
        <v>34</v>
      </c>
      <c r="D1794">
        <v>1333.56</v>
      </c>
      <c r="E1794">
        <v>211</v>
      </c>
      <c r="F1794">
        <v>1</v>
      </c>
      <c r="G1794">
        <v>4</v>
      </c>
      <c r="H1794">
        <v>0</v>
      </c>
      <c r="I1794" t="s">
        <v>19</v>
      </c>
      <c r="J1794">
        <v>0</v>
      </c>
      <c r="K1794">
        <v>41</v>
      </c>
      <c r="L1794" t="s">
        <v>20</v>
      </c>
      <c r="M1794" t="s">
        <v>31</v>
      </c>
      <c r="N1794" t="s">
        <v>22</v>
      </c>
      <c r="O1794" t="s">
        <v>27</v>
      </c>
      <c r="P1794">
        <v>1.44</v>
      </c>
      <c r="Q1794" s="2" t="b">
        <f>FALSE()</f>
        <v>0</v>
      </c>
      <c r="R1794">
        <v>0</v>
      </c>
    </row>
    <row r="1795" spans="1:18" x14ac:dyDescent="0.25">
      <c r="A1795">
        <v>201794</v>
      </c>
      <c r="B1795">
        <v>54339</v>
      </c>
      <c r="C1795" t="s">
        <v>18</v>
      </c>
      <c r="D1795">
        <v>5287.9</v>
      </c>
      <c r="E1795">
        <v>1468</v>
      </c>
      <c r="F1795">
        <v>0</v>
      </c>
      <c r="G1795">
        <v>5</v>
      </c>
      <c r="H1795">
        <v>0</v>
      </c>
      <c r="I1795" t="s">
        <v>33</v>
      </c>
      <c r="J1795">
        <v>0</v>
      </c>
      <c r="K1795">
        <v>73</v>
      </c>
      <c r="L1795" t="s">
        <v>20</v>
      </c>
      <c r="M1795" t="s">
        <v>25</v>
      </c>
      <c r="N1795" t="s">
        <v>22</v>
      </c>
      <c r="O1795" t="s">
        <v>23</v>
      </c>
      <c r="P1795">
        <v>4.8</v>
      </c>
      <c r="Q1795" s="2" t="b">
        <f>FALSE()</f>
        <v>0</v>
      </c>
      <c r="R1795">
        <v>1</v>
      </c>
    </row>
    <row r="1796" spans="1:18" x14ac:dyDescent="0.25">
      <c r="A1796">
        <v>201795</v>
      </c>
      <c r="B1796">
        <v>50441</v>
      </c>
      <c r="C1796" t="s">
        <v>34</v>
      </c>
      <c r="D1796">
        <v>2293.11</v>
      </c>
      <c r="E1796">
        <v>1576</v>
      </c>
      <c r="F1796">
        <v>3</v>
      </c>
      <c r="G1796">
        <v>6</v>
      </c>
      <c r="H1796">
        <v>1</v>
      </c>
      <c r="I1796" t="s">
        <v>33</v>
      </c>
      <c r="J1796">
        <v>1</v>
      </c>
      <c r="K1796">
        <v>34</v>
      </c>
      <c r="L1796" t="s">
        <v>24</v>
      </c>
      <c r="M1796" t="s">
        <v>31</v>
      </c>
      <c r="N1796" t="s">
        <v>26</v>
      </c>
      <c r="O1796" t="s">
        <v>36</v>
      </c>
      <c r="P1796">
        <v>0.19</v>
      </c>
      <c r="Q1796" s="2" t="b">
        <f>FALSE()</f>
        <v>0</v>
      </c>
      <c r="R1796">
        <v>1</v>
      </c>
    </row>
    <row r="1797" spans="1:18" x14ac:dyDescent="0.25">
      <c r="A1797">
        <v>201796</v>
      </c>
      <c r="B1797">
        <v>52071</v>
      </c>
      <c r="C1797" t="s">
        <v>18</v>
      </c>
      <c r="D1797">
        <v>6215.78</v>
      </c>
      <c r="E1797">
        <v>716</v>
      </c>
      <c r="F1797">
        <v>1</v>
      </c>
      <c r="G1797">
        <v>6</v>
      </c>
      <c r="H1797">
        <v>0</v>
      </c>
      <c r="I1797" t="s">
        <v>33</v>
      </c>
      <c r="J1797">
        <v>0</v>
      </c>
      <c r="K1797">
        <v>39</v>
      </c>
      <c r="L1797" t="s">
        <v>24</v>
      </c>
      <c r="M1797" t="s">
        <v>37</v>
      </c>
      <c r="N1797" t="s">
        <v>22</v>
      </c>
      <c r="O1797" t="s">
        <v>23</v>
      </c>
      <c r="P1797">
        <v>0.67</v>
      </c>
      <c r="Q1797" s="2" t="b">
        <f>FALSE()</f>
        <v>0</v>
      </c>
      <c r="R1797">
        <v>1</v>
      </c>
    </row>
    <row r="1798" spans="1:18" x14ac:dyDescent="0.25">
      <c r="A1798">
        <v>201797</v>
      </c>
      <c r="B1798">
        <v>55515</v>
      </c>
      <c r="C1798" t="s">
        <v>18</v>
      </c>
      <c r="D1798">
        <v>3286.86</v>
      </c>
      <c r="E1798">
        <v>948</v>
      </c>
      <c r="F1798">
        <v>1</v>
      </c>
      <c r="G1798">
        <v>8</v>
      </c>
      <c r="H1798">
        <v>0</v>
      </c>
      <c r="I1798" t="s">
        <v>33</v>
      </c>
      <c r="J1798">
        <v>0</v>
      </c>
      <c r="K1798">
        <v>38</v>
      </c>
      <c r="L1798" t="s">
        <v>24</v>
      </c>
      <c r="M1798" t="s">
        <v>37</v>
      </c>
      <c r="N1798" t="s">
        <v>30</v>
      </c>
      <c r="O1798" t="s">
        <v>27</v>
      </c>
      <c r="P1798">
        <v>2.3199999999999998</v>
      </c>
      <c r="Q1798" s="2" t="b">
        <f>FALSE()</f>
        <v>0</v>
      </c>
      <c r="R1798">
        <v>1</v>
      </c>
    </row>
    <row r="1799" spans="1:18" x14ac:dyDescent="0.25">
      <c r="A1799">
        <v>201798</v>
      </c>
      <c r="B1799">
        <v>53726</v>
      </c>
      <c r="C1799" t="s">
        <v>18</v>
      </c>
      <c r="D1799">
        <v>2864.62</v>
      </c>
      <c r="E1799">
        <v>518</v>
      </c>
      <c r="F1799">
        <v>2</v>
      </c>
      <c r="G1799">
        <v>4</v>
      </c>
      <c r="H1799">
        <v>1</v>
      </c>
      <c r="I1799" t="s">
        <v>33</v>
      </c>
      <c r="J1799">
        <v>0</v>
      </c>
      <c r="K1799">
        <v>60</v>
      </c>
      <c r="L1799" t="s">
        <v>24</v>
      </c>
      <c r="M1799" t="s">
        <v>37</v>
      </c>
      <c r="N1799" t="s">
        <v>22</v>
      </c>
      <c r="O1799" t="s">
        <v>27</v>
      </c>
      <c r="P1799">
        <v>0.45</v>
      </c>
      <c r="Q1799" s="2" t="b">
        <f>FALSE()</f>
        <v>0</v>
      </c>
      <c r="R1799">
        <v>0</v>
      </c>
    </row>
    <row r="1800" spans="1:18" x14ac:dyDescent="0.25">
      <c r="A1800">
        <v>201799</v>
      </c>
      <c r="B1800">
        <v>50984</v>
      </c>
      <c r="C1800" t="s">
        <v>18</v>
      </c>
      <c r="D1800">
        <v>640.44000000000005</v>
      </c>
      <c r="E1800">
        <v>146</v>
      </c>
      <c r="F1800">
        <v>1</v>
      </c>
      <c r="G1800">
        <v>4</v>
      </c>
      <c r="H1800">
        <v>0</v>
      </c>
      <c r="I1800" t="s">
        <v>33</v>
      </c>
      <c r="J1800">
        <v>0</v>
      </c>
      <c r="K1800">
        <v>52</v>
      </c>
      <c r="L1800" t="s">
        <v>20</v>
      </c>
      <c r="M1800" t="s">
        <v>37</v>
      </c>
      <c r="N1800" t="s">
        <v>30</v>
      </c>
      <c r="O1800" t="s">
        <v>36</v>
      </c>
      <c r="P1800">
        <v>0.86</v>
      </c>
      <c r="Q1800" s="2" t="b">
        <f>FALSE()</f>
        <v>0</v>
      </c>
      <c r="R1800">
        <v>0</v>
      </c>
    </row>
    <row r="1801" spans="1:18" x14ac:dyDescent="0.25">
      <c r="A1801">
        <v>201800</v>
      </c>
      <c r="B1801">
        <v>54003</v>
      </c>
      <c r="C1801" t="s">
        <v>34</v>
      </c>
      <c r="D1801">
        <v>1997.65</v>
      </c>
      <c r="E1801">
        <v>913</v>
      </c>
      <c r="F1801">
        <v>0</v>
      </c>
      <c r="G1801">
        <v>4</v>
      </c>
      <c r="H1801">
        <v>0</v>
      </c>
      <c r="I1801" t="s">
        <v>33</v>
      </c>
      <c r="J1801">
        <v>0</v>
      </c>
      <c r="K1801">
        <v>27</v>
      </c>
      <c r="L1801" t="s">
        <v>24</v>
      </c>
      <c r="M1801" t="s">
        <v>37</v>
      </c>
      <c r="N1801" t="s">
        <v>30</v>
      </c>
      <c r="O1801" t="s">
        <v>36</v>
      </c>
      <c r="P1801">
        <v>3.04</v>
      </c>
      <c r="Q1801" s="2" t="b">
        <f>FALSE()</f>
        <v>0</v>
      </c>
      <c r="R1801">
        <v>0</v>
      </c>
    </row>
    <row r="1802" spans="1:18" x14ac:dyDescent="0.25">
      <c r="A1802">
        <v>201801</v>
      </c>
      <c r="B1802">
        <v>51538</v>
      </c>
      <c r="C1802" t="s">
        <v>18</v>
      </c>
      <c r="D1802">
        <v>1109.55</v>
      </c>
      <c r="E1802">
        <v>1231</v>
      </c>
      <c r="F1802">
        <v>0</v>
      </c>
      <c r="G1802">
        <v>4</v>
      </c>
      <c r="H1802">
        <v>0</v>
      </c>
      <c r="I1802" t="s">
        <v>19</v>
      </c>
      <c r="J1802">
        <v>0</v>
      </c>
      <c r="K1802">
        <v>25</v>
      </c>
      <c r="L1802" t="s">
        <v>24</v>
      </c>
      <c r="M1802" t="s">
        <v>35</v>
      </c>
      <c r="N1802" t="s">
        <v>22</v>
      </c>
      <c r="O1802" t="s">
        <v>27</v>
      </c>
      <c r="P1802">
        <v>1.05</v>
      </c>
      <c r="Q1802" s="2" t="b">
        <f>FALSE()</f>
        <v>0</v>
      </c>
      <c r="R1802">
        <v>0</v>
      </c>
    </row>
    <row r="1803" spans="1:18" x14ac:dyDescent="0.25">
      <c r="A1803">
        <v>201802</v>
      </c>
      <c r="B1803">
        <v>51930</v>
      </c>
      <c r="C1803" t="s">
        <v>34</v>
      </c>
      <c r="D1803">
        <v>2439.4</v>
      </c>
      <c r="E1803">
        <v>2650</v>
      </c>
      <c r="F1803">
        <v>0</v>
      </c>
      <c r="G1803">
        <v>6</v>
      </c>
      <c r="H1803">
        <v>0</v>
      </c>
      <c r="I1803" t="s">
        <v>33</v>
      </c>
      <c r="J1803">
        <v>1</v>
      </c>
      <c r="K1803">
        <v>41</v>
      </c>
      <c r="L1803" t="s">
        <v>20</v>
      </c>
      <c r="M1803" t="s">
        <v>35</v>
      </c>
      <c r="N1803" t="s">
        <v>26</v>
      </c>
      <c r="O1803" t="s">
        <v>27</v>
      </c>
      <c r="P1803">
        <v>1.95</v>
      </c>
      <c r="Q1803" s="2" t="b">
        <f>FALSE()</f>
        <v>0</v>
      </c>
      <c r="R1803">
        <v>0</v>
      </c>
    </row>
    <row r="1804" spans="1:18" x14ac:dyDescent="0.25">
      <c r="A1804">
        <v>201803</v>
      </c>
      <c r="B1804">
        <v>51556</v>
      </c>
      <c r="C1804" t="s">
        <v>28</v>
      </c>
      <c r="D1804">
        <v>963.96</v>
      </c>
      <c r="E1804">
        <v>1347</v>
      </c>
      <c r="F1804">
        <v>3</v>
      </c>
      <c r="G1804">
        <v>7</v>
      </c>
      <c r="H1804">
        <v>0</v>
      </c>
      <c r="I1804" t="s">
        <v>32</v>
      </c>
      <c r="J1804">
        <v>0</v>
      </c>
      <c r="K1804">
        <v>61</v>
      </c>
      <c r="L1804" t="s">
        <v>20</v>
      </c>
      <c r="M1804" t="s">
        <v>31</v>
      </c>
      <c r="N1804" t="s">
        <v>30</v>
      </c>
      <c r="O1804" t="s">
        <v>36</v>
      </c>
      <c r="P1804">
        <v>0.39</v>
      </c>
      <c r="Q1804" s="2" t="b">
        <f>FALSE()</f>
        <v>0</v>
      </c>
      <c r="R1804">
        <v>1</v>
      </c>
    </row>
    <row r="1805" spans="1:18" x14ac:dyDescent="0.25">
      <c r="A1805">
        <v>201804</v>
      </c>
      <c r="B1805">
        <v>53422</v>
      </c>
      <c r="C1805" t="s">
        <v>18</v>
      </c>
      <c r="D1805">
        <v>3091.55</v>
      </c>
      <c r="E1805">
        <v>1047</v>
      </c>
      <c r="F1805">
        <v>1</v>
      </c>
      <c r="G1805">
        <v>4</v>
      </c>
      <c r="H1805">
        <v>0</v>
      </c>
      <c r="I1805" t="s">
        <v>33</v>
      </c>
      <c r="J1805">
        <v>0</v>
      </c>
      <c r="K1805">
        <v>39</v>
      </c>
      <c r="L1805" t="s">
        <v>24</v>
      </c>
      <c r="M1805" t="s">
        <v>35</v>
      </c>
      <c r="N1805" t="s">
        <v>22</v>
      </c>
      <c r="O1805" t="s">
        <v>36</v>
      </c>
      <c r="P1805">
        <v>3.39</v>
      </c>
      <c r="Q1805" s="2" t="b">
        <f>FALSE()</f>
        <v>0</v>
      </c>
      <c r="R1805">
        <v>0</v>
      </c>
    </row>
    <row r="1806" spans="1:18" x14ac:dyDescent="0.25">
      <c r="A1806">
        <v>201805</v>
      </c>
      <c r="B1806">
        <v>50745</v>
      </c>
      <c r="C1806" t="s">
        <v>34</v>
      </c>
      <c r="D1806">
        <v>1398.27</v>
      </c>
      <c r="E1806">
        <v>1859</v>
      </c>
      <c r="F1806">
        <v>1</v>
      </c>
      <c r="G1806">
        <v>3</v>
      </c>
      <c r="H1806">
        <v>0</v>
      </c>
      <c r="I1806" t="s">
        <v>19</v>
      </c>
      <c r="J1806">
        <v>1</v>
      </c>
      <c r="K1806">
        <v>83</v>
      </c>
      <c r="L1806" t="s">
        <v>20</v>
      </c>
      <c r="M1806" t="s">
        <v>35</v>
      </c>
      <c r="N1806" t="s">
        <v>22</v>
      </c>
      <c r="O1806" t="s">
        <v>27</v>
      </c>
      <c r="P1806">
        <v>0.75</v>
      </c>
      <c r="Q1806" s="2" t="b">
        <f>FALSE()</f>
        <v>0</v>
      </c>
      <c r="R1806">
        <v>0</v>
      </c>
    </row>
    <row r="1807" spans="1:18" x14ac:dyDescent="0.25">
      <c r="A1807">
        <v>201806</v>
      </c>
      <c r="B1807">
        <v>54540</v>
      </c>
      <c r="C1807" t="s">
        <v>18</v>
      </c>
      <c r="D1807">
        <v>2901.73</v>
      </c>
      <c r="E1807">
        <v>3156</v>
      </c>
      <c r="F1807">
        <v>2</v>
      </c>
      <c r="G1807">
        <v>3</v>
      </c>
      <c r="H1807">
        <v>1</v>
      </c>
      <c r="I1807" t="s">
        <v>32</v>
      </c>
      <c r="J1807">
        <v>0</v>
      </c>
      <c r="K1807">
        <v>79</v>
      </c>
      <c r="L1807" t="s">
        <v>20</v>
      </c>
      <c r="M1807" t="s">
        <v>21</v>
      </c>
      <c r="N1807" t="s">
        <v>26</v>
      </c>
      <c r="O1807" t="s">
        <v>27</v>
      </c>
      <c r="P1807">
        <v>0.66</v>
      </c>
      <c r="Q1807" s="2" t="b">
        <f>FALSE()</f>
        <v>0</v>
      </c>
      <c r="R1807">
        <v>0</v>
      </c>
    </row>
    <row r="1808" spans="1:18" x14ac:dyDescent="0.25">
      <c r="A1808">
        <v>201807</v>
      </c>
      <c r="B1808">
        <v>55054</v>
      </c>
      <c r="C1808" t="s">
        <v>34</v>
      </c>
      <c r="D1808">
        <v>2127</v>
      </c>
      <c r="E1808">
        <v>636</v>
      </c>
      <c r="F1808">
        <v>1</v>
      </c>
      <c r="G1808">
        <v>3</v>
      </c>
      <c r="H1808">
        <v>1</v>
      </c>
      <c r="I1808" t="s">
        <v>33</v>
      </c>
      <c r="J1808">
        <v>0</v>
      </c>
      <c r="K1808">
        <v>68</v>
      </c>
      <c r="L1808" t="s">
        <v>20</v>
      </c>
      <c r="M1808" t="s">
        <v>21</v>
      </c>
      <c r="N1808" t="s">
        <v>22</v>
      </c>
      <c r="O1808" t="s">
        <v>36</v>
      </c>
      <c r="P1808">
        <v>3.64</v>
      </c>
      <c r="Q1808" s="2" t="b">
        <f>FALSE()</f>
        <v>0</v>
      </c>
      <c r="R1808">
        <v>0</v>
      </c>
    </row>
    <row r="1809" spans="1:18" x14ac:dyDescent="0.25">
      <c r="A1809">
        <v>201808</v>
      </c>
      <c r="B1809">
        <v>54375</v>
      </c>
      <c r="C1809" t="s">
        <v>34</v>
      </c>
      <c r="D1809">
        <v>1127.51</v>
      </c>
      <c r="E1809">
        <v>676</v>
      </c>
      <c r="F1809">
        <v>0</v>
      </c>
      <c r="G1809">
        <v>5</v>
      </c>
      <c r="H1809">
        <v>0</v>
      </c>
      <c r="I1809" t="s">
        <v>32</v>
      </c>
      <c r="J1809">
        <v>0</v>
      </c>
      <c r="K1809">
        <v>31</v>
      </c>
      <c r="L1809" t="s">
        <v>20</v>
      </c>
      <c r="M1809" t="s">
        <v>31</v>
      </c>
      <c r="N1809" t="s">
        <v>30</v>
      </c>
      <c r="O1809" t="s">
        <v>27</v>
      </c>
      <c r="P1809">
        <v>3.45</v>
      </c>
      <c r="Q1809" s="2" t="b">
        <f>FALSE()</f>
        <v>0</v>
      </c>
      <c r="R1809">
        <v>0</v>
      </c>
    </row>
    <row r="1810" spans="1:18" x14ac:dyDescent="0.25">
      <c r="A1810">
        <v>201809</v>
      </c>
      <c r="B1810">
        <v>54660</v>
      </c>
      <c r="C1810" t="s">
        <v>18</v>
      </c>
      <c r="D1810">
        <v>414.84</v>
      </c>
      <c r="E1810">
        <v>1761</v>
      </c>
      <c r="F1810">
        <v>2</v>
      </c>
      <c r="G1810">
        <v>6</v>
      </c>
      <c r="H1810">
        <v>0</v>
      </c>
      <c r="I1810" t="s">
        <v>32</v>
      </c>
      <c r="J1810">
        <v>0</v>
      </c>
      <c r="K1810">
        <v>65</v>
      </c>
      <c r="L1810" t="s">
        <v>24</v>
      </c>
      <c r="M1810" t="s">
        <v>37</v>
      </c>
      <c r="N1810" t="s">
        <v>30</v>
      </c>
      <c r="O1810" t="s">
        <v>27</v>
      </c>
      <c r="P1810">
        <v>3.23</v>
      </c>
      <c r="Q1810" s="2" t="b">
        <f>FALSE()</f>
        <v>0</v>
      </c>
      <c r="R1810">
        <v>0</v>
      </c>
    </row>
    <row r="1811" spans="1:18" x14ac:dyDescent="0.25">
      <c r="A1811">
        <v>201810</v>
      </c>
      <c r="B1811">
        <v>53801</v>
      </c>
      <c r="C1811" t="s">
        <v>34</v>
      </c>
      <c r="D1811">
        <v>1696.84</v>
      </c>
      <c r="E1811">
        <v>1859</v>
      </c>
      <c r="F1811">
        <v>2</v>
      </c>
      <c r="G1811">
        <v>1</v>
      </c>
      <c r="H1811">
        <v>1</v>
      </c>
      <c r="I1811" t="s">
        <v>33</v>
      </c>
      <c r="J1811">
        <v>0</v>
      </c>
      <c r="K1811">
        <v>38</v>
      </c>
      <c r="L1811" t="s">
        <v>20</v>
      </c>
      <c r="M1811" t="s">
        <v>29</v>
      </c>
      <c r="N1811" t="s">
        <v>22</v>
      </c>
      <c r="O1811" t="s">
        <v>23</v>
      </c>
      <c r="P1811">
        <v>2.54</v>
      </c>
      <c r="Q1811" s="2" t="b">
        <f>FALSE()</f>
        <v>0</v>
      </c>
      <c r="R1811">
        <v>0</v>
      </c>
    </row>
    <row r="1812" spans="1:18" x14ac:dyDescent="0.25">
      <c r="A1812">
        <v>201811</v>
      </c>
      <c r="B1812">
        <v>53159</v>
      </c>
      <c r="C1812" t="s">
        <v>34</v>
      </c>
      <c r="D1812">
        <v>984.81</v>
      </c>
      <c r="E1812">
        <v>3093</v>
      </c>
      <c r="F1812">
        <v>1</v>
      </c>
      <c r="G1812">
        <v>6</v>
      </c>
      <c r="H1812">
        <v>0</v>
      </c>
      <c r="I1812" t="s">
        <v>19</v>
      </c>
      <c r="J1812">
        <v>0</v>
      </c>
      <c r="K1812">
        <v>40</v>
      </c>
      <c r="L1812" t="s">
        <v>24</v>
      </c>
      <c r="M1812" t="s">
        <v>31</v>
      </c>
      <c r="N1812" t="s">
        <v>30</v>
      </c>
      <c r="O1812" t="s">
        <v>23</v>
      </c>
      <c r="P1812">
        <v>1.31</v>
      </c>
      <c r="Q1812" s="2" t="b">
        <f>FALSE()</f>
        <v>0</v>
      </c>
      <c r="R1812">
        <v>0</v>
      </c>
    </row>
    <row r="1813" spans="1:18" x14ac:dyDescent="0.25">
      <c r="A1813">
        <v>201812</v>
      </c>
      <c r="B1813">
        <v>51069</v>
      </c>
      <c r="C1813" t="s">
        <v>34</v>
      </c>
      <c r="D1813">
        <v>6245.95</v>
      </c>
      <c r="E1813">
        <v>3619</v>
      </c>
      <c r="F1813">
        <v>1</v>
      </c>
      <c r="G1813">
        <v>7</v>
      </c>
      <c r="H1813">
        <v>0</v>
      </c>
      <c r="I1813" t="s">
        <v>19</v>
      </c>
      <c r="J1813">
        <v>0</v>
      </c>
      <c r="K1813">
        <v>79</v>
      </c>
      <c r="L1813" t="s">
        <v>20</v>
      </c>
      <c r="M1813" t="s">
        <v>21</v>
      </c>
      <c r="N1813" t="s">
        <v>26</v>
      </c>
      <c r="O1813" t="s">
        <v>27</v>
      </c>
      <c r="P1813">
        <v>3.94</v>
      </c>
      <c r="Q1813" s="2" t="b">
        <f>FALSE()</f>
        <v>0</v>
      </c>
      <c r="R1813">
        <v>1</v>
      </c>
    </row>
    <row r="1814" spans="1:18" x14ac:dyDescent="0.25">
      <c r="A1814">
        <v>201813</v>
      </c>
      <c r="B1814">
        <v>51703</v>
      </c>
      <c r="C1814" t="s">
        <v>34</v>
      </c>
      <c r="D1814">
        <v>920.97</v>
      </c>
      <c r="E1814">
        <v>3268</v>
      </c>
      <c r="F1814">
        <v>0</v>
      </c>
      <c r="G1814">
        <v>3</v>
      </c>
      <c r="H1814">
        <v>0</v>
      </c>
      <c r="I1814" t="s">
        <v>19</v>
      </c>
      <c r="J1814">
        <v>1</v>
      </c>
      <c r="K1814">
        <v>18</v>
      </c>
      <c r="L1814" t="s">
        <v>24</v>
      </c>
      <c r="M1814" t="s">
        <v>25</v>
      </c>
      <c r="N1814" t="s">
        <v>22</v>
      </c>
      <c r="O1814" t="s">
        <v>27</v>
      </c>
      <c r="P1814">
        <v>2.74</v>
      </c>
      <c r="Q1814" s="2" t="b">
        <f>FALSE()</f>
        <v>0</v>
      </c>
      <c r="R1814">
        <v>0</v>
      </c>
    </row>
    <row r="1815" spans="1:18" x14ac:dyDescent="0.25">
      <c r="A1815">
        <v>201814</v>
      </c>
      <c r="B1815">
        <v>51941</v>
      </c>
      <c r="C1815" t="s">
        <v>18</v>
      </c>
      <c r="D1815">
        <v>1332.1</v>
      </c>
      <c r="E1815">
        <v>3500</v>
      </c>
      <c r="F1815">
        <v>2</v>
      </c>
      <c r="G1815">
        <v>4</v>
      </c>
      <c r="H1815">
        <v>1</v>
      </c>
      <c r="I1815" t="s">
        <v>19</v>
      </c>
      <c r="J1815">
        <v>0</v>
      </c>
      <c r="K1815">
        <v>69</v>
      </c>
      <c r="L1815" t="s">
        <v>20</v>
      </c>
      <c r="M1815" t="s">
        <v>21</v>
      </c>
      <c r="N1815" t="s">
        <v>30</v>
      </c>
      <c r="O1815" t="s">
        <v>27</v>
      </c>
      <c r="P1815">
        <v>0.27</v>
      </c>
      <c r="Q1815" s="2" t="b">
        <f>FALSE()</f>
        <v>0</v>
      </c>
      <c r="R1815">
        <v>0</v>
      </c>
    </row>
    <row r="1816" spans="1:18" x14ac:dyDescent="0.25">
      <c r="A1816">
        <v>201815</v>
      </c>
      <c r="B1816">
        <v>51867</v>
      </c>
      <c r="C1816" t="s">
        <v>34</v>
      </c>
      <c r="D1816">
        <v>1688.41</v>
      </c>
      <c r="E1816">
        <v>848</v>
      </c>
      <c r="F1816">
        <v>2</v>
      </c>
      <c r="G1816">
        <v>3</v>
      </c>
      <c r="H1816">
        <v>0</v>
      </c>
      <c r="I1816" t="s">
        <v>33</v>
      </c>
      <c r="J1816">
        <v>0</v>
      </c>
      <c r="K1816">
        <v>83</v>
      </c>
      <c r="L1816" t="s">
        <v>24</v>
      </c>
      <c r="M1816" t="s">
        <v>31</v>
      </c>
      <c r="N1816" t="s">
        <v>30</v>
      </c>
      <c r="O1816" t="s">
        <v>27</v>
      </c>
      <c r="P1816">
        <v>3.67</v>
      </c>
      <c r="Q1816" s="2" t="b">
        <f>FALSE()</f>
        <v>0</v>
      </c>
      <c r="R1816">
        <v>0</v>
      </c>
    </row>
    <row r="1817" spans="1:18" x14ac:dyDescent="0.25">
      <c r="A1817">
        <v>201816</v>
      </c>
      <c r="B1817">
        <v>53632</v>
      </c>
      <c r="C1817" t="s">
        <v>18</v>
      </c>
      <c r="D1817">
        <v>2596.89</v>
      </c>
      <c r="E1817">
        <v>2516</v>
      </c>
      <c r="F1817">
        <v>3</v>
      </c>
      <c r="G1817">
        <v>6</v>
      </c>
      <c r="H1817">
        <v>1</v>
      </c>
      <c r="I1817" t="s">
        <v>19</v>
      </c>
      <c r="J1817">
        <v>0</v>
      </c>
      <c r="K1817">
        <v>76</v>
      </c>
      <c r="L1817" t="s">
        <v>24</v>
      </c>
      <c r="M1817" t="s">
        <v>37</v>
      </c>
      <c r="N1817" t="s">
        <v>30</v>
      </c>
      <c r="O1817" t="s">
        <v>36</v>
      </c>
      <c r="P1817">
        <v>7.88</v>
      </c>
      <c r="Q1817" s="2" t="b">
        <f>FALSE()</f>
        <v>0</v>
      </c>
      <c r="R1817">
        <v>1</v>
      </c>
    </row>
    <row r="1818" spans="1:18" x14ac:dyDescent="0.25">
      <c r="A1818">
        <v>201817</v>
      </c>
      <c r="B1818">
        <v>53718</v>
      </c>
      <c r="C1818" t="s">
        <v>28</v>
      </c>
      <c r="D1818">
        <v>778.29</v>
      </c>
      <c r="E1818">
        <v>1629</v>
      </c>
      <c r="F1818">
        <v>1</v>
      </c>
      <c r="G1818">
        <v>7</v>
      </c>
      <c r="H1818">
        <v>0</v>
      </c>
      <c r="I1818" t="s">
        <v>33</v>
      </c>
      <c r="J1818">
        <v>0</v>
      </c>
      <c r="K1818">
        <v>43</v>
      </c>
      <c r="L1818" t="s">
        <v>24</v>
      </c>
      <c r="M1818" t="s">
        <v>29</v>
      </c>
      <c r="N1818" t="s">
        <v>26</v>
      </c>
      <c r="O1818" t="s">
        <v>27</v>
      </c>
      <c r="P1818">
        <v>2.42</v>
      </c>
      <c r="Q1818" s="2" t="b">
        <f>FALSE()</f>
        <v>0</v>
      </c>
      <c r="R1818">
        <v>1</v>
      </c>
    </row>
    <row r="1819" spans="1:18" x14ac:dyDescent="0.25">
      <c r="A1819">
        <v>201818</v>
      </c>
      <c r="B1819">
        <v>53741</v>
      </c>
      <c r="C1819" t="s">
        <v>28</v>
      </c>
      <c r="D1819">
        <v>2888.64</v>
      </c>
      <c r="E1819">
        <v>3029</v>
      </c>
      <c r="F1819">
        <v>1</v>
      </c>
      <c r="G1819">
        <v>3</v>
      </c>
      <c r="H1819">
        <v>0</v>
      </c>
      <c r="I1819" t="s">
        <v>33</v>
      </c>
      <c r="J1819">
        <v>1</v>
      </c>
      <c r="K1819">
        <v>75</v>
      </c>
      <c r="L1819" t="s">
        <v>20</v>
      </c>
      <c r="M1819" t="s">
        <v>35</v>
      </c>
      <c r="N1819" t="s">
        <v>22</v>
      </c>
      <c r="O1819" t="s">
        <v>23</v>
      </c>
      <c r="P1819">
        <v>3.53</v>
      </c>
      <c r="Q1819" s="2" t="b">
        <f>FALSE()</f>
        <v>0</v>
      </c>
      <c r="R1819">
        <v>0</v>
      </c>
    </row>
    <row r="1820" spans="1:18" x14ac:dyDescent="0.25">
      <c r="A1820">
        <v>201819</v>
      </c>
      <c r="B1820">
        <v>55017</v>
      </c>
      <c r="C1820" t="s">
        <v>18</v>
      </c>
      <c r="D1820">
        <v>4494.12</v>
      </c>
      <c r="E1820">
        <v>411</v>
      </c>
      <c r="F1820">
        <v>1</v>
      </c>
      <c r="G1820">
        <v>2</v>
      </c>
      <c r="H1820">
        <v>1</v>
      </c>
      <c r="I1820" t="s">
        <v>33</v>
      </c>
      <c r="J1820">
        <v>0</v>
      </c>
      <c r="K1820">
        <v>82</v>
      </c>
      <c r="L1820" t="s">
        <v>20</v>
      </c>
      <c r="M1820" t="s">
        <v>37</v>
      </c>
      <c r="N1820" t="s">
        <v>30</v>
      </c>
      <c r="O1820" t="s">
        <v>23</v>
      </c>
      <c r="P1820">
        <v>0.5</v>
      </c>
      <c r="Q1820" s="2" t="b">
        <f>FALSE()</f>
        <v>0</v>
      </c>
      <c r="R1820">
        <v>1</v>
      </c>
    </row>
    <row r="1821" spans="1:18" x14ac:dyDescent="0.25">
      <c r="A1821">
        <v>201820</v>
      </c>
      <c r="B1821">
        <v>54152</v>
      </c>
      <c r="C1821" t="s">
        <v>34</v>
      </c>
      <c r="D1821">
        <v>4467.5200000000004</v>
      </c>
      <c r="E1821">
        <v>2138</v>
      </c>
      <c r="F1821">
        <v>3</v>
      </c>
      <c r="G1821">
        <v>1</v>
      </c>
      <c r="H1821">
        <v>0</v>
      </c>
      <c r="I1821" t="s">
        <v>33</v>
      </c>
      <c r="J1821">
        <v>0</v>
      </c>
      <c r="K1821">
        <v>52</v>
      </c>
      <c r="L1821" t="s">
        <v>24</v>
      </c>
      <c r="M1821" t="s">
        <v>31</v>
      </c>
      <c r="N1821" t="s">
        <v>22</v>
      </c>
      <c r="O1821" t="s">
        <v>23</v>
      </c>
      <c r="P1821">
        <v>2.93</v>
      </c>
      <c r="Q1821" s="2" t="b">
        <f>FALSE()</f>
        <v>0</v>
      </c>
      <c r="R1821">
        <v>1</v>
      </c>
    </row>
    <row r="1822" spans="1:18" x14ac:dyDescent="0.25">
      <c r="A1822">
        <v>201821</v>
      </c>
      <c r="B1822">
        <v>50160</v>
      </c>
      <c r="C1822" t="s">
        <v>18</v>
      </c>
      <c r="D1822">
        <v>447.69</v>
      </c>
      <c r="E1822">
        <v>3616</v>
      </c>
      <c r="F1822">
        <v>2</v>
      </c>
      <c r="G1822">
        <v>10</v>
      </c>
      <c r="H1822">
        <v>0</v>
      </c>
      <c r="I1822" t="s">
        <v>19</v>
      </c>
      <c r="J1822">
        <v>0</v>
      </c>
      <c r="K1822">
        <v>61</v>
      </c>
      <c r="L1822" t="s">
        <v>24</v>
      </c>
      <c r="M1822" t="s">
        <v>29</v>
      </c>
      <c r="N1822" t="s">
        <v>30</v>
      </c>
      <c r="O1822" t="s">
        <v>27</v>
      </c>
      <c r="P1822">
        <v>1.67</v>
      </c>
      <c r="Q1822" s="2" t="b">
        <f>FALSE()</f>
        <v>0</v>
      </c>
      <c r="R1822">
        <v>1</v>
      </c>
    </row>
    <row r="1823" spans="1:18" x14ac:dyDescent="0.25">
      <c r="A1823">
        <v>201822</v>
      </c>
      <c r="B1823">
        <v>55274</v>
      </c>
      <c r="C1823" t="s">
        <v>28</v>
      </c>
      <c r="D1823">
        <v>413.96</v>
      </c>
      <c r="E1823">
        <v>71</v>
      </c>
      <c r="F1823">
        <v>0</v>
      </c>
      <c r="G1823">
        <v>1</v>
      </c>
      <c r="H1823">
        <v>0</v>
      </c>
      <c r="I1823" t="s">
        <v>33</v>
      </c>
      <c r="J1823">
        <v>0</v>
      </c>
      <c r="K1823">
        <v>20</v>
      </c>
      <c r="L1823" t="s">
        <v>24</v>
      </c>
      <c r="M1823" t="s">
        <v>35</v>
      </c>
      <c r="N1823" t="s">
        <v>30</v>
      </c>
      <c r="O1823" t="s">
        <v>36</v>
      </c>
      <c r="P1823">
        <v>4.3</v>
      </c>
      <c r="Q1823" s="2" t="b">
        <f>FALSE()</f>
        <v>0</v>
      </c>
      <c r="R1823">
        <v>0</v>
      </c>
    </row>
    <row r="1824" spans="1:18" x14ac:dyDescent="0.25">
      <c r="A1824">
        <v>201823</v>
      </c>
      <c r="B1824">
        <v>54460</v>
      </c>
      <c r="C1824" t="s">
        <v>18</v>
      </c>
      <c r="D1824">
        <v>1602.5</v>
      </c>
      <c r="E1824">
        <v>137</v>
      </c>
      <c r="F1824">
        <v>1</v>
      </c>
      <c r="G1824">
        <v>8</v>
      </c>
      <c r="H1824">
        <v>1</v>
      </c>
      <c r="I1824" t="s">
        <v>32</v>
      </c>
      <c r="J1824">
        <v>1</v>
      </c>
      <c r="K1824">
        <v>46</v>
      </c>
      <c r="L1824" t="s">
        <v>20</v>
      </c>
      <c r="M1824" t="s">
        <v>21</v>
      </c>
      <c r="N1824" t="s">
        <v>26</v>
      </c>
      <c r="O1824" t="s">
        <v>27</v>
      </c>
      <c r="P1824">
        <v>4.26</v>
      </c>
      <c r="Q1824" s="2" t="b">
        <f>FALSE()</f>
        <v>0</v>
      </c>
      <c r="R1824">
        <v>1</v>
      </c>
    </row>
    <row r="1825" spans="1:18" x14ac:dyDescent="0.25">
      <c r="A1825">
        <v>201824</v>
      </c>
      <c r="B1825">
        <v>53194</v>
      </c>
      <c r="C1825" t="s">
        <v>28</v>
      </c>
      <c r="D1825">
        <v>1127.19</v>
      </c>
      <c r="E1825">
        <v>2325</v>
      </c>
      <c r="F1825">
        <v>2</v>
      </c>
      <c r="G1825">
        <v>2</v>
      </c>
      <c r="H1825">
        <v>0</v>
      </c>
      <c r="I1825" t="s">
        <v>19</v>
      </c>
      <c r="J1825">
        <v>1</v>
      </c>
      <c r="K1825">
        <v>59</v>
      </c>
      <c r="L1825" t="s">
        <v>20</v>
      </c>
      <c r="M1825" t="s">
        <v>35</v>
      </c>
      <c r="N1825" t="s">
        <v>26</v>
      </c>
      <c r="O1825" t="s">
        <v>36</v>
      </c>
      <c r="P1825">
        <v>13.64</v>
      </c>
      <c r="Q1825" s="2" t="b">
        <f>FALSE()</f>
        <v>0</v>
      </c>
      <c r="R1825">
        <v>0</v>
      </c>
    </row>
    <row r="1826" spans="1:18" x14ac:dyDescent="0.25">
      <c r="A1826">
        <v>201825</v>
      </c>
      <c r="B1826">
        <v>54335</v>
      </c>
      <c r="C1826" t="s">
        <v>18</v>
      </c>
      <c r="D1826">
        <v>1396.91</v>
      </c>
      <c r="E1826">
        <v>3333</v>
      </c>
      <c r="F1826">
        <v>0</v>
      </c>
      <c r="G1826">
        <v>8</v>
      </c>
      <c r="H1826">
        <v>0</v>
      </c>
      <c r="I1826" t="s">
        <v>33</v>
      </c>
      <c r="J1826">
        <v>0</v>
      </c>
      <c r="K1826">
        <v>49</v>
      </c>
      <c r="L1826" t="s">
        <v>20</v>
      </c>
      <c r="M1826" t="s">
        <v>29</v>
      </c>
      <c r="N1826" t="s">
        <v>22</v>
      </c>
      <c r="O1826" t="s">
        <v>27</v>
      </c>
      <c r="P1826">
        <v>1.22</v>
      </c>
      <c r="Q1826" s="2" t="b">
        <f>FALSE()</f>
        <v>0</v>
      </c>
      <c r="R1826">
        <v>1</v>
      </c>
    </row>
    <row r="1827" spans="1:18" x14ac:dyDescent="0.25">
      <c r="A1827">
        <v>201826</v>
      </c>
      <c r="B1827">
        <v>50928</v>
      </c>
      <c r="C1827" t="s">
        <v>18</v>
      </c>
      <c r="D1827">
        <v>1404.11</v>
      </c>
      <c r="E1827">
        <v>2133</v>
      </c>
      <c r="F1827">
        <v>0</v>
      </c>
      <c r="G1827">
        <v>5</v>
      </c>
      <c r="H1827">
        <v>0</v>
      </c>
      <c r="I1827" t="s">
        <v>32</v>
      </c>
      <c r="J1827">
        <v>0</v>
      </c>
      <c r="K1827">
        <v>84</v>
      </c>
      <c r="L1827" t="s">
        <v>20</v>
      </c>
      <c r="M1827" t="s">
        <v>35</v>
      </c>
      <c r="N1827" t="s">
        <v>30</v>
      </c>
      <c r="O1827" t="s">
        <v>36</v>
      </c>
      <c r="P1827">
        <v>0.63</v>
      </c>
      <c r="Q1827" s="2" t="b">
        <f>FALSE()</f>
        <v>0</v>
      </c>
      <c r="R1827">
        <v>0</v>
      </c>
    </row>
    <row r="1828" spans="1:18" x14ac:dyDescent="0.25">
      <c r="A1828">
        <v>201827</v>
      </c>
      <c r="B1828">
        <v>52979</v>
      </c>
      <c r="C1828" t="s">
        <v>18</v>
      </c>
      <c r="D1828">
        <v>266.79000000000002</v>
      </c>
      <c r="E1828">
        <v>1168</v>
      </c>
      <c r="F1828">
        <v>1</v>
      </c>
      <c r="G1828">
        <v>6</v>
      </c>
      <c r="H1828">
        <v>0</v>
      </c>
      <c r="I1828" t="s">
        <v>33</v>
      </c>
      <c r="J1828">
        <v>0</v>
      </c>
      <c r="K1828">
        <v>61</v>
      </c>
      <c r="L1828" t="s">
        <v>24</v>
      </c>
      <c r="M1828" t="s">
        <v>37</v>
      </c>
      <c r="N1828" t="s">
        <v>30</v>
      </c>
      <c r="O1828" t="s">
        <v>36</v>
      </c>
      <c r="P1828">
        <v>3.28</v>
      </c>
      <c r="Q1828" s="2" t="b">
        <f>FALSE()</f>
        <v>0</v>
      </c>
      <c r="R1828">
        <v>0</v>
      </c>
    </row>
    <row r="1829" spans="1:18" x14ac:dyDescent="0.25">
      <c r="A1829">
        <v>201828</v>
      </c>
      <c r="B1829">
        <v>51865</v>
      </c>
      <c r="C1829" t="s">
        <v>34</v>
      </c>
      <c r="D1829">
        <v>237.75</v>
      </c>
      <c r="E1829">
        <v>2411</v>
      </c>
      <c r="F1829">
        <v>1</v>
      </c>
      <c r="G1829">
        <v>3</v>
      </c>
      <c r="H1829">
        <v>0</v>
      </c>
      <c r="I1829" t="s">
        <v>33</v>
      </c>
      <c r="J1829">
        <v>0</v>
      </c>
      <c r="K1829">
        <v>21</v>
      </c>
      <c r="L1829" t="s">
        <v>20</v>
      </c>
      <c r="M1829" t="s">
        <v>21</v>
      </c>
      <c r="N1829" t="s">
        <v>30</v>
      </c>
      <c r="O1829" t="s">
        <v>27</v>
      </c>
      <c r="P1829">
        <v>1.26</v>
      </c>
      <c r="Q1829" s="2" t="b">
        <f>FALSE()</f>
        <v>0</v>
      </c>
      <c r="R1829">
        <v>0</v>
      </c>
    </row>
    <row r="1830" spans="1:18" x14ac:dyDescent="0.25">
      <c r="A1830">
        <v>201829</v>
      </c>
      <c r="B1830">
        <v>51974</v>
      </c>
      <c r="C1830" t="s">
        <v>34</v>
      </c>
      <c r="D1830">
        <v>1110.8399999999999</v>
      </c>
      <c r="E1830">
        <v>2121</v>
      </c>
      <c r="F1830">
        <v>0</v>
      </c>
      <c r="G1830">
        <v>5</v>
      </c>
      <c r="H1830">
        <v>0</v>
      </c>
      <c r="I1830" t="s">
        <v>33</v>
      </c>
      <c r="J1830">
        <v>0</v>
      </c>
      <c r="K1830">
        <v>47</v>
      </c>
      <c r="L1830" t="s">
        <v>20</v>
      </c>
      <c r="M1830" t="s">
        <v>29</v>
      </c>
      <c r="N1830" t="s">
        <v>26</v>
      </c>
      <c r="O1830" t="s">
        <v>27</v>
      </c>
      <c r="P1830">
        <v>8.4700000000000006</v>
      </c>
      <c r="Q1830" s="2" t="b">
        <f>FALSE()</f>
        <v>0</v>
      </c>
      <c r="R1830">
        <v>0</v>
      </c>
    </row>
    <row r="1831" spans="1:18" x14ac:dyDescent="0.25">
      <c r="A1831">
        <v>201830</v>
      </c>
      <c r="B1831">
        <v>54158</v>
      </c>
      <c r="C1831" t="s">
        <v>18</v>
      </c>
      <c r="D1831">
        <v>2773.88</v>
      </c>
      <c r="E1831">
        <v>1458</v>
      </c>
      <c r="F1831">
        <v>0</v>
      </c>
      <c r="G1831">
        <v>4</v>
      </c>
      <c r="H1831">
        <v>1</v>
      </c>
      <c r="I1831" t="s">
        <v>33</v>
      </c>
      <c r="J1831">
        <v>0</v>
      </c>
      <c r="K1831">
        <v>39</v>
      </c>
      <c r="L1831" t="s">
        <v>24</v>
      </c>
      <c r="M1831" t="s">
        <v>21</v>
      </c>
      <c r="N1831" t="s">
        <v>22</v>
      </c>
      <c r="O1831" t="s">
        <v>27</v>
      </c>
      <c r="P1831">
        <v>10.06</v>
      </c>
      <c r="Q1831" s="2" t="b">
        <f>FALSE()</f>
        <v>0</v>
      </c>
      <c r="R1831">
        <v>0</v>
      </c>
    </row>
    <row r="1832" spans="1:18" x14ac:dyDescent="0.25">
      <c r="A1832">
        <v>201831</v>
      </c>
      <c r="B1832">
        <v>50815</v>
      </c>
      <c r="C1832" t="s">
        <v>28</v>
      </c>
      <c r="D1832">
        <v>3990.71</v>
      </c>
      <c r="E1832">
        <v>1082</v>
      </c>
      <c r="F1832">
        <v>1</v>
      </c>
      <c r="G1832">
        <v>6</v>
      </c>
      <c r="H1832">
        <v>1</v>
      </c>
      <c r="I1832" t="s">
        <v>19</v>
      </c>
      <c r="J1832">
        <v>0</v>
      </c>
      <c r="K1832">
        <v>80</v>
      </c>
      <c r="L1832" t="s">
        <v>20</v>
      </c>
      <c r="M1832" t="s">
        <v>37</v>
      </c>
      <c r="N1832" t="s">
        <v>22</v>
      </c>
      <c r="O1832" t="s">
        <v>27</v>
      </c>
      <c r="P1832">
        <v>9.8699999999999992</v>
      </c>
      <c r="Q1832" s="2" t="b">
        <f>FALSE()</f>
        <v>0</v>
      </c>
      <c r="R1832">
        <v>1</v>
      </c>
    </row>
    <row r="1833" spans="1:18" x14ac:dyDescent="0.25">
      <c r="A1833">
        <v>201832</v>
      </c>
      <c r="B1833">
        <v>52371</v>
      </c>
      <c r="C1833" t="s">
        <v>18</v>
      </c>
      <c r="D1833">
        <v>1839.21</v>
      </c>
      <c r="E1833">
        <v>1969</v>
      </c>
      <c r="F1833">
        <v>0</v>
      </c>
      <c r="G1833">
        <v>2</v>
      </c>
      <c r="H1833">
        <v>0</v>
      </c>
      <c r="I1833" t="s">
        <v>33</v>
      </c>
      <c r="J1833">
        <v>0</v>
      </c>
      <c r="K1833">
        <v>83</v>
      </c>
      <c r="L1833" t="s">
        <v>24</v>
      </c>
      <c r="M1833" t="s">
        <v>35</v>
      </c>
      <c r="N1833" t="s">
        <v>22</v>
      </c>
      <c r="O1833" t="s">
        <v>27</v>
      </c>
      <c r="P1833">
        <v>6.07</v>
      </c>
      <c r="Q1833" s="2" t="b">
        <f>FALSE()</f>
        <v>0</v>
      </c>
      <c r="R1833">
        <v>0</v>
      </c>
    </row>
    <row r="1834" spans="1:18" x14ac:dyDescent="0.25">
      <c r="A1834">
        <v>201833</v>
      </c>
      <c r="B1834">
        <v>50891</v>
      </c>
      <c r="C1834" t="s">
        <v>18</v>
      </c>
      <c r="D1834">
        <v>504.09</v>
      </c>
      <c r="E1834">
        <v>361</v>
      </c>
      <c r="F1834">
        <v>2</v>
      </c>
      <c r="G1834">
        <v>3</v>
      </c>
      <c r="H1834">
        <v>1</v>
      </c>
      <c r="I1834" t="s">
        <v>32</v>
      </c>
      <c r="J1834">
        <v>0</v>
      </c>
      <c r="K1834">
        <v>45</v>
      </c>
      <c r="L1834" t="s">
        <v>20</v>
      </c>
      <c r="M1834" t="s">
        <v>35</v>
      </c>
      <c r="N1834" t="s">
        <v>22</v>
      </c>
      <c r="O1834" t="s">
        <v>27</v>
      </c>
      <c r="P1834">
        <v>1.1399999999999999</v>
      </c>
      <c r="Q1834" s="2" t="b">
        <f>FALSE()</f>
        <v>0</v>
      </c>
      <c r="R1834">
        <v>0</v>
      </c>
    </row>
    <row r="1835" spans="1:18" x14ac:dyDescent="0.25">
      <c r="A1835">
        <v>201834</v>
      </c>
      <c r="B1835">
        <v>54942</v>
      </c>
      <c r="C1835" t="s">
        <v>34</v>
      </c>
      <c r="D1835">
        <v>8446.67</v>
      </c>
      <c r="E1835">
        <v>3119</v>
      </c>
      <c r="F1835">
        <v>1</v>
      </c>
      <c r="G1835">
        <v>4</v>
      </c>
      <c r="H1835">
        <v>0</v>
      </c>
      <c r="I1835" t="s">
        <v>33</v>
      </c>
      <c r="J1835">
        <v>0</v>
      </c>
      <c r="K1835">
        <v>20</v>
      </c>
      <c r="L1835" t="s">
        <v>20</v>
      </c>
      <c r="M1835" t="s">
        <v>31</v>
      </c>
      <c r="N1835" t="s">
        <v>30</v>
      </c>
      <c r="O1835" t="s">
        <v>27</v>
      </c>
      <c r="P1835">
        <v>0.77</v>
      </c>
      <c r="Q1835" s="2" t="b">
        <f>TRUE()</f>
        <v>1</v>
      </c>
      <c r="R1835">
        <v>1</v>
      </c>
    </row>
    <row r="1836" spans="1:18" x14ac:dyDescent="0.25">
      <c r="A1836">
        <v>201835</v>
      </c>
      <c r="B1836">
        <v>51429</v>
      </c>
      <c r="C1836" t="s">
        <v>18</v>
      </c>
      <c r="D1836">
        <v>2493.3200000000002</v>
      </c>
      <c r="E1836">
        <v>2164</v>
      </c>
      <c r="F1836">
        <v>3</v>
      </c>
      <c r="G1836">
        <v>7</v>
      </c>
      <c r="H1836">
        <v>1</v>
      </c>
      <c r="I1836" t="s">
        <v>32</v>
      </c>
      <c r="J1836">
        <v>0</v>
      </c>
      <c r="K1836">
        <v>42</v>
      </c>
      <c r="L1836" t="s">
        <v>24</v>
      </c>
      <c r="M1836" t="s">
        <v>31</v>
      </c>
      <c r="N1836" t="s">
        <v>22</v>
      </c>
      <c r="O1836" t="s">
        <v>27</v>
      </c>
      <c r="P1836">
        <v>0.68</v>
      </c>
      <c r="Q1836" s="2" t="b">
        <f>FALSE()</f>
        <v>0</v>
      </c>
      <c r="R1836">
        <v>1</v>
      </c>
    </row>
    <row r="1837" spans="1:18" x14ac:dyDescent="0.25">
      <c r="A1837">
        <v>201836</v>
      </c>
      <c r="B1837">
        <v>50252</v>
      </c>
      <c r="C1837" t="s">
        <v>34</v>
      </c>
      <c r="D1837">
        <v>2517.9699999999998</v>
      </c>
      <c r="E1837">
        <v>1720</v>
      </c>
      <c r="F1837">
        <v>0</v>
      </c>
      <c r="G1837">
        <v>2</v>
      </c>
      <c r="H1837">
        <v>1</v>
      </c>
      <c r="I1837" t="s">
        <v>19</v>
      </c>
      <c r="J1837">
        <v>0</v>
      </c>
      <c r="K1837">
        <v>26</v>
      </c>
      <c r="L1837" t="s">
        <v>20</v>
      </c>
      <c r="M1837" t="s">
        <v>37</v>
      </c>
      <c r="N1837" t="s">
        <v>26</v>
      </c>
      <c r="O1837" t="s">
        <v>27</v>
      </c>
      <c r="P1837">
        <v>2.25</v>
      </c>
      <c r="Q1837" s="2" t="b">
        <f>FALSE()</f>
        <v>0</v>
      </c>
      <c r="R1837">
        <v>0</v>
      </c>
    </row>
    <row r="1838" spans="1:18" x14ac:dyDescent="0.25">
      <c r="A1838">
        <v>201837</v>
      </c>
      <c r="B1838">
        <v>51678</v>
      </c>
      <c r="C1838" t="s">
        <v>34</v>
      </c>
      <c r="D1838">
        <v>2174.48</v>
      </c>
      <c r="E1838">
        <v>2034</v>
      </c>
      <c r="F1838">
        <v>0</v>
      </c>
      <c r="G1838">
        <v>2</v>
      </c>
      <c r="H1838">
        <v>0</v>
      </c>
      <c r="I1838" t="s">
        <v>33</v>
      </c>
      <c r="J1838">
        <v>0</v>
      </c>
      <c r="K1838">
        <v>65</v>
      </c>
      <c r="L1838" t="s">
        <v>24</v>
      </c>
      <c r="M1838" t="s">
        <v>35</v>
      </c>
      <c r="N1838" t="s">
        <v>22</v>
      </c>
      <c r="O1838" t="s">
        <v>27</v>
      </c>
      <c r="P1838">
        <v>0.09</v>
      </c>
      <c r="Q1838" s="2" t="b">
        <f>FALSE()</f>
        <v>0</v>
      </c>
      <c r="R1838">
        <v>0</v>
      </c>
    </row>
    <row r="1839" spans="1:18" x14ac:dyDescent="0.25">
      <c r="A1839">
        <v>201838</v>
      </c>
      <c r="B1839">
        <v>50540</v>
      </c>
      <c r="C1839" t="s">
        <v>34</v>
      </c>
      <c r="D1839">
        <v>4635.59</v>
      </c>
      <c r="E1839">
        <v>2076</v>
      </c>
      <c r="F1839">
        <v>2</v>
      </c>
      <c r="G1839">
        <v>4</v>
      </c>
      <c r="H1839">
        <v>1</v>
      </c>
      <c r="I1839" t="s">
        <v>33</v>
      </c>
      <c r="J1839">
        <v>0</v>
      </c>
      <c r="K1839">
        <v>59</v>
      </c>
      <c r="L1839" t="s">
        <v>24</v>
      </c>
      <c r="M1839" t="s">
        <v>25</v>
      </c>
      <c r="N1839" t="s">
        <v>26</v>
      </c>
      <c r="O1839" t="s">
        <v>36</v>
      </c>
      <c r="P1839">
        <v>6.37</v>
      </c>
      <c r="Q1839" s="2" t="b">
        <f>FALSE()</f>
        <v>0</v>
      </c>
      <c r="R1839">
        <v>1</v>
      </c>
    </row>
    <row r="1840" spans="1:18" x14ac:dyDescent="0.25">
      <c r="A1840">
        <v>201839</v>
      </c>
      <c r="B1840">
        <v>50211</v>
      </c>
      <c r="C1840" t="s">
        <v>34</v>
      </c>
      <c r="D1840">
        <v>3721.9</v>
      </c>
      <c r="E1840">
        <v>1742</v>
      </c>
      <c r="F1840">
        <v>1</v>
      </c>
      <c r="G1840">
        <v>4</v>
      </c>
      <c r="H1840">
        <v>0</v>
      </c>
      <c r="I1840" t="s">
        <v>19</v>
      </c>
      <c r="J1840">
        <v>0</v>
      </c>
      <c r="K1840">
        <v>43</v>
      </c>
      <c r="L1840" t="s">
        <v>24</v>
      </c>
      <c r="M1840" t="s">
        <v>21</v>
      </c>
      <c r="N1840" t="s">
        <v>30</v>
      </c>
      <c r="O1840" t="s">
        <v>36</v>
      </c>
      <c r="P1840">
        <v>3.19</v>
      </c>
      <c r="Q1840" s="2" t="b">
        <f>FALSE()</f>
        <v>0</v>
      </c>
      <c r="R1840">
        <v>1</v>
      </c>
    </row>
    <row r="1841" spans="1:18" x14ac:dyDescent="0.25">
      <c r="A1841">
        <v>201840</v>
      </c>
      <c r="B1841">
        <v>54988</v>
      </c>
      <c r="C1841" t="s">
        <v>18</v>
      </c>
      <c r="D1841">
        <v>3682.68</v>
      </c>
      <c r="E1841">
        <v>361</v>
      </c>
      <c r="F1841">
        <v>0</v>
      </c>
      <c r="G1841">
        <v>5</v>
      </c>
      <c r="H1841">
        <v>0</v>
      </c>
      <c r="I1841" t="s">
        <v>33</v>
      </c>
      <c r="J1841">
        <v>0</v>
      </c>
      <c r="K1841">
        <v>23</v>
      </c>
      <c r="L1841" t="s">
        <v>20</v>
      </c>
      <c r="M1841" t="s">
        <v>35</v>
      </c>
      <c r="N1841" t="s">
        <v>30</v>
      </c>
      <c r="O1841" t="s">
        <v>36</v>
      </c>
      <c r="P1841">
        <v>4.8</v>
      </c>
      <c r="Q1841" s="2" t="b">
        <f>FALSE()</f>
        <v>0</v>
      </c>
      <c r="R1841">
        <v>1</v>
      </c>
    </row>
    <row r="1842" spans="1:18" x14ac:dyDescent="0.25">
      <c r="A1842">
        <v>201841</v>
      </c>
      <c r="B1842">
        <v>55214</v>
      </c>
      <c r="C1842" t="s">
        <v>28</v>
      </c>
      <c r="D1842">
        <v>6270.81</v>
      </c>
      <c r="E1842">
        <v>2660</v>
      </c>
      <c r="F1842">
        <v>1</v>
      </c>
      <c r="G1842">
        <v>5</v>
      </c>
      <c r="H1842">
        <v>1</v>
      </c>
      <c r="I1842" t="s">
        <v>32</v>
      </c>
      <c r="J1842">
        <v>0</v>
      </c>
      <c r="K1842">
        <v>64</v>
      </c>
      <c r="L1842" t="s">
        <v>24</v>
      </c>
      <c r="M1842" t="s">
        <v>25</v>
      </c>
      <c r="N1842" t="s">
        <v>30</v>
      </c>
      <c r="O1842" t="s">
        <v>23</v>
      </c>
      <c r="P1842">
        <v>4.3899999999999997</v>
      </c>
      <c r="Q1842" s="2" t="b">
        <f>FALSE()</f>
        <v>0</v>
      </c>
      <c r="R1842">
        <v>1</v>
      </c>
    </row>
    <row r="1843" spans="1:18" x14ac:dyDescent="0.25">
      <c r="A1843">
        <v>201842</v>
      </c>
      <c r="B1843">
        <v>52381</v>
      </c>
      <c r="C1843" t="s">
        <v>34</v>
      </c>
      <c r="D1843">
        <v>6414.32</v>
      </c>
      <c r="E1843">
        <v>2236</v>
      </c>
      <c r="F1843">
        <v>1</v>
      </c>
      <c r="G1843">
        <v>4</v>
      </c>
      <c r="H1843">
        <v>0</v>
      </c>
      <c r="I1843" t="s">
        <v>33</v>
      </c>
      <c r="J1843">
        <v>0</v>
      </c>
      <c r="K1843">
        <v>60</v>
      </c>
      <c r="L1843" t="s">
        <v>24</v>
      </c>
      <c r="M1843" t="s">
        <v>31</v>
      </c>
      <c r="N1843" t="s">
        <v>22</v>
      </c>
      <c r="O1843" t="s">
        <v>27</v>
      </c>
      <c r="P1843">
        <v>2.76</v>
      </c>
      <c r="Q1843" s="2" t="b">
        <f>FALSE()</f>
        <v>0</v>
      </c>
      <c r="R1843">
        <v>1</v>
      </c>
    </row>
    <row r="1844" spans="1:18" x14ac:dyDescent="0.25">
      <c r="A1844">
        <v>201843</v>
      </c>
      <c r="B1844">
        <v>51064</v>
      </c>
      <c r="C1844" t="s">
        <v>18</v>
      </c>
      <c r="D1844">
        <v>1399.73</v>
      </c>
      <c r="E1844">
        <v>1334</v>
      </c>
      <c r="F1844">
        <v>0</v>
      </c>
      <c r="G1844">
        <v>9</v>
      </c>
      <c r="H1844">
        <v>0</v>
      </c>
      <c r="I1844" t="s">
        <v>19</v>
      </c>
      <c r="J1844">
        <v>1</v>
      </c>
      <c r="K1844">
        <v>39</v>
      </c>
      <c r="L1844" t="s">
        <v>24</v>
      </c>
      <c r="M1844" t="s">
        <v>21</v>
      </c>
      <c r="N1844" t="s">
        <v>30</v>
      </c>
      <c r="O1844" t="s">
        <v>23</v>
      </c>
      <c r="P1844">
        <v>7.12</v>
      </c>
      <c r="Q1844" s="2" t="b">
        <f>FALSE()</f>
        <v>0</v>
      </c>
      <c r="R1844">
        <v>1</v>
      </c>
    </row>
    <row r="1845" spans="1:18" x14ac:dyDescent="0.25">
      <c r="A1845">
        <v>201844</v>
      </c>
      <c r="B1845">
        <v>53667</v>
      </c>
      <c r="C1845" t="s">
        <v>28</v>
      </c>
      <c r="D1845">
        <v>4601.79</v>
      </c>
      <c r="E1845">
        <v>1289</v>
      </c>
      <c r="F1845">
        <v>2</v>
      </c>
      <c r="G1845">
        <v>1</v>
      </c>
      <c r="H1845">
        <v>0</v>
      </c>
      <c r="I1845" t="s">
        <v>33</v>
      </c>
      <c r="J1845">
        <v>0</v>
      </c>
      <c r="K1845">
        <v>57</v>
      </c>
      <c r="L1845" t="s">
        <v>24</v>
      </c>
      <c r="M1845" t="s">
        <v>35</v>
      </c>
      <c r="N1845" t="s">
        <v>30</v>
      </c>
      <c r="O1845" t="s">
        <v>27</v>
      </c>
      <c r="P1845">
        <v>1.89</v>
      </c>
      <c r="Q1845" s="2" t="b">
        <f>FALSE()</f>
        <v>0</v>
      </c>
      <c r="R1845">
        <v>1</v>
      </c>
    </row>
    <row r="1846" spans="1:18" x14ac:dyDescent="0.25">
      <c r="A1846">
        <v>201845</v>
      </c>
      <c r="B1846">
        <v>54295</v>
      </c>
      <c r="C1846" t="s">
        <v>18</v>
      </c>
      <c r="D1846">
        <v>4226.12</v>
      </c>
      <c r="E1846">
        <v>1031</v>
      </c>
      <c r="F1846">
        <v>3</v>
      </c>
      <c r="G1846">
        <v>6</v>
      </c>
      <c r="H1846">
        <v>1</v>
      </c>
      <c r="I1846" t="s">
        <v>33</v>
      </c>
      <c r="J1846">
        <v>0</v>
      </c>
      <c r="K1846">
        <v>34</v>
      </c>
      <c r="L1846" t="s">
        <v>20</v>
      </c>
      <c r="M1846" t="s">
        <v>37</v>
      </c>
      <c r="N1846" t="s">
        <v>26</v>
      </c>
      <c r="O1846" t="s">
        <v>23</v>
      </c>
      <c r="P1846">
        <v>5.5</v>
      </c>
      <c r="Q1846" s="2" t="b">
        <f>FALSE()</f>
        <v>0</v>
      </c>
      <c r="R1846">
        <v>1</v>
      </c>
    </row>
    <row r="1847" spans="1:18" x14ac:dyDescent="0.25">
      <c r="A1847">
        <v>201846</v>
      </c>
      <c r="B1847">
        <v>55624</v>
      </c>
      <c r="C1847" t="s">
        <v>28</v>
      </c>
      <c r="D1847">
        <v>340.31</v>
      </c>
      <c r="E1847">
        <v>1194</v>
      </c>
      <c r="F1847">
        <v>1</v>
      </c>
      <c r="G1847">
        <v>5</v>
      </c>
      <c r="H1847">
        <v>0</v>
      </c>
      <c r="I1847" t="s">
        <v>19</v>
      </c>
      <c r="J1847">
        <v>0</v>
      </c>
      <c r="K1847">
        <v>30</v>
      </c>
      <c r="L1847" t="s">
        <v>24</v>
      </c>
      <c r="M1847" t="s">
        <v>25</v>
      </c>
      <c r="N1847" t="s">
        <v>22</v>
      </c>
      <c r="O1847" t="s">
        <v>27</v>
      </c>
      <c r="P1847">
        <v>1.79</v>
      </c>
      <c r="Q1847" s="2" t="b">
        <f>FALSE()</f>
        <v>0</v>
      </c>
      <c r="R1847">
        <v>0</v>
      </c>
    </row>
    <row r="1848" spans="1:18" x14ac:dyDescent="0.25">
      <c r="A1848">
        <v>201847</v>
      </c>
      <c r="B1848">
        <v>52912</v>
      </c>
      <c r="C1848" t="s">
        <v>34</v>
      </c>
      <c r="D1848">
        <v>3397.3</v>
      </c>
      <c r="E1848">
        <v>2739</v>
      </c>
      <c r="F1848">
        <v>1</v>
      </c>
      <c r="G1848">
        <v>7</v>
      </c>
      <c r="H1848">
        <v>0</v>
      </c>
      <c r="I1848" t="s">
        <v>33</v>
      </c>
      <c r="J1848">
        <v>0</v>
      </c>
      <c r="K1848">
        <v>74</v>
      </c>
      <c r="L1848" t="s">
        <v>20</v>
      </c>
      <c r="M1848" t="s">
        <v>31</v>
      </c>
      <c r="N1848" t="s">
        <v>22</v>
      </c>
      <c r="O1848" t="s">
        <v>27</v>
      </c>
      <c r="P1848">
        <v>0.54</v>
      </c>
      <c r="Q1848" s="2" t="b">
        <f>FALSE()</f>
        <v>0</v>
      </c>
      <c r="R1848">
        <v>1</v>
      </c>
    </row>
    <row r="1849" spans="1:18" x14ac:dyDescent="0.25">
      <c r="A1849">
        <v>201848</v>
      </c>
      <c r="B1849">
        <v>55930</v>
      </c>
      <c r="C1849" t="s">
        <v>34</v>
      </c>
      <c r="D1849">
        <v>3222.48</v>
      </c>
      <c r="E1849">
        <v>61</v>
      </c>
      <c r="F1849">
        <v>3</v>
      </c>
      <c r="G1849">
        <v>6</v>
      </c>
      <c r="H1849">
        <v>0</v>
      </c>
      <c r="I1849" t="s">
        <v>33</v>
      </c>
      <c r="J1849">
        <v>0</v>
      </c>
      <c r="K1849">
        <v>71</v>
      </c>
      <c r="L1849" t="s">
        <v>20</v>
      </c>
      <c r="M1849" t="s">
        <v>31</v>
      </c>
      <c r="N1849" t="s">
        <v>26</v>
      </c>
      <c r="O1849" t="s">
        <v>27</v>
      </c>
      <c r="P1849">
        <v>1.19</v>
      </c>
      <c r="Q1849" s="2" t="b">
        <f>FALSE()</f>
        <v>0</v>
      </c>
      <c r="R1849">
        <v>1</v>
      </c>
    </row>
    <row r="1850" spans="1:18" x14ac:dyDescent="0.25">
      <c r="A1850">
        <v>201849</v>
      </c>
      <c r="B1850">
        <v>53263</v>
      </c>
      <c r="C1850" t="s">
        <v>18</v>
      </c>
      <c r="D1850">
        <v>1746.71</v>
      </c>
      <c r="E1850">
        <v>483</v>
      </c>
      <c r="F1850">
        <v>4</v>
      </c>
      <c r="G1850">
        <v>6</v>
      </c>
      <c r="H1850">
        <v>1</v>
      </c>
      <c r="I1850" t="s">
        <v>33</v>
      </c>
      <c r="J1850">
        <v>0</v>
      </c>
      <c r="K1850">
        <v>51</v>
      </c>
      <c r="L1850" t="s">
        <v>20</v>
      </c>
      <c r="M1850" t="s">
        <v>25</v>
      </c>
      <c r="N1850" t="s">
        <v>26</v>
      </c>
      <c r="O1850" t="s">
        <v>36</v>
      </c>
      <c r="P1850">
        <v>2.41</v>
      </c>
      <c r="Q1850" s="2" t="b">
        <f>FALSE()</f>
        <v>0</v>
      </c>
      <c r="R1850">
        <v>1</v>
      </c>
    </row>
    <row r="1851" spans="1:18" x14ac:dyDescent="0.25">
      <c r="A1851">
        <v>201850</v>
      </c>
      <c r="B1851">
        <v>54505</v>
      </c>
      <c r="C1851" t="s">
        <v>28</v>
      </c>
      <c r="D1851">
        <v>5221.5200000000004</v>
      </c>
      <c r="E1851">
        <v>2646</v>
      </c>
      <c r="F1851">
        <v>0</v>
      </c>
      <c r="G1851">
        <v>5</v>
      </c>
      <c r="H1851">
        <v>0</v>
      </c>
      <c r="I1851" t="s">
        <v>19</v>
      </c>
      <c r="J1851">
        <v>0</v>
      </c>
      <c r="K1851">
        <v>18</v>
      </c>
      <c r="L1851" t="s">
        <v>24</v>
      </c>
      <c r="M1851" t="s">
        <v>29</v>
      </c>
      <c r="N1851" t="s">
        <v>30</v>
      </c>
      <c r="O1851" t="s">
        <v>27</v>
      </c>
      <c r="P1851">
        <v>5.37</v>
      </c>
      <c r="Q1851" s="2" t="b">
        <f>FALSE()</f>
        <v>0</v>
      </c>
      <c r="R1851">
        <v>1</v>
      </c>
    </row>
    <row r="1852" spans="1:18" x14ac:dyDescent="0.25">
      <c r="A1852">
        <v>201851</v>
      </c>
      <c r="B1852">
        <v>53913</v>
      </c>
      <c r="C1852" t="s">
        <v>34</v>
      </c>
      <c r="D1852">
        <v>2627.35</v>
      </c>
      <c r="E1852">
        <v>1098</v>
      </c>
      <c r="F1852">
        <v>1</v>
      </c>
      <c r="G1852">
        <v>1</v>
      </c>
      <c r="H1852">
        <v>0</v>
      </c>
      <c r="I1852" t="s">
        <v>19</v>
      </c>
      <c r="J1852">
        <v>0</v>
      </c>
      <c r="K1852">
        <v>46</v>
      </c>
      <c r="L1852" t="s">
        <v>20</v>
      </c>
      <c r="M1852" t="s">
        <v>37</v>
      </c>
      <c r="N1852" t="s">
        <v>22</v>
      </c>
      <c r="O1852" t="s">
        <v>36</v>
      </c>
      <c r="P1852">
        <v>7.51</v>
      </c>
      <c r="Q1852" s="2" t="b">
        <f>FALSE()</f>
        <v>0</v>
      </c>
      <c r="R1852">
        <v>0</v>
      </c>
    </row>
    <row r="1853" spans="1:18" x14ac:dyDescent="0.25">
      <c r="A1853">
        <v>201852</v>
      </c>
      <c r="B1853">
        <v>53951</v>
      </c>
      <c r="C1853" t="s">
        <v>34</v>
      </c>
      <c r="D1853">
        <v>1271.4000000000001</v>
      </c>
      <c r="E1853">
        <v>2016</v>
      </c>
      <c r="F1853">
        <v>1</v>
      </c>
      <c r="G1853">
        <v>4</v>
      </c>
      <c r="H1853">
        <v>0</v>
      </c>
      <c r="I1853" t="s">
        <v>32</v>
      </c>
      <c r="J1853">
        <v>1</v>
      </c>
      <c r="K1853">
        <v>23</v>
      </c>
      <c r="L1853" t="s">
        <v>24</v>
      </c>
      <c r="M1853" t="s">
        <v>35</v>
      </c>
      <c r="N1853" t="s">
        <v>30</v>
      </c>
      <c r="O1853" t="s">
        <v>23</v>
      </c>
      <c r="P1853">
        <v>0.32</v>
      </c>
      <c r="Q1853" s="2" t="b">
        <f>FALSE()</f>
        <v>0</v>
      </c>
      <c r="R1853">
        <v>0</v>
      </c>
    </row>
    <row r="1854" spans="1:18" x14ac:dyDescent="0.25">
      <c r="A1854">
        <v>201853</v>
      </c>
      <c r="B1854">
        <v>55946</v>
      </c>
      <c r="C1854" t="s">
        <v>18</v>
      </c>
      <c r="D1854">
        <v>1886.03</v>
      </c>
      <c r="E1854">
        <v>1144</v>
      </c>
      <c r="F1854">
        <v>4</v>
      </c>
      <c r="G1854">
        <v>4</v>
      </c>
      <c r="H1854">
        <v>0</v>
      </c>
      <c r="I1854" t="s">
        <v>19</v>
      </c>
      <c r="J1854">
        <v>0</v>
      </c>
      <c r="K1854">
        <v>42</v>
      </c>
      <c r="L1854" t="s">
        <v>20</v>
      </c>
      <c r="M1854" t="s">
        <v>31</v>
      </c>
      <c r="N1854" t="s">
        <v>22</v>
      </c>
      <c r="O1854" t="s">
        <v>27</v>
      </c>
      <c r="P1854">
        <v>1.34</v>
      </c>
      <c r="Q1854" s="2" t="b">
        <f>FALSE()</f>
        <v>0</v>
      </c>
      <c r="R1854">
        <v>1</v>
      </c>
    </row>
    <row r="1855" spans="1:18" x14ac:dyDescent="0.25">
      <c r="A1855">
        <v>201854</v>
      </c>
      <c r="B1855">
        <v>53412</v>
      </c>
      <c r="C1855" t="s">
        <v>18</v>
      </c>
      <c r="D1855">
        <v>6630.65</v>
      </c>
      <c r="E1855">
        <v>3102</v>
      </c>
      <c r="F1855">
        <v>2</v>
      </c>
      <c r="G1855">
        <v>4</v>
      </c>
      <c r="H1855">
        <v>0</v>
      </c>
      <c r="I1855" t="s">
        <v>19</v>
      </c>
      <c r="J1855">
        <v>0</v>
      </c>
      <c r="K1855">
        <v>26</v>
      </c>
      <c r="L1855" t="s">
        <v>24</v>
      </c>
      <c r="M1855" t="s">
        <v>35</v>
      </c>
      <c r="N1855" t="s">
        <v>22</v>
      </c>
      <c r="O1855" t="s">
        <v>36</v>
      </c>
      <c r="P1855">
        <v>6.95</v>
      </c>
      <c r="Q1855" s="2" t="b">
        <f>FALSE()</f>
        <v>0</v>
      </c>
      <c r="R1855">
        <v>1</v>
      </c>
    </row>
    <row r="1856" spans="1:18" x14ac:dyDescent="0.25">
      <c r="A1856">
        <v>201855</v>
      </c>
      <c r="B1856">
        <v>53726</v>
      </c>
      <c r="C1856" t="s">
        <v>34</v>
      </c>
      <c r="D1856">
        <v>1531.21</v>
      </c>
      <c r="E1856">
        <v>2698</v>
      </c>
      <c r="F1856">
        <v>1</v>
      </c>
      <c r="G1856">
        <v>5</v>
      </c>
      <c r="H1856">
        <v>0</v>
      </c>
      <c r="I1856" t="s">
        <v>33</v>
      </c>
      <c r="J1856">
        <v>1</v>
      </c>
      <c r="K1856">
        <v>21</v>
      </c>
      <c r="L1856" t="s">
        <v>24</v>
      </c>
      <c r="M1856" t="s">
        <v>25</v>
      </c>
      <c r="N1856" t="s">
        <v>30</v>
      </c>
      <c r="O1856" t="s">
        <v>23</v>
      </c>
      <c r="P1856">
        <v>0.99</v>
      </c>
      <c r="Q1856" s="2" t="b">
        <f>FALSE()</f>
        <v>0</v>
      </c>
      <c r="R1856">
        <v>0</v>
      </c>
    </row>
    <row r="1857" spans="1:18" x14ac:dyDescent="0.25">
      <c r="A1857">
        <v>201856</v>
      </c>
      <c r="B1857">
        <v>55428</v>
      </c>
      <c r="C1857" t="s">
        <v>18</v>
      </c>
      <c r="D1857">
        <v>2404.85</v>
      </c>
      <c r="E1857">
        <v>1005</v>
      </c>
      <c r="F1857">
        <v>0</v>
      </c>
      <c r="G1857">
        <v>4</v>
      </c>
      <c r="H1857">
        <v>0</v>
      </c>
      <c r="I1857" t="s">
        <v>33</v>
      </c>
      <c r="J1857">
        <v>0</v>
      </c>
      <c r="K1857">
        <v>54</v>
      </c>
      <c r="L1857" t="s">
        <v>20</v>
      </c>
      <c r="M1857" t="s">
        <v>31</v>
      </c>
      <c r="N1857" t="s">
        <v>22</v>
      </c>
      <c r="O1857" t="s">
        <v>23</v>
      </c>
      <c r="P1857">
        <v>2.33</v>
      </c>
      <c r="Q1857" s="2" t="b">
        <f>FALSE()</f>
        <v>0</v>
      </c>
      <c r="R1857">
        <v>0</v>
      </c>
    </row>
    <row r="1858" spans="1:18" x14ac:dyDescent="0.25">
      <c r="A1858">
        <v>201857</v>
      </c>
      <c r="B1858">
        <v>53543</v>
      </c>
      <c r="C1858" t="s">
        <v>34</v>
      </c>
      <c r="D1858">
        <v>6551.73</v>
      </c>
      <c r="E1858">
        <v>1643</v>
      </c>
      <c r="F1858">
        <v>0</v>
      </c>
      <c r="G1858">
        <v>4</v>
      </c>
      <c r="H1858">
        <v>1</v>
      </c>
      <c r="I1858" t="s">
        <v>33</v>
      </c>
      <c r="J1858">
        <v>0</v>
      </c>
      <c r="K1858">
        <v>47</v>
      </c>
      <c r="L1858" t="s">
        <v>24</v>
      </c>
      <c r="M1858" t="s">
        <v>21</v>
      </c>
      <c r="N1858" t="s">
        <v>26</v>
      </c>
      <c r="O1858" t="s">
        <v>23</v>
      </c>
      <c r="P1858">
        <v>1.01</v>
      </c>
      <c r="Q1858" s="2" t="b">
        <f>FALSE()</f>
        <v>0</v>
      </c>
      <c r="R1858">
        <v>1</v>
      </c>
    </row>
    <row r="1859" spans="1:18" x14ac:dyDescent="0.25">
      <c r="A1859">
        <v>201858</v>
      </c>
      <c r="B1859">
        <v>54282</v>
      </c>
      <c r="C1859" t="s">
        <v>18</v>
      </c>
      <c r="D1859">
        <v>451.44</v>
      </c>
      <c r="E1859">
        <v>2469</v>
      </c>
      <c r="F1859">
        <v>0</v>
      </c>
      <c r="G1859">
        <v>1</v>
      </c>
      <c r="H1859">
        <v>0</v>
      </c>
      <c r="I1859" t="s">
        <v>32</v>
      </c>
      <c r="J1859">
        <v>0</v>
      </c>
      <c r="K1859">
        <v>55</v>
      </c>
      <c r="L1859" t="s">
        <v>20</v>
      </c>
      <c r="M1859" t="s">
        <v>35</v>
      </c>
      <c r="N1859" t="s">
        <v>30</v>
      </c>
      <c r="O1859" t="s">
        <v>36</v>
      </c>
      <c r="P1859">
        <v>4.2699999999999996</v>
      </c>
      <c r="Q1859" s="2" t="b">
        <f>FALSE()</f>
        <v>0</v>
      </c>
      <c r="R1859">
        <v>0</v>
      </c>
    </row>
    <row r="1860" spans="1:18" x14ac:dyDescent="0.25">
      <c r="A1860">
        <v>201859</v>
      </c>
      <c r="B1860">
        <v>52102</v>
      </c>
      <c r="C1860" t="s">
        <v>28</v>
      </c>
      <c r="D1860">
        <v>2366.4499999999998</v>
      </c>
      <c r="E1860">
        <v>703</v>
      </c>
      <c r="F1860">
        <v>1</v>
      </c>
      <c r="G1860">
        <v>2</v>
      </c>
      <c r="H1860">
        <v>0</v>
      </c>
      <c r="I1860" t="s">
        <v>33</v>
      </c>
      <c r="J1860">
        <v>0</v>
      </c>
      <c r="K1860">
        <v>77</v>
      </c>
      <c r="L1860" t="s">
        <v>20</v>
      </c>
      <c r="M1860" t="s">
        <v>31</v>
      </c>
      <c r="N1860" t="s">
        <v>30</v>
      </c>
      <c r="O1860" t="s">
        <v>36</v>
      </c>
      <c r="P1860">
        <v>0.16</v>
      </c>
      <c r="Q1860" s="2" t="b">
        <f>FALSE()</f>
        <v>0</v>
      </c>
      <c r="R1860">
        <v>0</v>
      </c>
    </row>
    <row r="1861" spans="1:18" x14ac:dyDescent="0.25">
      <c r="A1861">
        <v>201860</v>
      </c>
      <c r="B1861">
        <v>54140</v>
      </c>
      <c r="C1861" t="s">
        <v>18</v>
      </c>
      <c r="D1861">
        <v>4192.68</v>
      </c>
      <c r="E1861">
        <v>721</v>
      </c>
      <c r="F1861">
        <v>1</v>
      </c>
      <c r="G1861">
        <v>0</v>
      </c>
      <c r="H1861">
        <v>0</v>
      </c>
      <c r="I1861" t="s">
        <v>33</v>
      </c>
      <c r="J1861">
        <v>0</v>
      </c>
      <c r="K1861">
        <v>58</v>
      </c>
      <c r="L1861" t="s">
        <v>20</v>
      </c>
      <c r="M1861" t="s">
        <v>37</v>
      </c>
      <c r="N1861" t="s">
        <v>26</v>
      </c>
      <c r="O1861" t="s">
        <v>36</v>
      </c>
      <c r="P1861">
        <v>1.1100000000000001</v>
      </c>
      <c r="Q1861" s="2" t="b">
        <f>FALSE()</f>
        <v>0</v>
      </c>
      <c r="R1861">
        <v>1</v>
      </c>
    </row>
    <row r="1862" spans="1:18" x14ac:dyDescent="0.25">
      <c r="A1862">
        <v>201861</v>
      </c>
      <c r="B1862">
        <v>53485</v>
      </c>
      <c r="C1862" t="s">
        <v>34</v>
      </c>
      <c r="D1862">
        <v>1492.95</v>
      </c>
      <c r="E1862">
        <v>2594</v>
      </c>
      <c r="F1862">
        <v>0</v>
      </c>
      <c r="G1862">
        <v>5</v>
      </c>
      <c r="H1862">
        <v>0</v>
      </c>
      <c r="I1862" t="s">
        <v>33</v>
      </c>
      <c r="J1862">
        <v>0</v>
      </c>
      <c r="K1862">
        <v>55</v>
      </c>
      <c r="L1862" t="s">
        <v>24</v>
      </c>
      <c r="M1862" t="s">
        <v>31</v>
      </c>
      <c r="N1862" t="s">
        <v>26</v>
      </c>
      <c r="O1862" t="s">
        <v>36</v>
      </c>
      <c r="P1862">
        <v>1.27</v>
      </c>
      <c r="Q1862" s="2" t="b">
        <f>FALSE()</f>
        <v>0</v>
      </c>
      <c r="R1862">
        <v>0</v>
      </c>
    </row>
    <row r="1863" spans="1:18" x14ac:dyDescent="0.25">
      <c r="A1863">
        <v>201862</v>
      </c>
      <c r="B1863">
        <v>55598</v>
      </c>
      <c r="C1863" t="s">
        <v>34</v>
      </c>
      <c r="D1863">
        <v>5471.29</v>
      </c>
      <c r="E1863">
        <v>2109</v>
      </c>
      <c r="F1863">
        <v>1</v>
      </c>
      <c r="G1863">
        <v>5</v>
      </c>
      <c r="H1863">
        <v>1</v>
      </c>
      <c r="I1863" t="s">
        <v>33</v>
      </c>
      <c r="J1863">
        <v>0</v>
      </c>
      <c r="K1863">
        <v>28</v>
      </c>
      <c r="L1863" t="s">
        <v>20</v>
      </c>
      <c r="M1863" t="s">
        <v>25</v>
      </c>
      <c r="N1863" t="s">
        <v>22</v>
      </c>
      <c r="O1863" t="s">
        <v>23</v>
      </c>
      <c r="P1863">
        <v>0.83</v>
      </c>
      <c r="Q1863" s="2" t="b">
        <f>FALSE()</f>
        <v>0</v>
      </c>
      <c r="R1863">
        <v>1</v>
      </c>
    </row>
    <row r="1864" spans="1:18" x14ac:dyDescent="0.25">
      <c r="A1864">
        <v>201863</v>
      </c>
      <c r="B1864">
        <v>50492</v>
      </c>
      <c r="C1864" t="s">
        <v>18</v>
      </c>
      <c r="D1864">
        <v>1674.88</v>
      </c>
      <c r="E1864">
        <v>2662</v>
      </c>
      <c r="F1864">
        <v>1</v>
      </c>
      <c r="G1864">
        <v>3</v>
      </c>
      <c r="H1864">
        <v>0</v>
      </c>
      <c r="I1864" t="s">
        <v>32</v>
      </c>
      <c r="J1864">
        <v>0</v>
      </c>
      <c r="K1864">
        <v>26</v>
      </c>
      <c r="L1864" t="s">
        <v>24</v>
      </c>
      <c r="M1864" t="s">
        <v>25</v>
      </c>
      <c r="N1864" t="s">
        <v>22</v>
      </c>
      <c r="O1864" t="s">
        <v>27</v>
      </c>
      <c r="P1864">
        <v>1.06</v>
      </c>
      <c r="Q1864" s="2" t="b">
        <f>FALSE()</f>
        <v>0</v>
      </c>
      <c r="R1864">
        <v>0</v>
      </c>
    </row>
    <row r="1865" spans="1:18" x14ac:dyDescent="0.25">
      <c r="A1865">
        <v>201864</v>
      </c>
      <c r="B1865">
        <v>54313</v>
      </c>
      <c r="C1865" t="s">
        <v>18</v>
      </c>
      <c r="D1865">
        <v>862.38</v>
      </c>
      <c r="E1865">
        <v>1290</v>
      </c>
      <c r="F1865">
        <v>1</v>
      </c>
      <c r="G1865">
        <v>3</v>
      </c>
      <c r="H1865">
        <v>0</v>
      </c>
      <c r="I1865" t="s">
        <v>19</v>
      </c>
      <c r="J1865">
        <v>0</v>
      </c>
      <c r="K1865">
        <v>74</v>
      </c>
      <c r="L1865" t="s">
        <v>24</v>
      </c>
      <c r="M1865" t="s">
        <v>31</v>
      </c>
      <c r="N1865" t="s">
        <v>22</v>
      </c>
      <c r="O1865" t="s">
        <v>27</v>
      </c>
      <c r="P1865">
        <v>0</v>
      </c>
      <c r="Q1865" s="2" t="b">
        <f>FALSE()</f>
        <v>0</v>
      </c>
      <c r="R1865">
        <v>0</v>
      </c>
    </row>
    <row r="1866" spans="1:18" x14ac:dyDescent="0.25">
      <c r="A1866">
        <v>201865</v>
      </c>
      <c r="B1866">
        <v>55645</v>
      </c>
      <c r="C1866" t="s">
        <v>18</v>
      </c>
      <c r="D1866">
        <v>577.59</v>
      </c>
      <c r="E1866">
        <v>1608</v>
      </c>
      <c r="F1866">
        <v>2</v>
      </c>
      <c r="G1866">
        <v>7</v>
      </c>
      <c r="H1866">
        <v>0</v>
      </c>
      <c r="I1866" t="s">
        <v>19</v>
      </c>
      <c r="J1866">
        <v>0</v>
      </c>
      <c r="K1866">
        <v>28</v>
      </c>
      <c r="L1866" t="s">
        <v>24</v>
      </c>
      <c r="M1866" t="s">
        <v>31</v>
      </c>
      <c r="N1866" t="s">
        <v>30</v>
      </c>
      <c r="O1866" t="s">
        <v>36</v>
      </c>
      <c r="P1866">
        <v>4.2300000000000004</v>
      </c>
      <c r="Q1866" s="2" t="b">
        <f>FALSE()</f>
        <v>0</v>
      </c>
      <c r="R1866">
        <v>1</v>
      </c>
    </row>
    <row r="1867" spans="1:18" x14ac:dyDescent="0.25">
      <c r="A1867">
        <v>201866</v>
      </c>
      <c r="B1867">
        <v>55840</v>
      </c>
      <c r="C1867" t="s">
        <v>18</v>
      </c>
      <c r="D1867">
        <v>1518.24</v>
      </c>
      <c r="E1867">
        <v>145</v>
      </c>
      <c r="F1867">
        <v>2</v>
      </c>
      <c r="G1867">
        <v>1</v>
      </c>
      <c r="H1867">
        <v>0</v>
      </c>
      <c r="I1867" t="s">
        <v>33</v>
      </c>
      <c r="J1867">
        <v>0</v>
      </c>
      <c r="K1867">
        <v>65</v>
      </c>
      <c r="L1867" t="s">
        <v>24</v>
      </c>
      <c r="M1867" t="s">
        <v>37</v>
      </c>
      <c r="N1867" t="s">
        <v>26</v>
      </c>
      <c r="O1867" t="s">
        <v>36</v>
      </c>
      <c r="P1867">
        <v>4.3499999999999996</v>
      </c>
      <c r="Q1867" s="2" t="b">
        <f>FALSE()</f>
        <v>0</v>
      </c>
      <c r="R1867">
        <v>0</v>
      </c>
    </row>
    <row r="1868" spans="1:18" x14ac:dyDescent="0.25">
      <c r="A1868">
        <v>201867</v>
      </c>
      <c r="B1868">
        <v>55661</v>
      </c>
      <c r="C1868" t="s">
        <v>34</v>
      </c>
      <c r="D1868">
        <v>3008.53</v>
      </c>
      <c r="E1868">
        <v>370</v>
      </c>
      <c r="F1868">
        <v>0</v>
      </c>
      <c r="G1868">
        <v>2</v>
      </c>
      <c r="H1868">
        <v>0</v>
      </c>
      <c r="I1868" t="s">
        <v>33</v>
      </c>
      <c r="J1868">
        <v>0</v>
      </c>
      <c r="K1868">
        <v>30</v>
      </c>
      <c r="L1868" t="s">
        <v>24</v>
      </c>
      <c r="M1868" t="s">
        <v>29</v>
      </c>
      <c r="N1868" t="s">
        <v>22</v>
      </c>
      <c r="O1868" t="s">
        <v>27</v>
      </c>
      <c r="P1868">
        <v>26.96</v>
      </c>
      <c r="Q1868" s="2" t="b">
        <f>FALSE()</f>
        <v>0</v>
      </c>
      <c r="R1868">
        <v>0</v>
      </c>
    </row>
    <row r="1869" spans="1:18" x14ac:dyDescent="0.25">
      <c r="A1869">
        <v>201868</v>
      </c>
      <c r="B1869">
        <v>54950</v>
      </c>
      <c r="C1869" t="s">
        <v>34</v>
      </c>
      <c r="D1869">
        <v>647.44000000000005</v>
      </c>
      <c r="E1869">
        <v>3151</v>
      </c>
      <c r="F1869">
        <v>0</v>
      </c>
      <c r="G1869">
        <v>4</v>
      </c>
      <c r="H1869">
        <v>0</v>
      </c>
      <c r="I1869" t="s">
        <v>32</v>
      </c>
      <c r="J1869">
        <v>0</v>
      </c>
      <c r="K1869">
        <v>19</v>
      </c>
      <c r="L1869" t="s">
        <v>24</v>
      </c>
      <c r="M1869" t="s">
        <v>29</v>
      </c>
      <c r="N1869" t="s">
        <v>22</v>
      </c>
      <c r="O1869" t="s">
        <v>36</v>
      </c>
      <c r="P1869">
        <v>13.63</v>
      </c>
      <c r="Q1869" s="2" t="b">
        <f>FALSE()</f>
        <v>0</v>
      </c>
      <c r="R1869">
        <v>0</v>
      </c>
    </row>
    <row r="1870" spans="1:18" x14ac:dyDescent="0.25">
      <c r="A1870">
        <v>201869</v>
      </c>
      <c r="B1870">
        <v>50550</v>
      </c>
      <c r="C1870" t="s">
        <v>34</v>
      </c>
      <c r="D1870">
        <v>3102.02</v>
      </c>
      <c r="E1870">
        <v>2032</v>
      </c>
      <c r="F1870">
        <v>2</v>
      </c>
      <c r="G1870">
        <v>5</v>
      </c>
      <c r="H1870">
        <v>0</v>
      </c>
      <c r="I1870" t="s">
        <v>33</v>
      </c>
      <c r="J1870">
        <v>0</v>
      </c>
      <c r="K1870">
        <v>42</v>
      </c>
      <c r="L1870" t="s">
        <v>24</v>
      </c>
      <c r="M1870" t="s">
        <v>25</v>
      </c>
      <c r="N1870" t="s">
        <v>30</v>
      </c>
      <c r="O1870" t="s">
        <v>23</v>
      </c>
      <c r="P1870">
        <v>1.59</v>
      </c>
      <c r="Q1870" s="2" t="b">
        <f>FALSE()</f>
        <v>0</v>
      </c>
      <c r="R1870">
        <v>0</v>
      </c>
    </row>
    <row r="1871" spans="1:18" x14ac:dyDescent="0.25">
      <c r="A1871">
        <v>201870</v>
      </c>
      <c r="B1871">
        <v>54643</v>
      </c>
      <c r="C1871" t="s">
        <v>18</v>
      </c>
      <c r="D1871">
        <v>4081.04</v>
      </c>
      <c r="E1871">
        <v>1792</v>
      </c>
      <c r="F1871">
        <v>0</v>
      </c>
      <c r="G1871">
        <v>2</v>
      </c>
      <c r="H1871">
        <v>0</v>
      </c>
      <c r="I1871" t="s">
        <v>32</v>
      </c>
      <c r="J1871">
        <v>0</v>
      </c>
      <c r="K1871">
        <v>54</v>
      </c>
      <c r="L1871" t="s">
        <v>20</v>
      </c>
      <c r="M1871" t="s">
        <v>29</v>
      </c>
      <c r="N1871" t="s">
        <v>30</v>
      </c>
      <c r="O1871" t="s">
        <v>23</v>
      </c>
      <c r="P1871">
        <v>2.2000000000000002</v>
      </c>
      <c r="Q1871" s="2" t="b">
        <f>FALSE()</f>
        <v>0</v>
      </c>
      <c r="R1871">
        <v>1</v>
      </c>
    </row>
    <row r="1872" spans="1:18" x14ac:dyDescent="0.25">
      <c r="A1872">
        <v>201871</v>
      </c>
      <c r="B1872">
        <v>51557</v>
      </c>
      <c r="C1872" t="s">
        <v>34</v>
      </c>
      <c r="D1872">
        <v>1594.28</v>
      </c>
      <c r="E1872">
        <v>2738</v>
      </c>
      <c r="F1872">
        <v>0</v>
      </c>
      <c r="G1872">
        <v>4</v>
      </c>
      <c r="H1872">
        <v>1</v>
      </c>
      <c r="I1872" t="s">
        <v>33</v>
      </c>
      <c r="J1872">
        <v>0</v>
      </c>
      <c r="K1872">
        <v>45</v>
      </c>
      <c r="L1872" t="s">
        <v>20</v>
      </c>
      <c r="M1872" t="s">
        <v>21</v>
      </c>
      <c r="N1872" t="s">
        <v>26</v>
      </c>
      <c r="O1872" t="s">
        <v>23</v>
      </c>
      <c r="P1872">
        <v>0.21</v>
      </c>
      <c r="Q1872" s="2" t="b">
        <f>FALSE()</f>
        <v>0</v>
      </c>
      <c r="R1872">
        <v>0</v>
      </c>
    </row>
    <row r="1873" spans="1:18" x14ac:dyDescent="0.25">
      <c r="A1873">
        <v>201872</v>
      </c>
      <c r="B1873">
        <v>55585</v>
      </c>
      <c r="C1873" t="s">
        <v>18</v>
      </c>
      <c r="D1873">
        <v>1889.59</v>
      </c>
      <c r="E1873">
        <v>165</v>
      </c>
      <c r="F1873">
        <v>1</v>
      </c>
      <c r="G1873">
        <v>3</v>
      </c>
      <c r="H1873">
        <v>0</v>
      </c>
      <c r="I1873" t="s">
        <v>19</v>
      </c>
      <c r="J1873">
        <v>0</v>
      </c>
      <c r="K1873">
        <v>26</v>
      </c>
      <c r="L1873" t="s">
        <v>24</v>
      </c>
      <c r="M1873" t="s">
        <v>37</v>
      </c>
      <c r="N1873" t="s">
        <v>22</v>
      </c>
      <c r="O1873" t="s">
        <v>36</v>
      </c>
      <c r="P1873">
        <v>1.28</v>
      </c>
      <c r="Q1873" s="2" t="b">
        <f>FALSE()</f>
        <v>0</v>
      </c>
      <c r="R1873">
        <v>0</v>
      </c>
    </row>
    <row r="1874" spans="1:18" x14ac:dyDescent="0.25">
      <c r="A1874">
        <v>201873</v>
      </c>
      <c r="B1874">
        <v>51088</v>
      </c>
      <c r="C1874" t="s">
        <v>18</v>
      </c>
      <c r="D1874">
        <v>1661.18</v>
      </c>
      <c r="E1874">
        <v>2713</v>
      </c>
      <c r="F1874">
        <v>1</v>
      </c>
      <c r="G1874">
        <v>0</v>
      </c>
      <c r="H1874">
        <v>0</v>
      </c>
      <c r="I1874" t="s">
        <v>19</v>
      </c>
      <c r="J1874">
        <v>0</v>
      </c>
      <c r="K1874">
        <v>51</v>
      </c>
      <c r="L1874" t="s">
        <v>20</v>
      </c>
      <c r="M1874" t="s">
        <v>21</v>
      </c>
      <c r="N1874" t="s">
        <v>22</v>
      </c>
      <c r="O1874" t="s">
        <v>36</v>
      </c>
      <c r="P1874">
        <v>1.66</v>
      </c>
      <c r="Q1874" s="2" t="b">
        <f>FALSE()</f>
        <v>0</v>
      </c>
      <c r="R1874">
        <v>0</v>
      </c>
    </row>
    <row r="1875" spans="1:18" x14ac:dyDescent="0.25">
      <c r="A1875">
        <v>201874</v>
      </c>
      <c r="B1875">
        <v>51036</v>
      </c>
      <c r="C1875" t="s">
        <v>18</v>
      </c>
      <c r="D1875">
        <v>1226.94</v>
      </c>
      <c r="E1875">
        <v>1289</v>
      </c>
      <c r="F1875">
        <v>0</v>
      </c>
      <c r="G1875">
        <v>4</v>
      </c>
      <c r="H1875">
        <v>0</v>
      </c>
      <c r="I1875" t="s">
        <v>32</v>
      </c>
      <c r="J1875">
        <v>0</v>
      </c>
      <c r="K1875">
        <v>19</v>
      </c>
      <c r="L1875" t="s">
        <v>24</v>
      </c>
      <c r="M1875" t="s">
        <v>35</v>
      </c>
      <c r="N1875" t="s">
        <v>22</v>
      </c>
      <c r="O1875" t="s">
        <v>36</v>
      </c>
      <c r="P1875">
        <v>0.14000000000000001</v>
      </c>
      <c r="Q1875" s="2" t="b">
        <f>FALSE()</f>
        <v>0</v>
      </c>
      <c r="R1875">
        <v>0</v>
      </c>
    </row>
    <row r="1876" spans="1:18" x14ac:dyDescent="0.25">
      <c r="A1876">
        <v>201875</v>
      </c>
      <c r="B1876">
        <v>54623</v>
      </c>
      <c r="C1876" t="s">
        <v>34</v>
      </c>
      <c r="D1876">
        <v>1857.98</v>
      </c>
      <c r="E1876">
        <v>232</v>
      </c>
      <c r="F1876">
        <v>0</v>
      </c>
      <c r="G1876">
        <v>3</v>
      </c>
      <c r="H1876">
        <v>0</v>
      </c>
      <c r="I1876" t="s">
        <v>33</v>
      </c>
      <c r="J1876">
        <v>0</v>
      </c>
      <c r="K1876">
        <v>45</v>
      </c>
      <c r="L1876" t="s">
        <v>20</v>
      </c>
      <c r="M1876" t="s">
        <v>35</v>
      </c>
      <c r="N1876" t="s">
        <v>30</v>
      </c>
      <c r="O1876" t="s">
        <v>23</v>
      </c>
      <c r="P1876">
        <v>3.02</v>
      </c>
      <c r="Q1876" s="2" t="b">
        <f>FALSE()</f>
        <v>0</v>
      </c>
      <c r="R1876">
        <v>0</v>
      </c>
    </row>
    <row r="1877" spans="1:18" x14ac:dyDescent="0.25">
      <c r="A1877">
        <v>201876</v>
      </c>
      <c r="B1877">
        <v>53162</v>
      </c>
      <c r="C1877" t="s">
        <v>28</v>
      </c>
      <c r="D1877">
        <v>1053.53</v>
      </c>
      <c r="E1877">
        <v>3627</v>
      </c>
      <c r="F1877">
        <v>0</v>
      </c>
      <c r="G1877">
        <v>7</v>
      </c>
      <c r="H1877">
        <v>0</v>
      </c>
      <c r="I1877" t="s">
        <v>33</v>
      </c>
      <c r="J1877">
        <v>0</v>
      </c>
      <c r="K1877">
        <v>55</v>
      </c>
      <c r="L1877" t="s">
        <v>20</v>
      </c>
      <c r="M1877" t="s">
        <v>35</v>
      </c>
      <c r="N1877" t="s">
        <v>30</v>
      </c>
      <c r="O1877" t="s">
        <v>27</v>
      </c>
      <c r="P1877">
        <v>1.53</v>
      </c>
      <c r="Q1877" s="2" t="b">
        <f>FALSE()</f>
        <v>0</v>
      </c>
      <c r="R1877">
        <v>1</v>
      </c>
    </row>
    <row r="1878" spans="1:18" x14ac:dyDescent="0.25">
      <c r="A1878">
        <v>201877</v>
      </c>
      <c r="B1878">
        <v>52602</v>
      </c>
      <c r="C1878" t="s">
        <v>18</v>
      </c>
      <c r="D1878">
        <v>2092.23</v>
      </c>
      <c r="E1878">
        <v>315</v>
      </c>
      <c r="F1878">
        <v>0</v>
      </c>
      <c r="G1878">
        <v>7</v>
      </c>
      <c r="H1878">
        <v>0</v>
      </c>
      <c r="I1878" t="s">
        <v>33</v>
      </c>
      <c r="J1878">
        <v>0</v>
      </c>
      <c r="K1878">
        <v>46</v>
      </c>
      <c r="L1878" t="s">
        <v>20</v>
      </c>
      <c r="M1878" t="s">
        <v>31</v>
      </c>
      <c r="N1878" t="s">
        <v>26</v>
      </c>
      <c r="O1878" t="s">
        <v>27</v>
      </c>
      <c r="P1878">
        <v>3.23</v>
      </c>
      <c r="Q1878" s="2" t="b">
        <f>FALSE()</f>
        <v>0</v>
      </c>
      <c r="R1878">
        <v>1</v>
      </c>
    </row>
    <row r="1879" spans="1:18" x14ac:dyDescent="0.25">
      <c r="A1879">
        <v>201878</v>
      </c>
      <c r="B1879">
        <v>54290</v>
      </c>
      <c r="C1879" t="s">
        <v>28</v>
      </c>
      <c r="D1879">
        <v>4074.83</v>
      </c>
      <c r="E1879">
        <v>613</v>
      </c>
      <c r="F1879">
        <v>1</v>
      </c>
      <c r="G1879">
        <v>10</v>
      </c>
      <c r="H1879">
        <v>1</v>
      </c>
      <c r="I1879" t="s">
        <v>19</v>
      </c>
      <c r="J1879">
        <v>0</v>
      </c>
      <c r="K1879">
        <v>58</v>
      </c>
      <c r="L1879" t="s">
        <v>20</v>
      </c>
      <c r="M1879" t="s">
        <v>35</v>
      </c>
      <c r="N1879" t="s">
        <v>30</v>
      </c>
      <c r="O1879" t="s">
        <v>27</v>
      </c>
      <c r="P1879">
        <v>0.9</v>
      </c>
      <c r="Q1879" s="2" t="b">
        <f>FALSE()</f>
        <v>0</v>
      </c>
      <c r="R1879">
        <v>1</v>
      </c>
    </row>
    <row r="1880" spans="1:18" x14ac:dyDescent="0.25">
      <c r="A1880">
        <v>201879</v>
      </c>
      <c r="B1880">
        <v>54513</v>
      </c>
      <c r="C1880" t="s">
        <v>18</v>
      </c>
      <c r="D1880">
        <v>3595.78</v>
      </c>
      <c r="E1880">
        <v>2052</v>
      </c>
      <c r="F1880">
        <v>3</v>
      </c>
      <c r="G1880">
        <v>5</v>
      </c>
      <c r="H1880">
        <v>0</v>
      </c>
      <c r="I1880" t="s">
        <v>32</v>
      </c>
      <c r="J1880">
        <v>0</v>
      </c>
      <c r="K1880">
        <v>24</v>
      </c>
      <c r="L1880" t="s">
        <v>24</v>
      </c>
      <c r="M1880" t="s">
        <v>37</v>
      </c>
      <c r="N1880" t="s">
        <v>30</v>
      </c>
      <c r="O1880" t="s">
        <v>36</v>
      </c>
      <c r="P1880">
        <v>0.92</v>
      </c>
      <c r="Q1880" s="2" t="b">
        <f>FALSE()</f>
        <v>0</v>
      </c>
      <c r="R1880">
        <v>1</v>
      </c>
    </row>
    <row r="1881" spans="1:18" x14ac:dyDescent="0.25">
      <c r="A1881">
        <v>201880</v>
      </c>
      <c r="B1881">
        <v>54725</v>
      </c>
      <c r="C1881" t="s">
        <v>18</v>
      </c>
      <c r="D1881">
        <v>667.21</v>
      </c>
      <c r="E1881">
        <v>1064</v>
      </c>
      <c r="F1881">
        <v>1</v>
      </c>
      <c r="G1881">
        <v>3</v>
      </c>
      <c r="H1881">
        <v>1</v>
      </c>
      <c r="I1881" t="s">
        <v>33</v>
      </c>
      <c r="J1881">
        <v>0</v>
      </c>
      <c r="K1881">
        <v>23</v>
      </c>
      <c r="L1881" t="s">
        <v>24</v>
      </c>
      <c r="M1881" t="s">
        <v>35</v>
      </c>
      <c r="N1881" t="s">
        <v>22</v>
      </c>
      <c r="O1881" t="s">
        <v>23</v>
      </c>
      <c r="P1881">
        <v>1.05</v>
      </c>
      <c r="Q1881" s="2" t="b">
        <f>FALSE()</f>
        <v>0</v>
      </c>
      <c r="R1881">
        <v>0</v>
      </c>
    </row>
    <row r="1882" spans="1:18" x14ac:dyDescent="0.25">
      <c r="A1882">
        <v>201881</v>
      </c>
      <c r="B1882">
        <v>51590</v>
      </c>
      <c r="C1882" t="s">
        <v>18</v>
      </c>
      <c r="D1882">
        <v>3645.43</v>
      </c>
      <c r="E1882">
        <v>1288</v>
      </c>
      <c r="F1882">
        <v>0</v>
      </c>
      <c r="G1882">
        <v>1</v>
      </c>
      <c r="H1882">
        <v>0</v>
      </c>
      <c r="I1882" t="s">
        <v>32</v>
      </c>
      <c r="J1882">
        <v>0</v>
      </c>
      <c r="K1882">
        <v>53</v>
      </c>
      <c r="L1882" t="s">
        <v>20</v>
      </c>
      <c r="M1882" t="s">
        <v>31</v>
      </c>
      <c r="N1882" t="s">
        <v>22</v>
      </c>
      <c r="O1882" t="s">
        <v>36</v>
      </c>
      <c r="P1882">
        <v>3.93</v>
      </c>
      <c r="Q1882" s="2" t="b">
        <f>FALSE()</f>
        <v>0</v>
      </c>
      <c r="R1882">
        <v>1</v>
      </c>
    </row>
    <row r="1883" spans="1:18" x14ac:dyDescent="0.25">
      <c r="A1883">
        <v>201882</v>
      </c>
      <c r="B1883">
        <v>52063</v>
      </c>
      <c r="C1883" t="s">
        <v>34</v>
      </c>
      <c r="D1883">
        <v>2541.34</v>
      </c>
      <c r="E1883">
        <v>2779</v>
      </c>
      <c r="F1883">
        <v>1</v>
      </c>
      <c r="G1883">
        <v>3</v>
      </c>
      <c r="H1883">
        <v>0</v>
      </c>
      <c r="I1883" t="s">
        <v>19</v>
      </c>
      <c r="J1883">
        <v>0</v>
      </c>
      <c r="K1883">
        <v>50</v>
      </c>
      <c r="L1883" t="s">
        <v>24</v>
      </c>
      <c r="M1883" t="s">
        <v>31</v>
      </c>
      <c r="N1883" t="s">
        <v>22</v>
      </c>
      <c r="O1883" t="s">
        <v>36</v>
      </c>
      <c r="P1883">
        <v>0.95</v>
      </c>
      <c r="Q1883" s="2" t="b">
        <f>FALSE()</f>
        <v>0</v>
      </c>
      <c r="R1883">
        <v>0</v>
      </c>
    </row>
    <row r="1884" spans="1:18" x14ac:dyDescent="0.25">
      <c r="A1884">
        <v>201883</v>
      </c>
      <c r="B1884">
        <v>54429</v>
      </c>
      <c r="C1884" t="s">
        <v>18</v>
      </c>
      <c r="D1884">
        <v>1721.25</v>
      </c>
      <c r="E1884">
        <v>108</v>
      </c>
      <c r="F1884">
        <v>0</v>
      </c>
      <c r="G1884">
        <v>0</v>
      </c>
      <c r="H1884">
        <v>1</v>
      </c>
      <c r="I1884" t="s">
        <v>19</v>
      </c>
      <c r="J1884">
        <v>0</v>
      </c>
      <c r="K1884">
        <v>78</v>
      </c>
      <c r="L1884" t="s">
        <v>24</v>
      </c>
      <c r="M1884" t="s">
        <v>25</v>
      </c>
      <c r="N1884" t="s">
        <v>26</v>
      </c>
      <c r="O1884" t="s">
        <v>23</v>
      </c>
      <c r="P1884">
        <v>9.4499999999999993</v>
      </c>
      <c r="Q1884" s="2" t="b">
        <f>FALSE()</f>
        <v>0</v>
      </c>
      <c r="R1884">
        <v>0</v>
      </c>
    </row>
    <row r="1885" spans="1:18" x14ac:dyDescent="0.25">
      <c r="A1885">
        <v>201884</v>
      </c>
      <c r="B1885">
        <v>52073</v>
      </c>
      <c r="C1885" t="s">
        <v>34</v>
      </c>
      <c r="D1885">
        <v>2506.86</v>
      </c>
      <c r="E1885">
        <v>338</v>
      </c>
      <c r="F1885">
        <v>0</v>
      </c>
      <c r="G1885">
        <v>6</v>
      </c>
      <c r="H1885">
        <v>0</v>
      </c>
      <c r="I1885" t="s">
        <v>19</v>
      </c>
      <c r="J1885">
        <v>1</v>
      </c>
      <c r="K1885">
        <v>30</v>
      </c>
      <c r="L1885" t="s">
        <v>20</v>
      </c>
      <c r="M1885" t="s">
        <v>31</v>
      </c>
      <c r="N1885" t="s">
        <v>22</v>
      </c>
      <c r="O1885" t="s">
        <v>27</v>
      </c>
      <c r="P1885">
        <v>3.2</v>
      </c>
      <c r="Q1885" s="2" t="b">
        <f>FALSE()</f>
        <v>0</v>
      </c>
      <c r="R1885">
        <v>0</v>
      </c>
    </row>
    <row r="1886" spans="1:18" x14ac:dyDescent="0.25">
      <c r="A1886">
        <v>201885</v>
      </c>
      <c r="B1886">
        <v>55599</v>
      </c>
      <c r="C1886" t="s">
        <v>34</v>
      </c>
      <c r="D1886">
        <v>5884.9</v>
      </c>
      <c r="E1886">
        <v>1457</v>
      </c>
      <c r="F1886">
        <v>1</v>
      </c>
      <c r="G1886">
        <v>2</v>
      </c>
      <c r="H1886">
        <v>0</v>
      </c>
      <c r="I1886" t="s">
        <v>33</v>
      </c>
      <c r="J1886">
        <v>0</v>
      </c>
      <c r="K1886">
        <v>50</v>
      </c>
      <c r="L1886" t="s">
        <v>20</v>
      </c>
      <c r="M1886" t="s">
        <v>21</v>
      </c>
      <c r="N1886" t="s">
        <v>26</v>
      </c>
      <c r="O1886" t="s">
        <v>23</v>
      </c>
      <c r="P1886">
        <v>1.95</v>
      </c>
      <c r="Q1886" s="2" t="b">
        <f>FALSE()</f>
        <v>0</v>
      </c>
      <c r="R1886">
        <v>1</v>
      </c>
    </row>
    <row r="1887" spans="1:18" x14ac:dyDescent="0.25">
      <c r="A1887">
        <v>201886</v>
      </c>
      <c r="B1887">
        <v>55663</v>
      </c>
      <c r="C1887" t="s">
        <v>28</v>
      </c>
      <c r="D1887">
        <v>2900.06</v>
      </c>
      <c r="E1887">
        <v>173</v>
      </c>
      <c r="F1887">
        <v>3</v>
      </c>
      <c r="G1887">
        <v>6</v>
      </c>
      <c r="H1887">
        <v>0</v>
      </c>
      <c r="I1887" t="s">
        <v>19</v>
      </c>
      <c r="J1887">
        <v>0</v>
      </c>
      <c r="K1887">
        <v>61</v>
      </c>
      <c r="L1887" t="s">
        <v>20</v>
      </c>
      <c r="M1887" t="s">
        <v>29</v>
      </c>
      <c r="N1887" t="s">
        <v>26</v>
      </c>
      <c r="O1887" t="s">
        <v>36</v>
      </c>
      <c r="P1887">
        <v>5.92</v>
      </c>
      <c r="Q1887" s="2" t="b">
        <f>FALSE()</f>
        <v>0</v>
      </c>
      <c r="R1887">
        <v>1</v>
      </c>
    </row>
    <row r="1888" spans="1:18" x14ac:dyDescent="0.25">
      <c r="A1888">
        <v>201887</v>
      </c>
      <c r="B1888">
        <v>53574</v>
      </c>
      <c r="C1888" t="s">
        <v>18</v>
      </c>
      <c r="D1888">
        <v>1556.3</v>
      </c>
      <c r="E1888">
        <v>866</v>
      </c>
      <c r="F1888">
        <v>1</v>
      </c>
      <c r="G1888">
        <v>6</v>
      </c>
      <c r="H1888">
        <v>0</v>
      </c>
      <c r="I1888" t="s">
        <v>33</v>
      </c>
      <c r="J1888">
        <v>0</v>
      </c>
      <c r="K1888">
        <v>58</v>
      </c>
      <c r="L1888" t="s">
        <v>20</v>
      </c>
      <c r="M1888" t="s">
        <v>37</v>
      </c>
      <c r="N1888" t="s">
        <v>22</v>
      </c>
      <c r="O1888" t="s">
        <v>27</v>
      </c>
      <c r="P1888">
        <v>1.07</v>
      </c>
      <c r="Q1888" s="2" t="b">
        <f>FALSE()</f>
        <v>0</v>
      </c>
      <c r="R1888">
        <v>0</v>
      </c>
    </row>
    <row r="1889" spans="1:18" x14ac:dyDescent="0.25">
      <c r="A1889">
        <v>201888</v>
      </c>
      <c r="B1889">
        <v>54902</v>
      </c>
      <c r="C1889" t="s">
        <v>28</v>
      </c>
      <c r="D1889">
        <v>4242.83</v>
      </c>
      <c r="E1889">
        <v>2344</v>
      </c>
      <c r="F1889">
        <v>0</v>
      </c>
      <c r="G1889">
        <v>5</v>
      </c>
      <c r="H1889">
        <v>0</v>
      </c>
      <c r="I1889" t="s">
        <v>19</v>
      </c>
      <c r="J1889">
        <v>1</v>
      </c>
      <c r="K1889">
        <v>66</v>
      </c>
      <c r="L1889" t="s">
        <v>24</v>
      </c>
      <c r="M1889" t="s">
        <v>21</v>
      </c>
      <c r="N1889" t="s">
        <v>26</v>
      </c>
      <c r="O1889" t="s">
        <v>27</v>
      </c>
      <c r="P1889">
        <v>6.13</v>
      </c>
      <c r="Q1889" s="2" t="b">
        <f>FALSE()</f>
        <v>0</v>
      </c>
      <c r="R1889">
        <v>1</v>
      </c>
    </row>
    <row r="1890" spans="1:18" x14ac:dyDescent="0.25">
      <c r="A1890">
        <v>201889</v>
      </c>
      <c r="B1890">
        <v>53062</v>
      </c>
      <c r="C1890" t="s">
        <v>18</v>
      </c>
      <c r="D1890">
        <v>2426.1999999999998</v>
      </c>
      <c r="E1890">
        <v>1188</v>
      </c>
      <c r="F1890">
        <v>0</v>
      </c>
      <c r="G1890">
        <v>4</v>
      </c>
      <c r="H1890">
        <v>0</v>
      </c>
      <c r="I1890" t="s">
        <v>32</v>
      </c>
      <c r="J1890">
        <v>0</v>
      </c>
      <c r="K1890">
        <v>49</v>
      </c>
      <c r="L1890" t="s">
        <v>24</v>
      </c>
      <c r="M1890" t="s">
        <v>37</v>
      </c>
      <c r="N1890" t="s">
        <v>26</v>
      </c>
      <c r="O1890" t="s">
        <v>36</v>
      </c>
      <c r="P1890">
        <v>1.04</v>
      </c>
      <c r="Q1890" s="2" t="b">
        <f>FALSE()</f>
        <v>0</v>
      </c>
      <c r="R1890">
        <v>0</v>
      </c>
    </row>
    <row r="1891" spans="1:18" x14ac:dyDescent="0.25">
      <c r="A1891">
        <v>201890</v>
      </c>
      <c r="B1891">
        <v>55212</v>
      </c>
      <c r="C1891" t="s">
        <v>18</v>
      </c>
      <c r="D1891">
        <v>1930.73</v>
      </c>
      <c r="E1891">
        <v>2227</v>
      </c>
      <c r="F1891">
        <v>0</v>
      </c>
      <c r="G1891">
        <v>7</v>
      </c>
      <c r="H1891">
        <v>0</v>
      </c>
      <c r="I1891" t="s">
        <v>33</v>
      </c>
      <c r="J1891">
        <v>0</v>
      </c>
      <c r="K1891">
        <v>67</v>
      </c>
      <c r="L1891" t="s">
        <v>20</v>
      </c>
      <c r="M1891" t="s">
        <v>31</v>
      </c>
      <c r="N1891" t="s">
        <v>30</v>
      </c>
      <c r="O1891" t="s">
        <v>27</v>
      </c>
      <c r="P1891">
        <v>9.39</v>
      </c>
      <c r="Q1891" s="2" t="b">
        <f>FALSE()</f>
        <v>0</v>
      </c>
      <c r="R1891">
        <v>1</v>
      </c>
    </row>
    <row r="1892" spans="1:18" x14ac:dyDescent="0.25">
      <c r="A1892">
        <v>201891</v>
      </c>
      <c r="B1892">
        <v>50943</v>
      </c>
      <c r="C1892" t="s">
        <v>18</v>
      </c>
      <c r="D1892">
        <v>815.21</v>
      </c>
      <c r="E1892">
        <v>847</v>
      </c>
      <c r="F1892">
        <v>0</v>
      </c>
      <c r="G1892">
        <v>0</v>
      </c>
      <c r="H1892">
        <v>0</v>
      </c>
      <c r="I1892" t="s">
        <v>33</v>
      </c>
      <c r="J1892">
        <v>1</v>
      </c>
      <c r="K1892">
        <v>74</v>
      </c>
      <c r="L1892" t="s">
        <v>24</v>
      </c>
      <c r="M1892" t="s">
        <v>35</v>
      </c>
      <c r="N1892" t="s">
        <v>22</v>
      </c>
      <c r="O1892" t="s">
        <v>36</v>
      </c>
      <c r="P1892">
        <v>3.75</v>
      </c>
      <c r="Q1892" s="2" t="b">
        <f>FALSE()</f>
        <v>0</v>
      </c>
      <c r="R1892">
        <v>0</v>
      </c>
    </row>
    <row r="1893" spans="1:18" x14ac:dyDescent="0.25">
      <c r="A1893">
        <v>201892</v>
      </c>
      <c r="B1893">
        <v>51157</v>
      </c>
      <c r="C1893" t="s">
        <v>28</v>
      </c>
      <c r="D1893">
        <v>8039.05</v>
      </c>
      <c r="E1893">
        <v>87</v>
      </c>
      <c r="F1893">
        <v>0</v>
      </c>
      <c r="G1893">
        <v>6</v>
      </c>
      <c r="H1893">
        <v>1</v>
      </c>
      <c r="I1893" t="s">
        <v>33</v>
      </c>
      <c r="J1893">
        <v>1</v>
      </c>
      <c r="K1893">
        <v>65</v>
      </c>
      <c r="L1893" t="s">
        <v>20</v>
      </c>
      <c r="M1893" t="s">
        <v>25</v>
      </c>
      <c r="N1893" t="s">
        <v>22</v>
      </c>
      <c r="O1893" t="s">
        <v>23</v>
      </c>
      <c r="P1893">
        <v>0.55000000000000004</v>
      </c>
      <c r="Q1893" s="2" t="b">
        <f>TRUE()</f>
        <v>1</v>
      </c>
      <c r="R1893">
        <v>1</v>
      </c>
    </row>
    <row r="1894" spans="1:18" x14ac:dyDescent="0.25">
      <c r="A1894">
        <v>201893</v>
      </c>
      <c r="B1894">
        <v>52244</v>
      </c>
      <c r="C1894" t="s">
        <v>18</v>
      </c>
      <c r="D1894">
        <v>1873.77</v>
      </c>
      <c r="E1894">
        <v>1880</v>
      </c>
      <c r="F1894">
        <v>4</v>
      </c>
      <c r="G1894">
        <v>3</v>
      </c>
      <c r="H1894">
        <v>1</v>
      </c>
      <c r="I1894" t="s">
        <v>19</v>
      </c>
      <c r="J1894">
        <v>0</v>
      </c>
      <c r="K1894">
        <v>32</v>
      </c>
      <c r="L1894" t="s">
        <v>24</v>
      </c>
      <c r="M1894" t="s">
        <v>35</v>
      </c>
      <c r="N1894" t="s">
        <v>30</v>
      </c>
      <c r="O1894" t="s">
        <v>36</v>
      </c>
      <c r="P1894">
        <v>0.43</v>
      </c>
      <c r="Q1894" s="2" t="b">
        <f>FALSE()</f>
        <v>0</v>
      </c>
      <c r="R1894">
        <v>1</v>
      </c>
    </row>
    <row r="1895" spans="1:18" x14ac:dyDescent="0.25">
      <c r="A1895">
        <v>201894</v>
      </c>
      <c r="B1895">
        <v>51892</v>
      </c>
      <c r="C1895" t="s">
        <v>34</v>
      </c>
      <c r="D1895">
        <v>2584.0700000000002</v>
      </c>
      <c r="E1895">
        <v>2345</v>
      </c>
      <c r="F1895">
        <v>2</v>
      </c>
      <c r="G1895">
        <v>6</v>
      </c>
      <c r="H1895">
        <v>1</v>
      </c>
      <c r="I1895" t="s">
        <v>33</v>
      </c>
      <c r="J1895">
        <v>0</v>
      </c>
      <c r="K1895">
        <v>69</v>
      </c>
      <c r="L1895" t="s">
        <v>24</v>
      </c>
      <c r="M1895" t="s">
        <v>35</v>
      </c>
      <c r="N1895" t="s">
        <v>30</v>
      </c>
      <c r="O1895" t="s">
        <v>27</v>
      </c>
      <c r="P1895">
        <v>0.22</v>
      </c>
      <c r="Q1895" s="2" t="b">
        <f>FALSE()</f>
        <v>0</v>
      </c>
      <c r="R1895">
        <v>0</v>
      </c>
    </row>
    <row r="1896" spans="1:18" x14ac:dyDescent="0.25">
      <c r="A1896">
        <v>201895</v>
      </c>
      <c r="B1896">
        <v>52966</v>
      </c>
      <c r="C1896" t="s">
        <v>18</v>
      </c>
      <c r="D1896">
        <v>6145.38</v>
      </c>
      <c r="E1896">
        <v>1214</v>
      </c>
      <c r="F1896">
        <v>2</v>
      </c>
      <c r="G1896">
        <v>3</v>
      </c>
      <c r="H1896">
        <v>1</v>
      </c>
      <c r="I1896" t="s">
        <v>33</v>
      </c>
      <c r="J1896">
        <v>1</v>
      </c>
      <c r="K1896">
        <v>22</v>
      </c>
      <c r="L1896" t="s">
        <v>20</v>
      </c>
      <c r="M1896" t="s">
        <v>37</v>
      </c>
      <c r="N1896" t="s">
        <v>30</v>
      </c>
      <c r="O1896" t="s">
        <v>36</v>
      </c>
      <c r="P1896">
        <v>6.88</v>
      </c>
      <c r="Q1896" s="2" t="b">
        <f>FALSE()</f>
        <v>0</v>
      </c>
      <c r="R1896">
        <v>1</v>
      </c>
    </row>
    <row r="1897" spans="1:18" x14ac:dyDescent="0.25">
      <c r="A1897">
        <v>201896</v>
      </c>
      <c r="B1897">
        <v>51777</v>
      </c>
      <c r="C1897" t="s">
        <v>34</v>
      </c>
      <c r="D1897">
        <v>1942.18</v>
      </c>
      <c r="E1897">
        <v>1265</v>
      </c>
      <c r="F1897">
        <v>5</v>
      </c>
      <c r="G1897">
        <v>8</v>
      </c>
      <c r="H1897">
        <v>0</v>
      </c>
      <c r="I1897" t="s">
        <v>19</v>
      </c>
      <c r="J1897">
        <v>0</v>
      </c>
      <c r="K1897">
        <v>65</v>
      </c>
      <c r="L1897" t="s">
        <v>24</v>
      </c>
      <c r="M1897" t="s">
        <v>21</v>
      </c>
      <c r="N1897" t="s">
        <v>26</v>
      </c>
      <c r="O1897" t="s">
        <v>27</v>
      </c>
      <c r="P1897">
        <v>6.98</v>
      </c>
      <c r="Q1897" s="2" t="b">
        <f>FALSE()</f>
        <v>0</v>
      </c>
      <c r="R1897">
        <v>1</v>
      </c>
    </row>
    <row r="1898" spans="1:18" x14ac:dyDescent="0.25">
      <c r="A1898">
        <v>201897</v>
      </c>
      <c r="B1898">
        <v>55542</v>
      </c>
      <c r="C1898" t="s">
        <v>18</v>
      </c>
      <c r="D1898">
        <v>3948.82</v>
      </c>
      <c r="E1898">
        <v>3316</v>
      </c>
      <c r="F1898">
        <v>0</v>
      </c>
      <c r="G1898">
        <v>4</v>
      </c>
      <c r="H1898">
        <v>0</v>
      </c>
      <c r="I1898" t="s">
        <v>33</v>
      </c>
      <c r="J1898">
        <v>0</v>
      </c>
      <c r="K1898">
        <v>46</v>
      </c>
      <c r="L1898" t="s">
        <v>24</v>
      </c>
      <c r="M1898" t="s">
        <v>37</v>
      </c>
      <c r="N1898" t="s">
        <v>22</v>
      </c>
      <c r="O1898" t="s">
        <v>27</v>
      </c>
      <c r="P1898">
        <v>0.49</v>
      </c>
      <c r="Q1898" s="2" t="b">
        <f>FALSE()</f>
        <v>0</v>
      </c>
      <c r="R1898">
        <v>1</v>
      </c>
    </row>
    <row r="1899" spans="1:18" x14ac:dyDescent="0.25">
      <c r="A1899">
        <v>201898</v>
      </c>
      <c r="B1899">
        <v>51511</v>
      </c>
      <c r="C1899" t="s">
        <v>18</v>
      </c>
      <c r="D1899">
        <v>1257.21</v>
      </c>
      <c r="E1899">
        <v>3551</v>
      </c>
      <c r="F1899">
        <v>1</v>
      </c>
      <c r="G1899">
        <v>5</v>
      </c>
      <c r="H1899">
        <v>0</v>
      </c>
      <c r="I1899" t="s">
        <v>19</v>
      </c>
      <c r="J1899">
        <v>0</v>
      </c>
      <c r="K1899">
        <v>65</v>
      </c>
      <c r="L1899" t="s">
        <v>24</v>
      </c>
      <c r="M1899" t="s">
        <v>37</v>
      </c>
      <c r="N1899" t="s">
        <v>30</v>
      </c>
      <c r="O1899" t="s">
        <v>27</v>
      </c>
      <c r="P1899">
        <v>9.91</v>
      </c>
      <c r="Q1899" s="2" t="b">
        <f>FALSE()</f>
        <v>0</v>
      </c>
      <c r="R1899">
        <v>0</v>
      </c>
    </row>
    <row r="1900" spans="1:18" x14ac:dyDescent="0.25">
      <c r="A1900">
        <v>201899</v>
      </c>
      <c r="B1900">
        <v>55213</v>
      </c>
      <c r="C1900" t="s">
        <v>34</v>
      </c>
      <c r="D1900">
        <v>196.02</v>
      </c>
      <c r="E1900">
        <v>1203</v>
      </c>
      <c r="F1900">
        <v>3</v>
      </c>
      <c r="G1900">
        <v>2</v>
      </c>
      <c r="H1900">
        <v>0</v>
      </c>
      <c r="I1900" t="s">
        <v>33</v>
      </c>
      <c r="J1900">
        <v>0</v>
      </c>
      <c r="K1900">
        <v>33</v>
      </c>
      <c r="L1900" t="s">
        <v>20</v>
      </c>
      <c r="M1900" t="s">
        <v>29</v>
      </c>
      <c r="N1900" t="s">
        <v>22</v>
      </c>
      <c r="O1900" t="s">
        <v>36</v>
      </c>
      <c r="P1900">
        <v>1.47</v>
      </c>
      <c r="Q1900" s="2" t="b">
        <f>FALSE()</f>
        <v>0</v>
      </c>
      <c r="R1900">
        <v>1</v>
      </c>
    </row>
    <row r="1901" spans="1:18" x14ac:dyDescent="0.25">
      <c r="A1901">
        <v>201900</v>
      </c>
      <c r="B1901">
        <v>53500</v>
      </c>
      <c r="C1901" t="s">
        <v>18</v>
      </c>
      <c r="D1901">
        <v>3135.1</v>
      </c>
      <c r="E1901">
        <v>948</v>
      </c>
      <c r="F1901">
        <v>1</v>
      </c>
      <c r="G1901">
        <v>2</v>
      </c>
      <c r="H1901">
        <v>0</v>
      </c>
      <c r="I1901" t="s">
        <v>33</v>
      </c>
      <c r="J1901">
        <v>0</v>
      </c>
      <c r="K1901">
        <v>75</v>
      </c>
      <c r="L1901" t="s">
        <v>20</v>
      </c>
      <c r="M1901" t="s">
        <v>31</v>
      </c>
      <c r="N1901" t="s">
        <v>26</v>
      </c>
      <c r="O1901" t="s">
        <v>27</v>
      </c>
      <c r="P1901">
        <v>0.47</v>
      </c>
      <c r="Q1901" s="2" t="b">
        <f>FALSE()</f>
        <v>0</v>
      </c>
      <c r="R1901">
        <v>0</v>
      </c>
    </row>
    <row r="1902" spans="1:18" x14ac:dyDescent="0.25">
      <c r="A1902">
        <v>201901</v>
      </c>
      <c r="B1902">
        <v>53260</v>
      </c>
      <c r="C1902" t="s">
        <v>18</v>
      </c>
      <c r="D1902">
        <v>4297.05</v>
      </c>
      <c r="E1902">
        <v>650</v>
      </c>
      <c r="F1902">
        <v>3</v>
      </c>
      <c r="G1902">
        <v>8</v>
      </c>
      <c r="H1902">
        <v>0</v>
      </c>
      <c r="I1902" t="s">
        <v>33</v>
      </c>
      <c r="J1902">
        <v>0</v>
      </c>
      <c r="K1902">
        <v>68</v>
      </c>
      <c r="L1902" t="s">
        <v>24</v>
      </c>
      <c r="M1902" t="s">
        <v>25</v>
      </c>
      <c r="N1902" t="s">
        <v>26</v>
      </c>
      <c r="O1902" t="s">
        <v>36</v>
      </c>
      <c r="P1902">
        <v>5.28</v>
      </c>
      <c r="Q1902" s="2" t="b">
        <f>FALSE()</f>
        <v>0</v>
      </c>
      <c r="R1902">
        <v>1</v>
      </c>
    </row>
    <row r="1903" spans="1:18" x14ac:dyDescent="0.25">
      <c r="A1903">
        <v>201902</v>
      </c>
      <c r="B1903">
        <v>54804</v>
      </c>
      <c r="C1903" t="s">
        <v>18</v>
      </c>
      <c r="D1903">
        <v>1841.24</v>
      </c>
      <c r="E1903">
        <v>1897</v>
      </c>
      <c r="F1903">
        <v>0</v>
      </c>
      <c r="G1903">
        <v>2</v>
      </c>
      <c r="H1903">
        <v>0</v>
      </c>
      <c r="I1903" t="s">
        <v>19</v>
      </c>
      <c r="J1903">
        <v>0</v>
      </c>
      <c r="K1903">
        <v>46</v>
      </c>
      <c r="L1903" t="s">
        <v>24</v>
      </c>
      <c r="M1903" t="s">
        <v>25</v>
      </c>
      <c r="N1903" t="s">
        <v>30</v>
      </c>
      <c r="O1903" t="s">
        <v>36</v>
      </c>
      <c r="P1903">
        <v>4.4400000000000004</v>
      </c>
      <c r="Q1903" s="2" t="b">
        <f>FALSE()</f>
        <v>0</v>
      </c>
      <c r="R1903">
        <v>0</v>
      </c>
    </row>
    <row r="1904" spans="1:18" x14ac:dyDescent="0.25">
      <c r="A1904">
        <v>201903</v>
      </c>
      <c r="B1904">
        <v>52127</v>
      </c>
      <c r="C1904" t="s">
        <v>18</v>
      </c>
      <c r="D1904">
        <v>3531.91</v>
      </c>
      <c r="E1904">
        <v>2033</v>
      </c>
      <c r="F1904">
        <v>3</v>
      </c>
      <c r="G1904">
        <v>4</v>
      </c>
      <c r="H1904">
        <v>1</v>
      </c>
      <c r="I1904" t="s">
        <v>33</v>
      </c>
      <c r="J1904">
        <v>0</v>
      </c>
      <c r="K1904">
        <v>77</v>
      </c>
      <c r="L1904" t="s">
        <v>20</v>
      </c>
      <c r="M1904" t="s">
        <v>35</v>
      </c>
      <c r="N1904" t="s">
        <v>22</v>
      </c>
      <c r="O1904" t="s">
        <v>27</v>
      </c>
      <c r="P1904">
        <v>15.14</v>
      </c>
      <c r="Q1904" s="2" t="b">
        <f>FALSE()</f>
        <v>0</v>
      </c>
      <c r="R1904">
        <v>1</v>
      </c>
    </row>
    <row r="1905" spans="1:18" x14ac:dyDescent="0.25">
      <c r="A1905">
        <v>201904</v>
      </c>
      <c r="B1905">
        <v>52660</v>
      </c>
      <c r="C1905" t="s">
        <v>34</v>
      </c>
      <c r="D1905">
        <v>2568.94</v>
      </c>
      <c r="E1905">
        <v>2474</v>
      </c>
      <c r="F1905">
        <v>1</v>
      </c>
      <c r="G1905">
        <v>6</v>
      </c>
      <c r="H1905">
        <v>1</v>
      </c>
      <c r="I1905" t="s">
        <v>33</v>
      </c>
      <c r="J1905">
        <v>0</v>
      </c>
      <c r="K1905">
        <v>53</v>
      </c>
      <c r="L1905" t="s">
        <v>24</v>
      </c>
      <c r="M1905" t="s">
        <v>37</v>
      </c>
      <c r="N1905" t="s">
        <v>26</v>
      </c>
      <c r="O1905" t="s">
        <v>27</v>
      </c>
      <c r="P1905">
        <v>8.42</v>
      </c>
      <c r="Q1905" s="2" t="b">
        <f>FALSE()</f>
        <v>0</v>
      </c>
      <c r="R1905">
        <v>0</v>
      </c>
    </row>
    <row r="1906" spans="1:18" x14ac:dyDescent="0.25">
      <c r="A1906">
        <v>201905</v>
      </c>
      <c r="B1906">
        <v>54828</v>
      </c>
      <c r="C1906" t="s">
        <v>34</v>
      </c>
      <c r="D1906">
        <v>2440.91</v>
      </c>
      <c r="E1906">
        <v>3582</v>
      </c>
      <c r="F1906">
        <v>3</v>
      </c>
      <c r="G1906">
        <v>3</v>
      </c>
      <c r="H1906">
        <v>0</v>
      </c>
      <c r="I1906" t="s">
        <v>33</v>
      </c>
      <c r="J1906">
        <v>0</v>
      </c>
      <c r="K1906">
        <v>74</v>
      </c>
      <c r="L1906" t="s">
        <v>24</v>
      </c>
      <c r="M1906" t="s">
        <v>31</v>
      </c>
      <c r="N1906" t="s">
        <v>26</v>
      </c>
      <c r="O1906" t="s">
        <v>27</v>
      </c>
      <c r="P1906">
        <v>4.26</v>
      </c>
      <c r="Q1906" s="2" t="b">
        <f>FALSE()</f>
        <v>0</v>
      </c>
      <c r="R1906">
        <v>1</v>
      </c>
    </row>
    <row r="1907" spans="1:18" x14ac:dyDescent="0.25">
      <c r="A1907">
        <v>201906</v>
      </c>
      <c r="B1907">
        <v>52645</v>
      </c>
      <c r="C1907" t="s">
        <v>18</v>
      </c>
      <c r="D1907">
        <v>6147.13</v>
      </c>
      <c r="E1907">
        <v>1354</v>
      </c>
      <c r="F1907">
        <v>3</v>
      </c>
      <c r="G1907">
        <v>3</v>
      </c>
      <c r="H1907">
        <v>0</v>
      </c>
      <c r="I1907" t="s">
        <v>19</v>
      </c>
      <c r="J1907">
        <v>0</v>
      </c>
      <c r="K1907">
        <v>31</v>
      </c>
      <c r="L1907" t="s">
        <v>24</v>
      </c>
      <c r="M1907" t="s">
        <v>25</v>
      </c>
      <c r="N1907" t="s">
        <v>30</v>
      </c>
      <c r="O1907" t="s">
        <v>27</v>
      </c>
      <c r="P1907">
        <v>3.44</v>
      </c>
      <c r="Q1907" s="2" t="b">
        <f>FALSE()</f>
        <v>0</v>
      </c>
      <c r="R1907">
        <v>1</v>
      </c>
    </row>
    <row r="1908" spans="1:18" x14ac:dyDescent="0.25">
      <c r="A1908">
        <v>201907</v>
      </c>
      <c r="B1908">
        <v>54083</v>
      </c>
      <c r="C1908" t="s">
        <v>18</v>
      </c>
      <c r="D1908">
        <v>5841.98</v>
      </c>
      <c r="E1908">
        <v>1855</v>
      </c>
      <c r="F1908">
        <v>1</v>
      </c>
      <c r="G1908">
        <v>5</v>
      </c>
      <c r="H1908">
        <v>1</v>
      </c>
      <c r="I1908" t="s">
        <v>19</v>
      </c>
      <c r="J1908">
        <v>0</v>
      </c>
      <c r="K1908">
        <v>68</v>
      </c>
      <c r="L1908" t="s">
        <v>24</v>
      </c>
      <c r="M1908" t="s">
        <v>21</v>
      </c>
      <c r="N1908" t="s">
        <v>30</v>
      </c>
      <c r="O1908" t="s">
        <v>23</v>
      </c>
      <c r="P1908">
        <v>3.67</v>
      </c>
      <c r="Q1908" s="2" t="b">
        <f>FALSE()</f>
        <v>0</v>
      </c>
      <c r="R1908">
        <v>1</v>
      </c>
    </row>
    <row r="1909" spans="1:18" x14ac:dyDescent="0.25">
      <c r="A1909">
        <v>201908</v>
      </c>
      <c r="B1909">
        <v>52026</v>
      </c>
      <c r="C1909" t="s">
        <v>18</v>
      </c>
      <c r="D1909">
        <v>4386.8999999999996</v>
      </c>
      <c r="E1909">
        <v>1960</v>
      </c>
      <c r="F1909">
        <v>0</v>
      </c>
      <c r="G1909">
        <v>5</v>
      </c>
      <c r="H1909">
        <v>0</v>
      </c>
      <c r="I1909" t="s">
        <v>33</v>
      </c>
      <c r="J1909">
        <v>0</v>
      </c>
      <c r="K1909">
        <v>44</v>
      </c>
      <c r="L1909" t="s">
        <v>24</v>
      </c>
      <c r="M1909" t="s">
        <v>21</v>
      </c>
      <c r="N1909" t="s">
        <v>30</v>
      </c>
      <c r="O1909" t="s">
        <v>36</v>
      </c>
      <c r="P1909">
        <v>6.48</v>
      </c>
      <c r="Q1909" s="2" t="b">
        <f>FALSE()</f>
        <v>0</v>
      </c>
      <c r="R1909">
        <v>1</v>
      </c>
    </row>
    <row r="1910" spans="1:18" x14ac:dyDescent="0.25">
      <c r="A1910">
        <v>201909</v>
      </c>
      <c r="B1910">
        <v>50725</v>
      </c>
      <c r="C1910" t="s">
        <v>18</v>
      </c>
      <c r="D1910">
        <v>3153.46</v>
      </c>
      <c r="E1910">
        <v>2662</v>
      </c>
      <c r="F1910">
        <v>1</v>
      </c>
      <c r="G1910">
        <v>5</v>
      </c>
      <c r="H1910">
        <v>0</v>
      </c>
      <c r="I1910" t="s">
        <v>19</v>
      </c>
      <c r="J1910">
        <v>0</v>
      </c>
      <c r="K1910">
        <v>48</v>
      </c>
      <c r="L1910" t="s">
        <v>20</v>
      </c>
      <c r="M1910" t="s">
        <v>35</v>
      </c>
      <c r="N1910" t="s">
        <v>30</v>
      </c>
      <c r="O1910" t="s">
        <v>27</v>
      </c>
      <c r="P1910">
        <v>3.32</v>
      </c>
      <c r="Q1910" s="2" t="b">
        <f>FALSE()</f>
        <v>0</v>
      </c>
      <c r="R1910">
        <v>0</v>
      </c>
    </row>
    <row r="1911" spans="1:18" x14ac:dyDescent="0.25">
      <c r="A1911">
        <v>201910</v>
      </c>
      <c r="B1911">
        <v>54484</v>
      </c>
      <c r="C1911" t="s">
        <v>28</v>
      </c>
      <c r="D1911">
        <v>473.38</v>
      </c>
      <c r="E1911">
        <v>1299</v>
      </c>
      <c r="F1911">
        <v>1</v>
      </c>
      <c r="G1911">
        <v>5</v>
      </c>
      <c r="H1911">
        <v>0</v>
      </c>
      <c r="I1911" t="s">
        <v>33</v>
      </c>
      <c r="J1911">
        <v>0</v>
      </c>
      <c r="K1911">
        <v>71</v>
      </c>
      <c r="L1911" t="s">
        <v>20</v>
      </c>
      <c r="M1911" t="s">
        <v>31</v>
      </c>
      <c r="N1911" t="s">
        <v>30</v>
      </c>
      <c r="O1911" t="s">
        <v>27</v>
      </c>
      <c r="P1911">
        <v>10.74</v>
      </c>
      <c r="Q1911" s="2" t="b">
        <f>FALSE()</f>
        <v>0</v>
      </c>
      <c r="R1911">
        <v>0</v>
      </c>
    </row>
    <row r="1912" spans="1:18" x14ac:dyDescent="0.25">
      <c r="A1912">
        <v>201911</v>
      </c>
      <c r="B1912">
        <v>51664</v>
      </c>
      <c r="C1912" t="s">
        <v>18</v>
      </c>
      <c r="D1912">
        <v>3642.67</v>
      </c>
      <c r="E1912">
        <v>825</v>
      </c>
      <c r="F1912">
        <v>2</v>
      </c>
      <c r="G1912">
        <v>4</v>
      </c>
      <c r="H1912">
        <v>1</v>
      </c>
      <c r="I1912" t="s">
        <v>33</v>
      </c>
      <c r="J1912">
        <v>0</v>
      </c>
      <c r="K1912">
        <v>30</v>
      </c>
      <c r="L1912" t="s">
        <v>20</v>
      </c>
      <c r="M1912" t="s">
        <v>21</v>
      </c>
      <c r="N1912" t="s">
        <v>22</v>
      </c>
      <c r="O1912" t="s">
        <v>36</v>
      </c>
      <c r="P1912">
        <v>2.1800000000000002</v>
      </c>
      <c r="Q1912" s="2" t="b">
        <f>FALSE()</f>
        <v>0</v>
      </c>
      <c r="R1912">
        <v>1</v>
      </c>
    </row>
    <row r="1913" spans="1:18" x14ac:dyDescent="0.25">
      <c r="A1913">
        <v>201912</v>
      </c>
      <c r="B1913">
        <v>50215</v>
      </c>
      <c r="C1913" t="s">
        <v>28</v>
      </c>
      <c r="D1913">
        <v>1557.7</v>
      </c>
      <c r="E1913">
        <v>2067</v>
      </c>
      <c r="F1913">
        <v>1</v>
      </c>
      <c r="G1913">
        <v>3</v>
      </c>
      <c r="H1913">
        <v>0</v>
      </c>
      <c r="I1913" t="s">
        <v>33</v>
      </c>
      <c r="J1913">
        <v>0</v>
      </c>
      <c r="K1913">
        <v>65</v>
      </c>
      <c r="L1913" t="s">
        <v>20</v>
      </c>
      <c r="M1913" t="s">
        <v>29</v>
      </c>
      <c r="N1913" t="s">
        <v>30</v>
      </c>
      <c r="O1913" t="s">
        <v>27</v>
      </c>
      <c r="P1913">
        <v>0.33</v>
      </c>
      <c r="Q1913" s="2" t="b">
        <f>FALSE()</f>
        <v>0</v>
      </c>
      <c r="R1913">
        <v>0</v>
      </c>
    </row>
    <row r="1914" spans="1:18" x14ac:dyDescent="0.25">
      <c r="A1914">
        <v>201913</v>
      </c>
      <c r="B1914">
        <v>55087</v>
      </c>
      <c r="C1914" t="s">
        <v>18</v>
      </c>
      <c r="D1914">
        <v>194.41</v>
      </c>
      <c r="E1914">
        <v>2157</v>
      </c>
      <c r="F1914">
        <v>0</v>
      </c>
      <c r="G1914">
        <v>3</v>
      </c>
      <c r="H1914">
        <v>1</v>
      </c>
      <c r="I1914" t="s">
        <v>19</v>
      </c>
      <c r="J1914">
        <v>1</v>
      </c>
      <c r="K1914">
        <v>76</v>
      </c>
      <c r="L1914" t="s">
        <v>24</v>
      </c>
      <c r="M1914" t="s">
        <v>31</v>
      </c>
      <c r="N1914" t="s">
        <v>26</v>
      </c>
      <c r="O1914" t="s">
        <v>27</v>
      </c>
      <c r="P1914">
        <v>1.34</v>
      </c>
      <c r="Q1914" s="2" t="b">
        <f>FALSE()</f>
        <v>0</v>
      </c>
      <c r="R1914">
        <v>0</v>
      </c>
    </row>
    <row r="1915" spans="1:18" x14ac:dyDescent="0.25">
      <c r="A1915">
        <v>201914</v>
      </c>
      <c r="B1915">
        <v>54575</v>
      </c>
      <c r="C1915" t="s">
        <v>34</v>
      </c>
      <c r="D1915">
        <v>3523.9</v>
      </c>
      <c r="E1915">
        <v>2502</v>
      </c>
      <c r="F1915">
        <v>1</v>
      </c>
      <c r="G1915">
        <v>7</v>
      </c>
      <c r="H1915">
        <v>0</v>
      </c>
      <c r="I1915" t="s">
        <v>33</v>
      </c>
      <c r="J1915">
        <v>0</v>
      </c>
      <c r="K1915">
        <v>60</v>
      </c>
      <c r="L1915" t="s">
        <v>20</v>
      </c>
      <c r="M1915" t="s">
        <v>29</v>
      </c>
      <c r="N1915" t="s">
        <v>22</v>
      </c>
      <c r="O1915" t="s">
        <v>27</v>
      </c>
      <c r="P1915">
        <v>2.88</v>
      </c>
      <c r="Q1915" s="2" t="b">
        <f>FALSE()</f>
        <v>0</v>
      </c>
      <c r="R1915">
        <v>1</v>
      </c>
    </row>
    <row r="1916" spans="1:18" x14ac:dyDescent="0.25">
      <c r="A1916">
        <v>201915</v>
      </c>
      <c r="B1916">
        <v>51414</v>
      </c>
      <c r="C1916" t="s">
        <v>28</v>
      </c>
      <c r="D1916">
        <v>3234.17</v>
      </c>
      <c r="E1916">
        <v>1767</v>
      </c>
      <c r="F1916">
        <v>0</v>
      </c>
      <c r="G1916">
        <v>10</v>
      </c>
      <c r="H1916">
        <v>0</v>
      </c>
      <c r="I1916" t="s">
        <v>32</v>
      </c>
      <c r="J1916">
        <v>1</v>
      </c>
      <c r="K1916">
        <v>33</v>
      </c>
      <c r="L1916" t="s">
        <v>20</v>
      </c>
      <c r="M1916" t="s">
        <v>37</v>
      </c>
      <c r="N1916" t="s">
        <v>30</v>
      </c>
      <c r="O1916" t="s">
        <v>27</v>
      </c>
      <c r="P1916">
        <v>1.66</v>
      </c>
      <c r="Q1916" s="2" t="b">
        <f>FALSE()</f>
        <v>0</v>
      </c>
      <c r="R1916">
        <v>1</v>
      </c>
    </row>
    <row r="1917" spans="1:18" x14ac:dyDescent="0.25">
      <c r="A1917">
        <v>201916</v>
      </c>
      <c r="B1917">
        <v>52348</v>
      </c>
      <c r="C1917" t="s">
        <v>18</v>
      </c>
      <c r="D1917">
        <v>1116.02</v>
      </c>
      <c r="E1917">
        <v>1280</v>
      </c>
      <c r="F1917">
        <v>0</v>
      </c>
      <c r="G1917">
        <v>3</v>
      </c>
      <c r="H1917">
        <v>0</v>
      </c>
      <c r="I1917" t="s">
        <v>32</v>
      </c>
      <c r="J1917">
        <v>0</v>
      </c>
      <c r="K1917">
        <v>62</v>
      </c>
      <c r="L1917" t="s">
        <v>24</v>
      </c>
      <c r="M1917" t="s">
        <v>29</v>
      </c>
      <c r="N1917" t="s">
        <v>22</v>
      </c>
      <c r="O1917" t="s">
        <v>36</v>
      </c>
      <c r="P1917">
        <v>2.0499999999999998</v>
      </c>
      <c r="Q1917" s="2" t="b">
        <f>FALSE()</f>
        <v>0</v>
      </c>
      <c r="R1917">
        <v>0</v>
      </c>
    </row>
    <row r="1918" spans="1:18" x14ac:dyDescent="0.25">
      <c r="A1918">
        <v>201917</v>
      </c>
      <c r="B1918">
        <v>52668</v>
      </c>
      <c r="C1918" t="s">
        <v>28</v>
      </c>
      <c r="D1918">
        <v>1220.01</v>
      </c>
      <c r="E1918">
        <v>2013</v>
      </c>
      <c r="F1918">
        <v>1</v>
      </c>
      <c r="G1918">
        <v>5</v>
      </c>
      <c r="H1918">
        <v>0</v>
      </c>
      <c r="I1918" t="s">
        <v>33</v>
      </c>
      <c r="J1918">
        <v>0</v>
      </c>
      <c r="K1918">
        <v>33</v>
      </c>
      <c r="L1918" t="s">
        <v>24</v>
      </c>
      <c r="M1918" t="s">
        <v>25</v>
      </c>
      <c r="N1918" t="s">
        <v>22</v>
      </c>
      <c r="O1918" t="s">
        <v>36</v>
      </c>
      <c r="P1918">
        <v>0.83</v>
      </c>
      <c r="Q1918" s="2" t="b">
        <f>FALSE()</f>
        <v>0</v>
      </c>
      <c r="R1918">
        <v>0</v>
      </c>
    </row>
    <row r="1919" spans="1:18" x14ac:dyDescent="0.25">
      <c r="A1919">
        <v>201918</v>
      </c>
      <c r="B1919">
        <v>52273</v>
      </c>
      <c r="C1919" t="s">
        <v>28</v>
      </c>
      <c r="D1919">
        <v>609.41999999999996</v>
      </c>
      <c r="E1919">
        <v>1504</v>
      </c>
      <c r="F1919">
        <v>0</v>
      </c>
      <c r="G1919">
        <v>3</v>
      </c>
      <c r="H1919">
        <v>0</v>
      </c>
      <c r="I1919" t="s">
        <v>19</v>
      </c>
      <c r="J1919">
        <v>0</v>
      </c>
      <c r="K1919">
        <v>49</v>
      </c>
      <c r="L1919" t="s">
        <v>20</v>
      </c>
      <c r="M1919" t="s">
        <v>29</v>
      </c>
      <c r="N1919" t="s">
        <v>22</v>
      </c>
      <c r="O1919" t="s">
        <v>27</v>
      </c>
      <c r="P1919">
        <v>3.42</v>
      </c>
      <c r="Q1919" s="2" t="b">
        <f>FALSE()</f>
        <v>0</v>
      </c>
      <c r="R1919">
        <v>0</v>
      </c>
    </row>
    <row r="1920" spans="1:18" x14ac:dyDescent="0.25">
      <c r="A1920">
        <v>201919</v>
      </c>
      <c r="B1920">
        <v>55205</v>
      </c>
      <c r="C1920" t="s">
        <v>18</v>
      </c>
      <c r="D1920">
        <v>2985.38</v>
      </c>
      <c r="E1920">
        <v>3547</v>
      </c>
      <c r="F1920">
        <v>0</v>
      </c>
      <c r="G1920">
        <v>3</v>
      </c>
      <c r="H1920">
        <v>0</v>
      </c>
      <c r="I1920" t="s">
        <v>33</v>
      </c>
      <c r="J1920">
        <v>0</v>
      </c>
      <c r="K1920">
        <v>53</v>
      </c>
      <c r="L1920" t="s">
        <v>20</v>
      </c>
      <c r="M1920" t="s">
        <v>29</v>
      </c>
      <c r="N1920" t="s">
        <v>30</v>
      </c>
      <c r="O1920" t="s">
        <v>27</v>
      </c>
      <c r="P1920">
        <v>1.57</v>
      </c>
      <c r="Q1920" s="2" t="b">
        <f>FALSE()</f>
        <v>0</v>
      </c>
      <c r="R1920">
        <v>0</v>
      </c>
    </row>
    <row r="1921" spans="1:18" x14ac:dyDescent="0.25">
      <c r="A1921">
        <v>201920</v>
      </c>
      <c r="B1921">
        <v>55672</v>
      </c>
      <c r="C1921" t="s">
        <v>18</v>
      </c>
      <c r="D1921">
        <v>2886.31</v>
      </c>
      <c r="E1921">
        <v>2972</v>
      </c>
      <c r="F1921">
        <v>0</v>
      </c>
      <c r="G1921">
        <v>6</v>
      </c>
      <c r="H1921">
        <v>0</v>
      </c>
      <c r="I1921" t="s">
        <v>32</v>
      </c>
      <c r="J1921">
        <v>0</v>
      </c>
      <c r="K1921">
        <v>18</v>
      </c>
      <c r="L1921" t="s">
        <v>24</v>
      </c>
      <c r="M1921" t="s">
        <v>37</v>
      </c>
      <c r="N1921" t="s">
        <v>22</v>
      </c>
      <c r="O1921" t="s">
        <v>36</v>
      </c>
      <c r="P1921">
        <v>9.08</v>
      </c>
      <c r="Q1921" s="2" t="b">
        <f>FALSE()</f>
        <v>0</v>
      </c>
      <c r="R1921">
        <v>0</v>
      </c>
    </row>
    <row r="1922" spans="1:18" x14ac:dyDescent="0.25">
      <c r="A1922">
        <v>201921</v>
      </c>
      <c r="B1922">
        <v>51109</v>
      </c>
      <c r="C1922" t="s">
        <v>18</v>
      </c>
      <c r="D1922">
        <v>4517.97</v>
      </c>
      <c r="E1922">
        <v>1132</v>
      </c>
      <c r="F1922">
        <v>2</v>
      </c>
      <c r="G1922">
        <v>4</v>
      </c>
      <c r="H1922">
        <v>0</v>
      </c>
      <c r="I1922" t="s">
        <v>33</v>
      </c>
      <c r="J1922">
        <v>0</v>
      </c>
      <c r="K1922">
        <v>21</v>
      </c>
      <c r="L1922" t="s">
        <v>24</v>
      </c>
      <c r="M1922" t="s">
        <v>37</v>
      </c>
      <c r="N1922" t="s">
        <v>22</v>
      </c>
      <c r="O1922" t="s">
        <v>36</v>
      </c>
      <c r="P1922">
        <v>0.3</v>
      </c>
      <c r="Q1922" s="2" t="b">
        <f>FALSE()</f>
        <v>0</v>
      </c>
      <c r="R1922">
        <v>1</v>
      </c>
    </row>
    <row r="1923" spans="1:18" x14ac:dyDescent="0.25">
      <c r="A1923">
        <v>201922</v>
      </c>
      <c r="B1923">
        <v>55439</v>
      </c>
      <c r="C1923" t="s">
        <v>34</v>
      </c>
      <c r="D1923">
        <v>2100.79</v>
      </c>
      <c r="E1923">
        <v>11</v>
      </c>
      <c r="F1923">
        <v>1</v>
      </c>
      <c r="G1923">
        <v>3</v>
      </c>
      <c r="H1923">
        <v>0</v>
      </c>
      <c r="I1923" t="s">
        <v>33</v>
      </c>
      <c r="J1923">
        <v>1</v>
      </c>
      <c r="K1923">
        <v>59</v>
      </c>
      <c r="L1923" t="s">
        <v>20</v>
      </c>
      <c r="M1923" t="s">
        <v>25</v>
      </c>
      <c r="N1923" t="s">
        <v>22</v>
      </c>
      <c r="O1923" t="s">
        <v>27</v>
      </c>
      <c r="P1923">
        <v>2.77</v>
      </c>
      <c r="Q1923" s="2" t="b">
        <f>FALSE()</f>
        <v>0</v>
      </c>
      <c r="R1923">
        <v>0</v>
      </c>
    </row>
    <row r="1924" spans="1:18" x14ac:dyDescent="0.25">
      <c r="A1924">
        <v>201923</v>
      </c>
      <c r="B1924">
        <v>55187</v>
      </c>
      <c r="C1924" t="s">
        <v>34</v>
      </c>
      <c r="D1924">
        <v>4132.5600000000004</v>
      </c>
      <c r="E1924">
        <v>3097</v>
      </c>
      <c r="F1924">
        <v>1</v>
      </c>
      <c r="G1924">
        <v>6</v>
      </c>
      <c r="H1924">
        <v>1</v>
      </c>
      <c r="I1924" t="s">
        <v>33</v>
      </c>
      <c r="J1924">
        <v>0</v>
      </c>
      <c r="K1924">
        <v>29</v>
      </c>
      <c r="L1924" t="s">
        <v>24</v>
      </c>
      <c r="M1924" t="s">
        <v>29</v>
      </c>
      <c r="N1924" t="s">
        <v>22</v>
      </c>
      <c r="O1924" t="s">
        <v>27</v>
      </c>
      <c r="P1924">
        <v>0.42</v>
      </c>
      <c r="Q1924" s="2" t="b">
        <f>FALSE()</f>
        <v>0</v>
      </c>
      <c r="R1924">
        <v>1</v>
      </c>
    </row>
    <row r="1925" spans="1:18" x14ac:dyDescent="0.25">
      <c r="A1925">
        <v>201924</v>
      </c>
      <c r="B1925">
        <v>51891</v>
      </c>
      <c r="C1925" t="s">
        <v>18</v>
      </c>
      <c r="D1925">
        <v>5816.92</v>
      </c>
      <c r="E1925">
        <v>2500</v>
      </c>
      <c r="F1925">
        <v>1</v>
      </c>
      <c r="G1925">
        <v>3</v>
      </c>
      <c r="H1925">
        <v>0</v>
      </c>
      <c r="I1925" t="s">
        <v>32</v>
      </c>
      <c r="J1925">
        <v>1</v>
      </c>
      <c r="K1925">
        <v>55</v>
      </c>
      <c r="L1925" t="s">
        <v>20</v>
      </c>
      <c r="M1925" t="s">
        <v>25</v>
      </c>
      <c r="N1925" t="s">
        <v>22</v>
      </c>
      <c r="O1925" t="s">
        <v>36</v>
      </c>
      <c r="P1925">
        <v>3.37</v>
      </c>
      <c r="Q1925" s="2" t="b">
        <f>FALSE()</f>
        <v>0</v>
      </c>
      <c r="R1925">
        <v>1</v>
      </c>
    </row>
    <row r="1926" spans="1:18" x14ac:dyDescent="0.25">
      <c r="A1926">
        <v>201925</v>
      </c>
      <c r="B1926">
        <v>52420</v>
      </c>
      <c r="C1926" t="s">
        <v>18</v>
      </c>
      <c r="D1926">
        <v>8943.59</v>
      </c>
      <c r="E1926">
        <v>2709</v>
      </c>
      <c r="F1926">
        <v>4</v>
      </c>
      <c r="G1926">
        <v>1</v>
      </c>
      <c r="H1926">
        <v>0</v>
      </c>
      <c r="I1926" t="s">
        <v>33</v>
      </c>
      <c r="J1926">
        <v>0</v>
      </c>
      <c r="K1926">
        <v>52</v>
      </c>
      <c r="L1926" t="s">
        <v>24</v>
      </c>
      <c r="M1926" t="s">
        <v>29</v>
      </c>
      <c r="N1926" t="s">
        <v>22</v>
      </c>
      <c r="O1926" t="s">
        <v>36</v>
      </c>
      <c r="P1926">
        <v>8.75</v>
      </c>
      <c r="Q1926" s="2" t="b">
        <f>TRUE()</f>
        <v>1</v>
      </c>
      <c r="R1926">
        <v>1</v>
      </c>
    </row>
    <row r="1927" spans="1:18" x14ac:dyDescent="0.25">
      <c r="A1927">
        <v>201926</v>
      </c>
      <c r="B1927">
        <v>52931</v>
      </c>
      <c r="C1927" t="s">
        <v>18</v>
      </c>
      <c r="D1927">
        <v>8161.15</v>
      </c>
      <c r="E1927">
        <v>805</v>
      </c>
      <c r="F1927">
        <v>1</v>
      </c>
      <c r="G1927">
        <v>3</v>
      </c>
      <c r="H1927">
        <v>0</v>
      </c>
      <c r="I1927" t="s">
        <v>19</v>
      </c>
      <c r="J1927">
        <v>0</v>
      </c>
      <c r="K1927">
        <v>22</v>
      </c>
      <c r="L1927" t="s">
        <v>20</v>
      </c>
      <c r="M1927" t="s">
        <v>21</v>
      </c>
      <c r="N1927" t="s">
        <v>26</v>
      </c>
      <c r="O1927" t="s">
        <v>36</v>
      </c>
      <c r="P1927">
        <v>0.64</v>
      </c>
      <c r="Q1927" s="2" t="b">
        <f>TRUE()</f>
        <v>1</v>
      </c>
      <c r="R1927">
        <v>1</v>
      </c>
    </row>
    <row r="1928" spans="1:18" x14ac:dyDescent="0.25">
      <c r="A1928">
        <v>201927</v>
      </c>
      <c r="B1928">
        <v>51422</v>
      </c>
      <c r="C1928" t="s">
        <v>34</v>
      </c>
      <c r="D1928">
        <v>1371.16</v>
      </c>
      <c r="E1928">
        <v>1299</v>
      </c>
      <c r="F1928">
        <v>2</v>
      </c>
      <c r="G1928">
        <v>1</v>
      </c>
      <c r="H1928">
        <v>1</v>
      </c>
      <c r="I1928" t="s">
        <v>19</v>
      </c>
      <c r="J1928">
        <v>0</v>
      </c>
      <c r="K1928">
        <v>40</v>
      </c>
      <c r="L1928" t="s">
        <v>20</v>
      </c>
      <c r="M1928" t="s">
        <v>31</v>
      </c>
      <c r="N1928" t="s">
        <v>26</v>
      </c>
      <c r="O1928" t="s">
        <v>36</v>
      </c>
      <c r="P1928">
        <v>5.93</v>
      </c>
      <c r="Q1928" s="2" t="b">
        <f>FALSE()</f>
        <v>0</v>
      </c>
      <c r="R1928">
        <v>0</v>
      </c>
    </row>
    <row r="1929" spans="1:18" x14ac:dyDescent="0.25">
      <c r="A1929">
        <v>201928</v>
      </c>
      <c r="B1929">
        <v>55722</v>
      </c>
      <c r="C1929" t="s">
        <v>18</v>
      </c>
      <c r="D1929">
        <v>4349.2</v>
      </c>
      <c r="E1929">
        <v>876</v>
      </c>
      <c r="F1929">
        <v>2</v>
      </c>
      <c r="G1929">
        <v>2</v>
      </c>
      <c r="H1929">
        <v>0</v>
      </c>
      <c r="I1929" t="s">
        <v>33</v>
      </c>
      <c r="J1929">
        <v>1</v>
      </c>
      <c r="K1929">
        <v>74</v>
      </c>
      <c r="L1929" t="s">
        <v>24</v>
      </c>
      <c r="M1929" t="s">
        <v>35</v>
      </c>
      <c r="N1929" t="s">
        <v>26</v>
      </c>
      <c r="O1929" t="s">
        <v>27</v>
      </c>
      <c r="P1929">
        <v>7.47</v>
      </c>
      <c r="Q1929" s="2" t="b">
        <f>FALSE()</f>
        <v>0</v>
      </c>
      <c r="R1929">
        <v>1</v>
      </c>
    </row>
    <row r="1930" spans="1:18" x14ac:dyDescent="0.25">
      <c r="A1930">
        <v>201929</v>
      </c>
      <c r="B1930">
        <v>52596</v>
      </c>
      <c r="C1930" t="s">
        <v>18</v>
      </c>
      <c r="D1930">
        <v>2596.2600000000002</v>
      </c>
      <c r="E1930">
        <v>518</v>
      </c>
      <c r="F1930">
        <v>1</v>
      </c>
      <c r="G1930">
        <v>3</v>
      </c>
      <c r="H1930">
        <v>1</v>
      </c>
      <c r="I1930" t="s">
        <v>33</v>
      </c>
      <c r="J1930">
        <v>0</v>
      </c>
      <c r="K1930">
        <v>49</v>
      </c>
      <c r="L1930" t="s">
        <v>24</v>
      </c>
      <c r="M1930" t="s">
        <v>29</v>
      </c>
      <c r="N1930" t="s">
        <v>26</v>
      </c>
      <c r="O1930" t="s">
        <v>23</v>
      </c>
      <c r="P1930">
        <v>3.51</v>
      </c>
      <c r="Q1930" s="2" t="b">
        <f>FALSE()</f>
        <v>0</v>
      </c>
      <c r="R1930">
        <v>0</v>
      </c>
    </row>
    <row r="1931" spans="1:18" x14ac:dyDescent="0.25">
      <c r="A1931">
        <v>201930</v>
      </c>
      <c r="B1931">
        <v>55257</v>
      </c>
      <c r="C1931" t="s">
        <v>18</v>
      </c>
      <c r="D1931">
        <v>991.16</v>
      </c>
      <c r="E1931">
        <v>3315</v>
      </c>
      <c r="F1931">
        <v>3</v>
      </c>
      <c r="G1931">
        <v>5</v>
      </c>
      <c r="H1931">
        <v>0</v>
      </c>
      <c r="I1931" t="s">
        <v>33</v>
      </c>
      <c r="J1931">
        <v>0</v>
      </c>
      <c r="K1931">
        <v>24</v>
      </c>
      <c r="L1931" t="s">
        <v>20</v>
      </c>
      <c r="M1931" t="s">
        <v>37</v>
      </c>
      <c r="N1931" t="s">
        <v>30</v>
      </c>
      <c r="O1931" t="s">
        <v>36</v>
      </c>
      <c r="P1931">
        <v>0.68</v>
      </c>
      <c r="Q1931" s="2" t="b">
        <f>FALSE()</f>
        <v>0</v>
      </c>
      <c r="R1931">
        <v>1</v>
      </c>
    </row>
    <row r="1932" spans="1:18" x14ac:dyDescent="0.25">
      <c r="A1932">
        <v>201931</v>
      </c>
      <c r="B1932">
        <v>54629</v>
      </c>
      <c r="C1932" t="s">
        <v>18</v>
      </c>
      <c r="D1932">
        <v>5671.59</v>
      </c>
      <c r="E1932">
        <v>838</v>
      </c>
      <c r="F1932">
        <v>0</v>
      </c>
      <c r="G1932">
        <v>9</v>
      </c>
      <c r="H1932">
        <v>1</v>
      </c>
      <c r="I1932" t="s">
        <v>32</v>
      </c>
      <c r="J1932">
        <v>0</v>
      </c>
      <c r="K1932">
        <v>46</v>
      </c>
      <c r="L1932" t="s">
        <v>24</v>
      </c>
      <c r="M1932" t="s">
        <v>25</v>
      </c>
      <c r="N1932" t="s">
        <v>30</v>
      </c>
      <c r="O1932" t="s">
        <v>23</v>
      </c>
      <c r="P1932">
        <v>1.73</v>
      </c>
      <c r="Q1932" s="2" t="b">
        <f>FALSE()</f>
        <v>0</v>
      </c>
      <c r="R1932">
        <v>1</v>
      </c>
    </row>
    <row r="1933" spans="1:18" x14ac:dyDescent="0.25">
      <c r="A1933">
        <v>201932</v>
      </c>
      <c r="B1933">
        <v>51386</v>
      </c>
      <c r="C1933" t="s">
        <v>18</v>
      </c>
      <c r="D1933">
        <v>8010.71</v>
      </c>
      <c r="E1933">
        <v>203</v>
      </c>
      <c r="F1933">
        <v>0</v>
      </c>
      <c r="G1933">
        <v>5</v>
      </c>
      <c r="H1933">
        <v>1</v>
      </c>
      <c r="I1933" t="s">
        <v>33</v>
      </c>
      <c r="J1933">
        <v>0</v>
      </c>
      <c r="K1933">
        <v>66</v>
      </c>
      <c r="L1933" t="s">
        <v>20</v>
      </c>
      <c r="M1933" t="s">
        <v>35</v>
      </c>
      <c r="N1933" t="s">
        <v>22</v>
      </c>
      <c r="O1933" t="s">
        <v>27</v>
      </c>
      <c r="P1933">
        <v>0.8</v>
      </c>
      <c r="Q1933" s="2" t="b">
        <f>TRUE()</f>
        <v>1</v>
      </c>
      <c r="R1933">
        <v>1</v>
      </c>
    </row>
    <row r="1934" spans="1:18" x14ac:dyDescent="0.25">
      <c r="A1934">
        <v>201933</v>
      </c>
      <c r="B1934">
        <v>55422</v>
      </c>
      <c r="C1934" t="s">
        <v>28</v>
      </c>
      <c r="D1934">
        <v>1088.68</v>
      </c>
      <c r="E1934">
        <v>1499</v>
      </c>
      <c r="F1934">
        <v>1</v>
      </c>
      <c r="G1934">
        <v>4</v>
      </c>
      <c r="H1934">
        <v>0</v>
      </c>
      <c r="I1934" t="s">
        <v>32</v>
      </c>
      <c r="J1934">
        <v>1</v>
      </c>
      <c r="K1934">
        <v>20</v>
      </c>
      <c r="L1934" t="s">
        <v>24</v>
      </c>
      <c r="M1934" t="s">
        <v>37</v>
      </c>
      <c r="N1934" t="s">
        <v>30</v>
      </c>
      <c r="O1934" t="s">
        <v>27</v>
      </c>
      <c r="P1934">
        <v>3.64</v>
      </c>
      <c r="Q1934" s="2" t="b">
        <f>FALSE()</f>
        <v>0</v>
      </c>
      <c r="R1934">
        <v>0</v>
      </c>
    </row>
    <row r="1935" spans="1:18" x14ac:dyDescent="0.25">
      <c r="A1935">
        <v>201934</v>
      </c>
      <c r="B1935">
        <v>52779</v>
      </c>
      <c r="C1935" t="s">
        <v>18</v>
      </c>
      <c r="D1935">
        <v>1147.77</v>
      </c>
      <c r="E1935">
        <v>1275</v>
      </c>
      <c r="F1935">
        <v>1</v>
      </c>
      <c r="G1935">
        <v>6</v>
      </c>
      <c r="H1935">
        <v>0</v>
      </c>
      <c r="I1935" t="s">
        <v>33</v>
      </c>
      <c r="J1935">
        <v>1</v>
      </c>
      <c r="K1935">
        <v>59</v>
      </c>
      <c r="L1935" t="s">
        <v>20</v>
      </c>
      <c r="M1935" t="s">
        <v>37</v>
      </c>
      <c r="N1935" t="s">
        <v>22</v>
      </c>
      <c r="O1935" t="s">
        <v>23</v>
      </c>
      <c r="P1935">
        <v>5.53</v>
      </c>
      <c r="Q1935" s="2" t="b">
        <f>FALSE()</f>
        <v>0</v>
      </c>
      <c r="R1935">
        <v>0</v>
      </c>
    </row>
    <row r="1936" spans="1:18" x14ac:dyDescent="0.25">
      <c r="A1936">
        <v>201935</v>
      </c>
      <c r="B1936">
        <v>55372</v>
      </c>
      <c r="C1936" t="s">
        <v>28</v>
      </c>
      <c r="D1936">
        <v>2147.73</v>
      </c>
      <c r="E1936">
        <v>3380</v>
      </c>
      <c r="F1936">
        <v>2</v>
      </c>
      <c r="G1936">
        <v>3</v>
      </c>
      <c r="H1936">
        <v>1</v>
      </c>
      <c r="I1936" t="s">
        <v>33</v>
      </c>
      <c r="J1936">
        <v>0</v>
      </c>
      <c r="K1936">
        <v>64</v>
      </c>
      <c r="L1936" t="s">
        <v>24</v>
      </c>
      <c r="M1936" t="s">
        <v>21</v>
      </c>
      <c r="N1936" t="s">
        <v>30</v>
      </c>
      <c r="O1936" t="s">
        <v>27</v>
      </c>
      <c r="P1936">
        <v>2.1</v>
      </c>
      <c r="Q1936" s="2" t="b">
        <f>FALSE()</f>
        <v>0</v>
      </c>
      <c r="R1936">
        <v>0</v>
      </c>
    </row>
    <row r="1937" spans="1:18" x14ac:dyDescent="0.25">
      <c r="A1937">
        <v>201936</v>
      </c>
      <c r="B1937">
        <v>54695</v>
      </c>
      <c r="C1937" t="s">
        <v>18</v>
      </c>
      <c r="D1937">
        <v>3455.52</v>
      </c>
      <c r="E1937">
        <v>2789</v>
      </c>
      <c r="F1937">
        <v>0</v>
      </c>
      <c r="G1937">
        <v>3</v>
      </c>
      <c r="H1937">
        <v>0</v>
      </c>
      <c r="I1937" t="s">
        <v>19</v>
      </c>
      <c r="J1937">
        <v>0</v>
      </c>
      <c r="K1937">
        <v>42</v>
      </c>
      <c r="L1937" t="s">
        <v>20</v>
      </c>
      <c r="M1937" t="s">
        <v>31</v>
      </c>
      <c r="N1937" t="s">
        <v>26</v>
      </c>
      <c r="O1937" t="s">
        <v>27</v>
      </c>
      <c r="P1937">
        <v>2.1</v>
      </c>
      <c r="Q1937" s="2" t="b">
        <f>FALSE()</f>
        <v>0</v>
      </c>
      <c r="R1937">
        <v>0</v>
      </c>
    </row>
    <row r="1938" spans="1:18" x14ac:dyDescent="0.25">
      <c r="A1938">
        <v>201937</v>
      </c>
      <c r="B1938">
        <v>51756</v>
      </c>
      <c r="C1938" t="s">
        <v>28</v>
      </c>
      <c r="D1938">
        <v>561.38</v>
      </c>
      <c r="E1938">
        <v>1351</v>
      </c>
      <c r="F1938">
        <v>0</v>
      </c>
      <c r="G1938">
        <v>0</v>
      </c>
      <c r="H1938">
        <v>0</v>
      </c>
      <c r="I1938" t="s">
        <v>33</v>
      </c>
      <c r="J1938">
        <v>0</v>
      </c>
      <c r="K1938">
        <v>35</v>
      </c>
      <c r="L1938" t="s">
        <v>24</v>
      </c>
      <c r="M1938" t="s">
        <v>37</v>
      </c>
      <c r="N1938" t="s">
        <v>26</v>
      </c>
      <c r="O1938" t="s">
        <v>23</v>
      </c>
      <c r="P1938">
        <v>4.18</v>
      </c>
      <c r="Q1938" s="2" t="b">
        <f>FALSE()</f>
        <v>0</v>
      </c>
      <c r="R1938">
        <v>0</v>
      </c>
    </row>
    <row r="1939" spans="1:18" x14ac:dyDescent="0.25">
      <c r="A1939">
        <v>201938</v>
      </c>
      <c r="B1939">
        <v>55022</v>
      </c>
      <c r="C1939" t="s">
        <v>18</v>
      </c>
      <c r="D1939">
        <v>1785.19</v>
      </c>
      <c r="E1939">
        <v>881</v>
      </c>
      <c r="F1939">
        <v>2</v>
      </c>
      <c r="G1939">
        <v>3</v>
      </c>
      <c r="H1939">
        <v>0</v>
      </c>
      <c r="I1939" t="s">
        <v>33</v>
      </c>
      <c r="J1939">
        <v>1</v>
      </c>
      <c r="K1939">
        <v>80</v>
      </c>
      <c r="L1939" t="s">
        <v>20</v>
      </c>
      <c r="M1939" t="s">
        <v>35</v>
      </c>
      <c r="N1939" t="s">
        <v>22</v>
      </c>
      <c r="O1939" t="s">
        <v>23</v>
      </c>
      <c r="P1939">
        <v>2.38</v>
      </c>
      <c r="Q1939" s="2" t="b">
        <f>FALSE()</f>
        <v>0</v>
      </c>
      <c r="R1939">
        <v>0</v>
      </c>
    </row>
    <row r="1940" spans="1:18" x14ac:dyDescent="0.25">
      <c r="A1940">
        <v>201939</v>
      </c>
      <c r="B1940">
        <v>53254</v>
      </c>
      <c r="C1940" t="s">
        <v>18</v>
      </c>
      <c r="D1940">
        <v>2692.58</v>
      </c>
      <c r="E1940">
        <v>531</v>
      </c>
      <c r="F1940">
        <v>1</v>
      </c>
      <c r="G1940">
        <v>4</v>
      </c>
      <c r="H1940">
        <v>0</v>
      </c>
      <c r="I1940" t="s">
        <v>32</v>
      </c>
      <c r="J1940">
        <v>0</v>
      </c>
      <c r="K1940">
        <v>46</v>
      </c>
      <c r="L1940" t="s">
        <v>24</v>
      </c>
      <c r="M1940" t="s">
        <v>25</v>
      </c>
      <c r="N1940" t="s">
        <v>22</v>
      </c>
      <c r="O1940" t="s">
        <v>36</v>
      </c>
      <c r="P1940">
        <v>2.15</v>
      </c>
      <c r="Q1940" s="2" t="b">
        <f>FALSE()</f>
        <v>0</v>
      </c>
      <c r="R1940">
        <v>0</v>
      </c>
    </row>
    <row r="1941" spans="1:18" x14ac:dyDescent="0.25">
      <c r="A1941">
        <v>201940</v>
      </c>
      <c r="B1941">
        <v>55776</v>
      </c>
      <c r="C1941" t="s">
        <v>28</v>
      </c>
      <c r="D1941">
        <v>4530.09</v>
      </c>
      <c r="E1941">
        <v>2219</v>
      </c>
      <c r="F1941">
        <v>0</v>
      </c>
      <c r="G1941">
        <v>5</v>
      </c>
      <c r="H1941">
        <v>1</v>
      </c>
      <c r="I1941" t="s">
        <v>33</v>
      </c>
      <c r="J1941">
        <v>0</v>
      </c>
      <c r="K1941">
        <v>59</v>
      </c>
      <c r="L1941" t="s">
        <v>20</v>
      </c>
      <c r="M1941" t="s">
        <v>37</v>
      </c>
      <c r="N1941" t="s">
        <v>26</v>
      </c>
      <c r="O1941" t="s">
        <v>36</v>
      </c>
      <c r="P1941">
        <v>9.0299999999999994</v>
      </c>
      <c r="Q1941" s="2" t="b">
        <f>FALSE()</f>
        <v>0</v>
      </c>
      <c r="R1941">
        <v>1</v>
      </c>
    </row>
    <row r="1942" spans="1:18" x14ac:dyDescent="0.25">
      <c r="A1942">
        <v>201941</v>
      </c>
      <c r="B1942">
        <v>54296</v>
      </c>
      <c r="C1942" t="s">
        <v>18</v>
      </c>
      <c r="D1942">
        <v>8029.98</v>
      </c>
      <c r="E1942">
        <v>2132</v>
      </c>
      <c r="F1942">
        <v>1</v>
      </c>
      <c r="G1942">
        <v>10</v>
      </c>
      <c r="H1942">
        <v>0</v>
      </c>
      <c r="I1942" t="s">
        <v>33</v>
      </c>
      <c r="J1942">
        <v>0</v>
      </c>
      <c r="K1942">
        <v>71</v>
      </c>
      <c r="L1942" t="s">
        <v>20</v>
      </c>
      <c r="M1942" t="s">
        <v>25</v>
      </c>
      <c r="N1942" t="s">
        <v>30</v>
      </c>
      <c r="O1942" t="s">
        <v>27</v>
      </c>
      <c r="P1942">
        <v>2</v>
      </c>
      <c r="Q1942" s="2" t="b">
        <f>TRUE()</f>
        <v>1</v>
      </c>
      <c r="R1942">
        <v>1</v>
      </c>
    </row>
    <row r="1943" spans="1:18" x14ac:dyDescent="0.25">
      <c r="A1943">
        <v>201942</v>
      </c>
      <c r="B1943">
        <v>54338</v>
      </c>
      <c r="C1943" t="s">
        <v>34</v>
      </c>
      <c r="D1943">
        <v>2426.4499999999998</v>
      </c>
      <c r="E1943">
        <v>3333</v>
      </c>
      <c r="F1943">
        <v>1</v>
      </c>
      <c r="G1943">
        <v>2</v>
      </c>
      <c r="H1943">
        <v>0</v>
      </c>
      <c r="I1943" t="s">
        <v>19</v>
      </c>
      <c r="J1943">
        <v>0</v>
      </c>
      <c r="K1943">
        <v>49</v>
      </c>
      <c r="L1943" t="s">
        <v>20</v>
      </c>
      <c r="M1943" t="s">
        <v>37</v>
      </c>
      <c r="N1943" t="s">
        <v>22</v>
      </c>
      <c r="O1943" t="s">
        <v>23</v>
      </c>
      <c r="P1943">
        <v>2.02</v>
      </c>
      <c r="Q1943" s="2" t="b">
        <f>FALSE()</f>
        <v>0</v>
      </c>
      <c r="R1943">
        <v>0</v>
      </c>
    </row>
    <row r="1944" spans="1:18" x14ac:dyDescent="0.25">
      <c r="A1944">
        <v>201943</v>
      </c>
      <c r="B1944">
        <v>54676</v>
      </c>
      <c r="C1944" t="s">
        <v>18</v>
      </c>
      <c r="D1944">
        <v>4561.17</v>
      </c>
      <c r="E1944">
        <v>1214</v>
      </c>
      <c r="F1944">
        <v>1</v>
      </c>
      <c r="G1944">
        <v>7</v>
      </c>
      <c r="H1944">
        <v>0</v>
      </c>
      <c r="I1944" t="s">
        <v>33</v>
      </c>
      <c r="J1944">
        <v>0</v>
      </c>
      <c r="K1944">
        <v>61</v>
      </c>
      <c r="L1944" t="s">
        <v>20</v>
      </c>
      <c r="M1944" t="s">
        <v>25</v>
      </c>
      <c r="N1944" t="s">
        <v>22</v>
      </c>
      <c r="O1944" t="s">
        <v>36</v>
      </c>
      <c r="P1944">
        <v>8.27</v>
      </c>
      <c r="Q1944" s="2" t="b">
        <f>FALSE()</f>
        <v>0</v>
      </c>
      <c r="R1944">
        <v>1</v>
      </c>
    </row>
    <row r="1945" spans="1:18" x14ac:dyDescent="0.25">
      <c r="A1945">
        <v>201944</v>
      </c>
      <c r="B1945">
        <v>52575</v>
      </c>
      <c r="C1945" t="s">
        <v>34</v>
      </c>
      <c r="D1945">
        <v>1163.8499999999999</v>
      </c>
      <c r="E1945">
        <v>2981</v>
      </c>
      <c r="F1945">
        <v>1</v>
      </c>
      <c r="G1945">
        <v>2</v>
      </c>
      <c r="H1945">
        <v>0</v>
      </c>
      <c r="I1945" t="s">
        <v>19</v>
      </c>
      <c r="J1945">
        <v>0</v>
      </c>
      <c r="K1945">
        <v>62</v>
      </c>
      <c r="L1945" t="s">
        <v>20</v>
      </c>
      <c r="M1945" t="s">
        <v>29</v>
      </c>
      <c r="N1945" t="s">
        <v>22</v>
      </c>
      <c r="O1945" t="s">
        <v>36</v>
      </c>
      <c r="P1945">
        <v>7.0000000000000007E-2</v>
      </c>
      <c r="Q1945" s="2" t="b">
        <f>FALSE()</f>
        <v>0</v>
      </c>
      <c r="R1945">
        <v>0</v>
      </c>
    </row>
    <row r="1946" spans="1:18" x14ac:dyDescent="0.25">
      <c r="A1946">
        <v>201945</v>
      </c>
      <c r="B1946">
        <v>52847</v>
      </c>
      <c r="C1946" t="s">
        <v>28</v>
      </c>
      <c r="D1946">
        <v>1483.1</v>
      </c>
      <c r="E1946">
        <v>1887</v>
      </c>
      <c r="F1946">
        <v>1</v>
      </c>
      <c r="G1946">
        <v>5</v>
      </c>
      <c r="H1946">
        <v>0</v>
      </c>
      <c r="I1946" t="s">
        <v>33</v>
      </c>
      <c r="J1946">
        <v>0</v>
      </c>
      <c r="K1946">
        <v>33</v>
      </c>
      <c r="L1946" t="s">
        <v>24</v>
      </c>
      <c r="M1946" t="s">
        <v>31</v>
      </c>
      <c r="N1946" t="s">
        <v>22</v>
      </c>
      <c r="O1946" t="s">
        <v>23</v>
      </c>
      <c r="P1946">
        <v>1.32</v>
      </c>
      <c r="Q1946" s="2" t="b">
        <f>FALSE()</f>
        <v>0</v>
      </c>
      <c r="R1946">
        <v>0</v>
      </c>
    </row>
    <row r="1947" spans="1:18" x14ac:dyDescent="0.25">
      <c r="A1947">
        <v>201946</v>
      </c>
      <c r="B1947">
        <v>53731</v>
      </c>
      <c r="C1947" t="s">
        <v>18</v>
      </c>
      <c r="D1947">
        <v>527.17999999999995</v>
      </c>
      <c r="E1947">
        <v>1324</v>
      </c>
      <c r="F1947">
        <v>2</v>
      </c>
      <c r="G1947">
        <v>5</v>
      </c>
      <c r="H1947">
        <v>0</v>
      </c>
      <c r="I1947" t="s">
        <v>33</v>
      </c>
      <c r="J1947">
        <v>0</v>
      </c>
      <c r="K1947">
        <v>33</v>
      </c>
      <c r="L1947" t="s">
        <v>20</v>
      </c>
      <c r="M1947" t="s">
        <v>29</v>
      </c>
      <c r="N1947" t="s">
        <v>22</v>
      </c>
      <c r="O1947" t="s">
        <v>27</v>
      </c>
      <c r="P1947">
        <v>2.16</v>
      </c>
      <c r="Q1947" s="2" t="b">
        <f>FALSE()</f>
        <v>0</v>
      </c>
      <c r="R1947">
        <v>0</v>
      </c>
    </row>
    <row r="1948" spans="1:18" x14ac:dyDescent="0.25">
      <c r="A1948">
        <v>201947</v>
      </c>
      <c r="B1948">
        <v>54628</v>
      </c>
      <c r="C1948" t="s">
        <v>28</v>
      </c>
      <c r="D1948">
        <v>2039.9</v>
      </c>
      <c r="E1948">
        <v>2457</v>
      </c>
      <c r="F1948">
        <v>1</v>
      </c>
      <c r="G1948">
        <v>4</v>
      </c>
      <c r="H1948">
        <v>0</v>
      </c>
      <c r="I1948" t="s">
        <v>33</v>
      </c>
      <c r="J1948">
        <v>0</v>
      </c>
      <c r="K1948">
        <v>39</v>
      </c>
      <c r="L1948" t="s">
        <v>20</v>
      </c>
      <c r="M1948" t="s">
        <v>21</v>
      </c>
      <c r="N1948" t="s">
        <v>26</v>
      </c>
      <c r="O1948" t="s">
        <v>36</v>
      </c>
      <c r="P1948">
        <v>2.57</v>
      </c>
      <c r="Q1948" s="2" t="b">
        <f>FALSE()</f>
        <v>0</v>
      </c>
      <c r="R1948">
        <v>0</v>
      </c>
    </row>
    <row r="1949" spans="1:18" x14ac:dyDescent="0.25">
      <c r="A1949">
        <v>201948</v>
      </c>
      <c r="B1949">
        <v>52659</v>
      </c>
      <c r="C1949" t="s">
        <v>28</v>
      </c>
      <c r="D1949">
        <v>916.83</v>
      </c>
      <c r="E1949">
        <v>2137</v>
      </c>
      <c r="F1949">
        <v>0</v>
      </c>
      <c r="G1949">
        <v>2</v>
      </c>
      <c r="H1949">
        <v>0</v>
      </c>
      <c r="I1949" t="s">
        <v>19</v>
      </c>
      <c r="J1949">
        <v>0</v>
      </c>
      <c r="K1949">
        <v>23</v>
      </c>
      <c r="L1949" t="s">
        <v>20</v>
      </c>
      <c r="M1949" t="s">
        <v>37</v>
      </c>
      <c r="N1949" t="s">
        <v>30</v>
      </c>
      <c r="O1949" t="s">
        <v>27</v>
      </c>
      <c r="P1949">
        <v>6.97</v>
      </c>
      <c r="Q1949" s="2" t="b">
        <f>FALSE()</f>
        <v>0</v>
      </c>
      <c r="R1949">
        <v>0</v>
      </c>
    </row>
    <row r="1950" spans="1:18" x14ac:dyDescent="0.25">
      <c r="A1950">
        <v>201949</v>
      </c>
      <c r="B1950">
        <v>52189</v>
      </c>
      <c r="C1950" t="s">
        <v>18</v>
      </c>
      <c r="D1950">
        <v>1862.27</v>
      </c>
      <c r="E1950">
        <v>1460</v>
      </c>
      <c r="F1950">
        <v>0</v>
      </c>
      <c r="G1950">
        <v>2</v>
      </c>
      <c r="H1950">
        <v>1</v>
      </c>
      <c r="I1950" t="s">
        <v>33</v>
      </c>
      <c r="J1950">
        <v>0</v>
      </c>
      <c r="K1950">
        <v>33</v>
      </c>
      <c r="L1950" t="s">
        <v>20</v>
      </c>
      <c r="M1950" t="s">
        <v>35</v>
      </c>
      <c r="N1950" t="s">
        <v>26</v>
      </c>
      <c r="O1950" t="s">
        <v>36</v>
      </c>
      <c r="P1950">
        <v>3.44</v>
      </c>
      <c r="Q1950" s="2" t="b">
        <f>FALSE()</f>
        <v>0</v>
      </c>
      <c r="R1950">
        <v>0</v>
      </c>
    </row>
    <row r="1951" spans="1:18" x14ac:dyDescent="0.25">
      <c r="A1951">
        <v>201950</v>
      </c>
      <c r="B1951">
        <v>51950</v>
      </c>
      <c r="C1951" t="s">
        <v>28</v>
      </c>
      <c r="D1951">
        <v>3887.44</v>
      </c>
      <c r="E1951">
        <v>839</v>
      </c>
      <c r="F1951">
        <v>4</v>
      </c>
      <c r="G1951">
        <v>2</v>
      </c>
      <c r="H1951">
        <v>0</v>
      </c>
      <c r="I1951" t="s">
        <v>33</v>
      </c>
      <c r="J1951">
        <v>1</v>
      </c>
      <c r="K1951">
        <v>51</v>
      </c>
      <c r="L1951" t="s">
        <v>20</v>
      </c>
      <c r="M1951" t="s">
        <v>35</v>
      </c>
      <c r="N1951" t="s">
        <v>30</v>
      </c>
      <c r="O1951" t="s">
        <v>27</v>
      </c>
      <c r="P1951">
        <v>2.79</v>
      </c>
      <c r="Q1951" s="2" t="b">
        <f>FALSE()</f>
        <v>0</v>
      </c>
      <c r="R1951">
        <v>1</v>
      </c>
    </row>
    <row r="1952" spans="1:18" x14ac:dyDescent="0.25">
      <c r="A1952">
        <v>201951</v>
      </c>
      <c r="B1952">
        <v>51904</v>
      </c>
      <c r="C1952" t="s">
        <v>28</v>
      </c>
      <c r="D1952">
        <v>5208.2700000000004</v>
      </c>
      <c r="E1952">
        <v>2666</v>
      </c>
      <c r="F1952">
        <v>0</v>
      </c>
      <c r="G1952">
        <v>1</v>
      </c>
      <c r="H1952">
        <v>0</v>
      </c>
      <c r="I1952" t="s">
        <v>33</v>
      </c>
      <c r="J1952">
        <v>0</v>
      </c>
      <c r="K1952">
        <v>71</v>
      </c>
      <c r="L1952" t="s">
        <v>20</v>
      </c>
      <c r="M1952" t="s">
        <v>37</v>
      </c>
      <c r="N1952" t="s">
        <v>22</v>
      </c>
      <c r="O1952" t="s">
        <v>23</v>
      </c>
      <c r="P1952">
        <v>12.33</v>
      </c>
      <c r="Q1952" s="2" t="b">
        <f>FALSE()</f>
        <v>0</v>
      </c>
      <c r="R1952">
        <v>1</v>
      </c>
    </row>
    <row r="1953" spans="1:18" x14ac:dyDescent="0.25">
      <c r="A1953">
        <v>201952</v>
      </c>
      <c r="B1953">
        <v>50026</v>
      </c>
      <c r="C1953" t="s">
        <v>34</v>
      </c>
      <c r="D1953">
        <v>808.02</v>
      </c>
      <c r="E1953">
        <v>865</v>
      </c>
      <c r="F1953">
        <v>0</v>
      </c>
      <c r="G1953">
        <v>4</v>
      </c>
      <c r="H1953">
        <v>1</v>
      </c>
      <c r="I1953" t="s">
        <v>33</v>
      </c>
      <c r="J1953">
        <v>1</v>
      </c>
      <c r="K1953">
        <v>66</v>
      </c>
      <c r="L1953" t="s">
        <v>20</v>
      </c>
      <c r="M1953" t="s">
        <v>37</v>
      </c>
      <c r="N1953" t="s">
        <v>22</v>
      </c>
      <c r="O1953" t="s">
        <v>23</v>
      </c>
      <c r="P1953">
        <v>3.59</v>
      </c>
      <c r="Q1953" s="2" t="b">
        <f>FALSE()</f>
        <v>0</v>
      </c>
      <c r="R1953">
        <v>0</v>
      </c>
    </row>
    <row r="1954" spans="1:18" x14ac:dyDescent="0.25">
      <c r="A1954">
        <v>201953</v>
      </c>
      <c r="B1954">
        <v>55058</v>
      </c>
      <c r="C1954" t="s">
        <v>28</v>
      </c>
      <c r="D1954">
        <v>3477.83</v>
      </c>
      <c r="E1954">
        <v>1151</v>
      </c>
      <c r="F1954">
        <v>1</v>
      </c>
      <c r="G1954">
        <v>4</v>
      </c>
      <c r="H1954">
        <v>0</v>
      </c>
      <c r="I1954" t="s">
        <v>19</v>
      </c>
      <c r="J1954">
        <v>1</v>
      </c>
      <c r="K1954">
        <v>40</v>
      </c>
      <c r="L1954" t="s">
        <v>20</v>
      </c>
      <c r="M1954" t="s">
        <v>37</v>
      </c>
      <c r="N1954" t="s">
        <v>30</v>
      </c>
      <c r="O1954" t="s">
        <v>23</v>
      </c>
      <c r="P1954">
        <v>0.42</v>
      </c>
      <c r="Q1954" s="2" t="b">
        <f>FALSE()</f>
        <v>0</v>
      </c>
      <c r="R1954">
        <v>0</v>
      </c>
    </row>
    <row r="1955" spans="1:18" x14ac:dyDescent="0.25">
      <c r="A1955">
        <v>201954</v>
      </c>
      <c r="B1955">
        <v>54987</v>
      </c>
      <c r="C1955" t="s">
        <v>18</v>
      </c>
      <c r="D1955">
        <v>4743.2299999999996</v>
      </c>
      <c r="E1955">
        <v>452</v>
      </c>
      <c r="F1955">
        <v>2</v>
      </c>
      <c r="G1955">
        <v>3</v>
      </c>
      <c r="H1955">
        <v>0</v>
      </c>
      <c r="I1955" t="s">
        <v>33</v>
      </c>
      <c r="J1955">
        <v>1</v>
      </c>
      <c r="K1955">
        <v>49</v>
      </c>
      <c r="L1955" t="s">
        <v>24</v>
      </c>
      <c r="M1955" t="s">
        <v>21</v>
      </c>
      <c r="N1955" t="s">
        <v>22</v>
      </c>
      <c r="O1955" t="s">
        <v>23</v>
      </c>
      <c r="P1955">
        <v>3.62</v>
      </c>
      <c r="Q1955" s="2" t="b">
        <f>FALSE()</f>
        <v>0</v>
      </c>
      <c r="R1955">
        <v>1</v>
      </c>
    </row>
    <row r="1956" spans="1:18" x14ac:dyDescent="0.25">
      <c r="A1956">
        <v>201955</v>
      </c>
      <c r="B1956">
        <v>54900</v>
      </c>
      <c r="C1956" t="s">
        <v>34</v>
      </c>
      <c r="D1956">
        <v>3605.49</v>
      </c>
      <c r="E1956">
        <v>3168</v>
      </c>
      <c r="F1956">
        <v>1</v>
      </c>
      <c r="G1956">
        <v>6</v>
      </c>
      <c r="H1956">
        <v>1</v>
      </c>
      <c r="I1956" t="s">
        <v>33</v>
      </c>
      <c r="J1956">
        <v>0</v>
      </c>
      <c r="K1956">
        <v>66</v>
      </c>
      <c r="L1956" t="s">
        <v>24</v>
      </c>
      <c r="M1956" t="s">
        <v>25</v>
      </c>
      <c r="N1956" t="s">
        <v>26</v>
      </c>
      <c r="O1956" t="s">
        <v>23</v>
      </c>
      <c r="P1956">
        <v>0.46</v>
      </c>
      <c r="Q1956" s="2" t="b">
        <f>FALSE()</f>
        <v>0</v>
      </c>
      <c r="R1956">
        <v>1</v>
      </c>
    </row>
    <row r="1957" spans="1:18" x14ac:dyDescent="0.25">
      <c r="A1957">
        <v>201956</v>
      </c>
      <c r="B1957">
        <v>54081</v>
      </c>
      <c r="C1957" t="s">
        <v>34</v>
      </c>
      <c r="D1957">
        <v>4453.43</v>
      </c>
      <c r="E1957">
        <v>3604</v>
      </c>
      <c r="F1957">
        <v>1</v>
      </c>
      <c r="G1957">
        <v>5</v>
      </c>
      <c r="H1957">
        <v>0</v>
      </c>
      <c r="I1957" t="s">
        <v>33</v>
      </c>
      <c r="J1957">
        <v>0</v>
      </c>
      <c r="K1957">
        <v>38</v>
      </c>
      <c r="L1957" t="s">
        <v>24</v>
      </c>
      <c r="M1957" t="s">
        <v>37</v>
      </c>
      <c r="N1957" t="s">
        <v>30</v>
      </c>
      <c r="O1957" t="s">
        <v>27</v>
      </c>
      <c r="P1957">
        <v>0.41</v>
      </c>
      <c r="Q1957" s="2" t="b">
        <f>FALSE()</f>
        <v>0</v>
      </c>
      <c r="R1957">
        <v>1</v>
      </c>
    </row>
    <row r="1958" spans="1:18" x14ac:dyDescent="0.25">
      <c r="A1958">
        <v>201957</v>
      </c>
      <c r="B1958">
        <v>50697</v>
      </c>
      <c r="C1958" t="s">
        <v>18</v>
      </c>
      <c r="D1958">
        <v>2975.87</v>
      </c>
      <c r="E1958">
        <v>545</v>
      </c>
      <c r="F1958">
        <v>1</v>
      </c>
      <c r="G1958">
        <v>5</v>
      </c>
      <c r="H1958">
        <v>0</v>
      </c>
      <c r="I1958" t="s">
        <v>19</v>
      </c>
      <c r="J1958">
        <v>0</v>
      </c>
      <c r="K1958">
        <v>47</v>
      </c>
      <c r="L1958" t="s">
        <v>20</v>
      </c>
      <c r="M1958" t="s">
        <v>29</v>
      </c>
      <c r="N1958" t="s">
        <v>30</v>
      </c>
      <c r="O1958" t="s">
        <v>36</v>
      </c>
      <c r="P1958">
        <v>0.98</v>
      </c>
      <c r="Q1958" s="2" t="b">
        <f>FALSE()</f>
        <v>0</v>
      </c>
      <c r="R1958">
        <v>0</v>
      </c>
    </row>
    <row r="1959" spans="1:18" x14ac:dyDescent="0.25">
      <c r="A1959">
        <v>201958</v>
      </c>
      <c r="B1959">
        <v>50404</v>
      </c>
      <c r="C1959" t="s">
        <v>18</v>
      </c>
      <c r="D1959">
        <v>4062.26</v>
      </c>
      <c r="E1959">
        <v>1788</v>
      </c>
      <c r="F1959">
        <v>2</v>
      </c>
      <c r="G1959">
        <v>4</v>
      </c>
      <c r="H1959">
        <v>1</v>
      </c>
      <c r="I1959" t="s">
        <v>32</v>
      </c>
      <c r="J1959">
        <v>0</v>
      </c>
      <c r="K1959">
        <v>50</v>
      </c>
      <c r="L1959" t="s">
        <v>24</v>
      </c>
      <c r="M1959" t="s">
        <v>25</v>
      </c>
      <c r="N1959" t="s">
        <v>22</v>
      </c>
      <c r="O1959" t="s">
        <v>36</v>
      </c>
      <c r="P1959">
        <v>0.23</v>
      </c>
      <c r="Q1959" s="2" t="b">
        <f>FALSE()</f>
        <v>0</v>
      </c>
      <c r="R1959">
        <v>1</v>
      </c>
    </row>
    <row r="1960" spans="1:18" x14ac:dyDescent="0.25">
      <c r="A1960">
        <v>201959</v>
      </c>
      <c r="B1960">
        <v>50653</v>
      </c>
      <c r="C1960" t="s">
        <v>18</v>
      </c>
      <c r="D1960">
        <v>1836.72</v>
      </c>
      <c r="E1960">
        <v>1970</v>
      </c>
      <c r="F1960">
        <v>3</v>
      </c>
      <c r="G1960">
        <v>5</v>
      </c>
      <c r="H1960">
        <v>0</v>
      </c>
      <c r="I1960" t="s">
        <v>33</v>
      </c>
      <c r="J1960">
        <v>0</v>
      </c>
      <c r="K1960">
        <v>78</v>
      </c>
      <c r="L1960" t="s">
        <v>20</v>
      </c>
      <c r="M1960" t="s">
        <v>37</v>
      </c>
      <c r="N1960" t="s">
        <v>22</v>
      </c>
      <c r="O1960" t="s">
        <v>36</v>
      </c>
      <c r="P1960">
        <v>1.1200000000000001</v>
      </c>
      <c r="Q1960" s="2" t="b">
        <f>FALSE()</f>
        <v>0</v>
      </c>
      <c r="R1960">
        <v>1</v>
      </c>
    </row>
    <row r="1961" spans="1:18" x14ac:dyDescent="0.25">
      <c r="A1961">
        <v>201960</v>
      </c>
      <c r="B1961">
        <v>54814</v>
      </c>
      <c r="C1961" t="s">
        <v>34</v>
      </c>
      <c r="D1961">
        <v>706.07</v>
      </c>
      <c r="E1961">
        <v>2652</v>
      </c>
      <c r="F1961">
        <v>2</v>
      </c>
      <c r="G1961">
        <v>3</v>
      </c>
      <c r="H1961">
        <v>0</v>
      </c>
      <c r="I1961" t="s">
        <v>19</v>
      </c>
      <c r="J1961">
        <v>0</v>
      </c>
      <c r="K1961">
        <v>49</v>
      </c>
      <c r="L1961" t="s">
        <v>20</v>
      </c>
      <c r="M1961" t="s">
        <v>21</v>
      </c>
      <c r="N1961" t="s">
        <v>30</v>
      </c>
      <c r="O1961" t="s">
        <v>23</v>
      </c>
      <c r="P1961">
        <v>0.08</v>
      </c>
      <c r="Q1961" s="2" t="b">
        <f>FALSE()</f>
        <v>0</v>
      </c>
      <c r="R1961">
        <v>0</v>
      </c>
    </row>
    <row r="1962" spans="1:18" x14ac:dyDescent="0.25">
      <c r="A1962">
        <v>201961</v>
      </c>
      <c r="B1962">
        <v>51785</v>
      </c>
      <c r="C1962" t="s">
        <v>18</v>
      </c>
      <c r="D1962">
        <v>1826.7</v>
      </c>
      <c r="E1962">
        <v>3229</v>
      </c>
      <c r="F1962">
        <v>2</v>
      </c>
      <c r="G1962">
        <v>7</v>
      </c>
      <c r="H1962">
        <v>0</v>
      </c>
      <c r="I1962" t="s">
        <v>33</v>
      </c>
      <c r="J1962">
        <v>0</v>
      </c>
      <c r="K1962">
        <v>70</v>
      </c>
      <c r="L1962" t="s">
        <v>20</v>
      </c>
      <c r="M1962" t="s">
        <v>37</v>
      </c>
      <c r="N1962" t="s">
        <v>22</v>
      </c>
      <c r="O1962" t="s">
        <v>27</v>
      </c>
      <c r="P1962">
        <v>3.03</v>
      </c>
      <c r="Q1962" s="2" t="b">
        <f>FALSE()</f>
        <v>0</v>
      </c>
      <c r="R1962">
        <v>1</v>
      </c>
    </row>
    <row r="1963" spans="1:18" x14ac:dyDescent="0.25">
      <c r="A1963">
        <v>201962</v>
      </c>
      <c r="B1963">
        <v>53850</v>
      </c>
      <c r="C1963" t="s">
        <v>34</v>
      </c>
      <c r="D1963">
        <v>1498.93</v>
      </c>
      <c r="E1963">
        <v>2335</v>
      </c>
      <c r="F1963">
        <v>0</v>
      </c>
      <c r="G1963">
        <v>5</v>
      </c>
      <c r="H1963">
        <v>1</v>
      </c>
      <c r="I1963" t="s">
        <v>19</v>
      </c>
      <c r="J1963">
        <v>0</v>
      </c>
      <c r="K1963">
        <v>81</v>
      </c>
      <c r="L1963" t="s">
        <v>24</v>
      </c>
      <c r="M1963" t="s">
        <v>25</v>
      </c>
      <c r="N1963" t="s">
        <v>30</v>
      </c>
      <c r="O1963" t="s">
        <v>36</v>
      </c>
      <c r="P1963">
        <v>1.55</v>
      </c>
      <c r="Q1963" s="2" t="b">
        <f>FALSE()</f>
        <v>0</v>
      </c>
      <c r="R1963">
        <v>0</v>
      </c>
    </row>
    <row r="1964" spans="1:18" x14ac:dyDescent="0.25">
      <c r="A1964">
        <v>201963</v>
      </c>
      <c r="B1964">
        <v>53192</v>
      </c>
      <c r="C1964" t="s">
        <v>28</v>
      </c>
      <c r="D1964">
        <v>1800.14</v>
      </c>
      <c r="E1964">
        <v>2631</v>
      </c>
      <c r="F1964">
        <v>3</v>
      </c>
      <c r="G1964">
        <v>8</v>
      </c>
      <c r="H1964">
        <v>0</v>
      </c>
      <c r="I1964" t="s">
        <v>19</v>
      </c>
      <c r="J1964">
        <v>0</v>
      </c>
      <c r="K1964">
        <v>65</v>
      </c>
      <c r="L1964" t="s">
        <v>24</v>
      </c>
      <c r="M1964" t="s">
        <v>25</v>
      </c>
      <c r="N1964" t="s">
        <v>22</v>
      </c>
      <c r="O1964" t="s">
        <v>23</v>
      </c>
      <c r="P1964">
        <v>1.31</v>
      </c>
      <c r="Q1964" s="2" t="b">
        <f>FALSE()</f>
        <v>0</v>
      </c>
      <c r="R1964">
        <v>1</v>
      </c>
    </row>
    <row r="1965" spans="1:18" x14ac:dyDescent="0.25">
      <c r="A1965">
        <v>201964</v>
      </c>
      <c r="B1965">
        <v>52903</v>
      </c>
      <c r="C1965" t="s">
        <v>34</v>
      </c>
      <c r="D1965">
        <v>1023.61</v>
      </c>
      <c r="E1965">
        <v>442</v>
      </c>
      <c r="F1965">
        <v>1</v>
      </c>
      <c r="G1965">
        <v>6</v>
      </c>
      <c r="H1965">
        <v>0</v>
      </c>
      <c r="I1965" t="s">
        <v>32</v>
      </c>
      <c r="J1965">
        <v>0</v>
      </c>
      <c r="K1965">
        <v>66</v>
      </c>
      <c r="L1965" t="s">
        <v>24</v>
      </c>
      <c r="M1965" t="s">
        <v>31</v>
      </c>
      <c r="N1965" t="s">
        <v>26</v>
      </c>
      <c r="O1965" t="s">
        <v>36</v>
      </c>
      <c r="P1965">
        <v>2.98</v>
      </c>
      <c r="Q1965" s="2" t="b">
        <f>FALSE()</f>
        <v>0</v>
      </c>
      <c r="R1965">
        <v>0</v>
      </c>
    </row>
    <row r="1966" spans="1:18" x14ac:dyDescent="0.25">
      <c r="A1966">
        <v>201965</v>
      </c>
      <c r="B1966">
        <v>52907</v>
      </c>
      <c r="C1966" t="s">
        <v>18</v>
      </c>
      <c r="D1966">
        <v>795.48</v>
      </c>
      <c r="E1966">
        <v>3610</v>
      </c>
      <c r="F1966">
        <v>1</v>
      </c>
      <c r="G1966">
        <v>4</v>
      </c>
      <c r="H1966">
        <v>1</v>
      </c>
      <c r="I1966" t="s">
        <v>33</v>
      </c>
      <c r="J1966">
        <v>0</v>
      </c>
      <c r="K1966">
        <v>55</v>
      </c>
      <c r="L1966" t="s">
        <v>24</v>
      </c>
      <c r="M1966" t="s">
        <v>35</v>
      </c>
      <c r="N1966" t="s">
        <v>30</v>
      </c>
      <c r="O1966" t="s">
        <v>27</v>
      </c>
      <c r="P1966">
        <v>0.42</v>
      </c>
      <c r="Q1966" s="2" t="b">
        <f>FALSE()</f>
        <v>0</v>
      </c>
      <c r="R1966">
        <v>0</v>
      </c>
    </row>
    <row r="1967" spans="1:18" x14ac:dyDescent="0.25">
      <c r="A1967">
        <v>201966</v>
      </c>
      <c r="B1967">
        <v>52637</v>
      </c>
      <c r="C1967" t="s">
        <v>18</v>
      </c>
      <c r="D1967">
        <v>6212.38</v>
      </c>
      <c r="E1967">
        <v>890</v>
      </c>
      <c r="F1967">
        <v>2</v>
      </c>
      <c r="G1967">
        <v>5</v>
      </c>
      <c r="H1967">
        <v>0</v>
      </c>
      <c r="I1967" t="s">
        <v>33</v>
      </c>
      <c r="J1967">
        <v>0</v>
      </c>
      <c r="K1967">
        <v>33</v>
      </c>
      <c r="L1967" t="s">
        <v>20</v>
      </c>
      <c r="M1967" t="s">
        <v>25</v>
      </c>
      <c r="N1967" t="s">
        <v>22</v>
      </c>
      <c r="O1967" t="s">
        <v>27</v>
      </c>
      <c r="P1967">
        <v>2.15</v>
      </c>
      <c r="Q1967" s="2" t="b">
        <f>FALSE()</f>
        <v>0</v>
      </c>
      <c r="R1967">
        <v>1</v>
      </c>
    </row>
    <row r="1968" spans="1:18" x14ac:dyDescent="0.25">
      <c r="A1968">
        <v>201967</v>
      </c>
      <c r="B1968">
        <v>50123</v>
      </c>
      <c r="C1968" t="s">
        <v>18</v>
      </c>
      <c r="D1968">
        <v>3757.89</v>
      </c>
      <c r="E1968">
        <v>2291</v>
      </c>
      <c r="F1968">
        <v>0</v>
      </c>
      <c r="G1968">
        <v>3</v>
      </c>
      <c r="H1968">
        <v>1</v>
      </c>
      <c r="I1968" t="s">
        <v>33</v>
      </c>
      <c r="J1968">
        <v>0</v>
      </c>
      <c r="K1968">
        <v>19</v>
      </c>
      <c r="L1968" t="s">
        <v>24</v>
      </c>
      <c r="M1968" t="s">
        <v>25</v>
      </c>
      <c r="N1968" t="s">
        <v>22</v>
      </c>
      <c r="O1968" t="s">
        <v>23</v>
      </c>
      <c r="P1968">
        <v>11.29</v>
      </c>
      <c r="Q1968" s="2" t="b">
        <f>FALSE()</f>
        <v>0</v>
      </c>
      <c r="R1968">
        <v>1</v>
      </c>
    </row>
    <row r="1969" spans="1:18" x14ac:dyDescent="0.25">
      <c r="A1969">
        <v>201968</v>
      </c>
      <c r="B1969">
        <v>53291</v>
      </c>
      <c r="C1969" t="s">
        <v>34</v>
      </c>
      <c r="D1969">
        <v>3387.62</v>
      </c>
      <c r="E1969">
        <v>3469</v>
      </c>
      <c r="F1969">
        <v>1</v>
      </c>
      <c r="G1969">
        <v>9</v>
      </c>
      <c r="H1969">
        <v>0</v>
      </c>
      <c r="I1969" t="s">
        <v>32</v>
      </c>
      <c r="J1969">
        <v>0</v>
      </c>
      <c r="K1969">
        <v>46</v>
      </c>
      <c r="L1969" t="s">
        <v>20</v>
      </c>
      <c r="M1969" t="s">
        <v>25</v>
      </c>
      <c r="N1969" t="s">
        <v>26</v>
      </c>
      <c r="O1969" t="s">
        <v>36</v>
      </c>
      <c r="P1969">
        <v>1.82</v>
      </c>
      <c r="Q1969" s="2" t="b">
        <f>FALSE()</f>
        <v>0</v>
      </c>
      <c r="R1969">
        <v>1</v>
      </c>
    </row>
    <row r="1970" spans="1:18" x14ac:dyDescent="0.25">
      <c r="A1970">
        <v>201969</v>
      </c>
      <c r="B1970">
        <v>52381</v>
      </c>
      <c r="C1970" t="s">
        <v>18</v>
      </c>
      <c r="D1970">
        <v>1116.82</v>
      </c>
      <c r="E1970">
        <v>1398</v>
      </c>
      <c r="F1970">
        <v>4</v>
      </c>
      <c r="G1970">
        <v>1</v>
      </c>
      <c r="H1970">
        <v>1</v>
      </c>
      <c r="I1970" t="s">
        <v>33</v>
      </c>
      <c r="J1970">
        <v>0</v>
      </c>
      <c r="K1970">
        <v>41</v>
      </c>
      <c r="L1970" t="s">
        <v>24</v>
      </c>
      <c r="M1970" t="s">
        <v>29</v>
      </c>
      <c r="N1970" t="s">
        <v>30</v>
      </c>
      <c r="O1970" t="s">
        <v>27</v>
      </c>
      <c r="P1970">
        <v>7.36</v>
      </c>
      <c r="Q1970" s="2" t="b">
        <f>FALSE()</f>
        <v>0</v>
      </c>
      <c r="R1970">
        <v>1</v>
      </c>
    </row>
    <row r="1971" spans="1:18" x14ac:dyDescent="0.25">
      <c r="A1971">
        <v>201970</v>
      </c>
      <c r="B1971">
        <v>52599</v>
      </c>
      <c r="C1971" t="s">
        <v>18</v>
      </c>
      <c r="D1971">
        <v>1301.23</v>
      </c>
      <c r="E1971">
        <v>1182</v>
      </c>
      <c r="F1971">
        <v>1</v>
      </c>
      <c r="G1971">
        <v>6</v>
      </c>
      <c r="H1971">
        <v>0</v>
      </c>
      <c r="I1971" t="s">
        <v>19</v>
      </c>
      <c r="J1971">
        <v>0</v>
      </c>
      <c r="K1971">
        <v>83</v>
      </c>
      <c r="L1971" t="s">
        <v>24</v>
      </c>
      <c r="M1971" t="s">
        <v>29</v>
      </c>
      <c r="N1971" t="s">
        <v>26</v>
      </c>
      <c r="O1971" t="s">
        <v>36</v>
      </c>
      <c r="P1971">
        <v>0.4</v>
      </c>
      <c r="Q1971" s="2" t="b">
        <f>FALSE()</f>
        <v>0</v>
      </c>
      <c r="R1971">
        <v>0</v>
      </c>
    </row>
    <row r="1972" spans="1:18" x14ac:dyDescent="0.25">
      <c r="A1972">
        <v>201971</v>
      </c>
      <c r="B1972">
        <v>50412</v>
      </c>
      <c r="C1972" t="s">
        <v>28</v>
      </c>
      <c r="D1972">
        <v>2860.88</v>
      </c>
      <c r="E1972">
        <v>619</v>
      </c>
      <c r="F1972">
        <v>0</v>
      </c>
      <c r="G1972">
        <v>2</v>
      </c>
      <c r="H1972">
        <v>0</v>
      </c>
      <c r="I1972" t="s">
        <v>33</v>
      </c>
      <c r="J1972">
        <v>0</v>
      </c>
      <c r="K1972">
        <v>39</v>
      </c>
      <c r="L1972" t="s">
        <v>20</v>
      </c>
      <c r="M1972" t="s">
        <v>25</v>
      </c>
      <c r="N1972" t="s">
        <v>26</v>
      </c>
      <c r="O1972" t="s">
        <v>27</v>
      </c>
      <c r="P1972">
        <v>0.4</v>
      </c>
      <c r="Q1972" s="2" t="b">
        <f>FALSE()</f>
        <v>0</v>
      </c>
      <c r="R1972">
        <v>0</v>
      </c>
    </row>
    <row r="1973" spans="1:18" x14ac:dyDescent="0.25">
      <c r="A1973">
        <v>201972</v>
      </c>
      <c r="B1973">
        <v>50516</v>
      </c>
      <c r="C1973" t="s">
        <v>34</v>
      </c>
      <c r="D1973">
        <v>3624.83</v>
      </c>
      <c r="E1973">
        <v>1089</v>
      </c>
      <c r="F1973">
        <v>2</v>
      </c>
      <c r="G1973">
        <v>3</v>
      </c>
      <c r="H1973">
        <v>0</v>
      </c>
      <c r="I1973" t="s">
        <v>33</v>
      </c>
      <c r="J1973">
        <v>0</v>
      </c>
      <c r="K1973">
        <v>31</v>
      </c>
      <c r="L1973" t="s">
        <v>24</v>
      </c>
      <c r="M1973" t="s">
        <v>37</v>
      </c>
      <c r="N1973" t="s">
        <v>30</v>
      </c>
      <c r="O1973" t="s">
        <v>23</v>
      </c>
      <c r="P1973">
        <v>1.47</v>
      </c>
      <c r="Q1973" s="2" t="b">
        <f>FALSE()</f>
        <v>0</v>
      </c>
      <c r="R1973">
        <v>1</v>
      </c>
    </row>
    <row r="1974" spans="1:18" x14ac:dyDescent="0.25">
      <c r="A1974">
        <v>201973</v>
      </c>
      <c r="B1974">
        <v>52689</v>
      </c>
      <c r="C1974" t="s">
        <v>28</v>
      </c>
      <c r="D1974">
        <v>1508.69</v>
      </c>
      <c r="E1974">
        <v>2811</v>
      </c>
      <c r="F1974">
        <v>1</v>
      </c>
      <c r="G1974">
        <v>3</v>
      </c>
      <c r="H1974">
        <v>0</v>
      </c>
      <c r="I1974" t="s">
        <v>33</v>
      </c>
      <c r="J1974">
        <v>0</v>
      </c>
      <c r="K1974">
        <v>57</v>
      </c>
      <c r="L1974" t="s">
        <v>24</v>
      </c>
      <c r="M1974" t="s">
        <v>21</v>
      </c>
      <c r="N1974" t="s">
        <v>30</v>
      </c>
      <c r="O1974" t="s">
        <v>36</v>
      </c>
      <c r="P1974">
        <v>2.66</v>
      </c>
      <c r="Q1974" s="2" t="b">
        <f>FALSE()</f>
        <v>0</v>
      </c>
      <c r="R1974">
        <v>0</v>
      </c>
    </row>
    <row r="1975" spans="1:18" x14ac:dyDescent="0.25">
      <c r="A1975">
        <v>201974</v>
      </c>
      <c r="B1975">
        <v>52255</v>
      </c>
      <c r="C1975" t="s">
        <v>18</v>
      </c>
      <c r="D1975">
        <v>1049.47</v>
      </c>
      <c r="E1975">
        <v>3614</v>
      </c>
      <c r="F1975">
        <v>2</v>
      </c>
      <c r="G1975">
        <v>4</v>
      </c>
      <c r="H1975">
        <v>0</v>
      </c>
      <c r="I1975" t="s">
        <v>33</v>
      </c>
      <c r="J1975">
        <v>0</v>
      </c>
      <c r="K1975">
        <v>69</v>
      </c>
      <c r="L1975" t="s">
        <v>20</v>
      </c>
      <c r="M1975" t="s">
        <v>31</v>
      </c>
      <c r="N1975" t="s">
        <v>22</v>
      </c>
      <c r="O1975" t="s">
        <v>36</v>
      </c>
      <c r="P1975">
        <v>2.19</v>
      </c>
      <c r="Q1975" s="2" t="b">
        <f>FALSE()</f>
        <v>0</v>
      </c>
      <c r="R1975">
        <v>0</v>
      </c>
    </row>
    <row r="1976" spans="1:18" x14ac:dyDescent="0.25">
      <c r="A1976">
        <v>201975</v>
      </c>
      <c r="B1976">
        <v>52079</v>
      </c>
      <c r="C1976" t="s">
        <v>34</v>
      </c>
      <c r="D1976">
        <v>5680.52</v>
      </c>
      <c r="E1976">
        <v>3330</v>
      </c>
      <c r="F1976">
        <v>2</v>
      </c>
      <c r="G1976">
        <v>5</v>
      </c>
      <c r="H1976">
        <v>1</v>
      </c>
      <c r="I1976" t="s">
        <v>33</v>
      </c>
      <c r="J1976">
        <v>1</v>
      </c>
      <c r="K1976">
        <v>42</v>
      </c>
      <c r="L1976" t="s">
        <v>20</v>
      </c>
      <c r="M1976" t="s">
        <v>29</v>
      </c>
      <c r="N1976" t="s">
        <v>22</v>
      </c>
      <c r="O1976" t="s">
        <v>23</v>
      </c>
      <c r="P1976">
        <v>4.4800000000000004</v>
      </c>
      <c r="Q1976" s="2" t="b">
        <f>FALSE()</f>
        <v>0</v>
      </c>
      <c r="R1976">
        <v>1</v>
      </c>
    </row>
    <row r="1977" spans="1:18" x14ac:dyDescent="0.25">
      <c r="A1977">
        <v>201976</v>
      </c>
      <c r="B1977">
        <v>50903</v>
      </c>
      <c r="C1977" t="s">
        <v>18</v>
      </c>
      <c r="D1977">
        <v>3539.35</v>
      </c>
      <c r="E1977">
        <v>1030</v>
      </c>
      <c r="F1977">
        <v>0</v>
      </c>
      <c r="G1977">
        <v>9</v>
      </c>
      <c r="H1977">
        <v>0</v>
      </c>
      <c r="I1977" t="s">
        <v>33</v>
      </c>
      <c r="J1977">
        <v>0</v>
      </c>
      <c r="K1977">
        <v>22</v>
      </c>
      <c r="L1977" t="s">
        <v>24</v>
      </c>
      <c r="M1977" t="s">
        <v>21</v>
      </c>
      <c r="N1977" t="s">
        <v>30</v>
      </c>
      <c r="O1977" t="s">
        <v>27</v>
      </c>
      <c r="P1977">
        <v>1.69</v>
      </c>
      <c r="Q1977" s="2" t="b">
        <f>FALSE()</f>
        <v>0</v>
      </c>
      <c r="R1977">
        <v>1</v>
      </c>
    </row>
    <row r="1978" spans="1:18" x14ac:dyDescent="0.25">
      <c r="A1978">
        <v>201977</v>
      </c>
      <c r="B1978">
        <v>50050</v>
      </c>
      <c r="C1978" t="s">
        <v>34</v>
      </c>
      <c r="D1978">
        <v>4038.35</v>
      </c>
      <c r="E1978">
        <v>3155</v>
      </c>
      <c r="F1978">
        <v>1</v>
      </c>
      <c r="G1978">
        <v>4</v>
      </c>
      <c r="H1978">
        <v>0</v>
      </c>
      <c r="I1978" t="s">
        <v>33</v>
      </c>
      <c r="J1978">
        <v>0</v>
      </c>
      <c r="K1978">
        <v>44</v>
      </c>
      <c r="L1978" t="s">
        <v>20</v>
      </c>
      <c r="M1978" t="s">
        <v>29</v>
      </c>
      <c r="N1978" t="s">
        <v>22</v>
      </c>
      <c r="O1978" t="s">
        <v>27</v>
      </c>
      <c r="P1978">
        <v>4.7300000000000004</v>
      </c>
      <c r="Q1978" s="2" t="b">
        <f>FALSE()</f>
        <v>0</v>
      </c>
      <c r="R1978">
        <v>1</v>
      </c>
    </row>
    <row r="1979" spans="1:18" x14ac:dyDescent="0.25">
      <c r="A1979">
        <v>201978</v>
      </c>
      <c r="B1979">
        <v>52230</v>
      </c>
      <c r="C1979" t="s">
        <v>18</v>
      </c>
      <c r="D1979">
        <v>131.29</v>
      </c>
      <c r="E1979">
        <v>454</v>
      </c>
      <c r="F1979">
        <v>1</v>
      </c>
      <c r="G1979">
        <v>5</v>
      </c>
      <c r="H1979">
        <v>0</v>
      </c>
      <c r="I1979" t="s">
        <v>19</v>
      </c>
      <c r="J1979">
        <v>0</v>
      </c>
      <c r="K1979">
        <v>21</v>
      </c>
      <c r="L1979" t="s">
        <v>24</v>
      </c>
      <c r="M1979" t="s">
        <v>37</v>
      </c>
      <c r="N1979" t="s">
        <v>26</v>
      </c>
      <c r="O1979" t="s">
        <v>27</v>
      </c>
      <c r="P1979">
        <v>1.73</v>
      </c>
      <c r="Q1979" s="2" t="b">
        <f>FALSE()</f>
        <v>0</v>
      </c>
      <c r="R1979">
        <v>0</v>
      </c>
    </row>
    <row r="1980" spans="1:18" x14ac:dyDescent="0.25">
      <c r="A1980">
        <v>201979</v>
      </c>
      <c r="B1980">
        <v>55109</v>
      </c>
      <c r="C1980" t="s">
        <v>34</v>
      </c>
      <c r="D1980">
        <v>3231.5</v>
      </c>
      <c r="E1980">
        <v>43</v>
      </c>
      <c r="F1980">
        <v>0</v>
      </c>
      <c r="G1980">
        <v>3</v>
      </c>
      <c r="H1980">
        <v>1</v>
      </c>
      <c r="I1980" t="s">
        <v>33</v>
      </c>
      <c r="J1980">
        <v>0</v>
      </c>
      <c r="K1980">
        <v>41</v>
      </c>
      <c r="L1980" t="s">
        <v>24</v>
      </c>
      <c r="M1980" t="s">
        <v>35</v>
      </c>
      <c r="N1980" t="s">
        <v>22</v>
      </c>
      <c r="O1980" t="s">
        <v>36</v>
      </c>
      <c r="P1980">
        <v>0.54</v>
      </c>
      <c r="Q1980" s="2" t="b">
        <f>FALSE()</f>
        <v>0</v>
      </c>
      <c r="R1980">
        <v>0</v>
      </c>
    </row>
    <row r="1981" spans="1:18" x14ac:dyDescent="0.25">
      <c r="A1981">
        <v>201980</v>
      </c>
      <c r="B1981">
        <v>52486</v>
      </c>
      <c r="C1981" t="s">
        <v>18</v>
      </c>
      <c r="D1981">
        <v>1256.3699999999999</v>
      </c>
      <c r="E1981">
        <v>2763</v>
      </c>
      <c r="F1981">
        <v>1</v>
      </c>
      <c r="G1981">
        <v>4</v>
      </c>
      <c r="H1981">
        <v>0</v>
      </c>
      <c r="I1981" t="s">
        <v>33</v>
      </c>
      <c r="J1981">
        <v>0</v>
      </c>
      <c r="K1981">
        <v>27</v>
      </c>
      <c r="L1981" t="s">
        <v>20</v>
      </c>
      <c r="M1981" t="s">
        <v>25</v>
      </c>
      <c r="N1981" t="s">
        <v>26</v>
      </c>
      <c r="O1981" t="s">
        <v>36</v>
      </c>
      <c r="P1981">
        <v>0.83</v>
      </c>
      <c r="Q1981" s="2" t="b">
        <f>FALSE()</f>
        <v>0</v>
      </c>
      <c r="R1981">
        <v>0</v>
      </c>
    </row>
    <row r="1982" spans="1:18" x14ac:dyDescent="0.25">
      <c r="A1982">
        <v>201981</v>
      </c>
      <c r="B1982">
        <v>51810</v>
      </c>
      <c r="C1982" t="s">
        <v>34</v>
      </c>
      <c r="D1982">
        <v>2537.6799999999998</v>
      </c>
      <c r="E1982">
        <v>1291</v>
      </c>
      <c r="F1982">
        <v>1</v>
      </c>
      <c r="G1982">
        <v>7</v>
      </c>
      <c r="H1982">
        <v>0</v>
      </c>
      <c r="I1982" t="s">
        <v>19</v>
      </c>
      <c r="J1982">
        <v>0</v>
      </c>
      <c r="K1982">
        <v>61</v>
      </c>
      <c r="L1982" t="s">
        <v>24</v>
      </c>
      <c r="M1982" t="s">
        <v>31</v>
      </c>
      <c r="N1982" t="s">
        <v>22</v>
      </c>
      <c r="O1982" t="s">
        <v>36</v>
      </c>
      <c r="P1982">
        <v>10.39</v>
      </c>
      <c r="Q1982" s="2" t="b">
        <f>FALSE()</f>
        <v>0</v>
      </c>
      <c r="R1982">
        <v>1</v>
      </c>
    </row>
    <row r="1983" spans="1:18" x14ac:dyDescent="0.25">
      <c r="A1983">
        <v>201982</v>
      </c>
      <c r="B1983">
        <v>52490</v>
      </c>
      <c r="C1983" t="s">
        <v>28</v>
      </c>
      <c r="D1983">
        <v>3328.23</v>
      </c>
      <c r="E1983">
        <v>1500</v>
      </c>
      <c r="F1983">
        <v>0</v>
      </c>
      <c r="G1983">
        <v>3</v>
      </c>
      <c r="H1983">
        <v>1</v>
      </c>
      <c r="I1983" t="s">
        <v>33</v>
      </c>
      <c r="J1983">
        <v>0</v>
      </c>
      <c r="K1983">
        <v>64</v>
      </c>
      <c r="L1983" t="s">
        <v>20</v>
      </c>
      <c r="M1983" t="s">
        <v>25</v>
      </c>
      <c r="N1983" t="s">
        <v>26</v>
      </c>
      <c r="O1983" t="s">
        <v>27</v>
      </c>
      <c r="P1983">
        <v>0.48</v>
      </c>
      <c r="Q1983" s="2" t="b">
        <f>FALSE()</f>
        <v>0</v>
      </c>
      <c r="R1983">
        <v>0</v>
      </c>
    </row>
    <row r="1984" spans="1:18" x14ac:dyDescent="0.25">
      <c r="A1984">
        <v>201983</v>
      </c>
      <c r="B1984">
        <v>53919</v>
      </c>
      <c r="C1984" t="s">
        <v>34</v>
      </c>
      <c r="D1984">
        <v>574.04</v>
      </c>
      <c r="E1984">
        <v>2074</v>
      </c>
      <c r="F1984">
        <v>1</v>
      </c>
      <c r="G1984">
        <v>3</v>
      </c>
      <c r="H1984">
        <v>0</v>
      </c>
      <c r="I1984" t="s">
        <v>33</v>
      </c>
      <c r="J1984">
        <v>0</v>
      </c>
      <c r="K1984">
        <v>81</v>
      </c>
      <c r="L1984" t="s">
        <v>24</v>
      </c>
      <c r="M1984" t="s">
        <v>29</v>
      </c>
      <c r="N1984" t="s">
        <v>22</v>
      </c>
      <c r="O1984" t="s">
        <v>23</v>
      </c>
      <c r="P1984">
        <v>0.18</v>
      </c>
      <c r="Q1984" s="2" t="b">
        <f>FALSE()</f>
        <v>0</v>
      </c>
      <c r="R1984">
        <v>0</v>
      </c>
    </row>
    <row r="1985" spans="1:18" x14ac:dyDescent="0.25">
      <c r="A1985">
        <v>201984</v>
      </c>
      <c r="B1985">
        <v>50421</v>
      </c>
      <c r="C1985" t="s">
        <v>18</v>
      </c>
      <c r="D1985">
        <v>5538.69</v>
      </c>
      <c r="E1985">
        <v>511</v>
      </c>
      <c r="F1985">
        <v>1</v>
      </c>
      <c r="G1985">
        <v>6</v>
      </c>
      <c r="H1985">
        <v>0</v>
      </c>
      <c r="I1985" t="s">
        <v>19</v>
      </c>
      <c r="J1985">
        <v>1</v>
      </c>
      <c r="K1985">
        <v>48</v>
      </c>
      <c r="L1985" t="s">
        <v>24</v>
      </c>
      <c r="M1985" t="s">
        <v>35</v>
      </c>
      <c r="N1985" t="s">
        <v>30</v>
      </c>
      <c r="O1985" t="s">
        <v>27</v>
      </c>
      <c r="P1985">
        <v>9.02</v>
      </c>
      <c r="Q1985" s="2" t="b">
        <f>FALSE()</f>
        <v>0</v>
      </c>
      <c r="R1985">
        <v>1</v>
      </c>
    </row>
    <row r="1986" spans="1:18" x14ac:dyDescent="0.25">
      <c r="A1986">
        <v>201985</v>
      </c>
      <c r="B1986">
        <v>54903</v>
      </c>
      <c r="C1986" t="s">
        <v>28</v>
      </c>
      <c r="D1986">
        <v>3274.53</v>
      </c>
      <c r="E1986">
        <v>2433</v>
      </c>
      <c r="F1986">
        <v>0</v>
      </c>
      <c r="G1986">
        <v>2</v>
      </c>
      <c r="H1986">
        <v>0</v>
      </c>
      <c r="I1986" t="s">
        <v>19</v>
      </c>
      <c r="J1986">
        <v>0</v>
      </c>
      <c r="K1986">
        <v>57</v>
      </c>
      <c r="L1986" t="s">
        <v>24</v>
      </c>
      <c r="M1986" t="s">
        <v>31</v>
      </c>
      <c r="N1986" t="s">
        <v>26</v>
      </c>
      <c r="O1986" t="s">
        <v>36</v>
      </c>
      <c r="P1986">
        <v>3.32</v>
      </c>
      <c r="Q1986" s="2" t="b">
        <f>FALSE()</f>
        <v>0</v>
      </c>
      <c r="R1986">
        <v>0</v>
      </c>
    </row>
    <row r="1987" spans="1:18" x14ac:dyDescent="0.25">
      <c r="A1987">
        <v>201986</v>
      </c>
      <c r="B1987">
        <v>52564</v>
      </c>
      <c r="C1987" t="s">
        <v>34</v>
      </c>
      <c r="D1987">
        <v>4029.16</v>
      </c>
      <c r="E1987">
        <v>636</v>
      </c>
      <c r="F1987">
        <v>0</v>
      </c>
      <c r="G1987">
        <v>4</v>
      </c>
      <c r="H1987">
        <v>0</v>
      </c>
      <c r="I1987" t="s">
        <v>19</v>
      </c>
      <c r="J1987">
        <v>0</v>
      </c>
      <c r="K1987">
        <v>62</v>
      </c>
      <c r="L1987" t="s">
        <v>20</v>
      </c>
      <c r="M1987" t="s">
        <v>37</v>
      </c>
      <c r="N1987" t="s">
        <v>30</v>
      </c>
      <c r="O1987" t="s">
        <v>23</v>
      </c>
      <c r="P1987">
        <v>0.19</v>
      </c>
      <c r="Q1987" s="2" t="b">
        <f>FALSE()</f>
        <v>0</v>
      </c>
      <c r="R1987">
        <v>1</v>
      </c>
    </row>
    <row r="1988" spans="1:18" x14ac:dyDescent="0.25">
      <c r="A1988">
        <v>201987</v>
      </c>
      <c r="B1988">
        <v>51357</v>
      </c>
      <c r="C1988" t="s">
        <v>34</v>
      </c>
      <c r="D1988">
        <v>2897.93</v>
      </c>
      <c r="E1988">
        <v>2737</v>
      </c>
      <c r="F1988">
        <v>4</v>
      </c>
      <c r="G1988">
        <v>5</v>
      </c>
      <c r="H1988">
        <v>0</v>
      </c>
      <c r="I1988" t="s">
        <v>33</v>
      </c>
      <c r="J1988">
        <v>0</v>
      </c>
      <c r="K1988">
        <v>36</v>
      </c>
      <c r="L1988" t="s">
        <v>24</v>
      </c>
      <c r="M1988" t="s">
        <v>35</v>
      </c>
      <c r="N1988" t="s">
        <v>22</v>
      </c>
      <c r="O1988" t="s">
        <v>27</v>
      </c>
      <c r="P1988">
        <v>1.72</v>
      </c>
      <c r="Q1988" s="2" t="b">
        <f>FALSE()</f>
        <v>0</v>
      </c>
      <c r="R1988">
        <v>1</v>
      </c>
    </row>
    <row r="1989" spans="1:18" x14ac:dyDescent="0.25">
      <c r="A1989">
        <v>201988</v>
      </c>
      <c r="B1989">
        <v>51606</v>
      </c>
      <c r="C1989" t="s">
        <v>28</v>
      </c>
      <c r="D1989">
        <v>1083.92</v>
      </c>
      <c r="E1989">
        <v>1074</v>
      </c>
      <c r="F1989">
        <v>2</v>
      </c>
      <c r="G1989">
        <v>3</v>
      </c>
      <c r="H1989">
        <v>0</v>
      </c>
      <c r="I1989" t="s">
        <v>33</v>
      </c>
      <c r="J1989">
        <v>0</v>
      </c>
      <c r="K1989">
        <v>21</v>
      </c>
      <c r="L1989" t="s">
        <v>20</v>
      </c>
      <c r="M1989" t="s">
        <v>31</v>
      </c>
      <c r="N1989" t="s">
        <v>26</v>
      </c>
      <c r="O1989" t="s">
        <v>27</v>
      </c>
      <c r="P1989">
        <v>0.11</v>
      </c>
      <c r="Q1989" s="2" t="b">
        <f>FALSE()</f>
        <v>0</v>
      </c>
      <c r="R1989">
        <v>0</v>
      </c>
    </row>
    <row r="1990" spans="1:18" x14ac:dyDescent="0.25">
      <c r="A1990">
        <v>201989</v>
      </c>
      <c r="B1990">
        <v>55899</v>
      </c>
      <c r="C1990" t="s">
        <v>34</v>
      </c>
      <c r="D1990">
        <v>5032.58</v>
      </c>
      <c r="E1990">
        <v>1422</v>
      </c>
      <c r="F1990">
        <v>1</v>
      </c>
      <c r="G1990">
        <v>2</v>
      </c>
      <c r="H1990">
        <v>0</v>
      </c>
      <c r="I1990" t="s">
        <v>33</v>
      </c>
      <c r="J1990">
        <v>0</v>
      </c>
      <c r="K1990">
        <v>39</v>
      </c>
      <c r="L1990" t="s">
        <v>20</v>
      </c>
      <c r="M1990" t="s">
        <v>37</v>
      </c>
      <c r="N1990" t="s">
        <v>30</v>
      </c>
      <c r="O1990" t="s">
        <v>36</v>
      </c>
      <c r="P1990">
        <v>1.34</v>
      </c>
      <c r="Q1990" s="2" t="b">
        <f>FALSE()</f>
        <v>0</v>
      </c>
      <c r="R1990">
        <v>1</v>
      </c>
    </row>
    <row r="1991" spans="1:18" x14ac:dyDescent="0.25">
      <c r="A1991">
        <v>201990</v>
      </c>
      <c r="B1991">
        <v>51654</v>
      </c>
      <c r="C1991" t="s">
        <v>34</v>
      </c>
      <c r="D1991">
        <v>1108.19</v>
      </c>
      <c r="E1991">
        <v>177</v>
      </c>
      <c r="F1991">
        <v>0</v>
      </c>
      <c r="G1991">
        <v>4</v>
      </c>
      <c r="H1991">
        <v>0</v>
      </c>
      <c r="I1991" t="s">
        <v>33</v>
      </c>
      <c r="J1991">
        <v>0</v>
      </c>
      <c r="K1991">
        <v>38</v>
      </c>
      <c r="L1991" t="s">
        <v>20</v>
      </c>
      <c r="M1991" t="s">
        <v>25</v>
      </c>
      <c r="N1991" t="s">
        <v>30</v>
      </c>
      <c r="O1991" t="s">
        <v>27</v>
      </c>
      <c r="P1991">
        <v>10.69</v>
      </c>
      <c r="Q1991" s="2" t="b">
        <f>FALSE()</f>
        <v>0</v>
      </c>
      <c r="R1991">
        <v>0</v>
      </c>
    </row>
    <row r="1992" spans="1:18" x14ac:dyDescent="0.25">
      <c r="A1992">
        <v>201991</v>
      </c>
      <c r="B1992">
        <v>51128</v>
      </c>
      <c r="C1992" t="s">
        <v>18</v>
      </c>
      <c r="D1992">
        <v>835.02</v>
      </c>
      <c r="E1992">
        <v>1094</v>
      </c>
      <c r="F1992">
        <v>1</v>
      </c>
      <c r="G1992">
        <v>1</v>
      </c>
      <c r="H1992">
        <v>0</v>
      </c>
      <c r="I1992" t="s">
        <v>19</v>
      </c>
      <c r="J1992">
        <v>0</v>
      </c>
      <c r="K1992">
        <v>49</v>
      </c>
      <c r="L1992" t="s">
        <v>20</v>
      </c>
      <c r="M1992" t="s">
        <v>35</v>
      </c>
      <c r="N1992" t="s">
        <v>30</v>
      </c>
      <c r="O1992" t="s">
        <v>27</v>
      </c>
      <c r="P1992">
        <v>0.84</v>
      </c>
      <c r="Q1992" s="2" t="b">
        <f>FALSE()</f>
        <v>0</v>
      </c>
      <c r="R1992">
        <v>0</v>
      </c>
    </row>
    <row r="1993" spans="1:18" x14ac:dyDescent="0.25">
      <c r="A1993">
        <v>201992</v>
      </c>
      <c r="B1993">
        <v>55183</v>
      </c>
      <c r="C1993" t="s">
        <v>34</v>
      </c>
      <c r="D1993">
        <v>824.52</v>
      </c>
      <c r="E1993">
        <v>831</v>
      </c>
      <c r="F1993">
        <v>1</v>
      </c>
      <c r="G1993">
        <v>3</v>
      </c>
      <c r="H1993">
        <v>0</v>
      </c>
      <c r="I1993" t="s">
        <v>32</v>
      </c>
      <c r="J1993">
        <v>0</v>
      </c>
      <c r="K1993">
        <v>61</v>
      </c>
      <c r="L1993" t="s">
        <v>20</v>
      </c>
      <c r="M1993" t="s">
        <v>35</v>
      </c>
      <c r="N1993" t="s">
        <v>30</v>
      </c>
      <c r="O1993" t="s">
        <v>27</v>
      </c>
      <c r="P1993">
        <v>0.78</v>
      </c>
      <c r="Q1993" s="2" t="b">
        <f>FALSE()</f>
        <v>0</v>
      </c>
      <c r="R1993">
        <v>0</v>
      </c>
    </row>
    <row r="1994" spans="1:18" x14ac:dyDescent="0.25">
      <c r="A1994">
        <v>201993</v>
      </c>
      <c r="B1994">
        <v>50440</v>
      </c>
      <c r="C1994" t="s">
        <v>34</v>
      </c>
      <c r="D1994">
        <v>2532.5500000000002</v>
      </c>
      <c r="E1994">
        <v>177</v>
      </c>
      <c r="F1994">
        <v>1</v>
      </c>
      <c r="G1994">
        <v>4</v>
      </c>
      <c r="H1994">
        <v>0</v>
      </c>
      <c r="I1994" t="s">
        <v>32</v>
      </c>
      <c r="J1994">
        <v>0</v>
      </c>
      <c r="K1994">
        <v>54</v>
      </c>
      <c r="L1994" t="s">
        <v>20</v>
      </c>
      <c r="M1994" t="s">
        <v>21</v>
      </c>
      <c r="N1994" t="s">
        <v>22</v>
      </c>
      <c r="O1994" t="s">
        <v>27</v>
      </c>
      <c r="P1994">
        <v>0.45</v>
      </c>
      <c r="Q1994" s="2" t="b">
        <f>FALSE()</f>
        <v>0</v>
      </c>
      <c r="R1994">
        <v>0</v>
      </c>
    </row>
    <row r="1995" spans="1:18" x14ac:dyDescent="0.25">
      <c r="A1995">
        <v>201994</v>
      </c>
      <c r="B1995">
        <v>54369</v>
      </c>
      <c r="C1995" t="s">
        <v>18</v>
      </c>
      <c r="D1995">
        <v>2374.23</v>
      </c>
      <c r="E1995">
        <v>1838</v>
      </c>
      <c r="F1995">
        <v>2</v>
      </c>
      <c r="G1995">
        <v>8</v>
      </c>
      <c r="H1995">
        <v>0</v>
      </c>
      <c r="I1995" t="s">
        <v>19</v>
      </c>
      <c r="J1995">
        <v>0</v>
      </c>
      <c r="K1995">
        <v>36</v>
      </c>
      <c r="L1995" t="s">
        <v>24</v>
      </c>
      <c r="M1995" t="s">
        <v>31</v>
      </c>
      <c r="N1995" t="s">
        <v>22</v>
      </c>
      <c r="O1995" t="s">
        <v>36</v>
      </c>
      <c r="P1995">
        <v>7.38</v>
      </c>
      <c r="Q1995" s="2" t="b">
        <f>FALSE()</f>
        <v>0</v>
      </c>
      <c r="R1995">
        <v>1</v>
      </c>
    </row>
    <row r="1996" spans="1:18" x14ac:dyDescent="0.25">
      <c r="A1996">
        <v>201995</v>
      </c>
      <c r="B1996">
        <v>55518</v>
      </c>
      <c r="C1996" t="s">
        <v>18</v>
      </c>
      <c r="D1996">
        <v>2421.89</v>
      </c>
      <c r="E1996">
        <v>246</v>
      </c>
      <c r="F1996">
        <v>1</v>
      </c>
      <c r="G1996">
        <v>3</v>
      </c>
      <c r="H1996">
        <v>1</v>
      </c>
      <c r="I1996" t="s">
        <v>19</v>
      </c>
      <c r="J1996">
        <v>0</v>
      </c>
      <c r="K1996">
        <v>82</v>
      </c>
      <c r="L1996" t="s">
        <v>20</v>
      </c>
      <c r="M1996" t="s">
        <v>37</v>
      </c>
      <c r="N1996" t="s">
        <v>22</v>
      </c>
      <c r="O1996" t="s">
        <v>27</v>
      </c>
      <c r="P1996">
        <v>12.83</v>
      </c>
      <c r="Q1996" s="2" t="b">
        <f>FALSE()</f>
        <v>0</v>
      </c>
      <c r="R1996">
        <v>0</v>
      </c>
    </row>
    <row r="1997" spans="1:18" x14ac:dyDescent="0.25">
      <c r="A1997">
        <v>201996</v>
      </c>
      <c r="B1997">
        <v>53672</v>
      </c>
      <c r="C1997" t="s">
        <v>34</v>
      </c>
      <c r="D1997">
        <v>6001.3</v>
      </c>
      <c r="E1997">
        <v>1412</v>
      </c>
      <c r="F1997">
        <v>0</v>
      </c>
      <c r="G1997">
        <v>6</v>
      </c>
      <c r="H1997">
        <v>0</v>
      </c>
      <c r="I1997" t="s">
        <v>19</v>
      </c>
      <c r="J1997">
        <v>0</v>
      </c>
      <c r="K1997">
        <v>69</v>
      </c>
      <c r="L1997" t="s">
        <v>20</v>
      </c>
      <c r="M1997" t="s">
        <v>31</v>
      </c>
      <c r="N1997" t="s">
        <v>30</v>
      </c>
      <c r="O1997" t="s">
        <v>36</v>
      </c>
      <c r="P1997">
        <v>0.24</v>
      </c>
      <c r="Q1997" s="2" t="b">
        <f>FALSE()</f>
        <v>0</v>
      </c>
      <c r="R1997">
        <v>1</v>
      </c>
    </row>
    <row r="1998" spans="1:18" x14ac:dyDescent="0.25">
      <c r="A1998">
        <v>201997</v>
      </c>
      <c r="B1998">
        <v>54845</v>
      </c>
      <c r="C1998" t="s">
        <v>34</v>
      </c>
      <c r="D1998">
        <v>3925.67</v>
      </c>
      <c r="E1998">
        <v>1580</v>
      </c>
      <c r="F1998">
        <v>1</v>
      </c>
      <c r="G1998">
        <v>4</v>
      </c>
      <c r="H1998">
        <v>0</v>
      </c>
      <c r="I1998" t="s">
        <v>33</v>
      </c>
      <c r="J1998">
        <v>0</v>
      </c>
      <c r="K1998">
        <v>75</v>
      </c>
      <c r="L1998" t="s">
        <v>20</v>
      </c>
      <c r="M1998" t="s">
        <v>31</v>
      </c>
      <c r="N1998" t="s">
        <v>22</v>
      </c>
      <c r="O1998" t="s">
        <v>27</v>
      </c>
      <c r="P1998">
        <v>7.86</v>
      </c>
      <c r="Q1998" s="2" t="b">
        <f>FALSE()</f>
        <v>0</v>
      </c>
      <c r="R1998">
        <v>1</v>
      </c>
    </row>
    <row r="1999" spans="1:18" x14ac:dyDescent="0.25">
      <c r="A1999">
        <v>201998</v>
      </c>
      <c r="B1999">
        <v>53387</v>
      </c>
      <c r="C1999" t="s">
        <v>18</v>
      </c>
      <c r="D1999">
        <v>1052.1600000000001</v>
      </c>
      <c r="E1999">
        <v>688</v>
      </c>
      <c r="F1999">
        <v>0</v>
      </c>
      <c r="G1999">
        <v>5</v>
      </c>
      <c r="H1999">
        <v>1</v>
      </c>
      <c r="I1999" t="s">
        <v>33</v>
      </c>
      <c r="J1999">
        <v>0</v>
      </c>
      <c r="K1999">
        <v>18</v>
      </c>
      <c r="L1999" t="s">
        <v>20</v>
      </c>
      <c r="M1999" t="s">
        <v>21</v>
      </c>
      <c r="N1999" t="s">
        <v>30</v>
      </c>
      <c r="O1999" t="s">
        <v>27</v>
      </c>
      <c r="P1999">
        <v>3.09</v>
      </c>
      <c r="Q1999" s="2" t="b">
        <f>FALSE()</f>
        <v>0</v>
      </c>
      <c r="R1999">
        <v>0</v>
      </c>
    </row>
    <row r="2000" spans="1:18" x14ac:dyDescent="0.25">
      <c r="A2000">
        <v>201999</v>
      </c>
      <c r="B2000">
        <v>50897</v>
      </c>
      <c r="C2000" t="s">
        <v>34</v>
      </c>
      <c r="D2000">
        <v>2805.4</v>
      </c>
      <c r="E2000">
        <v>926</v>
      </c>
      <c r="F2000">
        <v>1</v>
      </c>
      <c r="G2000">
        <v>5</v>
      </c>
      <c r="H2000">
        <v>0</v>
      </c>
      <c r="I2000" t="s">
        <v>33</v>
      </c>
      <c r="J2000">
        <v>0</v>
      </c>
      <c r="K2000">
        <v>71</v>
      </c>
      <c r="L2000" t="s">
        <v>20</v>
      </c>
      <c r="M2000" t="s">
        <v>29</v>
      </c>
      <c r="N2000" t="s">
        <v>30</v>
      </c>
      <c r="O2000" t="s">
        <v>23</v>
      </c>
      <c r="P2000">
        <v>6.02</v>
      </c>
      <c r="Q2000" s="2" t="b">
        <f>FALSE()</f>
        <v>0</v>
      </c>
      <c r="R2000">
        <v>0</v>
      </c>
    </row>
    <row r="2001" spans="1:18" x14ac:dyDescent="0.25">
      <c r="A2001">
        <v>202000</v>
      </c>
      <c r="B2001">
        <v>50143</v>
      </c>
      <c r="C2001" t="s">
        <v>18</v>
      </c>
      <c r="D2001">
        <v>2284.1799999999998</v>
      </c>
      <c r="E2001">
        <v>1311</v>
      </c>
      <c r="F2001">
        <v>0</v>
      </c>
      <c r="G2001">
        <v>4</v>
      </c>
      <c r="H2001">
        <v>1</v>
      </c>
      <c r="I2001" t="s">
        <v>33</v>
      </c>
      <c r="J2001">
        <v>0</v>
      </c>
      <c r="K2001">
        <v>77</v>
      </c>
      <c r="L2001" t="s">
        <v>24</v>
      </c>
      <c r="M2001" t="s">
        <v>21</v>
      </c>
      <c r="N2001" t="s">
        <v>30</v>
      </c>
      <c r="O2001" t="s">
        <v>27</v>
      </c>
      <c r="P2001">
        <v>1.04</v>
      </c>
      <c r="Q2001" s="2" t="b">
        <f>FALSE()</f>
        <v>0</v>
      </c>
      <c r="R2001">
        <v>0</v>
      </c>
    </row>
    <row r="2002" spans="1:18" x14ac:dyDescent="0.25">
      <c r="A2002">
        <v>202001</v>
      </c>
      <c r="B2002">
        <v>54648</v>
      </c>
      <c r="C2002" t="s">
        <v>18</v>
      </c>
      <c r="D2002">
        <v>1225.32</v>
      </c>
      <c r="E2002">
        <v>2976</v>
      </c>
      <c r="F2002">
        <v>0</v>
      </c>
      <c r="G2002">
        <v>1</v>
      </c>
      <c r="H2002">
        <v>0</v>
      </c>
      <c r="I2002" t="s">
        <v>33</v>
      </c>
      <c r="J2002">
        <v>0</v>
      </c>
      <c r="K2002">
        <v>84</v>
      </c>
      <c r="L2002" t="s">
        <v>20</v>
      </c>
      <c r="M2002" t="s">
        <v>21</v>
      </c>
      <c r="N2002" t="s">
        <v>30</v>
      </c>
      <c r="O2002" t="s">
        <v>27</v>
      </c>
      <c r="P2002">
        <v>1.04</v>
      </c>
      <c r="Q2002" s="2" t="b">
        <f>FALSE()</f>
        <v>0</v>
      </c>
      <c r="R2002">
        <v>0</v>
      </c>
    </row>
    <row r="2003" spans="1:18" x14ac:dyDescent="0.25">
      <c r="A2003">
        <v>202002</v>
      </c>
      <c r="B2003">
        <v>54985</v>
      </c>
      <c r="C2003" t="s">
        <v>18</v>
      </c>
      <c r="D2003">
        <v>332.88</v>
      </c>
      <c r="E2003">
        <v>271</v>
      </c>
      <c r="F2003">
        <v>0</v>
      </c>
      <c r="G2003">
        <v>3</v>
      </c>
      <c r="H2003">
        <v>0</v>
      </c>
      <c r="I2003" t="s">
        <v>19</v>
      </c>
      <c r="J2003">
        <v>0</v>
      </c>
      <c r="K2003">
        <v>38</v>
      </c>
      <c r="L2003" t="s">
        <v>24</v>
      </c>
      <c r="M2003" t="s">
        <v>31</v>
      </c>
      <c r="N2003" t="s">
        <v>22</v>
      </c>
      <c r="O2003" t="s">
        <v>23</v>
      </c>
      <c r="P2003">
        <v>0.85</v>
      </c>
      <c r="Q2003" s="2" t="b">
        <f>FALSE()</f>
        <v>0</v>
      </c>
      <c r="R2003">
        <v>0</v>
      </c>
    </row>
    <row r="2004" spans="1:18" x14ac:dyDescent="0.25">
      <c r="A2004">
        <v>202003</v>
      </c>
      <c r="B2004">
        <v>51432</v>
      </c>
      <c r="C2004" t="s">
        <v>28</v>
      </c>
      <c r="D2004">
        <v>990.44</v>
      </c>
      <c r="E2004">
        <v>2908</v>
      </c>
      <c r="F2004">
        <v>2</v>
      </c>
      <c r="G2004">
        <v>3</v>
      </c>
      <c r="H2004">
        <v>0</v>
      </c>
      <c r="I2004" t="s">
        <v>33</v>
      </c>
      <c r="J2004">
        <v>0</v>
      </c>
      <c r="K2004">
        <v>21</v>
      </c>
      <c r="L2004" t="s">
        <v>24</v>
      </c>
      <c r="M2004" t="s">
        <v>29</v>
      </c>
      <c r="N2004" t="s">
        <v>26</v>
      </c>
      <c r="O2004" t="s">
        <v>23</v>
      </c>
      <c r="P2004">
        <v>1.1100000000000001</v>
      </c>
      <c r="Q2004" s="2" t="b">
        <f>FALSE()</f>
        <v>0</v>
      </c>
      <c r="R2004">
        <v>0</v>
      </c>
    </row>
    <row r="2005" spans="1:18" x14ac:dyDescent="0.25">
      <c r="A2005">
        <v>202004</v>
      </c>
      <c r="B2005">
        <v>51779</v>
      </c>
      <c r="C2005" t="s">
        <v>34</v>
      </c>
      <c r="D2005">
        <v>1512.54</v>
      </c>
      <c r="E2005">
        <v>1437</v>
      </c>
      <c r="F2005">
        <v>1</v>
      </c>
      <c r="G2005">
        <v>7</v>
      </c>
      <c r="H2005">
        <v>0</v>
      </c>
      <c r="I2005" t="s">
        <v>33</v>
      </c>
      <c r="J2005">
        <v>1</v>
      </c>
      <c r="K2005">
        <v>30</v>
      </c>
      <c r="L2005" t="s">
        <v>24</v>
      </c>
      <c r="M2005" t="s">
        <v>25</v>
      </c>
      <c r="N2005" t="s">
        <v>30</v>
      </c>
      <c r="O2005" t="s">
        <v>27</v>
      </c>
      <c r="P2005">
        <v>0.75</v>
      </c>
      <c r="Q2005" s="2" t="b">
        <f>FALSE()</f>
        <v>0</v>
      </c>
      <c r="R2005">
        <v>1</v>
      </c>
    </row>
    <row r="2006" spans="1:18" x14ac:dyDescent="0.25">
      <c r="A2006">
        <v>202005</v>
      </c>
      <c r="B2006">
        <v>50001</v>
      </c>
      <c r="C2006" t="s">
        <v>34</v>
      </c>
      <c r="D2006">
        <v>575.5</v>
      </c>
      <c r="E2006">
        <v>1694</v>
      </c>
      <c r="F2006">
        <v>3</v>
      </c>
      <c r="G2006">
        <v>5</v>
      </c>
      <c r="H2006">
        <v>0</v>
      </c>
      <c r="I2006" t="s">
        <v>19</v>
      </c>
      <c r="J2006">
        <v>0</v>
      </c>
      <c r="K2006">
        <v>46</v>
      </c>
      <c r="L2006" t="s">
        <v>20</v>
      </c>
      <c r="M2006" t="s">
        <v>25</v>
      </c>
      <c r="N2006" t="s">
        <v>30</v>
      </c>
      <c r="O2006" t="s">
        <v>36</v>
      </c>
      <c r="P2006">
        <v>2.12</v>
      </c>
      <c r="Q2006" s="2" t="b">
        <f>FALSE()</f>
        <v>0</v>
      </c>
      <c r="R2006">
        <v>1</v>
      </c>
    </row>
    <row r="2007" spans="1:18" x14ac:dyDescent="0.25">
      <c r="A2007">
        <v>202006</v>
      </c>
      <c r="B2007">
        <v>53555</v>
      </c>
      <c r="C2007" t="s">
        <v>34</v>
      </c>
      <c r="D2007">
        <v>118.8</v>
      </c>
      <c r="E2007">
        <v>966</v>
      </c>
      <c r="F2007">
        <v>2</v>
      </c>
      <c r="G2007">
        <v>2</v>
      </c>
      <c r="H2007">
        <v>1</v>
      </c>
      <c r="I2007" t="s">
        <v>19</v>
      </c>
      <c r="J2007">
        <v>0</v>
      </c>
      <c r="K2007">
        <v>70</v>
      </c>
      <c r="L2007" t="s">
        <v>38</v>
      </c>
      <c r="M2007" t="s">
        <v>21</v>
      </c>
      <c r="N2007" t="s">
        <v>22</v>
      </c>
      <c r="O2007" t="s">
        <v>36</v>
      </c>
      <c r="P2007">
        <v>0.64</v>
      </c>
      <c r="Q2007" s="2" t="b">
        <f>FALSE()</f>
        <v>0</v>
      </c>
      <c r="R2007">
        <v>0</v>
      </c>
    </row>
    <row r="2008" spans="1:18" x14ac:dyDescent="0.25">
      <c r="A2008">
        <v>202007</v>
      </c>
      <c r="B2008">
        <v>50527</v>
      </c>
      <c r="C2008" t="s">
        <v>34</v>
      </c>
      <c r="D2008">
        <v>4682.3900000000003</v>
      </c>
      <c r="E2008">
        <v>3590</v>
      </c>
      <c r="F2008">
        <v>2</v>
      </c>
      <c r="G2008">
        <v>5</v>
      </c>
      <c r="H2008">
        <v>0</v>
      </c>
      <c r="I2008" t="s">
        <v>33</v>
      </c>
      <c r="J2008">
        <v>0</v>
      </c>
      <c r="K2008">
        <v>20</v>
      </c>
      <c r="L2008" t="s">
        <v>24</v>
      </c>
      <c r="M2008" t="s">
        <v>35</v>
      </c>
      <c r="N2008" t="s">
        <v>22</v>
      </c>
      <c r="O2008" t="s">
        <v>36</v>
      </c>
      <c r="P2008">
        <v>0.06</v>
      </c>
      <c r="Q2008" s="2" t="b">
        <f>FALSE()</f>
        <v>0</v>
      </c>
      <c r="R2008">
        <v>1</v>
      </c>
    </row>
    <row r="2009" spans="1:18" x14ac:dyDescent="0.25">
      <c r="A2009">
        <v>202008</v>
      </c>
      <c r="B2009">
        <v>51777</v>
      </c>
      <c r="C2009" t="s">
        <v>18</v>
      </c>
      <c r="D2009">
        <v>1548.23</v>
      </c>
      <c r="E2009">
        <v>2799</v>
      </c>
      <c r="F2009">
        <v>1</v>
      </c>
      <c r="G2009">
        <v>2</v>
      </c>
      <c r="H2009">
        <v>1</v>
      </c>
      <c r="I2009" t="s">
        <v>33</v>
      </c>
      <c r="J2009">
        <v>0</v>
      </c>
      <c r="K2009">
        <v>82</v>
      </c>
      <c r="L2009" t="s">
        <v>20</v>
      </c>
      <c r="M2009" t="s">
        <v>29</v>
      </c>
      <c r="N2009" t="s">
        <v>22</v>
      </c>
      <c r="O2009" t="s">
        <v>23</v>
      </c>
      <c r="P2009">
        <v>14.37</v>
      </c>
      <c r="Q2009" s="2" t="b">
        <f>FALSE()</f>
        <v>0</v>
      </c>
      <c r="R2009">
        <v>0</v>
      </c>
    </row>
    <row r="2010" spans="1:18" x14ac:dyDescent="0.25">
      <c r="A2010">
        <v>202009</v>
      </c>
      <c r="B2010">
        <v>51475</v>
      </c>
      <c r="C2010" t="s">
        <v>18</v>
      </c>
      <c r="D2010">
        <v>2412.02</v>
      </c>
      <c r="E2010">
        <v>1431</v>
      </c>
      <c r="F2010">
        <v>1</v>
      </c>
      <c r="G2010">
        <v>7</v>
      </c>
      <c r="H2010">
        <v>0</v>
      </c>
      <c r="I2010" t="s">
        <v>33</v>
      </c>
      <c r="J2010">
        <v>0</v>
      </c>
      <c r="K2010">
        <v>51</v>
      </c>
      <c r="L2010" t="s">
        <v>24</v>
      </c>
      <c r="M2010" t="s">
        <v>29</v>
      </c>
      <c r="N2010" t="s">
        <v>22</v>
      </c>
      <c r="O2010" t="s">
        <v>27</v>
      </c>
      <c r="P2010">
        <v>1.7</v>
      </c>
      <c r="Q2010" s="2" t="b">
        <f>FALSE()</f>
        <v>0</v>
      </c>
      <c r="R2010">
        <v>1</v>
      </c>
    </row>
    <row r="2011" spans="1:18" x14ac:dyDescent="0.25">
      <c r="A2011">
        <v>202010</v>
      </c>
      <c r="B2011">
        <v>51896</v>
      </c>
      <c r="C2011" t="s">
        <v>18</v>
      </c>
      <c r="D2011">
        <v>2971.09</v>
      </c>
      <c r="E2011">
        <v>1477</v>
      </c>
      <c r="F2011">
        <v>4</v>
      </c>
      <c r="G2011">
        <v>3</v>
      </c>
      <c r="H2011">
        <v>0</v>
      </c>
      <c r="I2011" t="s">
        <v>32</v>
      </c>
      <c r="J2011">
        <v>0</v>
      </c>
      <c r="K2011">
        <v>26</v>
      </c>
      <c r="L2011" t="s">
        <v>20</v>
      </c>
      <c r="M2011" t="s">
        <v>35</v>
      </c>
      <c r="N2011" t="s">
        <v>30</v>
      </c>
      <c r="O2011" t="s">
        <v>36</v>
      </c>
      <c r="P2011">
        <v>2.02</v>
      </c>
      <c r="Q2011" s="2" t="b">
        <f>FALSE()</f>
        <v>0</v>
      </c>
      <c r="R2011">
        <v>1</v>
      </c>
    </row>
    <row r="2012" spans="1:18" x14ac:dyDescent="0.25">
      <c r="A2012">
        <v>202011</v>
      </c>
      <c r="B2012">
        <v>53714</v>
      </c>
      <c r="C2012" t="s">
        <v>34</v>
      </c>
      <c r="D2012">
        <v>1714.91</v>
      </c>
      <c r="E2012">
        <v>2204</v>
      </c>
      <c r="F2012">
        <v>1</v>
      </c>
      <c r="G2012">
        <v>2</v>
      </c>
      <c r="H2012">
        <v>0</v>
      </c>
      <c r="I2012" t="s">
        <v>19</v>
      </c>
      <c r="J2012">
        <v>0</v>
      </c>
      <c r="K2012">
        <v>41</v>
      </c>
      <c r="L2012" t="s">
        <v>20</v>
      </c>
      <c r="M2012" t="s">
        <v>29</v>
      </c>
      <c r="N2012" t="s">
        <v>22</v>
      </c>
      <c r="O2012" t="s">
        <v>36</v>
      </c>
      <c r="P2012">
        <v>3.9</v>
      </c>
      <c r="Q2012" s="2" t="b">
        <f>FALSE()</f>
        <v>0</v>
      </c>
      <c r="R2012">
        <v>0</v>
      </c>
    </row>
    <row r="2013" spans="1:18" x14ac:dyDescent="0.25">
      <c r="A2013">
        <v>202012</v>
      </c>
      <c r="B2013">
        <v>55638</v>
      </c>
      <c r="C2013" t="s">
        <v>34</v>
      </c>
      <c r="D2013">
        <v>352.85</v>
      </c>
      <c r="E2013">
        <v>1733</v>
      </c>
      <c r="F2013">
        <v>1</v>
      </c>
      <c r="G2013">
        <v>6</v>
      </c>
      <c r="H2013">
        <v>0</v>
      </c>
      <c r="I2013" t="s">
        <v>33</v>
      </c>
      <c r="J2013">
        <v>1</v>
      </c>
      <c r="K2013">
        <v>69</v>
      </c>
      <c r="L2013" t="s">
        <v>20</v>
      </c>
      <c r="M2013" t="s">
        <v>29</v>
      </c>
      <c r="N2013" t="s">
        <v>22</v>
      </c>
      <c r="O2013" t="s">
        <v>23</v>
      </c>
      <c r="P2013">
        <v>0.39</v>
      </c>
      <c r="Q2013" s="2" t="b">
        <f>FALSE()</f>
        <v>0</v>
      </c>
      <c r="R2013">
        <v>0</v>
      </c>
    </row>
    <row r="2014" spans="1:18" x14ac:dyDescent="0.25">
      <c r="A2014">
        <v>202013</v>
      </c>
      <c r="B2014">
        <v>52884</v>
      </c>
      <c r="C2014" t="s">
        <v>28</v>
      </c>
      <c r="D2014">
        <v>1450.32</v>
      </c>
      <c r="E2014">
        <v>2212</v>
      </c>
      <c r="F2014">
        <v>2</v>
      </c>
      <c r="G2014">
        <v>3</v>
      </c>
      <c r="H2014">
        <v>0</v>
      </c>
      <c r="I2014" t="s">
        <v>19</v>
      </c>
      <c r="J2014">
        <v>1</v>
      </c>
      <c r="K2014">
        <v>57</v>
      </c>
      <c r="L2014" t="s">
        <v>24</v>
      </c>
      <c r="M2014" t="s">
        <v>29</v>
      </c>
      <c r="N2014" t="s">
        <v>26</v>
      </c>
      <c r="O2014" t="s">
        <v>36</v>
      </c>
      <c r="P2014">
        <v>12.77</v>
      </c>
      <c r="Q2014" s="2" t="b">
        <f>FALSE()</f>
        <v>0</v>
      </c>
      <c r="R2014">
        <v>0</v>
      </c>
    </row>
    <row r="2015" spans="1:18" x14ac:dyDescent="0.25">
      <c r="A2015">
        <v>202014</v>
      </c>
      <c r="B2015">
        <v>51920</v>
      </c>
      <c r="C2015" t="s">
        <v>18</v>
      </c>
      <c r="D2015">
        <v>1003.24</v>
      </c>
      <c r="E2015">
        <v>798</v>
      </c>
      <c r="F2015">
        <v>0</v>
      </c>
      <c r="G2015">
        <v>3</v>
      </c>
      <c r="H2015">
        <v>0</v>
      </c>
      <c r="I2015" t="s">
        <v>33</v>
      </c>
      <c r="J2015">
        <v>0</v>
      </c>
      <c r="K2015">
        <v>49</v>
      </c>
      <c r="L2015" t="s">
        <v>24</v>
      </c>
      <c r="M2015" t="s">
        <v>29</v>
      </c>
      <c r="N2015" t="s">
        <v>22</v>
      </c>
      <c r="O2015" t="s">
        <v>27</v>
      </c>
      <c r="P2015">
        <v>0.33</v>
      </c>
      <c r="Q2015" s="2" t="b">
        <f>FALSE()</f>
        <v>0</v>
      </c>
      <c r="R2015">
        <v>0</v>
      </c>
    </row>
    <row r="2016" spans="1:18" x14ac:dyDescent="0.25">
      <c r="A2016">
        <v>202015</v>
      </c>
      <c r="B2016">
        <v>51882</v>
      </c>
      <c r="C2016" t="s">
        <v>18</v>
      </c>
      <c r="D2016">
        <v>4263.3</v>
      </c>
      <c r="E2016">
        <v>11</v>
      </c>
      <c r="F2016">
        <v>0</v>
      </c>
      <c r="G2016">
        <v>5</v>
      </c>
      <c r="H2016">
        <v>1</v>
      </c>
      <c r="I2016" t="s">
        <v>19</v>
      </c>
      <c r="J2016">
        <v>0</v>
      </c>
      <c r="K2016">
        <v>38</v>
      </c>
      <c r="L2016" t="s">
        <v>24</v>
      </c>
      <c r="M2016" t="s">
        <v>29</v>
      </c>
      <c r="N2016" t="s">
        <v>22</v>
      </c>
      <c r="O2016" t="s">
        <v>36</v>
      </c>
      <c r="P2016">
        <v>1.51</v>
      </c>
      <c r="Q2016" s="2" t="b">
        <f>FALSE()</f>
        <v>0</v>
      </c>
      <c r="R2016">
        <v>1</v>
      </c>
    </row>
    <row r="2017" spans="1:18" x14ac:dyDescent="0.25">
      <c r="A2017">
        <v>202016</v>
      </c>
      <c r="B2017">
        <v>55325</v>
      </c>
      <c r="C2017" t="s">
        <v>18</v>
      </c>
      <c r="D2017">
        <v>2689.5</v>
      </c>
      <c r="E2017">
        <v>860</v>
      </c>
      <c r="F2017">
        <v>0</v>
      </c>
      <c r="G2017">
        <v>5</v>
      </c>
      <c r="H2017">
        <v>0</v>
      </c>
      <c r="I2017" t="s">
        <v>19</v>
      </c>
      <c r="J2017">
        <v>1</v>
      </c>
      <c r="K2017">
        <v>57</v>
      </c>
      <c r="L2017" t="s">
        <v>20</v>
      </c>
      <c r="M2017" t="s">
        <v>31</v>
      </c>
      <c r="N2017" t="s">
        <v>22</v>
      </c>
      <c r="O2017" t="s">
        <v>36</v>
      </c>
      <c r="P2017">
        <v>7.0000000000000007E-2</v>
      </c>
      <c r="Q2017" s="2" t="b">
        <f>FALSE()</f>
        <v>0</v>
      </c>
      <c r="R2017">
        <v>0</v>
      </c>
    </row>
    <row r="2018" spans="1:18" x14ac:dyDescent="0.25">
      <c r="A2018">
        <v>202017</v>
      </c>
      <c r="B2018">
        <v>53827</v>
      </c>
      <c r="C2018" t="s">
        <v>34</v>
      </c>
      <c r="D2018">
        <v>4057.04</v>
      </c>
      <c r="E2018">
        <v>1596</v>
      </c>
      <c r="F2018">
        <v>1</v>
      </c>
      <c r="G2018">
        <v>7</v>
      </c>
      <c r="H2018">
        <v>0</v>
      </c>
      <c r="I2018" t="s">
        <v>33</v>
      </c>
      <c r="J2018">
        <v>1</v>
      </c>
      <c r="K2018">
        <v>27</v>
      </c>
      <c r="L2018" t="s">
        <v>20</v>
      </c>
      <c r="M2018" t="s">
        <v>31</v>
      </c>
      <c r="N2018" t="s">
        <v>22</v>
      </c>
      <c r="O2018" t="s">
        <v>23</v>
      </c>
      <c r="P2018">
        <v>2.56</v>
      </c>
      <c r="Q2018" s="2" t="b">
        <f>FALSE()</f>
        <v>0</v>
      </c>
      <c r="R2018">
        <v>1</v>
      </c>
    </row>
    <row r="2019" spans="1:18" x14ac:dyDescent="0.25">
      <c r="A2019">
        <v>202018</v>
      </c>
      <c r="B2019">
        <v>52271</v>
      </c>
      <c r="C2019" t="s">
        <v>18</v>
      </c>
      <c r="D2019">
        <v>2294.48</v>
      </c>
      <c r="E2019">
        <v>502</v>
      </c>
      <c r="F2019">
        <v>0</v>
      </c>
      <c r="G2019">
        <v>5</v>
      </c>
      <c r="H2019">
        <v>0</v>
      </c>
      <c r="I2019" t="s">
        <v>33</v>
      </c>
      <c r="J2019">
        <v>0</v>
      </c>
      <c r="K2019">
        <v>51</v>
      </c>
      <c r="L2019" t="s">
        <v>24</v>
      </c>
      <c r="M2019" t="s">
        <v>21</v>
      </c>
      <c r="N2019" t="s">
        <v>22</v>
      </c>
      <c r="O2019" t="s">
        <v>36</v>
      </c>
      <c r="P2019">
        <v>3.01</v>
      </c>
      <c r="Q2019" s="2" t="b">
        <f>FALSE()</f>
        <v>0</v>
      </c>
      <c r="R2019">
        <v>0</v>
      </c>
    </row>
    <row r="2020" spans="1:18" x14ac:dyDescent="0.25">
      <c r="A2020">
        <v>202019</v>
      </c>
      <c r="B2020">
        <v>51566</v>
      </c>
      <c r="C2020" t="s">
        <v>18</v>
      </c>
      <c r="D2020">
        <v>1600.53</v>
      </c>
      <c r="E2020">
        <v>3377</v>
      </c>
      <c r="F2020">
        <v>2</v>
      </c>
      <c r="G2020">
        <v>4</v>
      </c>
      <c r="H2020">
        <v>0</v>
      </c>
      <c r="I2020" t="s">
        <v>19</v>
      </c>
      <c r="J2020">
        <v>0</v>
      </c>
      <c r="K2020">
        <v>25</v>
      </c>
      <c r="L2020" t="s">
        <v>24</v>
      </c>
      <c r="M2020" t="s">
        <v>31</v>
      </c>
      <c r="N2020" t="s">
        <v>30</v>
      </c>
      <c r="O2020" t="s">
        <v>36</v>
      </c>
      <c r="P2020">
        <v>6.58</v>
      </c>
      <c r="Q2020" s="2" t="b">
        <f>FALSE()</f>
        <v>0</v>
      </c>
      <c r="R2020">
        <v>0</v>
      </c>
    </row>
    <row r="2021" spans="1:18" x14ac:dyDescent="0.25">
      <c r="A2021">
        <v>202020</v>
      </c>
      <c r="B2021">
        <v>55630</v>
      </c>
      <c r="C2021" t="s">
        <v>34</v>
      </c>
      <c r="D2021">
        <v>3068.25</v>
      </c>
      <c r="E2021">
        <v>2863</v>
      </c>
      <c r="F2021">
        <v>4</v>
      </c>
      <c r="G2021">
        <v>5</v>
      </c>
      <c r="H2021">
        <v>0</v>
      </c>
      <c r="I2021" t="s">
        <v>33</v>
      </c>
      <c r="J2021">
        <v>0</v>
      </c>
      <c r="K2021">
        <v>83</v>
      </c>
      <c r="L2021" t="s">
        <v>24</v>
      </c>
      <c r="M2021" t="s">
        <v>37</v>
      </c>
      <c r="N2021" t="s">
        <v>26</v>
      </c>
      <c r="O2021" t="s">
        <v>36</v>
      </c>
      <c r="P2021">
        <v>12.83</v>
      </c>
      <c r="Q2021" s="2" t="b">
        <f>FALSE()</f>
        <v>0</v>
      </c>
      <c r="R2021">
        <v>1</v>
      </c>
    </row>
    <row r="2022" spans="1:18" x14ac:dyDescent="0.25">
      <c r="A2022">
        <v>202021</v>
      </c>
      <c r="B2022">
        <v>54095</v>
      </c>
      <c r="C2022" t="s">
        <v>34</v>
      </c>
      <c r="D2022">
        <v>522.04</v>
      </c>
      <c r="E2022">
        <v>901</v>
      </c>
      <c r="F2022">
        <v>1</v>
      </c>
      <c r="G2022">
        <v>5</v>
      </c>
      <c r="H2022">
        <v>0</v>
      </c>
      <c r="I2022" t="s">
        <v>33</v>
      </c>
      <c r="J2022">
        <v>1</v>
      </c>
      <c r="K2022">
        <v>83</v>
      </c>
      <c r="L2022" t="s">
        <v>24</v>
      </c>
      <c r="M2022" t="s">
        <v>21</v>
      </c>
      <c r="N2022" t="s">
        <v>22</v>
      </c>
      <c r="O2022" t="s">
        <v>36</v>
      </c>
      <c r="P2022">
        <v>7.34</v>
      </c>
      <c r="Q2022" s="2" t="b">
        <f>FALSE()</f>
        <v>0</v>
      </c>
      <c r="R2022">
        <v>0</v>
      </c>
    </row>
    <row r="2023" spans="1:18" x14ac:dyDescent="0.25">
      <c r="A2023">
        <v>202022</v>
      </c>
      <c r="B2023">
        <v>50698</v>
      </c>
      <c r="C2023" t="s">
        <v>28</v>
      </c>
      <c r="D2023">
        <v>2763.28</v>
      </c>
      <c r="E2023">
        <v>1527</v>
      </c>
      <c r="F2023">
        <v>3</v>
      </c>
      <c r="G2023">
        <v>3</v>
      </c>
      <c r="H2023">
        <v>0</v>
      </c>
      <c r="I2023" t="s">
        <v>33</v>
      </c>
      <c r="J2023">
        <v>0</v>
      </c>
      <c r="K2023">
        <v>54</v>
      </c>
      <c r="L2023" t="s">
        <v>20</v>
      </c>
      <c r="M2023" t="s">
        <v>29</v>
      </c>
      <c r="N2023" t="s">
        <v>26</v>
      </c>
      <c r="O2023" t="s">
        <v>27</v>
      </c>
      <c r="P2023">
        <v>1.75</v>
      </c>
      <c r="Q2023" s="2" t="b">
        <f>FALSE()</f>
        <v>0</v>
      </c>
      <c r="R2023">
        <v>1</v>
      </c>
    </row>
    <row r="2024" spans="1:18" x14ac:dyDescent="0.25">
      <c r="A2024">
        <v>202023</v>
      </c>
      <c r="B2024">
        <v>53376</v>
      </c>
      <c r="C2024" t="s">
        <v>18</v>
      </c>
      <c r="D2024">
        <v>984.35</v>
      </c>
      <c r="E2024">
        <v>68</v>
      </c>
      <c r="F2024">
        <v>0</v>
      </c>
      <c r="G2024">
        <v>3</v>
      </c>
      <c r="H2024">
        <v>0</v>
      </c>
      <c r="I2024" t="s">
        <v>33</v>
      </c>
      <c r="J2024">
        <v>0</v>
      </c>
      <c r="K2024">
        <v>79</v>
      </c>
      <c r="L2024" t="s">
        <v>24</v>
      </c>
      <c r="M2024" t="s">
        <v>37</v>
      </c>
      <c r="N2024" t="s">
        <v>22</v>
      </c>
      <c r="O2024" t="s">
        <v>27</v>
      </c>
      <c r="P2024">
        <v>0.04</v>
      </c>
      <c r="Q2024" s="2" t="b">
        <f>FALSE()</f>
        <v>0</v>
      </c>
      <c r="R2024">
        <v>0</v>
      </c>
    </row>
    <row r="2025" spans="1:18" x14ac:dyDescent="0.25">
      <c r="A2025">
        <v>202024</v>
      </c>
      <c r="B2025">
        <v>54580</v>
      </c>
      <c r="C2025" t="s">
        <v>28</v>
      </c>
      <c r="D2025">
        <v>6726.85</v>
      </c>
      <c r="E2025">
        <v>20</v>
      </c>
      <c r="F2025">
        <v>2</v>
      </c>
      <c r="G2025">
        <v>3</v>
      </c>
      <c r="H2025">
        <v>1</v>
      </c>
      <c r="I2025" t="s">
        <v>32</v>
      </c>
      <c r="J2025">
        <v>0</v>
      </c>
      <c r="K2025">
        <v>41</v>
      </c>
      <c r="L2025" t="s">
        <v>20</v>
      </c>
      <c r="M2025" t="s">
        <v>31</v>
      </c>
      <c r="N2025" t="s">
        <v>22</v>
      </c>
      <c r="O2025" t="s">
        <v>36</v>
      </c>
      <c r="P2025">
        <v>2.23</v>
      </c>
      <c r="Q2025" s="2" t="b">
        <f>FALSE()</f>
        <v>0</v>
      </c>
      <c r="R2025">
        <v>1</v>
      </c>
    </row>
    <row r="2026" spans="1:18" x14ac:dyDescent="0.25">
      <c r="A2026">
        <v>202025</v>
      </c>
      <c r="B2026">
        <v>55291</v>
      </c>
      <c r="C2026" t="s">
        <v>28</v>
      </c>
      <c r="D2026">
        <v>595.16999999999996</v>
      </c>
      <c r="E2026">
        <v>2424</v>
      </c>
      <c r="F2026">
        <v>1</v>
      </c>
      <c r="G2026">
        <v>2</v>
      </c>
      <c r="H2026">
        <v>0</v>
      </c>
      <c r="I2026" t="s">
        <v>33</v>
      </c>
      <c r="J2026">
        <v>1</v>
      </c>
      <c r="K2026">
        <v>71</v>
      </c>
      <c r="L2026" t="s">
        <v>20</v>
      </c>
      <c r="M2026" t="s">
        <v>37</v>
      </c>
      <c r="N2026" t="s">
        <v>26</v>
      </c>
      <c r="O2026" t="s">
        <v>36</v>
      </c>
      <c r="P2026">
        <v>0.25</v>
      </c>
      <c r="Q2026" s="2" t="b">
        <f>FALSE()</f>
        <v>0</v>
      </c>
      <c r="R2026">
        <v>0</v>
      </c>
    </row>
    <row r="2027" spans="1:18" x14ac:dyDescent="0.25">
      <c r="A2027">
        <v>202026</v>
      </c>
      <c r="B2027">
        <v>54305</v>
      </c>
      <c r="C2027" t="s">
        <v>34</v>
      </c>
      <c r="D2027">
        <v>3179.69</v>
      </c>
      <c r="E2027">
        <v>1806</v>
      </c>
      <c r="F2027">
        <v>2</v>
      </c>
      <c r="G2027">
        <v>4</v>
      </c>
      <c r="H2027">
        <v>1</v>
      </c>
      <c r="I2027" t="s">
        <v>33</v>
      </c>
      <c r="J2027">
        <v>0</v>
      </c>
      <c r="K2027">
        <v>64</v>
      </c>
      <c r="L2027" t="s">
        <v>20</v>
      </c>
      <c r="M2027" t="s">
        <v>29</v>
      </c>
      <c r="N2027" t="s">
        <v>22</v>
      </c>
      <c r="O2027" t="s">
        <v>23</v>
      </c>
      <c r="P2027">
        <v>6.12</v>
      </c>
      <c r="Q2027" s="2" t="b">
        <f>FALSE()</f>
        <v>0</v>
      </c>
      <c r="R2027">
        <v>0</v>
      </c>
    </row>
    <row r="2028" spans="1:18" x14ac:dyDescent="0.25">
      <c r="A2028">
        <v>202027</v>
      </c>
      <c r="B2028">
        <v>52247</v>
      </c>
      <c r="C2028" t="s">
        <v>18</v>
      </c>
      <c r="D2028">
        <v>2676.48</v>
      </c>
      <c r="E2028">
        <v>1412</v>
      </c>
      <c r="F2028">
        <v>0</v>
      </c>
      <c r="G2028">
        <v>1</v>
      </c>
      <c r="H2028">
        <v>0</v>
      </c>
      <c r="I2028" t="s">
        <v>33</v>
      </c>
      <c r="J2028">
        <v>0</v>
      </c>
      <c r="K2028">
        <v>18</v>
      </c>
      <c r="L2028" t="s">
        <v>20</v>
      </c>
      <c r="M2028" t="s">
        <v>31</v>
      </c>
      <c r="N2028" t="s">
        <v>22</v>
      </c>
      <c r="O2028" t="s">
        <v>27</v>
      </c>
      <c r="P2028">
        <v>1.1299999999999999</v>
      </c>
      <c r="Q2028" s="2" t="b">
        <f>FALSE()</f>
        <v>0</v>
      </c>
      <c r="R2028">
        <v>0</v>
      </c>
    </row>
    <row r="2029" spans="1:18" x14ac:dyDescent="0.25">
      <c r="A2029">
        <v>202028</v>
      </c>
      <c r="B2029">
        <v>52477</v>
      </c>
      <c r="C2029" t="s">
        <v>18</v>
      </c>
      <c r="D2029">
        <v>2721.5</v>
      </c>
      <c r="E2029">
        <v>1578</v>
      </c>
      <c r="F2029">
        <v>2</v>
      </c>
      <c r="G2029">
        <v>1</v>
      </c>
      <c r="H2029">
        <v>1</v>
      </c>
      <c r="I2029" t="s">
        <v>33</v>
      </c>
      <c r="J2029">
        <v>0</v>
      </c>
      <c r="K2029">
        <v>52</v>
      </c>
      <c r="L2029" t="s">
        <v>24</v>
      </c>
      <c r="M2029" t="s">
        <v>31</v>
      </c>
      <c r="N2029" t="s">
        <v>30</v>
      </c>
      <c r="O2029" t="s">
        <v>27</v>
      </c>
      <c r="P2029">
        <v>0.38</v>
      </c>
      <c r="Q2029" s="2" t="b">
        <f>FALSE()</f>
        <v>0</v>
      </c>
      <c r="R2029">
        <v>0</v>
      </c>
    </row>
    <row r="2030" spans="1:18" x14ac:dyDescent="0.25">
      <c r="A2030">
        <v>202029</v>
      </c>
      <c r="B2030">
        <v>53142</v>
      </c>
      <c r="C2030" t="s">
        <v>18</v>
      </c>
      <c r="D2030">
        <v>1493.56</v>
      </c>
      <c r="E2030">
        <v>1605</v>
      </c>
      <c r="F2030">
        <v>2</v>
      </c>
      <c r="G2030">
        <v>4</v>
      </c>
      <c r="H2030">
        <v>0</v>
      </c>
      <c r="I2030" t="s">
        <v>33</v>
      </c>
      <c r="J2030">
        <v>1</v>
      </c>
      <c r="K2030">
        <v>25</v>
      </c>
      <c r="L2030" t="s">
        <v>20</v>
      </c>
      <c r="M2030" t="s">
        <v>25</v>
      </c>
      <c r="N2030" t="s">
        <v>22</v>
      </c>
      <c r="O2030" t="s">
        <v>27</v>
      </c>
      <c r="P2030">
        <v>6.86</v>
      </c>
      <c r="Q2030" s="2" t="b">
        <f>FALSE()</f>
        <v>0</v>
      </c>
      <c r="R2030">
        <v>0</v>
      </c>
    </row>
    <row r="2031" spans="1:18" x14ac:dyDescent="0.25">
      <c r="A2031">
        <v>202030</v>
      </c>
      <c r="B2031">
        <v>52109</v>
      </c>
      <c r="C2031" t="s">
        <v>28</v>
      </c>
      <c r="D2031">
        <v>2033.27</v>
      </c>
      <c r="E2031">
        <v>1881</v>
      </c>
      <c r="F2031">
        <v>1</v>
      </c>
      <c r="G2031">
        <v>4</v>
      </c>
      <c r="H2031">
        <v>0</v>
      </c>
      <c r="I2031" t="s">
        <v>19</v>
      </c>
      <c r="J2031">
        <v>0</v>
      </c>
      <c r="K2031">
        <v>48</v>
      </c>
      <c r="L2031" t="s">
        <v>20</v>
      </c>
      <c r="M2031" t="s">
        <v>37</v>
      </c>
      <c r="N2031" t="s">
        <v>30</v>
      </c>
      <c r="O2031" t="s">
        <v>36</v>
      </c>
      <c r="P2031">
        <v>5.7</v>
      </c>
      <c r="Q2031" s="2" t="b">
        <f>FALSE()</f>
        <v>0</v>
      </c>
      <c r="R2031">
        <v>0</v>
      </c>
    </row>
    <row r="2032" spans="1:18" x14ac:dyDescent="0.25">
      <c r="A2032">
        <v>202031</v>
      </c>
      <c r="B2032">
        <v>52849</v>
      </c>
      <c r="C2032" t="s">
        <v>18</v>
      </c>
      <c r="D2032">
        <v>9759.51</v>
      </c>
      <c r="E2032">
        <v>1679</v>
      </c>
      <c r="F2032">
        <v>1</v>
      </c>
      <c r="G2032">
        <v>4</v>
      </c>
      <c r="H2032">
        <v>0</v>
      </c>
      <c r="I2032" t="s">
        <v>32</v>
      </c>
      <c r="J2032">
        <v>1</v>
      </c>
      <c r="K2032">
        <v>39</v>
      </c>
      <c r="L2032" t="s">
        <v>20</v>
      </c>
      <c r="M2032" t="s">
        <v>37</v>
      </c>
      <c r="N2032" t="s">
        <v>30</v>
      </c>
      <c r="O2032" t="s">
        <v>36</v>
      </c>
      <c r="P2032">
        <v>1.42</v>
      </c>
      <c r="Q2032" s="2" t="b">
        <f>TRUE()</f>
        <v>1</v>
      </c>
      <c r="R2032">
        <v>1</v>
      </c>
    </row>
    <row r="2033" spans="1:18" x14ac:dyDescent="0.25">
      <c r="A2033">
        <v>202032</v>
      </c>
      <c r="B2033">
        <v>52260</v>
      </c>
      <c r="C2033" t="s">
        <v>18</v>
      </c>
      <c r="D2033">
        <v>2295.12</v>
      </c>
      <c r="E2033">
        <v>3035</v>
      </c>
      <c r="F2033">
        <v>0</v>
      </c>
      <c r="G2033">
        <v>4</v>
      </c>
      <c r="H2033">
        <v>0</v>
      </c>
      <c r="I2033" t="s">
        <v>32</v>
      </c>
      <c r="J2033">
        <v>0</v>
      </c>
      <c r="K2033">
        <v>72</v>
      </c>
      <c r="L2033" t="s">
        <v>24</v>
      </c>
      <c r="M2033" t="s">
        <v>21</v>
      </c>
      <c r="N2033" t="s">
        <v>26</v>
      </c>
      <c r="O2033" t="s">
        <v>36</v>
      </c>
      <c r="P2033">
        <v>1.1200000000000001</v>
      </c>
      <c r="Q2033" s="2" t="b">
        <f>FALSE()</f>
        <v>0</v>
      </c>
      <c r="R2033">
        <v>0</v>
      </c>
    </row>
    <row r="2034" spans="1:18" x14ac:dyDescent="0.25">
      <c r="A2034">
        <v>202033</v>
      </c>
      <c r="B2034">
        <v>53206</v>
      </c>
      <c r="C2034" t="s">
        <v>18</v>
      </c>
      <c r="D2034">
        <v>258.14999999999998</v>
      </c>
      <c r="E2034">
        <v>2996</v>
      </c>
      <c r="F2034">
        <v>0</v>
      </c>
      <c r="G2034">
        <v>6</v>
      </c>
      <c r="H2034">
        <v>1</v>
      </c>
      <c r="I2034" t="s">
        <v>33</v>
      </c>
      <c r="J2034">
        <v>0</v>
      </c>
      <c r="K2034">
        <v>78</v>
      </c>
      <c r="L2034" t="s">
        <v>20</v>
      </c>
      <c r="M2034" t="s">
        <v>35</v>
      </c>
      <c r="N2034" t="s">
        <v>22</v>
      </c>
      <c r="O2034" t="s">
        <v>27</v>
      </c>
      <c r="P2034">
        <v>0.85</v>
      </c>
      <c r="Q2034" s="2" t="b">
        <f>FALSE()</f>
        <v>0</v>
      </c>
      <c r="R2034">
        <v>0</v>
      </c>
    </row>
    <row r="2035" spans="1:18" x14ac:dyDescent="0.25">
      <c r="A2035">
        <v>202034</v>
      </c>
      <c r="B2035">
        <v>53050</v>
      </c>
      <c r="C2035" t="s">
        <v>18</v>
      </c>
      <c r="D2035">
        <v>3208.29</v>
      </c>
      <c r="E2035">
        <v>1730</v>
      </c>
      <c r="F2035">
        <v>1</v>
      </c>
      <c r="G2035">
        <v>6</v>
      </c>
      <c r="H2035">
        <v>0</v>
      </c>
      <c r="I2035" t="s">
        <v>19</v>
      </c>
      <c r="J2035">
        <v>1</v>
      </c>
      <c r="K2035">
        <v>55</v>
      </c>
      <c r="L2035" t="s">
        <v>24</v>
      </c>
      <c r="M2035" t="s">
        <v>35</v>
      </c>
      <c r="N2035" t="s">
        <v>26</v>
      </c>
      <c r="O2035" t="s">
        <v>36</v>
      </c>
      <c r="P2035">
        <v>9.24</v>
      </c>
      <c r="Q2035" s="2" t="b">
        <f>FALSE()</f>
        <v>0</v>
      </c>
      <c r="R2035">
        <v>0</v>
      </c>
    </row>
    <row r="2036" spans="1:18" x14ac:dyDescent="0.25">
      <c r="A2036">
        <v>202035</v>
      </c>
      <c r="B2036">
        <v>54381</v>
      </c>
      <c r="C2036" t="s">
        <v>18</v>
      </c>
      <c r="D2036">
        <v>263.73</v>
      </c>
      <c r="E2036">
        <v>125</v>
      </c>
      <c r="F2036">
        <v>0</v>
      </c>
      <c r="G2036">
        <v>3</v>
      </c>
      <c r="H2036">
        <v>0</v>
      </c>
      <c r="I2036" t="s">
        <v>33</v>
      </c>
      <c r="J2036">
        <v>0</v>
      </c>
      <c r="K2036">
        <v>76</v>
      </c>
      <c r="L2036" t="s">
        <v>24</v>
      </c>
      <c r="M2036" t="s">
        <v>25</v>
      </c>
      <c r="N2036" t="s">
        <v>22</v>
      </c>
      <c r="O2036" t="s">
        <v>27</v>
      </c>
      <c r="P2036">
        <v>1.65</v>
      </c>
      <c r="Q2036" s="2" t="b">
        <f>FALSE()</f>
        <v>0</v>
      </c>
      <c r="R2036">
        <v>0</v>
      </c>
    </row>
    <row r="2037" spans="1:18" x14ac:dyDescent="0.25">
      <c r="A2037">
        <v>202036</v>
      </c>
      <c r="B2037">
        <v>50260</v>
      </c>
      <c r="C2037" t="s">
        <v>34</v>
      </c>
      <c r="D2037">
        <v>2868.81</v>
      </c>
      <c r="E2037">
        <v>770</v>
      </c>
      <c r="F2037">
        <v>0</v>
      </c>
      <c r="G2037">
        <v>5</v>
      </c>
      <c r="H2037">
        <v>0</v>
      </c>
      <c r="I2037" t="s">
        <v>32</v>
      </c>
      <c r="J2037">
        <v>0</v>
      </c>
      <c r="K2037">
        <v>64</v>
      </c>
      <c r="L2037" t="s">
        <v>24</v>
      </c>
      <c r="M2037" t="s">
        <v>31</v>
      </c>
      <c r="N2037" t="s">
        <v>26</v>
      </c>
      <c r="O2037" t="s">
        <v>27</v>
      </c>
      <c r="P2037">
        <v>0.59</v>
      </c>
      <c r="Q2037" s="2" t="b">
        <f>FALSE()</f>
        <v>0</v>
      </c>
      <c r="R2037">
        <v>0</v>
      </c>
    </row>
    <row r="2038" spans="1:18" x14ac:dyDescent="0.25">
      <c r="A2038">
        <v>202037</v>
      </c>
      <c r="B2038">
        <v>54860</v>
      </c>
      <c r="C2038" t="s">
        <v>18</v>
      </c>
      <c r="D2038">
        <v>3545.84</v>
      </c>
      <c r="E2038">
        <v>1995</v>
      </c>
      <c r="F2038">
        <v>2</v>
      </c>
      <c r="G2038">
        <v>2</v>
      </c>
      <c r="H2038">
        <v>0</v>
      </c>
      <c r="I2038" t="s">
        <v>32</v>
      </c>
      <c r="J2038">
        <v>0</v>
      </c>
      <c r="K2038">
        <v>75</v>
      </c>
      <c r="L2038" t="s">
        <v>20</v>
      </c>
      <c r="M2038" t="s">
        <v>25</v>
      </c>
      <c r="N2038" t="s">
        <v>26</v>
      </c>
      <c r="O2038" t="s">
        <v>36</v>
      </c>
      <c r="P2038">
        <v>11.43</v>
      </c>
      <c r="Q2038" s="2" t="b">
        <f>FALSE()</f>
        <v>0</v>
      </c>
      <c r="R2038">
        <v>0</v>
      </c>
    </row>
    <row r="2039" spans="1:18" x14ac:dyDescent="0.25">
      <c r="A2039">
        <v>202038</v>
      </c>
      <c r="B2039">
        <v>51039</v>
      </c>
      <c r="C2039" t="s">
        <v>18</v>
      </c>
      <c r="D2039">
        <v>3815.56</v>
      </c>
      <c r="E2039">
        <v>778</v>
      </c>
      <c r="F2039">
        <v>2</v>
      </c>
      <c r="G2039">
        <v>4</v>
      </c>
      <c r="H2039">
        <v>0</v>
      </c>
      <c r="I2039" t="s">
        <v>19</v>
      </c>
      <c r="J2039">
        <v>0</v>
      </c>
      <c r="K2039">
        <v>63</v>
      </c>
      <c r="L2039" t="s">
        <v>20</v>
      </c>
      <c r="M2039" t="s">
        <v>21</v>
      </c>
      <c r="N2039" t="s">
        <v>22</v>
      </c>
      <c r="O2039" t="s">
        <v>36</v>
      </c>
      <c r="P2039">
        <v>1.54</v>
      </c>
      <c r="Q2039" s="2" t="b">
        <f>FALSE()</f>
        <v>0</v>
      </c>
      <c r="R2039">
        <v>1</v>
      </c>
    </row>
    <row r="2040" spans="1:18" x14ac:dyDescent="0.25">
      <c r="A2040">
        <v>202039</v>
      </c>
      <c r="B2040">
        <v>51541</v>
      </c>
      <c r="C2040" t="s">
        <v>34</v>
      </c>
      <c r="D2040">
        <v>911.76</v>
      </c>
      <c r="E2040">
        <v>857</v>
      </c>
      <c r="F2040">
        <v>1</v>
      </c>
      <c r="G2040">
        <v>1</v>
      </c>
      <c r="H2040">
        <v>0</v>
      </c>
      <c r="I2040" t="s">
        <v>33</v>
      </c>
      <c r="J2040">
        <v>0</v>
      </c>
      <c r="K2040">
        <v>23</v>
      </c>
      <c r="L2040" t="s">
        <v>20</v>
      </c>
      <c r="M2040" t="s">
        <v>21</v>
      </c>
      <c r="N2040" t="s">
        <v>22</v>
      </c>
      <c r="O2040" t="s">
        <v>27</v>
      </c>
      <c r="P2040">
        <v>2.08</v>
      </c>
      <c r="Q2040" s="2" t="b">
        <f>FALSE()</f>
        <v>0</v>
      </c>
      <c r="R2040">
        <v>0</v>
      </c>
    </row>
    <row r="2041" spans="1:18" x14ac:dyDescent="0.25">
      <c r="A2041">
        <v>202040</v>
      </c>
      <c r="B2041">
        <v>51733</v>
      </c>
      <c r="C2041" t="s">
        <v>18</v>
      </c>
      <c r="D2041">
        <v>3291.5</v>
      </c>
      <c r="E2041">
        <v>2690</v>
      </c>
      <c r="F2041">
        <v>2</v>
      </c>
      <c r="G2041">
        <v>5</v>
      </c>
      <c r="H2041">
        <v>0</v>
      </c>
      <c r="I2041" t="s">
        <v>19</v>
      </c>
      <c r="J2041">
        <v>0</v>
      </c>
      <c r="K2041">
        <v>84</v>
      </c>
      <c r="L2041" t="s">
        <v>20</v>
      </c>
      <c r="M2041" t="s">
        <v>37</v>
      </c>
      <c r="N2041" t="s">
        <v>22</v>
      </c>
      <c r="O2041" t="s">
        <v>36</v>
      </c>
      <c r="P2041">
        <v>0.6</v>
      </c>
      <c r="Q2041" s="2" t="b">
        <f>FALSE()</f>
        <v>0</v>
      </c>
      <c r="R2041">
        <v>0</v>
      </c>
    </row>
    <row r="2042" spans="1:18" x14ac:dyDescent="0.25">
      <c r="A2042">
        <v>202041</v>
      </c>
      <c r="B2042">
        <v>51317</v>
      </c>
      <c r="C2042" t="s">
        <v>34</v>
      </c>
      <c r="D2042">
        <v>2976.84</v>
      </c>
      <c r="E2042">
        <v>1172</v>
      </c>
      <c r="F2042">
        <v>4</v>
      </c>
      <c r="G2042">
        <v>3</v>
      </c>
      <c r="H2042">
        <v>0</v>
      </c>
      <c r="I2042" t="s">
        <v>33</v>
      </c>
      <c r="J2042">
        <v>0</v>
      </c>
      <c r="K2042">
        <v>39</v>
      </c>
      <c r="L2042" t="s">
        <v>24</v>
      </c>
      <c r="M2042" t="s">
        <v>35</v>
      </c>
      <c r="N2042" t="s">
        <v>26</v>
      </c>
      <c r="O2042" t="s">
        <v>27</v>
      </c>
      <c r="P2042">
        <v>0.04</v>
      </c>
      <c r="Q2042" s="2" t="b">
        <f>FALSE()</f>
        <v>0</v>
      </c>
      <c r="R2042">
        <v>1</v>
      </c>
    </row>
    <row r="2043" spans="1:18" x14ac:dyDescent="0.25">
      <c r="A2043">
        <v>202042</v>
      </c>
      <c r="B2043">
        <v>52265</v>
      </c>
      <c r="C2043" t="s">
        <v>28</v>
      </c>
      <c r="D2043">
        <v>1882.62</v>
      </c>
      <c r="E2043">
        <v>1925</v>
      </c>
      <c r="F2043">
        <v>1</v>
      </c>
      <c r="G2043">
        <v>8</v>
      </c>
      <c r="H2043">
        <v>0</v>
      </c>
      <c r="I2043" t="s">
        <v>19</v>
      </c>
      <c r="J2043">
        <v>1</v>
      </c>
      <c r="K2043">
        <v>60</v>
      </c>
      <c r="L2043" t="s">
        <v>24</v>
      </c>
      <c r="M2043" t="s">
        <v>25</v>
      </c>
      <c r="N2043" t="s">
        <v>30</v>
      </c>
      <c r="O2043" t="s">
        <v>36</v>
      </c>
      <c r="P2043">
        <v>3.41</v>
      </c>
      <c r="Q2043" s="2" t="b">
        <f>FALSE()</f>
        <v>0</v>
      </c>
      <c r="R2043">
        <v>1</v>
      </c>
    </row>
    <row r="2044" spans="1:18" x14ac:dyDescent="0.25">
      <c r="A2044">
        <v>202043</v>
      </c>
      <c r="B2044">
        <v>52194</v>
      </c>
      <c r="C2044" t="s">
        <v>28</v>
      </c>
      <c r="D2044">
        <v>4108.63</v>
      </c>
      <c r="E2044">
        <v>2034</v>
      </c>
      <c r="F2044">
        <v>1</v>
      </c>
      <c r="G2044">
        <v>4</v>
      </c>
      <c r="H2044">
        <v>0</v>
      </c>
      <c r="I2044" t="s">
        <v>19</v>
      </c>
      <c r="J2044">
        <v>0</v>
      </c>
      <c r="K2044">
        <v>27</v>
      </c>
      <c r="L2044" t="s">
        <v>24</v>
      </c>
      <c r="M2044" t="s">
        <v>35</v>
      </c>
      <c r="N2044" t="s">
        <v>30</v>
      </c>
      <c r="O2044" t="s">
        <v>23</v>
      </c>
      <c r="P2044">
        <v>1.77</v>
      </c>
      <c r="Q2044" s="2" t="b">
        <f>FALSE()</f>
        <v>0</v>
      </c>
      <c r="R2044">
        <v>1</v>
      </c>
    </row>
    <row r="2045" spans="1:18" x14ac:dyDescent="0.25">
      <c r="A2045">
        <v>202044</v>
      </c>
      <c r="B2045">
        <v>52049</v>
      </c>
      <c r="C2045" t="s">
        <v>34</v>
      </c>
      <c r="D2045">
        <v>1996.46</v>
      </c>
      <c r="E2045">
        <v>3287</v>
      </c>
      <c r="F2045">
        <v>2</v>
      </c>
      <c r="G2045">
        <v>6</v>
      </c>
      <c r="H2045">
        <v>0</v>
      </c>
      <c r="I2045" t="s">
        <v>32</v>
      </c>
      <c r="J2045">
        <v>1</v>
      </c>
      <c r="K2045">
        <v>59</v>
      </c>
      <c r="L2045" t="s">
        <v>24</v>
      </c>
      <c r="M2045" t="s">
        <v>21</v>
      </c>
      <c r="N2045" t="s">
        <v>30</v>
      </c>
      <c r="O2045" t="s">
        <v>27</v>
      </c>
      <c r="P2045">
        <v>7.33</v>
      </c>
      <c r="Q2045" s="2" t="b">
        <f>FALSE()</f>
        <v>0</v>
      </c>
      <c r="R2045">
        <v>0</v>
      </c>
    </row>
    <row r="2046" spans="1:18" x14ac:dyDescent="0.25">
      <c r="A2046">
        <v>202045</v>
      </c>
      <c r="B2046">
        <v>50133</v>
      </c>
      <c r="C2046" t="s">
        <v>34</v>
      </c>
      <c r="D2046">
        <v>4789.4799999999996</v>
      </c>
      <c r="E2046">
        <v>3362</v>
      </c>
      <c r="F2046">
        <v>1</v>
      </c>
      <c r="G2046">
        <v>6</v>
      </c>
      <c r="H2046">
        <v>1</v>
      </c>
      <c r="I2046" t="s">
        <v>19</v>
      </c>
      <c r="J2046">
        <v>0</v>
      </c>
      <c r="K2046">
        <v>52</v>
      </c>
      <c r="L2046" t="s">
        <v>24</v>
      </c>
      <c r="M2046" t="s">
        <v>25</v>
      </c>
      <c r="N2046" t="s">
        <v>22</v>
      </c>
      <c r="O2046" t="s">
        <v>36</v>
      </c>
      <c r="P2046">
        <v>1.98</v>
      </c>
      <c r="Q2046" s="2" t="b">
        <f>FALSE()</f>
        <v>0</v>
      </c>
      <c r="R2046">
        <v>1</v>
      </c>
    </row>
    <row r="2047" spans="1:18" x14ac:dyDescent="0.25">
      <c r="A2047">
        <v>202046</v>
      </c>
      <c r="B2047">
        <v>53585</v>
      </c>
      <c r="C2047" t="s">
        <v>18</v>
      </c>
      <c r="D2047">
        <v>848.68</v>
      </c>
      <c r="E2047">
        <v>12</v>
      </c>
      <c r="F2047">
        <v>0</v>
      </c>
      <c r="G2047">
        <v>8</v>
      </c>
      <c r="H2047">
        <v>0</v>
      </c>
      <c r="I2047" t="s">
        <v>33</v>
      </c>
      <c r="J2047">
        <v>0</v>
      </c>
      <c r="K2047">
        <v>41</v>
      </c>
      <c r="L2047" t="s">
        <v>24</v>
      </c>
      <c r="M2047" t="s">
        <v>35</v>
      </c>
      <c r="N2047" t="s">
        <v>30</v>
      </c>
      <c r="O2047" t="s">
        <v>27</v>
      </c>
      <c r="P2047">
        <v>1.67</v>
      </c>
      <c r="Q2047" s="2" t="b">
        <f>FALSE()</f>
        <v>0</v>
      </c>
      <c r="R2047">
        <v>1</v>
      </c>
    </row>
    <row r="2048" spans="1:18" x14ac:dyDescent="0.25">
      <c r="A2048">
        <v>202047</v>
      </c>
      <c r="B2048">
        <v>52315</v>
      </c>
      <c r="C2048" t="s">
        <v>34</v>
      </c>
      <c r="D2048">
        <v>569.14</v>
      </c>
      <c r="E2048">
        <v>1066</v>
      </c>
      <c r="F2048">
        <v>0</v>
      </c>
      <c r="G2048">
        <v>0</v>
      </c>
      <c r="H2048">
        <v>0</v>
      </c>
      <c r="I2048" t="s">
        <v>19</v>
      </c>
      <c r="J2048">
        <v>0</v>
      </c>
      <c r="K2048">
        <v>80</v>
      </c>
      <c r="L2048" t="s">
        <v>24</v>
      </c>
      <c r="M2048" t="s">
        <v>29</v>
      </c>
      <c r="N2048" t="s">
        <v>22</v>
      </c>
      <c r="O2048" t="s">
        <v>23</v>
      </c>
      <c r="P2048">
        <v>13.01</v>
      </c>
      <c r="Q2048" s="2" t="b">
        <f>FALSE()</f>
        <v>0</v>
      </c>
      <c r="R2048">
        <v>0</v>
      </c>
    </row>
    <row r="2049" spans="1:18" x14ac:dyDescent="0.25">
      <c r="A2049">
        <v>202048</v>
      </c>
      <c r="B2049">
        <v>50087</v>
      </c>
      <c r="C2049" t="s">
        <v>18</v>
      </c>
      <c r="D2049">
        <v>2630.36</v>
      </c>
      <c r="E2049">
        <v>2749</v>
      </c>
      <c r="F2049">
        <v>2</v>
      </c>
      <c r="G2049">
        <v>8</v>
      </c>
      <c r="H2049">
        <v>1</v>
      </c>
      <c r="I2049" t="s">
        <v>19</v>
      </c>
      <c r="J2049">
        <v>0</v>
      </c>
      <c r="K2049">
        <v>76</v>
      </c>
      <c r="L2049" t="s">
        <v>20</v>
      </c>
      <c r="M2049" t="s">
        <v>35</v>
      </c>
      <c r="N2049" t="s">
        <v>30</v>
      </c>
      <c r="O2049" t="s">
        <v>23</v>
      </c>
      <c r="P2049">
        <v>1.46</v>
      </c>
      <c r="Q2049" s="2" t="b">
        <f>FALSE()</f>
        <v>0</v>
      </c>
      <c r="R2049">
        <v>1</v>
      </c>
    </row>
    <row r="2050" spans="1:18" x14ac:dyDescent="0.25">
      <c r="A2050">
        <v>202049</v>
      </c>
      <c r="B2050">
        <v>54859</v>
      </c>
      <c r="C2050" t="s">
        <v>18</v>
      </c>
      <c r="D2050">
        <v>1890.52</v>
      </c>
      <c r="E2050">
        <v>2007</v>
      </c>
      <c r="F2050">
        <v>0</v>
      </c>
      <c r="G2050">
        <v>1</v>
      </c>
      <c r="H2050">
        <v>0</v>
      </c>
      <c r="I2050" t="s">
        <v>32</v>
      </c>
      <c r="J2050">
        <v>0</v>
      </c>
      <c r="K2050">
        <v>53</v>
      </c>
      <c r="L2050" t="s">
        <v>20</v>
      </c>
      <c r="M2050" t="s">
        <v>25</v>
      </c>
      <c r="N2050" t="s">
        <v>22</v>
      </c>
      <c r="O2050" t="s">
        <v>36</v>
      </c>
      <c r="P2050">
        <v>1.76</v>
      </c>
      <c r="Q2050" s="2" t="b">
        <f>FALSE()</f>
        <v>0</v>
      </c>
      <c r="R2050">
        <v>0</v>
      </c>
    </row>
    <row r="2051" spans="1:18" x14ac:dyDescent="0.25">
      <c r="A2051">
        <v>202050</v>
      </c>
      <c r="B2051">
        <v>55402</v>
      </c>
      <c r="C2051" t="s">
        <v>34</v>
      </c>
      <c r="D2051">
        <v>3672.22</v>
      </c>
      <c r="E2051">
        <v>367</v>
      </c>
      <c r="F2051">
        <v>1</v>
      </c>
      <c r="G2051">
        <v>5</v>
      </c>
      <c r="H2051">
        <v>0</v>
      </c>
      <c r="I2051" t="s">
        <v>33</v>
      </c>
      <c r="J2051">
        <v>1</v>
      </c>
      <c r="K2051">
        <v>42</v>
      </c>
      <c r="L2051" t="s">
        <v>20</v>
      </c>
      <c r="M2051" t="s">
        <v>31</v>
      </c>
      <c r="N2051" t="s">
        <v>30</v>
      </c>
      <c r="O2051" t="s">
        <v>27</v>
      </c>
      <c r="P2051">
        <v>1.43</v>
      </c>
      <c r="Q2051" s="2" t="b">
        <f>FALSE()</f>
        <v>0</v>
      </c>
      <c r="R2051">
        <v>1</v>
      </c>
    </row>
    <row r="2052" spans="1:18" x14ac:dyDescent="0.25">
      <c r="A2052">
        <v>202051</v>
      </c>
      <c r="B2052">
        <v>53113</v>
      </c>
      <c r="C2052" t="s">
        <v>18</v>
      </c>
      <c r="D2052">
        <v>3999.89</v>
      </c>
      <c r="E2052">
        <v>3615</v>
      </c>
      <c r="F2052">
        <v>1</v>
      </c>
      <c r="G2052">
        <v>2</v>
      </c>
      <c r="H2052">
        <v>1</v>
      </c>
      <c r="I2052" t="s">
        <v>33</v>
      </c>
      <c r="J2052">
        <v>0</v>
      </c>
      <c r="K2052">
        <v>39</v>
      </c>
      <c r="L2052" t="s">
        <v>20</v>
      </c>
      <c r="M2052" t="s">
        <v>31</v>
      </c>
      <c r="N2052" t="s">
        <v>22</v>
      </c>
      <c r="O2052" t="s">
        <v>27</v>
      </c>
      <c r="P2052">
        <v>0.6</v>
      </c>
      <c r="Q2052" s="2" t="b">
        <f>FALSE()</f>
        <v>0</v>
      </c>
      <c r="R2052">
        <v>1</v>
      </c>
    </row>
    <row r="2053" spans="1:18" x14ac:dyDescent="0.25">
      <c r="A2053">
        <v>202052</v>
      </c>
      <c r="B2053">
        <v>52829</v>
      </c>
      <c r="C2053" t="s">
        <v>34</v>
      </c>
      <c r="D2053">
        <v>2197</v>
      </c>
      <c r="E2053">
        <v>469</v>
      </c>
      <c r="F2053">
        <v>1</v>
      </c>
      <c r="G2053">
        <v>4</v>
      </c>
      <c r="H2053">
        <v>1</v>
      </c>
      <c r="I2053" t="s">
        <v>19</v>
      </c>
      <c r="J2053">
        <v>0</v>
      </c>
      <c r="K2053">
        <v>48</v>
      </c>
      <c r="L2053" t="s">
        <v>24</v>
      </c>
      <c r="M2053" t="s">
        <v>35</v>
      </c>
      <c r="N2053" t="s">
        <v>22</v>
      </c>
      <c r="O2053" t="s">
        <v>36</v>
      </c>
      <c r="P2053">
        <v>1.86</v>
      </c>
      <c r="Q2053" s="2" t="b">
        <f>FALSE()</f>
        <v>0</v>
      </c>
      <c r="R2053">
        <v>0</v>
      </c>
    </row>
    <row r="2054" spans="1:18" x14ac:dyDescent="0.25">
      <c r="A2054">
        <v>202053</v>
      </c>
      <c r="B2054">
        <v>51740</v>
      </c>
      <c r="C2054" t="s">
        <v>18</v>
      </c>
      <c r="D2054">
        <v>964.06</v>
      </c>
      <c r="E2054">
        <v>1094</v>
      </c>
      <c r="F2054">
        <v>0</v>
      </c>
      <c r="G2054">
        <v>7</v>
      </c>
      <c r="H2054">
        <v>1</v>
      </c>
      <c r="I2054" t="s">
        <v>32</v>
      </c>
      <c r="J2054">
        <v>0</v>
      </c>
      <c r="K2054">
        <v>39</v>
      </c>
      <c r="L2054" t="s">
        <v>24</v>
      </c>
      <c r="M2054" t="s">
        <v>25</v>
      </c>
      <c r="N2054" t="s">
        <v>26</v>
      </c>
      <c r="O2054" t="s">
        <v>27</v>
      </c>
      <c r="P2054">
        <v>1.44</v>
      </c>
      <c r="Q2054" s="2" t="b">
        <f>FALSE()</f>
        <v>0</v>
      </c>
      <c r="R2054">
        <v>1</v>
      </c>
    </row>
    <row r="2055" spans="1:18" x14ac:dyDescent="0.25">
      <c r="A2055">
        <v>202054</v>
      </c>
      <c r="B2055">
        <v>54755</v>
      </c>
      <c r="C2055" t="s">
        <v>18</v>
      </c>
      <c r="D2055">
        <v>1773.14</v>
      </c>
      <c r="E2055">
        <v>1839</v>
      </c>
      <c r="F2055">
        <v>1</v>
      </c>
      <c r="G2055">
        <v>6</v>
      </c>
      <c r="H2055">
        <v>1</v>
      </c>
      <c r="I2055" t="s">
        <v>32</v>
      </c>
      <c r="J2055">
        <v>0</v>
      </c>
      <c r="K2055">
        <v>33</v>
      </c>
      <c r="L2055" t="s">
        <v>20</v>
      </c>
      <c r="M2055" t="s">
        <v>29</v>
      </c>
      <c r="N2055" t="s">
        <v>30</v>
      </c>
      <c r="O2055" t="s">
        <v>27</v>
      </c>
      <c r="P2055">
        <v>0.13</v>
      </c>
      <c r="Q2055" s="2" t="b">
        <f>FALSE()</f>
        <v>0</v>
      </c>
      <c r="R2055">
        <v>0</v>
      </c>
    </row>
    <row r="2056" spans="1:18" x14ac:dyDescent="0.25">
      <c r="A2056">
        <v>202055</v>
      </c>
      <c r="B2056">
        <v>50855</v>
      </c>
      <c r="C2056" t="s">
        <v>18</v>
      </c>
      <c r="D2056">
        <v>1938.98</v>
      </c>
      <c r="E2056">
        <v>3270</v>
      </c>
      <c r="F2056">
        <v>0</v>
      </c>
      <c r="G2056">
        <v>2</v>
      </c>
      <c r="H2056">
        <v>0</v>
      </c>
      <c r="I2056" t="s">
        <v>33</v>
      </c>
      <c r="J2056">
        <v>0</v>
      </c>
      <c r="K2056">
        <v>74</v>
      </c>
      <c r="L2056" t="s">
        <v>24</v>
      </c>
      <c r="M2056" t="s">
        <v>31</v>
      </c>
      <c r="N2056" t="s">
        <v>22</v>
      </c>
      <c r="O2056" t="s">
        <v>27</v>
      </c>
      <c r="P2056">
        <v>0.41</v>
      </c>
      <c r="Q2056" s="2" t="b">
        <f>FALSE()</f>
        <v>0</v>
      </c>
      <c r="R2056">
        <v>0</v>
      </c>
    </row>
    <row r="2057" spans="1:18" x14ac:dyDescent="0.25">
      <c r="A2057">
        <v>202056</v>
      </c>
      <c r="B2057">
        <v>51932</v>
      </c>
      <c r="C2057" t="s">
        <v>18</v>
      </c>
      <c r="D2057">
        <v>2204.7199999999998</v>
      </c>
      <c r="E2057">
        <v>1275</v>
      </c>
      <c r="F2057">
        <v>3</v>
      </c>
      <c r="G2057">
        <v>3</v>
      </c>
      <c r="H2057">
        <v>0</v>
      </c>
      <c r="I2057" t="s">
        <v>32</v>
      </c>
      <c r="J2057">
        <v>0</v>
      </c>
      <c r="K2057">
        <v>48</v>
      </c>
      <c r="L2057" t="s">
        <v>20</v>
      </c>
      <c r="M2057" t="s">
        <v>29</v>
      </c>
      <c r="N2057" t="s">
        <v>26</v>
      </c>
      <c r="O2057" t="s">
        <v>36</v>
      </c>
      <c r="P2057">
        <v>5.39</v>
      </c>
      <c r="Q2057" s="2" t="b">
        <f>FALSE()</f>
        <v>0</v>
      </c>
      <c r="R2057">
        <v>1</v>
      </c>
    </row>
    <row r="2058" spans="1:18" x14ac:dyDescent="0.25">
      <c r="A2058">
        <v>202057</v>
      </c>
      <c r="B2058">
        <v>50372</v>
      </c>
      <c r="C2058" t="s">
        <v>18</v>
      </c>
      <c r="D2058">
        <v>501.09</v>
      </c>
      <c r="E2058">
        <v>739</v>
      </c>
      <c r="F2058">
        <v>2</v>
      </c>
      <c r="G2058">
        <v>5</v>
      </c>
      <c r="H2058">
        <v>1</v>
      </c>
      <c r="I2058" t="s">
        <v>19</v>
      </c>
      <c r="J2058">
        <v>0</v>
      </c>
      <c r="K2058">
        <v>81</v>
      </c>
      <c r="L2058" t="s">
        <v>20</v>
      </c>
      <c r="M2058" t="s">
        <v>25</v>
      </c>
      <c r="N2058" t="s">
        <v>22</v>
      </c>
      <c r="O2058" t="s">
        <v>27</v>
      </c>
      <c r="P2058">
        <v>3.1</v>
      </c>
      <c r="Q2058" s="2" t="b">
        <f>FALSE()</f>
        <v>0</v>
      </c>
      <c r="R2058">
        <v>0</v>
      </c>
    </row>
    <row r="2059" spans="1:18" x14ac:dyDescent="0.25">
      <c r="A2059">
        <v>202058</v>
      </c>
      <c r="B2059">
        <v>53202</v>
      </c>
      <c r="C2059" t="s">
        <v>18</v>
      </c>
      <c r="D2059">
        <v>5223.3100000000004</v>
      </c>
      <c r="E2059">
        <v>1902</v>
      </c>
      <c r="F2059">
        <v>2</v>
      </c>
      <c r="G2059">
        <v>1</v>
      </c>
      <c r="H2059">
        <v>0</v>
      </c>
      <c r="I2059" t="s">
        <v>33</v>
      </c>
      <c r="J2059">
        <v>1</v>
      </c>
      <c r="K2059">
        <v>42</v>
      </c>
      <c r="L2059" t="s">
        <v>24</v>
      </c>
      <c r="M2059" t="s">
        <v>25</v>
      </c>
      <c r="N2059" t="s">
        <v>30</v>
      </c>
      <c r="O2059" t="s">
        <v>36</v>
      </c>
      <c r="P2059">
        <v>0.49</v>
      </c>
      <c r="Q2059" s="2" t="b">
        <f>FALSE()</f>
        <v>0</v>
      </c>
      <c r="R2059">
        <v>1</v>
      </c>
    </row>
    <row r="2060" spans="1:18" x14ac:dyDescent="0.25">
      <c r="A2060">
        <v>202059</v>
      </c>
      <c r="B2060">
        <v>52069</v>
      </c>
      <c r="C2060" t="s">
        <v>34</v>
      </c>
      <c r="D2060">
        <v>3913.84</v>
      </c>
      <c r="E2060">
        <v>1083</v>
      </c>
      <c r="F2060">
        <v>1</v>
      </c>
      <c r="G2060">
        <v>3</v>
      </c>
      <c r="H2060">
        <v>0</v>
      </c>
      <c r="I2060" t="s">
        <v>33</v>
      </c>
      <c r="J2060">
        <v>0</v>
      </c>
      <c r="K2060">
        <v>71</v>
      </c>
      <c r="L2060" t="s">
        <v>24</v>
      </c>
      <c r="M2060" t="s">
        <v>29</v>
      </c>
      <c r="N2060" t="s">
        <v>26</v>
      </c>
      <c r="O2060" t="s">
        <v>23</v>
      </c>
      <c r="P2060">
        <v>2.37</v>
      </c>
      <c r="Q2060" s="2" t="b">
        <f>FALSE()</f>
        <v>0</v>
      </c>
      <c r="R2060">
        <v>1</v>
      </c>
    </row>
    <row r="2061" spans="1:18" x14ac:dyDescent="0.25">
      <c r="A2061">
        <v>202060</v>
      </c>
      <c r="B2061">
        <v>55619</v>
      </c>
      <c r="C2061" t="s">
        <v>18</v>
      </c>
      <c r="D2061">
        <v>1940.6</v>
      </c>
      <c r="E2061">
        <v>1384</v>
      </c>
      <c r="F2061">
        <v>1</v>
      </c>
      <c r="G2061">
        <v>7</v>
      </c>
      <c r="H2061">
        <v>0</v>
      </c>
      <c r="I2061" t="s">
        <v>19</v>
      </c>
      <c r="J2061">
        <v>0</v>
      </c>
      <c r="K2061">
        <v>33</v>
      </c>
      <c r="L2061" t="s">
        <v>20</v>
      </c>
      <c r="M2061" t="s">
        <v>37</v>
      </c>
      <c r="N2061" t="s">
        <v>22</v>
      </c>
      <c r="O2061" t="s">
        <v>27</v>
      </c>
      <c r="P2061">
        <v>2.72</v>
      </c>
      <c r="Q2061" s="2" t="b">
        <f>FALSE()</f>
        <v>0</v>
      </c>
      <c r="R2061">
        <v>1</v>
      </c>
    </row>
    <row r="2062" spans="1:18" x14ac:dyDescent="0.25">
      <c r="A2062">
        <v>202061</v>
      </c>
      <c r="B2062">
        <v>52956</v>
      </c>
      <c r="C2062" t="s">
        <v>34</v>
      </c>
      <c r="D2062">
        <v>1786.27</v>
      </c>
      <c r="E2062">
        <v>2297</v>
      </c>
      <c r="F2062">
        <v>2</v>
      </c>
      <c r="G2062">
        <v>4</v>
      </c>
      <c r="H2062">
        <v>0</v>
      </c>
      <c r="I2062" t="s">
        <v>32</v>
      </c>
      <c r="J2062">
        <v>0</v>
      </c>
      <c r="K2062">
        <v>36</v>
      </c>
      <c r="L2062" t="s">
        <v>20</v>
      </c>
      <c r="M2062" t="s">
        <v>31</v>
      </c>
      <c r="N2062" t="s">
        <v>30</v>
      </c>
      <c r="O2062" t="s">
        <v>23</v>
      </c>
      <c r="P2062">
        <v>0.99</v>
      </c>
      <c r="Q2062" s="2" t="b">
        <f>FALSE()</f>
        <v>0</v>
      </c>
      <c r="R2062">
        <v>0</v>
      </c>
    </row>
    <row r="2063" spans="1:18" x14ac:dyDescent="0.25">
      <c r="A2063">
        <v>202062</v>
      </c>
      <c r="B2063">
        <v>52375</v>
      </c>
      <c r="C2063" t="s">
        <v>34</v>
      </c>
      <c r="D2063">
        <v>621.84</v>
      </c>
      <c r="E2063">
        <v>1287</v>
      </c>
      <c r="F2063">
        <v>0</v>
      </c>
      <c r="G2063">
        <v>4</v>
      </c>
      <c r="H2063">
        <v>0</v>
      </c>
      <c r="I2063" t="s">
        <v>32</v>
      </c>
      <c r="J2063">
        <v>0</v>
      </c>
      <c r="K2063">
        <v>47</v>
      </c>
      <c r="L2063" t="s">
        <v>20</v>
      </c>
      <c r="M2063" t="s">
        <v>21</v>
      </c>
      <c r="N2063" t="s">
        <v>22</v>
      </c>
      <c r="O2063" t="s">
        <v>23</v>
      </c>
      <c r="P2063">
        <v>7.03</v>
      </c>
      <c r="Q2063" s="2" t="b">
        <f>FALSE()</f>
        <v>0</v>
      </c>
      <c r="R2063">
        <v>0</v>
      </c>
    </row>
    <row r="2064" spans="1:18" x14ac:dyDescent="0.25">
      <c r="A2064">
        <v>202063</v>
      </c>
      <c r="B2064">
        <v>54573</v>
      </c>
      <c r="C2064" t="s">
        <v>34</v>
      </c>
      <c r="D2064">
        <v>2852.01</v>
      </c>
      <c r="E2064">
        <v>2800</v>
      </c>
      <c r="F2064">
        <v>0</v>
      </c>
      <c r="G2064">
        <v>4</v>
      </c>
      <c r="H2064">
        <v>1</v>
      </c>
      <c r="I2064" t="s">
        <v>32</v>
      </c>
      <c r="J2064">
        <v>1</v>
      </c>
      <c r="K2064">
        <v>51</v>
      </c>
      <c r="L2064" t="s">
        <v>24</v>
      </c>
      <c r="M2064" t="s">
        <v>29</v>
      </c>
      <c r="N2064" t="s">
        <v>22</v>
      </c>
      <c r="O2064" t="s">
        <v>27</v>
      </c>
      <c r="P2064">
        <v>1.25</v>
      </c>
      <c r="Q2064" s="2" t="b">
        <f>FALSE()</f>
        <v>0</v>
      </c>
      <c r="R2064">
        <v>0</v>
      </c>
    </row>
    <row r="2065" spans="1:18" x14ac:dyDescent="0.25">
      <c r="A2065">
        <v>202064</v>
      </c>
      <c r="B2065">
        <v>54226</v>
      </c>
      <c r="C2065" t="s">
        <v>28</v>
      </c>
      <c r="D2065">
        <v>1399.58</v>
      </c>
      <c r="E2065">
        <v>2503</v>
      </c>
      <c r="F2065">
        <v>1</v>
      </c>
      <c r="G2065">
        <v>4</v>
      </c>
      <c r="H2065">
        <v>1</v>
      </c>
      <c r="I2065" t="s">
        <v>33</v>
      </c>
      <c r="J2065">
        <v>1</v>
      </c>
      <c r="K2065">
        <v>69</v>
      </c>
      <c r="L2065" t="s">
        <v>24</v>
      </c>
      <c r="M2065" t="s">
        <v>31</v>
      </c>
      <c r="N2065" t="s">
        <v>30</v>
      </c>
      <c r="O2065" t="s">
        <v>23</v>
      </c>
      <c r="P2065">
        <v>2.4900000000000002</v>
      </c>
      <c r="Q2065" s="2" t="b">
        <f>FALSE()</f>
        <v>0</v>
      </c>
      <c r="R2065">
        <v>0</v>
      </c>
    </row>
    <row r="2066" spans="1:18" x14ac:dyDescent="0.25">
      <c r="A2066">
        <v>202065</v>
      </c>
      <c r="B2066">
        <v>53061</v>
      </c>
      <c r="C2066" t="s">
        <v>34</v>
      </c>
      <c r="D2066">
        <v>2757.94</v>
      </c>
      <c r="E2066">
        <v>713</v>
      </c>
      <c r="F2066">
        <v>0</v>
      </c>
      <c r="G2066">
        <v>1</v>
      </c>
      <c r="H2066">
        <v>0</v>
      </c>
      <c r="I2066" t="s">
        <v>33</v>
      </c>
      <c r="J2066">
        <v>0</v>
      </c>
      <c r="K2066">
        <v>21</v>
      </c>
      <c r="L2066" t="s">
        <v>20</v>
      </c>
      <c r="M2066" t="s">
        <v>25</v>
      </c>
      <c r="N2066" t="s">
        <v>26</v>
      </c>
      <c r="O2066" t="s">
        <v>23</v>
      </c>
      <c r="P2066">
        <v>3.46</v>
      </c>
      <c r="Q2066" s="2" t="b">
        <f>FALSE()</f>
        <v>0</v>
      </c>
      <c r="R2066">
        <v>0</v>
      </c>
    </row>
    <row r="2067" spans="1:18" x14ac:dyDescent="0.25">
      <c r="A2067">
        <v>202066</v>
      </c>
      <c r="B2067">
        <v>51732</v>
      </c>
      <c r="C2067" t="s">
        <v>34</v>
      </c>
      <c r="D2067">
        <v>3097.82</v>
      </c>
      <c r="E2067">
        <v>265</v>
      </c>
      <c r="F2067">
        <v>1</v>
      </c>
      <c r="G2067">
        <v>2</v>
      </c>
      <c r="H2067">
        <v>0</v>
      </c>
      <c r="I2067" t="s">
        <v>19</v>
      </c>
      <c r="J2067">
        <v>0</v>
      </c>
      <c r="K2067">
        <v>20</v>
      </c>
      <c r="L2067" t="s">
        <v>20</v>
      </c>
      <c r="M2067" t="s">
        <v>37</v>
      </c>
      <c r="N2067" t="s">
        <v>26</v>
      </c>
      <c r="O2067" t="s">
        <v>27</v>
      </c>
      <c r="P2067">
        <v>2.2400000000000002</v>
      </c>
      <c r="Q2067" s="2" t="b">
        <f>FALSE()</f>
        <v>0</v>
      </c>
      <c r="R2067">
        <v>0</v>
      </c>
    </row>
    <row r="2068" spans="1:18" x14ac:dyDescent="0.25">
      <c r="A2068">
        <v>202067</v>
      </c>
      <c r="B2068">
        <v>55604</v>
      </c>
      <c r="C2068" t="s">
        <v>18</v>
      </c>
      <c r="D2068">
        <v>770.89</v>
      </c>
      <c r="E2068">
        <v>2231</v>
      </c>
      <c r="F2068">
        <v>2</v>
      </c>
      <c r="G2068">
        <v>3</v>
      </c>
      <c r="H2068">
        <v>0</v>
      </c>
      <c r="I2068" t="s">
        <v>33</v>
      </c>
      <c r="J2068">
        <v>0</v>
      </c>
      <c r="K2068">
        <v>48</v>
      </c>
      <c r="L2068" t="s">
        <v>24</v>
      </c>
      <c r="M2068" t="s">
        <v>35</v>
      </c>
      <c r="N2068" t="s">
        <v>26</v>
      </c>
      <c r="O2068" t="s">
        <v>36</v>
      </c>
      <c r="P2068">
        <v>6.19</v>
      </c>
      <c r="Q2068" s="2" t="b">
        <f>FALSE()</f>
        <v>0</v>
      </c>
      <c r="R2068">
        <v>0</v>
      </c>
    </row>
    <row r="2069" spans="1:18" x14ac:dyDescent="0.25">
      <c r="A2069">
        <v>202068</v>
      </c>
      <c r="B2069">
        <v>50887</v>
      </c>
      <c r="C2069" t="s">
        <v>18</v>
      </c>
      <c r="D2069">
        <v>1921.17</v>
      </c>
      <c r="E2069">
        <v>372</v>
      </c>
      <c r="F2069">
        <v>1</v>
      </c>
      <c r="G2069">
        <v>3</v>
      </c>
      <c r="H2069">
        <v>1</v>
      </c>
      <c r="I2069" t="s">
        <v>33</v>
      </c>
      <c r="J2069">
        <v>0</v>
      </c>
      <c r="K2069">
        <v>65</v>
      </c>
      <c r="L2069" t="s">
        <v>24</v>
      </c>
      <c r="M2069" t="s">
        <v>25</v>
      </c>
      <c r="N2069" t="s">
        <v>22</v>
      </c>
      <c r="O2069" t="s">
        <v>23</v>
      </c>
      <c r="P2069">
        <v>5.84</v>
      </c>
      <c r="Q2069" s="2" t="b">
        <f>FALSE()</f>
        <v>0</v>
      </c>
      <c r="R2069">
        <v>0</v>
      </c>
    </row>
    <row r="2070" spans="1:18" x14ac:dyDescent="0.25">
      <c r="A2070">
        <v>202069</v>
      </c>
      <c r="B2070">
        <v>52668</v>
      </c>
      <c r="C2070" t="s">
        <v>18</v>
      </c>
      <c r="D2070">
        <v>2586.58</v>
      </c>
      <c r="E2070">
        <v>2058</v>
      </c>
      <c r="F2070">
        <v>0</v>
      </c>
      <c r="G2070">
        <v>4</v>
      </c>
      <c r="H2070">
        <v>0</v>
      </c>
      <c r="I2070" t="s">
        <v>33</v>
      </c>
      <c r="J2070">
        <v>0</v>
      </c>
      <c r="K2070">
        <v>81</v>
      </c>
      <c r="L2070" t="s">
        <v>24</v>
      </c>
      <c r="M2070" t="s">
        <v>29</v>
      </c>
      <c r="N2070" t="s">
        <v>30</v>
      </c>
      <c r="O2070" t="s">
        <v>23</v>
      </c>
      <c r="P2070">
        <v>0.02</v>
      </c>
      <c r="Q2070" s="2" t="b">
        <f>FALSE()</f>
        <v>0</v>
      </c>
      <c r="R2070">
        <v>0</v>
      </c>
    </row>
    <row r="2071" spans="1:18" x14ac:dyDescent="0.25">
      <c r="A2071">
        <v>202070</v>
      </c>
      <c r="B2071">
        <v>53693</v>
      </c>
      <c r="C2071" t="s">
        <v>34</v>
      </c>
      <c r="D2071">
        <v>1290.24</v>
      </c>
      <c r="E2071">
        <v>568</v>
      </c>
      <c r="F2071">
        <v>0</v>
      </c>
      <c r="G2071">
        <v>2</v>
      </c>
      <c r="H2071">
        <v>0</v>
      </c>
      <c r="I2071" t="s">
        <v>19</v>
      </c>
      <c r="J2071">
        <v>1</v>
      </c>
      <c r="K2071">
        <v>42</v>
      </c>
      <c r="L2071" t="s">
        <v>24</v>
      </c>
      <c r="M2071" t="s">
        <v>21</v>
      </c>
      <c r="N2071" t="s">
        <v>26</v>
      </c>
      <c r="O2071" t="s">
        <v>27</v>
      </c>
      <c r="P2071">
        <v>8.84</v>
      </c>
      <c r="Q2071" s="2" t="b">
        <f>FALSE()</f>
        <v>0</v>
      </c>
      <c r="R2071">
        <v>0</v>
      </c>
    </row>
    <row r="2072" spans="1:18" x14ac:dyDescent="0.25">
      <c r="A2072">
        <v>202071</v>
      </c>
      <c r="B2072">
        <v>51377</v>
      </c>
      <c r="C2072" t="s">
        <v>18</v>
      </c>
      <c r="D2072">
        <v>5207.67</v>
      </c>
      <c r="E2072">
        <v>1091</v>
      </c>
      <c r="F2072">
        <v>2</v>
      </c>
      <c r="G2072">
        <v>2</v>
      </c>
      <c r="H2072">
        <v>0</v>
      </c>
      <c r="I2072" t="s">
        <v>33</v>
      </c>
      <c r="J2072">
        <v>0</v>
      </c>
      <c r="K2072">
        <v>79</v>
      </c>
      <c r="L2072" t="s">
        <v>20</v>
      </c>
      <c r="M2072" t="s">
        <v>37</v>
      </c>
      <c r="N2072" t="s">
        <v>22</v>
      </c>
      <c r="O2072" t="s">
        <v>36</v>
      </c>
      <c r="P2072">
        <v>1.1000000000000001</v>
      </c>
      <c r="Q2072" s="2" t="b">
        <f>FALSE()</f>
        <v>0</v>
      </c>
      <c r="R2072">
        <v>1</v>
      </c>
    </row>
    <row r="2073" spans="1:18" x14ac:dyDescent="0.25">
      <c r="A2073">
        <v>202072</v>
      </c>
      <c r="B2073">
        <v>55930</v>
      </c>
      <c r="C2073" t="s">
        <v>28</v>
      </c>
      <c r="D2073">
        <v>3405.39</v>
      </c>
      <c r="E2073">
        <v>1140</v>
      </c>
      <c r="F2073">
        <v>0</v>
      </c>
      <c r="G2073">
        <v>4</v>
      </c>
      <c r="H2073">
        <v>1</v>
      </c>
      <c r="I2073" t="s">
        <v>19</v>
      </c>
      <c r="J2073">
        <v>1</v>
      </c>
      <c r="K2073">
        <v>50</v>
      </c>
      <c r="L2073" t="s">
        <v>24</v>
      </c>
      <c r="M2073" t="s">
        <v>35</v>
      </c>
      <c r="N2073" t="s">
        <v>22</v>
      </c>
      <c r="O2073" t="s">
        <v>36</v>
      </c>
      <c r="P2073">
        <v>0.43</v>
      </c>
      <c r="Q2073" s="2" t="b">
        <f>FALSE()</f>
        <v>0</v>
      </c>
      <c r="R2073">
        <v>0</v>
      </c>
    </row>
    <row r="2074" spans="1:18" x14ac:dyDescent="0.25">
      <c r="A2074">
        <v>202073</v>
      </c>
      <c r="B2074">
        <v>51636</v>
      </c>
      <c r="C2074" t="s">
        <v>18</v>
      </c>
      <c r="D2074">
        <v>1923.33</v>
      </c>
      <c r="E2074">
        <v>2877</v>
      </c>
      <c r="F2074">
        <v>1</v>
      </c>
      <c r="G2074">
        <v>5</v>
      </c>
      <c r="H2074">
        <v>1</v>
      </c>
      <c r="I2074" t="s">
        <v>33</v>
      </c>
      <c r="J2074">
        <v>0</v>
      </c>
      <c r="K2074">
        <v>61</v>
      </c>
      <c r="L2074" t="s">
        <v>20</v>
      </c>
      <c r="M2074" t="s">
        <v>37</v>
      </c>
      <c r="N2074" t="s">
        <v>26</v>
      </c>
      <c r="O2074" t="s">
        <v>27</v>
      </c>
      <c r="P2074">
        <v>0.23</v>
      </c>
      <c r="Q2074" s="2" t="b">
        <f>FALSE()</f>
        <v>0</v>
      </c>
      <c r="R2074">
        <v>0</v>
      </c>
    </row>
    <row r="2075" spans="1:18" x14ac:dyDescent="0.25">
      <c r="A2075">
        <v>202074</v>
      </c>
      <c r="B2075">
        <v>52938</v>
      </c>
      <c r="C2075" t="s">
        <v>28</v>
      </c>
      <c r="D2075">
        <v>1378.42</v>
      </c>
      <c r="E2075">
        <v>3330</v>
      </c>
      <c r="F2075">
        <v>1</v>
      </c>
      <c r="G2075">
        <v>3</v>
      </c>
      <c r="H2075">
        <v>0</v>
      </c>
      <c r="I2075" t="s">
        <v>32</v>
      </c>
      <c r="J2075">
        <v>1</v>
      </c>
      <c r="K2075">
        <v>72</v>
      </c>
      <c r="L2075" t="s">
        <v>20</v>
      </c>
      <c r="M2075" t="s">
        <v>21</v>
      </c>
      <c r="N2075" t="s">
        <v>22</v>
      </c>
      <c r="O2075" t="s">
        <v>36</v>
      </c>
      <c r="P2075">
        <v>6.8</v>
      </c>
      <c r="Q2075" s="2" t="b">
        <f>FALSE()</f>
        <v>0</v>
      </c>
      <c r="R2075">
        <v>0</v>
      </c>
    </row>
    <row r="2076" spans="1:18" x14ac:dyDescent="0.25">
      <c r="A2076">
        <v>202075</v>
      </c>
      <c r="B2076">
        <v>52034</v>
      </c>
      <c r="C2076" t="s">
        <v>18</v>
      </c>
      <c r="D2076">
        <v>5806.19</v>
      </c>
      <c r="E2076">
        <v>2126</v>
      </c>
      <c r="F2076">
        <v>1</v>
      </c>
      <c r="G2076">
        <v>4</v>
      </c>
      <c r="H2076">
        <v>1</v>
      </c>
      <c r="I2076" t="s">
        <v>33</v>
      </c>
      <c r="J2076">
        <v>0</v>
      </c>
      <c r="K2076">
        <v>68</v>
      </c>
      <c r="L2076" t="s">
        <v>20</v>
      </c>
      <c r="M2076" t="s">
        <v>37</v>
      </c>
      <c r="N2076" t="s">
        <v>22</v>
      </c>
      <c r="O2076" t="s">
        <v>36</v>
      </c>
      <c r="P2076">
        <v>5.09</v>
      </c>
      <c r="Q2076" s="2" t="b">
        <f>FALSE()</f>
        <v>0</v>
      </c>
      <c r="R2076">
        <v>1</v>
      </c>
    </row>
    <row r="2077" spans="1:18" x14ac:dyDescent="0.25">
      <c r="A2077">
        <v>202076</v>
      </c>
      <c r="B2077">
        <v>53601</v>
      </c>
      <c r="C2077" t="s">
        <v>28</v>
      </c>
      <c r="D2077">
        <v>6708.61</v>
      </c>
      <c r="E2077">
        <v>3197</v>
      </c>
      <c r="F2077">
        <v>5</v>
      </c>
      <c r="G2077">
        <v>3</v>
      </c>
      <c r="H2077">
        <v>0</v>
      </c>
      <c r="I2077" t="s">
        <v>19</v>
      </c>
      <c r="J2077">
        <v>0</v>
      </c>
      <c r="K2077">
        <v>55</v>
      </c>
      <c r="L2077" t="s">
        <v>24</v>
      </c>
      <c r="M2077" t="s">
        <v>37</v>
      </c>
      <c r="N2077" t="s">
        <v>22</v>
      </c>
      <c r="O2077" t="s">
        <v>36</v>
      </c>
      <c r="P2077">
        <v>0.93</v>
      </c>
      <c r="Q2077" s="2" t="b">
        <f>FALSE()</f>
        <v>0</v>
      </c>
      <c r="R2077">
        <v>1</v>
      </c>
    </row>
    <row r="2078" spans="1:18" x14ac:dyDescent="0.25">
      <c r="A2078">
        <v>202077</v>
      </c>
      <c r="B2078">
        <v>51018</v>
      </c>
      <c r="C2078" t="s">
        <v>34</v>
      </c>
      <c r="D2078">
        <v>1860.99</v>
      </c>
      <c r="E2078">
        <v>3570</v>
      </c>
      <c r="F2078">
        <v>2</v>
      </c>
      <c r="G2078">
        <v>6</v>
      </c>
      <c r="H2078">
        <v>0</v>
      </c>
      <c r="I2078" t="s">
        <v>33</v>
      </c>
      <c r="J2078">
        <v>0</v>
      </c>
      <c r="K2078">
        <v>18</v>
      </c>
      <c r="L2078" t="s">
        <v>38</v>
      </c>
      <c r="M2078" t="s">
        <v>31</v>
      </c>
      <c r="N2078" t="s">
        <v>30</v>
      </c>
      <c r="O2078" t="s">
        <v>27</v>
      </c>
      <c r="P2078">
        <v>1.1599999999999999</v>
      </c>
      <c r="Q2078" s="2" t="b">
        <f>FALSE()</f>
        <v>0</v>
      </c>
      <c r="R2078">
        <v>0</v>
      </c>
    </row>
    <row r="2079" spans="1:18" x14ac:dyDescent="0.25">
      <c r="A2079">
        <v>202078</v>
      </c>
      <c r="B2079">
        <v>51450</v>
      </c>
      <c r="C2079" t="s">
        <v>34</v>
      </c>
      <c r="D2079">
        <v>3920.15</v>
      </c>
      <c r="E2079">
        <v>896</v>
      </c>
      <c r="F2079">
        <v>1</v>
      </c>
      <c r="G2079">
        <v>4</v>
      </c>
      <c r="H2079">
        <v>0</v>
      </c>
      <c r="I2079" t="s">
        <v>33</v>
      </c>
      <c r="J2079">
        <v>0</v>
      </c>
      <c r="K2079">
        <v>58</v>
      </c>
      <c r="L2079" t="s">
        <v>20</v>
      </c>
      <c r="M2079" t="s">
        <v>31</v>
      </c>
      <c r="N2079" t="s">
        <v>22</v>
      </c>
      <c r="O2079" t="s">
        <v>36</v>
      </c>
      <c r="P2079">
        <v>3.34</v>
      </c>
      <c r="Q2079" s="2" t="b">
        <f>FALSE()</f>
        <v>0</v>
      </c>
      <c r="R2079">
        <v>1</v>
      </c>
    </row>
    <row r="2080" spans="1:18" x14ac:dyDescent="0.25">
      <c r="A2080">
        <v>202079</v>
      </c>
      <c r="B2080">
        <v>53492</v>
      </c>
      <c r="C2080" t="s">
        <v>34</v>
      </c>
      <c r="D2080">
        <v>710.97</v>
      </c>
      <c r="E2080">
        <v>3162</v>
      </c>
      <c r="F2080">
        <v>1</v>
      </c>
      <c r="G2080">
        <v>4</v>
      </c>
      <c r="H2080">
        <v>1</v>
      </c>
      <c r="I2080" t="s">
        <v>19</v>
      </c>
      <c r="J2080">
        <v>0</v>
      </c>
      <c r="K2080">
        <v>57</v>
      </c>
      <c r="L2080" t="s">
        <v>24</v>
      </c>
      <c r="M2080" t="s">
        <v>29</v>
      </c>
      <c r="N2080" t="s">
        <v>26</v>
      </c>
      <c r="O2080" t="s">
        <v>27</v>
      </c>
      <c r="P2080">
        <v>2.09</v>
      </c>
      <c r="Q2080" s="2" t="b">
        <f>FALSE()</f>
        <v>0</v>
      </c>
      <c r="R2080">
        <v>0</v>
      </c>
    </row>
    <row r="2081" spans="1:18" x14ac:dyDescent="0.25">
      <c r="A2081">
        <v>202080</v>
      </c>
      <c r="B2081">
        <v>55105</v>
      </c>
      <c r="C2081" t="s">
        <v>28</v>
      </c>
      <c r="D2081">
        <v>2372.1999999999998</v>
      </c>
      <c r="E2081">
        <v>2032</v>
      </c>
      <c r="F2081">
        <v>2</v>
      </c>
      <c r="G2081">
        <v>2</v>
      </c>
      <c r="H2081">
        <v>1</v>
      </c>
      <c r="I2081" t="s">
        <v>32</v>
      </c>
      <c r="J2081">
        <v>0</v>
      </c>
      <c r="K2081">
        <v>72</v>
      </c>
      <c r="L2081" t="s">
        <v>20</v>
      </c>
      <c r="M2081" t="s">
        <v>37</v>
      </c>
      <c r="N2081" t="s">
        <v>22</v>
      </c>
      <c r="O2081" t="s">
        <v>23</v>
      </c>
      <c r="P2081">
        <v>0.16</v>
      </c>
      <c r="Q2081" s="2" t="b">
        <f>FALSE()</f>
        <v>0</v>
      </c>
      <c r="R2081">
        <v>0</v>
      </c>
    </row>
    <row r="2082" spans="1:18" x14ac:dyDescent="0.25">
      <c r="A2082">
        <v>202081</v>
      </c>
      <c r="B2082">
        <v>54596</v>
      </c>
      <c r="C2082" t="s">
        <v>34</v>
      </c>
      <c r="D2082">
        <v>2845.79</v>
      </c>
      <c r="E2082">
        <v>2363</v>
      </c>
      <c r="F2082">
        <v>2</v>
      </c>
      <c r="G2082">
        <v>2</v>
      </c>
      <c r="H2082">
        <v>0</v>
      </c>
      <c r="I2082" t="s">
        <v>33</v>
      </c>
      <c r="J2082">
        <v>0</v>
      </c>
      <c r="K2082">
        <v>20</v>
      </c>
      <c r="L2082" t="s">
        <v>20</v>
      </c>
      <c r="M2082" t="s">
        <v>35</v>
      </c>
      <c r="N2082" t="s">
        <v>22</v>
      </c>
      <c r="O2082" t="s">
        <v>36</v>
      </c>
      <c r="P2082">
        <v>2.5299999999999998</v>
      </c>
      <c r="Q2082" s="2" t="b">
        <f>FALSE()</f>
        <v>0</v>
      </c>
      <c r="R2082">
        <v>0</v>
      </c>
    </row>
    <row r="2083" spans="1:18" x14ac:dyDescent="0.25">
      <c r="A2083">
        <v>202082</v>
      </c>
      <c r="B2083">
        <v>55202</v>
      </c>
      <c r="C2083" t="s">
        <v>18</v>
      </c>
      <c r="D2083">
        <v>1232.76</v>
      </c>
      <c r="E2083">
        <v>2705</v>
      </c>
      <c r="F2083">
        <v>0</v>
      </c>
      <c r="G2083">
        <v>3</v>
      </c>
      <c r="H2083">
        <v>0</v>
      </c>
      <c r="I2083" t="s">
        <v>33</v>
      </c>
      <c r="J2083">
        <v>0</v>
      </c>
      <c r="K2083">
        <v>39</v>
      </c>
      <c r="L2083" t="s">
        <v>24</v>
      </c>
      <c r="M2083" t="s">
        <v>37</v>
      </c>
      <c r="N2083" t="s">
        <v>22</v>
      </c>
      <c r="O2083" t="s">
        <v>27</v>
      </c>
      <c r="P2083">
        <v>1.87</v>
      </c>
      <c r="Q2083" s="2" t="b">
        <f>FALSE()</f>
        <v>0</v>
      </c>
      <c r="R2083">
        <v>0</v>
      </c>
    </row>
    <row r="2084" spans="1:18" x14ac:dyDescent="0.25">
      <c r="A2084">
        <v>202083</v>
      </c>
      <c r="B2084">
        <v>55930</v>
      </c>
      <c r="C2084" t="s">
        <v>28</v>
      </c>
      <c r="D2084">
        <v>2716.1</v>
      </c>
      <c r="E2084">
        <v>2665</v>
      </c>
      <c r="F2084">
        <v>3</v>
      </c>
      <c r="G2084">
        <v>3</v>
      </c>
      <c r="H2084">
        <v>0</v>
      </c>
      <c r="I2084" t="s">
        <v>19</v>
      </c>
      <c r="J2084">
        <v>0</v>
      </c>
      <c r="K2084">
        <v>28</v>
      </c>
      <c r="L2084" t="s">
        <v>20</v>
      </c>
      <c r="M2084" t="s">
        <v>31</v>
      </c>
      <c r="N2084" t="s">
        <v>30</v>
      </c>
      <c r="O2084" t="s">
        <v>36</v>
      </c>
      <c r="P2084">
        <v>5.29</v>
      </c>
      <c r="Q2084" s="2" t="b">
        <f>FALSE()</f>
        <v>0</v>
      </c>
      <c r="R2084">
        <v>1</v>
      </c>
    </row>
    <row r="2085" spans="1:18" x14ac:dyDescent="0.25">
      <c r="A2085">
        <v>202084</v>
      </c>
      <c r="B2085">
        <v>54158</v>
      </c>
      <c r="C2085" t="s">
        <v>18</v>
      </c>
      <c r="D2085">
        <v>5141.08</v>
      </c>
      <c r="E2085">
        <v>2805</v>
      </c>
      <c r="F2085">
        <v>0</v>
      </c>
      <c r="G2085">
        <v>1</v>
      </c>
      <c r="H2085">
        <v>0</v>
      </c>
      <c r="I2085" t="s">
        <v>19</v>
      </c>
      <c r="J2085">
        <v>0</v>
      </c>
      <c r="K2085">
        <v>37</v>
      </c>
      <c r="L2085" t="s">
        <v>24</v>
      </c>
      <c r="M2085" t="s">
        <v>29</v>
      </c>
      <c r="N2085" t="s">
        <v>22</v>
      </c>
      <c r="O2085" t="s">
        <v>36</v>
      </c>
      <c r="P2085">
        <v>2.12</v>
      </c>
      <c r="Q2085" s="2" t="b">
        <f>FALSE()</f>
        <v>0</v>
      </c>
      <c r="R2085">
        <v>1</v>
      </c>
    </row>
    <row r="2086" spans="1:18" x14ac:dyDescent="0.25">
      <c r="A2086">
        <v>202085</v>
      </c>
      <c r="B2086">
        <v>51800</v>
      </c>
      <c r="C2086" t="s">
        <v>34</v>
      </c>
      <c r="D2086">
        <v>665.31</v>
      </c>
      <c r="E2086">
        <v>230</v>
      </c>
      <c r="F2086">
        <v>0</v>
      </c>
      <c r="G2086">
        <v>3</v>
      </c>
      <c r="H2086">
        <v>0</v>
      </c>
      <c r="I2086" t="s">
        <v>33</v>
      </c>
      <c r="J2086">
        <v>1</v>
      </c>
      <c r="K2086">
        <v>45</v>
      </c>
      <c r="L2086" t="s">
        <v>20</v>
      </c>
      <c r="M2086" t="s">
        <v>25</v>
      </c>
      <c r="N2086" t="s">
        <v>30</v>
      </c>
      <c r="O2086" t="s">
        <v>27</v>
      </c>
      <c r="P2086">
        <v>17.100000000000001</v>
      </c>
      <c r="Q2086" s="2" t="b">
        <f>FALSE()</f>
        <v>0</v>
      </c>
      <c r="R2086">
        <v>0</v>
      </c>
    </row>
    <row r="2087" spans="1:18" x14ac:dyDescent="0.25">
      <c r="A2087">
        <v>202086</v>
      </c>
      <c r="B2087">
        <v>50120</v>
      </c>
      <c r="C2087" t="s">
        <v>28</v>
      </c>
      <c r="D2087">
        <v>5398.55</v>
      </c>
      <c r="E2087">
        <v>2951</v>
      </c>
      <c r="F2087">
        <v>0</v>
      </c>
      <c r="G2087">
        <v>3</v>
      </c>
      <c r="H2087">
        <v>1</v>
      </c>
      <c r="I2087" t="s">
        <v>32</v>
      </c>
      <c r="J2087">
        <v>0</v>
      </c>
      <c r="K2087">
        <v>80</v>
      </c>
      <c r="L2087" t="s">
        <v>20</v>
      </c>
      <c r="M2087" t="s">
        <v>25</v>
      </c>
      <c r="N2087" t="s">
        <v>26</v>
      </c>
      <c r="O2087" t="s">
        <v>36</v>
      </c>
      <c r="P2087">
        <v>8.16</v>
      </c>
      <c r="Q2087" s="2" t="b">
        <f>FALSE()</f>
        <v>0</v>
      </c>
      <c r="R2087">
        <v>1</v>
      </c>
    </row>
    <row r="2088" spans="1:18" x14ac:dyDescent="0.25">
      <c r="A2088">
        <v>202087</v>
      </c>
      <c r="B2088">
        <v>55164</v>
      </c>
      <c r="C2088" t="s">
        <v>18</v>
      </c>
      <c r="D2088">
        <v>2421.5700000000002</v>
      </c>
      <c r="E2088">
        <v>2358</v>
      </c>
      <c r="F2088">
        <v>1</v>
      </c>
      <c r="G2088">
        <v>3</v>
      </c>
      <c r="H2088">
        <v>1</v>
      </c>
      <c r="I2088" t="s">
        <v>33</v>
      </c>
      <c r="J2088">
        <v>0</v>
      </c>
      <c r="K2088">
        <v>31</v>
      </c>
      <c r="L2088" t="s">
        <v>20</v>
      </c>
      <c r="M2088" t="s">
        <v>29</v>
      </c>
      <c r="N2088" t="s">
        <v>22</v>
      </c>
      <c r="O2088" t="s">
        <v>27</v>
      </c>
      <c r="P2088">
        <v>1.51</v>
      </c>
      <c r="Q2088" s="2" t="b">
        <f>FALSE()</f>
        <v>0</v>
      </c>
      <c r="R2088">
        <v>0</v>
      </c>
    </row>
    <row r="2089" spans="1:18" x14ac:dyDescent="0.25">
      <c r="A2089">
        <v>202088</v>
      </c>
      <c r="B2089">
        <v>55044</v>
      </c>
      <c r="C2089" t="s">
        <v>28</v>
      </c>
      <c r="D2089">
        <v>808.55</v>
      </c>
      <c r="E2089">
        <v>846</v>
      </c>
      <c r="F2089">
        <v>1</v>
      </c>
      <c r="G2089">
        <v>4</v>
      </c>
      <c r="H2089">
        <v>0</v>
      </c>
      <c r="I2089" t="s">
        <v>33</v>
      </c>
      <c r="J2089">
        <v>0</v>
      </c>
      <c r="K2089">
        <v>48</v>
      </c>
      <c r="L2089" t="s">
        <v>38</v>
      </c>
      <c r="M2089" t="s">
        <v>37</v>
      </c>
      <c r="N2089" t="s">
        <v>26</v>
      </c>
      <c r="O2089" t="s">
        <v>36</v>
      </c>
      <c r="P2089">
        <v>6.6</v>
      </c>
      <c r="Q2089" s="2" t="b">
        <f>FALSE()</f>
        <v>0</v>
      </c>
      <c r="R2089">
        <v>0</v>
      </c>
    </row>
    <row r="2090" spans="1:18" x14ac:dyDescent="0.25">
      <c r="A2090">
        <v>202089</v>
      </c>
      <c r="B2090">
        <v>54387</v>
      </c>
      <c r="C2090" t="s">
        <v>18</v>
      </c>
      <c r="D2090">
        <v>1702.3</v>
      </c>
      <c r="E2090">
        <v>2547</v>
      </c>
      <c r="F2090">
        <v>0</v>
      </c>
      <c r="G2090">
        <v>5</v>
      </c>
      <c r="H2090">
        <v>0</v>
      </c>
      <c r="I2090" t="s">
        <v>33</v>
      </c>
      <c r="J2090">
        <v>0</v>
      </c>
      <c r="K2090">
        <v>78</v>
      </c>
      <c r="L2090" t="s">
        <v>24</v>
      </c>
      <c r="M2090" t="s">
        <v>35</v>
      </c>
      <c r="N2090" t="s">
        <v>22</v>
      </c>
      <c r="O2090" t="s">
        <v>36</v>
      </c>
      <c r="P2090">
        <v>4.72</v>
      </c>
      <c r="Q2090" s="2" t="b">
        <f>FALSE()</f>
        <v>0</v>
      </c>
      <c r="R2090">
        <v>0</v>
      </c>
    </row>
    <row r="2091" spans="1:18" x14ac:dyDescent="0.25">
      <c r="A2091">
        <v>202090</v>
      </c>
      <c r="B2091">
        <v>55628</v>
      </c>
      <c r="C2091" t="s">
        <v>34</v>
      </c>
      <c r="D2091">
        <v>1862.39</v>
      </c>
      <c r="E2091">
        <v>145</v>
      </c>
      <c r="F2091">
        <v>1</v>
      </c>
      <c r="G2091">
        <v>8</v>
      </c>
      <c r="H2091">
        <v>0</v>
      </c>
      <c r="I2091" t="s">
        <v>19</v>
      </c>
      <c r="J2091">
        <v>0</v>
      </c>
      <c r="K2091">
        <v>83</v>
      </c>
      <c r="L2091" t="s">
        <v>24</v>
      </c>
      <c r="M2091" t="s">
        <v>37</v>
      </c>
      <c r="N2091" t="s">
        <v>22</v>
      </c>
      <c r="O2091" t="s">
        <v>36</v>
      </c>
      <c r="P2091">
        <v>0</v>
      </c>
      <c r="Q2091" s="2" t="b">
        <f>FALSE()</f>
        <v>0</v>
      </c>
      <c r="R2091">
        <v>1</v>
      </c>
    </row>
    <row r="2092" spans="1:18" x14ac:dyDescent="0.25">
      <c r="A2092">
        <v>202091</v>
      </c>
      <c r="B2092">
        <v>52059</v>
      </c>
      <c r="C2092" t="s">
        <v>18</v>
      </c>
      <c r="D2092">
        <v>2123.9299999999998</v>
      </c>
      <c r="E2092">
        <v>1152</v>
      </c>
      <c r="F2092">
        <v>2</v>
      </c>
      <c r="G2092">
        <v>2</v>
      </c>
      <c r="H2092">
        <v>1</v>
      </c>
      <c r="I2092" t="s">
        <v>33</v>
      </c>
      <c r="J2092">
        <v>0</v>
      </c>
      <c r="K2092">
        <v>75</v>
      </c>
      <c r="L2092" t="s">
        <v>24</v>
      </c>
      <c r="M2092" t="s">
        <v>21</v>
      </c>
      <c r="N2092" t="s">
        <v>22</v>
      </c>
      <c r="O2092" t="s">
        <v>27</v>
      </c>
      <c r="P2092">
        <v>1.42</v>
      </c>
      <c r="Q2092" s="2" t="b">
        <f>FALSE()</f>
        <v>0</v>
      </c>
      <c r="R2092">
        <v>0</v>
      </c>
    </row>
    <row r="2093" spans="1:18" x14ac:dyDescent="0.25">
      <c r="A2093">
        <v>202092</v>
      </c>
      <c r="B2093">
        <v>50103</v>
      </c>
      <c r="C2093" t="s">
        <v>18</v>
      </c>
      <c r="D2093">
        <v>2424.6999999999998</v>
      </c>
      <c r="E2093">
        <v>2242</v>
      </c>
      <c r="F2093">
        <v>1</v>
      </c>
      <c r="G2093">
        <v>1</v>
      </c>
      <c r="H2093">
        <v>1</v>
      </c>
      <c r="I2093" t="s">
        <v>33</v>
      </c>
      <c r="J2093">
        <v>0</v>
      </c>
      <c r="K2093">
        <v>78</v>
      </c>
      <c r="L2093" t="s">
        <v>20</v>
      </c>
      <c r="M2093" t="s">
        <v>25</v>
      </c>
      <c r="N2093" t="s">
        <v>22</v>
      </c>
      <c r="O2093" t="s">
        <v>27</v>
      </c>
      <c r="P2093">
        <v>11.03</v>
      </c>
      <c r="Q2093" s="2" t="b">
        <f>FALSE()</f>
        <v>0</v>
      </c>
      <c r="R2093">
        <v>0</v>
      </c>
    </row>
    <row r="2094" spans="1:18" x14ac:dyDescent="0.25">
      <c r="A2094">
        <v>202093</v>
      </c>
      <c r="B2094">
        <v>51441</v>
      </c>
      <c r="C2094" t="s">
        <v>18</v>
      </c>
      <c r="D2094">
        <v>1219.93</v>
      </c>
      <c r="E2094">
        <v>1616</v>
      </c>
      <c r="F2094">
        <v>1</v>
      </c>
      <c r="G2094">
        <v>5</v>
      </c>
      <c r="H2094">
        <v>0</v>
      </c>
      <c r="I2094" t="s">
        <v>33</v>
      </c>
      <c r="J2094">
        <v>0</v>
      </c>
      <c r="K2094">
        <v>69</v>
      </c>
      <c r="L2094" t="s">
        <v>38</v>
      </c>
      <c r="M2094" t="s">
        <v>29</v>
      </c>
      <c r="N2094" t="s">
        <v>30</v>
      </c>
      <c r="O2094" t="s">
        <v>23</v>
      </c>
      <c r="P2094">
        <v>0.28999999999999998</v>
      </c>
      <c r="Q2094" s="2" t="b">
        <f>FALSE()</f>
        <v>0</v>
      </c>
      <c r="R2094">
        <v>0</v>
      </c>
    </row>
    <row r="2095" spans="1:18" x14ac:dyDescent="0.25">
      <c r="A2095">
        <v>202094</v>
      </c>
      <c r="B2095">
        <v>52186</v>
      </c>
      <c r="C2095" t="s">
        <v>18</v>
      </c>
      <c r="D2095">
        <v>639.16</v>
      </c>
      <c r="E2095">
        <v>310</v>
      </c>
      <c r="F2095">
        <v>2</v>
      </c>
      <c r="G2095">
        <v>7</v>
      </c>
      <c r="H2095">
        <v>1</v>
      </c>
      <c r="I2095" t="s">
        <v>19</v>
      </c>
      <c r="J2095">
        <v>0</v>
      </c>
      <c r="K2095">
        <v>54</v>
      </c>
      <c r="L2095" t="s">
        <v>24</v>
      </c>
      <c r="M2095" t="s">
        <v>31</v>
      </c>
      <c r="N2095" t="s">
        <v>26</v>
      </c>
      <c r="O2095" t="s">
        <v>27</v>
      </c>
      <c r="P2095">
        <v>2.25</v>
      </c>
      <c r="Q2095" s="2" t="b">
        <f>FALSE()</f>
        <v>0</v>
      </c>
      <c r="R2095">
        <v>1</v>
      </c>
    </row>
    <row r="2096" spans="1:18" x14ac:dyDescent="0.25">
      <c r="A2096">
        <v>202095</v>
      </c>
      <c r="B2096">
        <v>51711</v>
      </c>
      <c r="C2096" t="s">
        <v>34</v>
      </c>
      <c r="D2096">
        <v>2779.1</v>
      </c>
      <c r="E2096">
        <v>1684</v>
      </c>
      <c r="F2096">
        <v>0</v>
      </c>
      <c r="G2096">
        <v>1</v>
      </c>
      <c r="H2096">
        <v>0</v>
      </c>
      <c r="I2096" t="s">
        <v>33</v>
      </c>
      <c r="J2096">
        <v>0</v>
      </c>
      <c r="K2096">
        <v>29</v>
      </c>
      <c r="L2096" t="s">
        <v>20</v>
      </c>
      <c r="M2096" t="s">
        <v>29</v>
      </c>
      <c r="N2096" t="s">
        <v>26</v>
      </c>
      <c r="O2096" t="s">
        <v>27</v>
      </c>
      <c r="P2096">
        <v>3.7</v>
      </c>
      <c r="Q2096" s="2" t="b">
        <f>FALSE()</f>
        <v>0</v>
      </c>
      <c r="R2096">
        <v>0</v>
      </c>
    </row>
    <row r="2097" spans="1:18" x14ac:dyDescent="0.25">
      <c r="A2097">
        <v>202096</v>
      </c>
      <c r="B2097">
        <v>52187</v>
      </c>
      <c r="C2097" t="s">
        <v>18</v>
      </c>
      <c r="D2097">
        <v>1169.6400000000001</v>
      </c>
      <c r="E2097">
        <v>1440</v>
      </c>
      <c r="F2097">
        <v>2</v>
      </c>
      <c r="G2097">
        <v>5</v>
      </c>
      <c r="H2097">
        <v>0</v>
      </c>
      <c r="I2097" t="s">
        <v>19</v>
      </c>
      <c r="J2097">
        <v>0</v>
      </c>
      <c r="K2097">
        <v>27</v>
      </c>
      <c r="L2097" t="s">
        <v>38</v>
      </c>
      <c r="M2097" t="s">
        <v>35</v>
      </c>
      <c r="N2097" t="s">
        <v>30</v>
      </c>
      <c r="O2097" t="s">
        <v>27</v>
      </c>
      <c r="P2097">
        <v>1.62</v>
      </c>
      <c r="Q2097" s="2" t="b">
        <f>FALSE()</f>
        <v>0</v>
      </c>
      <c r="R2097">
        <v>0</v>
      </c>
    </row>
    <row r="2098" spans="1:18" x14ac:dyDescent="0.25">
      <c r="A2098">
        <v>202097</v>
      </c>
      <c r="B2098">
        <v>50623</v>
      </c>
      <c r="C2098" t="s">
        <v>34</v>
      </c>
      <c r="D2098">
        <v>402.5</v>
      </c>
      <c r="E2098">
        <v>2440</v>
      </c>
      <c r="F2098">
        <v>1</v>
      </c>
      <c r="G2098">
        <v>4</v>
      </c>
      <c r="H2098">
        <v>0</v>
      </c>
      <c r="I2098" t="s">
        <v>19</v>
      </c>
      <c r="J2098">
        <v>1</v>
      </c>
      <c r="K2098">
        <v>20</v>
      </c>
      <c r="L2098" t="s">
        <v>24</v>
      </c>
      <c r="M2098" t="s">
        <v>37</v>
      </c>
      <c r="N2098" t="s">
        <v>22</v>
      </c>
      <c r="O2098" t="s">
        <v>23</v>
      </c>
      <c r="P2098">
        <v>4.79</v>
      </c>
      <c r="Q2098" s="2" t="b">
        <f>FALSE()</f>
        <v>0</v>
      </c>
      <c r="R2098">
        <v>0</v>
      </c>
    </row>
    <row r="2099" spans="1:18" x14ac:dyDescent="0.25">
      <c r="A2099">
        <v>202098</v>
      </c>
      <c r="B2099">
        <v>52054</v>
      </c>
      <c r="C2099" t="s">
        <v>34</v>
      </c>
      <c r="D2099">
        <v>3127.92</v>
      </c>
      <c r="E2099">
        <v>1116</v>
      </c>
      <c r="F2099">
        <v>1</v>
      </c>
      <c r="G2099">
        <v>6</v>
      </c>
      <c r="H2099">
        <v>1</v>
      </c>
      <c r="I2099" t="s">
        <v>19</v>
      </c>
      <c r="J2099">
        <v>0</v>
      </c>
      <c r="K2099">
        <v>42</v>
      </c>
      <c r="L2099" t="s">
        <v>20</v>
      </c>
      <c r="M2099" t="s">
        <v>35</v>
      </c>
      <c r="N2099" t="s">
        <v>22</v>
      </c>
      <c r="O2099" t="s">
        <v>27</v>
      </c>
      <c r="P2099">
        <v>4.5999999999999996</v>
      </c>
      <c r="Q2099" s="2" t="b">
        <f>FALSE()</f>
        <v>0</v>
      </c>
      <c r="R2099">
        <v>0</v>
      </c>
    </row>
    <row r="2100" spans="1:18" x14ac:dyDescent="0.25">
      <c r="A2100">
        <v>202099</v>
      </c>
      <c r="B2100">
        <v>50501</v>
      </c>
      <c r="C2100" t="s">
        <v>18</v>
      </c>
      <c r="D2100">
        <v>1381.62</v>
      </c>
      <c r="E2100">
        <v>3101</v>
      </c>
      <c r="F2100">
        <v>0</v>
      </c>
      <c r="G2100">
        <v>3</v>
      </c>
      <c r="H2100">
        <v>1</v>
      </c>
      <c r="I2100" t="s">
        <v>33</v>
      </c>
      <c r="J2100">
        <v>0</v>
      </c>
      <c r="K2100">
        <v>71</v>
      </c>
      <c r="L2100" t="s">
        <v>24</v>
      </c>
      <c r="M2100" t="s">
        <v>37</v>
      </c>
      <c r="N2100" t="s">
        <v>22</v>
      </c>
      <c r="O2100" t="s">
        <v>23</v>
      </c>
      <c r="P2100">
        <v>1.99</v>
      </c>
      <c r="Q2100" s="2" t="b">
        <f>FALSE()</f>
        <v>0</v>
      </c>
      <c r="R2100">
        <v>0</v>
      </c>
    </row>
    <row r="2101" spans="1:18" x14ac:dyDescent="0.25">
      <c r="A2101">
        <v>202100</v>
      </c>
      <c r="B2101">
        <v>53500</v>
      </c>
      <c r="C2101" t="s">
        <v>28</v>
      </c>
      <c r="D2101">
        <v>502.33</v>
      </c>
      <c r="E2101">
        <v>439</v>
      </c>
      <c r="F2101">
        <v>2</v>
      </c>
      <c r="G2101">
        <v>9</v>
      </c>
      <c r="H2101">
        <v>0</v>
      </c>
      <c r="I2101" t="s">
        <v>33</v>
      </c>
      <c r="J2101">
        <v>0</v>
      </c>
      <c r="K2101">
        <v>28</v>
      </c>
      <c r="L2101" t="s">
        <v>20</v>
      </c>
      <c r="M2101" t="s">
        <v>29</v>
      </c>
      <c r="N2101" t="s">
        <v>22</v>
      </c>
      <c r="O2101" t="s">
        <v>36</v>
      </c>
      <c r="P2101">
        <v>1.52</v>
      </c>
      <c r="Q2101" s="2" t="b">
        <f>FALSE()</f>
        <v>0</v>
      </c>
      <c r="R2101">
        <v>1</v>
      </c>
    </row>
    <row r="2102" spans="1:18" x14ac:dyDescent="0.25">
      <c r="A2102">
        <v>202101</v>
      </c>
      <c r="B2102">
        <v>54601</v>
      </c>
      <c r="C2102" t="s">
        <v>18</v>
      </c>
      <c r="D2102">
        <v>4142.3599999999997</v>
      </c>
      <c r="E2102">
        <v>3110</v>
      </c>
      <c r="F2102">
        <v>0</v>
      </c>
      <c r="G2102">
        <v>8</v>
      </c>
      <c r="H2102">
        <v>0</v>
      </c>
      <c r="I2102" t="s">
        <v>19</v>
      </c>
      <c r="J2102">
        <v>1</v>
      </c>
      <c r="K2102">
        <v>61</v>
      </c>
      <c r="L2102" t="s">
        <v>24</v>
      </c>
      <c r="M2102" t="s">
        <v>31</v>
      </c>
      <c r="N2102" t="s">
        <v>26</v>
      </c>
      <c r="O2102" t="s">
        <v>23</v>
      </c>
      <c r="P2102">
        <v>5.94</v>
      </c>
      <c r="Q2102" s="2" t="b">
        <f>FALSE()</f>
        <v>0</v>
      </c>
      <c r="R2102">
        <v>1</v>
      </c>
    </row>
    <row r="2103" spans="1:18" x14ac:dyDescent="0.25">
      <c r="A2103">
        <v>202102</v>
      </c>
      <c r="B2103">
        <v>54763</v>
      </c>
      <c r="C2103" t="s">
        <v>18</v>
      </c>
      <c r="D2103">
        <v>1866.77</v>
      </c>
      <c r="E2103">
        <v>558</v>
      </c>
      <c r="F2103">
        <v>4</v>
      </c>
      <c r="G2103">
        <v>2</v>
      </c>
      <c r="H2103">
        <v>0</v>
      </c>
      <c r="I2103" t="s">
        <v>33</v>
      </c>
      <c r="J2103">
        <v>0</v>
      </c>
      <c r="K2103">
        <v>73</v>
      </c>
      <c r="L2103" t="s">
        <v>24</v>
      </c>
      <c r="M2103" t="s">
        <v>25</v>
      </c>
      <c r="N2103" t="s">
        <v>22</v>
      </c>
      <c r="O2103" t="s">
        <v>36</v>
      </c>
      <c r="P2103">
        <v>2.33</v>
      </c>
      <c r="Q2103" s="2" t="b">
        <f>FALSE()</f>
        <v>0</v>
      </c>
      <c r="R2103">
        <v>1</v>
      </c>
    </row>
    <row r="2104" spans="1:18" x14ac:dyDescent="0.25">
      <c r="A2104">
        <v>202103</v>
      </c>
      <c r="B2104">
        <v>55888</v>
      </c>
      <c r="C2104" t="s">
        <v>18</v>
      </c>
      <c r="D2104">
        <v>2753.39</v>
      </c>
      <c r="E2104">
        <v>25</v>
      </c>
      <c r="F2104">
        <v>1</v>
      </c>
      <c r="G2104">
        <v>1</v>
      </c>
      <c r="H2104">
        <v>0</v>
      </c>
      <c r="I2104" t="s">
        <v>32</v>
      </c>
      <c r="J2104">
        <v>0</v>
      </c>
      <c r="K2104">
        <v>77</v>
      </c>
      <c r="L2104" t="s">
        <v>20</v>
      </c>
      <c r="M2104" t="s">
        <v>21</v>
      </c>
      <c r="N2104" t="s">
        <v>30</v>
      </c>
      <c r="O2104" t="s">
        <v>27</v>
      </c>
      <c r="P2104">
        <v>0.23</v>
      </c>
      <c r="Q2104" s="2" t="b">
        <f>FALSE()</f>
        <v>0</v>
      </c>
      <c r="R2104">
        <v>0</v>
      </c>
    </row>
    <row r="2105" spans="1:18" x14ac:dyDescent="0.25">
      <c r="A2105">
        <v>202104</v>
      </c>
      <c r="B2105">
        <v>55768</v>
      </c>
      <c r="C2105" t="s">
        <v>34</v>
      </c>
      <c r="D2105">
        <v>4262.53</v>
      </c>
      <c r="E2105">
        <v>1090</v>
      </c>
      <c r="F2105">
        <v>0</v>
      </c>
      <c r="G2105">
        <v>1</v>
      </c>
      <c r="H2105">
        <v>0</v>
      </c>
      <c r="I2105" t="s">
        <v>33</v>
      </c>
      <c r="J2105">
        <v>0</v>
      </c>
      <c r="K2105">
        <v>55</v>
      </c>
      <c r="L2105" t="s">
        <v>24</v>
      </c>
      <c r="M2105" t="s">
        <v>25</v>
      </c>
      <c r="N2105" t="s">
        <v>22</v>
      </c>
      <c r="O2105" t="s">
        <v>27</v>
      </c>
      <c r="P2105">
        <v>4.6399999999999997</v>
      </c>
      <c r="Q2105" s="2" t="b">
        <f>FALSE()</f>
        <v>0</v>
      </c>
      <c r="R2105">
        <v>1</v>
      </c>
    </row>
    <row r="2106" spans="1:18" x14ac:dyDescent="0.25">
      <c r="A2106">
        <v>202105</v>
      </c>
      <c r="B2106">
        <v>50296</v>
      </c>
      <c r="C2106" t="s">
        <v>18</v>
      </c>
      <c r="D2106">
        <v>6391.6</v>
      </c>
      <c r="E2106">
        <v>1895</v>
      </c>
      <c r="F2106">
        <v>0</v>
      </c>
      <c r="G2106">
        <v>3</v>
      </c>
      <c r="H2106">
        <v>0</v>
      </c>
      <c r="I2106" t="s">
        <v>32</v>
      </c>
      <c r="J2106">
        <v>0</v>
      </c>
      <c r="K2106">
        <v>34</v>
      </c>
      <c r="L2106" t="s">
        <v>24</v>
      </c>
      <c r="M2106" t="s">
        <v>29</v>
      </c>
      <c r="N2106" t="s">
        <v>22</v>
      </c>
      <c r="O2106" t="s">
        <v>23</v>
      </c>
      <c r="P2106">
        <v>5.23</v>
      </c>
      <c r="Q2106" s="2" t="b">
        <f>FALSE()</f>
        <v>0</v>
      </c>
      <c r="R2106">
        <v>1</v>
      </c>
    </row>
    <row r="2107" spans="1:18" x14ac:dyDescent="0.25">
      <c r="A2107">
        <v>202106</v>
      </c>
      <c r="B2107">
        <v>51802</v>
      </c>
      <c r="C2107" t="s">
        <v>18</v>
      </c>
      <c r="D2107">
        <v>7752.33</v>
      </c>
      <c r="E2107">
        <v>2611</v>
      </c>
      <c r="F2107">
        <v>1</v>
      </c>
      <c r="G2107">
        <v>8</v>
      </c>
      <c r="H2107">
        <v>0</v>
      </c>
      <c r="I2107" t="s">
        <v>19</v>
      </c>
      <c r="J2107">
        <v>0</v>
      </c>
      <c r="K2107">
        <v>67</v>
      </c>
      <c r="L2107" t="s">
        <v>20</v>
      </c>
      <c r="M2107" t="s">
        <v>37</v>
      </c>
      <c r="N2107" t="s">
        <v>30</v>
      </c>
      <c r="O2107" t="s">
        <v>36</v>
      </c>
      <c r="P2107">
        <v>1.55</v>
      </c>
      <c r="Q2107" s="2" t="b">
        <f>TRUE()</f>
        <v>1</v>
      </c>
      <c r="R2107">
        <v>1</v>
      </c>
    </row>
    <row r="2108" spans="1:18" x14ac:dyDescent="0.25">
      <c r="A2108">
        <v>202107</v>
      </c>
      <c r="B2108">
        <v>52762</v>
      </c>
      <c r="C2108" t="s">
        <v>34</v>
      </c>
      <c r="D2108">
        <v>1337.55</v>
      </c>
      <c r="E2108">
        <v>758</v>
      </c>
      <c r="F2108">
        <v>0</v>
      </c>
      <c r="G2108">
        <v>3</v>
      </c>
      <c r="H2108">
        <v>0</v>
      </c>
      <c r="I2108" t="s">
        <v>19</v>
      </c>
      <c r="J2108">
        <v>0</v>
      </c>
      <c r="K2108">
        <v>63</v>
      </c>
      <c r="L2108" t="s">
        <v>20</v>
      </c>
      <c r="M2108" t="s">
        <v>31</v>
      </c>
      <c r="N2108" t="s">
        <v>22</v>
      </c>
      <c r="O2108" t="s">
        <v>27</v>
      </c>
      <c r="P2108">
        <v>7.56</v>
      </c>
      <c r="Q2108" s="2" t="b">
        <f>FALSE()</f>
        <v>0</v>
      </c>
      <c r="R2108">
        <v>0</v>
      </c>
    </row>
    <row r="2109" spans="1:18" x14ac:dyDescent="0.25">
      <c r="A2109">
        <v>202108</v>
      </c>
      <c r="B2109">
        <v>50233</v>
      </c>
      <c r="C2109" t="s">
        <v>34</v>
      </c>
      <c r="D2109">
        <v>2428.71</v>
      </c>
      <c r="E2109">
        <v>3196</v>
      </c>
      <c r="F2109">
        <v>2</v>
      </c>
      <c r="G2109">
        <v>4</v>
      </c>
      <c r="H2109">
        <v>0</v>
      </c>
      <c r="I2109" t="s">
        <v>33</v>
      </c>
      <c r="J2109">
        <v>0</v>
      </c>
      <c r="K2109">
        <v>22</v>
      </c>
      <c r="L2109" t="s">
        <v>20</v>
      </c>
      <c r="M2109" t="s">
        <v>25</v>
      </c>
      <c r="N2109" t="s">
        <v>22</v>
      </c>
      <c r="O2109" t="s">
        <v>27</v>
      </c>
      <c r="P2109">
        <v>8.8000000000000007</v>
      </c>
      <c r="Q2109" s="2" t="b">
        <f>FALSE()</f>
        <v>0</v>
      </c>
      <c r="R2109">
        <v>0</v>
      </c>
    </row>
    <row r="2110" spans="1:18" x14ac:dyDescent="0.25">
      <c r="A2110">
        <v>202109</v>
      </c>
      <c r="B2110">
        <v>50621</v>
      </c>
      <c r="C2110" t="s">
        <v>18</v>
      </c>
      <c r="D2110">
        <v>10162.76</v>
      </c>
      <c r="E2110">
        <v>3449</v>
      </c>
      <c r="F2110">
        <v>1</v>
      </c>
      <c r="G2110">
        <v>6</v>
      </c>
      <c r="H2110">
        <v>0</v>
      </c>
      <c r="I2110" t="s">
        <v>33</v>
      </c>
      <c r="J2110">
        <v>0</v>
      </c>
      <c r="K2110">
        <v>80</v>
      </c>
      <c r="L2110" t="s">
        <v>20</v>
      </c>
      <c r="M2110" t="s">
        <v>37</v>
      </c>
      <c r="N2110" t="s">
        <v>22</v>
      </c>
      <c r="O2110" t="s">
        <v>36</v>
      </c>
      <c r="P2110">
        <v>3.79</v>
      </c>
      <c r="Q2110" s="2" t="b">
        <f>TRUE()</f>
        <v>1</v>
      </c>
      <c r="R2110">
        <v>1</v>
      </c>
    </row>
    <row r="2111" spans="1:18" x14ac:dyDescent="0.25">
      <c r="A2111">
        <v>202110</v>
      </c>
      <c r="B2111">
        <v>52103</v>
      </c>
      <c r="C2111" t="s">
        <v>34</v>
      </c>
      <c r="D2111">
        <v>5874.1</v>
      </c>
      <c r="E2111">
        <v>3114</v>
      </c>
      <c r="F2111">
        <v>0</v>
      </c>
      <c r="G2111">
        <v>4</v>
      </c>
      <c r="H2111">
        <v>0</v>
      </c>
      <c r="I2111" t="s">
        <v>33</v>
      </c>
      <c r="J2111">
        <v>0</v>
      </c>
      <c r="K2111">
        <v>66</v>
      </c>
      <c r="L2111" t="s">
        <v>20</v>
      </c>
      <c r="M2111" t="s">
        <v>37</v>
      </c>
      <c r="N2111" t="s">
        <v>22</v>
      </c>
      <c r="O2111" t="s">
        <v>27</v>
      </c>
      <c r="P2111">
        <v>1.38</v>
      </c>
      <c r="Q2111" s="2" t="b">
        <f>FALSE()</f>
        <v>0</v>
      </c>
      <c r="R2111">
        <v>1</v>
      </c>
    </row>
    <row r="2112" spans="1:18" x14ac:dyDescent="0.25">
      <c r="A2112">
        <v>202111</v>
      </c>
      <c r="B2112">
        <v>54594</v>
      </c>
      <c r="C2112" t="s">
        <v>34</v>
      </c>
      <c r="D2112">
        <v>1586.01</v>
      </c>
      <c r="E2112">
        <v>3255</v>
      </c>
      <c r="F2112">
        <v>1</v>
      </c>
      <c r="G2112">
        <v>5</v>
      </c>
      <c r="H2112">
        <v>0</v>
      </c>
      <c r="I2112" t="s">
        <v>19</v>
      </c>
      <c r="J2112">
        <v>0</v>
      </c>
      <c r="K2112">
        <v>70</v>
      </c>
      <c r="L2112" t="s">
        <v>20</v>
      </c>
      <c r="M2112" t="s">
        <v>21</v>
      </c>
      <c r="N2112" t="s">
        <v>22</v>
      </c>
      <c r="O2112" t="s">
        <v>27</v>
      </c>
      <c r="P2112">
        <v>5.28</v>
      </c>
      <c r="Q2112" s="2" t="b">
        <f>FALSE()</f>
        <v>0</v>
      </c>
      <c r="R2112">
        <v>0</v>
      </c>
    </row>
    <row r="2113" spans="1:18" x14ac:dyDescent="0.25">
      <c r="A2113">
        <v>202112</v>
      </c>
      <c r="B2113">
        <v>52154</v>
      </c>
      <c r="C2113" t="s">
        <v>34</v>
      </c>
      <c r="D2113">
        <v>1770.42</v>
      </c>
      <c r="E2113">
        <v>3538</v>
      </c>
      <c r="F2113">
        <v>0</v>
      </c>
      <c r="G2113">
        <v>4</v>
      </c>
      <c r="H2113">
        <v>1</v>
      </c>
      <c r="I2113" t="s">
        <v>33</v>
      </c>
      <c r="J2113">
        <v>0</v>
      </c>
      <c r="K2113">
        <v>27</v>
      </c>
      <c r="L2113" t="s">
        <v>20</v>
      </c>
      <c r="M2113" t="s">
        <v>35</v>
      </c>
      <c r="N2113" t="s">
        <v>22</v>
      </c>
      <c r="O2113" t="s">
        <v>36</v>
      </c>
      <c r="P2113">
        <v>3.67</v>
      </c>
      <c r="Q2113" s="2" t="b">
        <f>FALSE()</f>
        <v>0</v>
      </c>
      <c r="R2113">
        <v>0</v>
      </c>
    </row>
    <row r="2114" spans="1:18" x14ac:dyDescent="0.25">
      <c r="A2114">
        <v>202113</v>
      </c>
      <c r="B2114">
        <v>51563</v>
      </c>
      <c r="C2114" t="s">
        <v>18</v>
      </c>
      <c r="D2114">
        <v>5345.83</v>
      </c>
      <c r="E2114">
        <v>1321</v>
      </c>
      <c r="F2114">
        <v>3</v>
      </c>
      <c r="G2114">
        <v>1</v>
      </c>
      <c r="H2114">
        <v>1</v>
      </c>
      <c r="I2114" t="s">
        <v>19</v>
      </c>
      <c r="J2114">
        <v>0</v>
      </c>
      <c r="K2114">
        <v>30</v>
      </c>
      <c r="L2114" t="s">
        <v>24</v>
      </c>
      <c r="M2114" t="s">
        <v>31</v>
      </c>
      <c r="N2114" t="s">
        <v>30</v>
      </c>
      <c r="O2114" t="s">
        <v>27</v>
      </c>
      <c r="P2114">
        <v>0.21</v>
      </c>
      <c r="Q2114" s="2" t="b">
        <f>FALSE()</f>
        <v>0</v>
      </c>
      <c r="R2114">
        <v>1</v>
      </c>
    </row>
    <row r="2115" spans="1:18" x14ac:dyDescent="0.25">
      <c r="A2115">
        <v>202114</v>
      </c>
      <c r="B2115">
        <v>55314</v>
      </c>
      <c r="C2115" t="s">
        <v>34</v>
      </c>
      <c r="D2115">
        <v>454.86</v>
      </c>
      <c r="E2115">
        <v>2381</v>
      </c>
      <c r="F2115">
        <v>1</v>
      </c>
      <c r="G2115">
        <v>5</v>
      </c>
      <c r="H2115">
        <v>0</v>
      </c>
      <c r="I2115" t="s">
        <v>33</v>
      </c>
      <c r="J2115">
        <v>0</v>
      </c>
      <c r="K2115">
        <v>24</v>
      </c>
      <c r="L2115" t="s">
        <v>20</v>
      </c>
      <c r="M2115" t="s">
        <v>35</v>
      </c>
      <c r="N2115" t="s">
        <v>26</v>
      </c>
      <c r="O2115" t="s">
        <v>23</v>
      </c>
      <c r="P2115">
        <v>0.13</v>
      </c>
      <c r="Q2115" s="2" t="b">
        <f>FALSE()</f>
        <v>0</v>
      </c>
      <c r="R2115">
        <v>0</v>
      </c>
    </row>
    <row r="2116" spans="1:18" x14ac:dyDescent="0.25">
      <c r="A2116">
        <v>202115</v>
      </c>
      <c r="B2116">
        <v>55466</v>
      </c>
      <c r="C2116" t="s">
        <v>34</v>
      </c>
      <c r="D2116">
        <v>3600.71</v>
      </c>
      <c r="E2116">
        <v>36</v>
      </c>
      <c r="F2116">
        <v>1</v>
      </c>
      <c r="G2116">
        <v>1</v>
      </c>
      <c r="H2116">
        <v>1</v>
      </c>
      <c r="I2116" t="s">
        <v>19</v>
      </c>
      <c r="J2116">
        <v>1</v>
      </c>
      <c r="K2116">
        <v>67</v>
      </c>
      <c r="L2116" t="s">
        <v>20</v>
      </c>
      <c r="M2116" t="s">
        <v>31</v>
      </c>
      <c r="N2116" t="s">
        <v>22</v>
      </c>
      <c r="O2116" t="s">
        <v>36</v>
      </c>
      <c r="P2116">
        <v>9.73</v>
      </c>
      <c r="Q2116" s="2" t="b">
        <f>FALSE()</f>
        <v>0</v>
      </c>
      <c r="R2116">
        <v>1</v>
      </c>
    </row>
    <row r="2117" spans="1:18" x14ac:dyDescent="0.25">
      <c r="A2117">
        <v>202116</v>
      </c>
      <c r="B2117">
        <v>50150</v>
      </c>
      <c r="C2117" t="s">
        <v>18</v>
      </c>
      <c r="D2117">
        <v>2445.6999999999998</v>
      </c>
      <c r="E2117">
        <v>3203</v>
      </c>
      <c r="F2117">
        <v>3</v>
      </c>
      <c r="G2117">
        <v>12</v>
      </c>
      <c r="H2117">
        <v>1</v>
      </c>
      <c r="I2117" t="s">
        <v>19</v>
      </c>
      <c r="J2117">
        <v>0</v>
      </c>
      <c r="K2117">
        <v>84</v>
      </c>
      <c r="L2117" t="s">
        <v>20</v>
      </c>
      <c r="M2117" t="s">
        <v>25</v>
      </c>
      <c r="N2117" t="s">
        <v>30</v>
      </c>
      <c r="O2117" t="s">
        <v>36</v>
      </c>
      <c r="P2117">
        <v>0.86</v>
      </c>
      <c r="Q2117" s="2" t="b">
        <f>FALSE()</f>
        <v>0</v>
      </c>
      <c r="R2117">
        <v>1</v>
      </c>
    </row>
    <row r="2118" spans="1:18" x14ac:dyDescent="0.25">
      <c r="A2118">
        <v>202117</v>
      </c>
      <c r="B2118">
        <v>53932</v>
      </c>
      <c r="C2118" t="s">
        <v>18</v>
      </c>
      <c r="D2118">
        <v>3550.75</v>
      </c>
      <c r="E2118">
        <v>2346</v>
      </c>
      <c r="F2118">
        <v>0</v>
      </c>
      <c r="G2118">
        <v>5</v>
      </c>
      <c r="H2118">
        <v>0</v>
      </c>
      <c r="I2118" t="s">
        <v>33</v>
      </c>
      <c r="J2118">
        <v>0</v>
      </c>
      <c r="K2118">
        <v>48</v>
      </c>
      <c r="L2118" t="s">
        <v>20</v>
      </c>
      <c r="M2118" t="s">
        <v>21</v>
      </c>
      <c r="N2118" t="s">
        <v>22</v>
      </c>
      <c r="O2118" t="s">
        <v>27</v>
      </c>
      <c r="P2118">
        <v>4.32</v>
      </c>
      <c r="Q2118" s="2" t="b">
        <f>FALSE()</f>
        <v>0</v>
      </c>
      <c r="R2118">
        <v>0</v>
      </c>
    </row>
    <row r="2119" spans="1:18" x14ac:dyDescent="0.25">
      <c r="A2119">
        <v>202118</v>
      </c>
      <c r="B2119">
        <v>53002</v>
      </c>
      <c r="C2119" t="s">
        <v>34</v>
      </c>
      <c r="D2119">
        <v>4047.77</v>
      </c>
      <c r="E2119">
        <v>1495</v>
      </c>
      <c r="F2119">
        <v>0</v>
      </c>
      <c r="G2119">
        <v>7</v>
      </c>
      <c r="H2119">
        <v>0</v>
      </c>
      <c r="I2119" t="s">
        <v>33</v>
      </c>
      <c r="J2119">
        <v>1</v>
      </c>
      <c r="K2119">
        <v>57</v>
      </c>
      <c r="L2119" t="s">
        <v>20</v>
      </c>
      <c r="M2119" t="s">
        <v>25</v>
      </c>
      <c r="N2119" t="s">
        <v>22</v>
      </c>
      <c r="O2119" t="s">
        <v>27</v>
      </c>
      <c r="P2119">
        <v>0.28999999999999998</v>
      </c>
      <c r="Q2119" s="2" t="b">
        <f>FALSE()</f>
        <v>0</v>
      </c>
      <c r="R2119">
        <v>1</v>
      </c>
    </row>
    <row r="2120" spans="1:18" x14ac:dyDescent="0.25">
      <c r="A2120">
        <v>202119</v>
      </c>
      <c r="B2120">
        <v>55250</v>
      </c>
      <c r="C2120" t="s">
        <v>34</v>
      </c>
      <c r="D2120">
        <v>5719.61</v>
      </c>
      <c r="E2120">
        <v>904</v>
      </c>
      <c r="F2120">
        <v>1</v>
      </c>
      <c r="G2120">
        <v>6</v>
      </c>
      <c r="H2120">
        <v>0</v>
      </c>
      <c r="I2120" t="s">
        <v>19</v>
      </c>
      <c r="J2120">
        <v>0</v>
      </c>
      <c r="K2120">
        <v>81</v>
      </c>
      <c r="L2120" t="s">
        <v>24</v>
      </c>
      <c r="M2120" t="s">
        <v>25</v>
      </c>
      <c r="N2120" t="s">
        <v>22</v>
      </c>
      <c r="O2120" t="s">
        <v>27</v>
      </c>
      <c r="P2120">
        <v>6.28</v>
      </c>
      <c r="Q2120" s="2" t="b">
        <f>FALSE()</f>
        <v>0</v>
      </c>
      <c r="R2120">
        <v>1</v>
      </c>
    </row>
    <row r="2121" spans="1:18" x14ac:dyDescent="0.25">
      <c r="A2121">
        <v>202120</v>
      </c>
      <c r="B2121">
        <v>53245</v>
      </c>
      <c r="C2121" t="s">
        <v>34</v>
      </c>
      <c r="D2121">
        <v>73.8</v>
      </c>
      <c r="E2121">
        <v>1557</v>
      </c>
      <c r="F2121">
        <v>0</v>
      </c>
      <c r="G2121">
        <v>3</v>
      </c>
      <c r="H2121">
        <v>0</v>
      </c>
      <c r="I2121" t="s">
        <v>33</v>
      </c>
      <c r="J2121">
        <v>0</v>
      </c>
      <c r="K2121">
        <v>83</v>
      </c>
      <c r="L2121" t="s">
        <v>24</v>
      </c>
      <c r="M2121" t="s">
        <v>29</v>
      </c>
      <c r="N2121" t="s">
        <v>30</v>
      </c>
      <c r="O2121" t="s">
        <v>36</v>
      </c>
      <c r="P2121">
        <v>0.91</v>
      </c>
      <c r="Q2121" s="2" t="b">
        <f>FALSE()</f>
        <v>0</v>
      </c>
      <c r="R2121">
        <v>0</v>
      </c>
    </row>
    <row r="2122" spans="1:18" x14ac:dyDescent="0.25">
      <c r="A2122">
        <v>202121</v>
      </c>
      <c r="B2122">
        <v>52205</v>
      </c>
      <c r="C2122" t="s">
        <v>18</v>
      </c>
      <c r="D2122">
        <v>3963.62</v>
      </c>
      <c r="E2122">
        <v>1282</v>
      </c>
      <c r="F2122">
        <v>0</v>
      </c>
      <c r="G2122">
        <v>5</v>
      </c>
      <c r="H2122">
        <v>1</v>
      </c>
      <c r="I2122" t="s">
        <v>33</v>
      </c>
      <c r="J2122">
        <v>0</v>
      </c>
      <c r="K2122">
        <v>73</v>
      </c>
      <c r="L2122" t="s">
        <v>24</v>
      </c>
      <c r="M2122" t="s">
        <v>25</v>
      </c>
      <c r="N2122" t="s">
        <v>26</v>
      </c>
      <c r="O2122" t="s">
        <v>23</v>
      </c>
      <c r="P2122">
        <v>0.98</v>
      </c>
      <c r="Q2122" s="2" t="b">
        <f>FALSE()</f>
        <v>0</v>
      </c>
      <c r="R2122">
        <v>1</v>
      </c>
    </row>
    <row r="2123" spans="1:18" x14ac:dyDescent="0.25">
      <c r="A2123">
        <v>202122</v>
      </c>
      <c r="B2123">
        <v>50067</v>
      </c>
      <c r="C2123" t="s">
        <v>18</v>
      </c>
      <c r="D2123">
        <v>4572.0600000000004</v>
      </c>
      <c r="E2123">
        <v>1000</v>
      </c>
      <c r="F2123">
        <v>2</v>
      </c>
      <c r="G2123">
        <v>10</v>
      </c>
      <c r="H2123">
        <v>0</v>
      </c>
      <c r="I2123" t="s">
        <v>33</v>
      </c>
      <c r="J2123">
        <v>0</v>
      </c>
      <c r="K2123">
        <v>39</v>
      </c>
      <c r="L2123" t="s">
        <v>24</v>
      </c>
      <c r="M2123" t="s">
        <v>29</v>
      </c>
      <c r="N2123" t="s">
        <v>30</v>
      </c>
      <c r="O2123" t="s">
        <v>36</v>
      </c>
      <c r="P2123">
        <v>7.91</v>
      </c>
      <c r="Q2123" s="2" t="b">
        <f>FALSE()</f>
        <v>0</v>
      </c>
      <c r="R2123">
        <v>1</v>
      </c>
    </row>
    <row r="2124" spans="1:18" x14ac:dyDescent="0.25">
      <c r="A2124">
        <v>202123</v>
      </c>
      <c r="B2124">
        <v>53686</v>
      </c>
      <c r="C2124" t="s">
        <v>18</v>
      </c>
      <c r="D2124">
        <v>2441.29</v>
      </c>
      <c r="E2124">
        <v>3047</v>
      </c>
      <c r="F2124">
        <v>4</v>
      </c>
      <c r="G2124">
        <v>4</v>
      </c>
      <c r="H2124">
        <v>0</v>
      </c>
      <c r="I2124" t="s">
        <v>19</v>
      </c>
      <c r="J2124">
        <v>1</v>
      </c>
      <c r="K2124">
        <v>23</v>
      </c>
      <c r="L2124" t="s">
        <v>38</v>
      </c>
      <c r="M2124" t="s">
        <v>29</v>
      </c>
      <c r="N2124" t="s">
        <v>26</v>
      </c>
      <c r="O2124" t="s">
        <v>27</v>
      </c>
      <c r="P2124">
        <v>4.3499999999999996</v>
      </c>
      <c r="Q2124" s="2" t="b">
        <f>FALSE()</f>
        <v>0</v>
      </c>
      <c r="R2124">
        <v>1</v>
      </c>
    </row>
    <row r="2125" spans="1:18" x14ac:dyDescent="0.25">
      <c r="A2125">
        <v>202124</v>
      </c>
      <c r="B2125">
        <v>50555</v>
      </c>
      <c r="C2125" t="s">
        <v>18</v>
      </c>
      <c r="D2125">
        <v>1565.61</v>
      </c>
      <c r="E2125">
        <v>655</v>
      </c>
      <c r="F2125">
        <v>0</v>
      </c>
      <c r="G2125">
        <v>4</v>
      </c>
      <c r="H2125">
        <v>0</v>
      </c>
      <c r="I2125" t="s">
        <v>19</v>
      </c>
      <c r="J2125">
        <v>0</v>
      </c>
      <c r="K2125">
        <v>50</v>
      </c>
      <c r="L2125" t="s">
        <v>38</v>
      </c>
      <c r="M2125" t="s">
        <v>31</v>
      </c>
      <c r="N2125" t="s">
        <v>30</v>
      </c>
      <c r="O2125" t="s">
        <v>36</v>
      </c>
      <c r="P2125">
        <v>0.66</v>
      </c>
      <c r="Q2125" s="2" t="b">
        <f>FALSE()</f>
        <v>0</v>
      </c>
      <c r="R2125">
        <v>0</v>
      </c>
    </row>
    <row r="2126" spans="1:18" x14ac:dyDescent="0.25">
      <c r="A2126">
        <v>202125</v>
      </c>
      <c r="B2126">
        <v>55449</v>
      </c>
      <c r="C2126" t="s">
        <v>18</v>
      </c>
      <c r="D2126">
        <v>2540.11</v>
      </c>
      <c r="E2126">
        <v>3080</v>
      </c>
      <c r="F2126">
        <v>2</v>
      </c>
      <c r="G2126">
        <v>3</v>
      </c>
      <c r="H2126">
        <v>0</v>
      </c>
      <c r="I2126" t="s">
        <v>33</v>
      </c>
      <c r="J2126">
        <v>0</v>
      </c>
      <c r="K2126">
        <v>28</v>
      </c>
      <c r="L2126" t="s">
        <v>24</v>
      </c>
      <c r="M2126" t="s">
        <v>31</v>
      </c>
      <c r="N2126" t="s">
        <v>30</v>
      </c>
      <c r="O2126" t="s">
        <v>23</v>
      </c>
      <c r="P2126">
        <v>1.76</v>
      </c>
      <c r="Q2126" s="2" t="b">
        <f>FALSE()</f>
        <v>0</v>
      </c>
      <c r="R2126">
        <v>0</v>
      </c>
    </row>
    <row r="2127" spans="1:18" x14ac:dyDescent="0.25">
      <c r="A2127">
        <v>202126</v>
      </c>
      <c r="B2127">
        <v>52218</v>
      </c>
      <c r="C2127" t="s">
        <v>18</v>
      </c>
      <c r="D2127">
        <v>1869.84</v>
      </c>
      <c r="E2127">
        <v>2198</v>
      </c>
      <c r="F2127">
        <v>1</v>
      </c>
      <c r="G2127">
        <v>3</v>
      </c>
      <c r="H2127">
        <v>0</v>
      </c>
      <c r="I2127" t="s">
        <v>33</v>
      </c>
      <c r="J2127">
        <v>1</v>
      </c>
      <c r="K2127">
        <v>76</v>
      </c>
      <c r="L2127" t="s">
        <v>24</v>
      </c>
      <c r="M2127" t="s">
        <v>37</v>
      </c>
      <c r="N2127" t="s">
        <v>22</v>
      </c>
      <c r="O2127" t="s">
        <v>23</v>
      </c>
      <c r="P2127">
        <v>10.45</v>
      </c>
      <c r="Q2127" s="2" t="b">
        <f>FALSE()</f>
        <v>0</v>
      </c>
      <c r="R2127">
        <v>0</v>
      </c>
    </row>
    <row r="2128" spans="1:18" x14ac:dyDescent="0.25">
      <c r="A2128">
        <v>202127</v>
      </c>
      <c r="B2128">
        <v>52550</v>
      </c>
      <c r="C2128" t="s">
        <v>34</v>
      </c>
      <c r="D2128">
        <v>1772.65</v>
      </c>
      <c r="E2128">
        <v>3391</v>
      </c>
      <c r="F2128">
        <v>0</v>
      </c>
      <c r="G2128">
        <v>3</v>
      </c>
      <c r="H2128">
        <v>1</v>
      </c>
      <c r="I2128" t="s">
        <v>33</v>
      </c>
      <c r="J2128">
        <v>0</v>
      </c>
      <c r="K2128">
        <v>20</v>
      </c>
      <c r="L2128" t="s">
        <v>24</v>
      </c>
      <c r="M2128" t="s">
        <v>31</v>
      </c>
      <c r="N2128" t="s">
        <v>22</v>
      </c>
      <c r="O2128" t="s">
        <v>27</v>
      </c>
      <c r="P2128">
        <v>0.2</v>
      </c>
      <c r="Q2128" s="2" t="b">
        <f>FALSE()</f>
        <v>0</v>
      </c>
      <c r="R2128">
        <v>0</v>
      </c>
    </row>
    <row r="2129" spans="1:18" x14ac:dyDescent="0.25">
      <c r="A2129">
        <v>202128</v>
      </c>
      <c r="B2129">
        <v>50279</v>
      </c>
      <c r="C2129" t="s">
        <v>28</v>
      </c>
      <c r="D2129">
        <v>1479.94</v>
      </c>
      <c r="E2129">
        <v>2969</v>
      </c>
      <c r="F2129">
        <v>1</v>
      </c>
      <c r="G2129">
        <v>4</v>
      </c>
      <c r="H2129">
        <v>1</v>
      </c>
      <c r="I2129" t="s">
        <v>32</v>
      </c>
      <c r="J2129">
        <v>1</v>
      </c>
      <c r="K2129">
        <v>37</v>
      </c>
      <c r="L2129" t="s">
        <v>20</v>
      </c>
      <c r="M2129" t="s">
        <v>37</v>
      </c>
      <c r="N2129" t="s">
        <v>30</v>
      </c>
      <c r="O2129" t="s">
        <v>36</v>
      </c>
      <c r="P2129">
        <v>6.51</v>
      </c>
      <c r="Q2129" s="2" t="b">
        <f>FALSE()</f>
        <v>0</v>
      </c>
      <c r="R2129">
        <v>0</v>
      </c>
    </row>
    <row r="2130" spans="1:18" x14ac:dyDescent="0.25">
      <c r="A2130">
        <v>202129</v>
      </c>
      <c r="B2130">
        <v>54106</v>
      </c>
      <c r="C2130" t="s">
        <v>34</v>
      </c>
      <c r="D2130">
        <v>1396.33</v>
      </c>
      <c r="E2130">
        <v>2198</v>
      </c>
      <c r="F2130">
        <v>1</v>
      </c>
      <c r="G2130">
        <v>3</v>
      </c>
      <c r="H2130">
        <v>0</v>
      </c>
      <c r="I2130" t="s">
        <v>33</v>
      </c>
      <c r="J2130">
        <v>1</v>
      </c>
      <c r="K2130">
        <v>45</v>
      </c>
      <c r="L2130" t="s">
        <v>24</v>
      </c>
      <c r="M2130" t="s">
        <v>21</v>
      </c>
      <c r="N2130" t="s">
        <v>30</v>
      </c>
      <c r="O2130" t="s">
        <v>36</v>
      </c>
      <c r="P2130">
        <v>0.46</v>
      </c>
      <c r="Q2130" s="2" t="b">
        <f>FALSE()</f>
        <v>0</v>
      </c>
      <c r="R2130">
        <v>0</v>
      </c>
    </row>
    <row r="2131" spans="1:18" x14ac:dyDescent="0.25">
      <c r="A2131">
        <v>202130</v>
      </c>
      <c r="B2131">
        <v>53618</v>
      </c>
      <c r="C2131" t="s">
        <v>18</v>
      </c>
      <c r="D2131">
        <v>1039.26</v>
      </c>
      <c r="E2131">
        <v>313</v>
      </c>
      <c r="F2131">
        <v>2</v>
      </c>
      <c r="G2131">
        <v>1</v>
      </c>
      <c r="H2131">
        <v>1</v>
      </c>
      <c r="I2131" t="s">
        <v>19</v>
      </c>
      <c r="J2131">
        <v>0</v>
      </c>
      <c r="K2131">
        <v>31</v>
      </c>
      <c r="L2131" t="s">
        <v>20</v>
      </c>
      <c r="M2131" t="s">
        <v>37</v>
      </c>
      <c r="N2131" t="s">
        <v>26</v>
      </c>
      <c r="O2131" t="s">
        <v>27</v>
      </c>
      <c r="P2131">
        <v>12.67</v>
      </c>
      <c r="Q2131" s="2" t="b">
        <f>FALSE()</f>
        <v>0</v>
      </c>
      <c r="R2131">
        <v>0</v>
      </c>
    </row>
    <row r="2132" spans="1:18" x14ac:dyDescent="0.25">
      <c r="A2132">
        <v>202131</v>
      </c>
      <c r="B2132">
        <v>50729</v>
      </c>
      <c r="C2132" t="s">
        <v>28</v>
      </c>
      <c r="D2132">
        <v>6117.57</v>
      </c>
      <c r="E2132">
        <v>150</v>
      </c>
      <c r="F2132">
        <v>2</v>
      </c>
      <c r="G2132">
        <v>4</v>
      </c>
      <c r="H2132">
        <v>1</v>
      </c>
      <c r="I2132" t="s">
        <v>33</v>
      </c>
      <c r="J2132">
        <v>1</v>
      </c>
      <c r="K2132">
        <v>33</v>
      </c>
      <c r="L2132" t="s">
        <v>24</v>
      </c>
      <c r="M2132" t="s">
        <v>21</v>
      </c>
      <c r="N2132" t="s">
        <v>30</v>
      </c>
      <c r="O2132" t="s">
        <v>36</v>
      </c>
      <c r="P2132">
        <v>1.61</v>
      </c>
      <c r="Q2132" s="2" t="b">
        <f>FALSE()</f>
        <v>0</v>
      </c>
      <c r="R2132">
        <v>1</v>
      </c>
    </row>
    <row r="2133" spans="1:18" x14ac:dyDescent="0.25">
      <c r="A2133">
        <v>202132</v>
      </c>
      <c r="B2133">
        <v>55558</v>
      </c>
      <c r="C2133" t="s">
        <v>34</v>
      </c>
      <c r="D2133">
        <v>3367.62</v>
      </c>
      <c r="E2133">
        <v>1422</v>
      </c>
      <c r="F2133">
        <v>2</v>
      </c>
      <c r="G2133">
        <v>7</v>
      </c>
      <c r="H2133">
        <v>0</v>
      </c>
      <c r="I2133" t="s">
        <v>33</v>
      </c>
      <c r="J2133">
        <v>1</v>
      </c>
      <c r="K2133">
        <v>19</v>
      </c>
      <c r="L2133" t="s">
        <v>20</v>
      </c>
      <c r="M2133" t="s">
        <v>29</v>
      </c>
      <c r="N2133" t="s">
        <v>26</v>
      </c>
      <c r="O2133" t="s">
        <v>36</v>
      </c>
      <c r="P2133">
        <v>2.4500000000000002</v>
      </c>
      <c r="Q2133" s="2" t="b">
        <f>FALSE()</f>
        <v>0</v>
      </c>
      <c r="R2133">
        <v>1</v>
      </c>
    </row>
    <row r="2134" spans="1:18" x14ac:dyDescent="0.25">
      <c r="A2134">
        <v>202133</v>
      </c>
      <c r="B2134">
        <v>51246</v>
      </c>
      <c r="C2134" t="s">
        <v>28</v>
      </c>
      <c r="D2134">
        <v>1943.47</v>
      </c>
      <c r="E2134">
        <v>1363</v>
      </c>
      <c r="F2134">
        <v>1</v>
      </c>
      <c r="G2134">
        <v>6</v>
      </c>
      <c r="H2134">
        <v>0</v>
      </c>
      <c r="I2134" t="s">
        <v>19</v>
      </c>
      <c r="J2134">
        <v>0</v>
      </c>
      <c r="K2134">
        <v>77</v>
      </c>
      <c r="L2134" t="s">
        <v>20</v>
      </c>
      <c r="M2134" t="s">
        <v>21</v>
      </c>
      <c r="N2134" t="s">
        <v>22</v>
      </c>
      <c r="O2134" t="s">
        <v>27</v>
      </c>
      <c r="P2134">
        <v>1.3</v>
      </c>
      <c r="Q2134" s="2" t="b">
        <f>FALSE()</f>
        <v>0</v>
      </c>
      <c r="R2134">
        <v>0</v>
      </c>
    </row>
    <row r="2135" spans="1:18" x14ac:dyDescent="0.25">
      <c r="A2135">
        <v>202134</v>
      </c>
      <c r="B2135">
        <v>55641</v>
      </c>
      <c r="C2135" t="s">
        <v>18</v>
      </c>
      <c r="D2135">
        <v>2929.99</v>
      </c>
      <c r="E2135">
        <v>1415</v>
      </c>
      <c r="F2135">
        <v>1</v>
      </c>
      <c r="G2135">
        <v>6</v>
      </c>
      <c r="H2135">
        <v>1</v>
      </c>
      <c r="I2135" t="s">
        <v>33</v>
      </c>
      <c r="J2135">
        <v>0</v>
      </c>
      <c r="K2135">
        <v>28</v>
      </c>
      <c r="L2135" t="s">
        <v>20</v>
      </c>
      <c r="M2135" t="s">
        <v>35</v>
      </c>
      <c r="N2135" t="s">
        <v>30</v>
      </c>
      <c r="O2135" t="s">
        <v>27</v>
      </c>
      <c r="P2135">
        <v>3.08</v>
      </c>
      <c r="Q2135" s="2" t="b">
        <f>FALSE()</f>
        <v>0</v>
      </c>
      <c r="R2135">
        <v>0</v>
      </c>
    </row>
    <row r="2136" spans="1:18" x14ac:dyDescent="0.25">
      <c r="A2136">
        <v>202135</v>
      </c>
      <c r="B2136">
        <v>55950</v>
      </c>
      <c r="C2136" t="s">
        <v>18</v>
      </c>
      <c r="D2136">
        <v>8911.9500000000007</v>
      </c>
      <c r="E2136">
        <v>2012</v>
      </c>
      <c r="F2136">
        <v>1</v>
      </c>
      <c r="G2136">
        <v>1</v>
      </c>
      <c r="H2136">
        <v>0</v>
      </c>
      <c r="I2136" t="s">
        <v>19</v>
      </c>
      <c r="J2136">
        <v>0</v>
      </c>
      <c r="K2136">
        <v>59</v>
      </c>
      <c r="L2136" t="s">
        <v>24</v>
      </c>
      <c r="M2136" t="s">
        <v>21</v>
      </c>
      <c r="N2136" t="s">
        <v>30</v>
      </c>
      <c r="O2136" t="s">
        <v>36</v>
      </c>
      <c r="P2136">
        <v>1.2</v>
      </c>
      <c r="Q2136" s="2" t="b">
        <f>TRUE()</f>
        <v>1</v>
      </c>
      <c r="R2136">
        <v>1</v>
      </c>
    </row>
    <row r="2137" spans="1:18" x14ac:dyDescent="0.25">
      <c r="A2137">
        <v>202136</v>
      </c>
      <c r="B2137">
        <v>54941</v>
      </c>
      <c r="C2137" t="s">
        <v>28</v>
      </c>
      <c r="D2137">
        <v>600</v>
      </c>
      <c r="E2137">
        <v>2852</v>
      </c>
      <c r="F2137">
        <v>0</v>
      </c>
      <c r="G2137">
        <v>6</v>
      </c>
      <c r="H2137">
        <v>0</v>
      </c>
      <c r="I2137" t="s">
        <v>19</v>
      </c>
      <c r="J2137">
        <v>0</v>
      </c>
      <c r="K2137">
        <v>51</v>
      </c>
      <c r="L2137" t="s">
        <v>20</v>
      </c>
      <c r="M2137" t="s">
        <v>31</v>
      </c>
      <c r="N2137" t="s">
        <v>30</v>
      </c>
      <c r="O2137" t="s">
        <v>27</v>
      </c>
      <c r="P2137">
        <v>0.4</v>
      </c>
      <c r="Q2137" s="2" t="b">
        <f>FALSE()</f>
        <v>0</v>
      </c>
      <c r="R2137">
        <v>0</v>
      </c>
    </row>
    <row r="2138" spans="1:18" x14ac:dyDescent="0.25">
      <c r="A2138">
        <v>202137</v>
      </c>
      <c r="B2138">
        <v>52409</v>
      </c>
      <c r="C2138" t="s">
        <v>18</v>
      </c>
      <c r="D2138">
        <v>2299.5500000000002</v>
      </c>
      <c r="E2138">
        <v>2303</v>
      </c>
      <c r="F2138">
        <v>1</v>
      </c>
      <c r="G2138">
        <v>3</v>
      </c>
      <c r="H2138">
        <v>1</v>
      </c>
      <c r="I2138" t="s">
        <v>33</v>
      </c>
      <c r="J2138">
        <v>0</v>
      </c>
      <c r="K2138">
        <v>45</v>
      </c>
      <c r="L2138" t="s">
        <v>24</v>
      </c>
      <c r="M2138" t="s">
        <v>37</v>
      </c>
      <c r="N2138" t="s">
        <v>30</v>
      </c>
      <c r="O2138" t="s">
        <v>27</v>
      </c>
      <c r="P2138">
        <v>0.12</v>
      </c>
      <c r="Q2138" s="2" t="b">
        <f>FALSE()</f>
        <v>0</v>
      </c>
      <c r="R2138">
        <v>0</v>
      </c>
    </row>
    <row r="2139" spans="1:18" x14ac:dyDescent="0.25">
      <c r="A2139">
        <v>202138</v>
      </c>
      <c r="B2139">
        <v>51383</v>
      </c>
      <c r="C2139" t="s">
        <v>28</v>
      </c>
      <c r="D2139">
        <v>1976.06</v>
      </c>
      <c r="E2139">
        <v>3272</v>
      </c>
      <c r="F2139">
        <v>0</v>
      </c>
      <c r="G2139">
        <v>3</v>
      </c>
      <c r="H2139">
        <v>0</v>
      </c>
      <c r="I2139" t="s">
        <v>19</v>
      </c>
      <c r="J2139">
        <v>0</v>
      </c>
      <c r="K2139">
        <v>55</v>
      </c>
      <c r="L2139" t="s">
        <v>24</v>
      </c>
      <c r="M2139" t="s">
        <v>35</v>
      </c>
      <c r="N2139" t="s">
        <v>22</v>
      </c>
      <c r="O2139" t="s">
        <v>27</v>
      </c>
      <c r="P2139">
        <v>1.7</v>
      </c>
      <c r="Q2139" s="2" t="b">
        <f>FALSE()</f>
        <v>0</v>
      </c>
      <c r="R2139">
        <v>0</v>
      </c>
    </row>
    <row r="2140" spans="1:18" x14ac:dyDescent="0.25">
      <c r="A2140">
        <v>202139</v>
      </c>
      <c r="B2140">
        <v>50897</v>
      </c>
      <c r="C2140" t="s">
        <v>18</v>
      </c>
      <c r="D2140">
        <v>2477.8200000000002</v>
      </c>
      <c r="E2140">
        <v>2361</v>
      </c>
      <c r="F2140">
        <v>1</v>
      </c>
      <c r="G2140">
        <v>1</v>
      </c>
      <c r="H2140">
        <v>1</v>
      </c>
      <c r="I2140" t="s">
        <v>33</v>
      </c>
      <c r="J2140">
        <v>0</v>
      </c>
      <c r="K2140">
        <v>78</v>
      </c>
      <c r="L2140" t="s">
        <v>20</v>
      </c>
      <c r="M2140" t="s">
        <v>35</v>
      </c>
      <c r="N2140" t="s">
        <v>22</v>
      </c>
      <c r="O2140" t="s">
        <v>27</v>
      </c>
      <c r="P2140">
        <v>0.42</v>
      </c>
      <c r="Q2140" s="2" t="b">
        <f>FALSE()</f>
        <v>0</v>
      </c>
      <c r="R2140">
        <v>0</v>
      </c>
    </row>
    <row r="2141" spans="1:18" x14ac:dyDescent="0.25">
      <c r="A2141">
        <v>202140</v>
      </c>
      <c r="B2141">
        <v>53857</v>
      </c>
      <c r="C2141" t="s">
        <v>34</v>
      </c>
      <c r="D2141">
        <v>3793.13</v>
      </c>
      <c r="E2141">
        <v>1631</v>
      </c>
      <c r="F2141">
        <v>0</v>
      </c>
      <c r="G2141">
        <v>5</v>
      </c>
      <c r="H2141">
        <v>0</v>
      </c>
      <c r="I2141" t="s">
        <v>19</v>
      </c>
      <c r="J2141">
        <v>0</v>
      </c>
      <c r="K2141">
        <v>46</v>
      </c>
      <c r="L2141" t="s">
        <v>24</v>
      </c>
      <c r="M2141" t="s">
        <v>37</v>
      </c>
      <c r="N2141" t="s">
        <v>22</v>
      </c>
      <c r="O2141" t="s">
        <v>27</v>
      </c>
      <c r="P2141">
        <v>2.44</v>
      </c>
      <c r="Q2141" s="2" t="b">
        <f>FALSE()</f>
        <v>0</v>
      </c>
      <c r="R2141">
        <v>1</v>
      </c>
    </row>
    <row r="2142" spans="1:18" x14ac:dyDescent="0.25">
      <c r="A2142">
        <v>202141</v>
      </c>
      <c r="B2142">
        <v>52114</v>
      </c>
      <c r="C2142" t="s">
        <v>18</v>
      </c>
      <c r="D2142">
        <v>5924.71</v>
      </c>
      <c r="E2142">
        <v>1058</v>
      </c>
      <c r="F2142">
        <v>3</v>
      </c>
      <c r="G2142">
        <v>2</v>
      </c>
      <c r="H2142">
        <v>0</v>
      </c>
      <c r="I2142" t="s">
        <v>32</v>
      </c>
      <c r="J2142">
        <v>0</v>
      </c>
      <c r="K2142">
        <v>67</v>
      </c>
      <c r="L2142" t="s">
        <v>20</v>
      </c>
      <c r="M2142" t="s">
        <v>31</v>
      </c>
      <c r="N2142" t="s">
        <v>22</v>
      </c>
      <c r="O2142" t="s">
        <v>36</v>
      </c>
      <c r="P2142">
        <v>4.38</v>
      </c>
      <c r="Q2142" s="2" t="b">
        <f>FALSE()</f>
        <v>0</v>
      </c>
      <c r="R2142">
        <v>1</v>
      </c>
    </row>
    <row r="2143" spans="1:18" x14ac:dyDescent="0.25">
      <c r="A2143">
        <v>202142</v>
      </c>
      <c r="B2143">
        <v>50102</v>
      </c>
      <c r="C2143" t="s">
        <v>18</v>
      </c>
      <c r="D2143">
        <v>1700.54</v>
      </c>
      <c r="E2143">
        <v>2962</v>
      </c>
      <c r="F2143">
        <v>2</v>
      </c>
      <c r="G2143">
        <v>4</v>
      </c>
      <c r="H2143">
        <v>0</v>
      </c>
      <c r="I2143" t="s">
        <v>33</v>
      </c>
      <c r="J2143">
        <v>0</v>
      </c>
      <c r="K2143">
        <v>24</v>
      </c>
      <c r="L2143" t="s">
        <v>20</v>
      </c>
      <c r="M2143" t="s">
        <v>31</v>
      </c>
      <c r="N2143" t="s">
        <v>22</v>
      </c>
      <c r="O2143" t="s">
        <v>36</v>
      </c>
      <c r="P2143">
        <v>2.0499999999999998</v>
      </c>
      <c r="Q2143" s="2" t="b">
        <f>FALSE()</f>
        <v>0</v>
      </c>
      <c r="R2143">
        <v>0</v>
      </c>
    </row>
    <row r="2144" spans="1:18" x14ac:dyDescent="0.25">
      <c r="A2144">
        <v>202143</v>
      </c>
      <c r="B2144">
        <v>51654</v>
      </c>
      <c r="C2144" t="s">
        <v>18</v>
      </c>
      <c r="D2144">
        <v>1532.35</v>
      </c>
      <c r="E2144">
        <v>176</v>
      </c>
      <c r="F2144">
        <v>1</v>
      </c>
      <c r="G2144">
        <v>2</v>
      </c>
      <c r="H2144">
        <v>0</v>
      </c>
      <c r="I2144" t="s">
        <v>33</v>
      </c>
      <c r="J2144">
        <v>0</v>
      </c>
      <c r="K2144">
        <v>21</v>
      </c>
      <c r="L2144" t="s">
        <v>24</v>
      </c>
      <c r="M2144" t="s">
        <v>25</v>
      </c>
      <c r="N2144" t="s">
        <v>22</v>
      </c>
      <c r="O2144" t="s">
        <v>27</v>
      </c>
      <c r="P2144">
        <v>8.84</v>
      </c>
      <c r="Q2144" s="2" t="b">
        <f>FALSE()</f>
        <v>0</v>
      </c>
      <c r="R2144">
        <v>0</v>
      </c>
    </row>
    <row r="2145" spans="1:18" x14ac:dyDescent="0.25">
      <c r="A2145">
        <v>202144</v>
      </c>
      <c r="B2145">
        <v>51431</v>
      </c>
      <c r="C2145" t="s">
        <v>18</v>
      </c>
      <c r="D2145">
        <v>2938.86</v>
      </c>
      <c r="E2145">
        <v>1005</v>
      </c>
      <c r="F2145">
        <v>1</v>
      </c>
      <c r="G2145">
        <v>9</v>
      </c>
      <c r="H2145">
        <v>0</v>
      </c>
      <c r="I2145" t="s">
        <v>32</v>
      </c>
      <c r="J2145">
        <v>0</v>
      </c>
      <c r="K2145">
        <v>41</v>
      </c>
      <c r="L2145" t="s">
        <v>24</v>
      </c>
      <c r="M2145" t="s">
        <v>37</v>
      </c>
      <c r="N2145" t="s">
        <v>22</v>
      </c>
      <c r="O2145" t="s">
        <v>36</v>
      </c>
      <c r="P2145">
        <v>7.73</v>
      </c>
      <c r="Q2145" s="2" t="b">
        <f>FALSE()</f>
        <v>0</v>
      </c>
      <c r="R2145">
        <v>1</v>
      </c>
    </row>
    <row r="2146" spans="1:18" x14ac:dyDescent="0.25">
      <c r="A2146">
        <v>202145</v>
      </c>
      <c r="B2146">
        <v>51746</v>
      </c>
      <c r="C2146" t="s">
        <v>18</v>
      </c>
      <c r="D2146">
        <v>693.61</v>
      </c>
      <c r="E2146">
        <v>3264</v>
      </c>
      <c r="F2146">
        <v>1</v>
      </c>
      <c r="G2146">
        <v>2</v>
      </c>
      <c r="H2146">
        <v>0</v>
      </c>
      <c r="I2146" t="s">
        <v>33</v>
      </c>
      <c r="J2146">
        <v>1</v>
      </c>
      <c r="K2146">
        <v>23</v>
      </c>
      <c r="L2146" t="s">
        <v>24</v>
      </c>
      <c r="M2146" t="s">
        <v>35</v>
      </c>
      <c r="N2146" t="s">
        <v>22</v>
      </c>
      <c r="O2146" t="s">
        <v>36</v>
      </c>
      <c r="P2146">
        <v>2.67</v>
      </c>
      <c r="Q2146" s="2" t="b">
        <f>FALSE()</f>
        <v>0</v>
      </c>
      <c r="R2146">
        <v>0</v>
      </c>
    </row>
    <row r="2147" spans="1:18" x14ac:dyDescent="0.25">
      <c r="A2147">
        <v>202146</v>
      </c>
      <c r="B2147">
        <v>55452</v>
      </c>
      <c r="C2147" t="s">
        <v>18</v>
      </c>
      <c r="D2147">
        <v>1325.43</v>
      </c>
      <c r="E2147">
        <v>2757</v>
      </c>
      <c r="F2147">
        <v>2</v>
      </c>
      <c r="G2147">
        <v>2</v>
      </c>
      <c r="H2147">
        <v>0</v>
      </c>
      <c r="I2147" t="s">
        <v>33</v>
      </c>
      <c r="J2147">
        <v>0</v>
      </c>
      <c r="K2147">
        <v>35</v>
      </c>
      <c r="L2147" t="s">
        <v>24</v>
      </c>
      <c r="M2147" t="s">
        <v>21</v>
      </c>
      <c r="N2147" t="s">
        <v>30</v>
      </c>
      <c r="O2147" t="s">
        <v>36</v>
      </c>
      <c r="P2147">
        <v>0.81</v>
      </c>
      <c r="Q2147" s="2" t="b">
        <f>FALSE()</f>
        <v>0</v>
      </c>
      <c r="R2147">
        <v>0</v>
      </c>
    </row>
    <row r="2148" spans="1:18" x14ac:dyDescent="0.25">
      <c r="A2148">
        <v>202147</v>
      </c>
      <c r="B2148">
        <v>52249</v>
      </c>
      <c r="C2148" t="s">
        <v>34</v>
      </c>
      <c r="D2148">
        <v>4611.1400000000003</v>
      </c>
      <c r="E2148">
        <v>439</v>
      </c>
      <c r="F2148">
        <v>1</v>
      </c>
      <c r="G2148">
        <v>6</v>
      </c>
      <c r="H2148">
        <v>0</v>
      </c>
      <c r="I2148" t="s">
        <v>33</v>
      </c>
      <c r="J2148">
        <v>0</v>
      </c>
      <c r="K2148">
        <v>38</v>
      </c>
      <c r="L2148" t="s">
        <v>24</v>
      </c>
      <c r="M2148" t="s">
        <v>21</v>
      </c>
      <c r="N2148" t="s">
        <v>22</v>
      </c>
      <c r="O2148" t="s">
        <v>27</v>
      </c>
      <c r="P2148">
        <v>1.48</v>
      </c>
      <c r="Q2148" s="2" t="b">
        <f>FALSE()</f>
        <v>0</v>
      </c>
      <c r="R2148">
        <v>1</v>
      </c>
    </row>
    <row r="2149" spans="1:18" x14ac:dyDescent="0.25">
      <c r="A2149">
        <v>202148</v>
      </c>
      <c r="B2149">
        <v>54996</v>
      </c>
      <c r="C2149" t="s">
        <v>28</v>
      </c>
      <c r="D2149">
        <v>933.53</v>
      </c>
      <c r="E2149">
        <v>1102</v>
      </c>
      <c r="F2149">
        <v>1</v>
      </c>
      <c r="G2149">
        <v>1</v>
      </c>
      <c r="H2149">
        <v>1</v>
      </c>
      <c r="I2149" t="s">
        <v>19</v>
      </c>
      <c r="J2149">
        <v>0</v>
      </c>
      <c r="K2149">
        <v>45</v>
      </c>
      <c r="L2149" t="s">
        <v>20</v>
      </c>
      <c r="M2149" t="s">
        <v>31</v>
      </c>
      <c r="N2149" t="s">
        <v>30</v>
      </c>
      <c r="O2149" t="s">
        <v>23</v>
      </c>
      <c r="P2149">
        <v>1.5</v>
      </c>
      <c r="Q2149" s="2" t="b">
        <f>FALSE()</f>
        <v>0</v>
      </c>
      <c r="R2149">
        <v>0</v>
      </c>
    </row>
    <row r="2150" spans="1:18" x14ac:dyDescent="0.25">
      <c r="A2150">
        <v>202149</v>
      </c>
      <c r="B2150">
        <v>54082</v>
      </c>
      <c r="C2150" t="s">
        <v>18</v>
      </c>
      <c r="D2150">
        <v>6643.47</v>
      </c>
      <c r="E2150">
        <v>1599</v>
      </c>
      <c r="F2150">
        <v>0</v>
      </c>
      <c r="G2150">
        <v>2</v>
      </c>
      <c r="H2150">
        <v>1</v>
      </c>
      <c r="I2150" t="s">
        <v>33</v>
      </c>
      <c r="J2150">
        <v>0</v>
      </c>
      <c r="K2150">
        <v>28</v>
      </c>
      <c r="L2150" t="s">
        <v>20</v>
      </c>
      <c r="M2150" t="s">
        <v>25</v>
      </c>
      <c r="N2150" t="s">
        <v>22</v>
      </c>
      <c r="O2150" t="s">
        <v>23</v>
      </c>
      <c r="P2150">
        <v>0.26</v>
      </c>
      <c r="Q2150" s="2" t="b">
        <f>FALSE()</f>
        <v>0</v>
      </c>
      <c r="R2150">
        <v>1</v>
      </c>
    </row>
    <row r="2151" spans="1:18" x14ac:dyDescent="0.25">
      <c r="A2151">
        <v>202150</v>
      </c>
      <c r="B2151">
        <v>51047</v>
      </c>
      <c r="C2151" t="s">
        <v>18</v>
      </c>
      <c r="D2151">
        <v>1137.54</v>
      </c>
      <c r="E2151">
        <v>3610</v>
      </c>
      <c r="F2151">
        <v>1</v>
      </c>
      <c r="G2151">
        <v>2</v>
      </c>
      <c r="H2151">
        <v>0</v>
      </c>
      <c r="I2151" t="s">
        <v>33</v>
      </c>
      <c r="J2151">
        <v>0</v>
      </c>
      <c r="K2151">
        <v>77</v>
      </c>
      <c r="L2151" t="s">
        <v>20</v>
      </c>
      <c r="M2151" t="s">
        <v>37</v>
      </c>
      <c r="N2151" t="s">
        <v>30</v>
      </c>
      <c r="O2151" t="s">
        <v>36</v>
      </c>
      <c r="P2151">
        <v>3.01</v>
      </c>
      <c r="Q2151" s="2" t="b">
        <f>FALSE()</f>
        <v>0</v>
      </c>
      <c r="R2151">
        <v>0</v>
      </c>
    </row>
    <row r="2152" spans="1:18" x14ac:dyDescent="0.25">
      <c r="A2152">
        <v>202151</v>
      </c>
      <c r="B2152">
        <v>52866</v>
      </c>
      <c r="C2152" t="s">
        <v>18</v>
      </c>
      <c r="D2152">
        <v>1650.99</v>
      </c>
      <c r="E2152">
        <v>941</v>
      </c>
      <c r="F2152">
        <v>0</v>
      </c>
      <c r="G2152">
        <v>4</v>
      </c>
      <c r="H2152">
        <v>0</v>
      </c>
      <c r="I2152" t="s">
        <v>32</v>
      </c>
      <c r="J2152">
        <v>0</v>
      </c>
      <c r="K2152">
        <v>63</v>
      </c>
      <c r="L2152" t="s">
        <v>38</v>
      </c>
      <c r="M2152" t="s">
        <v>31</v>
      </c>
      <c r="N2152" t="s">
        <v>30</v>
      </c>
      <c r="O2152" t="s">
        <v>27</v>
      </c>
      <c r="P2152">
        <v>5.21</v>
      </c>
      <c r="Q2152" s="2" t="b">
        <f>FALSE()</f>
        <v>0</v>
      </c>
      <c r="R2152">
        <v>0</v>
      </c>
    </row>
    <row r="2153" spans="1:18" x14ac:dyDescent="0.25">
      <c r="A2153">
        <v>202152</v>
      </c>
      <c r="B2153">
        <v>51295</v>
      </c>
      <c r="C2153" t="s">
        <v>18</v>
      </c>
      <c r="D2153">
        <v>4673.2</v>
      </c>
      <c r="E2153">
        <v>2985</v>
      </c>
      <c r="F2153">
        <v>1</v>
      </c>
      <c r="G2153">
        <v>2</v>
      </c>
      <c r="H2153">
        <v>0</v>
      </c>
      <c r="I2153" t="s">
        <v>19</v>
      </c>
      <c r="J2153">
        <v>0</v>
      </c>
      <c r="K2153">
        <v>24</v>
      </c>
      <c r="L2153" t="s">
        <v>20</v>
      </c>
      <c r="M2153" t="s">
        <v>31</v>
      </c>
      <c r="N2153" t="s">
        <v>30</v>
      </c>
      <c r="O2153" t="s">
        <v>36</v>
      </c>
      <c r="P2153">
        <v>2.02</v>
      </c>
      <c r="Q2153" s="2" t="b">
        <f>FALSE()</f>
        <v>0</v>
      </c>
      <c r="R2153">
        <v>1</v>
      </c>
    </row>
    <row r="2154" spans="1:18" x14ac:dyDescent="0.25">
      <c r="A2154">
        <v>202153</v>
      </c>
      <c r="B2154">
        <v>51796</v>
      </c>
      <c r="C2154" t="s">
        <v>18</v>
      </c>
      <c r="D2154">
        <v>2902</v>
      </c>
      <c r="E2154">
        <v>1909</v>
      </c>
      <c r="F2154">
        <v>1</v>
      </c>
      <c r="G2154">
        <v>2</v>
      </c>
      <c r="H2154">
        <v>0</v>
      </c>
      <c r="I2154" t="s">
        <v>19</v>
      </c>
      <c r="J2154">
        <v>0</v>
      </c>
      <c r="K2154">
        <v>23</v>
      </c>
      <c r="L2154" t="s">
        <v>24</v>
      </c>
      <c r="M2154" t="s">
        <v>29</v>
      </c>
      <c r="N2154" t="s">
        <v>22</v>
      </c>
      <c r="O2154" t="s">
        <v>23</v>
      </c>
      <c r="P2154">
        <v>1.37</v>
      </c>
      <c r="Q2154" s="2" t="b">
        <f>FALSE()</f>
        <v>0</v>
      </c>
      <c r="R2154">
        <v>0</v>
      </c>
    </row>
    <row r="2155" spans="1:18" x14ac:dyDescent="0.25">
      <c r="A2155">
        <v>202154</v>
      </c>
      <c r="B2155">
        <v>51949</v>
      </c>
      <c r="C2155" t="s">
        <v>18</v>
      </c>
      <c r="D2155">
        <v>1336.2</v>
      </c>
      <c r="E2155">
        <v>2882</v>
      </c>
      <c r="F2155">
        <v>0</v>
      </c>
      <c r="G2155">
        <v>1</v>
      </c>
      <c r="H2155">
        <v>1</v>
      </c>
      <c r="I2155" t="s">
        <v>32</v>
      </c>
      <c r="J2155">
        <v>0</v>
      </c>
      <c r="K2155">
        <v>81</v>
      </c>
      <c r="L2155" t="s">
        <v>24</v>
      </c>
      <c r="M2155" t="s">
        <v>21</v>
      </c>
      <c r="N2155" t="s">
        <v>22</v>
      </c>
      <c r="O2155" t="s">
        <v>36</v>
      </c>
      <c r="P2155">
        <v>6.86</v>
      </c>
      <c r="Q2155" s="2" t="b">
        <f>FALSE()</f>
        <v>0</v>
      </c>
      <c r="R2155">
        <v>0</v>
      </c>
    </row>
    <row r="2156" spans="1:18" x14ac:dyDescent="0.25">
      <c r="A2156">
        <v>202155</v>
      </c>
      <c r="B2156">
        <v>51270</v>
      </c>
      <c r="C2156" t="s">
        <v>18</v>
      </c>
      <c r="D2156">
        <v>1715.63</v>
      </c>
      <c r="E2156">
        <v>2915</v>
      </c>
      <c r="F2156">
        <v>0</v>
      </c>
      <c r="G2156">
        <v>4</v>
      </c>
      <c r="H2156">
        <v>1</v>
      </c>
      <c r="I2156" t="s">
        <v>19</v>
      </c>
      <c r="J2156">
        <v>0</v>
      </c>
      <c r="K2156">
        <v>29</v>
      </c>
      <c r="L2156" t="s">
        <v>20</v>
      </c>
      <c r="M2156" t="s">
        <v>35</v>
      </c>
      <c r="N2156" t="s">
        <v>22</v>
      </c>
      <c r="O2156" t="s">
        <v>36</v>
      </c>
      <c r="P2156">
        <v>9.65</v>
      </c>
      <c r="Q2156" s="2" t="b">
        <f>FALSE()</f>
        <v>0</v>
      </c>
      <c r="R2156">
        <v>0</v>
      </c>
    </row>
    <row r="2157" spans="1:18" x14ac:dyDescent="0.25">
      <c r="A2157">
        <v>202156</v>
      </c>
      <c r="B2157">
        <v>54137</v>
      </c>
      <c r="C2157" t="s">
        <v>18</v>
      </c>
      <c r="D2157">
        <v>1298.5999999999999</v>
      </c>
      <c r="E2157">
        <v>2900</v>
      </c>
      <c r="F2157">
        <v>2</v>
      </c>
      <c r="G2157">
        <v>1</v>
      </c>
      <c r="H2157">
        <v>1</v>
      </c>
      <c r="I2157" t="s">
        <v>19</v>
      </c>
      <c r="J2157">
        <v>1</v>
      </c>
      <c r="K2157">
        <v>23</v>
      </c>
      <c r="L2157" t="s">
        <v>20</v>
      </c>
      <c r="M2157" t="s">
        <v>35</v>
      </c>
      <c r="N2157" t="s">
        <v>22</v>
      </c>
      <c r="O2157" t="s">
        <v>36</v>
      </c>
      <c r="P2157">
        <v>1.93</v>
      </c>
      <c r="Q2157" s="2" t="b">
        <f>FALSE()</f>
        <v>0</v>
      </c>
      <c r="R2157">
        <v>0</v>
      </c>
    </row>
    <row r="2158" spans="1:18" x14ac:dyDescent="0.25">
      <c r="A2158">
        <v>202157</v>
      </c>
      <c r="B2158">
        <v>55174</v>
      </c>
      <c r="C2158" t="s">
        <v>18</v>
      </c>
      <c r="D2158">
        <v>3357.35</v>
      </c>
      <c r="E2158">
        <v>2945</v>
      </c>
      <c r="F2158">
        <v>0</v>
      </c>
      <c r="G2158">
        <v>1</v>
      </c>
      <c r="H2158">
        <v>0</v>
      </c>
      <c r="I2158" t="s">
        <v>33</v>
      </c>
      <c r="J2158">
        <v>0</v>
      </c>
      <c r="K2158">
        <v>38</v>
      </c>
      <c r="L2158" t="s">
        <v>24</v>
      </c>
      <c r="M2158" t="s">
        <v>25</v>
      </c>
      <c r="N2158" t="s">
        <v>30</v>
      </c>
      <c r="O2158" t="s">
        <v>23</v>
      </c>
      <c r="P2158">
        <v>2.0099999999999998</v>
      </c>
      <c r="Q2158" s="2" t="b">
        <f>FALSE()</f>
        <v>0</v>
      </c>
      <c r="R2158">
        <v>0</v>
      </c>
    </row>
    <row r="2159" spans="1:18" x14ac:dyDescent="0.25">
      <c r="A2159">
        <v>202158</v>
      </c>
      <c r="B2159">
        <v>50949</v>
      </c>
      <c r="C2159" t="s">
        <v>18</v>
      </c>
      <c r="D2159">
        <v>5489.75</v>
      </c>
      <c r="E2159">
        <v>466</v>
      </c>
      <c r="F2159">
        <v>0</v>
      </c>
      <c r="G2159">
        <v>1</v>
      </c>
      <c r="H2159">
        <v>0</v>
      </c>
      <c r="I2159" t="s">
        <v>33</v>
      </c>
      <c r="J2159">
        <v>0</v>
      </c>
      <c r="K2159">
        <v>60</v>
      </c>
      <c r="L2159" t="s">
        <v>24</v>
      </c>
      <c r="M2159" t="s">
        <v>25</v>
      </c>
      <c r="N2159" t="s">
        <v>22</v>
      </c>
      <c r="O2159" t="s">
        <v>27</v>
      </c>
      <c r="P2159">
        <v>3.72</v>
      </c>
      <c r="Q2159" s="2" t="b">
        <f>FALSE()</f>
        <v>0</v>
      </c>
      <c r="R2159">
        <v>1</v>
      </c>
    </row>
    <row r="2160" spans="1:18" x14ac:dyDescent="0.25">
      <c r="A2160">
        <v>202159</v>
      </c>
      <c r="B2160">
        <v>51445</v>
      </c>
      <c r="C2160" t="s">
        <v>18</v>
      </c>
      <c r="D2160">
        <v>2456.12</v>
      </c>
      <c r="E2160">
        <v>1066</v>
      </c>
      <c r="F2160">
        <v>0</v>
      </c>
      <c r="G2160">
        <v>2</v>
      </c>
      <c r="H2160">
        <v>0</v>
      </c>
      <c r="I2160" t="s">
        <v>33</v>
      </c>
      <c r="J2160">
        <v>0</v>
      </c>
      <c r="K2160">
        <v>19</v>
      </c>
      <c r="L2160" t="s">
        <v>24</v>
      </c>
      <c r="M2160" t="s">
        <v>29</v>
      </c>
      <c r="N2160" t="s">
        <v>22</v>
      </c>
      <c r="O2160" t="s">
        <v>27</v>
      </c>
      <c r="P2160">
        <v>7.18</v>
      </c>
      <c r="Q2160" s="2" t="b">
        <f>FALSE()</f>
        <v>0</v>
      </c>
      <c r="R2160">
        <v>0</v>
      </c>
    </row>
    <row r="2161" spans="1:18" x14ac:dyDescent="0.25">
      <c r="A2161">
        <v>202160</v>
      </c>
      <c r="B2161">
        <v>52660</v>
      </c>
      <c r="C2161" t="s">
        <v>28</v>
      </c>
      <c r="D2161">
        <v>8689.16</v>
      </c>
      <c r="E2161">
        <v>2505</v>
      </c>
      <c r="F2161">
        <v>0</v>
      </c>
      <c r="G2161">
        <v>5</v>
      </c>
      <c r="H2161">
        <v>0</v>
      </c>
      <c r="I2161" t="s">
        <v>32</v>
      </c>
      <c r="J2161">
        <v>1</v>
      </c>
      <c r="K2161">
        <v>61</v>
      </c>
      <c r="L2161" t="s">
        <v>20</v>
      </c>
      <c r="M2161" t="s">
        <v>35</v>
      </c>
      <c r="N2161" t="s">
        <v>30</v>
      </c>
      <c r="O2161" t="s">
        <v>27</v>
      </c>
      <c r="P2161">
        <v>2.23</v>
      </c>
      <c r="Q2161" s="2" t="b">
        <f>TRUE()</f>
        <v>1</v>
      </c>
      <c r="R2161">
        <v>1</v>
      </c>
    </row>
    <row r="2162" spans="1:18" x14ac:dyDescent="0.25">
      <c r="A2162">
        <v>202161</v>
      </c>
      <c r="B2162">
        <v>50433</v>
      </c>
      <c r="C2162" t="s">
        <v>34</v>
      </c>
      <c r="D2162">
        <v>942.82</v>
      </c>
      <c r="E2162">
        <v>3632</v>
      </c>
      <c r="F2162">
        <v>2</v>
      </c>
      <c r="G2162">
        <v>5</v>
      </c>
      <c r="H2162">
        <v>0</v>
      </c>
      <c r="I2162" t="s">
        <v>33</v>
      </c>
      <c r="J2162">
        <v>1</v>
      </c>
      <c r="K2162">
        <v>19</v>
      </c>
      <c r="L2162" t="s">
        <v>20</v>
      </c>
      <c r="M2162" t="s">
        <v>29</v>
      </c>
      <c r="N2162" t="s">
        <v>22</v>
      </c>
      <c r="O2162" t="s">
        <v>36</v>
      </c>
      <c r="P2162">
        <v>3.36</v>
      </c>
      <c r="Q2162" s="2" t="b">
        <f>FALSE()</f>
        <v>0</v>
      </c>
      <c r="R2162">
        <v>0</v>
      </c>
    </row>
    <row r="2163" spans="1:18" x14ac:dyDescent="0.25">
      <c r="A2163">
        <v>202162</v>
      </c>
      <c r="B2163">
        <v>52470</v>
      </c>
      <c r="C2163" t="s">
        <v>28</v>
      </c>
      <c r="D2163">
        <v>10306.290000000001</v>
      </c>
      <c r="E2163">
        <v>1737</v>
      </c>
      <c r="F2163">
        <v>2</v>
      </c>
      <c r="G2163">
        <v>1</v>
      </c>
      <c r="H2163">
        <v>1</v>
      </c>
      <c r="I2163" t="s">
        <v>32</v>
      </c>
      <c r="J2163">
        <v>0</v>
      </c>
      <c r="K2163">
        <v>25</v>
      </c>
      <c r="L2163" t="s">
        <v>24</v>
      </c>
      <c r="M2163" t="s">
        <v>35</v>
      </c>
      <c r="N2163" t="s">
        <v>30</v>
      </c>
      <c r="O2163" t="s">
        <v>27</v>
      </c>
      <c r="P2163">
        <v>0.54</v>
      </c>
      <c r="Q2163" s="2" t="b">
        <f>TRUE()</f>
        <v>1</v>
      </c>
      <c r="R2163">
        <v>1</v>
      </c>
    </row>
    <row r="2164" spans="1:18" x14ac:dyDescent="0.25">
      <c r="A2164">
        <v>202163</v>
      </c>
      <c r="B2164">
        <v>51812</v>
      </c>
      <c r="C2164" t="s">
        <v>34</v>
      </c>
      <c r="D2164">
        <v>4196.46</v>
      </c>
      <c r="E2164">
        <v>1316</v>
      </c>
      <c r="F2164">
        <v>1</v>
      </c>
      <c r="G2164">
        <v>3</v>
      </c>
      <c r="H2164">
        <v>1</v>
      </c>
      <c r="I2164" t="s">
        <v>33</v>
      </c>
      <c r="J2164">
        <v>0</v>
      </c>
      <c r="K2164">
        <v>57</v>
      </c>
      <c r="L2164" t="s">
        <v>24</v>
      </c>
      <c r="M2164" t="s">
        <v>25</v>
      </c>
      <c r="N2164" t="s">
        <v>30</v>
      </c>
      <c r="O2164" t="s">
        <v>36</v>
      </c>
      <c r="P2164">
        <v>3.59</v>
      </c>
      <c r="Q2164" s="2" t="b">
        <f>FALSE()</f>
        <v>0</v>
      </c>
      <c r="R2164">
        <v>1</v>
      </c>
    </row>
    <row r="2165" spans="1:18" x14ac:dyDescent="0.25">
      <c r="A2165">
        <v>202164</v>
      </c>
      <c r="B2165">
        <v>52659</v>
      </c>
      <c r="C2165" t="s">
        <v>18</v>
      </c>
      <c r="D2165">
        <v>3005.92</v>
      </c>
      <c r="E2165">
        <v>13</v>
      </c>
      <c r="F2165">
        <v>0</v>
      </c>
      <c r="G2165">
        <v>7</v>
      </c>
      <c r="H2165">
        <v>0</v>
      </c>
      <c r="I2165" t="s">
        <v>19</v>
      </c>
      <c r="J2165">
        <v>0</v>
      </c>
      <c r="K2165">
        <v>56</v>
      </c>
      <c r="L2165" t="s">
        <v>24</v>
      </c>
      <c r="M2165" t="s">
        <v>25</v>
      </c>
      <c r="N2165" t="s">
        <v>22</v>
      </c>
      <c r="O2165" t="s">
        <v>36</v>
      </c>
      <c r="P2165">
        <v>8.07</v>
      </c>
      <c r="Q2165" s="2" t="b">
        <f>FALSE()</f>
        <v>0</v>
      </c>
      <c r="R2165">
        <v>1</v>
      </c>
    </row>
    <row r="2166" spans="1:18" x14ac:dyDescent="0.25">
      <c r="A2166">
        <v>202165</v>
      </c>
      <c r="B2166">
        <v>50557</v>
      </c>
      <c r="C2166" t="s">
        <v>18</v>
      </c>
      <c r="D2166">
        <v>898.27</v>
      </c>
      <c r="E2166">
        <v>3190</v>
      </c>
      <c r="F2166">
        <v>1</v>
      </c>
      <c r="G2166">
        <v>3</v>
      </c>
      <c r="H2166">
        <v>0</v>
      </c>
      <c r="I2166" t="s">
        <v>33</v>
      </c>
      <c r="J2166">
        <v>0</v>
      </c>
      <c r="K2166">
        <v>43</v>
      </c>
      <c r="L2166" t="s">
        <v>20</v>
      </c>
      <c r="M2166" t="s">
        <v>37</v>
      </c>
      <c r="N2166" t="s">
        <v>22</v>
      </c>
      <c r="O2166" t="s">
        <v>36</v>
      </c>
      <c r="P2166">
        <v>0.9</v>
      </c>
      <c r="Q2166" s="2" t="b">
        <f>FALSE()</f>
        <v>0</v>
      </c>
      <c r="R2166">
        <v>0</v>
      </c>
    </row>
    <row r="2167" spans="1:18" x14ac:dyDescent="0.25">
      <c r="A2167">
        <v>202166</v>
      </c>
      <c r="B2167">
        <v>50430</v>
      </c>
      <c r="C2167" t="s">
        <v>18</v>
      </c>
      <c r="D2167">
        <v>2044.9</v>
      </c>
      <c r="E2167">
        <v>188</v>
      </c>
      <c r="F2167">
        <v>3</v>
      </c>
      <c r="G2167">
        <v>0</v>
      </c>
      <c r="H2167">
        <v>1</v>
      </c>
      <c r="I2167" t="s">
        <v>32</v>
      </c>
      <c r="J2167">
        <v>0</v>
      </c>
      <c r="K2167">
        <v>44</v>
      </c>
      <c r="L2167" t="s">
        <v>24</v>
      </c>
      <c r="M2167" t="s">
        <v>35</v>
      </c>
      <c r="N2167" t="s">
        <v>26</v>
      </c>
      <c r="O2167" t="s">
        <v>36</v>
      </c>
      <c r="P2167">
        <v>3.42</v>
      </c>
      <c r="Q2167" s="2" t="b">
        <f>FALSE()</f>
        <v>0</v>
      </c>
      <c r="R2167">
        <v>1</v>
      </c>
    </row>
    <row r="2168" spans="1:18" x14ac:dyDescent="0.25">
      <c r="A2168">
        <v>202167</v>
      </c>
      <c r="B2168">
        <v>53291</v>
      </c>
      <c r="C2168" t="s">
        <v>18</v>
      </c>
      <c r="D2168">
        <v>2871.75</v>
      </c>
      <c r="E2168">
        <v>770</v>
      </c>
      <c r="F2168">
        <v>2</v>
      </c>
      <c r="G2168">
        <v>4</v>
      </c>
      <c r="H2168">
        <v>0</v>
      </c>
      <c r="I2168" t="s">
        <v>33</v>
      </c>
      <c r="J2168">
        <v>0</v>
      </c>
      <c r="K2168">
        <v>39</v>
      </c>
      <c r="L2168" t="s">
        <v>24</v>
      </c>
      <c r="M2168" t="s">
        <v>37</v>
      </c>
      <c r="N2168" t="s">
        <v>22</v>
      </c>
      <c r="O2168" t="s">
        <v>27</v>
      </c>
      <c r="P2168">
        <v>3.69</v>
      </c>
      <c r="Q2168" s="2" t="b">
        <f>FALSE()</f>
        <v>0</v>
      </c>
      <c r="R2168">
        <v>0</v>
      </c>
    </row>
    <row r="2169" spans="1:18" x14ac:dyDescent="0.25">
      <c r="A2169">
        <v>202168</v>
      </c>
      <c r="B2169">
        <v>54679</v>
      </c>
      <c r="C2169" t="s">
        <v>18</v>
      </c>
      <c r="D2169">
        <v>2872.49</v>
      </c>
      <c r="E2169">
        <v>514</v>
      </c>
      <c r="F2169">
        <v>0</v>
      </c>
      <c r="G2169">
        <v>2</v>
      </c>
      <c r="H2169">
        <v>0</v>
      </c>
      <c r="I2169" t="s">
        <v>33</v>
      </c>
      <c r="J2169">
        <v>1</v>
      </c>
      <c r="K2169">
        <v>31</v>
      </c>
      <c r="L2169" t="s">
        <v>20</v>
      </c>
      <c r="M2169" t="s">
        <v>37</v>
      </c>
      <c r="N2169" t="s">
        <v>30</v>
      </c>
      <c r="O2169" t="s">
        <v>27</v>
      </c>
      <c r="P2169">
        <v>4.33</v>
      </c>
      <c r="Q2169" s="2" t="b">
        <f>FALSE()</f>
        <v>0</v>
      </c>
      <c r="R2169">
        <v>0</v>
      </c>
    </row>
    <row r="2170" spans="1:18" x14ac:dyDescent="0.25">
      <c r="A2170">
        <v>202169</v>
      </c>
      <c r="B2170">
        <v>55939</v>
      </c>
      <c r="C2170" t="s">
        <v>34</v>
      </c>
      <c r="D2170">
        <v>6690.5</v>
      </c>
      <c r="E2170">
        <v>1663</v>
      </c>
      <c r="F2170">
        <v>0</v>
      </c>
      <c r="G2170">
        <v>3</v>
      </c>
      <c r="H2170">
        <v>0</v>
      </c>
      <c r="I2170" t="s">
        <v>32</v>
      </c>
      <c r="J2170">
        <v>0</v>
      </c>
      <c r="K2170">
        <v>39</v>
      </c>
      <c r="L2170" t="s">
        <v>24</v>
      </c>
      <c r="M2170" t="s">
        <v>21</v>
      </c>
      <c r="N2170" t="s">
        <v>22</v>
      </c>
      <c r="O2170" t="s">
        <v>27</v>
      </c>
      <c r="P2170">
        <v>0.54</v>
      </c>
      <c r="Q2170" s="2" t="b">
        <f>FALSE()</f>
        <v>0</v>
      </c>
      <c r="R2170">
        <v>1</v>
      </c>
    </row>
    <row r="2171" spans="1:18" x14ac:dyDescent="0.25">
      <c r="A2171">
        <v>202170</v>
      </c>
      <c r="B2171">
        <v>53915</v>
      </c>
      <c r="C2171" t="s">
        <v>18</v>
      </c>
      <c r="D2171">
        <v>3423.21</v>
      </c>
      <c r="E2171">
        <v>3183</v>
      </c>
      <c r="F2171">
        <v>1</v>
      </c>
      <c r="G2171">
        <v>3</v>
      </c>
      <c r="H2171">
        <v>0</v>
      </c>
      <c r="I2171" t="s">
        <v>33</v>
      </c>
      <c r="J2171">
        <v>0</v>
      </c>
      <c r="K2171">
        <v>32</v>
      </c>
      <c r="L2171" t="s">
        <v>20</v>
      </c>
      <c r="M2171" t="s">
        <v>37</v>
      </c>
      <c r="N2171" t="s">
        <v>26</v>
      </c>
      <c r="O2171" t="s">
        <v>36</v>
      </c>
      <c r="P2171">
        <v>3.78</v>
      </c>
      <c r="Q2171" s="2" t="b">
        <f>FALSE()</f>
        <v>0</v>
      </c>
      <c r="R2171">
        <v>0</v>
      </c>
    </row>
    <row r="2172" spans="1:18" x14ac:dyDescent="0.25">
      <c r="A2172">
        <v>202171</v>
      </c>
      <c r="B2172">
        <v>52901</v>
      </c>
      <c r="C2172" t="s">
        <v>18</v>
      </c>
      <c r="D2172">
        <v>3168.22</v>
      </c>
      <c r="E2172">
        <v>2421</v>
      </c>
      <c r="F2172">
        <v>3</v>
      </c>
      <c r="G2172">
        <v>9</v>
      </c>
      <c r="H2172">
        <v>0</v>
      </c>
      <c r="I2172" t="s">
        <v>33</v>
      </c>
      <c r="J2172">
        <v>1</v>
      </c>
      <c r="K2172">
        <v>70</v>
      </c>
      <c r="L2172" t="s">
        <v>20</v>
      </c>
      <c r="M2172" t="s">
        <v>35</v>
      </c>
      <c r="N2172" t="s">
        <v>30</v>
      </c>
      <c r="O2172" t="s">
        <v>27</v>
      </c>
      <c r="P2172">
        <v>3.12</v>
      </c>
      <c r="Q2172" s="2" t="b">
        <f>FALSE()</f>
        <v>0</v>
      </c>
      <c r="R2172">
        <v>1</v>
      </c>
    </row>
    <row r="2173" spans="1:18" x14ac:dyDescent="0.25">
      <c r="A2173">
        <v>202172</v>
      </c>
      <c r="B2173">
        <v>55459</v>
      </c>
      <c r="C2173" t="s">
        <v>18</v>
      </c>
      <c r="D2173">
        <v>3911.23</v>
      </c>
      <c r="E2173">
        <v>2864</v>
      </c>
      <c r="F2173">
        <v>3</v>
      </c>
      <c r="G2173">
        <v>8</v>
      </c>
      <c r="H2173">
        <v>0</v>
      </c>
      <c r="I2173" t="s">
        <v>19</v>
      </c>
      <c r="J2173">
        <v>0</v>
      </c>
      <c r="K2173">
        <v>66</v>
      </c>
      <c r="L2173" t="s">
        <v>24</v>
      </c>
      <c r="M2173" t="s">
        <v>25</v>
      </c>
      <c r="N2173" t="s">
        <v>22</v>
      </c>
      <c r="O2173" t="s">
        <v>36</v>
      </c>
      <c r="P2173">
        <v>0.43</v>
      </c>
      <c r="Q2173" s="2" t="b">
        <f>FALSE()</f>
        <v>0</v>
      </c>
      <c r="R2173">
        <v>1</v>
      </c>
    </row>
    <row r="2174" spans="1:18" x14ac:dyDescent="0.25">
      <c r="A2174">
        <v>202173</v>
      </c>
      <c r="B2174">
        <v>52471</v>
      </c>
      <c r="C2174" t="s">
        <v>18</v>
      </c>
      <c r="D2174">
        <v>492.84</v>
      </c>
      <c r="E2174">
        <v>2609</v>
      </c>
      <c r="F2174">
        <v>1</v>
      </c>
      <c r="G2174">
        <v>3</v>
      </c>
      <c r="H2174">
        <v>1</v>
      </c>
      <c r="I2174" t="s">
        <v>33</v>
      </c>
      <c r="J2174">
        <v>0</v>
      </c>
      <c r="K2174">
        <v>26</v>
      </c>
      <c r="L2174" t="s">
        <v>20</v>
      </c>
      <c r="M2174" t="s">
        <v>31</v>
      </c>
      <c r="N2174" t="s">
        <v>30</v>
      </c>
      <c r="O2174" t="s">
        <v>36</v>
      </c>
      <c r="P2174">
        <v>3.62</v>
      </c>
      <c r="Q2174" s="2" t="b">
        <f>FALSE()</f>
        <v>0</v>
      </c>
      <c r="R2174">
        <v>0</v>
      </c>
    </row>
    <row r="2175" spans="1:18" x14ac:dyDescent="0.25">
      <c r="A2175">
        <v>202174</v>
      </c>
      <c r="B2175">
        <v>54278</v>
      </c>
      <c r="C2175" t="s">
        <v>34</v>
      </c>
      <c r="D2175">
        <v>2308.88</v>
      </c>
      <c r="E2175">
        <v>1930</v>
      </c>
      <c r="F2175">
        <v>0</v>
      </c>
      <c r="G2175">
        <v>6</v>
      </c>
      <c r="H2175">
        <v>0</v>
      </c>
      <c r="I2175" t="s">
        <v>33</v>
      </c>
      <c r="J2175">
        <v>0</v>
      </c>
      <c r="K2175">
        <v>72</v>
      </c>
      <c r="L2175" t="s">
        <v>20</v>
      </c>
      <c r="M2175" t="s">
        <v>29</v>
      </c>
      <c r="N2175" t="s">
        <v>30</v>
      </c>
      <c r="O2175" t="s">
        <v>27</v>
      </c>
      <c r="P2175">
        <v>5.45</v>
      </c>
      <c r="Q2175" s="2" t="b">
        <f>FALSE()</f>
        <v>0</v>
      </c>
      <c r="R2175">
        <v>0</v>
      </c>
    </row>
    <row r="2176" spans="1:18" x14ac:dyDescent="0.25">
      <c r="A2176">
        <v>202175</v>
      </c>
      <c r="B2176">
        <v>53355</v>
      </c>
      <c r="C2176" t="s">
        <v>34</v>
      </c>
      <c r="D2176">
        <v>2180.44</v>
      </c>
      <c r="E2176">
        <v>3452</v>
      </c>
      <c r="F2176">
        <v>0</v>
      </c>
      <c r="G2176">
        <v>1</v>
      </c>
      <c r="H2176">
        <v>0</v>
      </c>
      <c r="I2176" t="s">
        <v>19</v>
      </c>
      <c r="J2176">
        <v>0</v>
      </c>
      <c r="K2176">
        <v>75</v>
      </c>
      <c r="L2176" t="s">
        <v>24</v>
      </c>
      <c r="M2176" t="s">
        <v>31</v>
      </c>
      <c r="N2176" t="s">
        <v>22</v>
      </c>
      <c r="O2176" t="s">
        <v>23</v>
      </c>
      <c r="P2176">
        <v>1.43</v>
      </c>
      <c r="Q2176" s="2" t="b">
        <f>FALSE()</f>
        <v>0</v>
      </c>
      <c r="R2176">
        <v>0</v>
      </c>
    </row>
    <row r="2177" spans="1:18" x14ac:dyDescent="0.25">
      <c r="A2177">
        <v>202176</v>
      </c>
      <c r="B2177">
        <v>52915</v>
      </c>
      <c r="C2177" t="s">
        <v>28</v>
      </c>
      <c r="D2177">
        <v>1189.3699999999999</v>
      </c>
      <c r="E2177">
        <v>369</v>
      </c>
      <c r="F2177">
        <v>0</v>
      </c>
      <c r="G2177">
        <v>4</v>
      </c>
      <c r="H2177">
        <v>1</v>
      </c>
      <c r="I2177" t="s">
        <v>33</v>
      </c>
      <c r="J2177">
        <v>0</v>
      </c>
      <c r="K2177">
        <v>22</v>
      </c>
      <c r="L2177" t="s">
        <v>20</v>
      </c>
      <c r="M2177" t="s">
        <v>25</v>
      </c>
      <c r="N2177" t="s">
        <v>22</v>
      </c>
      <c r="O2177" t="s">
        <v>27</v>
      </c>
      <c r="P2177">
        <v>1.63</v>
      </c>
      <c r="Q2177" s="2" t="b">
        <f>FALSE()</f>
        <v>0</v>
      </c>
      <c r="R2177">
        <v>0</v>
      </c>
    </row>
    <row r="2178" spans="1:18" x14ac:dyDescent="0.25">
      <c r="A2178">
        <v>202177</v>
      </c>
      <c r="B2178">
        <v>55887</v>
      </c>
      <c r="C2178" t="s">
        <v>34</v>
      </c>
      <c r="D2178">
        <v>3609.43</v>
      </c>
      <c r="E2178">
        <v>2582</v>
      </c>
      <c r="F2178">
        <v>2</v>
      </c>
      <c r="G2178">
        <v>3</v>
      </c>
      <c r="H2178">
        <v>0</v>
      </c>
      <c r="I2178" t="s">
        <v>19</v>
      </c>
      <c r="J2178">
        <v>0</v>
      </c>
      <c r="K2178">
        <v>82</v>
      </c>
      <c r="L2178" t="s">
        <v>20</v>
      </c>
      <c r="M2178" t="s">
        <v>29</v>
      </c>
      <c r="N2178" t="s">
        <v>22</v>
      </c>
      <c r="O2178" t="s">
        <v>36</v>
      </c>
      <c r="P2178">
        <v>1.33</v>
      </c>
      <c r="Q2178" s="2" t="b">
        <f>FALSE()</f>
        <v>0</v>
      </c>
      <c r="R2178">
        <v>1</v>
      </c>
    </row>
    <row r="2179" spans="1:18" x14ac:dyDescent="0.25">
      <c r="A2179">
        <v>202178</v>
      </c>
      <c r="B2179">
        <v>55250</v>
      </c>
      <c r="C2179" t="s">
        <v>18</v>
      </c>
      <c r="D2179">
        <v>8106.46</v>
      </c>
      <c r="E2179">
        <v>892</v>
      </c>
      <c r="F2179">
        <v>0</v>
      </c>
      <c r="G2179">
        <v>3</v>
      </c>
      <c r="H2179">
        <v>0</v>
      </c>
      <c r="I2179" t="s">
        <v>32</v>
      </c>
      <c r="J2179">
        <v>0</v>
      </c>
      <c r="K2179">
        <v>48</v>
      </c>
      <c r="L2179" t="s">
        <v>20</v>
      </c>
      <c r="M2179" t="s">
        <v>35</v>
      </c>
      <c r="N2179" t="s">
        <v>22</v>
      </c>
      <c r="O2179" t="s">
        <v>36</v>
      </c>
      <c r="P2179">
        <v>6.5</v>
      </c>
      <c r="Q2179" s="2" t="b">
        <f>TRUE()</f>
        <v>1</v>
      </c>
      <c r="R2179">
        <v>1</v>
      </c>
    </row>
    <row r="2180" spans="1:18" x14ac:dyDescent="0.25">
      <c r="A2180">
        <v>202179</v>
      </c>
      <c r="B2180">
        <v>53525</v>
      </c>
      <c r="C2180" t="s">
        <v>28</v>
      </c>
      <c r="D2180">
        <v>2780.56</v>
      </c>
      <c r="E2180">
        <v>182</v>
      </c>
      <c r="F2180">
        <v>0</v>
      </c>
      <c r="G2180">
        <v>3</v>
      </c>
      <c r="H2180">
        <v>0</v>
      </c>
      <c r="I2180" t="s">
        <v>19</v>
      </c>
      <c r="J2180">
        <v>0</v>
      </c>
      <c r="K2180">
        <v>68</v>
      </c>
      <c r="L2180" t="s">
        <v>24</v>
      </c>
      <c r="M2180" t="s">
        <v>25</v>
      </c>
      <c r="N2180" t="s">
        <v>22</v>
      </c>
      <c r="O2180" t="s">
        <v>36</v>
      </c>
      <c r="P2180">
        <v>3.25</v>
      </c>
      <c r="Q2180" s="2" t="b">
        <f>FALSE()</f>
        <v>0</v>
      </c>
      <c r="R2180">
        <v>0</v>
      </c>
    </row>
    <row r="2181" spans="1:18" x14ac:dyDescent="0.25">
      <c r="A2181">
        <v>202180</v>
      </c>
      <c r="B2181">
        <v>53895</v>
      </c>
      <c r="C2181" t="s">
        <v>18</v>
      </c>
      <c r="D2181">
        <v>5049.18</v>
      </c>
      <c r="E2181">
        <v>32</v>
      </c>
      <c r="F2181">
        <v>0</v>
      </c>
      <c r="G2181">
        <v>1</v>
      </c>
      <c r="H2181">
        <v>1</v>
      </c>
      <c r="I2181" t="s">
        <v>33</v>
      </c>
      <c r="J2181">
        <v>1</v>
      </c>
      <c r="K2181">
        <v>65</v>
      </c>
      <c r="L2181" t="s">
        <v>24</v>
      </c>
      <c r="M2181" t="s">
        <v>31</v>
      </c>
      <c r="N2181" t="s">
        <v>22</v>
      </c>
      <c r="O2181" t="s">
        <v>27</v>
      </c>
      <c r="P2181">
        <v>4.74</v>
      </c>
      <c r="Q2181" s="2" t="b">
        <f>FALSE()</f>
        <v>0</v>
      </c>
      <c r="R2181">
        <v>1</v>
      </c>
    </row>
    <row r="2182" spans="1:18" x14ac:dyDescent="0.25">
      <c r="A2182">
        <v>202181</v>
      </c>
      <c r="B2182">
        <v>53844</v>
      </c>
      <c r="C2182" t="s">
        <v>34</v>
      </c>
      <c r="D2182">
        <v>1566.1</v>
      </c>
      <c r="E2182">
        <v>1904</v>
      </c>
      <c r="F2182">
        <v>1</v>
      </c>
      <c r="G2182">
        <v>7</v>
      </c>
      <c r="H2182">
        <v>0</v>
      </c>
      <c r="I2182" t="s">
        <v>19</v>
      </c>
      <c r="J2182">
        <v>0</v>
      </c>
      <c r="K2182">
        <v>32</v>
      </c>
      <c r="L2182" t="s">
        <v>20</v>
      </c>
      <c r="M2182" t="s">
        <v>29</v>
      </c>
      <c r="N2182" t="s">
        <v>22</v>
      </c>
      <c r="O2182" t="s">
        <v>27</v>
      </c>
      <c r="P2182">
        <v>0.2</v>
      </c>
      <c r="Q2182" s="2" t="b">
        <f>FALSE()</f>
        <v>0</v>
      </c>
      <c r="R2182">
        <v>1</v>
      </c>
    </row>
    <row r="2183" spans="1:18" x14ac:dyDescent="0.25">
      <c r="A2183">
        <v>202182</v>
      </c>
      <c r="B2183">
        <v>52934</v>
      </c>
      <c r="C2183" t="s">
        <v>18</v>
      </c>
      <c r="D2183">
        <v>1231.26</v>
      </c>
      <c r="E2183">
        <v>2488</v>
      </c>
      <c r="F2183">
        <v>3</v>
      </c>
      <c r="G2183">
        <v>8</v>
      </c>
      <c r="H2183">
        <v>0</v>
      </c>
      <c r="I2183" t="s">
        <v>33</v>
      </c>
      <c r="J2183">
        <v>0</v>
      </c>
      <c r="K2183">
        <v>55</v>
      </c>
      <c r="L2183" t="s">
        <v>20</v>
      </c>
      <c r="M2183" t="s">
        <v>37</v>
      </c>
      <c r="N2183" t="s">
        <v>30</v>
      </c>
      <c r="O2183" t="s">
        <v>27</v>
      </c>
      <c r="P2183">
        <v>4.16</v>
      </c>
      <c r="Q2183" s="2" t="b">
        <f>FALSE()</f>
        <v>0</v>
      </c>
      <c r="R2183">
        <v>1</v>
      </c>
    </row>
    <row r="2184" spans="1:18" x14ac:dyDescent="0.25">
      <c r="A2184">
        <v>202183</v>
      </c>
      <c r="B2184">
        <v>52926</v>
      </c>
      <c r="C2184" t="s">
        <v>18</v>
      </c>
      <c r="D2184">
        <v>1675.48</v>
      </c>
      <c r="E2184">
        <v>128</v>
      </c>
      <c r="F2184">
        <v>0</v>
      </c>
      <c r="G2184">
        <v>1</v>
      </c>
      <c r="H2184">
        <v>1</v>
      </c>
      <c r="I2184" t="s">
        <v>32</v>
      </c>
      <c r="J2184">
        <v>0</v>
      </c>
      <c r="K2184">
        <v>60</v>
      </c>
      <c r="L2184" t="s">
        <v>20</v>
      </c>
      <c r="M2184" t="s">
        <v>35</v>
      </c>
      <c r="N2184" t="s">
        <v>22</v>
      </c>
      <c r="O2184" t="s">
        <v>36</v>
      </c>
      <c r="P2184">
        <v>2.16</v>
      </c>
      <c r="Q2184" s="2" t="b">
        <f>FALSE()</f>
        <v>0</v>
      </c>
      <c r="R2184">
        <v>0</v>
      </c>
    </row>
    <row r="2185" spans="1:18" x14ac:dyDescent="0.25">
      <c r="A2185">
        <v>202184</v>
      </c>
      <c r="B2185">
        <v>50639</v>
      </c>
      <c r="C2185" t="s">
        <v>34</v>
      </c>
      <c r="D2185">
        <v>4737.05</v>
      </c>
      <c r="E2185">
        <v>215</v>
      </c>
      <c r="F2185">
        <v>2</v>
      </c>
      <c r="G2185">
        <v>1</v>
      </c>
      <c r="H2185">
        <v>1</v>
      </c>
      <c r="I2185" t="s">
        <v>33</v>
      </c>
      <c r="J2185">
        <v>0</v>
      </c>
      <c r="K2185">
        <v>22</v>
      </c>
      <c r="L2185" t="s">
        <v>20</v>
      </c>
      <c r="M2185" t="s">
        <v>31</v>
      </c>
      <c r="N2185" t="s">
        <v>22</v>
      </c>
      <c r="O2185" t="s">
        <v>23</v>
      </c>
      <c r="P2185">
        <v>2.04</v>
      </c>
      <c r="Q2185" s="2" t="b">
        <f>FALSE()</f>
        <v>0</v>
      </c>
      <c r="R2185">
        <v>1</v>
      </c>
    </row>
    <row r="2186" spans="1:18" x14ac:dyDescent="0.25">
      <c r="A2186">
        <v>202185</v>
      </c>
      <c r="B2186">
        <v>54066</v>
      </c>
      <c r="C2186" t="s">
        <v>28</v>
      </c>
      <c r="D2186">
        <v>1833.57</v>
      </c>
      <c r="E2186">
        <v>877</v>
      </c>
      <c r="F2186">
        <v>0</v>
      </c>
      <c r="G2186">
        <v>3</v>
      </c>
      <c r="H2186">
        <v>0</v>
      </c>
      <c r="I2186" t="s">
        <v>33</v>
      </c>
      <c r="J2186">
        <v>0</v>
      </c>
      <c r="K2186">
        <v>59</v>
      </c>
      <c r="L2186" t="s">
        <v>24</v>
      </c>
      <c r="M2186" t="s">
        <v>29</v>
      </c>
      <c r="N2186" t="s">
        <v>22</v>
      </c>
      <c r="O2186" t="s">
        <v>23</v>
      </c>
      <c r="P2186">
        <v>0.43</v>
      </c>
      <c r="Q2186" s="2" t="b">
        <f>FALSE()</f>
        <v>0</v>
      </c>
      <c r="R2186">
        <v>0</v>
      </c>
    </row>
    <row r="2187" spans="1:18" x14ac:dyDescent="0.25">
      <c r="A2187">
        <v>202186</v>
      </c>
      <c r="B2187">
        <v>54726</v>
      </c>
      <c r="C2187" t="s">
        <v>34</v>
      </c>
      <c r="D2187">
        <v>4456.8500000000004</v>
      </c>
      <c r="E2187">
        <v>2616</v>
      </c>
      <c r="F2187">
        <v>2</v>
      </c>
      <c r="G2187">
        <v>1</v>
      </c>
      <c r="H2187">
        <v>0</v>
      </c>
      <c r="I2187" t="s">
        <v>33</v>
      </c>
      <c r="J2187">
        <v>0</v>
      </c>
      <c r="K2187">
        <v>31</v>
      </c>
      <c r="L2187" t="s">
        <v>20</v>
      </c>
      <c r="M2187" t="s">
        <v>31</v>
      </c>
      <c r="N2187" t="s">
        <v>22</v>
      </c>
      <c r="O2187" t="s">
        <v>36</v>
      </c>
      <c r="P2187">
        <v>4</v>
      </c>
      <c r="Q2187" s="2" t="b">
        <f>FALSE()</f>
        <v>0</v>
      </c>
      <c r="R2187">
        <v>1</v>
      </c>
    </row>
    <row r="2188" spans="1:18" x14ac:dyDescent="0.25">
      <c r="A2188">
        <v>202187</v>
      </c>
      <c r="B2188">
        <v>55720</v>
      </c>
      <c r="C2188" t="s">
        <v>18</v>
      </c>
      <c r="D2188">
        <v>1580.58</v>
      </c>
      <c r="E2188">
        <v>3088</v>
      </c>
      <c r="F2188">
        <v>1</v>
      </c>
      <c r="G2188">
        <v>2</v>
      </c>
      <c r="H2188">
        <v>0</v>
      </c>
      <c r="I2188" t="s">
        <v>33</v>
      </c>
      <c r="J2188">
        <v>0</v>
      </c>
      <c r="K2188">
        <v>84</v>
      </c>
      <c r="L2188" t="s">
        <v>20</v>
      </c>
      <c r="M2188" t="s">
        <v>29</v>
      </c>
      <c r="N2188" t="s">
        <v>30</v>
      </c>
      <c r="O2188" t="s">
        <v>23</v>
      </c>
      <c r="P2188">
        <v>3.74</v>
      </c>
      <c r="Q2188" s="2" t="b">
        <f>FALSE()</f>
        <v>0</v>
      </c>
      <c r="R2188">
        <v>0</v>
      </c>
    </row>
    <row r="2189" spans="1:18" x14ac:dyDescent="0.25">
      <c r="A2189">
        <v>202188</v>
      </c>
      <c r="B2189">
        <v>53575</v>
      </c>
      <c r="C2189" t="s">
        <v>18</v>
      </c>
      <c r="D2189">
        <v>4910.8500000000004</v>
      </c>
      <c r="E2189">
        <v>818</v>
      </c>
      <c r="F2189">
        <v>0</v>
      </c>
      <c r="G2189">
        <v>2</v>
      </c>
      <c r="H2189">
        <v>0</v>
      </c>
      <c r="I2189" t="s">
        <v>33</v>
      </c>
      <c r="J2189">
        <v>0</v>
      </c>
      <c r="K2189">
        <v>49</v>
      </c>
      <c r="L2189" t="s">
        <v>24</v>
      </c>
      <c r="M2189" t="s">
        <v>31</v>
      </c>
      <c r="N2189" t="s">
        <v>30</v>
      </c>
      <c r="O2189" t="s">
        <v>36</v>
      </c>
      <c r="P2189">
        <v>4.07</v>
      </c>
      <c r="Q2189" s="2" t="b">
        <f>FALSE()</f>
        <v>0</v>
      </c>
      <c r="R2189">
        <v>1</v>
      </c>
    </row>
    <row r="2190" spans="1:18" x14ac:dyDescent="0.25">
      <c r="A2190">
        <v>202189</v>
      </c>
      <c r="B2190">
        <v>55019</v>
      </c>
      <c r="C2190" t="s">
        <v>34</v>
      </c>
      <c r="D2190">
        <v>921.1</v>
      </c>
      <c r="E2190">
        <v>500</v>
      </c>
      <c r="F2190">
        <v>1</v>
      </c>
      <c r="G2190">
        <v>5</v>
      </c>
      <c r="H2190">
        <v>1</v>
      </c>
      <c r="I2190" t="s">
        <v>32</v>
      </c>
      <c r="J2190">
        <v>0</v>
      </c>
      <c r="K2190">
        <v>64</v>
      </c>
      <c r="L2190" t="s">
        <v>20</v>
      </c>
      <c r="M2190" t="s">
        <v>37</v>
      </c>
      <c r="N2190" t="s">
        <v>22</v>
      </c>
      <c r="O2190" t="s">
        <v>36</v>
      </c>
      <c r="P2190">
        <v>6.68</v>
      </c>
      <c r="Q2190" s="2" t="b">
        <f>FALSE()</f>
        <v>0</v>
      </c>
      <c r="R2190">
        <v>0</v>
      </c>
    </row>
    <row r="2191" spans="1:18" x14ac:dyDescent="0.25">
      <c r="A2191">
        <v>202190</v>
      </c>
      <c r="B2191">
        <v>50919</v>
      </c>
      <c r="C2191" t="s">
        <v>34</v>
      </c>
      <c r="D2191">
        <v>1791.5</v>
      </c>
      <c r="E2191">
        <v>2692</v>
      </c>
      <c r="F2191">
        <v>1</v>
      </c>
      <c r="G2191">
        <v>2</v>
      </c>
      <c r="H2191">
        <v>0</v>
      </c>
      <c r="I2191" t="s">
        <v>33</v>
      </c>
      <c r="J2191">
        <v>0</v>
      </c>
      <c r="K2191">
        <v>68</v>
      </c>
      <c r="L2191" t="s">
        <v>24</v>
      </c>
      <c r="M2191" t="s">
        <v>31</v>
      </c>
      <c r="N2191" t="s">
        <v>22</v>
      </c>
      <c r="O2191" t="s">
        <v>36</v>
      </c>
      <c r="P2191">
        <v>5.5</v>
      </c>
      <c r="Q2191" s="2" t="b">
        <f>FALSE()</f>
        <v>0</v>
      </c>
      <c r="R2191">
        <v>0</v>
      </c>
    </row>
    <row r="2192" spans="1:18" x14ac:dyDescent="0.25">
      <c r="A2192">
        <v>202191</v>
      </c>
      <c r="B2192">
        <v>50260</v>
      </c>
      <c r="C2192" t="s">
        <v>28</v>
      </c>
      <c r="D2192">
        <v>662.31</v>
      </c>
      <c r="E2192">
        <v>2608</v>
      </c>
      <c r="F2192">
        <v>1</v>
      </c>
      <c r="G2192">
        <v>5</v>
      </c>
      <c r="H2192">
        <v>1</v>
      </c>
      <c r="I2192" t="s">
        <v>19</v>
      </c>
      <c r="J2192">
        <v>0</v>
      </c>
      <c r="K2192">
        <v>23</v>
      </c>
      <c r="L2192" t="s">
        <v>20</v>
      </c>
      <c r="M2192" t="s">
        <v>35</v>
      </c>
      <c r="N2192" t="s">
        <v>30</v>
      </c>
      <c r="O2192" t="s">
        <v>36</v>
      </c>
      <c r="P2192">
        <v>3.75</v>
      </c>
      <c r="Q2192" s="2" t="b">
        <f>FALSE()</f>
        <v>0</v>
      </c>
      <c r="R2192">
        <v>0</v>
      </c>
    </row>
    <row r="2193" spans="1:18" x14ac:dyDescent="0.25">
      <c r="A2193">
        <v>202192</v>
      </c>
      <c r="B2193">
        <v>52111</v>
      </c>
      <c r="C2193" t="s">
        <v>34</v>
      </c>
      <c r="D2193">
        <v>1042.8800000000001</v>
      </c>
      <c r="E2193">
        <v>2933</v>
      </c>
      <c r="F2193">
        <v>0</v>
      </c>
      <c r="G2193">
        <v>4</v>
      </c>
      <c r="H2193">
        <v>0</v>
      </c>
      <c r="I2193" t="s">
        <v>33</v>
      </c>
      <c r="J2193">
        <v>0</v>
      </c>
      <c r="K2193">
        <v>48</v>
      </c>
      <c r="L2193" t="s">
        <v>20</v>
      </c>
      <c r="M2193" t="s">
        <v>21</v>
      </c>
      <c r="N2193" t="s">
        <v>22</v>
      </c>
      <c r="O2193" t="s">
        <v>36</v>
      </c>
      <c r="P2193">
        <v>3.95</v>
      </c>
      <c r="Q2193" s="2" t="b">
        <f>FALSE()</f>
        <v>0</v>
      </c>
      <c r="R2193">
        <v>0</v>
      </c>
    </row>
    <row r="2194" spans="1:18" x14ac:dyDescent="0.25">
      <c r="A2194">
        <v>202193</v>
      </c>
      <c r="B2194">
        <v>55401</v>
      </c>
      <c r="C2194" t="s">
        <v>34</v>
      </c>
      <c r="D2194">
        <v>3440.4</v>
      </c>
      <c r="E2194">
        <v>2273</v>
      </c>
      <c r="F2194">
        <v>3</v>
      </c>
      <c r="G2194">
        <v>4</v>
      </c>
      <c r="H2194">
        <v>0</v>
      </c>
      <c r="I2194" t="s">
        <v>33</v>
      </c>
      <c r="J2194">
        <v>0</v>
      </c>
      <c r="K2194">
        <v>83</v>
      </c>
      <c r="L2194" t="s">
        <v>20</v>
      </c>
      <c r="M2194" t="s">
        <v>37</v>
      </c>
      <c r="N2194" t="s">
        <v>22</v>
      </c>
      <c r="O2194" t="s">
        <v>36</v>
      </c>
      <c r="P2194">
        <v>4.25</v>
      </c>
      <c r="Q2194" s="2" t="b">
        <f>FALSE()</f>
        <v>0</v>
      </c>
      <c r="R2194">
        <v>1</v>
      </c>
    </row>
    <row r="2195" spans="1:18" x14ac:dyDescent="0.25">
      <c r="A2195">
        <v>202194</v>
      </c>
      <c r="B2195">
        <v>50226</v>
      </c>
      <c r="C2195" t="s">
        <v>18</v>
      </c>
      <c r="D2195">
        <v>1342.09</v>
      </c>
      <c r="E2195">
        <v>3022</v>
      </c>
      <c r="F2195">
        <v>1</v>
      </c>
      <c r="G2195">
        <v>3</v>
      </c>
      <c r="H2195">
        <v>0</v>
      </c>
      <c r="I2195" t="s">
        <v>33</v>
      </c>
      <c r="J2195">
        <v>1</v>
      </c>
      <c r="K2195">
        <v>71</v>
      </c>
      <c r="L2195" t="s">
        <v>24</v>
      </c>
      <c r="M2195" t="s">
        <v>35</v>
      </c>
      <c r="N2195" t="s">
        <v>26</v>
      </c>
      <c r="O2195" t="s">
        <v>23</v>
      </c>
      <c r="P2195">
        <v>9.68</v>
      </c>
      <c r="Q2195" s="2" t="b">
        <f>FALSE()</f>
        <v>0</v>
      </c>
      <c r="R2195">
        <v>0</v>
      </c>
    </row>
    <row r="2196" spans="1:18" x14ac:dyDescent="0.25">
      <c r="A2196">
        <v>202195</v>
      </c>
      <c r="B2196">
        <v>54479</v>
      </c>
      <c r="C2196" t="s">
        <v>18</v>
      </c>
      <c r="D2196">
        <v>2147.06</v>
      </c>
      <c r="E2196">
        <v>2723</v>
      </c>
      <c r="F2196">
        <v>1</v>
      </c>
      <c r="G2196">
        <v>3</v>
      </c>
      <c r="H2196">
        <v>0</v>
      </c>
      <c r="I2196" t="s">
        <v>19</v>
      </c>
      <c r="J2196">
        <v>0</v>
      </c>
      <c r="K2196">
        <v>61</v>
      </c>
      <c r="L2196" t="s">
        <v>20</v>
      </c>
      <c r="M2196" t="s">
        <v>21</v>
      </c>
      <c r="N2196" t="s">
        <v>26</v>
      </c>
      <c r="O2196" t="s">
        <v>23</v>
      </c>
      <c r="P2196">
        <v>4.6399999999999997</v>
      </c>
      <c r="Q2196" s="2" t="b">
        <f>FALSE()</f>
        <v>0</v>
      </c>
      <c r="R2196">
        <v>0</v>
      </c>
    </row>
    <row r="2197" spans="1:18" x14ac:dyDescent="0.25">
      <c r="A2197">
        <v>202196</v>
      </c>
      <c r="B2197">
        <v>55651</v>
      </c>
      <c r="C2197" t="s">
        <v>34</v>
      </c>
      <c r="D2197">
        <v>813.31</v>
      </c>
      <c r="E2197">
        <v>3252</v>
      </c>
      <c r="F2197">
        <v>3</v>
      </c>
      <c r="G2197">
        <v>4</v>
      </c>
      <c r="H2197">
        <v>1</v>
      </c>
      <c r="I2197" t="s">
        <v>19</v>
      </c>
      <c r="J2197">
        <v>0</v>
      </c>
      <c r="K2197">
        <v>84</v>
      </c>
      <c r="L2197" t="s">
        <v>24</v>
      </c>
      <c r="M2197" t="s">
        <v>35</v>
      </c>
      <c r="N2197" t="s">
        <v>30</v>
      </c>
      <c r="O2197" t="s">
        <v>36</v>
      </c>
      <c r="P2197">
        <v>1.04</v>
      </c>
      <c r="Q2197" s="2" t="b">
        <f>FALSE()</f>
        <v>0</v>
      </c>
      <c r="R2197">
        <v>1</v>
      </c>
    </row>
    <row r="2198" spans="1:18" x14ac:dyDescent="0.25">
      <c r="A2198">
        <v>202197</v>
      </c>
      <c r="B2198">
        <v>51044</v>
      </c>
      <c r="C2198" t="s">
        <v>34</v>
      </c>
      <c r="D2198">
        <v>3429.66</v>
      </c>
      <c r="E2198">
        <v>3035</v>
      </c>
      <c r="F2198">
        <v>1</v>
      </c>
      <c r="G2198">
        <v>1</v>
      </c>
      <c r="H2198">
        <v>1</v>
      </c>
      <c r="I2198" t="s">
        <v>19</v>
      </c>
      <c r="J2198">
        <v>0</v>
      </c>
      <c r="K2198">
        <v>46</v>
      </c>
      <c r="L2198" t="s">
        <v>24</v>
      </c>
      <c r="M2198" t="s">
        <v>37</v>
      </c>
      <c r="N2198" t="s">
        <v>22</v>
      </c>
      <c r="O2198" t="s">
        <v>27</v>
      </c>
      <c r="P2198">
        <v>0.56000000000000005</v>
      </c>
      <c r="Q2198" s="2" t="b">
        <f>FALSE()</f>
        <v>0</v>
      </c>
      <c r="R2198">
        <v>0</v>
      </c>
    </row>
    <row r="2199" spans="1:18" x14ac:dyDescent="0.25">
      <c r="A2199">
        <v>202198</v>
      </c>
      <c r="B2199">
        <v>50397</v>
      </c>
      <c r="C2199" t="s">
        <v>18</v>
      </c>
      <c r="D2199">
        <v>4608.18</v>
      </c>
      <c r="E2199">
        <v>2699</v>
      </c>
      <c r="F2199">
        <v>0</v>
      </c>
      <c r="G2199">
        <v>4</v>
      </c>
      <c r="H2199">
        <v>0</v>
      </c>
      <c r="I2199" t="s">
        <v>33</v>
      </c>
      <c r="J2199">
        <v>0</v>
      </c>
      <c r="K2199">
        <v>82</v>
      </c>
      <c r="L2199" t="s">
        <v>24</v>
      </c>
      <c r="M2199" t="s">
        <v>25</v>
      </c>
      <c r="N2199" t="s">
        <v>26</v>
      </c>
      <c r="O2199" t="s">
        <v>36</v>
      </c>
      <c r="P2199">
        <v>1.58</v>
      </c>
      <c r="Q2199" s="2" t="b">
        <f>FALSE()</f>
        <v>0</v>
      </c>
      <c r="R2199">
        <v>1</v>
      </c>
    </row>
    <row r="2200" spans="1:18" x14ac:dyDescent="0.25">
      <c r="A2200">
        <v>202199</v>
      </c>
      <c r="B2200">
        <v>51546</v>
      </c>
      <c r="C2200" t="s">
        <v>28</v>
      </c>
      <c r="D2200">
        <v>3643.33</v>
      </c>
      <c r="E2200">
        <v>3562</v>
      </c>
      <c r="F2200">
        <v>1</v>
      </c>
      <c r="G2200">
        <v>5</v>
      </c>
      <c r="H2200">
        <v>0</v>
      </c>
      <c r="I2200" t="s">
        <v>19</v>
      </c>
      <c r="J2200">
        <v>0</v>
      </c>
      <c r="K2200">
        <v>52</v>
      </c>
      <c r="L2200" t="s">
        <v>24</v>
      </c>
      <c r="M2200" t="s">
        <v>21</v>
      </c>
      <c r="N2200" t="s">
        <v>30</v>
      </c>
      <c r="O2200" t="s">
        <v>36</v>
      </c>
      <c r="P2200">
        <v>1.6</v>
      </c>
      <c r="Q2200" s="2" t="b">
        <f>FALSE()</f>
        <v>0</v>
      </c>
      <c r="R2200">
        <v>1</v>
      </c>
    </row>
    <row r="2201" spans="1:18" x14ac:dyDescent="0.25">
      <c r="A2201">
        <v>202200</v>
      </c>
      <c r="B2201">
        <v>50489</v>
      </c>
      <c r="C2201" t="s">
        <v>18</v>
      </c>
      <c r="D2201">
        <v>3058.5</v>
      </c>
      <c r="E2201">
        <v>1376</v>
      </c>
      <c r="F2201">
        <v>0</v>
      </c>
      <c r="G2201">
        <v>2</v>
      </c>
      <c r="H2201">
        <v>0</v>
      </c>
      <c r="I2201" t="s">
        <v>33</v>
      </c>
      <c r="J2201">
        <v>0</v>
      </c>
      <c r="K2201">
        <v>35</v>
      </c>
      <c r="L2201" t="s">
        <v>20</v>
      </c>
      <c r="M2201" t="s">
        <v>35</v>
      </c>
      <c r="N2201" t="s">
        <v>22</v>
      </c>
      <c r="O2201" t="s">
        <v>36</v>
      </c>
      <c r="P2201">
        <v>4.49</v>
      </c>
      <c r="Q2201" s="2" t="b">
        <f>FALSE()</f>
        <v>0</v>
      </c>
      <c r="R2201">
        <v>0</v>
      </c>
    </row>
    <row r="2202" spans="1:18" x14ac:dyDescent="0.25">
      <c r="A2202">
        <v>202201</v>
      </c>
      <c r="B2202">
        <v>51388</v>
      </c>
      <c r="C2202" t="s">
        <v>18</v>
      </c>
      <c r="D2202">
        <v>3720.12</v>
      </c>
      <c r="E2202">
        <v>1242</v>
      </c>
      <c r="F2202">
        <v>0</v>
      </c>
      <c r="G2202">
        <v>3</v>
      </c>
      <c r="H2202">
        <v>0</v>
      </c>
      <c r="I2202" t="s">
        <v>32</v>
      </c>
      <c r="J2202">
        <v>0</v>
      </c>
      <c r="K2202">
        <v>57</v>
      </c>
      <c r="L2202" t="s">
        <v>24</v>
      </c>
      <c r="M2202" t="s">
        <v>21</v>
      </c>
      <c r="N2202" t="s">
        <v>22</v>
      </c>
      <c r="O2202" t="s">
        <v>36</v>
      </c>
      <c r="P2202">
        <v>3.2</v>
      </c>
      <c r="Q2202" s="2" t="b">
        <f>FALSE()</f>
        <v>0</v>
      </c>
      <c r="R2202">
        <v>1</v>
      </c>
    </row>
    <row r="2203" spans="1:18" x14ac:dyDescent="0.25">
      <c r="A2203">
        <v>202202</v>
      </c>
      <c r="B2203">
        <v>50025</v>
      </c>
      <c r="C2203" t="s">
        <v>34</v>
      </c>
      <c r="D2203">
        <v>216.14</v>
      </c>
      <c r="E2203">
        <v>911</v>
      </c>
      <c r="F2203">
        <v>1</v>
      </c>
      <c r="G2203">
        <v>1</v>
      </c>
      <c r="H2203">
        <v>1</v>
      </c>
      <c r="I2203" t="s">
        <v>19</v>
      </c>
      <c r="J2203">
        <v>0</v>
      </c>
      <c r="K2203">
        <v>33</v>
      </c>
      <c r="L2203" t="s">
        <v>24</v>
      </c>
      <c r="M2203" t="s">
        <v>35</v>
      </c>
      <c r="N2203" t="s">
        <v>26</v>
      </c>
      <c r="O2203" t="s">
        <v>27</v>
      </c>
      <c r="P2203">
        <v>3.09</v>
      </c>
      <c r="Q2203" s="2" t="b">
        <f>FALSE()</f>
        <v>0</v>
      </c>
      <c r="R2203">
        <v>0</v>
      </c>
    </row>
    <row r="2204" spans="1:18" x14ac:dyDescent="0.25">
      <c r="A2204">
        <v>202203</v>
      </c>
      <c r="B2204">
        <v>54562</v>
      </c>
      <c r="C2204" t="s">
        <v>18</v>
      </c>
      <c r="D2204">
        <v>4769.7299999999996</v>
      </c>
      <c r="E2204">
        <v>1969</v>
      </c>
      <c r="F2204">
        <v>1</v>
      </c>
      <c r="G2204">
        <v>5</v>
      </c>
      <c r="H2204">
        <v>0</v>
      </c>
      <c r="I2204" t="s">
        <v>19</v>
      </c>
      <c r="J2204">
        <v>0</v>
      </c>
      <c r="K2204">
        <v>57</v>
      </c>
      <c r="L2204" t="s">
        <v>24</v>
      </c>
      <c r="M2204" t="s">
        <v>37</v>
      </c>
      <c r="N2204" t="s">
        <v>30</v>
      </c>
      <c r="O2204" t="s">
        <v>27</v>
      </c>
      <c r="P2204">
        <v>0.54</v>
      </c>
      <c r="Q2204" s="2" t="b">
        <f>FALSE()</f>
        <v>0</v>
      </c>
      <c r="R2204">
        <v>1</v>
      </c>
    </row>
    <row r="2205" spans="1:18" x14ac:dyDescent="0.25">
      <c r="A2205">
        <v>202204</v>
      </c>
      <c r="B2205">
        <v>50935</v>
      </c>
      <c r="C2205" t="s">
        <v>34</v>
      </c>
      <c r="D2205">
        <v>5023.2700000000004</v>
      </c>
      <c r="E2205">
        <v>806</v>
      </c>
      <c r="F2205">
        <v>0</v>
      </c>
      <c r="G2205">
        <v>4</v>
      </c>
      <c r="H2205">
        <v>0</v>
      </c>
      <c r="I2205" t="s">
        <v>19</v>
      </c>
      <c r="J2205">
        <v>0</v>
      </c>
      <c r="K2205">
        <v>67</v>
      </c>
      <c r="L2205" t="s">
        <v>24</v>
      </c>
      <c r="M2205" t="s">
        <v>25</v>
      </c>
      <c r="N2205" t="s">
        <v>26</v>
      </c>
      <c r="O2205" t="s">
        <v>23</v>
      </c>
      <c r="P2205">
        <v>0.49</v>
      </c>
      <c r="Q2205" s="2" t="b">
        <f>FALSE()</f>
        <v>0</v>
      </c>
      <c r="R2205">
        <v>1</v>
      </c>
    </row>
    <row r="2206" spans="1:18" x14ac:dyDescent="0.25">
      <c r="A2206">
        <v>202205</v>
      </c>
      <c r="B2206">
        <v>50353</v>
      </c>
      <c r="C2206" t="s">
        <v>18</v>
      </c>
      <c r="D2206">
        <v>1975.37</v>
      </c>
      <c r="E2206">
        <v>2131</v>
      </c>
      <c r="F2206">
        <v>0</v>
      </c>
      <c r="G2206">
        <v>3</v>
      </c>
      <c r="H2206">
        <v>1</v>
      </c>
      <c r="I2206" t="s">
        <v>19</v>
      </c>
      <c r="J2206">
        <v>0</v>
      </c>
      <c r="K2206">
        <v>38</v>
      </c>
      <c r="L2206" t="s">
        <v>24</v>
      </c>
      <c r="M2206" t="s">
        <v>21</v>
      </c>
      <c r="N2206" t="s">
        <v>30</v>
      </c>
      <c r="O2206" t="s">
        <v>36</v>
      </c>
      <c r="P2206">
        <v>4.13</v>
      </c>
      <c r="Q2206" s="2" t="b">
        <f>FALSE()</f>
        <v>0</v>
      </c>
      <c r="R2206">
        <v>0</v>
      </c>
    </row>
    <row r="2207" spans="1:18" x14ac:dyDescent="0.25">
      <c r="A2207">
        <v>202206</v>
      </c>
      <c r="B2207">
        <v>50424</v>
      </c>
      <c r="C2207" t="s">
        <v>18</v>
      </c>
      <c r="D2207">
        <v>1266.02</v>
      </c>
      <c r="E2207">
        <v>2315</v>
      </c>
      <c r="F2207">
        <v>2</v>
      </c>
      <c r="G2207">
        <v>4</v>
      </c>
      <c r="H2207">
        <v>0</v>
      </c>
      <c r="I2207" t="s">
        <v>33</v>
      </c>
      <c r="J2207">
        <v>0</v>
      </c>
      <c r="K2207">
        <v>19</v>
      </c>
      <c r="L2207" t="s">
        <v>20</v>
      </c>
      <c r="M2207" t="s">
        <v>37</v>
      </c>
      <c r="N2207" t="s">
        <v>22</v>
      </c>
      <c r="O2207" t="s">
        <v>36</v>
      </c>
      <c r="P2207">
        <v>6.78</v>
      </c>
      <c r="Q2207" s="2" t="b">
        <f>FALSE()</f>
        <v>0</v>
      </c>
      <c r="R2207">
        <v>0</v>
      </c>
    </row>
    <row r="2208" spans="1:18" x14ac:dyDescent="0.25">
      <c r="A2208">
        <v>202207</v>
      </c>
      <c r="B2208">
        <v>54503</v>
      </c>
      <c r="C2208" t="s">
        <v>28</v>
      </c>
      <c r="D2208">
        <v>1862.82</v>
      </c>
      <c r="E2208">
        <v>2751</v>
      </c>
      <c r="F2208">
        <v>1</v>
      </c>
      <c r="G2208">
        <v>6</v>
      </c>
      <c r="H2208">
        <v>0</v>
      </c>
      <c r="I2208" t="s">
        <v>19</v>
      </c>
      <c r="J2208">
        <v>0</v>
      </c>
      <c r="K2208">
        <v>65</v>
      </c>
      <c r="L2208" t="s">
        <v>20</v>
      </c>
      <c r="M2208" t="s">
        <v>37</v>
      </c>
      <c r="N2208" t="s">
        <v>30</v>
      </c>
      <c r="O2208" t="s">
        <v>27</v>
      </c>
      <c r="P2208">
        <v>0.31</v>
      </c>
      <c r="Q2208" s="2" t="b">
        <f>FALSE()</f>
        <v>0</v>
      </c>
      <c r="R2208">
        <v>0</v>
      </c>
    </row>
    <row r="2209" spans="1:18" x14ac:dyDescent="0.25">
      <c r="A2209">
        <v>202208</v>
      </c>
      <c r="B2209">
        <v>50153</v>
      </c>
      <c r="C2209" t="s">
        <v>34</v>
      </c>
      <c r="D2209">
        <v>553.34</v>
      </c>
      <c r="E2209">
        <v>11</v>
      </c>
      <c r="F2209">
        <v>1</v>
      </c>
      <c r="G2209">
        <v>5</v>
      </c>
      <c r="H2209">
        <v>0</v>
      </c>
      <c r="I2209" t="s">
        <v>32</v>
      </c>
      <c r="J2209">
        <v>0</v>
      </c>
      <c r="K2209">
        <v>83</v>
      </c>
      <c r="L2209" t="s">
        <v>24</v>
      </c>
      <c r="M2209" t="s">
        <v>31</v>
      </c>
      <c r="N2209" t="s">
        <v>22</v>
      </c>
      <c r="O2209" t="s">
        <v>27</v>
      </c>
      <c r="P2209">
        <v>6.73</v>
      </c>
      <c r="Q2209" s="2" t="b">
        <f>FALSE()</f>
        <v>0</v>
      </c>
      <c r="R2209">
        <v>0</v>
      </c>
    </row>
    <row r="2210" spans="1:18" x14ac:dyDescent="0.25">
      <c r="A2210">
        <v>202209</v>
      </c>
      <c r="B2210">
        <v>52083</v>
      </c>
      <c r="C2210" t="s">
        <v>18</v>
      </c>
      <c r="D2210">
        <v>2872.25</v>
      </c>
      <c r="E2210">
        <v>503</v>
      </c>
      <c r="F2210">
        <v>2</v>
      </c>
      <c r="G2210">
        <v>7</v>
      </c>
      <c r="H2210">
        <v>0</v>
      </c>
      <c r="I2210" t="s">
        <v>33</v>
      </c>
      <c r="J2210">
        <v>0</v>
      </c>
      <c r="K2210">
        <v>28</v>
      </c>
      <c r="L2210" t="s">
        <v>20</v>
      </c>
      <c r="M2210" t="s">
        <v>31</v>
      </c>
      <c r="N2210" t="s">
        <v>26</v>
      </c>
      <c r="O2210" t="s">
        <v>36</v>
      </c>
      <c r="P2210">
        <v>2.06</v>
      </c>
      <c r="Q2210" s="2" t="b">
        <f>FALSE()</f>
        <v>0</v>
      </c>
      <c r="R2210">
        <v>1</v>
      </c>
    </row>
    <row r="2211" spans="1:18" x14ac:dyDescent="0.25">
      <c r="A2211">
        <v>202210</v>
      </c>
      <c r="B2211">
        <v>52101</v>
      </c>
      <c r="C2211" t="s">
        <v>18</v>
      </c>
      <c r="D2211">
        <v>3268.41</v>
      </c>
      <c r="E2211">
        <v>3573</v>
      </c>
      <c r="F2211">
        <v>1</v>
      </c>
      <c r="G2211">
        <v>7</v>
      </c>
      <c r="H2211">
        <v>0</v>
      </c>
      <c r="I2211" t="s">
        <v>33</v>
      </c>
      <c r="J2211">
        <v>1</v>
      </c>
      <c r="K2211">
        <v>36</v>
      </c>
      <c r="L2211" t="s">
        <v>38</v>
      </c>
      <c r="M2211" t="s">
        <v>35</v>
      </c>
      <c r="N2211" t="s">
        <v>22</v>
      </c>
      <c r="O2211" t="s">
        <v>23</v>
      </c>
      <c r="P2211">
        <v>4.2300000000000004</v>
      </c>
      <c r="Q2211" s="2" t="b">
        <f>FALSE()</f>
        <v>0</v>
      </c>
      <c r="R2211">
        <v>1</v>
      </c>
    </row>
    <row r="2212" spans="1:18" x14ac:dyDescent="0.25">
      <c r="A2212">
        <v>202211</v>
      </c>
      <c r="B2212">
        <v>52086</v>
      </c>
      <c r="C2212" t="s">
        <v>28</v>
      </c>
      <c r="D2212">
        <v>5484.43</v>
      </c>
      <c r="E2212">
        <v>1673</v>
      </c>
      <c r="F2212">
        <v>1</v>
      </c>
      <c r="G2212">
        <v>3</v>
      </c>
      <c r="H2212">
        <v>1</v>
      </c>
      <c r="I2212" t="s">
        <v>19</v>
      </c>
      <c r="J2212">
        <v>1</v>
      </c>
      <c r="K2212">
        <v>70</v>
      </c>
      <c r="L2212" t="s">
        <v>24</v>
      </c>
      <c r="M2212" t="s">
        <v>25</v>
      </c>
      <c r="N2212" t="s">
        <v>22</v>
      </c>
      <c r="O2212" t="s">
        <v>27</v>
      </c>
      <c r="P2212">
        <v>0.94</v>
      </c>
      <c r="Q2212" s="2" t="b">
        <f>FALSE()</f>
        <v>0</v>
      </c>
      <c r="R2212">
        <v>1</v>
      </c>
    </row>
    <row r="2213" spans="1:18" x14ac:dyDescent="0.25">
      <c r="A2213">
        <v>202212</v>
      </c>
      <c r="B2213">
        <v>55048</v>
      </c>
      <c r="C2213" t="s">
        <v>18</v>
      </c>
      <c r="D2213">
        <v>4190.66</v>
      </c>
      <c r="E2213">
        <v>3326</v>
      </c>
      <c r="F2213">
        <v>3</v>
      </c>
      <c r="G2213">
        <v>2</v>
      </c>
      <c r="H2213">
        <v>1</v>
      </c>
      <c r="I2213" t="s">
        <v>33</v>
      </c>
      <c r="J2213">
        <v>0</v>
      </c>
      <c r="K2213">
        <v>75</v>
      </c>
      <c r="L2213" t="s">
        <v>24</v>
      </c>
      <c r="M2213" t="s">
        <v>25</v>
      </c>
      <c r="N2213" t="s">
        <v>22</v>
      </c>
      <c r="O2213" t="s">
        <v>27</v>
      </c>
      <c r="P2213">
        <v>3.05</v>
      </c>
      <c r="Q2213" s="2" t="b">
        <f>FALSE()</f>
        <v>0</v>
      </c>
      <c r="R2213">
        <v>1</v>
      </c>
    </row>
    <row r="2214" spans="1:18" x14ac:dyDescent="0.25">
      <c r="A2214">
        <v>202213</v>
      </c>
      <c r="B2214">
        <v>52384</v>
      </c>
      <c r="C2214" t="s">
        <v>18</v>
      </c>
      <c r="D2214">
        <v>2688.6</v>
      </c>
      <c r="E2214">
        <v>3111</v>
      </c>
      <c r="F2214">
        <v>0</v>
      </c>
      <c r="G2214">
        <v>8</v>
      </c>
      <c r="H2214">
        <v>0</v>
      </c>
      <c r="I2214" t="s">
        <v>33</v>
      </c>
      <c r="J2214">
        <v>0</v>
      </c>
      <c r="K2214">
        <v>81</v>
      </c>
      <c r="L2214" t="s">
        <v>20</v>
      </c>
      <c r="M2214" t="s">
        <v>25</v>
      </c>
      <c r="N2214" t="s">
        <v>26</v>
      </c>
      <c r="O2214" t="s">
        <v>23</v>
      </c>
      <c r="P2214">
        <v>2.5</v>
      </c>
      <c r="Q2214" s="2" t="b">
        <f>FALSE()</f>
        <v>0</v>
      </c>
      <c r="R2214">
        <v>1</v>
      </c>
    </row>
    <row r="2215" spans="1:18" x14ac:dyDescent="0.25">
      <c r="A2215">
        <v>202214</v>
      </c>
      <c r="B2215">
        <v>54779</v>
      </c>
      <c r="C2215" t="s">
        <v>28</v>
      </c>
      <c r="D2215">
        <v>800.38</v>
      </c>
      <c r="E2215">
        <v>1537</v>
      </c>
      <c r="F2215">
        <v>1</v>
      </c>
      <c r="G2215">
        <v>3</v>
      </c>
      <c r="H2215">
        <v>0</v>
      </c>
      <c r="I2215" t="s">
        <v>33</v>
      </c>
      <c r="J2215">
        <v>1</v>
      </c>
      <c r="K2215">
        <v>24</v>
      </c>
      <c r="L2215" t="s">
        <v>20</v>
      </c>
      <c r="M2215" t="s">
        <v>25</v>
      </c>
      <c r="N2215" t="s">
        <v>26</v>
      </c>
      <c r="O2215" t="s">
        <v>36</v>
      </c>
      <c r="P2215">
        <v>4.9400000000000004</v>
      </c>
      <c r="Q2215" s="2" t="b">
        <f>FALSE()</f>
        <v>0</v>
      </c>
      <c r="R2215">
        <v>0</v>
      </c>
    </row>
    <row r="2216" spans="1:18" x14ac:dyDescent="0.25">
      <c r="A2216">
        <v>202215</v>
      </c>
      <c r="B2216">
        <v>51273</v>
      </c>
      <c r="C2216" t="s">
        <v>18</v>
      </c>
      <c r="D2216">
        <v>2011.69</v>
      </c>
      <c r="E2216">
        <v>1806</v>
      </c>
      <c r="F2216">
        <v>0</v>
      </c>
      <c r="G2216">
        <v>4</v>
      </c>
      <c r="H2216">
        <v>1</v>
      </c>
      <c r="I2216" t="s">
        <v>32</v>
      </c>
      <c r="J2216">
        <v>0</v>
      </c>
      <c r="K2216">
        <v>72</v>
      </c>
      <c r="L2216" t="s">
        <v>20</v>
      </c>
      <c r="M2216" t="s">
        <v>25</v>
      </c>
      <c r="N2216" t="s">
        <v>30</v>
      </c>
      <c r="O2216" t="s">
        <v>27</v>
      </c>
      <c r="P2216">
        <v>3.35</v>
      </c>
      <c r="Q2216" s="2" t="b">
        <f>FALSE()</f>
        <v>0</v>
      </c>
      <c r="R2216">
        <v>0</v>
      </c>
    </row>
    <row r="2217" spans="1:18" x14ac:dyDescent="0.25">
      <c r="A2217">
        <v>202216</v>
      </c>
      <c r="B2217">
        <v>50338</v>
      </c>
      <c r="C2217" t="s">
        <v>18</v>
      </c>
      <c r="D2217">
        <v>725.13</v>
      </c>
      <c r="E2217">
        <v>772</v>
      </c>
      <c r="F2217">
        <v>0</v>
      </c>
      <c r="G2217">
        <v>1</v>
      </c>
      <c r="H2217">
        <v>1</v>
      </c>
      <c r="I2217" t="s">
        <v>32</v>
      </c>
      <c r="J2217">
        <v>0</v>
      </c>
      <c r="K2217">
        <v>83</v>
      </c>
      <c r="L2217" t="s">
        <v>20</v>
      </c>
      <c r="M2217" t="s">
        <v>37</v>
      </c>
      <c r="N2217" t="s">
        <v>22</v>
      </c>
      <c r="O2217" t="s">
        <v>27</v>
      </c>
      <c r="P2217">
        <v>4.5199999999999996</v>
      </c>
      <c r="Q2217" s="2" t="b">
        <f>FALSE()</f>
        <v>0</v>
      </c>
      <c r="R2217">
        <v>0</v>
      </c>
    </row>
    <row r="2218" spans="1:18" x14ac:dyDescent="0.25">
      <c r="A2218">
        <v>202217</v>
      </c>
      <c r="B2218">
        <v>53061</v>
      </c>
      <c r="C2218" t="s">
        <v>34</v>
      </c>
      <c r="D2218">
        <v>3669.39</v>
      </c>
      <c r="E2218">
        <v>3005</v>
      </c>
      <c r="F2218">
        <v>5</v>
      </c>
      <c r="G2218">
        <v>4</v>
      </c>
      <c r="H2218">
        <v>0</v>
      </c>
      <c r="I2218" t="s">
        <v>32</v>
      </c>
      <c r="J2218">
        <v>0</v>
      </c>
      <c r="K2218">
        <v>40</v>
      </c>
      <c r="L2218" t="s">
        <v>24</v>
      </c>
      <c r="M2218" t="s">
        <v>31</v>
      </c>
      <c r="N2218" t="s">
        <v>30</v>
      </c>
      <c r="O2218" t="s">
        <v>27</v>
      </c>
      <c r="P2218">
        <v>4.67</v>
      </c>
      <c r="Q2218" s="2" t="b">
        <f>FALSE()</f>
        <v>0</v>
      </c>
      <c r="R2218">
        <v>1</v>
      </c>
    </row>
    <row r="2219" spans="1:18" x14ac:dyDescent="0.25">
      <c r="A2219">
        <v>202218</v>
      </c>
      <c r="B2219">
        <v>52211</v>
      </c>
      <c r="C2219" t="s">
        <v>34</v>
      </c>
      <c r="D2219">
        <v>2629.08</v>
      </c>
      <c r="E2219">
        <v>1348</v>
      </c>
      <c r="F2219">
        <v>0</v>
      </c>
      <c r="G2219">
        <v>5</v>
      </c>
      <c r="H2219">
        <v>0</v>
      </c>
      <c r="I2219" t="s">
        <v>33</v>
      </c>
      <c r="J2219">
        <v>1</v>
      </c>
      <c r="K2219">
        <v>21</v>
      </c>
      <c r="L2219" t="s">
        <v>24</v>
      </c>
      <c r="M2219" t="s">
        <v>37</v>
      </c>
      <c r="N2219" t="s">
        <v>26</v>
      </c>
      <c r="O2219" t="s">
        <v>27</v>
      </c>
      <c r="P2219">
        <v>6.1</v>
      </c>
      <c r="Q2219" s="2" t="b">
        <f>FALSE()</f>
        <v>0</v>
      </c>
      <c r="R2219">
        <v>0</v>
      </c>
    </row>
    <row r="2220" spans="1:18" x14ac:dyDescent="0.25">
      <c r="A2220">
        <v>202219</v>
      </c>
      <c r="B2220">
        <v>54189</v>
      </c>
      <c r="C2220" t="s">
        <v>18</v>
      </c>
      <c r="D2220">
        <v>728.09</v>
      </c>
      <c r="E2220">
        <v>403</v>
      </c>
      <c r="F2220">
        <v>0</v>
      </c>
      <c r="G2220">
        <v>5</v>
      </c>
      <c r="H2220">
        <v>1</v>
      </c>
      <c r="I2220" t="s">
        <v>33</v>
      </c>
      <c r="J2220">
        <v>0</v>
      </c>
      <c r="K2220">
        <v>35</v>
      </c>
      <c r="L2220" t="s">
        <v>24</v>
      </c>
      <c r="M2220" t="s">
        <v>31</v>
      </c>
      <c r="N2220" t="s">
        <v>30</v>
      </c>
      <c r="O2220" t="s">
        <v>36</v>
      </c>
      <c r="P2220">
        <v>0.28000000000000003</v>
      </c>
      <c r="Q2220" s="2" t="b">
        <f>FALSE()</f>
        <v>0</v>
      </c>
      <c r="R2220">
        <v>0</v>
      </c>
    </row>
    <row r="2221" spans="1:18" x14ac:dyDescent="0.25">
      <c r="A2221">
        <v>202220</v>
      </c>
      <c r="B2221">
        <v>50935</v>
      </c>
      <c r="C2221" t="s">
        <v>18</v>
      </c>
      <c r="D2221">
        <v>764.34</v>
      </c>
      <c r="E2221">
        <v>2064</v>
      </c>
      <c r="F2221">
        <v>0</v>
      </c>
      <c r="G2221">
        <v>4</v>
      </c>
      <c r="H2221">
        <v>0</v>
      </c>
      <c r="I2221" t="s">
        <v>32</v>
      </c>
      <c r="J2221">
        <v>0</v>
      </c>
      <c r="K2221">
        <v>45</v>
      </c>
      <c r="L2221" t="s">
        <v>20</v>
      </c>
      <c r="M2221" t="s">
        <v>31</v>
      </c>
      <c r="N2221" t="s">
        <v>26</v>
      </c>
      <c r="O2221" t="s">
        <v>27</v>
      </c>
      <c r="P2221">
        <v>12.88</v>
      </c>
      <c r="Q2221" s="2" t="b">
        <f>FALSE()</f>
        <v>0</v>
      </c>
      <c r="R2221">
        <v>0</v>
      </c>
    </row>
    <row r="2222" spans="1:18" x14ac:dyDescent="0.25">
      <c r="A2222">
        <v>202221</v>
      </c>
      <c r="B2222">
        <v>50219</v>
      </c>
      <c r="C2222" t="s">
        <v>18</v>
      </c>
      <c r="D2222">
        <v>1515.26</v>
      </c>
      <c r="E2222">
        <v>2828</v>
      </c>
      <c r="F2222">
        <v>1</v>
      </c>
      <c r="G2222">
        <v>1</v>
      </c>
      <c r="H2222">
        <v>0</v>
      </c>
      <c r="I2222" t="s">
        <v>19</v>
      </c>
      <c r="J2222">
        <v>0</v>
      </c>
      <c r="K2222">
        <v>84</v>
      </c>
      <c r="L2222" t="s">
        <v>20</v>
      </c>
      <c r="M2222" t="s">
        <v>21</v>
      </c>
      <c r="N2222" t="s">
        <v>22</v>
      </c>
      <c r="O2222" t="s">
        <v>27</v>
      </c>
      <c r="P2222">
        <v>8.11</v>
      </c>
      <c r="Q2222" s="2" t="b">
        <f>FALSE()</f>
        <v>0</v>
      </c>
      <c r="R2222">
        <v>0</v>
      </c>
    </row>
    <row r="2223" spans="1:18" x14ac:dyDescent="0.25">
      <c r="A2223">
        <v>202222</v>
      </c>
      <c r="B2223">
        <v>55559</v>
      </c>
      <c r="C2223" t="s">
        <v>18</v>
      </c>
      <c r="D2223">
        <v>6346.56</v>
      </c>
      <c r="E2223">
        <v>3302</v>
      </c>
      <c r="F2223">
        <v>1</v>
      </c>
      <c r="G2223">
        <v>3</v>
      </c>
      <c r="H2223">
        <v>0</v>
      </c>
      <c r="I2223" t="s">
        <v>32</v>
      </c>
      <c r="J2223">
        <v>1</v>
      </c>
      <c r="K2223">
        <v>42</v>
      </c>
      <c r="L2223" t="s">
        <v>24</v>
      </c>
      <c r="M2223" t="s">
        <v>37</v>
      </c>
      <c r="N2223" t="s">
        <v>26</v>
      </c>
      <c r="O2223" t="s">
        <v>27</v>
      </c>
      <c r="P2223">
        <v>8.9600000000000009</v>
      </c>
      <c r="Q2223" s="2" t="b">
        <f>FALSE()</f>
        <v>0</v>
      </c>
      <c r="R2223">
        <v>1</v>
      </c>
    </row>
    <row r="2224" spans="1:18" x14ac:dyDescent="0.25">
      <c r="A2224">
        <v>202223</v>
      </c>
      <c r="B2224">
        <v>52897</v>
      </c>
      <c r="C2224" t="s">
        <v>18</v>
      </c>
      <c r="D2224">
        <v>4235.6400000000003</v>
      </c>
      <c r="E2224">
        <v>2222</v>
      </c>
      <c r="F2224">
        <v>1</v>
      </c>
      <c r="G2224">
        <v>1</v>
      </c>
      <c r="H2224">
        <v>0</v>
      </c>
      <c r="I2224" t="s">
        <v>19</v>
      </c>
      <c r="J2224">
        <v>1</v>
      </c>
      <c r="K2224">
        <v>42</v>
      </c>
      <c r="L2224" t="s">
        <v>20</v>
      </c>
      <c r="M2224" t="s">
        <v>21</v>
      </c>
      <c r="N2224" t="s">
        <v>22</v>
      </c>
      <c r="O2224" t="s">
        <v>23</v>
      </c>
      <c r="P2224">
        <v>1.1000000000000001</v>
      </c>
      <c r="Q2224" s="2" t="b">
        <f>FALSE()</f>
        <v>0</v>
      </c>
      <c r="R2224">
        <v>1</v>
      </c>
    </row>
    <row r="2225" spans="1:18" x14ac:dyDescent="0.25">
      <c r="A2225">
        <v>202224</v>
      </c>
      <c r="B2225">
        <v>54344</v>
      </c>
      <c r="C2225" t="s">
        <v>18</v>
      </c>
      <c r="D2225">
        <v>2659.72</v>
      </c>
      <c r="E2225">
        <v>2484</v>
      </c>
      <c r="F2225">
        <v>1</v>
      </c>
      <c r="G2225">
        <v>3</v>
      </c>
      <c r="H2225">
        <v>1</v>
      </c>
      <c r="I2225" t="s">
        <v>33</v>
      </c>
      <c r="J2225">
        <v>0</v>
      </c>
      <c r="K2225">
        <v>20</v>
      </c>
      <c r="L2225" t="s">
        <v>20</v>
      </c>
      <c r="M2225" t="s">
        <v>37</v>
      </c>
      <c r="N2225" t="s">
        <v>22</v>
      </c>
      <c r="O2225" t="s">
        <v>36</v>
      </c>
      <c r="P2225">
        <v>7.04</v>
      </c>
      <c r="Q2225" s="2" t="b">
        <f>FALSE()</f>
        <v>0</v>
      </c>
      <c r="R2225">
        <v>0</v>
      </c>
    </row>
    <row r="2226" spans="1:18" x14ac:dyDescent="0.25">
      <c r="A2226">
        <v>202225</v>
      </c>
      <c r="B2226">
        <v>50245</v>
      </c>
      <c r="C2226" t="s">
        <v>34</v>
      </c>
      <c r="D2226">
        <v>2542.13</v>
      </c>
      <c r="E2226">
        <v>3072</v>
      </c>
      <c r="F2226">
        <v>0</v>
      </c>
      <c r="G2226">
        <v>4</v>
      </c>
      <c r="H2226">
        <v>0</v>
      </c>
      <c r="I2226" t="s">
        <v>33</v>
      </c>
      <c r="J2226">
        <v>1</v>
      </c>
      <c r="K2226">
        <v>23</v>
      </c>
      <c r="L2226" t="s">
        <v>24</v>
      </c>
      <c r="M2226" t="s">
        <v>29</v>
      </c>
      <c r="N2226" t="s">
        <v>30</v>
      </c>
      <c r="O2226" t="s">
        <v>27</v>
      </c>
      <c r="P2226">
        <v>1.57</v>
      </c>
      <c r="Q2226" s="2" t="b">
        <f>FALSE()</f>
        <v>0</v>
      </c>
      <c r="R2226">
        <v>0</v>
      </c>
    </row>
    <row r="2227" spans="1:18" x14ac:dyDescent="0.25">
      <c r="A2227">
        <v>202226</v>
      </c>
      <c r="B2227">
        <v>52225</v>
      </c>
      <c r="C2227" t="s">
        <v>34</v>
      </c>
      <c r="D2227">
        <v>5241.18</v>
      </c>
      <c r="E2227">
        <v>582</v>
      </c>
      <c r="F2227">
        <v>0</v>
      </c>
      <c r="G2227">
        <v>8</v>
      </c>
      <c r="H2227">
        <v>1</v>
      </c>
      <c r="I2227" t="s">
        <v>19</v>
      </c>
      <c r="J2227">
        <v>1</v>
      </c>
      <c r="K2227">
        <v>70</v>
      </c>
      <c r="L2227" t="s">
        <v>24</v>
      </c>
      <c r="M2227" t="s">
        <v>29</v>
      </c>
      <c r="N2227" t="s">
        <v>30</v>
      </c>
      <c r="O2227" t="s">
        <v>23</v>
      </c>
      <c r="P2227">
        <v>2.75</v>
      </c>
      <c r="Q2227" s="2" t="b">
        <f>FALSE()</f>
        <v>0</v>
      </c>
      <c r="R2227">
        <v>1</v>
      </c>
    </row>
    <row r="2228" spans="1:18" x14ac:dyDescent="0.25">
      <c r="A2228">
        <v>202227</v>
      </c>
      <c r="B2228">
        <v>51445</v>
      </c>
      <c r="C2228" t="s">
        <v>34</v>
      </c>
      <c r="D2228">
        <v>2958.46</v>
      </c>
      <c r="E2228">
        <v>2970</v>
      </c>
      <c r="F2228">
        <v>3</v>
      </c>
      <c r="G2228">
        <v>4</v>
      </c>
      <c r="H2228">
        <v>1</v>
      </c>
      <c r="I2228" t="s">
        <v>19</v>
      </c>
      <c r="J2228">
        <v>0</v>
      </c>
      <c r="K2228">
        <v>78</v>
      </c>
      <c r="L2228" t="s">
        <v>20</v>
      </c>
      <c r="M2228" t="s">
        <v>21</v>
      </c>
      <c r="N2228" t="s">
        <v>22</v>
      </c>
      <c r="O2228" t="s">
        <v>36</v>
      </c>
      <c r="P2228">
        <v>4.67</v>
      </c>
      <c r="Q2228" s="2" t="b">
        <f>FALSE()</f>
        <v>0</v>
      </c>
      <c r="R2228">
        <v>1</v>
      </c>
    </row>
    <row r="2229" spans="1:18" x14ac:dyDescent="0.25">
      <c r="A2229">
        <v>202228</v>
      </c>
      <c r="B2229">
        <v>55774</v>
      </c>
      <c r="C2229" t="s">
        <v>18</v>
      </c>
      <c r="D2229">
        <v>376.19</v>
      </c>
      <c r="E2229">
        <v>1829</v>
      </c>
      <c r="F2229">
        <v>1</v>
      </c>
      <c r="G2229">
        <v>8</v>
      </c>
      <c r="H2229">
        <v>0</v>
      </c>
      <c r="I2229" t="s">
        <v>33</v>
      </c>
      <c r="J2229">
        <v>0</v>
      </c>
      <c r="K2229">
        <v>59</v>
      </c>
      <c r="L2229" t="s">
        <v>24</v>
      </c>
      <c r="M2229" t="s">
        <v>29</v>
      </c>
      <c r="N2229" t="s">
        <v>22</v>
      </c>
      <c r="O2229" t="s">
        <v>36</v>
      </c>
      <c r="P2229">
        <v>1.7</v>
      </c>
      <c r="Q2229" s="2" t="b">
        <f>FALSE()</f>
        <v>0</v>
      </c>
      <c r="R2229">
        <v>1</v>
      </c>
    </row>
    <row r="2230" spans="1:18" x14ac:dyDescent="0.25">
      <c r="A2230">
        <v>202229</v>
      </c>
      <c r="B2230">
        <v>54364</v>
      </c>
      <c r="C2230" t="s">
        <v>18</v>
      </c>
      <c r="D2230">
        <v>5580.63</v>
      </c>
      <c r="E2230">
        <v>2077</v>
      </c>
      <c r="F2230">
        <v>1</v>
      </c>
      <c r="G2230">
        <v>7</v>
      </c>
      <c r="H2230">
        <v>1</v>
      </c>
      <c r="I2230" t="s">
        <v>19</v>
      </c>
      <c r="J2230">
        <v>1</v>
      </c>
      <c r="K2230">
        <v>67</v>
      </c>
      <c r="L2230" t="s">
        <v>24</v>
      </c>
      <c r="M2230" t="s">
        <v>25</v>
      </c>
      <c r="N2230" t="s">
        <v>22</v>
      </c>
      <c r="O2230" t="s">
        <v>23</v>
      </c>
      <c r="P2230">
        <v>5.44</v>
      </c>
      <c r="Q2230" s="2" t="b">
        <f>FALSE()</f>
        <v>0</v>
      </c>
      <c r="R2230">
        <v>1</v>
      </c>
    </row>
    <row r="2231" spans="1:18" x14ac:dyDescent="0.25">
      <c r="A2231">
        <v>202230</v>
      </c>
      <c r="B2231">
        <v>54522</v>
      </c>
      <c r="C2231" t="s">
        <v>34</v>
      </c>
      <c r="D2231">
        <v>2099.7399999999998</v>
      </c>
      <c r="E2231">
        <v>2443</v>
      </c>
      <c r="F2231">
        <v>2</v>
      </c>
      <c r="G2231">
        <v>2</v>
      </c>
      <c r="H2231">
        <v>0</v>
      </c>
      <c r="I2231" t="s">
        <v>32</v>
      </c>
      <c r="J2231">
        <v>0</v>
      </c>
      <c r="K2231">
        <v>38</v>
      </c>
      <c r="L2231" t="s">
        <v>20</v>
      </c>
      <c r="M2231" t="s">
        <v>35</v>
      </c>
      <c r="N2231" t="s">
        <v>26</v>
      </c>
      <c r="O2231" t="s">
        <v>27</v>
      </c>
      <c r="P2231">
        <v>2.23</v>
      </c>
      <c r="Q2231" s="2" t="b">
        <f>FALSE()</f>
        <v>0</v>
      </c>
      <c r="R2231">
        <v>0</v>
      </c>
    </row>
    <row r="2232" spans="1:18" x14ac:dyDescent="0.25">
      <c r="A2232">
        <v>202231</v>
      </c>
      <c r="B2232">
        <v>54222</v>
      </c>
      <c r="C2232" t="s">
        <v>18</v>
      </c>
      <c r="D2232">
        <v>2876.77</v>
      </c>
      <c r="E2232">
        <v>2041</v>
      </c>
      <c r="F2232">
        <v>1</v>
      </c>
      <c r="G2232">
        <v>3</v>
      </c>
      <c r="H2232">
        <v>1</v>
      </c>
      <c r="I2232" t="s">
        <v>33</v>
      </c>
      <c r="J2232">
        <v>1</v>
      </c>
      <c r="K2232">
        <v>56</v>
      </c>
      <c r="L2232" t="s">
        <v>24</v>
      </c>
      <c r="M2232" t="s">
        <v>21</v>
      </c>
      <c r="N2232" t="s">
        <v>22</v>
      </c>
      <c r="O2232" t="s">
        <v>36</v>
      </c>
      <c r="P2232">
        <v>0.57999999999999996</v>
      </c>
      <c r="Q2232" s="2" t="b">
        <f>FALSE()</f>
        <v>0</v>
      </c>
      <c r="R2232">
        <v>0</v>
      </c>
    </row>
    <row r="2233" spans="1:18" x14ac:dyDescent="0.25">
      <c r="A2233">
        <v>202232</v>
      </c>
      <c r="B2233">
        <v>55056</v>
      </c>
      <c r="C2233" t="s">
        <v>34</v>
      </c>
      <c r="D2233">
        <v>5421.95</v>
      </c>
      <c r="E2233">
        <v>3447</v>
      </c>
      <c r="F2233">
        <v>3</v>
      </c>
      <c r="G2233">
        <v>7</v>
      </c>
      <c r="H2233">
        <v>1</v>
      </c>
      <c r="I2233" t="s">
        <v>33</v>
      </c>
      <c r="J2233">
        <v>0</v>
      </c>
      <c r="K2233">
        <v>66</v>
      </c>
      <c r="L2233" t="s">
        <v>20</v>
      </c>
      <c r="M2233" t="s">
        <v>21</v>
      </c>
      <c r="N2233" t="s">
        <v>30</v>
      </c>
      <c r="O2233" t="s">
        <v>36</v>
      </c>
      <c r="P2233">
        <v>0.44</v>
      </c>
      <c r="Q2233" s="2" t="b">
        <f>FALSE()</f>
        <v>0</v>
      </c>
      <c r="R2233">
        <v>1</v>
      </c>
    </row>
    <row r="2234" spans="1:18" x14ac:dyDescent="0.25">
      <c r="A2234">
        <v>202233</v>
      </c>
      <c r="B2234">
        <v>55398</v>
      </c>
      <c r="C2234" t="s">
        <v>34</v>
      </c>
      <c r="D2234">
        <v>1062.23</v>
      </c>
      <c r="E2234">
        <v>2310</v>
      </c>
      <c r="F2234">
        <v>1</v>
      </c>
      <c r="G2234">
        <v>2</v>
      </c>
      <c r="H2234">
        <v>0</v>
      </c>
      <c r="I2234" t="s">
        <v>19</v>
      </c>
      <c r="J2234">
        <v>0</v>
      </c>
      <c r="K2234">
        <v>29</v>
      </c>
      <c r="L2234" t="s">
        <v>20</v>
      </c>
      <c r="M2234" t="s">
        <v>31</v>
      </c>
      <c r="N2234" t="s">
        <v>30</v>
      </c>
      <c r="O2234" t="s">
        <v>36</v>
      </c>
      <c r="P2234">
        <v>3.51</v>
      </c>
      <c r="Q2234" s="2" t="b">
        <f>FALSE()</f>
        <v>0</v>
      </c>
      <c r="R2234">
        <v>0</v>
      </c>
    </row>
    <row r="2235" spans="1:18" x14ac:dyDescent="0.25">
      <c r="A2235">
        <v>202234</v>
      </c>
      <c r="B2235">
        <v>55295</v>
      </c>
      <c r="C2235" t="s">
        <v>18</v>
      </c>
      <c r="D2235">
        <v>2570.66</v>
      </c>
      <c r="E2235">
        <v>1468</v>
      </c>
      <c r="F2235">
        <v>0</v>
      </c>
      <c r="G2235">
        <v>4</v>
      </c>
      <c r="H2235">
        <v>0</v>
      </c>
      <c r="I2235" t="s">
        <v>32</v>
      </c>
      <c r="J2235">
        <v>1</v>
      </c>
      <c r="K2235">
        <v>21</v>
      </c>
      <c r="L2235" t="s">
        <v>24</v>
      </c>
      <c r="M2235" t="s">
        <v>29</v>
      </c>
      <c r="N2235" t="s">
        <v>30</v>
      </c>
      <c r="O2235" t="s">
        <v>36</v>
      </c>
      <c r="P2235">
        <v>0.75</v>
      </c>
      <c r="Q2235" s="2" t="b">
        <f>FALSE()</f>
        <v>0</v>
      </c>
      <c r="R2235">
        <v>0</v>
      </c>
    </row>
    <row r="2236" spans="1:18" x14ac:dyDescent="0.25">
      <c r="A2236">
        <v>202235</v>
      </c>
      <c r="B2236">
        <v>54441</v>
      </c>
      <c r="C2236" t="s">
        <v>18</v>
      </c>
      <c r="D2236">
        <v>2756.55</v>
      </c>
      <c r="E2236">
        <v>3198</v>
      </c>
      <c r="F2236">
        <v>1</v>
      </c>
      <c r="G2236">
        <v>1</v>
      </c>
      <c r="H2236">
        <v>0</v>
      </c>
      <c r="I2236" t="s">
        <v>19</v>
      </c>
      <c r="J2236">
        <v>1</v>
      </c>
      <c r="K2236">
        <v>62</v>
      </c>
      <c r="L2236" t="s">
        <v>20</v>
      </c>
      <c r="M2236" t="s">
        <v>29</v>
      </c>
      <c r="N2236" t="s">
        <v>22</v>
      </c>
      <c r="O2236" t="s">
        <v>23</v>
      </c>
      <c r="P2236">
        <v>5.98</v>
      </c>
      <c r="Q2236" s="2" t="b">
        <f>FALSE()</f>
        <v>0</v>
      </c>
      <c r="R2236">
        <v>0</v>
      </c>
    </row>
    <row r="2237" spans="1:18" x14ac:dyDescent="0.25">
      <c r="A2237">
        <v>202236</v>
      </c>
      <c r="B2237">
        <v>51520</v>
      </c>
      <c r="C2237" t="s">
        <v>34</v>
      </c>
      <c r="D2237">
        <v>1641.26</v>
      </c>
      <c r="E2237">
        <v>2926</v>
      </c>
      <c r="F2237">
        <v>1</v>
      </c>
      <c r="G2237">
        <v>7</v>
      </c>
      <c r="H2237">
        <v>1</v>
      </c>
      <c r="I2237" t="s">
        <v>33</v>
      </c>
      <c r="J2237">
        <v>0</v>
      </c>
      <c r="K2237">
        <v>27</v>
      </c>
      <c r="L2237" t="s">
        <v>20</v>
      </c>
      <c r="M2237" t="s">
        <v>35</v>
      </c>
      <c r="N2237" t="s">
        <v>30</v>
      </c>
      <c r="O2237" t="s">
        <v>27</v>
      </c>
      <c r="P2237">
        <v>0.54</v>
      </c>
      <c r="Q2237" s="2" t="b">
        <f>FALSE()</f>
        <v>0</v>
      </c>
      <c r="R2237">
        <v>1</v>
      </c>
    </row>
    <row r="2238" spans="1:18" x14ac:dyDescent="0.25">
      <c r="A2238">
        <v>202237</v>
      </c>
      <c r="B2238">
        <v>54960</v>
      </c>
      <c r="C2238" t="s">
        <v>18</v>
      </c>
      <c r="D2238">
        <v>3732.75</v>
      </c>
      <c r="E2238">
        <v>843</v>
      </c>
      <c r="F2238">
        <v>1</v>
      </c>
      <c r="G2238">
        <v>3</v>
      </c>
      <c r="H2238">
        <v>0</v>
      </c>
      <c r="I2238" t="s">
        <v>33</v>
      </c>
      <c r="J2238">
        <v>1</v>
      </c>
      <c r="K2238">
        <v>22</v>
      </c>
      <c r="L2238" t="s">
        <v>20</v>
      </c>
      <c r="M2238" t="s">
        <v>35</v>
      </c>
      <c r="N2238" t="s">
        <v>30</v>
      </c>
      <c r="O2238" t="s">
        <v>23</v>
      </c>
      <c r="P2238">
        <v>0.51</v>
      </c>
      <c r="Q2238" s="2" t="b">
        <f>FALSE()</f>
        <v>0</v>
      </c>
      <c r="R2238">
        <v>1</v>
      </c>
    </row>
    <row r="2239" spans="1:18" x14ac:dyDescent="0.25">
      <c r="A2239">
        <v>202238</v>
      </c>
      <c r="B2239">
        <v>52350</v>
      </c>
      <c r="C2239" t="s">
        <v>34</v>
      </c>
      <c r="D2239">
        <v>3188.19</v>
      </c>
      <c r="E2239">
        <v>2989</v>
      </c>
      <c r="F2239">
        <v>1</v>
      </c>
      <c r="G2239">
        <v>6</v>
      </c>
      <c r="H2239">
        <v>0</v>
      </c>
      <c r="I2239" t="s">
        <v>32</v>
      </c>
      <c r="J2239">
        <v>1</v>
      </c>
      <c r="K2239">
        <v>67</v>
      </c>
      <c r="L2239" t="s">
        <v>20</v>
      </c>
      <c r="M2239" t="s">
        <v>37</v>
      </c>
      <c r="N2239" t="s">
        <v>22</v>
      </c>
      <c r="O2239" t="s">
        <v>36</v>
      </c>
      <c r="P2239">
        <v>2.23</v>
      </c>
      <c r="Q2239" s="2" t="b">
        <f>FALSE()</f>
        <v>0</v>
      </c>
      <c r="R2239">
        <v>0</v>
      </c>
    </row>
    <row r="2240" spans="1:18" x14ac:dyDescent="0.25">
      <c r="A2240">
        <v>202239</v>
      </c>
      <c r="B2240">
        <v>50099</v>
      </c>
      <c r="C2240" t="s">
        <v>18</v>
      </c>
      <c r="D2240">
        <v>1746.74</v>
      </c>
      <c r="E2240">
        <v>2263</v>
      </c>
      <c r="F2240">
        <v>0</v>
      </c>
      <c r="G2240">
        <v>6</v>
      </c>
      <c r="H2240">
        <v>0</v>
      </c>
      <c r="I2240" t="s">
        <v>33</v>
      </c>
      <c r="J2240">
        <v>0</v>
      </c>
      <c r="K2240">
        <v>66</v>
      </c>
      <c r="L2240" t="s">
        <v>24</v>
      </c>
      <c r="M2240" t="s">
        <v>25</v>
      </c>
      <c r="N2240" t="s">
        <v>22</v>
      </c>
      <c r="O2240" t="s">
        <v>36</v>
      </c>
      <c r="P2240">
        <v>3.46</v>
      </c>
      <c r="Q2240" s="2" t="b">
        <f>FALSE()</f>
        <v>0</v>
      </c>
      <c r="R2240">
        <v>0</v>
      </c>
    </row>
    <row r="2241" spans="1:18" x14ac:dyDescent="0.25">
      <c r="A2241">
        <v>202240</v>
      </c>
      <c r="B2241">
        <v>52298</v>
      </c>
      <c r="C2241" t="s">
        <v>18</v>
      </c>
      <c r="D2241">
        <v>3308.46</v>
      </c>
      <c r="E2241">
        <v>492</v>
      </c>
      <c r="F2241">
        <v>1</v>
      </c>
      <c r="G2241">
        <v>5</v>
      </c>
      <c r="H2241">
        <v>0</v>
      </c>
      <c r="I2241" t="s">
        <v>19</v>
      </c>
      <c r="J2241">
        <v>1</v>
      </c>
      <c r="K2241">
        <v>28</v>
      </c>
      <c r="L2241" t="s">
        <v>20</v>
      </c>
      <c r="M2241" t="s">
        <v>29</v>
      </c>
      <c r="N2241" t="s">
        <v>30</v>
      </c>
      <c r="O2241" t="s">
        <v>23</v>
      </c>
      <c r="P2241">
        <v>2.37</v>
      </c>
      <c r="Q2241" s="2" t="b">
        <f>FALSE()</f>
        <v>0</v>
      </c>
      <c r="R2241">
        <v>0</v>
      </c>
    </row>
    <row r="2242" spans="1:18" x14ac:dyDescent="0.25">
      <c r="A2242">
        <v>202241</v>
      </c>
      <c r="B2242">
        <v>53684</v>
      </c>
      <c r="C2242" t="s">
        <v>28</v>
      </c>
      <c r="D2242">
        <v>2873.42</v>
      </c>
      <c r="E2242">
        <v>529</v>
      </c>
      <c r="F2242">
        <v>0</v>
      </c>
      <c r="G2242">
        <v>3</v>
      </c>
      <c r="H2242">
        <v>0</v>
      </c>
      <c r="I2242" t="s">
        <v>33</v>
      </c>
      <c r="J2242">
        <v>1</v>
      </c>
      <c r="K2242">
        <v>77</v>
      </c>
      <c r="L2242" t="s">
        <v>20</v>
      </c>
      <c r="M2242" t="s">
        <v>29</v>
      </c>
      <c r="N2242" t="s">
        <v>22</v>
      </c>
      <c r="O2242" t="s">
        <v>27</v>
      </c>
      <c r="P2242">
        <v>3.49</v>
      </c>
      <c r="Q2242" s="2" t="b">
        <f>FALSE()</f>
        <v>0</v>
      </c>
      <c r="R2242">
        <v>0</v>
      </c>
    </row>
    <row r="2243" spans="1:18" x14ac:dyDescent="0.25">
      <c r="A2243">
        <v>202242</v>
      </c>
      <c r="B2243">
        <v>50827</v>
      </c>
      <c r="C2243" t="s">
        <v>28</v>
      </c>
      <c r="D2243">
        <v>2396.09</v>
      </c>
      <c r="E2243">
        <v>3130</v>
      </c>
      <c r="F2243">
        <v>1</v>
      </c>
      <c r="G2243">
        <v>1</v>
      </c>
      <c r="H2243">
        <v>1</v>
      </c>
      <c r="I2243" t="s">
        <v>32</v>
      </c>
      <c r="J2243">
        <v>1</v>
      </c>
      <c r="K2243">
        <v>22</v>
      </c>
      <c r="L2243" t="s">
        <v>24</v>
      </c>
      <c r="M2243" t="s">
        <v>29</v>
      </c>
      <c r="N2243" t="s">
        <v>22</v>
      </c>
      <c r="O2243" t="s">
        <v>23</v>
      </c>
      <c r="P2243">
        <v>3.54</v>
      </c>
      <c r="Q2243" s="2" t="b">
        <f>FALSE()</f>
        <v>0</v>
      </c>
      <c r="R2243">
        <v>0</v>
      </c>
    </row>
    <row r="2244" spans="1:18" x14ac:dyDescent="0.25">
      <c r="A2244">
        <v>202243</v>
      </c>
      <c r="B2244">
        <v>55786</v>
      </c>
      <c r="C2244" t="s">
        <v>34</v>
      </c>
      <c r="D2244">
        <v>1976.64</v>
      </c>
      <c r="E2244">
        <v>888</v>
      </c>
      <c r="F2244">
        <v>0</v>
      </c>
      <c r="G2244">
        <v>3</v>
      </c>
      <c r="H2244">
        <v>0</v>
      </c>
      <c r="I2244" t="s">
        <v>33</v>
      </c>
      <c r="J2244">
        <v>0</v>
      </c>
      <c r="K2244">
        <v>76</v>
      </c>
      <c r="L2244" t="s">
        <v>24</v>
      </c>
      <c r="M2244" t="s">
        <v>31</v>
      </c>
      <c r="N2244" t="s">
        <v>26</v>
      </c>
      <c r="O2244" t="s">
        <v>36</v>
      </c>
      <c r="P2244">
        <v>1.1599999999999999</v>
      </c>
      <c r="Q2244" s="2" t="b">
        <f>FALSE()</f>
        <v>0</v>
      </c>
      <c r="R2244">
        <v>0</v>
      </c>
    </row>
    <row r="2245" spans="1:18" x14ac:dyDescent="0.25">
      <c r="A2245">
        <v>202244</v>
      </c>
      <c r="B2245">
        <v>53929</v>
      </c>
      <c r="C2245" t="s">
        <v>34</v>
      </c>
      <c r="D2245">
        <v>1182.6099999999999</v>
      </c>
      <c r="E2245">
        <v>2825</v>
      </c>
      <c r="F2245">
        <v>0</v>
      </c>
      <c r="G2245">
        <v>2</v>
      </c>
      <c r="H2245">
        <v>0</v>
      </c>
      <c r="I2245" t="s">
        <v>19</v>
      </c>
      <c r="J2245">
        <v>0</v>
      </c>
      <c r="K2245">
        <v>34</v>
      </c>
      <c r="L2245" t="s">
        <v>20</v>
      </c>
      <c r="M2245" t="s">
        <v>29</v>
      </c>
      <c r="N2245" t="s">
        <v>30</v>
      </c>
      <c r="O2245" t="s">
        <v>36</v>
      </c>
      <c r="P2245">
        <v>7.1</v>
      </c>
      <c r="Q2245" s="2" t="b">
        <f>FALSE()</f>
        <v>0</v>
      </c>
      <c r="R2245">
        <v>0</v>
      </c>
    </row>
    <row r="2246" spans="1:18" x14ac:dyDescent="0.25">
      <c r="A2246">
        <v>202245</v>
      </c>
      <c r="B2246">
        <v>54504</v>
      </c>
      <c r="C2246" t="s">
        <v>18</v>
      </c>
      <c r="D2246">
        <v>1688.69</v>
      </c>
      <c r="E2246">
        <v>1417</v>
      </c>
      <c r="F2246">
        <v>4</v>
      </c>
      <c r="G2246">
        <v>6</v>
      </c>
      <c r="H2246">
        <v>0</v>
      </c>
      <c r="I2246" t="s">
        <v>33</v>
      </c>
      <c r="J2246">
        <v>1</v>
      </c>
      <c r="K2246">
        <v>56</v>
      </c>
      <c r="L2246" t="s">
        <v>24</v>
      </c>
      <c r="M2246" t="s">
        <v>31</v>
      </c>
      <c r="N2246" t="s">
        <v>30</v>
      </c>
      <c r="O2246" t="s">
        <v>27</v>
      </c>
      <c r="P2246">
        <v>1.74</v>
      </c>
      <c r="Q2246" s="2" t="b">
        <f>FALSE()</f>
        <v>0</v>
      </c>
      <c r="R2246">
        <v>1</v>
      </c>
    </row>
    <row r="2247" spans="1:18" x14ac:dyDescent="0.25">
      <c r="A2247">
        <v>202246</v>
      </c>
      <c r="B2247">
        <v>55590</v>
      </c>
      <c r="C2247" t="s">
        <v>28</v>
      </c>
      <c r="D2247">
        <v>2406.1</v>
      </c>
      <c r="E2247">
        <v>1911</v>
      </c>
      <c r="F2247">
        <v>1</v>
      </c>
      <c r="G2247">
        <v>3</v>
      </c>
      <c r="H2247">
        <v>0</v>
      </c>
      <c r="I2247" t="s">
        <v>33</v>
      </c>
      <c r="J2247">
        <v>1</v>
      </c>
      <c r="K2247">
        <v>52</v>
      </c>
      <c r="L2247" t="s">
        <v>24</v>
      </c>
      <c r="M2247" t="s">
        <v>35</v>
      </c>
      <c r="N2247" t="s">
        <v>22</v>
      </c>
      <c r="O2247" t="s">
        <v>27</v>
      </c>
      <c r="P2247">
        <v>4.08</v>
      </c>
      <c r="Q2247" s="2" t="b">
        <f>FALSE()</f>
        <v>0</v>
      </c>
      <c r="R2247">
        <v>0</v>
      </c>
    </row>
    <row r="2248" spans="1:18" x14ac:dyDescent="0.25">
      <c r="A2248">
        <v>202247</v>
      </c>
      <c r="B2248">
        <v>55842</v>
      </c>
      <c r="C2248" t="s">
        <v>34</v>
      </c>
      <c r="D2248">
        <v>1986.64</v>
      </c>
      <c r="E2248">
        <v>3030</v>
      </c>
      <c r="F2248">
        <v>0</v>
      </c>
      <c r="G2248">
        <v>2</v>
      </c>
      <c r="H2248">
        <v>1</v>
      </c>
      <c r="I2248" t="s">
        <v>32</v>
      </c>
      <c r="J2248">
        <v>0</v>
      </c>
      <c r="K2248">
        <v>48</v>
      </c>
      <c r="L2248" t="s">
        <v>24</v>
      </c>
      <c r="M2248" t="s">
        <v>21</v>
      </c>
      <c r="N2248" t="s">
        <v>30</v>
      </c>
      <c r="O2248" t="s">
        <v>27</v>
      </c>
      <c r="P2248">
        <v>0.5</v>
      </c>
      <c r="Q2248" s="2" t="b">
        <f>FALSE()</f>
        <v>0</v>
      </c>
      <c r="R2248">
        <v>0</v>
      </c>
    </row>
    <row r="2249" spans="1:18" x14ac:dyDescent="0.25">
      <c r="A2249">
        <v>202248</v>
      </c>
      <c r="B2249">
        <v>53698</v>
      </c>
      <c r="C2249" t="s">
        <v>18</v>
      </c>
      <c r="D2249">
        <v>2616.9699999999998</v>
      </c>
      <c r="E2249">
        <v>1623</v>
      </c>
      <c r="F2249">
        <v>1</v>
      </c>
      <c r="G2249">
        <v>5</v>
      </c>
      <c r="H2249">
        <v>1</v>
      </c>
      <c r="I2249" t="s">
        <v>33</v>
      </c>
      <c r="J2249">
        <v>0</v>
      </c>
      <c r="K2249">
        <v>45</v>
      </c>
      <c r="L2249" t="s">
        <v>24</v>
      </c>
      <c r="M2249" t="s">
        <v>25</v>
      </c>
      <c r="N2249" t="s">
        <v>30</v>
      </c>
      <c r="O2249" t="s">
        <v>27</v>
      </c>
      <c r="P2249">
        <v>5.97</v>
      </c>
      <c r="Q2249" s="2" t="b">
        <f>FALSE()</f>
        <v>0</v>
      </c>
      <c r="R2249">
        <v>0</v>
      </c>
    </row>
    <row r="2250" spans="1:18" x14ac:dyDescent="0.25">
      <c r="A2250">
        <v>202249</v>
      </c>
      <c r="B2250">
        <v>51666</v>
      </c>
      <c r="C2250" t="s">
        <v>34</v>
      </c>
      <c r="D2250">
        <v>341.83</v>
      </c>
      <c r="E2250">
        <v>1770</v>
      </c>
      <c r="F2250">
        <v>3</v>
      </c>
      <c r="G2250">
        <v>4</v>
      </c>
      <c r="H2250">
        <v>0</v>
      </c>
      <c r="I2250" t="s">
        <v>19</v>
      </c>
      <c r="J2250">
        <v>0</v>
      </c>
      <c r="K2250">
        <v>28</v>
      </c>
      <c r="L2250" t="s">
        <v>24</v>
      </c>
      <c r="M2250" t="s">
        <v>21</v>
      </c>
      <c r="N2250" t="s">
        <v>22</v>
      </c>
      <c r="O2250" t="s">
        <v>27</v>
      </c>
      <c r="P2250">
        <v>2.25</v>
      </c>
      <c r="Q2250" s="2" t="b">
        <f>FALSE()</f>
        <v>0</v>
      </c>
      <c r="R2250">
        <v>1</v>
      </c>
    </row>
    <row r="2251" spans="1:18" x14ac:dyDescent="0.25">
      <c r="A2251">
        <v>202250</v>
      </c>
      <c r="B2251">
        <v>50645</v>
      </c>
      <c r="C2251" t="s">
        <v>18</v>
      </c>
      <c r="D2251">
        <v>2702.04</v>
      </c>
      <c r="E2251">
        <v>1263</v>
      </c>
      <c r="F2251">
        <v>1</v>
      </c>
      <c r="G2251">
        <v>1</v>
      </c>
      <c r="H2251">
        <v>0</v>
      </c>
      <c r="I2251" t="s">
        <v>19</v>
      </c>
      <c r="J2251">
        <v>0</v>
      </c>
      <c r="K2251">
        <v>51</v>
      </c>
      <c r="L2251" t="s">
        <v>20</v>
      </c>
      <c r="M2251" t="s">
        <v>37</v>
      </c>
      <c r="N2251" t="s">
        <v>22</v>
      </c>
      <c r="O2251" t="s">
        <v>23</v>
      </c>
      <c r="P2251">
        <v>1.43</v>
      </c>
      <c r="Q2251" s="2" t="b">
        <f>FALSE()</f>
        <v>0</v>
      </c>
      <c r="R2251">
        <v>0</v>
      </c>
    </row>
    <row r="2252" spans="1:18" x14ac:dyDescent="0.25">
      <c r="A2252">
        <v>202251</v>
      </c>
      <c r="B2252">
        <v>54449</v>
      </c>
      <c r="C2252" t="s">
        <v>34</v>
      </c>
      <c r="D2252">
        <v>6317.49</v>
      </c>
      <c r="E2252">
        <v>508</v>
      </c>
      <c r="F2252">
        <v>1</v>
      </c>
      <c r="G2252">
        <v>4</v>
      </c>
      <c r="H2252">
        <v>0</v>
      </c>
      <c r="I2252" t="s">
        <v>32</v>
      </c>
      <c r="J2252">
        <v>0</v>
      </c>
      <c r="K2252">
        <v>28</v>
      </c>
      <c r="L2252" t="s">
        <v>24</v>
      </c>
      <c r="M2252" t="s">
        <v>25</v>
      </c>
      <c r="N2252" t="s">
        <v>22</v>
      </c>
      <c r="O2252" t="s">
        <v>36</v>
      </c>
      <c r="P2252">
        <v>4.46</v>
      </c>
      <c r="Q2252" s="2" t="b">
        <f>FALSE()</f>
        <v>0</v>
      </c>
      <c r="R2252">
        <v>1</v>
      </c>
    </row>
    <row r="2253" spans="1:18" x14ac:dyDescent="0.25">
      <c r="A2253">
        <v>202252</v>
      </c>
      <c r="B2253">
        <v>50805</v>
      </c>
      <c r="C2253" t="s">
        <v>28</v>
      </c>
      <c r="D2253">
        <v>5806.23</v>
      </c>
      <c r="E2253">
        <v>3063</v>
      </c>
      <c r="F2253">
        <v>0</v>
      </c>
      <c r="G2253">
        <v>3</v>
      </c>
      <c r="H2253">
        <v>0</v>
      </c>
      <c r="I2253" t="s">
        <v>19</v>
      </c>
      <c r="J2253">
        <v>1</v>
      </c>
      <c r="K2253">
        <v>69</v>
      </c>
      <c r="L2253" t="s">
        <v>20</v>
      </c>
      <c r="M2253" t="s">
        <v>35</v>
      </c>
      <c r="N2253" t="s">
        <v>30</v>
      </c>
      <c r="O2253" t="s">
        <v>36</v>
      </c>
      <c r="P2253">
        <v>4.45</v>
      </c>
      <c r="Q2253" s="2" t="b">
        <f>FALSE()</f>
        <v>0</v>
      </c>
      <c r="R2253">
        <v>1</v>
      </c>
    </row>
    <row r="2254" spans="1:18" x14ac:dyDescent="0.25">
      <c r="A2254">
        <v>202253</v>
      </c>
      <c r="B2254">
        <v>50379</v>
      </c>
      <c r="C2254" t="s">
        <v>34</v>
      </c>
      <c r="D2254">
        <v>5016.3900000000003</v>
      </c>
      <c r="E2254">
        <v>1111</v>
      </c>
      <c r="F2254">
        <v>1</v>
      </c>
      <c r="G2254">
        <v>4</v>
      </c>
      <c r="H2254">
        <v>0</v>
      </c>
      <c r="I2254" t="s">
        <v>33</v>
      </c>
      <c r="J2254">
        <v>1</v>
      </c>
      <c r="K2254">
        <v>43</v>
      </c>
      <c r="L2254" t="s">
        <v>20</v>
      </c>
      <c r="M2254" t="s">
        <v>37</v>
      </c>
      <c r="N2254" t="s">
        <v>22</v>
      </c>
      <c r="O2254" t="s">
        <v>36</v>
      </c>
      <c r="P2254">
        <v>0.08</v>
      </c>
      <c r="Q2254" s="2" t="b">
        <f>FALSE()</f>
        <v>0</v>
      </c>
      <c r="R2254">
        <v>1</v>
      </c>
    </row>
    <row r="2255" spans="1:18" x14ac:dyDescent="0.25">
      <c r="A2255">
        <v>202254</v>
      </c>
      <c r="B2255">
        <v>55618</v>
      </c>
      <c r="C2255" t="s">
        <v>28</v>
      </c>
      <c r="D2255">
        <v>5148.71</v>
      </c>
      <c r="E2255">
        <v>396</v>
      </c>
      <c r="F2255">
        <v>0</v>
      </c>
      <c r="G2255">
        <v>4</v>
      </c>
      <c r="H2255">
        <v>0</v>
      </c>
      <c r="I2255" t="s">
        <v>33</v>
      </c>
      <c r="J2255">
        <v>0</v>
      </c>
      <c r="K2255">
        <v>59</v>
      </c>
      <c r="L2255" t="s">
        <v>20</v>
      </c>
      <c r="M2255" t="s">
        <v>35</v>
      </c>
      <c r="N2255" t="s">
        <v>22</v>
      </c>
      <c r="O2255" t="s">
        <v>36</v>
      </c>
      <c r="P2255">
        <v>6.44</v>
      </c>
      <c r="Q2255" s="2" t="b">
        <f>FALSE()</f>
        <v>0</v>
      </c>
      <c r="R2255">
        <v>1</v>
      </c>
    </row>
    <row r="2256" spans="1:18" x14ac:dyDescent="0.25">
      <c r="A2256">
        <v>202255</v>
      </c>
      <c r="B2256">
        <v>54288</v>
      </c>
      <c r="C2256" t="s">
        <v>34</v>
      </c>
      <c r="D2256">
        <v>2107.36</v>
      </c>
      <c r="E2256">
        <v>2194</v>
      </c>
      <c r="F2256">
        <v>1</v>
      </c>
      <c r="G2256">
        <v>3</v>
      </c>
      <c r="H2256">
        <v>0</v>
      </c>
      <c r="I2256" t="s">
        <v>19</v>
      </c>
      <c r="J2256">
        <v>0</v>
      </c>
      <c r="K2256">
        <v>23</v>
      </c>
      <c r="L2256" t="s">
        <v>38</v>
      </c>
      <c r="M2256" t="s">
        <v>31</v>
      </c>
      <c r="N2256" t="s">
        <v>30</v>
      </c>
      <c r="O2256" t="s">
        <v>36</v>
      </c>
      <c r="P2256">
        <v>0.76</v>
      </c>
      <c r="Q2256" s="2" t="b">
        <f>FALSE()</f>
        <v>0</v>
      </c>
      <c r="R2256">
        <v>0</v>
      </c>
    </row>
    <row r="2257" spans="1:18" x14ac:dyDescent="0.25">
      <c r="A2257">
        <v>202256</v>
      </c>
      <c r="B2257">
        <v>54245</v>
      </c>
      <c r="C2257" t="s">
        <v>18</v>
      </c>
      <c r="D2257">
        <v>1123.8900000000001</v>
      </c>
      <c r="E2257">
        <v>1415</v>
      </c>
      <c r="F2257">
        <v>0</v>
      </c>
      <c r="G2257">
        <v>4</v>
      </c>
      <c r="H2257">
        <v>0</v>
      </c>
      <c r="I2257" t="s">
        <v>32</v>
      </c>
      <c r="J2257">
        <v>0</v>
      </c>
      <c r="K2257">
        <v>79</v>
      </c>
      <c r="L2257" t="s">
        <v>24</v>
      </c>
      <c r="M2257" t="s">
        <v>37</v>
      </c>
      <c r="N2257" t="s">
        <v>26</v>
      </c>
      <c r="O2257" t="s">
        <v>27</v>
      </c>
      <c r="P2257">
        <v>2.54</v>
      </c>
      <c r="Q2257" s="2" t="b">
        <f>FALSE()</f>
        <v>0</v>
      </c>
      <c r="R2257">
        <v>0</v>
      </c>
    </row>
    <row r="2258" spans="1:18" x14ac:dyDescent="0.25">
      <c r="A2258">
        <v>202257</v>
      </c>
      <c r="B2258">
        <v>53717</v>
      </c>
      <c r="C2258" t="s">
        <v>34</v>
      </c>
      <c r="D2258">
        <v>4778.08</v>
      </c>
      <c r="E2258">
        <v>3528</v>
      </c>
      <c r="F2258">
        <v>2</v>
      </c>
      <c r="G2258">
        <v>4</v>
      </c>
      <c r="H2258">
        <v>0</v>
      </c>
      <c r="I2258" t="s">
        <v>33</v>
      </c>
      <c r="J2258">
        <v>0</v>
      </c>
      <c r="K2258">
        <v>51</v>
      </c>
      <c r="L2258" t="s">
        <v>24</v>
      </c>
      <c r="M2258" t="s">
        <v>21</v>
      </c>
      <c r="N2258" t="s">
        <v>22</v>
      </c>
      <c r="O2258" t="s">
        <v>23</v>
      </c>
      <c r="P2258">
        <v>3.42</v>
      </c>
      <c r="Q2258" s="2" t="b">
        <f>FALSE()</f>
        <v>0</v>
      </c>
      <c r="R2258">
        <v>1</v>
      </c>
    </row>
    <row r="2259" spans="1:18" x14ac:dyDescent="0.25">
      <c r="A2259">
        <v>202258</v>
      </c>
      <c r="B2259">
        <v>51315</v>
      </c>
      <c r="C2259" t="s">
        <v>34</v>
      </c>
      <c r="D2259">
        <v>3190.03</v>
      </c>
      <c r="E2259">
        <v>433</v>
      </c>
      <c r="F2259">
        <v>2</v>
      </c>
      <c r="G2259">
        <v>4</v>
      </c>
      <c r="H2259">
        <v>1</v>
      </c>
      <c r="I2259" t="s">
        <v>19</v>
      </c>
      <c r="J2259">
        <v>0</v>
      </c>
      <c r="K2259">
        <v>41</v>
      </c>
      <c r="L2259" t="s">
        <v>24</v>
      </c>
      <c r="M2259" t="s">
        <v>37</v>
      </c>
      <c r="N2259" t="s">
        <v>26</v>
      </c>
      <c r="O2259" t="s">
        <v>27</v>
      </c>
      <c r="P2259">
        <v>1.17</v>
      </c>
      <c r="Q2259" s="2" t="b">
        <f>FALSE()</f>
        <v>0</v>
      </c>
      <c r="R2259">
        <v>0</v>
      </c>
    </row>
    <row r="2260" spans="1:18" x14ac:dyDescent="0.25">
      <c r="A2260">
        <v>202259</v>
      </c>
      <c r="B2260">
        <v>55779</v>
      </c>
      <c r="C2260" t="s">
        <v>34</v>
      </c>
      <c r="D2260">
        <v>3060.75</v>
      </c>
      <c r="E2260">
        <v>2512</v>
      </c>
      <c r="F2260">
        <v>1</v>
      </c>
      <c r="G2260">
        <v>5</v>
      </c>
      <c r="H2260">
        <v>1</v>
      </c>
      <c r="I2260" t="s">
        <v>32</v>
      </c>
      <c r="J2260">
        <v>0</v>
      </c>
      <c r="K2260">
        <v>26</v>
      </c>
      <c r="L2260" t="s">
        <v>24</v>
      </c>
      <c r="M2260" t="s">
        <v>29</v>
      </c>
      <c r="N2260" t="s">
        <v>22</v>
      </c>
      <c r="O2260" t="s">
        <v>23</v>
      </c>
      <c r="P2260">
        <v>0.86</v>
      </c>
      <c r="Q2260" s="2" t="b">
        <f>FALSE()</f>
        <v>0</v>
      </c>
      <c r="R2260">
        <v>0</v>
      </c>
    </row>
    <row r="2261" spans="1:18" x14ac:dyDescent="0.25">
      <c r="A2261">
        <v>202260</v>
      </c>
      <c r="B2261">
        <v>50926</v>
      </c>
      <c r="C2261" t="s">
        <v>28</v>
      </c>
      <c r="D2261">
        <v>2796.06</v>
      </c>
      <c r="E2261">
        <v>3100</v>
      </c>
      <c r="F2261">
        <v>0</v>
      </c>
      <c r="G2261">
        <v>3</v>
      </c>
      <c r="H2261">
        <v>0</v>
      </c>
      <c r="I2261" t="s">
        <v>19</v>
      </c>
      <c r="J2261">
        <v>1</v>
      </c>
      <c r="K2261">
        <v>47</v>
      </c>
      <c r="L2261" t="s">
        <v>24</v>
      </c>
      <c r="M2261" t="s">
        <v>31</v>
      </c>
      <c r="N2261" t="s">
        <v>22</v>
      </c>
      <c r="O2261" t="s">
        <v>36</v>
      </c>
      <c r="P2261">
        <v>2.4900000000000002</v>
      </c>
      <c r="Q2261" s="2" t="b">
        <f>FALSE()</f>
        <v>0</v>
      </c>
      <c r="R2261">
        <v>0</v>
      </c>
    </row>
    <row r="2262" spans="1:18" x14ac:dyDescent="0.25">
      <c r="A2262">
        <v>202261</v>
      </c>
      <c r="B2262">
        <v>51032</v>
      </c>
      <c r="C2262" t="s">
        <v>34</v>
      </c>
      <c r="D2262">
        <v>6475.62</v>
      </c>
      <c r="E2262">
        <v>1057</v>
      </c>
      <c r="F2262">
        <v>0</v>
      </c>
      <c r="G2262">
        <v>7</v>
      </c>
      <c r="H2262">
        <v>1</v>
      </c>
      <c r="I2262" t="s">
        <v>33</v>
      </c>
      <c r="J2262">
        <v>0</v>
      </c>
      <c r="K2262">
        <v>54</v>
      </c>
      <c r="L2262" t="s">
        <v>24</v>
      </c>
      <c r="M2262" t="s">
        <v>21</v>
      </c>
      <c r="N2262" t="s">
        <v>30</v>
      </c>
      <c r="O2262" t="s">
        <v>23</v>
      </c>
      <c r="P2262">
        <v>1.77</v>
      </c>
      <c r="Q2262" s="2" t="b">
        <f>FALSE()</f>
        <v>0</v>
      </c>
      <c r="R2262">
        <v>1</v>
      </c>
    </row>
    <row r="2263" spans="1:18" x14ac:dyDescent="0.25">
      <c r="A2263">
        <v>202262</v>
      </c>
      <c r="B2263">
        <v>54717</v>
      </c>
      <c r="C2263" t="s">
        <v>34</v>
      </c>
      <c r="D2263">
        <v>248.28</v>
      </c>
      <c r="E2263">
        <v>1230</v>
      </c>
      <c r="F2263">
        <v>3</v>
      </c>
      <c r="G2263">
        <v>9</v>
      </c>
      <c r="H2263">
        <v>0</v>
      </c>
      <c r="I2263" t="s">
        <v>19</v>
      </c>
      <c r="J2263">
        <v>0</v>
      </c>
      <c r="K2263">
        <v>28</v>
      </c>
      <c r="L2263" t="s">
        <v>38</v>
      </c>
      <c r="M2263" t="s">
        <v>37</v>
      </c>
      <c r="N2263" t="s">
        <v>22</v>
      </c>
      <c r="O2263" t="s">
        <v>36</v>
      </c>
      <c r="P2263">
        <v>12.19</v>
      </c>
      <c r="Q2263" s="2" t="b">
        <f>FALSE()</f>
        <v>0</v>
      </c>
      <c r="R2263">
        <v>1</v>
      </c>
    </row>
    <row r="2264" spans="1:18" x14ac:dyDescent="0.25">
      <c r="A2264">
        <v>202263</v>
      </c>
      <c r="B2264">
        <v>55037</v>
      </c>
      <c r="C2264" t="s">
        <v>34</v>
      </c>
      <c r="D2264">
        <v>1944.73</v>
      </c>
      <c r="E2264">
        <v>2432</v>
      </c>
      <c r="F2264">
        <v>1</v>
      </c>
      <c r="G2264">
        <v>5</v>
      </c>
      <c r="H2264">
        <v>1</v>
      </c>
      <c r="I2264" t="s">
        <v>33</v>
      </c>
      <c r="J2264">
        <v>0</v>
      </c>
      <c r="K2264">
        <v>73</v>
      </c>
      <c r="L2264" t="s">
        <v>20</v>
      </c>
      <c r="M2264" t="s">
        <v>29</v>
      </c>
      <c r="N2264" t="s">
        <v>30</v>
      </c>
      <c r="O2264" t="s">
        <v>27</v>
      </c>
      <c r="P2264">
        <v>9.7200000000000006</v>
      </c>
      <c r="Q2264" s="2" t="b">
        <f>FALSE()</f>
        <v>0</v>
      </c>
      <c r="R2264">
        <v>0</v>
      </c>
    </row>
    <row r="2265" spans="1:18" x14ac:dyDescent="0.25">
      <c r="A2265">
        <v>202264</v>
      </c>
      <c r="B2265">
        <v>54083</v>
      </c>
      <c r="C2265" t="s">
        <v>18</v>
      </c>
      <c r="D2265">
        <v>453.62</v>
      </c>
      <c r="E2265">
        <v>456</v>
      </c>
      <c r="F2265">
        <v>1</v>
      </c>
      <c r="G2265">
        <v>5</v>
      </c>
      <c r="H2265">
        <v>1</v>
      </c>
      <c r="I2265" t="s">
        <v>33</v>
      </c>
      <c r="J2265">
        <v>0</v>
      </c>
      <c r="K2265">
        <v>82</v>
      </c>
      <c r="L2265" t="s">
        <v>20</v>
      </c>
      <c r="M2265" t="s">
        <v>35</v>
      </c>
      <c r="N2265" t="s">
        <v>26</v>
      </c>
      <c r="O2265" t="s">
        <v>36</v>
      </c>
      <c r="P2265">
        <v>2.81</v>
      </c>
      <c r="Q2265" s="2" t="b">
        <f>FALSE()</f>
        <v>0</v>
      </c>
      <c r="R2265">
        <v>0</v>
      </c>
    </row>
    <row r="2266" spans="1:18" x14ac:dyDescent="0.25">
      <c r="A2266">
        <v>202265</v>
      </c>
      <c r="B2266">
        <v>51157</v>
      </c>
      <c r="C2266" t="s">
        <v>34</v>
      </c>
      <c r="D2266">
        <v>1331.28</v>
      </c>
      <c r="E2266">
        <v>1666</v>
      </c>
      <c r="F2266">
        <v>3</v>
      </c>
      <c r="G2266">
        <v>2</v>
      </c>
      <c r="H2266">
        <v>0</v>
      </c>
      <c r="I2266" t="s">
        <v>19</v>
      </c>
      <c r="J2266">
        <v>0</v>
      </c>
      <c r="K2266">
        <v>29</v>
      </c>
      <c r="L2266" t="s">
        <v>24</v>
      </c>
      <c r="M2266" t="s">
        <v>31</v>
      </c>
      <c r="N2266" t="s">
        <v>22</v>
      </c>
      <c r="O2266" t="s">
        <v>27</v>
      </c>
      <c r="P2266">
        <v>3.05</v>
      </c>
      <c r="Q2266" s="2" t="b">
        <f>FALSE()</f>
        <v>0</v>
      </c>
      <c r="R2266">
        <v>1</v>
      </c>
    </row>
    <row r="2267" spans="1:18" x14ac:dyDescent="0.25">
      <c r="A2267">
        <v>202266</v>
      </c>
      <c r="B2267">
        <v>54539</v>
      </c>
      <c r="C2267" t="s">
        <v>18</v>
      </c>
      <c r="D2267">
        <v>3328.58</v>
      </c>
      <c r="E2267">
        <v>2877</v>
      </c>
      <c r="F2267">
        <v>4</v>
      </c>
      <c r="G2267">
        <v>3</v>
      </c>
      <c r="H2267">
        <v>1</v>
      </c>
      <c r="I2267" t="s">
        <v>33</v>
      </c>
      <c r="J2267">
        <v>0</v>
      </c>
      <c r="K2267">
        <v>71</v>
      </c>
      <c r="L2267" t="s">
        <v>24</v>
      </c>
      <c r="M2267" t="s">
        <v>37</v>
      </c>
      <c r="N2267" t="s">
        <v>26</v>
      </c>
      <c r="O2267" t="s">
        <v>23</v>
      </c>
      <c r="P2267">
        <v>0.66</v>
      </c>
      <c r="Q2267" s="2" t="b">
        <f>FALSE()</f>
        <v>0</v>
      </c>
      <c r="R2267">
        <v>1</v>
      </c>
    </row>
    <row r="2268" spans="1:18" x14ac:dyDescent="0.25">
      <c r="A2268">
        <v>202267</v>
      </c>
      <c r="B2268">
        <v>51050</v>
      </c>
      <c r="C2268" t="s">
        <v>18</v>
      </c>
      <c r="D2268">
        <v>1582.53</v>
      </c>
      <c r="E2268">
        <v>2204</v>
      </c>
      <c r="F2268">
        <v>0</v>
      </c>
      <c r="G2268">
        <v>6</v>
      </c>
      <c r="H2268">
        <v>1</v>
      </c>
      <c r="I2268" t="s">
        <v>33</v>
      </c>
      <c r="J2268">
        <v>1</v>
      </c>
      <c r="K2268">
        <v>18</v>
      </c>
      <c r="L2268" t="s">
        <v>24</v>
      </c>
      <c r="M2268" t="s">
        <v>31</v>
      </c>
      <c r="N2268" t="s">
        <v>22</v>
      </c>
      <c r="O2268" t="s">
        <v>36</v>
      </c>
      <c r="P2268">
        <v>0.25</v>
      </c>
      <c r="Q2268" s="2" t="b">
        <f>FALSE()</f>
        <v>0</v>
      </c>
      <c r="R2268">
        <v>0</v>
      </c>
    </row>
    <row r="2269" spans="1:18" x14ac:dyDescent="0.25">
      <c r="A2269">
        <v>202268</v>
      </c>
      <c r="B2269">
        <v>51970</v>
      </c>
      <c r="C2269" t="s">
        <v>34</v>
      </c>
      <c r="D2269">
        <v>2602.37</v>
      </c>
      <c r="E2269">
        <v>2814</v>
      </c>
      <c r="F2269">
        <v>0</v>
      </c>
      <c r="G2269">
        <v>2</v>
      </c>
      <c r="H2269">
        <v>0</v>
      </c>
      <c r="I2269" t="s">
        <v>33</v>
      </c>
      <c r="J2269">
        <v>1</v>
      </c>
      <c r="K2269">
        <v>25</v>
      </c>
      <c r="L2269" t="s">
        <v>20</v>
      </c>
      <c r="M2269" t="s">
        <v>29</v>
      </c>
      <c r="N2269" t="s">
        <v>26</v>
      </c>
      <c r="O2269" t="s">
        <v>27</v>
      </c>
      <c r="P2269">
        <v>3.63</v>
      </c>
      <c r="Q2269" s="2" t="b">
        <f>FALSE()</f>
        <v>0</v>
      </c>
      <c r="R2269">
        <v>0</v>
      </c>
    </row>
    <row r="2270" spans="1:18" x14ac:dyDescent="0.25">
      <c r="A2270">
        <v>202269</v>
      </c>
      <c r="B2270">
        <v>52966</v>
      </c>
      <c r="C2270" t="s">
        <v>18</v>
      </c>
      <c r="D2270">
        <v>2477.9</v>
      </c>
      <c r="E2270">
        <v>377</v>
      </c>
      <c r="F2270">
        <v>1</v>
      </c>
      <c r="G2270">
        <v>5</v>
      </c>
      <c r="H2270">
        <v>1</v>
      </c>
      <c r="I2270" t="s">
        <v>32</v>
      </c>
      <c r="J2270">
        <v>0</v>
      </c>
      <c r="K2270">
        <v>24</v>
      </c>
      <c r="L2270" t="s">
        <v>20</v>
      </c>
      <c r="M2270" t="s">
        <v>25</v>
      </c>
      <c r="N2270" t="s">
        <v>30</v>
      </c>
      <c r="O2270" t="s">
        <v>23</v>
      </c>
      <c r="P2270">
        <v>21.86</v>
      </c>
      <c r="Q2270" s="2" t="b">
        <f>FALSE()</f>
        <v>0</v>
      </c>
      <c r="R2270">
        <v>0</v>
      </c>
    </row>
    <row r="2271" spans="1:18" x14ac:dyDescent="0.25">
      <c r="A2271">
        <v>202270</v>
      </c>
      <c r="B2271">
        <v>54503</v>
      </c>
      <c r="C2271" t="s">
        <v>28</v>
      </c>
      <c r="D2271">
        <v>1340.21</v>
      </c>
      <c r="E2271">
        <v>2971</v>
      </c>
      <c r="F2271">
        <v>0</v>
      </c>
      <c r="G2271">
        <v>4</v>
      </c>
      <c r="H2271">
        <v>0</v>
      </c>
      <c r="I2271" t="s">
        <v>33</v>
      </c>
      <c r="J2271">
        <v>0</v>
      </c>
      <c r="K2271">
        <v>53</v>
      </c>
      <c r="L2271" t="s">
        <v>24</v>
      </c>
      <c r="M2271" t="s">
        <v>31</v>
      </c>
      <c r="N2271" t="s">
        <v>26</v>
      </c>
      <c r="O2271" t="s">
        <v>27</v>
      </c>
      <c r="P2271">
        <v>0.66</v>
      </c>
      <c r="Q2271" s="2" t="b">
        <f>FALSE()</f>
        <v>0</v>
      </c>
      <c r="R2271">
        <v>0</v>
      </c>
    </row>
    <row r="2272" spans="1:18" x14ac:dyDescent="0.25">
      <c r="A2272">
        <v>202271</v>
      </c>
      <c r="B2272">
        <v>52997</v>
      </c>
      <c r="C2272" t="s">
        <v>28</v>
      </c>
      <c r="D2272">
        <v>2452.5</v>
      </c>
      <c r="E2272">
        <v>1808</v>
      </c>
      <c r="F2272">
        <v>1</v>
      </c>
      <c r="G2272">
        <v>5</v>
      </c>
      <c r="H2272">
        <v>0</v>
      </c>
      <c r="I2272" t="s">
        <v>33</v>
      </c>
      <c r="J2272">
        <v>0</v>
      </c>
      <c r="K2272">
        <v>19</v>
      </c>
      <c r="L2272" t="s">
        <v>20</v>
      </c>
      <c r="M2272" t="s">
        <v>31</v>
      </c>
      <c r="N2272" t="s">
        <v>30</v>
      </c>
      <c r="O2272" t="s">
        <v>27</v>
      </c>
      <c r="P2272">
        <v>5.45</v>
      </c>
      <c r="Q2272" s="2" t="b">
        <f>FALSE()</f>
        <v>0</v>
      </c>
      <c r="R2272">
        <v>0</v>
      </c>
    </row>
    <row r="2273" spans="1:18" x14ac:dyDescent="0.25">
      <c r="A2273">
        <v>202272</v>
      </c>
      <c r="B2273">
        <v>53081</v>
      </c>
      <c r="C2273" t="s">
        <v>18</v>
      </c>
      <c r="D2273">
        <v>2220.96</v>
      </c>
      <c r="E2273">
        <v>967</v>
      </c>
      <c r="F2273">
        <v>0</v>
      </c>
      <c r="G2273">
        <v>4</v>
      </c>
      <c r="H2273">
        <v>0</v>
      </c>
      <c r="I2273" t="s">
        <v>33</v>
      </c>
      <c r="J2273">
        <v>1</v>
      </c>
      <c r="K2273">
        <v>47</v>
      </c>
      <c r="L2273" t="s">
        <v>24</v>
      </c>
      <c r="M2273" t="s">
        <v>21</v>
      </c>
      <c r="N2273" t="s">
        <v>22</v>
      </c>
      <c r="O2273" t="s">
        <v>23</v>
      </c>
      <c r="P2273">
        <v>1.92</v>
      </c>
      <c r="Q2273" s="2" t="b">
        <f>FALSE()</f>
        <v>0</v>
      </c>
      <c r="R2273">
        <v>0</v>
      </c>
    </row>
    <row r="2274" spans="1:18" x14ac:dyDescent="0.25">
      <c r="A2274">
        <v>202273</v>
      </c>
      <c r="B2274">
        <v>54652</v>
      </c>
      <c r="C2274" t="s">
        <v>34</v>
      </c>
      <c r="D2274">
        <v>1619.25</v>
      </c>
      <c r="E2274">
        <v>637</v>
      </c>
      <c r="F2274">
        <v>0</v>
      </c>
      <c r="G2274">
        <v>6</v>
      </c>
      <c r="H2274">
        <v>1</v>
      </c>
      <c r="I2274" t="s">
        <v>32</v>
      </c>
      <c r="J2274">
        <v>0</v>
      </c>
      <c r="K2274">
        <v>43</v>
      </c>
      <c r="L2274" t="s">
        <v>20</v>
      </c>
      <c r="M2274" t="s">
        <v>31</v>
      </c>
      <c r="N2274" t="s">
        <v>22</v>
      </c>
      <c r="O2274" t="s">
        <v>36</v>
      </c>
      <c r="P2274">
        <v>2.2000000000000002</v>
      </c>
      <c r="Q2274" s="2" t="b">
        <f>FALSE()</f>
        <v>0</v>
      </c>
      <c r="R2274">
        <v>0</v>
      </c>
    </row>
    <row r="2275" spans="1:18" x14ac:dyDescent="0.25">
      <c r="A2275">
        <v>202274</v>
      </c>
      <c r="B2275">
        <v>54398</v>
      </c>
      <c r="C2275" t="s">
        <v>28</v>
      </c>
      <c r="D2275">
        <v>3546.16</v>
      </c>
      <c r="E2275">
        <v>503</v>
      </c>
      <c r="F2275">
        <v>0</v>
      </c>
      <c r="G2275">
        <v>4</v>
      </c>
      <c r="H2275">
        <v>0</v>
      </c>
      <c r="I2275" t="s">
        <v>33</v>
      </c>
      <c r="J2275">
        <v>0</v>
      </c>
      <c r="K2275">
        <v>37</v>
      </c>
      <c r="L2275" t="s">
        <v>24</v>
      </c>
      <c r="M2275" t="s">
        <v>25</v>
      </c>
      <c r="N2275" t="s">
        <v>22</v>
      </c>
      <c r="O2275" t="s">
        <v>36</v>
      </c>
      <c r="P2275">
        <v>4.67</v>
      </c>
      <c r="Q2275" s="2" t="b">
        <f>FALSE()</f>
        <v>0</v>
      </c>
      <c r="R2275">
        <v>0</v>
      </c>
    </row>
    <row r="2276" spans="1:18" x14ac:dyDescent="0.25">
      <c r="A2276">
        <v>202275</v>
      </c>
      <c r="B2276">
        <v>55298</v>
      </c>
      <c r="C2276" t="s">
        <v>18</v>
      </c>
      <c r="D2276">
        <v>4540.2</v>
      </c>
      <c r="E2276">
        <v>551</v>
      </c>
      <c r="F2276">
        <v>1</v>
      </c>
      <c r="G2276">
        <v>4</v>
      </c>
      <c r="H2276">
        <v>0</v>
      </c>
      <c r="I2276" t="s">
        <v>32</v>
      </c>
      <c r="J2276">
        <v>0</v>
      </c>
      <c r="K2276">
        <v>60</v>
      </c>
      <c r="L2276" t="s">
        <v>24</v>
      </c>
      <c r="M2276" t="s">
        <v>21</v>
      </c>
      <c r="N2276" t="s">
        <v>22</v>
      </c>
      <c r="O2276" t="s">
        <v>36</v>
      </c>
      <c r="P2276">
        <v>5.73</v>
      </c>
      <c r="Q2276" s="2" t="b">
        <f>FALSE()</f>
        <v>0</v>
      </c>
      <c r="R2276">
        <v>1</v>
      </c>
    </row>
    <row r="2277" spans="1:18" x14ac:dyDescent="0.25">
      <c r="A2277">
        <v>202276</v>
      </c>
      <c r="B2277">
        <v>51770</v>
      </c>
      <c r="C2277" t="s">
        <v>18</v>
      </c>
      <c r="D2277">
        <v>5492.77</v>
      </c>
      <c r="E2277">
        <v>2845</v>
      </c>
      <c r="F2277">
        <v>1</v>
      </c>
      <c r="G2277">
        <v>8</v>
      </c>
      <c r="H2277">
        <v>1</v>
      </c>
      <c r="I2277" t="s">
        <v>33</v>
      </c>
      <c r="J2277">
        <v>0</v>
      </c>
      <c r="K2277">
        <v>53</v>
      </c>
      <c r="L2277" t="s">
        <v>24</v>
      </c>
      <c r="M2277" t="s">
        <v>29</v>
      </c>
      <c r="N2277" t="s">
        <v>30</v>
      </c>
      <c r="O2277" t="s">
        <v>23</v>
      </c>
      <c r="P2277">
        <v>5.13</v>
      </c>
      <c r="Q2277" s="2" t="b">
        <f>FALSE()</f>
        <v>0</v>
      </c>
      <c r="R2277">
        <v>1</v>
      </c>
    </row>
    <row r="2278" spans="1:18" x14ac:dyDescent="0.25">
      <c r="A2278">
        <v>202277</v>
      </c>
      <c r="B2278">
        <v>50600</v>
      </c>
      <c r="C2278" t="s">
        <v>18</v>
      </c>
      <c r="D2278">
        <v>3169.56</v>
      </c>
      <c r="E2278">
        <v>1750</v>
      </c>
      <c r="F2278">
        <v>1</v>
      </c>
      <c r="G2278">
        <v>3</v>
      </c>
      <c r="H2278">
        <v>0</v>
      </c>
      <c r="I2278" t="s">
        <v>19</v>
      </c>
      <c r="J2278">
        <v>0</v>
      </c>
      <c r="K2278">
        <v>81</v>
      </c>
      <c r="L2278" t="s">
        <v>20</v>
      </c>
      <c r="M2278" t="s">
        <v>31</v>
      </c>
      <c r="N2278" t="s">
        <v>30</v>
      </c>
      <c r="O2278" t="s">
        <v>27</v>
      </c>
      <c r="P2278">
        <v>1.19</v>
      </c>
      <c r="Q2278" s="2" t="b">
        <f>FALSE()</f>
        <v>0</v>
      </c>
      <c r="R2278">
        <v>0</v>
      </c>
    </row>
    <row r="2279" spans="1:18" x14ac:dyDescent="0.25">
      <c r="A2279">
        <v>202278</v>
      </c>
      <c r="B2279">
        <v>55410</v>
      </c>
      <c r="C2279" t="s">
        <v>18</v>
      </c>
      <c r="D2279">
        <v>1771.55</v>
      </c>
      <c r="E2279">
        <v>1916</v>
      </c>
      <c r="F2279">
        <v>1</v>
      </c>
      <c r="G2279">
        <v>2</v>
      </c>
      <c r="H2279">
        <v>1</v>
      </c>
      <c r="I2279" t="s">
        <v>33</v>
      </c>
      <c r="J2279">
        <v>0</v>
      </c>
      <c r="K2279">
        <v>49</v>
      </c>
      <c r="L2279" t="s">
        <v>24</v>
      </c>
      <c r="M2279" t="s">
        <v>31</v>
      </c>
      <c r="N2279" t="s">
        <v>26</v>
      </c>
      <c r="O2279" t="s">
        <v>36</v>
      </c>
      <c r="P2279">
        <v>1.6</v>
      </c>
      <c r="Q2279" s="2" t="b">
        <f>FALSE()</f>
        <v>0</v>
      </c>
      <c r="R2279">
        <v>0</v>
      </c>
    </row>
    <row r="2280" spans="1:18" x14ac:dyDescent="0.25">
      <c r="A2280">
        <v>202279</v>
      </c>
      <c r="B2280">
        <v>51521</v>
      </c>
      <c r="C2280" t="s">
        <v>28</v>
      </c>
      <c r="D2280">
        <v>5235.68</v>
      </c>
      <c r="E2280">
        <v>1728</v>
      </c>
      <c r="F2280">
        <v>0</v>
      </c>
      <c r="G2280">
        <v>2</v>
      </c>
      <c r="H2280">
        <v>0</v>
      </c>
      <c r="I2280" t="s">
        <v>33</v>
      </c>
      <c r="J2280">
        <v>1</v>
      </c>
      <c r="K2280">
        <v>51</v>
      </c>
      <c r="L2280" t="s">
        <v>24</v>
      </c>
      <c r="M2280" t="s">
        <v>29</v>
      </c>
      <c r="N2280" t="s">
        <v>22</v>
      </c>
      <c r="O2280" t="s">
        <v>36</v>
      </c>
      <c r="P2280">
        <v>2.78</v>
      </c>
      <c r="Q2280" s="2" t="b">
        <f>FALSE()</f>
        <v>0</v>
      </c>
      <c r="R2280">
        <v>1</v>
      </c>
    </row>
    <row r="2281" spans="1:18" x14ac:dyDescent="0.25">
      <c r="A2281">
        <v>202280</v>
      </c>
      <c r="B2281">
        <v>50586</v>
      </c>
      <c r="C2281" t="s">
        <v>18</v>
      </c>
      <c r="D2281">
        <v>8768.89</v>
      </c>
      <c r="E2281">
        <v>595</v>
      </c>
      <c r="F2281">
        <v>0</v>
      </c>
      <c r="G2281">
        <v>3</v>
      </c>
      <c r="H2281">
        <v>0</v>
      </c>
      <c r="I2281" t="s">
        <v>33</v>
      </c>
      <c r="J2281">
        <v>0</v>
      </c>
      <c r="K2281">
        <v>83</v>
      </c>
      <c r="L2281" t="s">
        <v>24</v>
      </c>
      <c r="M2281" t="s">
        <v>21</v>
      </c>
      <c r="N2281" t="s">
        <v>22</v>
      </c>
      <c r="O2281" t="s">
        <v>36</v>
      </c>
      <c r="P2281">
        <v>3.77</v>
      </c>
      <c r="Q2281" s="2" t="b">
        <f>TRUE()</f>
        <v>1</v>
      </c>
      <c r="R2281">
        <v>1</v>
      </c>
    </row>
    <row r="2282" spans="1:18" x14ac:dyDescent="0.25">
      <c r="A2282">
        <v>202281</v>
      </c>
      <c r="B2282">
        <v>50075</v>
      </c>
      <c r="C2282" t="s">
        <v>18</v>
      </c>
      <c r="D2282">
        <v>561.77</v>
      </c>
      <c r="E2282">
        <v>2400</v>
      </c>
      <c r="F2282">
        <v>0</v>
      </c>
      <c r="G2282">
        <v>5</v>
      </c>
      <c r="H2282">
        <v>0</v>
      </c>
      <c r="I2282" t="s">
        <v>19</v>
      </c>
      <c r="J2282">
        <v>0</v>
      </c>
      <c r="K2282">
        <v>82</v>
      </c>
      <c r="L2282" t="s">
        <v>20</v>
      </c>
      <c r="M2282" t="s">
        <v>35</v>
      </c>
      <c r="N2282" t="s">
        <v>26</v>
      </c>
      <c r="O2282" t="s">
        <v>23</v>
      </c>
      <c r="P2282">
        <v>10.67</v>
      </c>
      <c r="Q2282" s="2" t="b">
        <f>FALSE()</f>
        <v>0</v>
      </c>
      <c r="R2282">
        <v>0</v>
      </c>
    </row>
    <row r="2283" spans="1:18" x14ac:dyDescent="0.25">
      <c r="A2283">
        <v>202282</v>
      </c>
      <c r="B2283">
        <v>53660</v>
      </c>
      <c r="C2283" t="s">
        <v>18</v>
      </c>
      <c r="D2283">
        <v>1729.9</v>
      </c>
      <c r="E2283">
        <v>2990</v>
      </c>
      <c r="F2283">
        <v>1</v>
      </c>
      <c r="G2283">
        <v>0</v>
      </c>
      <c r="H2283">
        <v>0</v>
      </c>
      <c r="I2283" t="s">
        <v>33</v>
      </c>
      <c r="J2283">
        <v>0</v>
      </c>
      <c r="K2283">
        <v>70</v>
      </c>
      <c r="L2283" t="s">
        <v>20</v>
      </c>
      <c r="M2283" t="s">
        <v>25</v>
      </c>
      <c r="N2283" t="s">
        <v>22</v>
      </c>
      <c r="O2283" t="s">
        <v>36</v>
      </c>
      <c r="P2283">
        <v>2.4500000000000002</v>
      </c>
      <c r="Q2283" s="2" t="b">
        <f>FALSE()</f>
        <v>0</v>
      </c>
      <c r="R2283">
        <v>0</v>
      </c>
    </row>
    <row r="2284" spans="1:18" x14ac:dyDescent="0.25">
      <c r="A2284">
        <v>202283</v>
      </c>
      <c r="B2284">
        <v>50071</v>
      </c>
      <c r="C2284" t="s">
        <v>18</v>
      </c>
      <c r="D2284">
        <v>3000.81</v>
      </c>
      <c r="E2284">
        <v>2345</v>
      </c>
      <c r="F2284">
        <v>1</v>
      </c>
      <c r="G2284">
        <v>5</v>
      </c>
      <c r="H2284">
        <v>1</v>
      </c>
      <c r="I2284" t="s">
        <v>33</v>
      </c>
      <c r="J2284">
        <v>0</v>
      </c>
      <c r="K2284">
        <v>35</v>
      </c>
      <c r="L2284" t="s">
        <v>20</v>
      </c>
      <c r="M2284" t="s">
        <v>31</v>
      </c>
      <c r="N2284" t="s">
        <v>22</v>
      </c>
      <c r="O2284" t="s">
        <v>23</v>
      </c>
      <c r="P2284">
        <v>8.39</v>
      </c>
      <c r="Q2284" s="2" t="b">
        <f>FALSE()</f>
        <v>0</v>
      </c>
      <c r="R2284">
        <v>0</v>
      </c>
    </row>
    <row r="2285" spans="1:18" x14ac:dyDescent="0.25">
      <c r="A2285">
        <v>202284</v>
      </c>
      <c r="B2285">
        <v>54493</v>
      </c>
      <c r="C2285" t="s">
        <v>28</v>
      </c>
      <c r="D2285">
        <v>1950.7</v>
      </c>
      <c r="E2285">
        <v>758</v>
      </c>
      <c r="F2285">
        <v>0</v>
      </c>
      <c r="G2285">
        <v>4</v>
      </c>
      <c r="H2285">
        <v>0</v>
      </c>
      <c r="I2285" t="s">
        <v>33</v>
      </c>
      <c r="J2285">
        <v>1</v>
      </c>
      <c r="K2285">
        <v>31</v>
      </c>
      <c r="L2285" t="s">
        <v>20</v>
      </c>
      <c r="M2285" t="s">
        <v>29</v>
      </c>
      <c r="N2285" t="s">
        <v>30</v>
      </c>
      <c r="O2285" t="s">
        <v>23</v>
      </c>
      <c r="P2285">
        <v>4.2</v>
      </c>
      <c r="Q2285" s="2" t="b">
        <f>FALSE()</f>
        <v>0</v>
      </c>
      <c r="R2285">
        <v>0</v>
      </c>
    </row>
    <row r="2286" spans="1:18" x14ac:dyDescent="0.25">
      <c r="A2286">
        <v>202285</v>
      </c>
      <c r="B2286">
        <v>55269</v>
      </c>
      <c r="C2286" t="s">
        <v>18</v>
      </c>
      <c r="D2286">
        <v>997.54</v>
      </c>
      <c r="E2286">
        <v>629</v>
      </c>
      <c r="F2286">
        <v>0</v>
      </c>
      <c r="G2286">
        <v>4</v>
      </c>
      <c r="H2286">
        <v>0</v>
      </c>
      <c r="I2286" t="s">
        <v>33</v>
      </c>
      <c r="J2286">
        <v>0</v>
      </c>
      <c r="K2286">
        <v>60</v>
      </c>
      <c r="L2286" t="s">
        <v>24</v>
      </c>
      <c r="M2286" t="s">
        <v>25</v>
      </c>
      <c r="N2286" t="s">
        <v>30</v>
      </c>
      <c r="O2286" t="s">
        <v>27</v>
      </c>
      <c r="P2286">
        <v>1.4</v>
      </c>
      <c r="Q2286" s="2" t="b">
        <f>FALSE()</f>
        <v>0</v>
      </c>
      <c r="R2286">
        <v>0</v>
      </c>
    </row>
    <row r="2287" spans="1:18" x14ac:dyDescent="0.25">
      <c r="A2287">
        <v>202286</v>
      </c>
      <c r="B2287">
        <v>53170</v>
      </c>
      <c r="C2287" t="s">
        <v>18</v>
      </c>
      <c r="D2287">
        <v>4687.62</v>
      </c>
      <c r="E2287">
        <v>1247</v>
      </c>
      <c r="F2287">
        <v>3</v>
      </c>
      <c r="G2287">
        <v>11</v>
      </c>
      <c r="H2287">
        <v>0</v>
      </c>
      <c r="I2287" t="s">
        <v>19</v>
      </c>
      <c r="J2287">
        <v>1</v>
      </c>
      <c r="K2287">
        <v>50</v>
      </c>
      <c r="L2287" t="s">
        <v>24</v>
      </c>
      <c r="M2287" t="s">
        <v>35</v>
      </c>
      <c r="N2287" t="s">
        <v>26</v>
      </c>
      <c r="O2287" t="s">
        <v>36</v>
      </c>
      <c r="P2287">
        <v>3.09</v>
      </c>
      <c r="Q2287" s="2" t="b">
        <f>FALSE()</f>
        <v>0</v>
      </c>
      <c r="R2287">
        <v>1</v>
      </c>
    </row>
    <row r="2288" spans="1:18" x14ac:dyDescent="0.25">
      <c r="A2288">
        <v>202287</v>
      </c>
      <c r="B2288">
        <v>50538</v>
      </c>
      <c r="C2288" t="s">
        <v>34</v>
      </c>
      <c r="D2288">
        <v>4748.49</v>
      </c>
      <c r="E2288">
        <v>379</v>
      </c>
      <c r="F2288">
        <v>1</v>
      </c>
      <c r="G2288">
        <v>7</v>
      </c>
      <c r="H2288">
        <v>0</v>
      </c>
      <c r="I2288" t="s">
        <v>19</v>
      </c>
      <c r="J2288">
        <v>0</v>
      </c>
      <c r="K2288">
        <v>61</v>
      </c>
      <c r="L2288" t="s">
        <v>20</v>
      </c>
      <c r="M2288" t="s">
        <v>25</v>
      </c>
      <c r="N2288" t="s">
        <v>26</v>
      </c>
      <c r="O2288" t="s">
        <v>27</v>
      </c>
      <c r="P2288">
        <v>0.48</v>
      </c>
      <c r="Q2288" s="2" t="b">
        <f>FALSE()</f>
        <v>0</v>
      </c>
      <c r="R2288">
        <v>1</v>
      </c>
    </row>
    <row r="2289" spans="1:18" x14ac:dyDescent="0.25">
      <c r="A2289">
        <v>202288</v>
      </c>
      <c r="B2289">
        <v>53143</v>
      </c>
      <c r="C2289" t="s">
        <v>34</v>
      </c>
      <c r="D2289">
        <v>1092.8599999999999</v>
      </c>
      <c r="E2289">
        <v>659</v>
      </c>
      <c r="F2289">
        <v>0</v>
      </c>
      <c r="G2289">
        <v>3</v>
      </c>
      <c r="H2289">
        <v>1</v>
      </c>
      <c r="I2289" t="s">
        <v>33</v>
      </c>
      <c r="J2289">
        <v>0</v>
      </c>
      <c r="K2289">
        <v>64</v>
      </c>
      <c r="L2289" t="s">
        <v>24</v>
      </c>
      <c r="M2289" t="s">
        <v>25</v>
      </c>
      <c r="N2289" t="s">
        <v>22</v>
      </c>
      <c r="O2289" t="s">
        <v>27</v>
      </c>
      <c r="P2289">
        <v>0.49</v>
      </c>
      <c r="Q2289" s="2" t="b">
        <f>FALSE()</f>
        <v>0</v>
      </c>
      <c r="R2289">
        <v>0</v>
      </c>
    </row>
    <row r="2290" spans="1:18" x14ac:dyDescent="0.25">
      <c r="A2290">
        <v>202289</v>
      </c>
      <c r="B2290">
        <v>50331</v>
      </c>
      <c r="C2290" t="s">
        <v>18</v>
      </c>
      <c r="D2290">
        <v>2456.41</v>
      </c>
      <c r="E2290">
        <v>166</v>
      </c>
      <c r="F2290">
        <v>1</v>
      </c>
      <c r="G2290">
        <v>4</v>
      </c>
      <c r="H2290">
        <v>0</v>
      </c>
      <c r="I2290" t="s">
        <v>32</v>
      </c>
      <c r="J2290">
        <v>0</v>
      </c>
      <c r="K2290">
        <v>77</v>
      </c>
      <c r="L2290" t="s">
        <v>24</v>
      </c>
      <c r="M2290" t="s">
        <v>21</v>
      </c>
      <c r="N2290" t="s">
        <v>26</v>
      </c>
      <c r="O2290" t="s">
        <v>36</v>
      </c>
      <c r="P2290">
        <v>1.96</v>
      </c>
      <c r="Q2290" s="2" t="b">
        <f>FALSE()</f>
        <v>0</v>
      </c>
      <c r="R2290">
        <v>0</v>
      </c>
    </row>
    <row r="2291" spans="1:18" x14ac:dyDescent="0.25">
      <c r="A2291">
        <v>202290</v>
      </c>
      <c r="B2291">
        <v>50281</v>
      </c>
      <c r="C2291" t="s">
        <v>18</v>
      </c>
      <c r="D2291">
        <v>3723.27</v>
      </c>
      <c r="E2291">
        <v>2996</v>
      </c>
      <c r="F2291">
        <v>1</v>
      </c>
      <c r="G2291">
        <v>7</v>
      </c>
      <c r="H2291">
        <v>0</v>
      </c>
      <c r="I2291" t="s">
        <v>33</v>
      </c>
      <c r="J2291">
        <v>0</v>
      </c>
      <c r="K2291">
        <v>71</v>
      </c>
      <c r="L2291" t="s">
        <v>24</v>
      </c>
      <c r="M2291" t="s">
        <v>37</v>
      </c>
      <c r="N2291" t="s">
        <v>22</v>
      </c>
      <c r="O2291" t="s">
        <v>36</v>
      </c>
      <c r="P2291">
        <v>3.43</v>
      </c>
      <c r="Q2291" s="2" t="b">
        <f>FALSE()</f>
        <v>0</v>
      </c>
      <c r="R2291">
        <v>1</v>
      </c>
    </row>
    <row r="2292" spans="1:18" x14ac:dyDescent="0.25">
      <c r="A2292">
        <v>202291</v>
      </c>
      <c r="B2292">
        <v>54247</v>
      </c>
      <c r="C2292" t="s">
        <v>18</v>
      </c>
      <c r="D2292">
        <v>6926.5</v>
      </c>
      <c r="E2292">
        <v>1777</v>
      </c>
      <c r="F2292">
        <v>2</v>
      </c>
      <c r="G2292">
        <v>4</v>
      </c>
      <c r="H2292">
        <v>0</v>
      </c>
      <c r="I2292" t="s">
        <v>33</v>
      </c>
      <c r="J2292">
        <v>1</v>
      </c>
      <c r="K2292">
        <v>44</v>
      </c>
      <c r="L2292" t="s">
        <v>24</v>
      </c>
      <c r="M2292" t="s">
        <v>21</v>
      </c>
      <c r="N2292" t="s">
        <v>22</v>
      </c>
      <c r="O2292" t="s">
        <v>27</v>
      </c>
      <c r="P2292">
        <v>0.13</v>
      </c>
      <c r="Q2292" s="2" t="b">
        <f>FALSE()</f>
        <v>0</v>
      </c>
      <c r="R2292">
        <v>1</v>
      </c>
    </row>
    <row r="2293" spans="1:18" x14ac:dyDescent="0.25">
      <c r="A2293">
        <v>202292</v>
      </c>
      <c r="B2293">
        <v>54591</v>
      </c>
      <c r="C2293" t="s">
        <v>34</v>
      </c>
      <c r="D2293">
        <v>3250.73</v>
      </c>
      <c r="E2293">
        <v>1991</v>
      </c>
      <c r="F2293">
        <v>1</v>
      </c>
      <c r="G2293">
        <v>7</v>
      </c>
      <c r="H2293">
        <v>1</v>
      </c>
      <c r="I2293" t="s">
        <v>19</v>
      </c>
      <c r="J2293">
        <v>0</v>
      </c>
      <c r="K2293">
        <v>83</v>
      </c>
      <c r="L2293" t="s">
        <v>20</v>
      </c>
      <c r="M2293" t="s">
        <v>25</v>
      </c>
      <c r="N2293" t="s">
        <v>22</v>
      </c>
      <c r="O2293" t="s">
        <v>36</v>
      </c>
      <c r="P2293">
        <v>1.56</v>
      </c>
      <c r="Q2293" s="2" t="b">
        <f>FALSE()</f>
        <v>0</v>
      </c>
      <c r="R2293">
        <v>1</v>
      </c>
    </row>
    <row r="2294" spans="1:18" x14ac:dyDescent="0.25">
      <c r="A2294">
        <v>202293</v>
      </c>
      <c r="B2294">
        <v>55395</v>
      </c>
      <c r="C2294" t="s">
        <v>18</v>
      </c>
      <c r="D2294">
        <v>5162.38</v>
      </c>
      <c r="E2294">
        <v>154</v>
      </c>
      <c r="F2294">
        <v>5</v>
      </c>
      <c r="G2294">
        <v>4</v>
      </c>
      <c r="H2294">
        <v>0</v>
      </c>
      <c r="I2294" t="s">
        <v>33</v>
      </c>
      <c r="J2294">
        <v>1</v>
      </c>
      <c r="K2294">
        <v>51</v>
      </c>
      <c r="L2294" t="s">
        <v>20</v>
      </c>
      <c r="M2294" t="s">
        <v>37</v>
      </c>
      <c r="N2294" t="s">
        <v>22</v>
      </c>
      <c r="O2294" t="s">
        <v>36</v>
      </c>
      <c r="P2294">
        <v>3.6</v>
      </c>
      <c r="Q2294" s="2" t="b">
        <f>FALSE()</f>
        <v>0</v>
      </c>
      <c r="R2294">
        <v>1</v>
      </c>
    </row>
    <row r="2295" spans="1:18" x14ac:dyDescent="0.25">
      <c r="A2295">
        <v>202294</v>
      </c>
      <c r="B2295">
        <v>52952</v>
      </c>
      <c r="C2295" t="s">
        <v>18</v>
      </c>
      <c r="D2295">
        <v>1909.74</v>
      </c>
      <c r="E2295">
        <v>3103</v>
      </c>
      <c r="F2295">
        <v>1</v>
      </c>
      <c r="G2295">
        <v>6</v>
      </c>
      <c r="H2295">
        <v>0</v>
      </c>
      <c r="I2295" t="s">
        <v>19</v>
      </c>
      <c r="J2295">
        <v>0</v>
      </c>
      <c r="K2295">
        <v>78</v>
      </c>
      <c r="L2295" t="s">
        <v>20</v>
      </c>
      <c r="M2295" t="s">
        <v>29</v>
      </c>
      <c r="N2295" t="s">
        <v>26</v>
      </c>
      <c r="O2295" t="s">
        <v>36</v>
      </c>
      <c r="P2295">
        <v>1.18</v>
      </c>
      <c r="Q2295" s="2" t="b">
        <f>FALSE()</f>
        <v>0</v>
      </c>
      <c r="R2295">
        <v>0</v>
      </c>
    </row>
    <row r="2296" spans="1:18" x14ac:dyDescent="0.25">
      <c r="A2296">
        <v>202295</v>
      </c>
      <c r="B2296">
        <v>54570</v>
      </c>
      <c r="C2296" t="s">
        <v>34</v>
      </c>
      <c r="D2296">
        <v>3545.2</v>
      </c>
      <c r="E2296">
        <v>2818</v>
      </c>
      <c r="F2296">
        <v>1</v>
      </c>
      <c r="G2296">
        <v>3</v>
      </c>
      <c r="H2296">
        <v>1</v>
      </c>
      <c r="I2296" t="s">
        <v>19</v>
      </c>
      <c r="J2296">
        <v>0</v>
      </c>
      <c r="K2296">
        <v>49</v>
      </c>
      <c r="L2296" t="s">
        <v>24</v>
      </c>
      <c r="M2296" t="s">
        <v>21</v>
      </c>
      <c r="N2296" t="s">
        <v>22</v>
      </c>
      <c r="O2296" t="s">
        <v>23</v>
      </c>
      <c r="P2296">
        <v>1.85</v>
      </c>
      <c r="Q2296" s="2" t="b">
        <f>FALSE()</f>
        <v>0</v>
      </c>
      <c r="R2296">
        <v>0</v>
      </c>
    </row>
    <row r="2297" spans="1:18" x14ac:dyDescent="0.25">
      <c r="A2297">
        <v>202296</v>
      </c>
      <c r="B2297">
        <v>52606</v>
      </c>
      <c r="C2297" t="s">
        <v>18</v>
      </c>
      <c r="D2297">
        <v>4092.27</v>
      </c>
      <c r="E2297">
        <v>1224</v>
      </c>
      <c r="F2297">
        <v>1</v>
      </c>
      <c r="G2297">
        <v>2</v>
      </c>
      <c r="H2297">
        <v>0</v>
      </c>
      <c r="I2297" t="s">
        <v>19</v>
      </c>
      <c r="J2297">
        <v>0</v>
      </c>
      <c r="K2297">
        <v>61</v>
      </c>
      <c r="L2297" t="s">
        <v>24</v>
      </c>
      <c r="M2297" t="s">
        <v>35</v>
      </c>
      <c r="N2297" t="s">
        <v>30</v>
      </c>
      <c r="O2297" t="s">
        <v>36</v>
      </c>
      <c r="P2297">
        <v>3.12</v>
      </c>
      <c r="Q2297" s="2" t="b">
        <f>FALSE()</f>
        <v>0</v>
      </c>
      <c r="R2297">
        <v>1</v>
      </c>
    </row>
    <row r="2298" spans="1:18" x14ac:dyDescent="0.25">
      <c r="A2298">
        <v>202297</v>
      </c>
      <c r="B2298">
        <v>50802</v>
      </c>
      <c r="C2298" t="s">
        <v>34</v>
      </c>
      <c r="D2298">
        <v>1135.02</v>
      </c>
      <c r="E2298">
        <v>1412</v>
      </c>
      <c r="F2298">
        <v>0</v>
      </c>
      <c r="G2298">
        <v>4</v>
      </c>
      <c r="H2298">
        <v>1</v>
      </c>
      <c r="I2298" t="s">
        <v>33</v>
      </c>
      <c r="J2298">
        <v>0</v>
      </c>
      <c r="K2298">
        <v>45</v>
      </c>
      <c r="L2298" t="s">
        <v>20</v>
      </c>
      <c r="M2298" t="s">
        <v>25</v>
      </c>
      <c r="N2298" t="s">
        <v>30</v>
      </c>
      <c r="O2298" t="s">
        <v>36</v>
      </c>
      <c r="P2298">
        <v>0.27</v>
      </c>
      <c r="Q2298" s="2" t="b">
        <f>FALSE()</f>
        <v>0</v>
      </c>
      <c r="R2298">
        <v>0</v>
      </c>
    </row>
    <row r="2299" spans="1:18" x14ac:dyDescent="0.25">
      <c r="A2299">
        <v>202298</v>
      </c>
      <c r="B2299">
        <v>53431</v>
      </c>
      <c r="C2299" t="s">
        <v>28</v>
      </c>
      <c r="D2299">
        <v>3750.2</v>
      </c>
      <c r="E2299">
        <v>3599</v>
      </c>
      <c r="F2299">
        <v>0</v>
      </c>
      <c r="G2299">
        <v>5</v>
      </c>
      <c r="H2299">
        <v>1</v>
      </c>
      <c r="I2299" t="s">
        <v>32</v>
      </c>
      <c r="J2299">
        <v>0</v>
      </c>
      <c r="K2299">
        <v>79</v>
      </c>
      <c r="L2299" t="s">
        <v>24</v>
      </c>
      <c r="M2299" t="s">
        <v>29</v>
      </c>
      <c r="N2299" t="s">
        <v>30</v>
      </c>
      <c r="O2299" t="s">
        <v>27</v>
      </c>
      <c r="P2299">
        <v>0.63</v>
      </c>
      <c r="Q2299" s="2" t="b">
        <f>FALSE()</f>
        <v>0</v>
      </c>
      <c r="R2299">
        <v>1</v>
      </c>
    </row>
    <row r="2300" spans="1:18" x14ac:dyDescent="0.25">
      <c r="A2300">
        <v>202299</v>
      </c>
      <c r="B2300">
        <v>53256</v>
      </c>
      <c r="C2300" t="s">
        <v>18</v>
      </c>
      <c r="D2300">
        <v>735.02</v>
      </c>
      <c r="E2300">
        <v>596</v>
      </c>
      <c r="F2300">
        <v>3</v>
      </c>
      <c r="G2300">
        <v>7</v>
      </c>
      <c r="H2300">
        <v>0</v>
      </c>
      <c r="I2300" t="s">
        <v>33</v>
      </c>
      <c r="J2300">
        <v>0</v>
      </c>
      <c r="K2300">
        <v>42</v>
      </c>
      <c r="L2300" t="s">
        <v>24</v>
      </c>
      <c r="M2300" t="s">
        <v>35</v>
      </c>
      <c r="N2300" t="s">
        <v>22</v>
      </c>
      <c r="O2300" t="s">
        <v>23</v>
      </c>
      <c r="P2300">
        <v>1</v>
      </c>
      <c r="Q2300" s="2" t="b">
        <f>FALSE()</f>
        <v>0</v>
      </c>
      <c r="R2300">
        <v>1</v>
      </c>
    </row>
    <row r="2301" spans="1:18" x14ac:dyDescent="0.25">
      <c r="A2301">
        <v>202300</v>
      </c>
      <c r="B2301">
        <v>54965</v>
      </c>
      <c r="C2301" t="s">
        <v>18</v>
      </c>
      <c r="D2301">
        <v>3886.1</v>
      </c>
      <c r="E2301">
        <v>880</v>
      </c>
      <c r="F2301">
        <v>0</v>
      </c>
      <c r="G2301">
        <v>1</v>
      </c>
      <c r="H2301">
        <v>1</v>
      </c>
      <c r="I2301" t="s">
        <v>33</v>
      </c>
      <c r="J2301">
        <v>0</v>
      </c>
      <c r="K2301">
        <v>54</v>
      </c>
      <c r="L2301" t="s">
        <v>24</v>
      </c>
      <c r="M2301" t="s">
        <v>25</v>
      </c>
      <c r="N2301" t="s">
        <v>30</v>
      </c>
      <c r="O2301" t="s">
        <v>23</v>
      </c>
      <c r="P2301">
        <v>15.68</v>
      </c>
      <c r="Q2301" s="2" t="b">
        <f>FALSE()</f>
        <v>0</v>
      </c>
      <c r="R2301">
        <v>1</v>
      </c>
    </row>
    <row r="2302" spans="1:18" x14ac:dyDescent="0.25">
      <c r="A2302">
        <v>202301</v>
      </c>
      <c r="B2302">
        <v>50891</v>
      </c>
      <c r="C2302" t="s">
        <v>18</v>
      </c>
      <c r="D2302">
        <v>1352.28</v>
      </c>
      <c r="E2302">
        <v>3392</v>
      </c>
      <c r="F2302">
        <v>1</v>
      </c>
      <c r="G2302">
        <v>5</v>
      </c>
      <c r="H2302">
        <v>1</v>
      </c>
      <c r="I2302" t="s">
        <v>19</v>
      </c>
      <c r="J2302">
        <v>0</v>
      </c>
      <c r="K2302">
        <v>26</v>
      </c>
      <c r="L2302" t="s">
        <v>20</v>
      </c>
      <c r="M2302" t="s">
        <v>37</v>
      </c>
      <c r="N2302" t="s">
        <v>30</v>
      </c>
      <c r="O2302" t="s">
        <v>27</v>
      </c>
      <c r="P2302">
        <v>0.21</v>
      </c>
      <c r="Q2302" s="2" t="b">
        <f>FALSE()</f>
        <v>0</v>
      </c>
      <c r="R2302">
        <v>0</v>
      </c>
    </row>
    <row r="2303" spans="1:18" x14ac:dyDescent="0.25">
      <c r="A2303">
        <v>202302</v>
      </c>
      <c r="B2303">
        <v>55622</v>
      </c>
      <c r="C2303" t="s">
        <v>34</v>
      </c>
      <c r="D2303">
        <v>1468.25</v>
      </c>
      <c r="E2303">
        <v>2273</v>
      </c>
      <c r="F2303">
        <v>0</v>
      </c>
      <c r="G2303">
        <v>2</v>
      </c>
      <c r="H2303">
        <v>1</v>
      </c>
      <c r="I2303" t="s">
        <v>32</v>
      </c>
      <c r="J2303">
        <v>0</v>
      </c>
      <c r="K2303">
        <v>46</v>
      </c>
      <c r="L2303" t="s">
        <v>20</v>
      </c>
      <c r="M2303" t="s">
        <v>37</v>
      </c>
      <c r="N2303" t="s">
        <v>22</v>
      </c>
      <c r="O2303" t="s">
        <v>36</v>
      </c>
      <c r="P2303">
        <v>3.24</v>
      </c>
      <c r="Q2303" s="2" t="b">
        <f>FALSE()</f>
        <v>0</v>
      </c>
      <c r="R2303">
        <v>0</v>
      </c>
    </row>
    <row r="2304" spans="1:18" x14ac:dyDescent="0.25">
      <c r="A2304">
        <v>202303</v>
      </c>
      <c r="B2304">
        <v>54217</v>
      </c>
      <c r="C2304" t="s">
        <v>34</v>
      </c>
      <c r="D2304">
        <v>5579.67</v>
      </c>
      <c r="E2304">
        <v>49</v>
      </c>
      <c r="F2304">
        <v>1</v>
      </c>
      <c r="G2304">
        <v>1</v>
      </c>
      <c r="H2304">
        <v>0</v>
      </c>
      <c r="I2304" t="s">
        <v>19</v>
      </c>
      <c r="J2304">
        <v>0</v>
      </c>
      <c r="K2304">
        <v>45</v>
      </c>
      <c r="L2304" t="s">
        <v>24</v>
      </c>
      <c r="M2304" t="s">
        <v>25</v>
      </c>
      <c r="N2304" t="s">
        <v>30</v>
      </c>
      <c r="O2304" t="s">
        <v>23</v>
      </c>
      <c r="P2304">
        <v>7.6</v>
      </c>
      <c r="Q2304" s="2" t="b">
        <f>FALSE()</f>
        <v>0</v>
      </c>
      <c r="R2304">
        <v>1</v>
      </c>
    </row>
    <row r="2305" spans="1:18" x14ac:dyDescent="0.25">
      <c r="A2305">
        <v>202304</v>
      </c>
      <c r="B2305">
        <v>53397</v>
      </c>
      <c r="C2305" t="s">
        <v>34</v>
      </c>
      <c r="D2305">
        <v>3373.15</v>
      </c>
      <c r="E2305">
        <v>1435</v>
      </c>
      <c r="F2305">
        <v>1</v>
      </c>
      <c r="G2305">
        <v>2</v>
      </c>
      <c r="H2305">
        <v>0</v>
      </c>
      <c r="I2305" t="s">
        <v>19</v>
      </c>
      <c r="J2305">
        <v>0</v>
      </c>
      <c r="K2305">
        <v>82</v>
      </c>
      <c r="L2305" t="s">
        <v>20</v>
      </c>
      <c r="M2305" t="s">
        <v>35</v>
      </c>
      <c r="N2305" t="s">
        <v>22</v>
      </c>
      <c r="O2305" t="s">
        <v>36</v>
      </c>
      <c r="P2305">
        <v>1.1599999999999999</v>
      </c>
      <c r="Q2305" s="2" t="b">
        <f>FALSE()</f>
        <v>0</v>
      </c>
      <c r="R2305">
        <v>0</v>
      </c>
    </row>
    <row r="2306" spans="1:18" x14ac:dyDescent="0.25">
      <c r="A2306">
        <v>202305</v>
      </c>
      <c r="B2306">
        <v>52990</v>
      </c>
      <c r="C2306" t="s">
        <v>18</v>
      </c>
      <c r="D2306">
        <v>6390.04</v>
      </c>
      <c r="E2306">
        <v>3555</v>
      </c>
      <c r="F2306">
        <v>3</v>
      </c>
      <c r="G2306">
        <v>5</v>
      </c>
      <c r="H2306">
        <v>1</v>
      </c>
      <c r="I2306" t="s">
        <v>19</v>
      </c>
      <c r="J2306">
        <v>0</v>
      </c>
      <c r="K2306">
        <v>40</v>
      </c>
      <c r="L2306" t="s">
        <v>24</v>
      </c>
      <c r="M2306" t="s">
        <v>21</v>
      </c>
      <c r="N2306" t="s">
        <v>22</v>
      </c>
      <c r="O2306" t="s">
        <v>36</v>
      </c>
      <c r="P2306">
        <v>2</v>
      </c>
      <c r="Q2306" s="2" t="b">
        <f>FALSE()</f>
        <v>0</v>
      </c>
      <c r="R2306">
        <v>1</v>
      </c>
    </row>
    <row r="2307" spans="1:18" x14ac:dyDescent="0.25">
      <c r="A2307">
        <v>202306</v>
      </c>
      <c r="B2307">
        <v>53754</v>
      </c>
      <c r="C2307" t="s">
        <v>18</v>
      </c>
      <c r="D2307">
        <v>3026.29</v>
      </c>
      <c r="E2307">
        <v>937</v>
      </c>
      <c r="F2307">
        <v>0</v>
      </c>
      <c r="G2307">
        <v>0</v>
      </c>
      <c r="H2307">
        <v>0</v>
      </c>
      <c r="I2307" t="s">
        <v>32</v>
      </c>
      <c r="J2307">
        <v>0</v>
      </c>
      <c r="K2307">
        <v>28</v>
      </c>
      <c r="L2307" t="s">
        <v>24</v>
      </c>
      <c r="M2307" t="s">
        <v>29</v>
      </c>
      <c r="N2307" t="s">
        <v>22</v>
      </c>
      <c r="O2307" t="s">
        <v>23</v>
      </c>
      <c r="P2307">
        <v>5.41</v>
      </c>
      <c r="Q2307" s="2" t="b">
        <f>FALSE()</f>
        <v>0</v>
      </c>
      <c r="R2307">
        <v>0</v>
      </c>
    </row>
    <row r="2308" spans="1:18" x14ac:dyDescent="0.25">
      <c r="A2308">
        <v>202307</v>
      </c>
      <c r="B2308">
        <v>52140</v>
      </c>
      <c r="C2308" t="s">
        <v>34</v>
      </c>
      <c r="D2308">
        <v>1086.3</v>
      </c>
      <c r="E2308">
        <v>672</v>
      </c>
      <c r="F2308">
        <v>0</v>
      </c>
      <c r="G2308">
        <v>5</v>
      </c>
      <c r="H2308">
        <v>1</v>
      </c>
      <c r="I2308" t="s">
        <v>33</v>
      </c>
      <c r="J2308">
        <v>0</v>
      </c>
      <c r="K2308">
        <v>25</v>
      </c>
      <c r="L2308" t="s">
        <v>20</v>
      </c>
      <c r="M2308" t="s">
        <v>37</v>
      </c>
      <c r="N2308" t="s">
        <v>22</v>
      </c>
      <c r="O2308" t="s">
        <v>27</v>
      </c>
      <c r="P2308">
        <v>11.17</v>
      </c>
      <c r="Q2308" s="2" t="b">
        <f>FALSE()</f>
        <v>0</v>
      </c>
      <c r="R2308">
        <v>0</v>
      </c>
    </row>
    <row r="2309" spans="1:18" x14ac:dyDescent="0.25">
      <c r="A2309">
        <v>202308</v>
      </c>
      <c r="B2309">
        <v>52581</v>
      </c>
      <c r="C2309" t="s">
        <v>34</v>
      </c>
      <c r="D2309">
        <v>1713.07</v>
      </c>
      <c r="E2309">
        <v>1295</v>
      </c>
      <c r="F2309">
        <v>2</v>
      </c>
      <c r="G2309">
        <v>7</v>
      </c>
      <c r="H2309">
        <v>0</v>
      </c>
      <c r="I2309" t="s">
        <v>33</v>
      </c>
      <c r="J2309">
        <v>0</v>
      </c>
      <c r="K2309">
        <v>44</v>
      </c>
      <c r="L2309" t="s">
        <v>24</v>
      </c>
      <c r="M2309" t="s">
        <v>31</v>
      </c>
      <c r="N2309" t="s">
        <v>22</v>
      </c>
      <c r="O2309" t="s">
        <v>36</v>
      </c>
      <c r="P2309">
        <v>2.85</v>
      </c>
      <c r="Q2309" s="2" t="b">
        <f>FALSE()</f>
        <v>0</v>
      </c>
      <c r="R2309">
        <v>1</v>
      </c>
    </row>
    <row r="2310" spans="1:18" x14ac:dyDescent="0.25">
      <c r="A2310">
        <v>202309</v>
      </c>
      <c r="B2310">
        <v>52970</v>
      </c>
      <c r="C2310" t="s">
        <v>34</v>
      </c>
      <c r="D2310">
        <v>1412.36</v>
      </c>
      <c r="E2310">
        <v>29</v>
      </c>
      <c r="F2310">
        <v>2</v>
      </c>
      <c r="G2310">
        <v>1</v>
      </c>
      <c r="H2310">
        <v>0</v>
      </c>
      <c r="I2310" t="s">
        <v>19</v>
      </c>
      <c r="J2310">
        <v>0</v>
      </c>
      <c r="K2310">
        <v>31</v>
      </c>
      <c r="L2310" t="s">
        <v>24</v>
      </c>
      <c r="M2310" t="s">
        <v>37</v>
      </c>
      <c r="N2310" t="s">
        <v>30</v>
      </c>
      <c r="O2310" t="s">
        <v>36</v>
      </c>
      <c r="P2310">
        <v>11.76</v>
      </c>
      <c r="Q2310" s="2" t="b">
        <f>FALSE()</f>
        <v>0</v>
      </c>
      <c r="R2310">
        <v>0</v>
      </c>
    </row>
    <row r="2311" spans="1:18" x14ac:dyDescent="0.25">
      <c r="A2311">
        <v>202310</v>
      </c>
      <c r="B2311">
        <v>50731</v>
      </c>
      <c r="C2311" t="s">
        <v>28</v>
      </c>
      <c r="D2311">
        <v>1897.31</v>
      </c>
      <c r="E2311">
        <v>1474</v>
      </c>
      <c r="F2311">
        <v>2</v>
      </c>
      <c r="G2311">
        <v>4</v>
      </c>
      <c r="H2311">
        <v>1</v>
      </c>
      <c r="I2311" t="s">
        <v>33</v>
      </c>
      <c r="J2311">
        <v>0</v>
      </c>
      <c r="K2311">
        <v>84</v>
      </c>
      <c r="L2311" t="s">
        <v>24</v>
      </c>
      <c r="M2311" t="s">
        <v>37</v>
      </c>
      <c r="N2311" t="s">
        <v>22</v>
      </c>
      <c r="O2311" t="s">
        <v>27</v>
      </c>
      <c r="P2311">
        <v>1.05</v>
      </c>
      <c r="Q2311" s="2" t="b">
        <f>FALSE()</f>
        <v>0</v>
      </c>
      <c r="R2311">
        <v>0</v>
      </c>
    </row>
    <row r="2312" spans="1:18" x14ac:dyDescent="0.25">
      <c r="A2312">
        <v>202311</v>
      </c>
      <c r="B2312">
        <v>52498</v>
      </c>
      <c r="C2312" t="s">
        <v>28</v>
      </c>
      <c r="D2312">
        <v>1280.8800000000001</v>
      </c>
      <c r="E2312">
        <v>2066</v>
      </c>
      <c r="F2312">
        <v>1</v>
      </c>
      <c r="G2312">
        <v>4</v>
      </c>
      <c r="H2312">
        <v>1</v>
      </c>
      <c r="I2312" t="s">
        <v>33</v>
      </c>
      <c r="J2312">
        <v>0</v>
      </c>
      <c r="K2312">
        <v>28</v>
      </c>
      <c r="L2312" t="s">
        <v>20</v>
      </c>
      <c r="M2312" t="s">
        <v>31</v>
      </c>
      <c r="N2312" t="s">
        <v>30</v>
      </c>
      <c r="O2312" t="s">
        <v>36</v>
      </c>
      <c r="P2312">
        <v>0.16</v>
      </c>
      <c r="Q2312" s="2" t="b">
        <f>FALSE()</f>
        <v>0</v>
      </c>
      <c r="R2312">
        <v>0</v>
      </c>
    </row>
    <row r="2313" spans="1:18" x14ac:dyDescent="0.25">
      <c r="A2313">
        <v>202312</v>
      </c>
      <c r="B2313">
        <v>55938</v>
      </c>
      <c r="C2313" t="s">
        <v>28</v>
      </c>
      <c r="D2313">
        <v>5298.67</v>
      </c>
      <c r="E2313">
        <v>2121</v>
      </c>
      <c r="F2313">
        <v>2</v>
      </c>
      <c r="G2313">
        <v>4</v>
      </c>
      <c r="H2313">
        <v>1</v>
      </c>
      <c r="I2313" t="s">
        <v>19</v>
      </c>
      <c r="J2313">
        <v>1</v>
      </c>
      <c r="K2313">
        <v>38</v>
      </c>
      <c r="L2313" t="s">
        <v>24</v>
      </c>
      <c r="M2313" t="s">
        <v>25</v>
      </c>
      <c r="N2313" t="s">
        <v>30</v>
      </c>
      <c r="O2313" t="s">
        <v>27</v>
      </c>
      <c r="P2313">
        <v>3.7</v>
      </c>
      <c r="Q2313" s="2" t="b">
        <f>FALSE()</f>
        <v>0</v>
      </c>
      <c r="R2313">
        <v>1</v>
      </c>
    </row>
    <row r="2314" spans="1:18" x14ac:dyDescent="0.25">
      <c r="A2314">
        <v>202313</v>
      </c>
      <c r="B2314">
        <v>53898</v>
      </c>
      <c r="C2314" t="s">
        <v>34</v>
      </c>
      <c r="D2314">
        <v>3542.17</v>
      </c>
      <c r="E2314">
        <v>188</v>
      </c>
      <c r="F2314">
        <v>0</v>
      </c>
      <c r="G2314">
        <v>4</v>
      </c>
      <c r="H2314">
        <v>0</v>
      </c>
      <c r="I2314" t="s">
        <v>33</v>
      </c>
      <c r="J2314">
        <v>0</v>
      </c>
      <c r="K2314">
        <v>71</v>
      </c>
      <c r="L2314" t="s">
        <v>24</v>
      </c>
      <c r="M2314" t="s">
        <v>37</v>
      </c>
      <c r="N2314" t="s">
        <v>26</v>
      </c>
      <c r="O2314" t="s">
        <v>27</v>
      </c>
      <c r="P2314">
        <v>4.22</v>
      </c>
      <c r="Q2314" s="2" t="b">
        <f>FALSE()</f>
        <v>0</v>
      </c>
      <c r="R2314">
        <v>0</v>
      </c>
    </row>
    <row r="2315" spans="1:18" x14ac:dyDescent="0.25">
      <c r="A2315">
        <v>202314</v>
      </c>
      <c r="B2315">
        <v>51317</v>
      </c>
      <c r="C2315" t="s">
        <v>18</v>
      </c>
      <c r="D2315">
        <v>1633.87</v>
      </c>
      <c r="E2315">
        <v>911</v>
      </c>
      <c r="F2315">
        <v>0</v>
      </c>
      <c r="G2315">
        <v>1</v>
      </c>
      <c r="H2315">
        <v>0</v>
      </c>
      <c r="I2315" t="s">
        <v>19</v>
      </c>
      <c r="J2315">
        <v>0</v>
      </c>
      <c r="K2315">
        <v>18</v>
      </c>
      <c r="L2315" t="s">
        <v>20</v>
      </c>
      <c r="M2315" t="s">
        <v>21</v>
      </c>
      <c r="N2315" t="s">
        <v>22</v>
      </c>
      <c r="O2315" t="s">
        <v>36</v>
      </c>
      <c r="P2315">
        <v>2.0499999999999998</v>
      </c>
      <c r="Q2315" s="2" t="b">
        <f>FALSE()</f>
        <v>0</v>
      </c>
      <c r="R2315">
        <v>0</v>
      </c>
    </row>
    <row r="2316" spans="1:18" x14ac:dyDescent="0.25">
      <c r="A2316">
        <v>202315</v>
      </c>
      <c r="B2316">
        <v>52103</v>
      </c>
      <c r="C2316" t="s">
        <v>18</v>
      </c>
      <c r="D2316">
        <v>1540.91</v>
      </c>
      <c r="E2316">
        <v>4</v>
      </c>
      <c r="F2316">
        <v>2</v>
      </c>
      <c r="G2316">
        <v>9</v>
      </c>
      <c r="H2316">
        <v>1</v>
      </c>
      <c r="I2316" t="s">
        <v>33</v>
      </c>
      <c r="J2316">
        <v>0</v>
      </c>
      <c r="K2316">
        <v>51</v>
      </c>
      <c r="L2316" t="s">
        <v>20</v>
      </c>
      <c r="M2316" t="s">
        <v>25</v>
      </c>
      <c r="N2316" t="s">
        <v>30</v>
      </c>
      <c r="O2316" t="s">
        <v>27</v>
      </c>
      <c r="P2316">
        <v>1.7</v>
      </c>
      <c r="Q2316" s="2" t="b">
        <f>FALSE()</f>
        <v>0</v>
      </c>
      <c r="R2316">
        <v>1</v>
      </c>
    </row>
    <row r="2317" spans="1:18" x14ac:dyDescent="0.25">
      <c r="A2317">
        <v>202316</v>
      </c>
      <c r="B2317">
        <v>51305</v>
      </c>
      <c r="C2317" t="s">
        <v>18</v>
      </c>
      <c r="D2317">
        <v>3060.75</v>
      </c>
      <c r="E2317">
        <v>2783</v>
      </c>
      <c r="F2317">
        <v>1</v>
      </c>
      <c r="G2317">
        <v>1</v>
      </c>
      <c r="H2317">
        <v>0</v>
      </c>
      <c r="I2317" t="s">
        <v>19</v>
      </c>
      <c r="J2317">
        <v>0</v>
      </c>
      <c r="K2317">
        <v>56</v>
      </c>
      <c r="L2317" t="s">
        <v>24</v>
      </c>
      <c r="M2317" t="s">
        <v>25</v>
      </c>
      <c r="N2317" t="s">
        <v>22</v>
      </c>
      <c r="O2317" t="s">
        <v>27</v>
      </c>
      <c r="P2317">
        <v>0.7</v>
      </c>
      <c r="Q2317" s="2" t="b">
        <f>FALSE()</f>
        <v>0</v>
      </c>
      <c r="R2317">
        <v>0</v>
      </c>
    </row>
    <row r="2318" spans="1:18" x14ac:dyDescent="0.25">
      <c r="A2318">
        <v>202317</v>
      </c>
      <c r="B2318">
        <v>50847</v>
      </c>
      <c r="C2318" t="s">
        <v>34</v>
      </c>
      <c r="D2318">
        <v>3866.42</v>
      </c>
      <c r="E2318">
        <v>2066</v>
      </c>
      <c r="F2318">
        <v>1</v>
      </c>
      <c r="G2318">
        <v>5</v>
      </c>
      <c r="H2318">
        <v>0</v>
      </c>
      <c r="I2318" t="s">
        <v>19</v>
      </c>
      <c r="J2318">
        <v>0</v>
      </c>
      <c r="K2318">
        <v>20</v>
      </c>
      <c r="L2318" t="s">
        <v>24</v>
      </c>
      <c r="M2318" t="s">
        <v>35</v>
      </c>
      <c r="N2318" t="s">
        <v>22</v>
      </c>
      <c r="O2318" t="s">
        <v>27</v>
      </c>
      <c r="P2318">
        <v>0.7</v>
      </c>
      <c r="Q2318" s="2" t="b">
        <f>FALSE()</f>
        <v>0</v>
      </c>
      <c r="R2318">
        <v>1</v>
      </c>
    </row>
    <row r="2319" spans="1:18" x14ac:dyDescent="0.25">
      <c r="A2319">
        <v>202318</v>
      </c>
      <c r="B2319">
        <v>52419</v>
      </c>
      <c r="C2319" t="s">
        <v>34</v>
      </c>
      <c r="D2319">
        <v>1312.96</v>
      </c>
      <c r="E2319">
        <v>1616</v>
      </c>
      <c r="F2319">
        <v>3</v>
      </c>
      <c r="G2319">
        <v>3</v>
      </c>
      <c r="H2319">
        <v>0</v>
      </c>
      <c r="I2319" t="s">
        <v>33</v>
      </c>
      <c r="J2319">
        <v>0</v>
      </c>
      <c r="K2319">
        <v>84</v>
      </c>
      <c r="L2319" t="s">
        <v>24</v>
      </c>
      <c r="M2319" t="s">
        <v>31</v>
      </c>
      <c r="N2319" t="s">
        <v>30</v>
      </c>
      <c r="O2319" t="s">
        <v>27</v>
      </c>
      <c r="P2319">
        <v>2.2400000000000002</v>
      </c>
      <c r="Q2319" s="2" t="b">
        <f>FALSE()</f>
        <v>0</v>
      </c>
      <c r="R2319">
        <v>1</v>
      </c>
    </row>
    <row r="2320" spans="1:18" x14ac:dyDescent="0.25">
      <c r="A2320">
        <v>202319</v>
      </c>
      <c r="B2320">
        <v>54919</v>
      </c>
      <c r="C2320" t="s">
        <v>34</v>
      </c>
      <c r="D2320">
        <v>2430.9899999999998</v>
      </c>
      <c r="E2320">
        <v>853</v>
      </c>
      <c r="F2320">
        <v>2</v>
      </c>
      <c r="G2320">
        <v>2</v>
      </c>
      <c r="H2320">
        <v>1</v>
      </c>
      <c r="I2320" t="s">
        <v>19</v>
      </c>
      <c r="J2320">
        <v>1</v>
      </c>
      <c r="K2320">
        <v>75</v>
      </c>
      <c r="L2320" t="s">
        <v>20</v>
      </c>
      <c r="M2320" t="s">
        <v>35</v>
      </c>
      <c r="N2320" t="s">
        <v>26</v>
      </c>
      <c r="O2320" t="s">
        <v>36</v>
      </c>
      <c r="P2320">
        <v>0.86</v>
      </c>
      <c r="Q2320" s="2" t="b">
        <f>FALSE()</f>
        <v>0</v>
      </c>
      <c r="R2320">
        <v>0</v>
      </c>
    </row>
    <row r="2321" spans="1:18" x14ac:dyDescent="0.25">
      <c r="A2321">
        <v>202320</v>
      </c>
      <c r="B2321">
        <v>51602</v>
      </c>
      <c r="C2321" t="s">
        <v>34</v>
      </c>
      <c r="D2321">
        <v>1331.07</v>
      </c>
      <c r="E2321">
        <v>2380</v>
      </c>
      <c r="F2321">
        <v>1</v>
      </c>
      <c r="G2321">
        <v>6</v>
      </c>
      <c r="H2321">
        <v>0</v>
      </c>
      <c r="I2321" t="s">
        <v>32</v>
      </c>
      <c r="J2321">
        <v>0</v>
      </c>
      <c r="K2321">
        <v>57</v>
      </c>
      <c r="L2321" t="s">
        <v>20</v>
      </c>
      <c r="M2321" t="s">
        <v>37</v>
      </c>
      <c r="N2321" t="s">
        <v>22</v>
      </c>
      <c r="O2321" t="s">
        <v>36</v>
      </c>
      <c r="P2321">
        <v>1.91</v>
      </c>
      <c r="Q2321" s="2" t="b">
        <f>FALSE()</f>
        <v>0</v>
      </c>
      <c r="R2321">
        <v>0</v>
      </c>
    </row>
    <row r="2322" spans="1:18" x14ac:dyDescent="0.25">
      <c r="A2322">
        <v>202321</v>
      </c>
      <c r="B2322">
        <v>51476</v>
      </c>
      <c r="C2322" t="s">
        <v>34</v>
      </c>
      <c r="D2322">
        <v>4352.17</v>
      </c>
      <c r="E2322">
        <v>1376</v>
      </c>
      <c r="F2322">
        <v>2</v>
      </c>
      <c r="G2322">
        <v>3</v>
      </c>
      <c r="H2322">
        <v>1</v>
      </c>
      <c r="I2322" t="s">
        <v>33</v>
      </c>
      <c r="J2322">
        <v>0</v>
      </c>
      <c r="K2322">
        <v>82</v>
      </c>
      <c r="L2322" t="s">
        <v>24</v>
      </c>
      <c r="M2322" t="s">
        <v>25</v>
      </c>
      <c r="N2322" t="s">
        <v>30</v>
      </c>
      <c r="O2322" t="s">
        <v>36</v>
      </c>
      <c r="P2322">
        <v>2.25</v>
      </c>
      <c r="Q2322" s="2" t="b">
        <f>FALSE()</f>
        <v>0</v>
      </c>
      <c r="R2322">
        <v>1</v>
      </c>
    </row>
    <row r="2323" spans="1:18" x14ac:dyDescent="0.25">
      <c r="A2323">
        <v>202322</v>
      </c>
      <c r="B2323">
        <v>51599</v>
      </c>
      <c r="C2323" t="s">
        <v>18</v>
      </c>
      <c r="D2323">
        <v>3056.32</v>
      </c>
      <c r="E2323">
        <v>3445</v>
      </c>
      <c r="F2323">
        <v>0</v>
      </c>
      <c r="G2323">
        <v>3</v>
      </c>
      <c r="H2323">
        <v>0</v>
      </c>
      <c r="I2323" t="s">
        <v>33</v>
      </c>
      <c r="J2323">
        <v>0</v>
      </c>
      <c r="K2323">
        <v>75</v>
      </c>
      <c r="L2323" t="s">
        <v>24</v>
      </c>
      <c r="M2323" t="s">
        <v>21</v>
      </c>
      <c r="N2323" t="s">
        <v>22</v>
      </c>
      <c r="O2323" t="s">
        <v>36</v>
      </c>
      <c r="P2323">
        <v>2.35</v>
      </c>
      <c r="Q2323" s="2" t="b">
        <f>FALSE()</f>
        <v>0</v>
      </c>
      <c r="R2323">
        <v>0</v>
      </c>
    </row>
    <row r="2324" spans="1:18" x14ac:dyDescent="0.25">
      <c r="A2324">
        <v>202323</v>
      </c>
      <c r="B2324">
        <v>54009</v>
      </c>
      <c r="C2324" t="s">
        <v>34</v>
      </c>
      <c r="D2324">
        <v>6507.3</v>
      </c>
      <c r="E2324">
        <v>75</v>
      </c>
      <c r="F2324">
        <v>1</v>
      </c>
      <c r="G2324">
        <v>6</v>
      </c>
      <c r="H2324">
        <v>0</v>
      </c>
      <c r="I2324" t="s">
        <v>32</v>
      </c>
      <c r="J2324">
        <v>0</v>
      </c>
      <c r="K2324">
        <v>72</v>
      </c>
      <c r="L2324" t="s">
        <v>20</v>
      </c>
      <c r="M2324" t="s">
        <v>35</v>
      </c>
      <c r="N2324" t="s">
        <v>22</v>
      </c>
      <c r="O2324" t="s">
        <v>27</v>
      </c>
      <c r="P2324">
        <v>2.16</v>
      </c>
      <c r="Q2324" s="2" t="b">
        <f>FALSE()</f>
        <v>0</v>
      </c>
      <c r="R2324">
        <v>1</v>
      </c>
    </row>
    <row r="2325" spans="1:18" x14ac:dyDescent="0.25">
      <c r="A2325">
        <v>202324</v>
      </c>
      <c r="B2325">
        <v>55838</v>
      </c>
      <c r="C2325" t="s">
        <v>34</v>
      </c>
      <c r="D2325">
        <v>2652.62</v>
      </c>
      <c r="E2325">
        <v>501</v>
      </c>
      <c r="F2325">
        <v>0</v>
      </c>
      <c r="G2325">
        <v>6</v>
      </c>
      <c r="H2325">
        <v>0</v>
      </c>
      <c r="I2325" t="s">
        <v>19</v>
      </c>
      <c r="J2325">
        <v>1</v>
      </c>
      <c r="K2325">
        <v>18</v>
      </c>
      <c r="L2325" t="s">
        <v>24</v>
      </c>
      <c r="M2325" t="s">
        <v>35</v>
      </c>
      <c r="N2325" t="s">
        <v>30</v>
      </c>
      <c r="O2325" t="s">
        <v>27</v>
      </c>
      <c r="P2325">
        <v>0.04</v>
      </c>
      <c r="Q2325" s="2" t="b">
        <f>FALSE()</f>
        <v>0</v>
      </c>
      <c r="R2325">
        <v>0</v>
      </c>
    </row>
    <row r="2326" spans="1:18" x14ac:dyDescent="0.25">
      <c r="A2326">
        <v>202325</v>
      </c>
      <c r="B2326">
        <v>50197</v>
      </c>
      <c r="C2326" t="s">
        <v>34</v>
      </c>
      <c r="D2326">
        <v>2092.5100000000002</v>
      </c>
      <c r="E2326">
        <v>1516</v>
      </c>
      <c r="F2326">
        <v>0</v>
      </c>
      <c r="G2326">
        <v>2</v>
      </c>
      <c r="H2326">
        <v>1</v>
      </c>
      <c r="I2326" t="s">
        <v>32</v>
      </c>
      <c r="J2326">
        <v>0</v>
      </c>
      <c r="K2326">
        <v>64</v>
      </c>
      <c r="L2326" t="s">
        <v>20</v>
      </c>
      <c r="M2326" t="s">
        <v>21</v>
      </c>
      <c r="N2326" t="s">
        <v>30</v>
      </c>
      <c r="O2326" t="s">
        <v>36</v>
      </c>
      <c r="P2326">
        <v>6.71</v>
      </c>
      <c r="Q2326" s="2" t="b">
        <f>FALSE()</f>
        <v>0</v>
      </c>
      <c r="R2326">
        <v>0</v>
      </c>
    </row>
    <row r="2327" spans="1:18" x14ac:dyDescent="0.25">
      <c r="A2327">
        <v>202326</v>
      </c>
      <c r="B2327">
        <v>52124</v>
      </c>
      <c r="C2327" t="s">
        <v>28</v>
      </c>
      <c r="D2327">
        <v>3686.67</v>
      </c>
      <c r="E2327">
        <v>2928</v>
      </c>
      <c r="F2327">
        <v>1</v>
      </c>
      <c r="G2327">
        <v>7</v>
      </c>
      <c r="H2327">
        <v>0</v>
      </c>
      <c r="I2327" t="s">
        <v>32</v>
      </c>
      <c r="J2327">
        <v>0</v>
      </c>
      <c r="K2327">
        <v>50</v>
      </c>
      <c r="L2327" t="s">
        <v>20</v>
      </c>
      <c r="M2327" t="s">
        <v>21</v>
      </c>
      <c r="N2327" t="s">
        <v>30</v>
      </c>
      <c r="O2327" t="s">
        <v>36</v>
      </c>
      <c r="P2327">
        <v>1.86</v>
      </c>
      <c r="Q2327" s="2" t="b">
        <f>FALSE()</f>
        <v>0</v>
      </c>
      <c r="R2327">
        <v>1</v>
      </c>
    </row>
    <row r="2328" spans="1:18" x14ac:dyDescent="0.25">
      <c r="A2328">
        <v>202327</v>
      </c>
      <c r="B2328">
        <v>52178</v>
      </c>
      <c r="C2328" t="s">
        <v>18</v>
      </c>
      <c r="D2328">
        <v>2515.9899999999998</v>
      </c>
      <c r="E2328">
        <v>1987</v>
      </c>
      <c r="F2328">
        <v>0</v>
      </c>
      <c r="G2328">
        <v>2</v>
      </c>
      <c r="H2328">
        <v>0</v>
      </c>
      <c r="I2328" t="s">
        <v>19</v>
      </c>
      <c r="J2328">
        <v>0</v>
      </c>
      <c r="K2328">
        <v>48</v>
      </c>
      <c r="L2328" t="s">
        <v>24</v>
      </c>
      <c r="M2328" t="s">
        <v>25</v>
      </c>
      <c r="N2328" t="s">
        <v>22</v>
      </c>
      <c r="O2328" t="s">
        <v>36</v>
      </c>
      <c r="P2328">
        <v>0.23</v>
      </c>
      <c r="Q2328" s="2" t="b">
        <f>FALSE()</f>
        <v>0</v>
      </c>
      <c r="R2328">
        <v>0</v>
      </c>
    </row>
    <row r="2329" spans="1:18" x14ac:dyDescent="0.25">
      <c r="A2329">
        <v>202328</v>
      </c>
      <c r="B2329">
        <v>54071</v>
      </c>
      <c r="C2329" t="s">
        <v>18</v>
      </c>
      <c r="D2329">
        <v>1889.73</v>
      </c>
      <c r="E2329">
        <v>7</v>
      </c>
      <c r="F2329">
        <v>1</v>
      </c>
      <c r="G2329">
        <v>5</v>
      </c>
      <c r="H2329">
        <v>0</v>
      </c>
      <c r="I2329" t="s">
        <v>33</v>
      </c>
      <c r="J2329">
        <v>0</v>
      </c>
      <c r="K2329">
        <v>44</v>
      </c>
      <c r="L2329" t="s">
        <v>24</v>
      </c>
      <c r="M2329" t="s">
        <v>31</v>
      </c>
      <c r="N2329" t="s">
        <v>30</v>
      </c>
      <c r="O2329" t="s">
        <v>23</v>
      </c>
      <c r="P2329">
        <v>0.46</v>
      </c>
      <c r="Q2329" s="2" t="b">
        <f>FALSE()</f>
        <v>0</v>
      </c>
      <c r="R2329">
        <v>0</v>
      </c>
    </row>
    <row r="2330" spans="1:18" x14ac:dyDescent="0.25">
      <c r="A2330">
        <v>202329</v>
      </c>
      <c r="B2330">
        <v>52474</v>
      </c>
      <c r="C2330" t="s">
        <v>18</v>
      </c>
      <c r="D2330">
        <v>874.18</v>
      </c>
      <c r="E2330">
        <v>1351</v>
      </c>
      <c r="F2330">
        <v>3</v>
      </c>
      <c r="G2330">
        <v>1</v>
      </c>
      <c r="H2330">
        <v>0</v>
      </c>
      <c r="I2330" t="s">
        <v>33</v>
      </c>
      <c r="J2330">
        <v>0</v>
      </c>
      <c r="K2330">
        <v>33</v>
      </c>
      <c r="L2330" t="s">
        <v>20</v>
      </c>
      <c r="M2330" t="s">
        <v>31</v>
      </c>
      <c r="N2330" t="s">
        <v>26</v>
      </c>
      <c r="O2330" t="s">
        <v>36</v>
      </c>
      <c r="P2330">
        <v>1.47</v>
      </c>
      <c r="Q2330" s="2" t="b">
        <f>FALSE()</f>
        <v>0</v>
      </c>
      <c r="R2330">
        <v>1</v>
      </c>
    </row>
    <row r="2331" spans="1:18" x14ac:dyDescent="0.25">
      <c r="A2331">
        <v>202330</v>
      </c>
      <c r="B2331">
        <v>54275</v>
      </c>
      <c r="C2331" t="s">
        <v>28</v>
      </c>
      <c r="D2331">
        <v>4486.25</v>
      </c>
      <c r="E2331">
        <v>741</v>
      </c>
      <c r="F2331">
        <v>4</v>
      </c>
      <c r="G2331">
        <v>0</v>
      </c>
      <c r="H2331">
        <v>0</v>
      </c>
      <c r="I2331" t="s">
        <v>33</v>
      </c>
      <c r="J2331">
        <v>0</v>
      </c>
      <c r="K2331">
        <v>70</v>
      </c>
      <c r="L2331" t="s">
        <v>24</v>
      </c>
      <c r="M2331" t="s">
        <v>29</v>
      </c>
      <c r="N2331" t="s">
        <v>22</v>
      </c>
      <c r="O2331" t="s">
        <v>27</v>
      </c>
      <c r="P2331">
        <v>2.11</v>
      </c>
      <c r="Q2331" s="2" t="b">
        <f>FALSE()</f>
        <v>0</v>
      </c>
      <c r="R2331">
        <v>1</v>
      </c>
    </row>
    <row r="2332" spans="1:18" x14ac:dyDescent="0.25">
      <c r="A2332">
        <v>202331</v>
      </c>
      <c r="B2332">
        <v>52251</v>
      </c>
      <c r="C2332" t="s">
        <v>18</v>
      </c>
      <c r="D2332">
        <v>1481.44</v>
      </c>
      <c r="E2332">
        <v>3010</v>
      </c>
      <c r="F2332">
        <v>0</v>
      </c>
      <c r="G2332">
        <v>4</v>
      </c>
      <c r="H2332">
        <v>0</v>
      </c>
      <c r="I2332" t="s">
        <v>33</v>
      </c>
      <c r="J2332">
        <v>0</v>
      </c>
      <c r="K2332">
        <v>75</v>
      </c>
      <c r="L2332" t="s">
        <v>24</v>
      </c>
      <c r="M2332" t="s">
        <v>25</v>
      </c>
      <c r="N2332" t="s">
        <v>22</v>
      </c>
      <c r="O2332" t="s">
        <v>36</v>
      </c>
      <c r="P2332">
        <v>5.4</v>
      </c>
      <c r="Q2332" s="2" t="b">
        <f>FALSE()</f>
        <v>0</v>
      </c>
      <c r="R2332">
        <v>0</v>
      </c>
    </row>
    <row r="2333" spans="1:18" x14ac:dyDescent="0.25">
      <c r="A2333">
        <v>202332</v>
      </c>
      <c r="B2333">
        <v>51090</v>
      </c>
      <c r="C2333" t="s">
        <v>34</v>
      </c>
      <c r="D2333">
        <v>5801.03</v>
      </c>
      <c r="E2333">
        <v>545</v>
      </c>
      <c r="F2333">
        <v>0</v>
      </c>
      <c r="G2333">
        <v>2</v>
      </c>
      <c r="H2333">
        <v>0</v>
      </c>
      <c r="I2333" t="s">
        <v>33</v>
      </c>
      <c r="J2333">
        <v>0</v>
      </c>
      <c r="K2333">
        <v>69</v>
      </c>
      <c r="L2333" t="s">
        <v>24</v>
      </c>
      <c r="M2333" t="s">
        <v>29</v>
      </c>
      <c r="N2333" t="s">
        <v>22</v>
      </c>
      <c r="O2333" t="s">
        <v>23</v>
      </c>
      <c r="P2333">
        <v>0.85</v>
      </c>
      <c r="Q2333" s="2" t="b">
        <f>FALSE()</f>
        <v>0</v>
      </c>
      <c r="R2333">
        <v>1</v>
      </c>
    </row>
    <row r="2334" spans="1:18" x14ac:dyDescent="0.25">
      <c r="A2334">
        <v>202333</v>
      </c>
      <c r="B2334">
        <v>52962</v>
      </c>
      <c r="C2334" t="s">
        <v>34</v>
      </c>
      <c r="D2334">
        <v>2953.53</v>
      </c>
      <c r="E2334">
        <v>1878</v>
      </c>
      <c r="F2334">
        <v>1</v>
      </c>
      <c r="G2334">
        <v>5</v>
      </c>
      <c r="H2334">
        <v>0</v>
      </c>
      <c r="I2334" t="s">
        <v>19</v>
      </c>
      <c r="J2334">
        <v>1</v>
      </c>
      <c r="K2334">
        <v>75</v>
      </c>
      <c r="L2334" t="s">
        <v>24</v>
      </c>
      <c r="M2334" t="s">
        <v>31</v>
      </c>
      <c r="N2334" t="s">
        <v>30</v>
      </c>
      <c r="O2334" t="s">
        <v>27</v>
      </c>
      <c r="P2334">
        <v>0.36</v>
      </c>
      <c r="Q2334" s="2" t="b">
        <f>FALSE()</f>
        <v>0</v>
      </c>
      <c r="R2334">
        <v>0</v>
      </c>
    </row>
    <row r="2335" spans="1:18" x14ac:dyDescent="0.25">
      <c r="A2335">
        <v>202334</v>
      </c>
      <c r="B2335">
        <v>54865</v>
      </c>
      <c r="C2335" t="s">
        <v>18</v>
      </c>
      <c r="D2335">
        <v>7826.86</v>
      </c>
      <c r="E2335">
        <v>2179</v>
      </c>
      <c r="F2335">
        <v>1</v>
      </c>
      <c r="G2335">
        <v>4</v>
      </c>
      <c r="H2335">
        <v>0</v>
      </c>
      <c r="I2335" t="s">
        <v>19</v>
      </c>
      <c r="J2335">
        <v>0</v>
      </c>
      <c r="K2335">
        <v>34</v>
      </c>
      <c r="L2335" t="s">
        <v>24</v>
      </c>
      <c r="M2335" t="s">
        <v>25</v>
      </c>
      <c r="N2335" t="s">
        <v>22</v>
      </c>
      <c r="O2335" t="s">
        <v>36</v>
      </c>
      <c r="P2335">
        <v>4.59</v>
      </c>
      <c r="Q2335" s="2" t="b">
        <f>TRUE()</f>
        <v>1</v>
      </c>
      <c r="R2335">
        <v>1</v>
      </c>
    </row>
    <row r="2336" spans="1:18" x14ac:dyDescent="0.25">
      <c r="A2336">
        <v>202335</v>
      </c>
      <c r="B2336">
        <v>52057</v>
      </c>
      <c r="C2336" t="s">
        <v>18</v>
      </c>
      <c r="D2336">
        <v>1482.54</v>
      </c>
      <c r="E2336">
        <v>1462</v>
      </c>
      <c r="F2336">
        <v>1</v>
      </c>
      <c r="G2336">
        <v>3</v>
      </c>
      <c r="H2336">
        <v>0</v>
      </c>
      <c r="I2336" t="s">
        <v>33</v>
      </c>
      <c r="J2336">
        <v>0</v>
      </c>
      <c r="K2336">
        <v>81</v>
      </c>
      <c r="L2336" t="s">
        <v>24</v>
      </c>
      <c r="M2336" t="s">
        <v>31</v>
      </c>
      <c r="N2336" t="s">
        <v>30</v>
      </c>
      <c r="O2336" t="s">
        <v>27</v>
      </c>
      <c r="P2336">
        <v>0.98</v>
      </c>
      <c r="Q2336" s="2" t="b">
        <f>FALSE()</f>
        <v>0</v>
      </c>
      <c r="R2336">
        <v>0</v>
      </c>
    </row>
    <row r="2337" spans="1:18" x14ac:dyDescent="0.25">
      <c r="A2337">
        <v>202336</v>
      </c>
      <c r="B2337">
        <v>50429</v>
      </c>
      <c r="C2337" t="s">
        <v>34</v>
      </c>
      <c r="D2337">
        <v>922.37</v>
      </c>
      <c r="E2337">
        <v>1429</v>
      </c>
      <c r="F2337">
        <v>1</v>
      </c>
      <c r="G2337">
        <v>4</v>
      </c>
      <c r="H2337">
        <v>0</v>
      </c>
      <c r="I2337" t="s">
        <v>32</v>
      </c>
      <c r="J2337">
        <v>1</v>
      </c>
      <c r="K2337">
        <v>67</v>
      </c>
      <c r="L2337" t="s">
        <v>20</v>
      </c>
      <c r="M2337" t="s">
        <v>25</v>
      </c>
      <c r="N2337" t="s">
        <v>22</v>
      </c>
      <c r="O2337" t="s">
        <v>27</v>
      </c>
      <c r="P2337">
        <v>9.39</v>
      </c>
      <c r="Q2337" s="2" t="b">
        <f>FALSE()</f>
        <v>0</v>
      </c>
      <c r="R2337">
        <v>0</v>
      </c>
    </row>
    <row r="2338" spans="1:18" x14ac:dyDescent="0.25">
      <c r="A2338">
        <v>202337</v>
      </c>
      <c r="B2338">
        <v>52938</v>
      </c>
      <c r="C2338" t="s">
        <v>34</v>
      </c>
      <c r="D2338">
        <v>2724.27</v>
      </c>
      <c r="E2338">
        <v>3142</v>
      </c>
      <c r="F2338">
        <v>1</v>
      </c>
      <c r="G2338">
        <v>1</v>
      </c>
      <c r="H2338">
        <v>0</v>
      </c>
      <c r="I2338" t="s">
        <v>33</v>
      </c>
      <c r="J2338">
        <v>0</v>
      </c>
      <c r="K2338">
        <v>59</v>
      </c>
      <c r="L2338" t="s">
        <v>24</v>
      </c>
      <c r="M2338" t="s">
        <v>35</v>
      </c>
      <c r="N2338" t="s">
        <v>30</v>
      </c>
      <c r="O2338" t="s">
        <v>36</v>
      </c>
      <c r="P2338">
        <v>4.92</v>
      </c>
      <c r="Q2338" s="2" t="b">
        <f>FALSE()</f>
        <v>0</v>
      </c>
      <c r="R2338">
        <v>0</v>
      </c>
    </row>
    <row r="2339" spans="1:18" x14ac:dyDescent="0.25">
      <c r="A2339">
        <v>202338</v>
      </c>
      <c r="B2339">
        <v>54957</v>
      </c>
      <c r="C2339" t="s">
        <v>34</v>
      </c>
      <c r="D2339">
        <v>1216.3399999999999</v>
      </c>
      <c r="E2339">
        <v>2358</v>
      </c>
      <c r="F2339">
        <v>3</v>
      </c>
      <c r="G2339">
        <v>5</v>
      </c>
      <c r="H2339">
        <v>0</v>
      </c>
      <c r="I2339" t="s">
        <v>19</v>
      </c>
      <c r="J2339">
        <v>0</v>
      </c>
      <c r="K2339">
        <v>53</v>
      </c>
      <c r="L2339" t="s">
        <v>24</v>
      </c>
      <c r="M2339" t="s">
        <v>25</v>
      </c>
      <c r="N2339" t="s">
        <v>22</v>
      </c>
      <c r="O2339" t="s">
        <v>36</v>
      </c>
      <c r="P2339">
        <v>0.42</v>
      </c>
      <c r="Q2339" s="2" t="b">
        <f>FALSE()</f>
        <v>0</v>
      </c>
      <c r="R2339">
        <v>1</v>
      </c>
    </row>
    <row r="2340" spans="1:18" x14ac:dyDescent="0.25">
      <c r="A2340">
        <v>202339</v>
      </c>
      <c r="B2340">
        <v>52469</v>
      </c>
      <c r="C2340" t="s">
        <v>18</v>
      </c>
      <c r="D2340">
        <v>976.7</v>
      </c>
      <c r="E2340">
        <v>1912</v>
      </c>
      <c r="F2340">
        <v>0</v>
      </c>
      <c r="G2340">
        <v>1</v>
      </c>
      <c r="H2340">
        <v>0</v>
      </c>
      <c r="I2340" t="s">
        <v>33</v>
      </c>
      <c r="J2340">
        <v>0</v>
      </c>
      <c r="K2340">
        <v>51</v>
      </c>
      <c r="L2340" t="s">
        <v>20</v>
      </c>
      <c r="M2340" t="s">
        <v>25</v>
      </c>
      <c r="N2340" t="s">
        <v>22</v>
      </c>
      <c r="O2340" t="s">
        <v>27</v>
      </c>
      <c r="P2340">
        <v>5.08</v>
      </c>
      <c r="Q2340" s="2" t="b">
        <f>FALSE()</f>
        <v>0</v>
      </c>
      <c r="R2340">
        <v>0</v>
      </c>
    </row>
    <row r="2341" spans="1:18" x14ac:dyDescent="0.25">
      <c r="A2341">
        <v>202340</v>
      </c>
      <c r="B2341">
        <v>51371</v>
      </c>
      <c r="C2341" t="s">
        <v>18</v>
      </c>
      <c r="D2341">
        <v>3093.06</v>
      </c>
      <c r="E2341">
        <v>2037</v>
      </c>
      <c r="F2341">
        <v>2</v>
      </c>
      <c r="G2341">
        <v>4</v>
      </c>
      <c r="H2341">
        <v>0</v>
      </c>
      <c r="I2341" t="s">
        <v>33</v>
      </c>
      <c r="J2341">
        <v>1</v>
      </c>
      <c r="K2341">
        <v>57</v>
      </c>
      <c r="L2341" t="s">
        <v>24</v>
      </c>
      <c r="M2341" t="s">
        <v>25</v>
      </c>
      <c r="N2341" t="s">
        <v>30</v>
      </c>
      <c r="O2341" t="s">
        <v>36</v>
      </c>
      <c r="P2341">
        <v>0.24</v>
      </c>
      <c r="Q2341" s="2" t="b">
        <f>FALSE()</f>
        <v>0</v>
      </c>
      <c r="R2341">
        <v>0</v>
      </c>
    </row>
    <row r="2342" spans="1:18" x14ac:dyDescent="0.25">
      <c r="A2342">
        <v>202341</v>
      </c>
      <c r="B2342">
        <v>55292</v>
      </c>
      <c r="C2342" t="s">
        <v>18</v>
      </c>
      <c r="D2342">
        <v>4397.67</v>
      </c>
      <c r="E2342">
        <v>829</v>
      </c>
      <c r="F2342">
        <v>1</v>
      </c>
      <c r="G2342">
        <v>4</v>
      </c>
      <c r="H2342">
        <v>1</v>
      </c>
      <c r="I2342" t="s">
        <v>19</v>
      </c>
      <c r="J2342">
        <v>1</v>
      </c>
      <c r="K2342">
        <v>48</v>
      </c>
      <c r="L2342" t="s">
        <v>24</v>
      </c>
      <c r="M2342" t="s">
        <v>31</v>
      </c>
      <c r="N2342" t="s">
        <v>30</v>
      </c>
      <c r="O2342" t="s">
        <v>36</v>
      </c>
      <c r="P2342">
        <v>3.03</v>
      </c>
      <c r="Q2342" s="2" t="b">
        <f>FALSE()</f>
        <v>0</v>
      </c>
      <c r="R2342">
        <v>1</v>
      </c>
    </row>
    <row r="2343" spans="1:18" x14ac:dyDescent="0.25">
      <c r="A2343">
        <v>202342</v>
      </c>
      <c r="B2343">
        <v>50657</v>
      </c>
      <c r="C2343" t="s">
        <v>18</v>
      </c>
      <c r="D2343">
        <v>2740.11</v>
      </c>
      <c r="E2343">
        <v>930</v>
      </c>
      <c r="F2343">
        <v>0</v>
      </c>
      <c r="G2343">
        <v>3</v>
      </c>
      <c r="H2343">
        <v>0</v>
      </c>
      <c r="I2343" t="s">
        <v>33</v>
      </c>
      <c r="J2343">
        <v>0</v>
      </c>
      <c r="K2343">
        <v>29</v>
      </c>
      <c r="L2343" t="s">
        <v>20</v>
      </c>
      <c r="M2343" t="s">
        <v>25</v>
      </c>
      <c r="N2343" t="s">
        <v>22</v>
      </c>
      <c r="O2343" t="s">
        <v>36</v>
      </c>
      <c r="P2343">
        <v>1.82</v>
      </c>
      <c r="Q2343" s="2" t="b">
        <f>FALSE()</f>
        <v>0</v>
      </c>
      <c r="R2343">
        <v>0</v>
      </c>
    </row>
    <row r="2344" spans="1:18" x14ac:dyDescent="0.25">
      <c r="A2344">
        <v>202343</v>
      </c>
      <c r="B2344">
        <v>54722</v>
      </c>
      <c r="C2344" t="s">
        <v>28</v>
      </c>
      <c r="D2344">
        <v>1146.49</v>
      </c>
      <c r="E2344">
        <v>575</v>
      </c>
      <c r="F2344">
        <v>1</v>
      </c>
      <c r="G2344">
        <v>6</v>
      </c>
      <c r="H2344">
        <v>0</v>
      </c>
      <c r="I2344" t="s">
        <v>19</v>
      </c>
      <c r="J2344">
        <v>0</v>
      </c>
      <c r="K2344">
        <v>28</v>
      </c>
      <c r="L2344" t="s">
        <v>20</v>
      </c>
      <c r="M2344" t="s">
        <v>29</v>
      </c>
      <c r="N2344" t="s">
        <v>26</v>
      </c>
      <c r="O2344" t="s">
        <v>36</v>
      </c>
      <c r="P2344">
        <v>2.0299999999999998</v>
      </c>
      <c r="Q2344" s="2" t="b">
        <f>FALSE()</f>
        <v>0</v>
      </c>
      <c r="R2344">
        <v>0</v>
      </c>
    </row>
    <row r="2345" spans="1:18" x14ac:dyDescent="0.25">
      <c r="A2345">
        <v>202344</v>
      </c>
      <c r="B2345">
        <v>50758</v>
      </c>
      <c r="C2345" t="s">
        <v>18</v>
      </c>
      <c r="D2345">
        <v>1799.17</v>
      </c>
      <c r="E2345">
        <v>422</v>
      </c>
      <c r="F2345">
        <v>0</v>
      </c>
      <c r="G2345">
        <v>4</v>
      </c>
      <c r="H2345">
        <v>0</v>
      </c>
      <c r="I2345" t="s">
        <v>33</v>
      </c>
      <c r="J2345">
        <v>0</v>
      </c>
      <c r="K2345">
        <v>32</v>
      </c>
      <c r="L2345" t="s">
        <v>20</v>
      </c>
      <c r="M2345" t="s">
        <v>31</v>
      </c>
      <c r="N2345" t="s">
        <v>30</v>
      </c>
      <c r="O2345" t="s">
        <v>36</v>
      </c>
      <c r="P2345">
        <v>9.35</v>
      </c>
      <c r="Q2345" s="2" t="b">
        <f>FALSE()</f>
        <v>0</v>
      </c>
      <c r="R2345">
        <v>0</v>
      </c>
    </row>
    <row r="2346" spans="1:18" x14ac:dyDescent="0.25">
      <c r="A2346">
        <v>202345</v>
      </c>
      <c r="B2346">
        <v>50144</v>
      </c>
      <c r="C2346" t="s">
        <v>18</v>
      </c>
      <c r="D2346">
        <v>2500.19</v>
      </c>
      <c r="E2346">
        <v>432</v>
      </c>
      <c r="F2346">
        <v>3</v>
      </c>
      <c r="G2346">
        <v>8</v>
      </c>
      <c r="H2346">
        <v>0</v>
      </c>
      <c r="I2346" t="s">
        <v>19</v>
      </c>
      <c r="J2346">
        <v>0</v>
      </c>
      <c r="K2346">
        <v>83</v>
      </c>
      <c r="L2346" t="s">
        <v>24</v>
      </c>
      <c r="M2346" t="s">
        <v>35</v>
      </c>
      <c r="N2346" t="s">
        <v>22</v>
      </c>
      <c r="O2346" t="s">
        <v>27</v>
      </c>
      <c r="P2346">
        <v>0.56000000000000005</v>
      </c>
      <c r="Q2346" s="2" t="b">
        <f>FALSE()</f>
        <v>0</v>
      </c>
      <c r="R2346">
        <v>1</v>
      </c>
    </row>
    <row r="2347" spans="1:18" x14ac:dyDescent="0.25">
      <c r="A2347">
        <v>202346</v>
      </c>
      <c r="B2347">
        <v>50867</v>
      </c>
      <c r="C2347" t="s">
        <v>34</v>
      </c>
      <c r="D2347">
        <v>1918.35</v>
      </c>
      <c r="E2347">
        <v>3277</v>
      </c>
      <c r="F2347">
        <v>2</v>
      </c>
      <c r="G2347">
        <v>3</v>
      </c>
      <c r="H2347">
        <v>1</v>
      </c>
      <c r="I2347" t="s">
        <v>33</v>
      </c>
      <c r="J2347">
        <v>0</v>
      </c>
      <c r="K2347">
        <v>84</v>
      </c>
      <c r="L2347" t="s">
        <v>20</v>
      </c>
      <c r="M2347" t="s">
        <v>29</v>
      </c>
      <c r="N2347" t="s">
        <v>22</v>
      </c>
      <c r="O2347" t="s">
        <v>36</v>
      </c>
      <c r="P2347">
        <v>0</v>
      </c>
      <c r="Q2347" s="2" t="b">
        <f>FALSE()</f>
        <v>0</v>
      </c>
      <c r="R2347">
        <v>0</v>
      </c>
    </row>
    <row r="2348" spans="1:18" x14ac:dyDescent="0.25">
      <c r="A2348">
        <v>202347</v>
      </c>
      <c r="B2348">
        <v>54250</v>
      </c>
      <c r="C2348" t="s">
        <v>18</v>
      </c>
      <c r="D2348">
        <v>394.54</v>
      </c>
      <c r="E2348">
        <v>1794</v>
      </c>
      <c r="F2348">
        <v>0</v>
      </c>
      <c r="G2348">
        <v>4</v>
      </c>
      <c r="H2348">
        <v>1</v>
      </c>
      <c r="I2348" t="s">
        <v>19</v>
      </c>
      <c r="J2348">
        <v>0</v>
      </c>
      <c r="K2348">
        <v>64</v>
      </c>
      <c r="L2348" t="s">
        <v>20</v>
      </c>
      <c r="M2348" t="s">
        <v>21</v>
      </c>
      <c r="N2348" t="s">
        <v>30</v>
      </c>
      <c r="O2348" t="s">
        <v>27</v>
      </c>
      <c r="P2348">
        <v>2.6</v>
      </c>
      <c r="Q2348" s="2" t="b">
        <f>FALSE()</f>
        <v>0</v>
      </c>
      <c r="R2348">
        <v>0</v>
      </c>
    </row>
    <row r="2349" spans="1:18" x14ac:dyDescent="0.25">
      <c r="A2349">
        <v>202348</v>
      </c>
      <c r="B2349">
        <v>53104</v>
      </c>
      <c r="C2349" t="s">
        <v>18</v>
      </c>
      <c r="D2349">
        <v>3274.47</v>
      </c>
      <c r="E2349">
        <v>1729</v>
      </c>
      <c r="F2349">
        <v>0</v>
      </c>
      <c r="G2349">
        <v>4</v>
      </c>
      <c r="H2349">
        <v>0</v>
      </c>
      <c r="I2349" t="s">
        <v>19</v>
      </c>
      <c r="J2349">
        <v>0</v>
      </c>
      <c r="K2349">
        <v>34</v>
      </c>
      <c r="L2349" t="s">
        <v>24</v>
      </c>
      <c r="M2349" t="s">
        <v>31</v>
      </c>
      <c r="N2349" t="s">
        <v>26</v>
      </c>
      <c r="O2349" t="s">
        <v>27</v>
      </c>
      <c r="P2349">
        <v>8.7100000000000009</v>
      </c>
      <c r="Q2349" s="2" t="b">
        <f>FALSE()</f>
        <v>0</v>
      </c>
      <c r="R2349">
        <v>0</v>
      </c>
    </row>
    <row r="2350" spans="1:18" x14ac:dyDescent="0.25">
      <c r="A2350">
        <v>202349</v>
      </c>
      <c r="B2350">
        <v>55426</v>
      </c>
      <c r="C2350" t="s">
        <v>34</v>
      </c>
      <c r="D2350">
        <v>1707.25</v>
      </c>
      <c r="E2350">
        <v>1811</v>
      </c>
      <c r="F2350">
        <v>0</v>
      </c>
      <c r="G2350">
        <v>7</v>
      </c>
      <c r="H2350">
        <v>1</v>
      </c>
      <c r="I2350" t="s">
        <v>33</v>
      </c>
      <c r="J2350">
        <v>0</v>
      </c>
      <c r="K2350">
        <v>35</v>
      </c>
      <c r="L2350" t="s">
        <v>20</v>
      </c>
      <c r="M2350" t="s">
        <v>25</v>
      </c>
      <c r="N2350" t="s">
        <v>22</v>
      </c>
      <c r="O2350" t="s">
        <v>27</v>
      </c>
      <c r="P2350">
        <v>1.38</v>
      </c>
      <c r="Q2350" s="2" t="b">
        <f>FALSE()</f>
        <v>0</v>
      </c>
      <c r="R2350">
        <v>1</v>
      </c>
    </row>
    <row r="2351" spans="1:18" x14ac:dyDescent="0.25">
      <c r="A2351">
        <v>202350</v>
      </c>
      <c r="B2351">
        <v>53494</v>
      </c>
      <c r="C2351" t="s">
        <v>34</v>
      </c>
      <c r="D2351">
        <v>3954.4</v>
      </c>
      <c r="E2351">
        <v>880</v>
      </c>
      <c r="F2351">
        <v>4</v>
      </c>
      <c r="G2351">
        <v>2</v>
      </c>
      <c r="H2351">
        <v>0</v>
      </c>
      <c r="I2351" t="s">
        <v>33</v>
      </c>
      <c r="J2351">
        <v>0</v>
      </c>
      <c r="K2351">
        <v>57</v>
      </c>
      <c r="L2351" t="s">
        <v>24</v>
      </c>
      <c r="M2351" t="s">
        <v>25</v>
      </c>
      <c r="N2351" t="s">
        <v>22</v>
      </c>
      <c r="O2351" t="s">
        <v>23</v>
      </c>
      <c r="P2351">
        <v>2.4700000000000002</v>
      </c>
      <c r="Q2351" s="2" t="b">
        <f>FALSE()</f>
        <v>0</v>
      </c>
      <c r="R2351">
        <v>1</v>
      </c>
    </row>
    <row r="2352" spans="1:18" x14ac:dyDescent="0.25">
      <c r="A2352">
        <v>202351</v>
      </c>
      <c r="B2352">
        <v>52583</v>
      </c>
      <c r="C2352" t="s">
        <v>34</v>
      </c>
      <c r="D2352">
        <v>1952.27</v>
      </c>
      <c r="E2352">
        <v>2994</v>
      </c>
      <c r="F2352">
        <v>2</v>
      </c>
      <c r="G2352">
        <v>6</v>
      </c>
      <c r="H2352">
        <v>1</v>
      </c>
      <c r="I2352" t="s">
        <v>33</v>
      </c>
      <c r="J2352">
        <v>0</v>
      </c>
      <c r="K2352">
        <v>55</v>
      </c>
      <c r="L2352" t="s">
        <v>24</v>
      </c>
      <c r="M2352" t="s">
        <v>31</v>
      </c>
      <c r="N2352" t="s">
        <v>30</v>
      </c>
      <c r="O2352" t="s">
        <v>23</v>
      </c>
      <c r="P2352">
        <v>0.45</v>
      </c>
      <c r="Q2352" s="2" t="b">
        <f>FALSE()</f>
        <v>0</v>
      </c>
      <c r="R2352">
        <v>0</v>
      </c>
    </row>
    <row r="2353" spans="1:18" x14ac:dyDescent="0.25">
      <c r="A2353">
        <v>202352</v>
      </c>
      <c r="B2353">
        <v>50014</v>
      </c>
      <c r="C2353" t="s">
        <v>34</v>
      </c>
      <c r="D2353">
        <v>1834.78</v>
      </c>
      <c r="E2353">
        <v>612</v>
      </c>
      <c r="F2353">
        <v>2</v>
      </c>
      <c r="G2353">
        <v>3</v>
      </c>
      <c r="H2353">
        <v>0</v>
      </c>
      <c r="I2353" t="s">
        <v>33</v>
      </c>
      <c r="J2353">
        <v>1</v>
      </c>
      <c r="K2353">
        <v>33</v>
      </c>
      <c r="L2353" t="s">
        <v>20</v>
      </c>
      <c r="M2353" t="s">
        <v>29</v>
      </c>
      <c r="N2353" t="s">
        <v>22</v>
      </c>
      <c r="O2353" t="s">
        <v>36</v>
      </c>
      <c r="P2353">
        <v>4.37</v>
      </c>
      <c r="Q2353" s="2" t="b">
        <f>FALSE()</f>
        <v>0</v>
      </c>
      <c r="R2353">
        <v>0</v>
      </c>
    </row>
    <row r="2354" spans="1:18" x14ac:dyDescent="0.25">
      <c r="A2354">
        <v>202353</v>
      </c>
      <c r="B2354">
        <v>50792</v>
      </c>
      <c r="C2354" t="s">
        <v>18</v>
      </c>
      <c r="D2354">
        <v>4667.91</v>
      </c>
      <c r="E2354">
        <v>2612</v>
      </c>
      <c r="F2354">
        <v>0</v>
      </c>
      <c r="G2354">
        <v>5</v>
      </c>
      <c r="H2354">
        <v>1</v>
      </c>
      <c r="I2354" t="s">
        <v>33</v>
      </c>
      <c r="J2354">
        <v>0</v>
      </c>
      <c r="K2354">
        <v>49</v>
      </c>
      <c r="L2354" t="s">
        <v>24</v>
      </c>
      <c r="M2354" t="s">
        <v>29</v>
      </c>
      <c r="N2354" t="s">
        <v>30</v>
      </c>
      <c r="O2354" t="s">
        <v>36</v>
      </c>
      <c r="P2354">
        <v>0.04</v>
      </c>
      <c r="Q2354" s="2" t="b">
        <f>FALSE()</f>
        <v>0</v>
      </c>
      <c r="R2354">
        <v>1</v>
      </c>
    </row>
    <row r="2355" spans="1:18" x14ac:dyDescent="0.25">
      <c r="A2355">
        <v>202354</v>
      </c>
      <c r="B2355">
        <v>53789</v>
      </c>
      <c r="C2355" t="s">
        <v>18</v>
      </c>
      <c r="D2355">
        <v>3876.29</v>
      </c>
      <c r="E2355">
        <v>2335</v>
      </c>
      <c r="F2355">
        <v>1</v>
      </c>
      <c r="G2355">
        <v>3</v>
      </c>
      <c r="H2355">
        <v>0</v>
      </c>
      <c r="I2355" t="s">
        <v>33</v>
      </c>
      <c r="J2355">
        <v>0</v>
      </c>
      <c r="K2355">
        <v>63</v>
      </c>
      <c r="L2355" t="s">
        <v>24</v>
      </c>
      <c r="M2355" t="s">
        <v>25</v>
      </c>
      <c r="N2355" t="s">
        <v>22</v>
      </c>
      <c r="O2355" t="s">
        <v>27</v>
      </c>
      <c r="P2355">
        <v>1.07</v>
      </c>
      <c r="Q2355" s="2" t="b">
        <f>FALSE()</f>
        <v>0</v>
      </c>
      <c r="R2355">
        <v>1</v>
      </c>
    </row>
    <row r="2356" spans="1:18" x14ac:dyDescent="0.25">
      <c r="A2356">
        <v>202355</v>
      </c>
      <c r="B2356">
        <v>54102</v>
      </c>
      <c r="C2356" t="s">
        <v>18</v>
      </c>
      <c r="D2356">
        <v>193.5</v>
      </c>
      <c r="E2356">
        <v>1795</v>
      </c>
      <c r="F2356">
        <v>0</v>
      </c>
      <c r="G2356">
        <v>7</v>
      </c>
      <c r="H2356">
        <v>0</v>
      </c>
      <c r="I2356" t="s">
        <v>32</v>
      </c>
      <c r="J2356">
        <v>0</v>
      </c>
      <c r="K2356">
        <v>34</v>
      </c>
      <c r="L2356" t="s">
        <v>20</v>
      </c>
      <c r="M2356" t="s">
        <v>29</v>
      </c>
      <c r="N2356" t="s">
        <v>22</v>
      </c>
      <c r="O2356" t="s">
        <v>36</v>
      </c>
      <c r="P2356">
        <v>1.18</v>
      </c>
      <c r="Q2356" s="2" t="b">
        <f>FALSE()</f>
        <v>0</v>
      </c>
      <c r="R2356">
        <v>1</v>
      </c>
    </row>
    <row r="2357" spans="1:18" x14ac:dyDescent="0.25">
      <c r="A2357">
        <v>202356</v>
      </c>
      <c r="B2357">
        <v>53562</v>
      </c>
      <c r="C2357" t="s">
        <v>18</v>
      </c>
      <c r="D2357">
        <v>3179.51</v>
      </c>
      <c r="E2357">
        <v>657</v>
      </c>
      <c r="F2357">
        <v>4</v>
      </c>
      <c r="G2357">
        <v>6</v>
      </c>
      <c r="H2357">
        <v>1</v>
      </c>
      <c r="I2357" t="s">
        <v>19</v>
      </c>
      <c r="J2357">
        <v>0</v>
      </c>
      <c r="K2357">
        <v>50</v>
      </c>
      <c r="L2357" t="s">
        <v>24</v>
      </c>
      <c r="M2357" t="s">
        <v>31</v>
      </c>
      <c r="N2357" t="s">
        <v>22</v>
      </c>
      <c r="O2357" t="s">
        <v>23</v>
      </c>
      <c r="P2357">
        <v>0.4</v>
      </c>
      <c r="Q2357" s="2" t="b">
        <f>FALSE()</f>
        <v>0</v>
      </c>
      <c r="R2357">
        <v>1</v>
      </c>
    </row>
    <row r="2358" spans="1:18" x14ac:dyDescent="0.25">
      <c r="A2358">
        <v>202357</v>
      </c>
      <c r="B2358">
        <v>53185</v>
      </c>
      <c r="C2358" t="s">
        <v>18</v>
      </c>
      <c r="D2358">
        <v>4432.2700000000004</v>
      </c>
      <c r="E2358">
        <v>986</v>
      </c>
      <c r="F2358">
        <v>1</v>
      </c>
      <c r="G2358">
        <v>6</v>
      </c>
      <c r="H2358">
        <v>0</v>
      </c>
      <c r="I2358" t="s">
        <v>19</v>
      </c>
      <c r="J2358">
        <v>0</v>
      </c>
      <c r="K2358">
        <v>58</v>
      </c>
      <c r="L2358" t="s">
        <v>20</v>
      </c>
      <c r="M2358" t="s">
        <v>37</v>
      </c>
      <c r="N2358" t="s">
        <v>22</v>
      </c>
      <c r="O2358" t="s">
        <v>27</v>
      </c>
      <c r="P2358">
        <v>0.47</v>
      </c>
      <c r="Q2358" s="2" t="b">
        <f>FALSE()</f>
        <v>0</v>
      </c>
      <c r="R2358">
        <v>1</v>
      </c>
    </row>
    <row r="2359" spans="1:18" x14ac:dyDescent="0.25">
      <c r="A2359">
        <v>202358</v>
      </c>
      <c r="B2359">
        <v>55125</v>
      </c>
      <c r="C2359" t="s">
        <v>18</v>
      </c>
      <c r="D2359">
        <v>909.75</v>
      </c>
      <c r="E2359">
        <v>1797</v>
      </c>
      <c r="F2359">
        <v>3</v>
      </c>
      <c r="G2359">
        <v>3</v>
      </c>
      <c r="H2359">
        <v>0</v>
      </c>
      <c r="I2359" t="s">
        <v>33</v>
      </c>
      <c r="J2359">
        <v>0</v>
      </c>
      <c r="K2359">
        <v>57</v>
      </c>
      <c r="L2359" t="s">
        <v>24</v>
      </c>
      <c r="M2359" t="s">
        <v>35</v>
      </c>
      <c r="N2359" t="s">
        <v>22</v>
      </c>
      <c r="O2359" t="s">
        <v>36</v>
      </c>
      <c r="P2359">
        <v>0.37</v>
      </c>
      <c r="Q2359" s="2" t="b">
        <f>FALSE()</f>
        <v>0</v>
      </c>
      <c r="R2359">
        <v>1</v>
      </c>
    </row>
    <row r="2360" spans="1:18" x14ac:dyDescent="0.25">
      <c r="A2360">
        <v>202359</v>
      </c>
      <c r="B2360">
        <v>52432</v>
      </c>
      <c r="C2360" t="s">
        <v>34</v>
      </c>
      <c r="D2360">
        <v>2342.52</v>
      </c>
      <c r="E2360">
        <v>2116</v>
      </c>
      <c r="F2360">
        <v>1</v>
      </c>
      <c r="G2360">
        <v>8</v>
      </c>
      <c r="H2360">
        <v>0</v>
      </c>
      <c r="I2360" t="s">
        <v>33</v>
      </c>
      <c r="J2360">
        <v>0</v>
      </c>
      <c r="K2360">
        <v>80</v>
      </c>
      <c r="L2360" t="s">
        <v>24</v>
      </c>
      <c r="M2360" t="s">
        <v>21</v>
      </c>
      <c r="N2360" t="s">
        <v>22</v>
      </c>
      <c r="O2360" t="s">
        <v>27</v>
      </c>
      <c r="P2360">
        <v>5.83</v>
      </c>
      <c r="Q2360" s="2" t="b">
        <f>FALSE()</f>
        <v>0</v>
      </c>
      <c r="R2360">
        <v>1</v>
      </c>
    </row>
    <row r="2361" spans="1:18" x14ac:dyDescent="0.25">
      <c r="A2361">
        <v>202360</v>
      </c>
      <c r="B2361">
        <v>54163</v>
      </c>
      <c r="C2361" t="s">
        <v>18</v>
      </c>
      <c r="D2361">
        <v>1273.49</v>
      </c>
      <c r="E2361">
        <v>1623</v>
      </c>
      <c r="F2361">
        <v>1</v>
      </c>
      <c r="G2361">
        <v>5</v>
      </c>
      <c r="H2361">
        <v>0</v>
      </c>
      <c r="I2361" t="s">
        <v>19</v>
      </c>
      <c r="J2361">
        <v>0</v>
      </c>
      <c r="K2361">
        <v>43</v>
      </c>
      <c r="L2361" t="s">
        <v>24</v>
      </c>
      <c r="M2361" t="s">
        <v>25</v>
      </c>
      <c r="N2361" t="s">
        <v>30</v>
      </c>
      <c r="O2361" t="s">
        <v>23</v>
      </c>
      <c r="P2361">
        <v>1.54</v>
      </c>
      <c r="Q2361" s="2" t="b">
        <f>FALSE()</f>
        <v>0</v>
      </c>
      <c r="R2361">
        <v>0</v>
      </c>
    </row>
    <row r="2362" spans="1:18" x14ac:dyDescent="0.25">
      <c r="A2362">
        <v>202361</v>
      </c>
      <c r="B2362">
        <v>50451</v>
      </c>
      <c r="C2362" t="s">
        <v>18</v>
      </c>
      <c r="D2362">
        <v>5301.78</v>
      </c>
      <c r="E2362">
        <v>2567</v>
      </c>
      <c r="F2362">
        <v>1</v>
      </c>
      <c r="G2362">
        <v>2</v>
      </c>
      <c r="H2362">
        <v>0</v>
      </c>
      <c r="I2362" t="s">
        <v>32</v>
      </c>
      <c r="J2362">
        <v>1</v>
      </c>
      <c r="K2362">
        <v>70</v>
      </c>
      <c r="L2362" t="s">
        <v>20</v>
      </c>
      <c r="M2362" t="s">
        <v>25</v>
      </c>
      <c r="N2362" t="s">
        <v>22</v>
      </c>
      <c r="O2362" t="s">
        <v>27</v>
      </c>
      <c r="P2362">
        <v>0.17</v>
      </c>
      <c r="Q2362" s="2" t="b">
        <f>FALSE()</f>
        <v>0</v>
      </c>
      <c r="R2362">
        <v>1</v>
      </c>
    </row>
    <row r="2363" spans="1:18" x14ac:dyDescent="0.25">
      <c r="A2363">
        <v>202362</v>
      </c>
      <c r="B2363">
        <v>55904</v>
      </c>
      <c r="C2363" t="s">
        <v>34</v>
      </c>
      <c r="D2363">
        <v>2752.77</v>
      </c>
      <c r="E2363">
        <v>632</v>
      </c>
      <c r="F2363">
        <v>2</v>
      </c>
      <c r="G2363">
        <v>1</v>
      </c>
      <c r="H2363">
        <v>0</v>
      </c>
      <c r="I2363" t="s">
        <v>33</v>
      </c>
      <c r="J2363">
        <v>1</v>
      </c>
      <c r="K2363">
        <v>52</v>
      </c>
      <c r="L2363" t="s">
        <v>24</v>
      </c>
      <c r="M2363" t="s">
        <v>25</v>
      </c>
      <c r="N2363" t="s">
        <v>22</v>
      </c>
      <c r="O2363" t="s">
        <v>36</v>
      </c>
      <c r="P2363">
        <v>2.75</v>
      </c>
      <c r="Q2363" s="2" t="b">
        <f>FALSE()</f>
        <v>0</v>
      </c>
      <c r="R2363">
        <v>0</v>
      </c>
    </row>
    <row r="2364" spans="1:18" x14ac:dyDescent="0.25">
      <c r="A2364">
        <v>202363</v>
      </c>
      <c r="B2364">
        <v>52515</v>
      </c>
      <c r="C2364" t="s">
        <v>34</v>
      </c>
      <c r="D2364">
        <v>1614.12</v>
      </c>
      <c r="E2364">
        <v>940</v>
      </c>
      <c r="F2364">
        <v>2</v>
      </c>
      <c r="G2364">
        <v>6</v>
      </c>
      <c r="H2364">
        <v>0</v>
      </c>
      <c r="I2364" t="s">
        <v>33</v>
      </c>
      <c r="J2364">
        <v>0</v>
      </c>
      <c r="K2364">
        <v>42</v>
      </c>
      <c r="L2364" t="s">
        <v>24</v>
      </c>
      <c r="M2364" t="s">
        <v>29</v>
      </c>
      <c r="N2364" t="s">
        <v>26</v>
      </c>
      <c r="O2364" t="s">
        <v>27</v>
      </c>
      <c r="P2364">
        <v>1.03</v>
      </c>
      <c r="Q2364" s="2" t="b">
        <f>FALSE()</f>
        <v>0</v>
      </c>
      <c r="R2364">
        <v>0</v>
      </c>
    </row>
    <row r="2365" spans="1:18" x14ac:dyDescent="0.25">
      <c r="A2365">
        <v>202364</v>
      </c>
      <c r="B2365">
        <v>52491</v>
      </c>
      <c r="C2365" t="s">
        <v>34</v>
      </c>
      <c r="D2365">
        <v>2762.61</v>
      </c>
      <c r="E2365">
        <v>1963</v>
      </c>
      <c r="F2365">
        <v>3</v>
      </c>
      <c r="G2365">
        <v>1</v>
      </c>
      <c r="H2365">
        <v>0</v>
      </c>
      <c r="I2365" t="s">
        <v>33</v>
      </c>
      <c r="J2365">
        <v>0</v>
      </c>
      <c r="K2365">
        <v>53</v>
      </c>
      <c r="L2365" t="s">
        <v>20</v>
      </c>
      <c r="M2365" t="s">
        <v>31</v>
      </c>
      <c r="N2365" t="s">
        <v>30</v>
      </c>
      <c r="O2365" t="s">
        <v>23</v>
      </c>
      <c r="P2365">
        <v>0.7</v>
      </c>
      <c r="Q2365" s="2" t="b">
        <f>FALSE()</f>
        <v>0</v>
      </c>
      <c r="R2365">
        <v>1</v>
      </c>
    </row>
    <row r="2366" spans="1:18" x14ac:dyDescent="0.25">
      <c r="A2366">
        <v>202365</v>
      </c>
      <c r="B2366">
        <v>53772</v>
      </c>
      <c r="C2366" t="s">
        <v>18</v>
      </c>
      <c r="D2366">
        <v>2849.25</v>
      </c>
      <c r="E2366">
        <v>2139</v>
      </c>
      <c r="F2366">
        <v>1</v>
      </c>
      <c r="G2366">
        <v>5</v>
      </c>
      <c r="H2366">
        <v>0</v>
      </c>
      <c r="I2366" t="s">
        <v>19</v>
      </c>
      <c r="J2366">
        <v>1</v>
      </c>
      <c r="K2366">
        <v>52</v>
      </c>
      <c r="L2366" t="s">
        <v>20</v>
      </c>
      <c r="M2366" t="s">
        <v>35</v>
      </c>
      <c r="N2366" t="s">
        <v>22</v>
      </c>
      <c r="O2366" t="s">
        <v>27</v>
      </c>
      <c r="P2366">
        <v>4.07</v>
      </c>
      <c r="Q2366" s="2" t="b">
        <f>FALSE()</f>
        <v>0</v>
      </c>
      <c r="R2366">
        <v>0</v>
      </c>
    </row>
    <row r="2367" spans="1:18" x14ac:dyDescent="0.25">
      <c r="A2367">
        <v>202366</v>
      </c>
      <c r="B2367">
        <v>50775</v>
      </c>
      <c r="C2367" t="s">
        <v>34</v>
      </c>
      <c r="D2367">
        <v>1607.66</v>
      </c>
      <c r="E2367">
        <v>2843</v>
      </c>
      <c r="F2367">
        <v>1</v>
      </c>
      <c r="G2367">
        <v>4</v>
      </c>
      <c r="H2367">
        <v>0</v>
      </c>
      <c r="I2367" t="s">
        <v>32</v>
      </c>
      <c r="J2367">
        <v>1</v>
      </c>
      <c r="K2367">
        <v>20</v>
      </c>
      <c r="L2367" t="s">
        <v>20</v>
      </c>
      <c r="M2367" t="s">
        <v>21</v>
      </c>
      <c r="N2367" t="s">
        <v>30</v>
      </c>
      <c r="O2367" t="s">
        <v>36</v>
      </c>
      <c r="P2367">
        <v>20.260000000000002</v>
      </c>
      <c r="Q2367" s="2" t="b">
        <f>FALSE()</f>
        <v>0</v>
      </c>
      <c r="R2367">
        <v>0</v>
      </c>
    </row>
    <row r="2368" spans="1:18" x14ac:dyDescent="0.25">
      <c r="A2368">
        <v>202367</v>
      </c>
      <c r="B2368">
        <v>50001</v>
      </c>
      <c r="C2368" t="s">
        <v>18</v>
      </c>
      <c r="D2368">
        <v>4130.05</v>
      </c>
      <c r="E2368">
        <v>3446</v>
      </c>
      <c r="F2368">
        <v>1</v>
      </c>
      <c r="G2368">
        <v>2</v>
      </c>
      <c r="H2368">
        <v>0</v>
      </c>
      <c r="I2368" t="s">
        <v>33</v>
      </c>
      <c r="J2368">
        <v>0</v>
      </c>
      <c r="K2368">
        <v>72</v>
      </c>
      <c r="L2368" t="s">
        <v>24</v>
      </c>
      <c r="M2368" t="s">
        <v>29</v>
      </c>
      <c r="N2368" t="s">
        <v>30</v>
      </c>
      <c r="O2368" t="s">
        <v>36</v>
      </c>
      <c r="P2368">
        <v>1.26</v>
      </c>
      <c r="Q2368" s="2" t="b">
        <f>FALSE()</f>
        <v>0</v>
      </c>
      <c r="R2368">
        <v>1</v>
      </c>
    </row>
    <row r="2369" spans="1:18" x14ac:dyDescent="0.25">
      <c r="A2369">
        <v>202368</v>
      </c>
      <c r="B2369">
        <v>55196</v>
      </c>
      <c r="C2369" t="s">
        <v>34</v>
      </c>
      <c r="D2369">
        <v>399.46</v>
      </c>
      <c r="E2369">
        <v>1795</v>
      </c>
      <c r="F2369">
        <v>1</v>
      </c>
      <c r="G2369">
        <v>4</v>
      </c>
      <c r="H2369">
        <v>0</v>
      </c>
      <c r="I2369" t="s">
        <v>32</v>
      </c>
      <c r="J2369">
        <v>0</v>
      </c>
      <c r="K2369">
        <v>41</v>
      </c>
      <c r="L2369" t="s">
        <v>20</v>
      </c>
      <c r="M2369" t="s">
        <v>25</v>
      </c>
      <c r="N2369" t="s">
        <v>30</v>
      </c>
      <c r="O2369" t="s">
        <v>23</v>
      </c>
      <c r="P2369">
        <v>3.24</v>
      </c>
      <c r="Q2369" s="2" t="b">
        <f>FALSE()</f>
        <v>0</v>
      </c>
      <c r="R2369">
        <v>0</v>
      </c>
    </row>
    <row r="2370" spans="1:18" x14ac:dyDescent="0.25">
      <c r="A2370">
        <v>202369</v>
      </c>
      <c r="B2370">
        <v>55129</v>
      </c>
      <c r="C2370" t="s">
        <v>34</v>
      </c>
      <c r="D2370">
        <v>4682.01</v>
      </c>
      <c r="E2370">
        <v>544</v>
      </c>
      <c r="F2370">
        <v>2</v>
      </c>
      <c r="G2370">
        <v>4</v>
      </c>
      <c r="H2370">
        <v>1</v>
      </c>
      <c r="I2370" t="s">
        <v>33</v>
      </c>
      <c r="J2370">
        <v>0</v>
      </c>
      <c r="K2370">
        <v>56</v>
      </c>
      <c r="L2370" t="s">
        <v>20</v>
      </c>
      <c r="M2370" t="s">
        <v>37</v>
      </c>
      <c r="N2370" t="s">
        <v>22</v>
      </c>
      <c r="O2370" t="s">
        <v>23</v>
      </c>
      <c r="P2370">
        <v>2.52</v>
      </c>
      <c r="Q2370" s="2" t="b">
        <f>FALSE()</f>
        <v>0</v>
      </c>
      <c r="R2370">
        <v>1</v>
      </c>
    </row>
    <row r="2371" spans="1:18" x14ac:dyDescent="0.25">
      <c r="A2371">
        <v>202370</v>
      </c>
      <c r="B2371">
        <v>55857</v>
      </c>
      <c r="C2371" t="s">
        <v>28</v>
      </c>
      <c r="D2371">
        <v>6528.74</v>
      </c>
      <c r="E2371">
        <v>688</v>
      </c>
      <c r="F2371">
        <v>0</v>
      </c>
      <c r="G2371">
        <v>3</v>
      </c>
      <c r="H2371">
        <v>0</v>
      </c>
      <c r="I2371" t="s">
        <v>33</v>
      </c>
      <c r="J2371">
        <v>0</v>
      </c>
      <c r="K2371">
        <v>19</v>
      </c>
      <c r="L2371" t="s">
        <v>24</v>
      </c>
      <c r="M2371" t="s">
        <v>35</v>
      </c>
      <c r="N2371" t="s">
        <v>26</v>
      </c>
      <c r="O2371" t="s">
        <v>36</v>
      </c>
      <c r="P2371">
        <v>2.92</v>
      </c>
      <c r="Q2371" s="2" t="b">
        <f>FALSE()</f>
        <v>0</v>
      </c>
      <c r="R2371">
        <v>1</v>
      </c>
    </row>
    <row r="2372" spans="1:18" x14ac:dyDescent="0.25">
      <c r="A2372">
        <v>202371</v>
      </c>
      <c r="B2372">
        <v>51165</v>
      </c>
      <c r="C2372" t="s">
        <v>18</v>
      </c>
      <c r="D2372">
        <v>2201.31</v>
      </c>
      <c r="E2372">
        <v>3629</v>
      </c>
      <c r="F2372">
        <v>2</v>
      </c>
      <c r="G2372">
        <v>5</v>
      </c>
      <c r="H2372">
        <v>0</v>
      </c>
      <c r="I2372" t="s">
        <v>33</v>
      </c>
      <c r="J2372">
        <v>0</v>
      </c>
      <c r="K2372">
        <v>22</v>
      </c>
      <c r="L2372" t="s">
        <v>20</v>
      </c>
      <c r="M2372" t="s">
        <v>29</v>
      </c>
      <c r="N2372" t="s">
        <v>30</v>
      </c>
      <c r="O2372" t="s">
        <v>23</v>
      </c>
      <c r="P2372">
        <v>4.71</v>
      </c>
      <c r="Q2372" s="2" t="b">
        <f>FALSE()</f>
        <v>0</v>
      </c>
      <c r="R2372">
        <v>0</v>
      </c>
    </row>
    <row r="2373" spans="1:18" x14ac:dyDescent="0.25">
      <c r="A2373">
        <v>202372</v>
      </c>
      <c r="B2373">
        <v>50084</v>
      </c>
      <c r="C2373" t="s">
        <v>34</v>
      </c>
      <c r="D2373">
        <v>2603.5100000000002</v>
      </c>
      <c r="E2373">
        <v>3504</v>
      </c>
      <c r="F2373">
        <v>1</v>
      </c>
      <c r="G2373">
        <v>3</v>
      </c>
      <c r="H2373">
        <v>0</v>
      </c>
      <c r="I2373" t="s">
        <v>19</v>
      </c>
      <c r="J2373">
        <v>0</v>
      </c>
      <c r="K2373">
        <v>52</v>
      </c>
      <c r="L2373" t="s">
        <v>20</v>
      </c>
      <c r="M2373" t="s">
        <v>25</v>
      </c>
      <c r="N2373" t="s">
        <v>22</v>
      </c>
      <c r="O2373" t="s">
        <v>36</v>
      </c>
      <c r="P2373">
        <v>2.25</v>
      </c>
      <c r="Q2373" s="2" t="b">
        <f>FALSE()</f>
        <v>0</v>
      </c>
      <c r="R2373">
        <v>0</v>
      </c>
    </row>
    <row r="2374" spans="1:18" x14ac:dyDescent="0.25">
      <c r="A2374">
        <v>202373</v>
      </c>
      <c r="B2374">
        <v>50642</v>
      </c>
      <c r="C2374" t="s">
        <v>18</v>
      </c>
      <c r="D2374">
        <v>2705.28</v>
      </c>
      <c r="E2374">
        <v>1306</v>
      </c>
      <c r="F2374">
        <v>1</v>
      </c>
      <c r="G2374">
        <v>3</v>
      </c>
      <c r="H2374">
        <v>0</v>
      </c>
      <c r="I2374" t="s">
        <v>33</v>
      </c>
      <c r="J2374">
        <v>1</v>
      </c>
      <c r="K2374">
        <v>39</v>
      </c>
      <c r="L2374" t="s">
        <v>20</v>
      </c>
      <c r="M2374" t="s">
        <v>35</v>
      </c>
      <c r="N2374" t="s">
        <v>22</v>
      </c>
      <c r="O2374" t="s">
        <v>36</v>
      </c>
      <c r="P2374">
        <v>5.57</v>
      </c>
      <c r="Q2374" s="2" t="b">
        <f>FALSE()</f>
        <v>0</v>
      </c>
      <c r="R2374">
        <v>0</v>
      </c>
    </row>
    <row r="2375" spans="1:18" x14ac:dyDescent="0.25">
      <c r="A2375">
        <v>202374</v>
      </c>
      <c r="B2375">
        <v>53245</v>
      </c>
      <c r="C2375" t="s">
        <v>18</v>
      </c>
      <c r="D2375">
        <v>382.66</v>
      </c>
      <c r="E2375">
        <v>3134</v>
      </c>
      <c r="F2375">
        <v>2</v>
      </c>
      <c r="G2375">
        <v>4</v>
      </c>
      <c r="H2375">
        <v>1</v>
      </c>
      <c r="I2375" t="s">
        <v>19</v>
      </c>
      <c r="J2375">
        <v>0</v>
      </c>
      <c r="K2375">
        <v>45</v>
      </c>
      <c r="L2375" t="s">
        <v>24</v>
      </c>
      <c r="M2375" t="s">
        <v>31</v>
      </c>
      <c r="N2375" t="s">
        <v>30</v>
      </c>
      <c r="O2375" t="s">
        <v>23</v>
      </c>
      <c r="P2375">
        <v>0.16</v>
      </c>
      <c r="Q2375" s="2" t="b">
        <f>FALSE()</f>
        <v>0</v>
      </c>
      <c r="R2375">
        <v>0</v>
      </c>
    </row>
    <row r="2376" spans="1:18" x14ac:dyDescent="0.25">
      <c r="A2376">
        <v>202375</v>
      </c>
      <c r="B2376">
        <v>54280</v>
      </c>
      <c r="C2376" t="s">
        <v>34</v>
      </c>
      <c r="D2376">
        <v>6883.04</v>
      </c>
      <c r="E2376">
        <v>3582</v>
      </c>
      <c r="F2376">
        <v>0</v>
      </c>
      <c r="G2376">
        <v>4</v>
      </c>
      <c r="H2376">
        <v>0</v>
      </c>
      <c r="I2376" t="s">
        <v>33</v>
      </c>
      <c r="J2376">
        <v>0</v>
      </c>
      <c r="K2376">
        <v>22</v>
      </c>
      <c r="L2376" t="s">
        <v>20</v>
      </c>
      <c r="M2376" t="s">
        <v>25</v>
      </c>
      <c r="N2376" t="s">
        <v>30</v>
      </c>
      <c r="O2376" t="s">
        <v>27</v>
      </c>
      <c r="P2376">
        <v>1.25</v>
      </c>
      <c r="Q2376" s="2" t="b">
        <f>FALSE()</f>
        <v>0</v>
      </c>
      <c r="R2376">
        <v>1</v>
      </c>
    </row>
    <row r="2377" spans="1:18" x14ac:dyDescent="0.25">
      <c r="A2377">
        <v>202376</v>
      </c>
      <c r="B2377">
        <v>52953</v>
      </c>
      <c r="C2377" t="s">
        <v>34</v>
      </c>
      <c r="D2377">
        <v>3945.75</v>
      </c>
      <c r="E2377">
        <v>994</v>
      </c>
      <c r="F2377">
        <v>1</v>
      </c>
      <c r="G2377">
        <v>6</v>
      </c>
      <c r="H2377">
        <v>1</v>
      </c>
      <c r="I2377" t="s">
        <v>19</v>
      </c>
      <c r="J2377">
        <v>0</v>
      </c>
      <c r="K2377">
        <v>74</v>
      </c>
      <c r="L2377" t="s">
        <v>24</v>
      </c>
      <c r="M2377" t="s">
        <v>31</v>
      </c>
      <c r="N2377" t="s">
        <v>30</v>
      </c>
      <c r="O2377" t="s">
        <v>27</v>
      </c>
      <c r="P2377">
        <v>2.75</v>
      </c>
      <c r="Q2377" s="2" t="b">
        <f>FALSE()</f>
        <v>0</v>
      </c>
      <c r="R2377">
        <v>1</v>
      </c>
    </row>
    <row r="2378" spans="1:18" x14ac:dyDescent="0.25">
      <c r="A2378">
        <v>202377</v>
      </c>
      <c r="B2378">
        <v>53140</v>
      </c>
      <c r="C2378" t="s">
        <v>18</v>
      </c>
      <c r="D2378">
        <v>812.41</v>
      </c>
      <c r="E2378">
        <v>1701</v>
      </c>
      <c r="F2378">
        <v>1</v>
      </c>
      <c r="G2378">
        <v>4</v>
      </c>
      <c r="H2378">
        <v>0</v>
      </c>
      <c r="I2378" t="s">
        <v>19</v>
      </c>
      <c r="J2378">
        <v>0</v>
      </c>
      <c r="K2378">
        <v>71</v>
      </c>
      <c r="L2378" t="s">
        <v>20</v>
      </c>
      <c r="M2378" t="s">
        <v>37</v>
      </c>
      <c r="N2378" t="s">
        <v>30</v>
      </c>
      <c r="O2378" t="s">
        <v>36</v>
      </c>
      <c r="P2378">
        <v>12.57</v>
      </c>
      <c r="Q2378" s="2" t="b">
        <f>FALSE()</f>
        <v>0</v>
      </c>
      <c r="R2378">
        <v>0</v>
      </c>
    </row>
    <row r="2379" spans="1:18" x14ac:dyDescent="0.25">
      <c r="A2379">
        <v>202378</v>
      </c>
      <c r="B2379">
        <v>53876</v>
      </c>
      <c r="C2379" t="s">
        <v>34</v>
      </c>
      <c r="D2379">
        <v>759.17</v>
      </c>
      <c r="E2379">
        <v>399</v>
      </c>
      <c r="F2379">
        <v>1</v>
      </c>
      <c r="G2379">
        <v>7</v>
      </c>
      <c r="H2379">
        <v>0</v>
      </c>
      <c r="I2379" t="s">
        <v>33</v>
      </c>
      <c r="J2379">
        <v>1</v>
      </c>
      <c r="K2379">
        <v>83</v>
      </c>
      <c r="L2379" t="s">
        <v>24</v>
      </c>
      <c r="M2379" t="s">
        <v>21</v>
      </c>
      <c r="N2379" t="s">
        <v>26</v>
      </c>
      <c r="O2379" t="s">
        <v>27</v>
      </c>
      <c r="P2379">
        <v>0.24</v>
      </c>
      <c r="Q2379" s="2" t="b">
        <f>FALSE()</f>
        <v>0</v>
      </c>
      <c r="R2379">
        <v>1</v>
      </c>
    </row>
    <row r="2380" spans="1:18" x14ac:dyDescent="0.25">
      <c r="A2380">
        <v>202379</v>
      </c>
      <c r="B2380">
        <v>55193</v>
      </c>
      <c r="C2380" t="s">
        <v>28</v>
      </c>
      <c r="D2380">
        <v>1890.79</v>
      </c>
      <c r="E2380">
        <v>874</v>
      </c>
      <c r="F2380">
        <v>0</v>
      </c>
      <c r="G2380">
        <v>6</v>
      </c>
      <c r="H2380">
        <v>0</v>
      </c>
      <c r="I2380" t="s">
        <v>33</v>
      </c>
      <c r="J2380">
        <v>0</v>
      </c>
      <c r="K2380">
        <v>83</v>
      </c>
      <c r="L2380" t="s">
        <v>24</v>
      </c>
      <c r="M2380" t="s">
        <v>25</v>
      </c>
      <c r="N2380" t="s">
        <v>26</v>
      </c>
      <c r="O2380" t="s">
        <v>36</v>
      </c>
      <c r="P2380">
        <v>0.12</v>
      </c>
      <c r="Q2380" s="2" t="b">
        <f>FALSE()</f>
        <v>0</v>
      </c>
      <c r="R2380">
        <v>0</v>
      </c>
    </row>
    <row r="2381" spans="1:18" x14ac:dyDescent="0.25">
      <c r="A2381">
        <v>202380</v>
      </c>
      <c r="B2381">
        <v>51032</v>
      </c>
      <c r="C2381" t="s">
        <v>34</v>
      </c>
      <c r="D2381">
        <v>1670.27</v>
      </c>
      <c r="E2381">
        <v>1698</v>
      </c>
      <c r="F2381">
        <v>1</v>
      </c>
      <c r="G2381">
        <v>3</v>
      </c>
      <c r="H2381">
        <v>1</v>
      </c>
      <c r="I2381" t="s">
        <v>32</v>
      </c>
      <c r="J2381">
        <v>0</v>
      </c>
      <c r="K2381">
        <v>63</v>
      </c>
      <c r="L2381" t="s">
        <v>20</v>
      </c>
      <c r="M2381" t="s">
        <v>35</v>
      </c>
      <c r="N2381" t="s">
        <v>30</v>
      </c>
      <c r="O2381" t="s">
        <v>27</v>
      </c>
      <c r="P2381">
        <v>4.12</v>
      </c>
      <c r="Q2381" s="2" t="b">
        <f>FALSE()</f>
        <v>0</v>
      </c>
      <c r="R2381">
        <v>0</v>
      </c>
    </row>
    <row r="2382" spans="1:18" x14ac:dyDescent="0.25">
      <c r="A2382">
        <v>202381</v>
      </c>
      <c r="B2382">
        <v>50943</v>
      </c>
      <c r="C2382" t="s">
        <v>18</v>
      </c>
      <c r="D2382">
        <v>579.03</v>
      </c>
      <c r="E2382">
        <v>200</v>
      </c>
      <c r="F2382">
        <v>1</v>
      </c>
      <c r="G2382">
        <v>3</v>
      </c>
      <c r="H2382">
        <v>0</v>
      </c>
      <c r="I2382" t="s">
        <v>19</v>
      </c>
      <c r="J2382">
        <v>0</v>
      </c>
      <c r="K2382">
        <v>71</v>
      </c>
      <c r="L2382" t="s">
        <v>20</v>
      </c>
      <c r="M2382" t="s">
        <v>37</v>
      </c>
      <c r="N2382" t="s">
        <v>30</v>
      </c>
      <c r="O2382" t="s">
        <v>23</v>
      </c>
      <c r="P2382">
        <v>0.71</v>
      </c>
      <c r="Q2382" s="2" t="b">
        <f>FALSE()</f>
        <v>0</v>
      </c>
      <c r="R2382">
        <v>0</v>
      </c>
    </row>
    <row r="2383" spans="1:18" x14ac:dyDescent="0.25">
      <c r="A2383">
        <v>202382</v>
      </c>
      <c r="B2383">
        <v>52866</v>
      </c>
      <c r="C2383" t="s">
        <v>34</v>
      </c>
      <c r="D2383">
        <v>712.23</v>
      </c>
      <c r="E2383">
        <v>1866</v>
      </c>
      <c r="F2383">
        <v>2</v>
      </c>
      <c r="G2383">
        <v>8</v>
      </c>
      <c r="H2383">
        <v>0</v>
      </c>
      <c r="I2383" t="s">
        <v>33</v>
      </c>
      <c r="J2383">
        <v>0</v>
      </c>
      <c r="K2383">
        <v>74</v>
      </c>
      <c r="L2383" t="s">
        <v>24</v>
      </c>
      <c r="M2383" t="s">
        <v>29</v>
      </c>
      <c r="N2383" t="s">
        <v>26</v>
      </c>
      <c r="O2383" t="s">
        <v>27</v>
      </c>
      <c r="P2383">
        <v>1.88</v>
      </c>
      <c r="Q2383" s="2" t="b">
        <f>FALSE()</f>
        <v>0</v>
      </c>
      <c r="R2383">
        <v>1</v>
      </c>
    </row>
    <row r="2384" spans="1:18" x14ac:dyDescent="0.25">
      <c r="A2384">
        <v>202383</v>
      </c>
      <c r="B2384">
        <v>52612</v>
      </c>
      <c r="C2384" t="s">
        <v>18</v>
      </c>
      <c r="D2384">
        <v>3269.77</v>
      </c>
      <c r="E2384">
        <v>534</v>
      </c>
      <c r="F2384">
        <v>0</v>
      </c>
      <c r="G2384">
        <v>4</v>
      </c>
      <c r="H2384">
        <v>1</v>
      </c>
      <c r="I2384" t="s">
        <v>19</v>
      </c>
      <c r="J2384">
        <v>0</v>
      </c>
      <c r="K2384">
        <v>80</v>
      </c>
      <c r="L2384" t="s">
        <v>20</v>
      </c>
      <c r="M2384" t="s">
        <v>21</v>
      </c>
      <c r="N2384" t="s">
        <v>30</v>
      </c>
      <c r="O2384" t="s">
        <v>27</v>
      </c>
      <c r="P2384">
        <v>5.28</v>
      </c>
      <c r="Q2384" s="2" t="b">
        <f>FALSE()</f>
        <v>0</v>
      </c>
      <c r="R2384">
        <v>0</v>
      </c>
    </row>
    <row r="2385" spans="1:18" x14ac:dyDescent="0.25">
      <c r="A2385">
        <v>202384</v>
      </c>
      <c r="B2385">
        <v>51724</v>
      </c>
      <c r="C2385" t="s">
        <v>34</v>
      </c>
      <c r="D2385">
        <v>2652.53</v>
      </c>
      <c r="E2385">
        <v>2392</v>
      </c>
      <c r="F2385">
        <v>1</v>
      </c>
      <c r="G2385">
        <v>3</v>
      </c>
      <c r="H2385">
        <v>0</v>
      </c>
      <c r="I2385" t="s">
        <v>33</v>
      </c>
      <c r="J2385">
        <v>0</v>
      </c>
      <c r="K2385">
        <v>28</v>
      </c>
      <c r="L2385" t="s">
        <v>20</v>
      </c>
      <c r="M2385" t="s">
        <v>35</v>
      </c>
      <c r="N2385" t="s">
        <v>22</v>
      </c>
      <c r="O2385" t="s">
        <v>23</v>
      </c>
      <c r="P2385">
        <v>3.51</v>
      </c>
      <c r="Q2385" s="2" t="b">
        <f>FALSE()</f>
        <v>0</v>
      </c>
      <c r="R2385">
        <v>0</v>
      </c>
    </row>
    <row r="2386" spans="1:18" x14ac:dyDescent="0.25">
      <c r="A2386">
        <v>202385</v>
      </c>
      <c r="B2386">
        <v>55388</v>
      </c>
      <c r="C2386" t="s">
        <v>18</v>
      </c>
      <c r="D2386">
        <v>3411.4</v>
      </c>
      <c r="E2386">
        <v>1475</v>
      </c>
      <c r="F2386">
        <v>1</v>
      </c>
      <c r="G2386">
        <v>3</v>
      </c>
      <c r="H2386">
        <v>1</v>
      </c>
      <c r="I2386" t="s">
        <v>33</v>
      </c>
      <c r="J2386">
        <v>0</v>
      </c>
      <c r="K2386">
        <v>75</v>
      </c>
      <c r="L2386" t="s">
        <v>20</v>
      </c>
      <c r="M2386" t="s">
        <v>37</v>
      </c>
      <c r="N2386" t="s">
        <v>22</v>
      </c>
      <c r="O2386" t="s">
        <v>27</v>
      </c>
      <c r="P2386">
        <v>9.07</v>
      </c>
      <c r="Q2386" s="2" t="b">
        <f>FALSE()</f>
        <v>0</v>
      </c>
      <c r="R2386">
        <v>0</v>
      </c>
    </row>
    <row r="2387" spans="1:18" x14ac:dyDescent="0.25">
      <c r="A2387">
        <v>202386</v>
      </c>
      <c r="B2387">
        <v>55777</v>
      </c>
      <c r="C2387" t="s">
        <v>28</v>
      </c>
      <c r="D2387">
        <v>1637.29</v>
      </c>
      <c r="E2387">
        <v>51</v>
      </c>
      <c r="F2387">
        <v>0</v>
      </c>
      <c r="G2387">
        <v>6</v>
      </c>
      <c r="H2387">
        <v>0</v>
      </c>
      <c r="I2387" t="s">
        <v>19</v>
      </c>
      <c r="J2387">
        <v>1</v>
      </c>
      <c r="K2387">
        <v>32</v>
      </c>
      <c r="L2387" t="s">
        <v>24</v>
      </c>
      <c r="M2387" t="s">
        <v>29</v>
      </c>
      <c r="N2387" t="s">
        <v>30</v>
      </c>
      <c r="O2387" t="s">
        <v>27</v>
      </c>
      <c r="P2387">
        <v>0.89</v>
      </c>
      <c r="Q2387" s="2" t="b">
        <f>FALSE()</f>
        <v>0</v>
      </c>
      <c r="R2387">
        <v>0</v>
      </c>
    </row>
    <row r="2388" spans="1:18" x14ac:dyDescent="0.25">
      <c r="A2388">
        <v>202387</v>
      </c>
      <c r="B2388">
        <v>54347</v>
      </c>
      <c r="C2388" t="s">
        <v>18</v>
      </c>
      <c r="D2388">
        <v>1653.23</v>
      </c>
      <c r="E2388">
        <v>2347</v>
      </c>
      <c r="F2388">
        <v>1</v>
      </c>
      <c r="G2388">
        <v>4</v>
      </c>
      <c r="H2388">
        <v>0</v>
      </c>
      <c r="I2388" t="s">
        <v>33</v>
      </c>
      <c r="J2388">
        <v>0</v>
      </c>
      <c r="K2388">
        <v>43</v>
      </c>
      <c r="L2388" t="s">
        <v>20</v>
      </c>
      <c r="M2388" t="s">
        <v>31</v>
      </c>
      <c r="N2388" t="s">
        <v>22</v>
      </c>
      <c r="O2388" t="s">
        <v>36</v>
      </c>
      <c r="P2388">
        <v>0.27</v>
      </c>
      <c r="Q2388" s="2" t="b">
        <f>FALSE()</f>
        <v>0</v>
      </c>
      <c r="R2388">
        <v>0</v>
      </c>
    </row>
    <row r="2389" spans="1:18" x14ac:dyDescent="0.25">
      <c r="A2389">
        <v>202388</v>
      </c>
      <c r="B2389">
        <v>51602</v>
      </c>
      <c r="C2389" t="s">
        <v>34</v>
      </c>
      <c r="D2389">
        <v>1184.1199999999999</v>
      </c>
      <c r="E2389">
        <v>572</v>
      </c>
      <c r="F2389">
        <v>0</v>
      </c>
      <c r="G2389">
        <v>3</v>
      </c>
      <c r="H2389">
        <v>1</v>
      </c>
      <c r="I2389" t="s">
        <v>33</v>
      </c>
      <c r="J2389">
        <v>0</v>
      </c>
      <c r="K2389">
        <v>30</v>
      </c>
      <c r="L2389" t="s">
        <v>38</v>
      </c>
      <c r="M2389" t="s">
        <v>25</v>
      </c>
      <c r="N2389" t="s">
        <v>26</v>
      </c>
      <c r="O2389" t="s">
        <v>36</v>
      </c>
      <c r="P2389">
        <v>0.2</v>
      </c>
      <c r="Q2389" s="2" t="b">
        <f>FALSE()</f>
        <v>0</v>
      </c>
      <c r="R2389">
        <v>0</v>
      </c>
    </row>
    <row r="2390" spans="1:18" x14ac:dyDescent="0.25">
      <c r="A2390">
        <v>202389</v>
      </c>
      <c r="B2390">
        <v>50132</v>
      </c>
      <c r="C2390" t="s">
        <v>28</v>
      </c>
      <c r="D2390">
        <v>1425.81</v>
      </c>
      <c r="E2390">
        <v>917</v>
      </c>
      <c r="F2390">
        <v>3</v>
      </c>
      <c r="G2390">
        <v>6</v>
      </c>
      <c r="H2390">
        <v>0</v>
      </c>
      <c r="I2390" t="s">
        <v>33</v>
      </c>
      <c r="J2390">
        <v>0</v>
      </c>
      <c r="K2390">
        <v>21</v>
      </c>
      <c r="L2390" t="s">
        <v>20</v>
      </c>
      <c r="M2390" t="s">
        <v>21</v>
      </c>
      <c r="N2390" t="s">
        <v>30</v>
      </c>
      <c r="O2390" t="s">
        <v>36</v>
      </c>
      <c r="P2390">
        <v>0.12</v>
      </c>
      <c r="Q2390" s="2" t="b">
        <f>FALSE()</f>
        <v>0</v>
      </c>
      <c r="R2390">
        <v>1</v>
      </c>
    </row>
    <row r="2391" spans="1:18" x14ac:dyDescent="0.25">
      <c r="A2391">
        <v>202390</v>
      </c>
      <c r="B2391">
        <v>52922</v>
      </c>
      <c r="C2391" t="s">
        <v>18</v>
      </c>
      <c r="D2391">
        <v>2148.4499999999998</v>
      </c>
      <c r="E2391">
        <v>2834</v>
      </c>
      <c r="F2391">
        <v>1</v>
      </c>
      <c r="G2391">
        <v>5</v>
      </c>
      <c r="H2391">
        <v>0</v>
      </c>
      <c r="I2391" t="s">
        <v>33</v>
      </c>
      <c r="J2391">
        <v>0</v>
      </c>
      <c r="K2391">
        <v>33</v>
      </c>
      <c r="L2391" t="s">
        <v>20</v>
      </c>
      <c r="M2391" t="s">
        <v>31</v>
      </c>
      <c r="N2391" t="s">
        <v>30</v>
      </c>
      <c r="O2391" t="s">
        <v>27</v>
      </c>
      <c r="P2391">
        <v>0.66</v>
      </c>
      <c r="Q2391" s="2" t="b">
        <f>FALSE()</f>
        <v>0</v>
      </c>
      <c r="R2391">
        <v>0</v>
      </c>
    </row>
    <row r="2392" spans="1:18" x14ac:dyDescent="0.25">
      <c r="A2392">
        <v>202391</v>
      </c>
      <c r="B2392">
        <v>51417</v>
      </c>
      <c r="C2392" t="s">
        <v>34</v>
      </c>
      <c r="D2392">
        <v>2368.39</v>
      </c>
      <c r="E2392">
        <v>686</v>
      </c>
      <c r="F2392">
        <v>0</v>
      </c>
      <c r="G2392">
        <v>1</v>
      </c>
      <c r="H2392">
        <v>1</v>
      </c>
      <c r="I2392" t="s">
        <v>33</v>
      </c>
      <c r="J2392">
        <v>0</v>
      </c>
      <c r="K2392">
        <v>41</v>
      </c>
      <c r="L2392" t="s">
        <v>20</v>
      </c>
      <c r="M2392" t="s">
        <v>21</v>
      </c>
      <c r="N2392" t="s">
        <v>22</v>
      </c>
      <c r="O2392" t="s">
        <v>23</v>
      </c>
      <c r="P2392">
        <v>3.26</v>
      </c>
      <c r="Q2392" s="2" t="b">
        <f>FALSE()</f>
        <v>0</v>
      </c>
      <c r="R2392">
        <v>0</v>
      </c>
    </row>
    <row r="2393" spans="1:18" x14ac:dyDescent="0.25">
      <c r="A2393">
        <v>202392</v>
      </c>
      <c r="B2393">
        <v>51601</v>
      </c>
      <c r="C2393" t="s">
        <v>34</v>
      </c>
      <c r="D2393">
        <v>2907.72</v>
      </c>
      <c r="E2393">
        <v>275</v>
      </c>
      <c r="F2393">
        <v>1</v>
      </c>
      <c r="G2393">
        <v>8</v>
      </c>
      <c r="H2393">
        <v>0</v>
      </c>
      <c r="I2393" t="s">
        <v>33</v>
      </c>
      <c r="J2393">
        <v>0</v>
      </c>
      <c r="K2393">
        <v>53</v>
      </c>
      <c r="L2393" t="s">
        <v>20</v>
      </c>
      <c r="M2393" t="s">
        <v>21</v>
      </c>
      <c r="N2393" t="s">
        <v>22</v>
      </c>
      <c r="O2393" t="s">
        <v>36</v>
      </c>
      <c r="P2393">
        <v>6.2</v>
      </c>
      <c r="Q2393" s="2" t="b">
        <f>FALSE()</f>
        <v>0</v>
      </c>
      <c r="R2393">
        <v>1</v>
      </c>
    </row>
    <row r="2394" spans="1:18" x14ac:dyDescent="0.25">
      <c r="A2394">
        <v>202393</v>
      </c>
      <c r="B2394">
        <v>51340</v>
      </c>
      <c r="C2394" t="s">
        <v>18</v>
      </c>
      <c r="D2394">
        <v>434.61</v>
      </c>
      <c r="E2394">
        <v>2971</v>
      </c>
      <c r="F2394">
        <v>0</v>
      </c>
      <c r="G2394">
        <v>4</v>
      </c>
      <c r="H2394">
        <v>0</v>
      </c>
      <c r="I2394" t="s">
        <v>33</v>
      </c>
      <c r="J2394">
        <v>0</v>
      </c>
      <c r="K2394">
        <v>41</v>
      </c>
      <c r="L2394" t="s">
        <v>24</v>
      </c>
      <c r="M2394" t="s">
        <v>37</v>
      </c>
      <c r="N2394" t="s">
        <v>22</v>
      </c>
      <c r="O2394" t="s">
        <v>27</v>
      </c>
      <c r="P2394">
        <v>3.17</v>
      </c>
      <c r="Q2394" s="2" t="b">
        <f>FALSE()</f>
        <v>0</v>
      </c>
      <c r="R2394">
        <v>0</v>
      </c>
    </row>
    <row r="2395" spans="1:18" x14ac:dyDescent="0.25">
      <c r="A2395">
        <v>202394</v>
      </c>
      <c r="B2395">
        <v>55987</v>
      </c>
      <c r="C2395" t="s">
        <v>34</v>
      </c>
      <c r="D2395">
        <v>2387.86</v>
      </c>
      <c r="E2395">
        <v>3642</v>
      </c>
      <c r="F2395">
        <v>0</v>
      </c>
      <c r="G2395">
        <v>1</v>
      </c>
      <c r="H2395">
        <v>1</v>
      </c>
      <c r="I2395" t="s">
        <v>19</v>
      </c>
      <c r="J2395">
        <v>0</v>
      </c>
      <c r="K2395">
        <v>73</v>
      </c>
      <c r="L2395" t="s">
        <v>38</v>
      </c>
      <c r="M2395" t="s">
        <v>21</v>
      </c>
      <c r="N2395" t="s">
        <v>22</v>
      </c>
      <c r="O2395" t="s">
        <v>23</v>
      </c>
      <c r="P2395">
        <v>3.13</v>
      </c>
      <c r="Q2395" s="2" t="b">
        <f>FALSE()</f>
        <v>0</v>
      </c>
      <c r="R2395">
        <v>0</v>
      </c>
    </row>
    <row r="2396" spans="1:18" x14ac:dyDescent="0.25">
      <c r="A2396">
        <v>202395</v>
      </c>
      <c r="B2396">
        <v>50364</v>
      </c>
      <c r="C2396" t="s">
        <v>28</v>
      </c>
      <c r="D2396">
        <v>2372.41</v>
      </c>
      <c r="E2396">
        <v>3107</v>
      </c>
      <c r="F2396">
        <v>1</v>
      </c>
      <c r="G2396">
        <v>4</v>
      </c>
      <c r="H2396">
        <v>0</v>
      </c>
      <c r="I2396" t="s">
        <v>19</v>
      </c>
      <c r="J2396">
        <v>0</v>
      </c>
      <c r="K2396">
        <v>53</v>
      </c>
      <c r="L2396" t="s">
        <v>20</v>
      </c>
      <c r="M2396" t="s">
        <v>31</v>
      </c>
      <c r="N2396" t="s">
        <v>22</v>
      </c>
      <c r="O2396" t="s">
        <v>23</v>
      </c>
      <c r="P2396">
        <v>0.68</v>
      </c>
      <c r="Q2396" s="2" t="b">
        <f>FALSE()</f>
        <v>0</v>
      </c>
      <c r="R2396">
        <v>0</v>
      </c>
    </row>
    <row r="2397" spans="1:18" x14ac:dyDescent="0.25">
      <c r="A2397">
        <v>202396</v>
      </c>
      <c r="B2397">
        <v>51188</v>
      </c>
      <c r="C2397" t="s">
        <v>34</v>
      </c>
      <c r="D2397">
        <v>2107.5100000000002</v>
      </c>
      <c r="E2397">
        <v>1792</v>
      </c>
      <c r="F2397">
        <v>1</v>
      </c>
      <c r="G2397">
        <v>4</v>
      </c>
      <c r="H2397">
        <v>0</v>
      </c>
      <c r="I2397" t="s">
        <v>19</v>
      </c>
      <c r="J2397">
        <v>0</v>
      </c>
      <c r="K2397">
        <v>59</v>
      </c>
      <c r="L2397" t="s">
        <v>20</v>
      </c>
      <c r="M2397" t="s">
        <v>37</v>
      </c>
      <c r="N2397" t="s">
        <v>26</v>
      </c>
      <c r="O2397" t="s">
        <v>36</v>
      </c>
      <c r="P2397">
        <v>0.87</v>
      </c>
      <c r="Q2397" s="2" t="b">
        <f>FALSE()</f>
        <v>0</v>
      </c>
      <c r="R2397">
        <v>0</v>
      </c>
    </row>
    <row r="2398" spans="1:18" x14ac:dyDescent="0.25">
      <c r="A2398">
        <v>202397</v>
      </c>
      <c r="B2398">
        <v>51203</v>
      </c>
      <c r="C2398" t="s">
        <v>18</v>
      </c>
      <c r="D2398">
        <v>998.41</v>
      </c>
      <c r="E2398">
        <v>1168</v>
      </c>
      <c r="F2398">
        <v>1</v>
      </c>
      <c r="G2398">
        <v>4</v>
      </c>
      <c r="H2398">
        <v>0</v>
      </c>
      <c r="I2398" t="s">
        <v>33</v>
      </c>
      <c r="J2398">
        <v>0</v>
      </c>
      <c r="K2398">
        <v>76</v>
      </c>
      <c r="L2398" t="s">
        <v>20</v>
      </c>
      <c r="M2398" t="s">
        <v>37</v>
      </c>
      <c r="N2398" t="s">
        <v>22</v>
      </c>
      <c r="O2398" t="s">
        <v>27</v>
      </c>
      <c r="P2398">
        <v>5.39</v>
      </c>
      <c r="Q2398" s="2" t="b">
        <f>FALSE()</f>
        <v>0</v>
      </c>
      <c r="R2398">
        <v>0</v>
      </c>
    </row>
    <row r="2399" spans="1:18" x14ac:dyDescent="0.25">
      <c r="A2399">
        <v>202398</v>
      </c>
      <c r="B2399">
        <v>52140</v>
      </c>
      <c r="C2399" t="s">
        <v>34</v>
      </c>
      <c r="D2399">
        <v>6639.34</v>
      </c>
      <c r="E2399">
        <v>1834</v>
      </c>
      <c r="F2399">
        <v>0</v>
      </c>
      <c r="G2399">
        <v>1</v>
      </c>
      <c r="H2399">
        <v>1</v>
      </c>
      <c r="I2399" t="s">
        <v>19</v>
      </c>
      <c r="J2399">
        <v>0</v>
      </c>
      <c r="K2399">
        <v>35</v>
      </c>
      <c r="L2399" t="s">
        <v>20</v>
      </c>
      <c r="M2399" t="s">
        <v>35</v>
      </c>
      <c r="N2399" t="s">
        <v>22</v>
      </c>
      <c r="O2399" t="s">
        <v>36</v>
      </c>
      <c r="P2399">
        <v>5.85</v>
      </c>
      <c r="Q2399" s="2" t="b">
        <f>FALSE()</f>
        <v>0</v>
      </c>
      <c r="R2399">
        <v>1</v>
      </c>
    </row>
    <row r="2400" spans="1:18" x14ac:dyDescent="0.25">
      <c r="A2400">
        <v>202399</v>
      </c>
      <c r="B2400">
        <v>54446</v>
      </c>
      <c r="C2400" t="s">
        <v>34</v>
      </c>
      <c r="D2400">
        <v>4215.74</v>
      </c>
      <c r="E2400">
        <v>143</v>
      </c>
      <c r="F2400">
        <v>1</v>
      </c>
      <c r="G2400">
        <v>4</v>
      </c>
      <c r="H2400">
        <v>0</v>
      </c>
      <c r="I2400" t="s">
        <v>33</v>
      </c>
      <c r="J2400">
        <v>0</v>
      </c>
      <c r="K2400">
        <v>78</v>
      </c>
      <c r="L2400" t="s">
        <v>24</v>
      </c>
      <c r="M2400" t="s">
        <v>21</v>
      </c>
      <c r="N2400" t="s">
        <v>22</v>
      </c>
      <c r="O2400" t="s">
        <v>27</v>
      </c>
      <c r="P2400">
        <v>0.18</v>
      </c>
      <c r="Q2400" s="2" t="b">
        <f>FALSE()</f>
        <v>0</v>
      </c>
      <c r="R2400">
        <v>1</v>
      </c>
    </row>
    <row r="2401" spans="1:18" x14ac:dyDescent="0.25">
      <c r="A2401">
        <v>202400</v>
      </c>
      <c r="B2401">
        <v>53492</v>
      </c>
      <c r="C2401" t="s">
        <v>18</v>
      </c>
      <c r="D2401">
        <v>1149.5</v>
      </c>
      <c r="E2401">
        <v>647</v>
      </c>
      <c r="F2401">
        <v>0</v>
      </c>
      <c r="G2401">
        <v>6</v>
      </c>
      <c r="H2401">
        <v>1</v>
      </c>
      <c r="I2401" t="s">
        <v>19</v>
      </c>
      <c r="J2401">
        <v>0</v>
      </c>
      <c r="K2401">
        <v>20</v>
      </c>
      <c r="L2401" t="s">
        <v>20</v>
      </c>
      <c r="M2401" t="s">
        <v>37</v>
      </c>
      <c r="N2401" t="s">
        <v>22</v>
      </c>
      <c r="O2401" t="s">
        <v>36</v>
      </c>
      <c r="P2401">
        <v>0.17</v>
      </c>
      <c r="Q2401" s="2" t="b">
        <f>FALSE()</f>
        <v>0</v>
      </c>
      <c r="R2401">
        <v>0</v>
      </c>
    </row>
    <row r="2402" spans="1:18" x14ac:dyDescent="0.25">
      <c r="A2402">
        <v>202401</v>
      </c>
      <c r="B2402">
        <v>53910</v>
      </c>
      <c r="C2402" t="s">
        <v>34</v>
      </c>
      <c r="D2402">
        <v>535.52</v>
      </c>
      <c r="E2402">
        <v>1862</v>
      </c>
      <c r="F2402">
        <v>2</v>
      </c>
      <c r="G2402">
        <v>6</v>
      </c>
      <c r="H2402">
        <v>1</v>
      </c>
      <c r="I2402" t="s">
        <v>33</v>
      </c>
      <c r="J2402">
        <v>0</v>
      </c>
      <c r="K2402">
        <v>67</v>
      </c>
      <c r="L2402" t="s">
        <v>20</v>
      </c>
      <c r="M2402" t="s">
        <v>35</v>
      </c>
      <c r="N2402" t="s">
        <v>22</v>
      </c>
      <c r="O2402" t="s">
        <v>27</v>
      </c>
      <c r="P2402">
        <v>1.71</v>
      </c>
      <c r="Q2402" s="2" t="b">
        <f>FALSE()</f>
        <v>0</v>
      </c>
      <c r="R2402">
        <v>0</v>
      </c>
    </row>
    <row r="2403" spans="1:18" x14ac:dyDescent="0.25">
      <c r="A2403">
        <v>202402</v>
      </c>
      <c r="B2403">
        <v>53040</v>
      </c>
      <c r="C2403" t="s">
        <v>18</v>
      </c>
      <c r="D2403">
        <v>2276.06</v>
      </c>
      <c r="E2403">
        <v>920</v>
      </c>
      <c r="F2403">
        <v>1</v>
      </c>
      <c r="G2403">
        <v>4</v>
      </c>
      <c r="H2403">
        <v>0</v>
      </c>
      <c r="I2403" t="s">
        <v>33</v>
      </c>
      <c r="J2403">
        <v>1</v>
      </c>
      <c r="K2403">
        <v>48</v>
      </c>
      <c r="L2403" t="s">
        <v>24</v>
      </c>
      <c r="M2403" t="s">
        <v>21</v>
      </c>
      <c r="N2403" t="s">
        <v>30</v>
      </c>
      <c r="O2403" t="s">
        <v>36</v>
      </c>
      <c r="P2403">
        <v>0.15</v>
      </c>
      <c r="Q2403" s="2" t="b">
        <f>FALSE()</f>
        <v>0</v>
      </c>
      <c r="R2403">
        <v>0</v>
      </c>
    </row>
    <row r="2404" spans="1:18" x14ac:dyDescent="0.25">
      <c r="A2404">
        <v>202403</v>
      </c>
      <c r="B2404">
        <v>54957</v>
      </c>
      <c r="C2404" t="s">
        <v>28</v>
      </c>
      <c r="D2404">
        <v>3397.24</v>
      </c>
      <c r="E2404">
        <v>2525</v>
      </c>
      <c r="F2404">
        <v>3</v>
      </c>
      <c r="G2404">
        <v>4</v>
      </c>
      <c r="H2404">
        <v>0</v>
      </c>
      <c r="I2404" t="s">
        <v>33</v>
      </c>
      <c r="J2404">
        <v>1</v>
      </c>
      <c r="K2404">
        <v>26</v>
      </c>
      <c r="L2404" t="s">
        <v>24</v>
      </c>
      <c r="M2404" t="s">
        <v>21</v>
      </c>
      <c r="N2404" t="s">
        <v>22</v>
      </c>
      <c r="O2404" t="s">
        <v>36</v>
      </c>
      <c r="P2404">
        <v>7.14</v>
      </c>
      <c r="Q2404" s="2" t="b">
        <f>FALSE()</f>
        <v>0</v>
      </c>
      <c r="R2404">
        <v>1</v>
      </c>
    </row>
    <row r="2405" spans="1:18" x14ac:dyDescent="0.25">
      <c r="A2405">
        <v>202404</v>
      </c>
      <c r="B2405">
        <v>52200</v>
      </c>
      <c r="C2405" t="s">
        <v>18</v>
      </c>
      <c r="D2405">
        <v>2496.0500000000002</v>
      </c>
      <c r="E2405">
        <v>122</v>
      </c>
      <c r="F2405">
        <v>2</v>
      </c>
      <c r="G2405">
        <v>8</v>
      </c>
      <c r="H2405">
        <v>0</v>
      </c>
      <c r="I2405" t="s">
        <v>33</v>
      </c>
      <c r="J2405">
        <v>1</v>
      </c>
      <c r="K2405">
        <v>20</v>
      </c>
      <c r="L2405" t="s">
        <v>20</v>
      </c>
      <c r="M2405" t="s">
        <v>21</v>
      </c>
      <c r="N2405" t="s">
        <v>22</v>
      </c>
      <c r="O2405" t="s">
        <v>36</v>
      </c>
      <c r="P2405">
        <v>0.87</v>
      </c>
      <c r="Q2405" s="2" t="b">
        <f>FALSE()</f>
        <v>0</v>
      </c>
      <c r="R2405">
        <v>1</v>
      </c>
    </row>
    <row r="2406" spans="1:18" x14ac:dyDescent="0.25">
      <c r="A2406">
        <v>202405</v>
      </c>
      <c r="B2406">
        <v>54931</v>
      </c>
      <c r="C2406" t="s">
        <v>18</v>
      </c>
      <c r="D2406">
        <v>729.17</v>
      </c>
      <c r="E2406">
        <v>1672</v>
      </c>
      <c r="F2406">
        <v>0</v>
      </c>
      <c r="G2406">
        <v>6</v>
      </c>
      <c r="H2406">
        <v>0</v>
      </c>
      <c r="I2406" t="s">
        <v>19</v>
      </c>
      <c r="J2406">
        <v>0</v>
      </c>
      <c r="K2406">
        <v>22</v>
      </c>
      <c r="L2406" t="s">
        <v>24</v>
      </c>
      <c r="M2406" t="s">
        <v>35</v>
      </c>
      <c r="N2406" t="s">
        <v>22</v>
      </c>
      <c r="O2406" t="s">
        <v>36</v>
      </c>
      <c r="P2406">
        <v>0.59</v>
      </c>
      <c r="Q2406" s="2" t="b">
        <f>FALSE()</f>
        <v>0</v>
      </c>
      <c r="R2406">
        <v>0</v>
      </c>
    </row>
    <row r="2407" spans="1:18" x14ac:dyDescent="0.25">
      <c r="A2407">
        <v>202406</v>
      </c>
      <c r="B2407">
        <v>55936</v>
      </c>
      <c r="C2407" t="s">
        <v>18</v>
      </c>
      <c r="D2407">
        <v>789.91</v>
      </c>
      <c r="E2407">
        <v>2696</v>
      </c>
      <c r="F2407">
        <v>1</v>
      </c>
      <c r="G2407">
        <v>4</v>
      </c>
      <c r="H2407">
        <v>0</v>
      </c>
      <c r="I2407" t="s">
        <v>19</v>
      </c>
      <c r="J2407">
        <v>0</v>
      </c>
      <c r="K2407">
        <v>61</v>
      </c>
      <c r="L2407" t="s">
        <v>20</v>
      </c>
      <c r="M2407" t="s">
        <v>29</v>
      </c>
      <c r="N2407" t="s">
        <v>22</v>
      </c>
      <c r="O2407" t="s">
        <v>36</v>
      </c>
      <c r="P2407">
        <v>0.59</v>
      </c>
      <c r="Q2407" s="2" t="b">
        <f>FALSE()</f>
        <v>0</v>
      </c>
      <c r="R2407">
        <v>0</v>
      </c>
    </row>
    <row r="2408" spans="1:18" x14ac:dyDescent="0.25">
      <c r="A2408">
        <v>202407</v>
      </c>
      <c r="B2408">
        <v>52317</v>
      </c>
      <c r="C2408" t="s">
        <v>18</v>
      </c>
      <c r="D2408">
        <v>823.22</v>
      </c>
      <c r="E2408">
        <v>3467</v>
      </c>
      <c r="F2408">
        <v>0</v>
      </c>
      <c r="G2408">
        <v>4</v>
      </c>
      <c r="H2408">
        <v>0</v>
      </c>
      <c r="I2408" t="s">
        <v>33</v>
      </c>
      <c r="J2408">
        <v>0</v>
      </c>
      <c r="K2408">
        <v>77</v>
      </c>
      <c r="L2408" t="s">
        <v>20</v>
      </c>
      <c r="M2408" t="s">
        <v>25</v>
      </c>
      <c r="N2408" t="s">
        <v>30</v>
      </c>
      <c r="O2408" t="s">
        <v>27</v>
      </c>
      <c r="P2408">
        <v>2.25</v>
      </c>
      <c r="Q2408" s="2" t="b">
        <f>FALSE()</f>
        <v>0</v>
      </c>
      <c r="R2408">
        <v>0</v>
      </c>
    </row>
    <row r="2409" spans="1:18" x14ac:dyDescent="0.25">
      <c r="A2409">
        <v>202408</v>
      </c>
      <c r="B2409">
        <v>55852</v>
      </c>
      <c r="C2409" t="s">
        <v>34</v>
      </c>
      <c r="D2409">
        <v>3682.06</v>
      </c>
      <c r="E2409">
        <v>3559</v>
      </c>
      <c r="F2409">
        <v>0</v>
      </c>
      <c r="G2409">
        <v>8</v>
      </c>
      <c r="H2409">
        <v>1</v>
      </c>
      <c r="I2409" t="s">
        <v>33</v>
      </c>
      <c r="J2409">
        <v>1</v>
      </c>
      <c r="K2409">
        <v>69</v>
      </c>
      <c r="L2409" t="s">
        <v>24</v>
      </c>
      <c r="M2409" t="s">
        <v>25</v>
      </c>
      <c r="N2409" t="s">
        <v>22</v>
      </c>
      <c r="O2409" t="s">
        <v>27</v>
      </c>
      <c r="P2409">
        <v>3.88</v>
      </c>
      <c r="Q2409" s="2" t="b">
        <f>FALSE()</f>
        <v>0</v>
      </c>
      <c r="R2409">
        <v>1</v>
      </c>
    </row>
    <row r="2410" spans="1:18" x14ac:dyDescent="0.25">
      <c r="A2410">
        <v>202409</v>
      </c>
      <c r="B2410">
        <v>52842</v>
      </c>
      <c r="C2410" t="s">
        <v>18</v>
      </c>
      <c r="D2410">
        <v>1042.53</v>
      </c>
      <c r="E2410">
        <v>3278</v>
      </c>
      <c r="F2410">
        <v>3</v>
      </c>
      <c r="G2410">
        <v>1</v>
      </c>
      <c r="H2410">
        <v>0</v>
      </c>
      <c r="I2410" t="s">
        <v>33</v>
      </c>
      <c r="J2410">
        <v>0</v>
      </c>
      <c r="K2410">
        <v>29</v>
      </c>
      <c r="L2410" t="s">
        <v>24</v>
      </c>
      <c r="M2410" t="s">
        <v>25</v>
      </c>
      <c r="N2410" t="s">
        <v>22</v>
      </c>
      <c r="O2410" t="s">
        <v>36</v>
      </c>
      <c r="P2410">
        <v>0.21</v>
      </c>
      <c r="Q2410" s="2" t="b">
        <f>FALSE()</f>
        <v>0</v>
      </c>
      <c r="R2410">
        <v>1</v>
      </c>
    </row>
    <row r="2411" spans="1:18" x14ac:dyDescent="0.25">
      <c r="A2411">
        <v>202410</v>
      </c>
      <c r="B2411">
        <v>54812</v>
      </c>
      <c r="C2411" t="s">
        <v>34</v>
      </c>
      <c r="D2411">
        <v>2699.42</v>
      </c>
      <c r="E2411">
        <v>2923</v>
      </c>
      <c r="F2411">
        <v>2</v>
      </c>
      <c r="G2411">
        <v>1</v>
      </c>
      <c r="H2411">
        <v>0</v>
      </c>
      <c r="I2411" t="s">
        <v>33</v>
      </c>
      <c r="J2411">
        <v>0</v>
      </c>
      <c r="K2411">
        <v>29</v>
      </c>
      <c r="L2411" t="s">
        <v>20</v>
      </c>
      <c r="M2411" t="s">
        <v>21</v>
      </c>
      <c r="N2411" t="s">
        <v>22</v>
      </c>
      <c r="O2411" t="s">
        <v>27</v>
      </c>
      <c r="P2411">
        <v>4.4400000000000004</v>
      </c>
      <c r="Q2411" s="2" t="b">
        <f>FALSE()</f>
        <v>0</v>
      </c>
      <c r="R2411">
        <v>0</v>
      </c>
    </row>
    <row r="2412" spans="1:18" x14ac:dyDescent="0.25">
      <c r="A2412">
        <v>202411</v>
      </c>
      <c r="B2412">
        <v>53671</v>
      </c>
      <c r="C2412" t="s">
        <v>18</v>
      </c>
      <c r="D2412">
        <v>1775.14</v>
      </c>
      <c r="E2412">
        <v>1974</v>
      </c>
      <c r="F2412">
        <v>0</v>
      </c>
      <c r="G2412">
        <v>6</v>
      </c>
      <c r="H2412">
        <v>0</v>
      </c>
      <c r="I2412" t="s">
        <v>33</v>
      </c>
      <c r="J2412">
        <v>0</v>
      </c>
      <c r="K2412">
        <v>50</v>
      </c>
      <c r="L2412" t="s">
        <v>20</v>
      </c>
      <c r="M2412" t="s">
        <v>25</v>
      </c>
      <c r="N2412" t="s">
        <v>30</v>
      </c>
      <c r="O2412" t="s">
        <v>36</v>
      </c>
      <c r="P2412">
        <v>7.77</v>
      </c>
      <c r="Q2412" s="2" t="b">
        <f>FALSE()</f>
        <v>0</v>
      </c>
      <c r="R2412">
        <v>0</v>
      </c>
    </row>
    <row r="2413" spans="1:18" x14ac:dyDescent="0.25">
      <c r="A2413">
        <v>202412</v>
      </c>
      <c r="B2413">
        <v>54729</v>
      </c>
      <c r="C2413" t="s">
        <v>18</v>
      </c>
      <c r="D2413">
        <v>1327.84</v>
      </c>
      <c r="E2413">
        <v>3141</v>
      </c>
      <c r="F2413">
        <v>1</v>
      </c>
      <c r="G2413">
        <v>2</v>
      </c>
      <c r="H2413">
        <v>1</v>
      </c>
      <c r="I2413" t="s">
        <v>33</v>
      </c>
      <c r="J2413">
        <v>0</v>
      </c>
      <c r="K2413">
        <v>55</v>
      </c>
      <c r="L2413" t="s">
        <v>24</v>
      </c>
      <c r="M2413" t="s">
        <v>31</v>
      </c>
      <c r="N2413" t="s">
        <v>30</v>
      </c>
      <c r="O2413" t="s">
        <v>36</v>
      </c>
      <c r="P2413">
        <v>2.38</v>
      </c>
      <c r="Q2413" s="2" t="b">
        <f>FALSE()</f>
        <v>0</v>
      </c>
      <c r="R2413">
        <v>0</v>
      </c>
    </row>
    <row r="2414" spans="1:18" x14ac:dyDescent="0.25">
      <c r="A2414">
        <v>202413</v>
      </c>
      <c r="B2414">
        <v>54285</v>
      </c>
      <c r="C2414" t="s">
        <v>34</v>
      </c>
      <c r="D2414">
        <v>633.4</v>
      </c>
      <c r="E2414">
        <v>1858</v>
      </c>
      <c r="F2414">
        <v>1</v>
      </c>
      <c r="G2414">
        <v>2</v>
      </c>
      <c r="H2414">
        <v>0</v>
      </c>
      <c r="I2414" t="s">
        <v>33</v>
      </c>
      <c r="J2414">
        <v>0</v>
      </c>
      <c r="K2414">
        <v>84</v>
      </c>
      <c r="L2414" t="s">
        <v>20</v>
      </c>
      <c r="M2414" t="s">
        <v>29</v>
      </c>
      <c r="N2414" t="s">
        <v>30</v>
      </c>
      <c r="O2414" t="s">
        <v>36</v>
      </c>
      <c r="P2414">
        <v>4.63</v>
      </c>
      <c r="Q2414" s="2" t="b">
        <f>FALSE()</f>
        <v>0</v>
      </c>
      <c r="R2414">
        <v>0</v>
      </c>
    </row>
    <row r="2415" spans="1:18" x14ac:dyDescent="0.25">
      <c r="A2415">
        <v>202414</v>
      </c>
      <c r="B2415">
        <v>54410</v>
      </c>
      <c r="C2415" t="s">
        <v>18</v>
      </c>
      <c r="D2415">
        <v>3768.05</v>
      </c>
      <c r="E2415">
        <v>2954</v>
      </c>
      <c r="F2415">
        <v>1</v>
      </c>
      <c r="G2415">
        <v>5</v>
      </c>
      <c r="H2415">
        <v>1</v>
      </c>
      <c r="I2415" t="s">
        <v>32</v>
      </c>
      <c r="J2415">
        <v>0</v>
      </c>
      <c r="K2415">
        <v>30</v>
      </c>
      <c r="L2415" t="s">
        <v>20</v>
      </c>
      <c r="M2415" t="s">
        <v>37</v>
      </c>
      <c r="N2415" t="s">
        <v>22</v>
      </c>
      <c r="O2415" t="s">
        <v>23</v>
      </c>
      <c r="P2415">
        <v>0.84</v>
      </c>
      <c r="Q2415" s="2" t="b">
        <f>FALSE()</f>
        <v>0</v>
      </c>
      <c r="R2415">
        <v>1</v>
      </c>
    </row>
    <row r="2416" spans="1:18" x14ac:dyDescent="0.25">
      <c r="A2416">
        <v>202415</v>
      </c>
      <c r="B2416">
        <v>51788</v>
      </c>
      <c r="C2416" t="s">
        <v>28</v>
      </c>
      <c r="D2416">
        <v>402.26</v>
      </c>
      <c r="E2416">
        <v>3273</v>
      </c>
      <c r="F2416">
        <v>3</v>
      </c>
      <c r="G2416">
        <v>4</v>
      </c>
      <c r="H2416">
        <v>0</v>
      </c>
      <c r="I2416" t="s">
        <v>19</v>
      </c>
      <c r="J2416">
        <v>1</v>
      </c>
      <c r="K2416">
        <v>49</v>
      </c>
      <c r="L2416" t="s">
        <v>20</v>
      </c>
      <c r="M2416" t="s">
        <v>37</v>
      </c>
      <c r="N2416" t="s">
        <v>22</v>
      </c>
      <c r="O2416" t="s">
        <v>36</v>
      </c>
      <c r="P2416">
        <v>0.54</v>
      </c>
      <c r="Q2416" s="2" t="b">
        <f>FALSE()</f>
        <v>0</v>
      </c>
      <c r="R2416">
        <v>1</v>
      </c>
    </row>
    <row r="2417" spans="1:18" x14ac:dyDescent="0.25">
      <c r="A2417">
        <v>202416</v>
      </c>
      <c r="B2417">
        <v>54136</v>
      </c>
      <c r="C2417" t="s">
        <v>18</v>
      </c>
      <c r="D2417">
        <v>4799.84</v>
      </c>
      <c r="E2417">
        <v>1260</v>
      </c>
      <c r="F2417">
        <v>0</v>
      </c>
      <c r="G2417">
        <v>5</v>
      </c>
      <c r="H2417">
        <v>0</v>
      </c>
      <c r="I2417" t="s">
        <v>19</v>
      </c>
      <c r="J2417">
        <v>1</v>
      </c>
      <c r="K2417">
        <v>36</v>
      </c>
      <c r="L2417" t="s">
        <v>20</v>
      </c>
      <c r="M2417" t="s">
        <v>25</v>
      </c>
      <c r="N2417" t="s">
        <v>30</v>
      </c>
      <c r="O2417" t="s">
        <v>27</v>
      </c>
      <c r="P2417">
        <v>6.58</v>
      </c>
      <c r="Q2417" s="2" t="b">
        <f>FALSE()</f>
        <v>0</v>
      </c>
      <c r="R2417">
        <v>1</v>
      </c>
    </row>
    <row r="2418" spans="1:18" x14ac:dyDescent="0.25">
      <c r="A2418">
        <v>202417</v>
      </c>
      <c r="B2418">
        <v>51929</v>
      </c>
      <c r="C2418" t="s">
        <v>34</v>
      </c>
      <c r="D2418">
        <v>489.39</v>
      </c>
      <c r="E2418">
        <v>2021</v>
      </c>
      <c r="F2418">
        <v>0</v>
      </c>
      <c r="G2418">
        <v>2</v>
      </c>
      <c r="H2418">
        <v>1</v>
      </c>
      <c r="I2418" t="s">
        <v>33</v>
      </c>
      <c r="J2418">
        <v>0</v>
      </c>
      <c r="K2418">
        <v>66</v>
      </c>
      <c r="L2418" t="s">
        <v>24</v>
      </c>
      <c r="M2418" t="s">
        <v>21</v>
      </c>
      <c r="N2418" t="s">
        <v>22</v>
      </c>
      <c r="O2418" t="s">
        <v>27</v>
      </c>
      <c r="P2418">
        <v>1.54</v>
      </c>
      <c r="Q2418" s="2" t="b">
        <f>FALSE()</f>
        <v>0</v>
      </c>
      <c r="R2418">
        <v>0</v>
      </c>
    </row>
    <row r="2419" spans="1:18" x14ac:dyDescent="0.25">
      <c r="A2419">
        <v>202418</v>
      </c>
      <c r="B2419">
        <v>55369</v>
      </c>
      <c r="C2419" t="s">
        <v>34</v>
      </c>
      <c r="D2419">
        <v>2582.48</v>
      </c>
      <c r="E2419">
        <v>3533</v>
      </c>
      <c r="F2419">
        <v>1</v>
      </c>
      <c r="G2419">
        <v>5</v>
      </c>
      <c r="H2419">
        <v>1</v>
      </c>
      <c r="I2419" t="s">
        <v>19</v>
      </c>
      <c r="J2419">
        <v>0</v>
      </c>
      <c r="K2419">
        <v>26</v>
      </c>
      <c r="L2419" t="s">
        <v>24</v>
      </c>
      <c r="M2419" t="s">
        <v>37</v>
      </c>
      <c r="N2419" t="s">
        <v>22</v>
      </c>
      <c r="O2419" t="s">
        <v>36</v>
      </c>
      <c r="P2419">
        <v>2.08</v>
      </c>
      <c r="Q2419" s="2" t="b">
        <f>FALSE()</f>
        <v>0</v>
      </c>
      <c r="R2419">
        <v>0</v>
      </c>
    </row>
    <row r="2420" spans="1:18" x14ac:dyDescent="0.25">
      <c r="A2420">
        <v>202419</v>
      </c>
      <c r="B2420">
        <v>52148</v>
      </c>
      <c r="C2420" t="s">
        <v>18</v>
      </c>
      <c r="D2420">
        <v>236.72</v>
      </c>
      <c r="E2420">
        <v>1072</v>
      </c>
      <c r="F2420">
        <v>1</v>
      </c>
      <c r="G2420">
        <v>3</v>
      </c>
      <c r="H2420">
        <v>0</v>
      </c>
      <c r="I2420" t="s">
        <v>32</v>
      </c>
      <c r="J2420">
        <v>1</v>
      </c>
      <c r="K2420">
        <v>43</v>
      </c>
      <c r="L2420" t="s">
        <v>24</v>
      </c>
      <c r="M2420" t="s">
        <v>21</v>
      </c>
      <c r="N2420" t="s">
        <v>30</v>
      </c>
      <c r="O2420" t="s">
        <v>36</v>
      </c>
      <c r="P2420">
        <v>3.58</v>
      </c>
      <c r="Q2420" s="2" t="b">
        <f>FALSE()</f>
        <v>0</v>
      </c>
      <c r="R2420">
        <v>0</v>
      </c>
    </row>
    <row r="2421" spans="1:18" x14ac:dyDescent="0.25">
      <c r="A2421">
        <v>202420</v>
      </c>
      <c r="B2421">
        <v>53271</v>
      </c>
      <c r="C2421" t="s">
        <v>34</v>
      </c>
      <c r="D2421">
        <v>2899.86</v>
      </c>
      <c r="E2421">
        <v>2823</v>
      </c>
      <c r="F2421">
        <v>0</v>
      </c>
      <c r="G2421">
        <v>8</v>
      </c>
      <c r="H2421">
        <v>0</v>
      </c>
      <c r="I2421" t="s">
        <v>19</v>
      </c>
      <c r="J2421">
        <v>0</v>
      </c>
      <c r="K2421">
        <v>38</v>
      </c>
      <c r="L2421" t="s">
        <v>24</v>
      </c>
      <c r="M2421" t="s">
        <v>25</v>
      </c>
      <c r="N2421" t="s">
        <v>22</v>
      </c>
      <c r="O2421" t="s">
        <v>36</v>
      </c>
      <c r="P2421">
        <v>6.61</v>
      </c>
      <c r="Q2421" s="2" t="b">
        <f>FALSE()</f>
        <v>0</v>
      </c>
      <c r="R2421">
        <v>1</v>
      </c>
    </row>
    <row r="2422" spans="1:18" x14ac:dyDescent="0.25">
      <c r="A2422">
        <v>202421</v>
      </c>
      <c r="B2422">
        <v>51079</v>
      </c>
      <c r="C2422" t="s">
        <v>34</v>
      </c>
      <c r="D2422">
        <v>258.73</v>
      </c>
      <c r="E2422">
        <v>3357</v>
      </c>
      <c r="F2422">
        <v>0</v>
      </c>
      <c r="G2422">
        <v>2</v>
      </c>
      <c r="H2422">
        <v>0</v>
      </c>
      <c r="I2422" t="s">
        <v>33</v>
      </c>
      <c r="J2422">
        <v>0</v>
      </c>
      <c r="K2422">
        <v>66</v>
      </c>
      <c r="L2422" t="s">
        <v>24</v>
      </c>
      <c r="M2422" t="s">
        <v>37</v>
      </c>
      <c r="N2422" t="s">
        <v>30</v>
      </c>
      <c r="O2422" t="s">
        <v>23</v>
      </c>
      <c r="P2422">
        <v>1.82</v>
      </c>
      <c r="Q2422" s="2" t="b">
        <f>FALSE()</f>
        <v>0</v>
      </c>
      <c r="R2422">
        <v>0</v>
      </c>
    </row>
    <row r="2423" spans="1:18" x14ac:dyDescent="0.25">
      <c r="A2423">
        <v>202422</v>
      </c>
      <c r="B2423">
        <v>52078</v>
      </c>
      <c r="C2423" t="s">
        <v>28</v>
      </c>
      <c r="D2423">
        <v>3635.04</v>
      </c>
      <c r="E2423">
        <v>2357</v>
      </c>
      <c r="F2423">
        <v>1</v>
      </c>
      <c r="G2423">
        <v>6</v>
      </c>
      <c r="H2423">
        <v>0</v>
      </c>
      <c r="I2423" t="s">
        <v>33</v>
      </c>
      <c r="J2423">
        <v>0</v>
      </c>
      <c r="K2423">
        <v>39</v>
      </c>
      <c r="L2423" t="s">
        <v>24</v>
      </c>
      <c r="M2423" t="s">
        <v>29</v>
      </c>
      <c r="N2423" t="s">
        <v>22</v>
      </c>
      <c r="O2423" t="s">
        <v>36</v>
      </c>
      <c r="P2423">
        <v>1.08</v>
      </c>
      <c r="Q2423" s="2" t="b">
        <f>FALSE()</f>
        <v>0</v>
      </c>
      <c r="R2423">
        <v>1</v>
      </c>
    </row>
    <row r="2424" spans="1:18" x14ac:dyDescent="0.25">
      <c r="A2424">
        <v>202423</v>
      </c>
      <c r="B2424">
        <v>50162</v>
      </c>
      <c r="C2424" t="s">
        <v>18</v>
      </c>
      <c r="D2424">
        <v>9040.83</v>
      </c>
      <c r="E2424">
        <v>3310</v>
      </c>
      <c r="F2424">
        <v>1</v>
      </c>
      <c r="G2424">
        <v>4</v>
      </c>
      <c r="H2424">
        <v>1</v>
      </c>
      <c r="I2424" t="s">
        <v>32</v>
      </c>
      <c r="J2424">
        <v>0</v>
      </c>
      <c r="K2424">
        <v>27</v>
      </c>
      <c r="L2424" t="s">
        <v>24</v>
      </c>
      <c r="M2424" t="s">
        <v>21</v>
      </c>
      <c r="N2424" t="s">
        <v>30</v>
      </c>
      <c r="O2424" t="s">
        <v>27</v>
      </c>
      <c r="P2424">
        <v>3.08</v>
      </c>
      <c r="Q2424" s="2" t="b">
        <f>TRUE()</f>
        <v>1</v>
      </c>
      <c r="R2424">
        <v>1</v>
      </c>
    </row>
    <row r="2425" spans="1:18" x14ac:dyDescent="0.25">
      <c r="A2425">
        <v>202424</v>
      </c>
      <c r="B2425">
        <v>54434</v>
      </c>
      <c r="C2425" t="s">
        <v>34</v>
      </c>
      <c r="D2425">
        <v>877.77</v>
      </c>
      <c r="E2425">
        <v>482</v>
      </c>
      <c r="F2425">
        <v>0</v>
      </c>
      <c r="G2425">
        <v>3</v>
      </c>
      <c r="H2425">
        <v>0</v>
      </c>
      <c r="I2425" t="s">
        <v>19</v>
      </c>
      <c r="J2425">
        <v>0</v>
      </c>
      <c r="K2425">
        <v>78</v>
      </c>
      <c r="L2425" t="s">
        <v>24</v>
      </c>
      <c r="M2425" t="s">
        <v>35</v>
      </c>
      <c r="N2425" t="s">
        <v>30</v>
      </c>
      <c r="O2425" t="s">
        <v>27</v>
      </c>
      <c r="P2425">
        <v>0.25</v>
      </c>
      <c r="Q2425" s="2" t="b">
        <f>FALSE()</f>
        <v>0</v>
      </c>
      <c r="R2425">
        <v>0</v>
      </c>
    </row>
    <row r="2426" spans="1:18" x14ac:dyDescent="0.25">
      <c r="A2426">
        <v>202425</v>
      </c>
      <c r="B2426">
        <v>54812</v>
      </c>
      <c r="C2426" t="s">
        <v>34</v>
      </c>
      <c r="D2426">
        <v>80.72</v>
      </c>
      <c r="E2426">
        <v>3356</v>
      </c>
      <c r="F2426">
        <v>2</v>
      </c>
      <c r="G2426">
        <v>2</v>
      </c>
      <c r="H2426">
        <v>0</v>
      </c>
      <c r="I2426" t="s">
        <v>33</v>
      </c>
      <c r="J2426">
        <v>0</v>
      </c>
      <c r="K2426">
        <v>44</v>
      </c>
      <c r="L2426" t="s">
        <v>24</v>
      </c>
      <c r="M2426" t="s">
        <v>29</v>
      </c>
      <c r="N2426" t="s">
        <v>30</v>
      </c>
      <c r="O2426" t="s">
        <v>27</v>
      </c>
      <c r="P2426">
        <v>0.14000000000000001</v>
      </c>
      <c r="Q2426" s="2" t="b">
        <f>FALSE()</f>
        <v>0</v>
      </c>
      <c r="R2426">
        <v>0</v>
      </c>
    </row>
    <row r="2427" spans="1:18" x14ac:dyDescent="0.25">
      <c r="A2427">
        <v>202426</v>
      </c>
      <c r="B2427">
        <v>52635</v>
      </c>
      <c r="C2427" t="s">
        <v>34</v>
      </c>
      <c r="D2427">
        <v>1171.56</v>
      </c>
      <c r="E2427">
        <v>2884</v>
      </c>
      <c r="F2427">
        <v>1</v>
      </c>
      <c r="G2427">
        <v>7</v>
      </c>
      <c r="H2427">
        <v>0</v>
      </c>
      <c r="I2427" t="s">
        <v>33</v>
      </c>
      <c r="J2427">
        <v>0</v>
      </c>
      <c r="K2427">
        <v>64</v>
      </c>
      <c r="L2427" t="s">
        <v>24</v>
      </c>
      <c r="M2427" t="s">
        <v>31</v>
      </c>
      <c r="N2427" t="s">
        <v>30</v>
      </c>
      <c r="O2427" t="s">
        <v>36</v>
      </c>
      <c r="P2427">
        <v>3.85</v>
      </c>
      <c r="Q2427" s="2" t="b">
        <f>FALSE()</f>
        <v>0</v>
      </c>
      <c r="R2427">
        <v>1</v>
      </c>
    </row>
    <row r="2428" spans="1:18" x14ac:dyDescent="0.25">
      <c r="A2428">
        <v>202427</v>
      </c>
      <c r="B2428">
        <v>54244</v>
      </c>
      <c r="C2428" t="s">
        <v>18</v>
      </c>
      <c r="D2428">
        <v>2202.23</v>
      </c>
      <c r="E2428">
        <v>76</v>
      </c>
      <c r="F2428">
        <v>2</v>
      </c>
      <c r="G2428">
        <v>3</v>
      </c>
      <c r="H2428">
        <v>0</v>
      </c>
      <c r="I2428" t="s">
        <v>19</v>
      </c>
      <c r="J2428">
        <v>0</v>
      </c>
      <c r="K2428">
        <v>48</v>
      </c>
      <c r="L2428" t="s">
        <v>20</v>
      </c>
      <c r="M2428" t="s">
        <v>35</v>
      </c>
      <c r="N2428" t="s">
        <v>22</v>
      </c>
      <c r="O2428" t="s">
        <v>23</v>
      </c>
      <c r="P2428">
        <v>6.38</v>
      </c>
      <c r="Q2428" s="2" t="b">
        <f>FALSE()</f>
        <v>0</v>
      </c>
      <c r="R2428">
        <v>0</v>
      </c>
    </row>
    <row r="2429" spans="1:18" x14ac:dyDescent="0.25">
      <c r="A2429">
        <v>202428</v>
      </c>
      <c r="B2429">
        <v>53730</v>
      </c>
      <c r="C2429" t="s">
        <v>18</v>
      </c>
      <c r="D2429">
        <v>1410.38</v>
      </c>
      <c r="E2429">
        <v>2521</v>
      </c>
      <c r="F2429">
        <v>2</v>
      </c>
      <c r="G2429">
        <v>4</v>
      </c>
      <c r="H2429">
        <v>0</v>
      </c>
      <c r="I2429" t="s">
        <v>33</v>
      </c>
      <c r="J2429">
        <v>0</v>
      </c>
      <c r="K2429">
        <v>58</v>
      </c>
      <c r="L2429" t="s">
        <v>20</v>
      </c>
      <c r="M2429" t="s">
        <v>37</v>
      </c>
      <c r="N2429" t="s">
        <v>22</v>
      </c>
      <c r="O2429" t="s">
        <v>27</v>
      </c>
      <c r="P2429">
        <v>2.27</v>
      </c>
      <c r="Q2429" s="2" t="b">
        <f>FALSE()</f>
        <v>0</v>
      </c>
      <c r="R2429">
        <v>0</v>
      </c>
    </row>
    <row r="2430" spans="1:18" x14ac:dyDescent="0.25">
      <c r="A2430">
        <v>202429</v>
      </c>
      <c r="B2430">
        <v>52417</v>
      </c>
      <c r="C2430" t="s">
        <v>28</v>
      </c>
      <c r="D2430">
        <v>159.08000000000001</v>
      </c>
      <c r="E2430">
        <v>1519</v>
      </c>
      <c r="F2430">
        <v>1</v>
      </c>
      <c r="G2430">
        <v>4</v>
      </c>
      <c r="H2430">
        <v>0</v>
      </c>
      <c r="I2430" t="s">
        <v>33</v>
      </c>
      <c r="J2430">
        <v>0</v>
      </c>
      <c r="K2430">
        <v>72</v>
      </c>
      <c r="L2430" t="s">
        <v>24</v>
      </c>
      <c r="M2430" t="s">
        <v>21</v>
      </c>
      <c r="N2430" t="s">
        <v>30</v>
      </c>
      <c r="O2430" t="s">
        <v>36</v>
      </c>
      <c r="P2430">
        <v>5.15</v>
      </c>
      <c r="Q2430" s="2" t="b">
        <f>FALSE()</f>
        <v>0</v>
      </c>
      <c r="R2430">
        <v>0</v>
      </c>
    </row>
    <row r="2431" spans="1:18" x14ac:dyDescent="0.25">
      <c r="A2431">
        <v>202430</v>
      </c>
      <c r="B2431">
        <v>53651</v>
      </c>
      <c r="C2431" t="s">
        <v>34</v>
      </c>
      <c r="D2431">
        <v>1735.17</v>
      </c>
      <c r="E2431">
        <v>925</v>
      </c>
      <c r="F2431">
        <v>2</v>
      </c>
      <c r="G2431">
        <v>6</v>
      </c>
      <c r="H2431">
        <v>0</v>
      </c>
      <c r="I2431" t="s">
        <v>32</v>
      </c>
      <c r="J2431">
        <v>0</v>
      </c>
      <c r="K2431">
        <v>40</v>
      </c>
      <c r="L2431" t="s">
        <v>24</v>
      </c>
      <c r="M2431" t="s">
        <v>31</v>
      </c>
      <c r="N2431" t="s">
        <v>22</v>
      </c>
      <c r="O2431" t="s">
        <v>27</v>
      </c>
      <c r="P2431">
        <v>4.42</v>
      </c>
      <c r="Q2431" s="2" t="b">
        <f>FALSE()</f>
        <v>0</v>
      </c>
      <c r="R2431">
        <v>0</v>
      </c>
    </row>
    <row r="2432" spans="1:18" x14ac:dyDescent="0.25">
      <c r="A2432">
        <v>202431</v>
      </c>
      <c r="B2432">
        <v>50246</v>
      </c>
      <c r="C2432" t="s">
        <v>18</v>
      </c>
      <c r="D2432">
        <v>4681.1000000000004</v>
      </c>
      <c r="E2432">
        <v>3355</v>
      </c>
      <c r="F2432">
        <v>1</v>
      </c>
      <c r="G2432">
        <v>3</v>
      </c>
      <c r="H2432">
        <v>1</v>
      </c>
      <c r="I2432" t="s">
        <v>33</v>
      </c>
      <c r="J2432">
        <v>0</v>
      </c>
      <c r="K2432">
        <v>40</v>
      </c>
      <c r="L2432" t="s">
        <v>24</v>
      </c>
      <c r="M2432" t="s">
        <v>35</v>
      </c>
      <c r="N2432" t="s">
        <v>30</v>
      </c>
      <c r="O2432" t="s">
        <v>23</v>
      </c>
      <c r="P2432">
        <v>4.26</v>
      </c>
      <c r="Q2432" s="2" t="b">
        <f>FALSE()</f>
        <v>0</v>
      </c>
      <c r="R2432">
        <v>1</v>
      </c>
    </row>
    <row r="2433" spans="1:18" x14ac:dyDescent="0.25">
      <c r="A2433">
        <v>202432</v>
      </c>
      <c r="B2433">
        <v>54510</v>
      </c>
      <c r="C2433" t="s">
        <v>18</v>
      </c>
      <c r="D2433">
        <v>1286.56</v>
      </c>
      <c r="E2433">
        <v>1341</v>
      </c>
      <c r="F2433">
        <v>3</v>
      </c>
      <c r="G2433">
        <v>2</v>
      </c>
      <c r="H2433">
        <v>0</v>
      </c>
      <c r="I2433" t="s">
        <v>32</v>
      </c>
      <c r="J2433">
        <v>0</v>
      </c>
      <c r="K2433">
        <v>34</v>
      </c>
      <c r="L2433" t="s">
        <v>24</v>
      </c>
      <c r="M2433" t="s">
        <v>21</v>
      </c>
      <c r="N2433" t="s">
        <v>26</v>
      </c>
      <c r="O2433" t="s">
        <v>23</v>
      </c>
      <c r="P2433">
        <v>0.01</v>
      </c>
      <c r="Q2433" s="2" t="b">
        <f>FALSE()</f>
        <v>0</v>
      </c>
      <c r="R2433">
        <v>1</v>
      </c>
    </row>
    <row r="2434" spans="1:18" x14ac:dyDescent="0.25">
      <c r="A2434">
        <v>202433</v>
      </c>
      <c r="B2434">
        <v>51467</v>
      </c>
      <c r="C2434" t="s">
        <v>18</v>
      </c>
      <c r="D2434">
        <v>1505.98</v>
      </c>
      <c r="E2434">
        <v>3627</v>
      </c>
      <c r="F2434">
        <v>0</v>
      </c>
      <c r="G2434">
        <v>5</v>
      </c>
      <c r="H2434">
        <v>0</v>
      </c>
      <c r="I2434" t="s">
        <v>33</v>
      </c>
      <c r="J2434">
        <v>0</v>
      </c>
      <c r="K2434">
        <v>48</v>
      </c>
      <c r="L2434" t="s">
        <v>24</v>
      </c>
      <c r="M2434" t="s">
        <v>29</v>
      </c>
      <c r="N2434" t="s">
        <v>30</v>
      </c>
      <c r="O2434" t="s">
        <v>23</v>
      </c>
      <c r="P2434">
        <v>1.24</v>
      </c>
      <c r="Q2434" s="2" t="b">
        <f>FALSE()</f>
        <v>0</v>
      </c>
      <c r="R2434">
        <v>0</v>
      </c>
    </row>
    <row r="2435" spans="1:18" x14ac:dyDescent="0.25">
      <c r="A2435">
        <v>202434</v>
      </c>
      <c r="B2435">
        <v>50480</v>
      </c>
      <c r="C2435" t="s">
        <v>34</v>
      </c>
      <c r="D2435">
        <v>3243.99</v>
      </c>
      <c r="E2435">
        <v>1065</v>
      </c>
      <c r="F2435">
        <v>0</v>
      </c>
      <c r="G2435">
        <v>5</v>
      </c>
      <c r="H2435">
        <v>0</v>
      </c>
      <c r="I2435" t="s">
        <v>32</v>
      </c>
      <c r="J2435">
        <v>0</v>
      </c>
      <c r="K2435">
        <v>54</v>
      </c>
      <c r="L2435" t="s">
        <v>24</v>
      </c>
      <c r="M2435" t="s">
        <v>35</v>
      </c>
      <c r="N2435" t="s">
        <v>30</v>
      </c>
      <c r="O2435" t="s">
        <v>27</v>
      </c>
      <c r="P2435">
        <v>4.0599999999999996</v>
      </c>
      <c r="Q2435" s="2" t="b">
        <f>FALSE()</f>
        <v>0</v>
      </c>
      <c r="R2435">
        <v>0</v>
      </c>
    </row>
    <row r="2436" spans="1:18" x14ac:dyDescent="0.25">
      <c r="A2436">
        <v>202435</v>
      </c>
      <c r="B2436">
        <v>54511</v>
      </c>
      <c r="C2436" t="s">
        <v>18</v>
      </c>
      <c r="D2436">
        <v>2465.65</v>
      </c>
      <c r="E2436">
        <v>2260</v>
      </c>
      <c r="F2436">
        <v>1</v>
      </c>
      <c r="G2436">
        <v>2</v>
      </c>
      <c r="H2436">
        <v>0</v>
      </c>
      <c r="I2436" t="s">
        <v>33</v>
      </c>
      <c r="J2436">
        <v>1</v>
      </c>
      <c r="K2436">
        <v>75</v>
      </c>
      <c r="L2436" t="s">
        <v>20</v>
      </c>
      <c r="M2436" t="s">
        <v>31</v>
      </c>
      <c r="N2436" t="s">
        <v>30</v>
      </c>
      <c r="O2436" t="s">
        <v>36</v>
      </c>
      <c r="P2436">
        <v>2.11</v>
      </c>
      <c r="Q2436" s="2" t="b">
        <f>FALSE()</f>
        <v>0</v>
      </c>
      <c r="R2436">
        <v>0</v>
      </c>
    </row>
    <row r="2437" spans="1:18" x14ac:dyDescent="0.25">
      <c r="A2437">
        <v>202436</v>
      </c>
      <c r="B2437">
        <v>50875</v>
      </c>
      <c r="C2437" t="s">
        <v>18</v>
      </c>
      <c r="D2437">
        <v>5530.32</v>
      </c>
      <c r="E2437">
        <v>606</v>
      </c>
      <c r="F2437">
        <v>0</v>
      </c>
      <c r="G2437">
        <v>4</v>
      </c>
      <c r="H2437">
        <v>0</v>
      </c>
      <c r="I2437" t="s">
        <v>33</v>
      </c>
      <c r="J2437">
        <v>0</v>
      </c>
      <c r="K2437">
        <v>52</v>
      </c>
      <c r="L2437" t="s">
        <v>24</v>
      </c>
      <c r="M2437" t="s">
        <v>25</v>
      </c>
      <c r="N2437" t="s">
        <v>30</v>
      </c>
      <c r="O2437" t="s">
        <v>36</v>
      </c>
      <c r="P2437">
        <v>0.69</v>
      </c>
      <c r="Q2437" s="2" t="b">
        <f>FALSE()</f>
        <v>0</v>
      </c>
      <c r="R2437">
        <v>1</v>
      </c>
    </row>
    <row r="2438" spans="1:18" x14ac:dyDescent="0.25">
      <c r="A2438">
        <v>202437</v>
      </c>
      <c r="B2438">
        <v>51412</v>
      </c>
      <c r="C2438" t="s">
        <v>34</v>
      </c>
      <c r="D2438">
        <v>903.66</v>
      </c>
      <c r="E2438">
        <v>1591</v>
      </c>
      <c r="F2438">
        <v>1</v>
      </c>
      <c r="G2438">
        <v>8</v>
      </c>
      <c r="H2438">
        <v>0</v>
      </c>
      <c r="I2438" t="s">
        <v>33</v>
      </c>
      <c r="J2438">
        <v>0</v>
      </c>
      <c r="K2438">
        <v>43</v>
      </c>
      <c r="L2438" t="s">
        <v>20</v>
      </c>
      <c r="M2438" t="s">
        <v>25</v>
      </c>
      <c r="N2438" t="s">
        <v>22</v>
      </c>
      <c r="O2438" t="s">
        <v>36</v>
      </c>
      <c r="P2438">
        <v>5.99</v>
      </c>
      <c r="Q2438" s="2" t="b">
        <f>FALSE()</f>
        <v>0</v>
      </c>
      <c r="R2438">
        <v>1</v>
      </c>
    </row>
    <row r="2439" spans="1:18" x14ac:dyDescent="0.25">
      <c r="A2439">
        <v>202438</v>
      </c>
      <c r="B2439">
        <v>54378</v>
      </c>
      <c r="C2439" t="s">
        <v>18</v>
      </c>
      <c r="D2439">
        <v>3810.15</v>
      </c>
      <c r="E2439">
        <v>1854</v>
      </c>
      <c r="F2439">
        <v>1</v>
      </c>
      <c r="G2439">
        <v>7</v>
      </c>
      <c r="H2439">
        <v>1</v>
      </c>
      <c r="I2439" t="s">
        <v>33</v>
      </c>
      <c r="J2439">
        <v>1</v>
      </c>
      <c r="K2439">
        <v>22</v>
      </c>
      <c r="L2439" t="s">
        <v>24</v>
      </c>
      <c r="M2439" t="s">
        <v>37</v>
      </c>
      <c r="N2439" t="s">
        <v>30</v>
      </c>
      <c r="O2439" t="s">
        <v>36</v>
      </c>
      <c r="P2439">
        <v>2.41</v>
      </c>
      <c r="Q2439" s="2" t="b">
        <f>FALSE()</f>
        <v>0</v>
      </c>
      <c r="R2439">
        <v>1</v>
      </c>
    </row>
    <row r="2440" spans="1:18" x14ac:dyDescent="0.25">
      <c r="A2440">
        <v>202439</v>
      </c>
      <c r="B2440">
        <v>52116</v>
      </c>
      <c r="C2440" t="s">
        <v>18</v>
      </c>
      <c r="D2440">
        <v>1313.47</v>
      </c>
      <c r="E2440">
        <v>1111</v>
      </c>
      <c r="F2440">
        <v>1</v>
      </c>
      <c r="G2440">
        <v>3</v>
      </c>
      <c r="H2440">
        <v>0</v>
      </c>
      <c r="I2440" t="s">
        <v>33</v>
      </c>
      <c r="J2440">
        <v>0</v>
      </c>
      <c r="K2440">
        <v>73</v>
      </c>
      <c r="L2440" t="s">
        <v>20</v>
      </c>
      <c r="M2440" t="s">
        <v>31</v>
      </c>
      <c r="N2440" t="s">
        <v>22</v>
      </c>
      <c r="O2440" t="s">
        <v>27</v>
      </c>
      <c r="P2440">
        <v>1.46</v>
      </c>
      <c r="Q2440" s="2" t="b">
        <f>FALSE()</f>
        <v>0</v>
      </c>
      <c r="R2440">
        <v>0</v>
      </c>
    </row>
    <row r="2441" spans="1:18" x14ac:dyDescent="0.25">
      <c r="A2441">
        <v>202440</v>
      </c>
      <c r="B2441">
        <v>54654</v>
      </c>
      <c r="C2441" t="s">
        <v>34</v>
      </c>
      <c r="D2441">
        <v>2689.68</v>
      </c>
      <c r="E2441">
        <v>774</v>
      </c>
      <c r="F2441">
        <v>2</v>
      </c>
      <c r="G2441">
        <v>5</v>
      </c>
      <c r="H2441">
        <v>0</v>
      </c>
      <c r="I2441" t="s">
        <v>33</v>
      </c>
      <c r="J2441">
        <v>1</v>
      </c>
      <c r="K2441">
        <v>72</v>
      </c>
      <c r="L2441" t="s">
        <v>24</v>
      </c>
      <c r="M2441" t="s">
        <v>37</v>
      </c>
      <c r="N2441" t="s">
        <v>26</v>
      </c>
      <c r="O2441" t="s">
        <v>36</v>
      </c>
      <c r="P2441">
        <v>7.35</v>
      </c>
      <c r="Q2441" s="2" t="b">
        <f>FALSE()</f>
        <v>0</v>
      </c>
      <c r="R2441">
        <v>0</v>
      </c>
    </row>
    <row r="2442" spans="1:18" x14ac:dyDescent="0.25">
      <c r="A2442">
        <v>202441</v>
      </c>
      <c r="B2442">
        <v>54426</v>
      </c>
      <c r="C2442" t="s">
        <v>18</v>
      </c>
      <c r="D2442">
        <v>1074.4000000000001</v>
      </c>
      <c r="E2442">
        <v>3628</v>
      </c>
      <c r="F2442">
        <v>2</v>
      </c>
      <c r="G2442">
        <v>5</v>
      </c>
      <c r="H2442">
        <v>1</v>
      </c>
      <c r="I2442" t="s">
        <v>32</v>
      </c>
      <c r="J2442">
        <v>0</v>
      </c>
      <c r="K2442">
        <v>34</v>
      </c>
      <c r="L2442" t="s">
        <v>24</v>
      </c>
      <c r="M2442" t="s">
        <v>31</v>
      </c>
      <c r="N2442" t="s">
        <v>26</v>
      </c>
      <c r="O2442" t="s">
        <v>36</v>
      </c>
      <c r="P2442">
        <v>4</v>
      </c>
      <c r="Q2442" s="2" t="b">
        <f>FALSE()</f>
        <v>0</v>
      </c>
      <c r="R2442">
        <v>0</v>
      </c>
    </row>
    <row r="2443" spans="1:18" x14ac:dyDescent="0.25">
      <c r="A2443">
        <v>202442</v>
      </c>
      <c r="B2443">
        <v>55616</v>
      </c>
      <c r="C2443" t="s">
        <v>18</v>
      </c>
      <c r="D2443">
        <v>2614.89</v>
      </c>
      <c r="E2443">
        <v>434</v>
      </c>
      <c r="F2443">
        <v>0</v>
      </c>
      <c r="G2443">
        <v>6</v>
      </c>
      <c r="H2443">
        <v>0</v>
      </c>
      <c r="I2443" t="s">
        <v>33</v>
      </c>
      <c r="J2443">
        <v>0</v>
      </c>
      <c r="K2443">
        <v>55</v>
      </c>
      <c r="L2443" t="s">
        <v>24</v>
      </c>
      <c r="M2443" t="s">
        <v>25</v>
      </c>
      <c r="N2443" t="s">
        <v>22</v>
      </c>
      <c r="O2443" t="s">
        <v>27</v>
      </c>
      <c r="P2443">
        <v>3.85</v>
      </c>
      <c r="Q2443" s="2" t="b">
        <f>FALSE()</f>
        <v>0</v>
      </c>
      <c r="R2443">
        <v>0</v>
      </c>
    </row>
    <row r="2444" spans="1:18" x14ac:dyDescent="0.25">
      <c r="A2444">
        <v>202443</v>
      </c>
      <c r="B2444">
        <v>52798</v>
      </c>
      <c r="C2444" t="s">
        <v>18</v>
      </c>
      <c r="D2444">
        <v>1361.8</v>
      </c>
      <c r="E2444">
        <v>2116</v>
      </c>
      <c r="F2444">
        <v>0</v>
      </c>
      <c r="G2444">
        <v>3</v>
      </c>
      <c r="H2444">
        <v>1</v>
      </c>
      <c r="I2444" t="s">
        <v>33</v>
      </c>
      <c r="J2444">
        <v>1</v>
      </c>
      <c r="K2444">
        <v>59</v>
      </c>
      <c r="L2444" t="s">
        <v>38</v>
      </c>
      <c r="M2444" t="s">
        <v>37</v>
      </c>
      <c r="N2444" t="s">
        <v>22</v>
      </c>
      <c r="O2444" t="s">
        <v>27</v>
      </c>
      <c r="P2444">
        <v>0.37</v>
      </c>
      <c r="Q2444" s="2" t="b">
        <f>FALSE()</f>
        <v>0</v>
      </c>
      <c r="R2444">
        <v>0</v>
      </c>
    </row>
    <row r="2445" spans="1:18" x14ac:dyDescent="0.25">
      <c r="A2445">
        <v>202444</v>
      </c>
      <c r="B2445">
        <v>51012</v>
      </c>
      <c r="C2445" t="s">
        <v>18</v>
      </c>
      <c r="D2445">
        <v>2095.6</v>
      </c>
      <c r="E2445">
        <v>803</v>
      </c>
      <c r="F2445">
        <v>2</v>
      </c>
      <c r="G2445">
        <v>3</v>
      </c>
      <c r="H2445">
        <v>0</v>
      </c>
      <c r="I2445" t="s">
        <v>33</v>
      </c>
      <c r="J2445">
        <v>0</v>
      </c>
      <c r="K2445">
        <v>19</v>
      </c>
      <c r="L2445" t="s">
        <v>20</v>
      </c>
      <c r="M2445" t="s">
        <v>29</v>
      </c>
      <c r="N2445" t="s">
        <v>22</v>
      </c>
      <c r="O2445" t="s">
        <v>27</v>
      </c>
      <c r="P2445">
        <v>8.9700000000000006</v>
      </c>
      <c r="Q2445" s="2" t="b">
        <f>FALSE()</f>
        <v>0</v>
      </c>
      <c r="R2445">
        <v>0</v>
      </c>
    </row>
    <row r="2446" spans="1:18" x14ac:dyDescent="0.25">
      <c r="A2446">
        <v>202445</v>
      </c>
      <c r="B2446">
        <v>51078</v>
      </c>
      <c r="C2446" t="s">
        <v>34</v>
      </c>
      <c r="D2446">
        <v>594.85</v>
      </c>
      <c r="E2446">
        <v>1340</v>
      </c>
      <c r="F2446">
        <v>1</v>
      </c>
      <c r="G2446">
        <v>1</v>
      </c>
      <c r="H2446">
        <v>0</v>
      </c>
      <c r="I2446" t="s">
        <v>33</v>
      </c>
      <c r="J2446">
        <v>1</v>
      </c>
      <c r="K2446">
        <v>26</v>
      </c>
      <c r="L2446" t="s">
        <v>24</v>
      </c>
      <c r="M2446" t="s">
        <v>35</v>
      </c>
      <c r="N2446" t="s">
        <v>30</v>
      </c>
      <c r="O2446" t="s">
        <v>27</v>
      </c>
      <c r="P2446">
        <v>2.97</v>
      </c>
      <c r="Q2446" s="2" t="b">
        <f>FALSE()</f>
        <v>0</v>
      </c>
      <c r="R2446">
        <v>0</v>
      </c>
    </row>
    <row r="2447" spans="1:18" x14ac:dyDescent="0.25">
      <c r="A2447">
        <v>202446</v>
      </c>
      <c r="B2447">
        <v>52608</v>
      </c>
      <c r="C2447" t="s">
        <v>34</v>
      </c>
      <c r="D2447">
        <v>3008.72</v>
      </c>
      <c r="E2447">
        <v>278</v>
      </c>
      <c r="F2447">
        <v>0</v>
      </c>
      <c r="G2447">
        <v>2</v>
      </c>
      <c r="H2447">
        <v>0</v>
      </c>
      <c r="I2447" t="s">
        <v>33</v>
      </c>
      <c r="J2447">
        <v>0</v>
      </c>
      <c r="K2447">
        <v>62</v>
      </c>
      <c r="L2447" t="s">
        <v>24</v>
      </c>
      <c r="M2447" t="s">
        <v>37</v>
      </c>
      <c r="N2447" t="s">
        <v>22</v>
      </c>
      <c r="O2447" t="s">
        <v>23</v>
      </c>
      <c r="P2447">
        <v>3</v>
      </c>
      <c r="Q2447" s="2" t="b">
        <f>FALSE()</f>
        <v>0</v>
      </c>
      <c r="R2447">
        <v>0</v>
      </c>
    </row>
    <row r="2448" spans="1:18" x14ac:dyDescent="0.25">
      <c r="A2448">
        <v>202447</v>
      </c>
      <c r="B2448">
        <v>50491</v>
      </c>
      <c r="C2448" t="s">
        <v>34</v>
      </c>
      <c r="D2448">
        <v>2497.7399999999998</v>
      </c>
      <c r="E2448">
        <v>2624</v>
      </c>
      <c r="F2448">
        <v>0</v>
      </c>
      <c r="G2448">
        <v>2</v>
      </c>
      <c r="H2448">
        <v>1</v>
      </c>
      <c r="I2448" t="s">
        <v>32</v>
      </c>
      <c r="J2448">
        <v>0</v>
      </c>
      <c r="K2448">
        <v>82</v>
      </c>
      <c r="L2448" t="s">
        <v>24</v>
      </c>
      <c r="M2448" t="s">
        <v>21</v>
      </c>
      <c r="N2448" t="s">
        <v>22</v>
      </c>
      <c r="O2448" t="s">
        <v>36</v>
      </c>
      <c r="P2448">
        <v>1.99</v>
      </c>
      <c r="Q2448" s="2" t="b">
        <f>FALSE()</f>
        <v>0</v>
      </c>
      <c r="R2448">
        <v>0</v>
      </c>
    </row>
    <row r="2449" spans="1:18" x14ac:dyDescent="0.25">
      <c r="A2449">
        <v>202448</v>
      </c>
      <c r="B2449">
        <v>52489</v>
      </c>
      <c r="C2449" t="s">
        <v>18</v>
      </c>
      <c r="D2449">
        <v>3771.43</v>
      </c>
      <c r="E2449">
        <v>3361</v>
      </c>
      <c r="F2449">
        <v>1</v>
      </c>
      <c r="G2449">
        <v>6</v>
      </c>
      <c r="H2449">
        <v>1</v>
      </c>
      <c r="I2449" t="s">
        <v>32</v>
      </c>
      <c r="J2449">
        <v>0</v>
      </c>
      <c r="K2449">
        <v>24</v>
      </c>
      <c r="L2449" t="s">
        <v>20</v>
      </c>
      <c r="M2449" t="s">
        <v>29</v>
      </c>
      <c r="N2449" t="s">
        <v>30</v>
      </c>
      <c r="O2449" t="s">
        <v>36</v>
      </c>
      <c r="P2449">
        <v>3.14</v>
      </c>
      <c r="Q2449" s="2" t="b">
        <f>FALSE()</f>
        <v>0</v>
      </c>
      <c r="R2449">
        <v>1</v>
      </c>
    </row>
    <row r="2450" spans="1:18" x14ac:dyDescent="0.25">
      <c r="A2450">
        <v>202449</v>
      </c>
      <c r="B2450">
        <v>55523</v>
      </c>
      <c r="C2450" t="s">
        <v>18</v>
      </c>
      <c r="D2450">
        <v>2705.89</v>
      </c>
      <c r="E2450">
        <v>443</v>
      </c>
      <c r="F2450">
        <v>1</v>
      </c>
      <c r="G2450">
        <v>2</v>
      </c>
      <c r="H2450">
        <v>1</v>
      </c>
      <c r="I2450" t="s">
        <v>33</v>
      </c>
      <c r="J2450">
        <v>0</v>
      </c>
      <c r="K2450">
        <v>68</v>
      </c>
      <c r="L2450" t="s">
        <v>20</v>
      </c>
      <c r="M2450" t="s">
        <v>35</v>
      </c>
      <c r="N2450" t="s">
        <v>22</v>
      </c>
      <c r="O2450" t="s">
        <v>36</v>
      </c>
      <c r="P2450">
        <v>12.17</v>
      </c>
      <c r="Q2450" s="2" t="b">
        <f>FALSE()</f>
        <v>0</v>
      </c>
      <c r="R2450">
        <v>0</v>
      </c>
    </row>
    <row r="2451" spans="1:18" x14ac:dyDescent="0.25">
      <c r="A2451">
        <v>202450</v>
      </c>
      <c r="B2451">
        <v>50622</v>
      </c>
      <c r="C2451" t="s">
        <v>28</v>
      </c>
      <c r="D2451">
        <v>2084.7199999999998</v>
      </c>
      <c r="E2451">
        <v>1016</v>
      </c>
      <c r="F2451">
        <v>1</v>
      </c>
      <c r="G2451">
        <v>6</v>
      </c>
      <c r="H2451">
        <v>0</v>
      </c>
      <c r="I2451" t="s">
        <v>19</v>
      </c>
      <c r="J2451">
        <v>1</v>
      </c>
      <c r="K2451">
        <v>73</v>
      </c>
      <c r="L2451" t="s">
        <v>24</v>
      </c>
      <c r="M2451" t="s">
        <v>37</v>
      </c>
      <c r="N2451" t="s">
        <v>22</v>
      </c>
      <c r="O2451" t="s">
        <v>23</v>
      </c>
      <c r="P2451">
        <v>0.65</v>
      </c>
      <c r="Q2451" s="2" t="b">
        <f>FALSE()</f>
        <v>0</v>
      </c>
      <c r="R2451">
        <v>0</v>
      </c>
    </row>
    <row r="2452" spans="1:18" x14ac:dyDescent="0.25">
      <c r="A2452">
        <v>202451</v>
      </c>
      <c r="B2452">
        <v>53602</v>
      </c>
      <c r="C2452" t="s">
        <v>18</v>
      </c>
      <c r="D2452">
        <v>819.8</v>
      </c>
      <c r="E2452">
        <v>739</v>
      </c>
      <c r="F2452">
        <v>1</v>
      </c>
      <c r="G2452">
        <v>6</v>
      </c>
      <c r="H2452">
        <v>0</v>
      </c>
      <c r="I2452" t="s">
        <v>19</v>
      </c>
      <c r="J2452">
        <v>0</v>
      </c>
      <c r="K2452">
        <v>69</v>
      </c>
      <c r="L2452" t="s">
        <v>24</v>
      </c>
      <c r="M2452" t="s">
        <v>37</v>
      </c>
      <c r="N2452" t="s">
        <v>22</v>
      </c>
      <c r="O2452" t="s">
        <v>36</v>
      </c>
      <c r="P2452">
        <v>4.71</v>
      </c>
      <c r="Q2452" s="2" t="b">
        <f>FALSE()</f>
        <v>0</v>
      </c>
      <c r="R2452">
        <v>0</v>
      </c>
    </row>
    <row r="2453" spans="1:18" x14ac:dyDescent="0.25">
      <c r="A2453">
        <v>202452</v>
      </c>
      <c r="B2453">
        <v>50839</v>
      </c>
      <c r="C2453" t="s">
        <v>18</v>
      </c>
      <c r="D2453">
        <v>1050.4100000000001</v>
      </c>
      <c r="E2453">
        <v>1001</v>
      </c>
      <c r="F2453">
        <v>0</v>
      </c>
      <c r="G2453">
        <v>2</v>
      </c>
      <c r="H2453">
        <v>0</v>
      </c>
      <c r="I2453" t="s">
        <v>33</v>
      </c>
      <c r="J2453">
        <v>0</v>
      </c>
      <c r="K2453">
        <v>83</v>
      </c>
      <c r="L2453" t="s">
        <v>20</v>
      </c>
      <c r="M2453" t="s">
        <v>25</v>
      </c>
      <c r="N2453" t="s">
        <v>30</v>
      </c>
      <c r="O2453" t="s">
        <v>36</v>
      </c>
      <c r="P2453">
        <v>0.31</v>
      </c>
      <c r="Q2453" s="2" t="b">
        <f>FALSE()</f>
        <v>0</v>
      </c>
      <c r="R2453">
        <v>0</v>
      </c>
    </row>
    <row r="2454" spans="1:18" x14ac:dyDescent="0.25">
      <c r="A2454">
        <v>202453</v>
      </c>
      <c r="B2454">
        <v>54670</v>
      </c>
      <c r="C2454" t="s">
        <v>34</v>
      </c>
      <c r="D2454">
        <v>212.55</v>
      </c>
      <c r="E2454">
        <v>1516</v>
      </c>
      <c r="F2454">
        <v>1</v>
      </c>
      <c r="G2454">
        <v>4</v>
      </c>
      <c r="H2454">
        <v>0</v>
      </c>
      <c r="I2454" t="s">
        <v>33</v>
      </c>
      <c r="J2454">
        <v>0</v>
      </c>
      <c r="K2454">
        <v>59</v>
      </c>
      <c r="L2454" t="s">
        <v>24</v>
      </c>
      <c r="M2454" t="s">
        <v>25</v>
      </c>
      <c r="N2454" t="s">
        <v>22</v>
      </c>
      <c r="O2454" t="s">
        <v>27</v>
      </c>
      <c r="P2454">
        <v>0.19</v>
      </c>
      <c r="Q2454" s="2" t="b">
        <f>FALSE()</f>
        <v>0</v>
      </c>
      <c r="R2454">
        <v>0</v>
      </c>
    </row>
    <row r="2455" spans="1:18" x14ac:dyDescent="0.25">
      <c r="A2455">
        <v>202454</v>
      </c>
      <c r="B2455">
        <v>53857</v>
      </c>
      <c r="C2455" t="s">
        <v>18</v>
      </c>
      <c r="D2455">
        <v>6690.96</v>
      </c>
      <c r="E2455">
        <v>1236</v>
      </c>
      <c r="F2455">
        <v>0</v>
      </c>
      <c r="G2455">
        <v>2</v>
      </c>
      <c r="H2455">
        <v>0</v>
      </c>
      <c r="I2455" t="s">
        <v>32</v>
      </c>
      <c r="J2455">
        <v>0</v>
      </c>
      <c r="K2455">
        <v>27</v>
      </c>
      <c r="L2455" t="s">
        <v>24</v>
      </c>
      <c r="M2455" t="s">
        <v>31</v>
      </c>
      <c r="N2455" t="s">
        <v>30</v>
      </c>
      <c r="O2455" t="s">
        <v>27</v>
      </c>
      <c r="P2455">
        <v>1.79</v>
      </c>
      <c r="Q2455" s="2" t="b">
        <f>FALSE()</f>
        <v>0</v>
      </c>
      <c r="R2455">
        <v>1</v>
      </c>
    </row>
    <row r="2456" spans="1:18" x14ac:dyDescent="0.25">
      <c r="A2456">
        <v>202455</v>
      </c>
      <c r="B2456">
        <v>51411</v>
      </c>
      <c r="C2456" t="s">
        <v>34</v>
      </c>
      <c r="D2456">
        <v>2280.9</v>
      </c>
      <c r="E2456">
        <v>2779</v>
      </c>
      <c r="F2456">
        <v>2</v>
      </c>
      <c r="G2456">
        <v>6</v>
      </c>
      <c r="H2456">
        <v>1</v>
      </c>
      <c r="I2456" t="s">
        <v>33</v>
      </c>
      <c r="J2456">
        <v>0</v>
      </c>
      <c r="K2456">
        <v>44</v>
      </c>
      <c r="L2456" t="s">
        <v>24</v>
      </c>
      <c r="M2456" t="s">
        <v>21</v>
      </c>
      <c r="N2456" t="s">
        <v>22</v>
      </c>
      <c r="O2456" t="s">
        <v>23</v>
      </c>
      <c r="P2456">
        <v>1.18</v>
      </c>
      <c r="Q2456" s="2" t="b">
        <f>FALSE()</f>
        <v>0</v>
      </c>
      <c r="R2456">
        <v>0</v>
      </c>
    </row>
    <row r="2457" spans="1:18" x14ac:dyDescent="0.25">
      <c r="A2457">
        <v>202456</v>
      </c>
      <c r="B2457">
        <v>50983</v>
      </c>
      <c r="C2457" t="s">
        <v>18</v>
      </c>
      <c r="D2457">
        <v>2551.9299999999998</v>
      </c>
      <c r="E2457">
        <v>1338</v>
      </c>
      <c r="F2457">
        <v>5</v>
      </c>
      <c r="G2457">
        <v>4</v>
      </c>
      <c r="H2457">
        <v>0</v>
      </c>
      <c r="I2457" t="s">
        <v>32</v>
      </c>
      <c r="J2457">
        <v>0</v>
      </c>
      <c r="K2457">
        <v>31</v>
      </c>
      <c r="L2457" t="s">
        <v>24</v>
      </c>
      <c r="M2457" t="s">
        <v>29</v>
      </c>
      <c r="N2457" t="s">
        <v>30</v>
      </c>
      <c r="O2457" t="s">
        <v>36</v>
      </c>
      <c r="P2457">
        <v>5.57</v>
      </c>
      <c r="Q2457" s="2" t="b">
        <f>FALSE()</f>
        <v>0</v>
      </c>
      <c r="R2457">
        <v>1</v>
      </c>
    </row>
    <row r="2458" spans="1:18" x14ac:dyDescent="0.25">
      <c r="A2458">
        <v>202457</v>
      </c>
      <c r="B2458">
        <v>53059</v>
      </c>
      <c r="C2458" t="s">
        <v>18</v>
      </c>
      <c r="D2458">
        <v>2075.8200000000002</v>
      </c>
      <c r="E2458">
        <v>2998</v>
      </c>
      <c r="F2458">
        <v>0</v>
      </c>
      <c r="G2458">
        <v>4</v>
      </c>
      <c r="H2458">
        <v>0</v>
      </c>
      <c r="I2458" t="s">
        <v>32</v>
      </c>
      <c r="J2458">
        <v>0</v>
      </c>
      <c r="K2458">
        <v>30</v>
      </c>
      <c r="L2458" t="s">
        <v>24</v>
      </c>
      <c r="M2458" t="s">
        <v>35</v>
      </c>
      <c r="N2458" t="s">
        <v>30</v>
      </c>
      <c r="O2458" t="s">
        <v>36</v>
      </c>
      <c r="P2458">
        <v>4.25</v>
      </c>
      <c r="Q2458" s="2" t="b">
        <f>FALSE()</f>
        <v>0</v>
      </c>
      <c r="R2458">
        <v>0</v>
      </c>
    </row>
    <row r="2459" spans="1:18" x14ac:dyDescent="0.25">
      <c r="A2459">
        <v>202458</v>
      </c>
      <c r="B2459">
        <v>53064</v>
      </c>
      <c r="C2459" t="s">
        <v>18</v>
      </c>
      <c r="D2459">
        <v>1278.57</v>
      </c>
      <c r="E2459">
        <v>3440</v>
      </c>
      <c r="F2459">
        <v>2</v>
      </c>
      <c r="G2459">
        <v>4</v>
      </c>
      <c r="H2459">
        <v>0</v>
      </c>
      <c r="I2459" t="s">
        <v>33</v>
      </c>
      <c r="J2459">
        <v>0</v>
      </c>
      <c r="K2459">
        <v>36</v>
      </c>
      <c r="L2459" t="s">
        <v>20</v>
      </c>
      <c r="M2459" t="s">
        <v>31</v>
      </c>
      <c r="N2459" t="s">
        <v>22</v>
      </c>
      <c r="O2459" t="s">
        <v>36</v>
      </c>
      <c r="P2459">
        <v>0.62</v>
      </c>
      <c r="Q2459" s="2" t="b">
        <f>FALSE()</f>
        <v>0</v>
      </c>
      <c r="R2459">
        <v>0</v>
      </c>
    </row>
    <row r="2460" spans="1:18" x14ac:dyDescent="0.25">
      <c r="A2460">
        <v>202459</v>
      </c>
      <c r="B2460">
        <v>54125</v>
      </c>
      <c r="C2460" t="s">
        <v>34</v>
      </c>
      <c r="D2460">
        <v>1756.77</v>
      </c>
      <c r="E2460">
        <v>2515</v>
      </c>
      <c r="F2460">
        <v>4</v>
      </c>
      <c r="G2460">
        <v>4</v>
      </c>
      <c r="H2460">
        <v>0</v>
      </c>
      <c r="I2460" t="s">
        <v>19</v>
      </c>
      <c r="J2460">
        <v>0</v>
      </c>
      <c r="K2460">
        <v>77</v>
      </c>
      <c r="L2460" t="s">
        <v>24</v>
      </c>
      <c r="M2460" t="s">
        <v>29</v>
      </c>
      <c r="N2460" t="s">
        <v>22</v>
      </c>
      <c r="O2460" t="s">
        <v>36</v>
      </c>
      <c r="P2460">
        <v>6.69</v>
      </c>
      <c r="Q2460" s="2" t="b">
        <f>FALSE()</f>
        <v>0</v>
      </c>
      <c r="R2460">
        <v>1</v>
      </c>
    </row>
    <row r="2461" spans="1:18" x14ac:dyDescent="0.25">
      <c r="A2461">
        <v>202460</v>
      </c>
      <c r="B2461">
        <v>54909</v>
      </c>
      <c r="C2461" t="s">
        <v>34</v>
      </c>
      <c r="D2461">
        <v>1929.35</v>
      </c>
      <c r="E2461">
        <v>320</v>
      </c>
      <c r="F2461">
        <v>1</v>
      </c>
      <c r="G2461">
        <v>2</v>
      </c>
      <c r="H2461">
        <v>1</v>
      </c>
      <c r="I2461" t="s">
        <v>19</v>
      </c>
      <c r="J2461">
        <v>0</v>
      </c>
      <c r="K2461">
        <v>52</v>
      </c>
      <c r="L2461" t="s">
        <v>24</v>
      </c>
      <c r="M2461" t="s">
        <v>31</v>
      </c>
      <c r="N2461" t="s">
        <v>30</v>
      </c>
      <c r="O2461" t="s">
        <v>23</v>
      </c>
      <c r="P2461">
        <v>7.87</v>
      </c>
      <c r="Q2461" s="2" t="b">
        <f>FALSE()</f>
        <v>0</v>
      </c>
      <c r="R2461">
        <v>0</v>
      </c>
    </row>
    <row r="2462" spans="1:18" x14ac:dyDescent="0.25">
      <c r="A2462">
        <v>202461</v>
      </c>
      <c r="B2462">
        <v>54068</v>
      </c>
      <c r="C2462" t="s">
        <v>28</v>
      </c>
      <c r="D2462">
        <v>794.94</v>
      </c>
      <c r="E2462">
        <v>2908</v>
      </c>
      <c r="F2462">
        <v>2</v>
      </c>
      <c r="G2462">
        <v>4</v>
      </c>
      <c r="H2462">
        <v>0</v>
      </c>
      <c r="I2462" t="s">
        <v>33</v>
      </c>
      <c r="J2462">
        <v>0</v>
      </c>
      <c r="K2462">
        <v>40</v>
      </c>
      <c r="L2462" t="s">
        <v>24</v>
      </c>
      <c r="M2462" t="s">
        <v>37</v>
      </c>
      <c r="N2462" t="s">
        <v>22</v>
      </c>
      <c r="O2462" t="s">
        <v>36</v>
      </c>
      <c r="P2462">
        <v>2.92</v>
      </c>
      <c r="Q2462" s="2" t="b">
        <f>FALSE()</f>
        <v>0</v>
      </c>
      <c r="R2462">
        <v>0</v>
      </c>
    </row>
    <row r="2463" spans="1:18" x14ac:dyDescent="0.25">
      <c r="A2463">
        <v>202462</v>
      </c>
      <c r="B2463">
        <v>50467</v>
      </c>
      <c r="C2463" t="s">
        <v>34</v>
      </c>
      <c r="D2463">
        <v>1438.95</v>
      </c>
      <c r="E2463">
        <v>3216</v>
      </c>
      <c r="F2463">
        <v>0</v>
      </c>
      <c r="G2463">
        <v>2</v>
      </c>
      <c r="H2463">
        <v>0</v>
      </c>
      <c r="I2463" t="s">
        <v>33</v>
      </c>
      <c r="J2463">
        <v>0</v>
      </c>
      <c r="K2463">
        <v>33</v>
      </c>
      <c r="L2463" t="s">
        <v>20</v>
      </c>
      <c r="M2463" t="s">
        <v>21</v>
      </c>
      <c r="N2463" t="s">
        <v>30</v>
      </c>
      <c r="O2463" t="s">
        <v>36</v>
      </c>
      <c r="P2463">
        <v>5.0999999999999996</v>
      </c>
      <c r="Q2463" s="2" t="b">
        <f>FALSE()</f>
        <v>0</v>
      </c>
      <c r="R2463">
        <v>0</v>
      </c>
    </row>
    <row r="2464" spans="1:18" x14ac:dyDescent="0.25">
      <c r="A2464">
        <v>202463</v>
      </c>
      <c r="B2464">
        <v>52814</v>
      </c>
      <c r="C2464" t="s">
        <v>34</v>
      </c>
      <c r="D2464">
        <v>2122.0300000000002</v>
      </c>
      <c r="E2464">
        <v>3588</v>
      </c>
      <c r="F2464">
        <v>0</v>
      </c>
      <c r="G2464">
        <v>3</v>
      </c>
      <c r="H2464">
        <v>0</v>
      </c>
      <c r="I2464" t="s">
        <v>33</v>
      </c>
      <c r="J2464">
        <v>1</v>
      </c>
      <c r="K2464">
        <v>45</v>
      </c>
      <c r="L2464" t="s">
        <v>24</v>
      </c>
      <c r="M2464" t="s">
        <v>21</v>
      </c>
      <c r="N2464" t="s">
        <v>30</v>
      </c>
      <c r="O2464" t="s">
        <v>27</v>
      </c>
      <c r="P2464">
        <v>1.96</v>
      </c>
      <c r="Q2464" s="2" t="b">
        <f>FALSE()</f>
        <v>0</v>
      </c>
      <c r="R2464">
        <v>0</v>
      </c>
    </row>
    <row r="2465" spans="1:18" x14ac:dyDescent="0.25">
      <c r="A2465">
        <v>202464</v>
      </c>
      <c r="B2465">
        <v>55042</v>
      </c>
      <c r="C2465" t="s">
        <v>18</v>
      </c>
      <c r="D2465">
        <v>3824.18</v>
      </c>
      <c r="E2465">
        <v>2532</v>
      </c>
      <c r="F2465">
        <v>2</v>
      </c>
      <c r="G2465">
        <v>3</v>
      </c>
      <c r="H2465">
        <v>0</v>
      </c>
      <c r="I2465" t="s">
        <v>33</v>
      </c>
      <c r="J2465">
        <v>0</v>
      </c>
      <c r="K2465">
        <v>47</v>
      </c>
      <c r="L2465" t="s">
        <v>24</v>
      </c>
      <c r="M2465" t="s">
        <v>25</v>
      </c>
      <c r="N2465" t="s">
        <v>22</v>
      </c>
      <c r="O2465" t="s">
        <v>27</v>
      </c>
      <c r="P2465">
        <v>0.4</v>
      </c>
      <c r="Q2465" s="2" t="b">
        <f>FALSE()</f>
        <v>0</v>
      </c>
      <c r="R2465">
        <v>1</v>
      </c>
    </row>
    <row r="2466" spans="1:18" x14ac:dyDescent="0.25">
      <c r="A2466">
        <v>202465</v>
      </c>
      <c r="B2466">
        <v>53383</v>
      </c>
      <c r="C2466" t="s">
        <v>34</v>
      </c>
      <c r="D2466">
        <v>1503.26</v>
      </c>
      <c r="E2466">
        <v>1605</v>
      </c>
      <c r="F2466">
        <v>1</v>
      </c>
      <c r="G2466">
        <v>5</v>
      </c>
      <c r="H2466">
        <v>0</v>
      </c>
      <c r="I2466" t="s">
        <v>19</v>
      </c>
      <c r="J2466">
        <v>0</v>
      </c>
      <c r="K2466">
        <v>47</v>
      </c>
      <c r="L2466" t="s">
        <v>20</v>
      </c>
      <c r="M2466" t="s">
        <v>29</v>
      </c>
      <c r="N2466" t="s">
        <v>26</v>
      </c>
      <c r="O2466" t="s">
        <v>27</v>
      </c>
      <c r="P2466">
        <v>0.41</v>
      </c>
      <c r="Q2466" s="2" t="b">
        <f>FALSE()</f>
        <v>0</v>
      </c>
      <c r="R2466">
        <v>0</v>
      </c>
    </row>
    <row r="2467" spans="1:18" x14ac:dyDescent="0.25">
      <c r="A2467">
        <v>202466</v>
      </c>
      <c r="B2467">
        <v>53805</v>
      </c>
      <c r="C2467" t="s">
        <v>34</v>
      </c>
      <c r="D2467">
        <v>1155.1300000000001</v>
      </c>
      <c r="E2467">
        <v>395</v>
      </c>
      <c r="F2467">
        <v>1</v>
      </c>
      <c r="G2467">
        <v>4</v>
      </c>
      <c r="H2467">
        <v>0</v>
      </c>
      <c r="I2467" t="s">
        <v>33</v>
      </c>
      <c r="J2467">
        <v>0</v>
      </c>
      <c r="K2467">
        <v>45</v>
      </c>
      <c r="L2467" t="s">
        <v>24</v>
      </c>
      <c r="M2467" t="s">
        <v>31</v>
      </c>
      <c r="N2467" t="s">
        <v>30</v>
      </c>
      <c r="O2467" t="s">
        <v>27</v>
      </c>
      <c r="P2467">
        <v>2.48</v>
      </c>
      <c r="Q2467" s="2" t="b">
        <f>FALSE()</f>
        <v>0</v>
      </c>
      <c r="R2467">
        <v>0</v>
      </c>
    </row>
    <row r="2468" spans="1:18" x14ac:dyDescent="0.25">
      <c r="A2468">
        <v>202467</v>
      </c>
      <c r="B2468">
        <v>53445</v>
      </c>
      <c r="C2468" t="s">
        <v>18</v>
      </c>
      <c r="D2468">
        <v>7055.28</v>
      </c>
      <c r="E2468">
        <v>1016</v>
      </c>
      <c r="F2468">
        <v>0</v>
      </c>
      <c r="G2468">
        <v>3</v>
      </c>
      <c r="H2468">
        <v>0</v>
      </c>
      <c r="I2468" t="s">
        <v>33</v>
      </c>
      <c r="J2468">
        <v>0</v>
      </c>
      <c r="K2468">
        <v>22</v>
      </c>
      <c r="L2468" t="s">
        <v>24</v>
      </c>
      <c r="M2468" t="s">
        <v>25</v>
      </c>
      <c r="N2468" t="s">
        <v>30</v>
      </c>
      <c r="O2468" t="s">
        <v>23</v>
      </c>
      <c r="P2468">
        <v>2.5</v>
      </c>
      <c r="Q2468" s="2" t="b">
        <f>TRUE()</f>
        <v>1</v>
      </c>
      <c r="R2468">
        <v>1</v>
      </c>
    </row>
    <row r="2469" spans="1:18" x14ac:dyDescent="0.25">
      <c r="A2469">
        <v>202468</v>
      </c>
      <c r="B2469">
        <v>54102</v>
      </c>
      <c r="C2469" t="s">
        <v>18</v>
      </c>
      <c r="D2469">
        <v>1554.45</v>
      </c>
      <c r="E2469">
        <v>3482</v>
      </c>
      <c r="F2469">
        <v>1</v>
      </c>
      <c r="G2469">
        <v>2</v>
      </c>
      <c r="H2469">
        <v>1</v>
      </c>
      <c r="I2469" t="s">
        <v>32</v>
      </c>
      <c r="J2469">
        <v>0</v>
      </c>
      <c r="K2469">
        <v>39</v>
      </c>
      <c r="L2469" t="s">
        <v>20</v>
      </c>
      <c r="M2469" t="s">
        <v>21</v>
      </c>
      <c r="N2469" t="s">
        <v>22</v>
      </c>
      <c r="O2469" t="s">
        <v>27</v>
      </c>
      <c r="P2469">
        <v>0.5</v>
      </c>
      <c r="Q2469" s="2" t="b">
        <f>FALSE()</f>
        <v>0</v>
      </c>
      <c r="R2469">
        <v>0</v>
      </c>
    </row>
    <row r="2470" spans="1:18" x14ac:dyDescent="0.25">
      <c r="A2470">
        <v>202469</v>
      </c>
      <c r="B2470">
        <v>55533</v>
      </c>
      <c r="C2470" t="s">
        <v>18</v>
      </c>
      <c r="D2470">
        <v>303.66000000000003</v>
      </c>
      <c r="E2470">
        <v>2876</v>
      </c>
      <c r="F2470">
        <v>1</v>
      </c>
      <c r="G2470">
        <v>5</v>
      </c>
      <c r="H2470">
        <v>1</v>
      </c>
      <c r="I2470" t="s">
        <v>33</v>
      </c>
      <c r="J2470">
        <v>0</v>
      </c>
      <c r="K2470">
        <v>28</v>
      </c>
      <c r="L2470" t="s">
        <v>24</v>
      </c>
      <c r="M2470" t="s">
        <v>35</v>
      </c>
      <c r="N2470" t="s">
        <v>22</v>
      </c>
      <c r="O2470" t="s">
        <v>23</v>
      </c>
      <c r="P2470">
        <v>3.17</v>
      </c>
      <c r="Q2470" s="2" t="b">
        <f>FALSE()</f>
        <v>0</v>
      </c>
      <c r="R2470">
        <v>0</v>
      </c>
    </row>
    <row r="2471" spans="1:18" x14ac:dyDescent="0.25">
      <c r="A2471">
        <v>202470</v>
      </c>
      <c r="B2471">
        <v>54041</v>
      </c>
      <c r="C2471" t="s">
        <v>18</v>
      </c>
      <c r="D2471">
        <v>2149.0700000000002</v>
      </c>
      <c r="E2471">
        <v>617</v>
      </c>
      <c r="F2471">
        <v>0</v>
      </c>
      <c r="G2471">
        <v>4</v>
      </c>
      <c r="H2471">
        <v>0</v>
      </c>
      <c r="I2471" t="s">
        <v>19</v>
      </c>
      <c r="J2471">
        <v>0</v>
      </c>
      <c r="K2471">
        <v>40</v>
      </c>
      <c r="L2471" t="s">
        <v>20</v>
      </c>
      <c r="M2471" t="s">
        <v>35</v>
      </c>
      <c r="N2471" t="s">
        <v>30</v>
      </c>
      <c r="O2471" t="s">
        <v>23</v>
      </c>
      <c r="P2471">
        <v>2.72</v>
      </c>
      <c r="Q2471" s="2" t="b">
        <f>FALSE()</f>
        <v>0</v>
      </c>
      <c r="R2471">
        <v>0</v>
      </c>
    </row>
    <row r="2472" spans="1:18" x14ac:dyDescent="0.25">
      <c r="A2472">
        <v>202471</v>
      </c>
      <c r="B2472">
        <v>54840</v>
      </c>
      <c r="C2472" t="s">
        <v>18</v>
      </c>
      <c r="D2472">
        <v>1939.8</v>
      </c>
      <c r="E2472">
        <v>1398</v>
      </c>
      <c r="F2472">
        <v>2</v>
      </c>
      <c r="G2472">
        <v>6</v>
      </c>
      <c r="H2472">
        <v>0</v>
      </c>
      <c r="I2472" t="s">
        <v>19</v>
      </c>
      <c r="J2472">
        <v>0</v>
      </c>
      <c r="K2472">
        <v>77</v>
      </c>
      <c r="L2472" t="s">
        <v>24</v>
      </c>
      <c r="M2472" t="s">
        <v>31</v>
      </c>
      <c r="N2472" t="s">
        <v>30</v>
      </c>
      <c r="O2472" t="s">
        <v>36</v>
      </c>
      <c r="P2472">
        <v>1.56</v>
      </c>
      <c r="Q2472" s="2" t="b">
        <f>FALSE()</f>
        <v>0</v>
      </c>
      <c r="R2472">
        <v>0</v>
      </c>
    </row>
    <row r="2473" spans="1:18" x14ac:dyDescent="0.25">
      <c r="A2473">
        <v>202472</v>
      </c>
      <c r="B2473">
        <v>53155</v>
      </c>
      <c r="C2473" t="s">
        <v>18</v>
      </c>
      <c r="D2473">
        <v>940.16</v>
      </c>
      <c r="E2473">
        <v>2051</v>
      </c>
      <c r="F2473">
        <v>1</v>
      </c>
      <c r="G2473">
        <v>3</v>
      </c>
      <c r="H2473">
        <v>1</v>
      </c>
      <c r="I2473" t="s">
        <v>33</v>
      </c>
      <c r="J2473">
        <v>0</v>
      </c>
      <c r="K2473">
        <v>44</v>
      </c>
      <c r="L2473" t="s">
        <v>20</v>
      </c>
      <c r="M2473" t="s">
        <v>21</v>
      </c>
      <c r="N2473" t="s">
        <v>30</v>
      </c>
      <c r="O2473" t="s">
        <v>36</v>
      </c>
      <c r="P2473">
        <v>6.23</v>
      </c>
      <c r="Q2473" s="2" t="b">
        <f>FALSE()</f>
        <v>0</v>
      </c>
      <c r="R2473">
        <v>0</v>
      </c>
    </row>
    <row r="2474" spans="1:18" x14ac:dyDescent="0.25">
      <c r="A2474">
        <v>202473</v>
      </c>
      <c r="B2474">
        <v>51126</v>
      </c>
      <c r="C2474" t="s">
        <v>18</v>
      </c>
      <c r="D2474">
        <v>2507.5500000000002</v>
      </c>
      <c r="E2474">
        <v>1453</v>
      </c>
      <c r="F2474">
        <v>2</v>
      </c>
      <c r="G2474">
        <v>4</v>
      </c>
      <c r="H2474">
        <v>0</v>
      </c>
      <c r="I2474" t="s">
        <v>19</v>
      </c>
      <c r="J2474">
        <v>0</v>
      </c>
      <c r="K2474">
        <v>76</v>
      </c>
      <c r="L2474" t="s">
        <v>20</v>
      </c>
      <c r="M2474" t="s">
        <v>37</v>
      </c>
      <c r="N2474" t="s">
        <v>22</v>
      </c>
      <c r="O2474" t="s">
        <v>36</v>
      </c>
      <c r="P2474">
        <v>5.92</v>
      </c>
      <c r="Q2474" s="2" t="b">
        <f>FALSE()</f>
        <v>0</v>
      </c>
      <c r="R2474">
        <v>0</v>
      </c>
    </row>
    <row r="2475" spans="1:18" x14ac:dyDescent="0.25">
      <c r="A2475">
        <v>202474</v>
      </c>
      <c r="B2475">
        <v>53122</v>
      </c>
      <c r="C2475" t="s">
        <v>18</v>
      </c>
      <c r="D2475">
        <v>1556.01</v>
      </c>
      <c r="E2475">
        <v>237</v>
      </c>
      <c r="F2475">
        <v>0</v>
      </c>
      <c r="G2475">
        <v>7</v>
      </c>
      <c r="H2475">
        <v>0</v>
      </c>
      <c r="I2475" t="s">
        <v>33</v>
      </c>
      <c r="J2475">
        <v>0</v>
      </c>
      <c r="K2475">
        <v>58</v>
      </c>
      <c r="L2475" t="s">
        <v>24</v>
      </c>
      <c r="M2475" t="s">
        <v>21</v>
      </c>
      <c r="N2475" t="s">
        <v>22</v>
      </c>
      <c r="O2475" t="s">
        <v>36</v>
      </c>
      <c r="P2475">
        <v>1.41</v>
      </c>
      <c r="Q2475" s="2" t="b">
        <f>FALSE()</f>
        <v>0</v>
      </c>
      <c r="R2475">
        <v>1</v>
      </c>
    </row>
    <row r="2476" spans="1:18" x14ac:dyDescent="0.25">
      <c r="A2476">
        <v>202475</v>
      </c>
      <c r="B2476">
        <v>53452</v>
      </c>
      <c r="C2476" t="s">
        <v>34</v>
      </c>
      <c r="D2476">
        <v>2510.0500000000002</v>
      </c>
      <c r="E2476">
        <v>2021</v>
      </c>
      <c r="F2476">
        <v>0</v>
      </c>
      <c r="G2476">
        <v>7</v>
      </c>
      <c r="H2476">
        <v>0</v>
      </c>
      <c r="I2476" t="s">
        <v>33</v>
      </c>
      <c r="J2476">
        <v>0</v>
      </c>
      <c r="K2476">
        <v>26</v>
      </c>
      <c r="L2476" t="s">
        <v>20</v>
      </c>
      <c r="M2476" t="s">
        <v>29</v>
      </c>
      <c r="N2476" t="s">
        <v>22</v>
      </c>
      <c r="O2476" t="s">
        <v>23</v>
      </c>
      <c r="P2476">
        <v>5.17</v>
      </c>
      <c r="Q2476" s="2" t="b">
        <f>FALSE()</f>
        <v>0</v>
      </c>
      <c r="R2476">
        <v>1</v>
      </c>
    </row>
    <row r="2477" spans="1:18" x14ac:dyDescent="0.25">
      <c r="A2477">
        <v>202476</v>
      </c>
      <c r="B2477">
        <v>50076</v>
      </c>
      <c r="C2477" t="s">
        <v>18</v>
      </c>
      <c r="D2477">
        <v>2216.9</v>
      </c>
      <c r="E2477">
        <v>827</v>
      </c>
      <c r="F2477">
        <v>1</v>
      </c>
      <c r="G2477">
        <v>4</v>
      </c>
      <c r="H2477">
        <v>1</v>
      </c>
      <c r="I2477" t="s">
        <v>33</v>
      </c>
      <c r="J2477">
        <v>0</v>
      </c>
      <c r="K2477">
        <v>50</v>
      </c>
      <c r="L2477" t="s">
        <v>20</v>
      </c>
      <c r="M2477" t="s">
        <v>31</v>
      </c>
      <c r="N2477" t="s">
        <v>30</v>
      </c>
      <c r="O2477" t="s">
        <v>27</v>
      </c>
      <c r="P2477">
        <v>6.86</v>
      </c>
      <c r="Q2477" s="2" t="b">
        <f>FALSE()</f>
        <v>0</v>
      </c>
      <c r="R2477">
        <v>0</v>
      </c>
    </row>
    <row r="2478" spans="1:18" x14ac:dyDescent="0.25">
      <c r="A2478">
        <v>202477</v>
      </c>
      <c r="B2478">
        <v>53128</v>
      </c>
      <c r="C2478" t="s">
        <v>18</v>
      </c>
      <c r="D2478">
        <v>2653.16</v>
      </c>
      <c r="E2478">
        <v>2458</v>
      </c>
      <c r="F2478">
        <v>3</v>
      </c>
      <c r="G2478">
        <v>1</v>
      </c>
      <c r="H2478">
        <v>0</v>
      </c>
      <c r="I2478" t="s">
        <v>32</v>
      </c>
      <c r="J2478">
        <v>0</v>
      </c>
      <c r="K2478">
        <v>48</v>
      </c>
      <c r="L2478" t="s">
        <v>20</v>
      </c>
      <c r="M2478" t="s">
        <v>29</v>
      </c>
      <c r="N2478" t="s">
        <v>22</v>
      </c>
      <c r="O2478" t="s">
        <v>27</v>
      </c>
      <c r="P2478">
        <v>1.67</v>
      </c>
      <c r="Q2478" s="2" t="b">
        <f>FALSE()</f>
        <v>0</v>
      </c>
      <c r="R2478">
        <v>1</v>
      </c>
    </row>
    <row r="2479" spans="1:18" x14ac:dyDescent="0.25">
      <c r="A2479">
        <v>202478</v>
      </c>
      <c r="B2479">
        <v>55231</v>
      </c>
      <c r="C2479" t="s">
        <v>18</v>
      </c>
      <c r="D2479">
        <v>267.06</v>
      </c>
      <c r="E2479">
        <v>2298</v>
      </c>
      <c r="F2479">
        <v>1</v>
      </c>
      <c r="G2479">
        <v>4</v>
      </c>
      <c r="H2479">
        <v>0</v>
      </c>
      <c r="I2479" t="s">
        <v>33</v>
      </c>
      <c r="J2479">
        <v>0</v>
      </c>
      <c r="K2479">
        <v>31</v>
      </c>
      <c r="L2479" t="s">
        <v>24</v>
      </c>
      <c r="M2479" t="s">
        <v>37</v>
      </c>
      <c r="N2479" t="s">
        <v>22</v>
      </c>
      <c r="O2479" t="s">
        <v>27</v>
      </c>
      <c r="P2479">
        <v>0.4</v>
      </c>
      <c r="Q2479" s="2" t="b">
        <f>FALSE()</f>
        <v>0</v>
      </c>
      <c r="R2479">
        <v>0</v>
      </c>
    </row>
    <row r="2480" spans="1:18" x14ac:dyDescent="0.25">
      <c r="A2480">
        <v>202479</v>
      </c>
      <c r="B2480">
        <v>55048</v>
      </c>
      <c r="C2480" t="s">
        <v>18</v>
      </c>
      <c r="D2480">
        <v>1023.67</v>
      </c>
      <c r="E2480">
        <v>1930</v>
      </c>
      <c r="F2480">
        <v>3</v>
      </c>
      <c r="G2480">
        <v>4</v>
      </c>
      <c r="H2480">
        <v>0</v>
      </c>
      <c r="I2480" t="s">
        <v>33</v>
      </c>
      <c r="J2480">
        <v>1</v>
      </c>
      <c r="K2480">
        <v>74</v>
      </c>
      <c r="L2480" t="s">
        <v>24</v>
      </c>
      <c r="M2480" t="s">
        <v>35</v>
      </c>
      <c r="N2480" t="s">
        <v>30</v>
      </c>
      <c r="O2480" t="s">
        <v>36</v>
      </c>
      <c r="P2480">
        <v>12.32</v>
      </c>
      <c r="Q2480" s="2" t="b">
        <f>FALSE()</f>
        <v>0</v>
      </c>
      <c r="R2480">
        <v>1</v>
      </c>
    </row>
    <row r="2481" spans="1:18" x14ac:dyDescent="0.25">
      <c r="A2481">
        <v>202480</v>
      </c>
      <c r="B2481">
        <v>52054</v>
      </c>
      <c r="C2481" t="s">
        <v>34</v>
      </c>
      <c r="D2481">
        <v>2866.77</v>
      </c>
      <c r="E2481">
        <v>1038</v>
      </c>
      <c r="F2481">
        <v>1</v>
      </c>
      <c r="G2481">
        <v>4</v>
      </c>
      <c r="H2481">
        <v>0</v>
      </c>
      <c r="I2481" t="s">
        <v>33</v>
      </c>
      <c r="J2481">
        <v>0</v>
      </c>
      <c r="K2481">
        <v>27</v>
      </c>
      <c r="L2481" t="s">
        <v>24</v>
      </c>
      <c r="M2481" t="s">
        <v>25</v>
      </c>
      <c r="N2481" t="s">
        <v>22</v>
      </c>
      <c r="O2481" t="s">
        <v>27</v>
      </c>
      <c r="P2481">
        <v>0.19</v>
      </c>
      <c r="Q2481" s="2" t="b">
        <f>FALSE()</f>
        <v>0</v>
      </c>
      <c r="R2481">
        <v>0</v>
      </c>
    </row>
    <row r="2482" spans="1:18" x14ac:dyDescent="0.25">
      <c r="A2482">
        <v>202481</v>
      </c>
      <c r="B2482">
        <v>52009</v>
      </c>
      <c r="C2482" t="s">
        <v>18</v>
      </c>
      <c r="D2482">
        <v>4800.67</v>
      </c>
      <c r="E2482">
        <v>1256</v>
      </c>
      <c r="F2482">
        <v>1</v>
      </c>
      <c r="G2482">
        <v>1</v>
      </c>
      <c r="H2482">
        <v>0</v>
      </c>
      <c r="I2482" t="s">
        <v>33</v>
      </c>
      <c r="J2482">
        <v>0</v>
      </c>
      <c r="K2482">
        <v>21</v>
      </c>
      <c r="L2482" t="s">
        <v>20</v>
      </c>
      <c r="M2482" t="s">
        <v>31</v>
      </c>
      <c r="N2482" t="s">
        <v>30</v>
      </c>
      <c r="O2482" t="s">
        <v>27</v>
      </c>
      <c r="P2482">
        <v>3.63</v>
      </c>
      <c r="Q2482" s="2" t="b">
        <f>FALSE()</f>
        <v>0</v>
      </c>
      <c r="R2482">
        <v>1</v>
      </c>
    </row>
    <row r="2483" spans="1:18" x14ac:dyDescent="0.25">
      <c r="A2483">
        <v>202482</v>
      </c>
      <c r="B2483">
        <v>55204</v>
      </c>
      <c r="C2483" t="s">
        <v>34</v>
      </c>
      <c r="D2483">
        <v>3965.42</v>
      </c>
      <c r="E2483">
        <v>1246</v>
      </c>
      <c r="F2483">
        <v>0</v>
      </c>
      <c r="G2483">
        <v>6</v>
      </c>
      <c r="H2483">
        <v>0</v>
      </c>
      <c r="I2483" t="s">
        <v>32</v>
      </c>
      <c r="J2483">
        <v>0</v>
      </c>
      <c r="K2483">
        <v>25</v>
      </c>
      <c r="L2483" t="s">
        <v>24</v>
      </c>
      <c r="M2483" t="s">
        <v>29</v>
      </c>
      <c r="N2483" t="s">
        <v>22</v>
      </c>
      <c r="O2483" t="s">
        <v>36</v>
      </c>
      <c r="P2483">
        <v>1.17</v>
      </c>
      <c r="Q2483" s="2" t="b">
        <f>FALSE()</f>
        <v>0</v>
      </c>
      <c r="R2483">
        <v>1</v>
      </c>
    </row>
    <row r="2484" spans="1:18" x14ac:dyDescent="0.25">
      <c r="A2484">
        <v>202483</v>
      </c>
      <c r="B2484">
        <v>53137</v>
      </c>
      <c r="C2484" t="s">
        <v>18</v>
      </c>
      <c r="D2484">
        <v>3602.78</v>
      </c>
      <c r="E2484">
        <v>193</v>
      </c>
      <c r="F2484">
        <v>2</v>
      </c>
      <c r="G2484">
        <v>5</v>
      </c>
      <c r="H2484">
        <v>0</v>
      </c>
      <c r="I2484" t="s">
        <v>33</v>
      </c>
      <c r="J2484">
        <v>0</v>
      </c>
      <c r="K2484">
        <v>75</v>
      </c>
      <c r="L2484" t="s">
        <v>20</v>
      </c>
      <c r="M2484" t="s">
        <v>37</v>
      </c>
      <c r="N2484" t="s">
        <v>30</v>
      </c>
      <c r="O2484" t="s">
        <v>27</v>
      </c>
      <c r="P2484">
        <v>5.23</v>
      </c>
      <c r="Q2484" s="2" t="b">
        <f>FALSE()</f>
        <v>0</v>
      </c>
      <c r="R2484">
        <v>1</v>
      </c>
    </row>
    <row r="2485" spans="1:18" x14ac:dyDescent="0.25">
      <c r="A2485">
        <v>202484</v>
      </c>
      <c r="B2485">
        <v>55491</v>
      </c>
      <c r="C2485" t="s">
        <v>28</v>
      </c>
      <c r="D2485">
        <v>2866.97</v>
      </c>
      <c r="E2485">
        <v>602</v>
      </c>
      <c r="F2485">
        <v>0</v>
      </c>
      <c r="G2485">
        <v>6</v>
      </c>
      <c r="H2485">
        <v>1</v>
      </c>
      <c r="I2485" t="s">
        <v>33</v>
      </c>
      <c r="J2485">
        <v>0</v>
      </c>
      <c r="K2485">
        <v>61</v>
      </c>
      <c r="L2485" t="s">
        <v>24</v>
      </c>
      <c r="M2485" t="s">
        <v>37</v>
      </c>
      <c r="N2485" t="s">
        <v>30</v>
      </c>
      <c r="O2485" t="s">
        <v>27</v>
      </c>
      <c r="P2485">
        <v>2.34</v>
      </c>
      <c r="Q2485" s="2" t="b">
        <f>FALSE()</f>
        <v>0</v>
      </c>
      <c r="R2485">
        <v>0</v>
      </c>
    </row>
    <row r="2486" spans="1:18" x14ac:dyDescent="0.25">
      <c r="A2486">
        <v>202485</v>
      </c>
      <c r="B2486">
        <v>55516</v>
      </c>
      <c r="C2486" t="s">
        <v>34</v>
      </c>
      <c r="D2486">
        <v>5619.32</v>
      </c>
      <c r="E2486">
        <v>1741</v>
      </c>
      <c r="F2486">
        <v>2</v>
      </c>
      <c r="G2486">
        <v>3</v>
      </c>
      <c r="H2486">
        <v>0</v>
      </c>
      <c r="I2486" t="s">
        <v>19</v>
      </c>
      <c r="J2486">
        <v>0</v>
      </c>
      <c r="K2486">
        <v>59</v>
      </c>
      <c r="L2486" t="s">
        <v>24</v>
      </c>
      <c r="M2486" t="s">
        <v>21</v>
      </c>
      <c r="N2486" t="s">
        <v>22</v>
      </c>
      <c r="O2486" t="s">
        <v>27</v>
      </c>
      <c r="P2486">
        <v>3.18</v>
      </c>
      <c r="Q2486" s="2" t="b">
        <f>FALSE()</f>
        <v>0</v>
      </c>
      <c r="R2486">
        <v>1</v>
      </c>
    </row>
    <row r="2487" spans="1:18" x14ac:dyDescent="0.25">
      <c r="A2487">
        <v>202486</v>
      </c>
      <c r="B2487">
        <v>55979</v>
      </c>
      <c r="C2487" t="s">
        <v>34</v>
      </c>
      <c r="D2487">
        <v>2077.89</v>
      </c>
      <c r="E2487">
        <v>2311</v>
      </c>
      <c r="F2487">
        <v>0</v>
      </c>
      <c r="G2487">
        <v>2</v>
      </c>
      <c r="H2487">
        <v>0</v>
      </c>
      <c r="I2487" t="s">
        <v>19</v>
      </c>
      <c r="J2487">
        <v>1</v>
      </c>
      <c r="K2487">
        <v>75</v>
      </c>
      <c r="L2487" t="s">
        <v>24</v>
      </c>
      <c r="M2487" t="s">
        <v>29</v>
      </c>
      <c r="N2487" t="s">
        <v>30</v>
      </c>
      <c r="O2487" t="s">
        <v>27</v>
      </c>
      <c r="P2487">
        <v>0.45</v>
      </c>
      <c r="Q2487" s="2" t="b">
        <f>FALSE()</f>
        <v>0</v>
      </c>
      <c r="R2487">
        <v>0</v>
      </c>
    </row>
    <row r="2488" spans="1:18" x14ac:dyDescent="0.25">
      <c r="A2488">
        <v>202487</v>
      </c>
      <c r="B2488">
        <v>54399</v>
      </c>
      <c r="C2488" t="s">
        <v>18</v>
      </c>
      <c r="D2488">
        <v>525.41</v>
      </c>
      <c r="E2488">
        <v>1536</v>
      </c>
      <c r="F2488">
        <v>0</v>
      </c>
      <c r="G2488">
        <v>0</v>
      </c>
      <c r="H2488">
        <v>0</v>
      </c>
      <c r="I2488" t="s">
        <v>19</v>
      </c>
      <c r="J2488">
        <v>0</v>
      </c>
      <c r="K2488">
        <v>35</v>
      </c>
      <c r="L2488" t="s">
        <v>24</v>
      </c>
      <c r="M2488" t="s">
        <v>21</v>
      </c>
      <c r="N2488" t="s">
        <v>30</v>
      </c>
      <c r="O2488" t="s">
        <v>23</v>
      </c>
      <c r="P2488">
        <v>1.38</v>
      </c>
      <c r="Q2488" s="2" t="b">
        <f>FALSE()</f>
        <v>0</v>
      </c>
      <c r="R2488">
        <v>0</v>
      </c>
    </row>
    <row r="2489" spans="1:18" x14ac:dyDescent="0.25">
      <c r="A2489">
        <v>202488</v>
      </c>
      <c r="B2489">
        <v>50230</v>
      </c>
      <c r="C2489" t="s">
        <v>34</v>
      </c>
      <c r="D2489">
        <v>1043.08</v>
      </c>
      <c r="E2489">
        <v>134</v>
      </c>
      <c r="F2489">
        <v>2</v>
      </c>
      <c r="G2489">
        <v>5</v>
      </c>
      <c r="H2489">
        <v>0</v>
      </c>
      <c r="I2489" t="s">
        <v>33</v>
      </c>
      <c r="J2489">
        <v>0</v>
      </c>
      <c r="K2489">
        <v>53</v>
      </c>
      <c r="L2489" t="s">
        <v>20</v>
      </c>
      <c r="M2489" t="s">
        <v>25</v>
      </c>
      <c r="N2489" t="s">
        <v>26</v>
      </c>
      <c r="O2489" t="s">
        <v>36</v>
      </c>
      <c r="P2489">
        <v>0.33</v>
      </c>
      <c r="Q2489" s="2" t="b">
        <f>FALSE()</f>
        <v>0</v>
      </c>
      <c r="R2489">
        <v>0</v>
      </c>
    </row>
    <row r="2490" spans="1:18" x14ac:dyDescent="0.25">
      <c r="A2490">
        <v>202489</v>
      </c>
      <c r="B2490">
        <v>50101</v>
      </c>
      <c r="C2490" t="s">
        <v>18</v>
      </c>
      <c r="D2490">
        <v>6588.52</v>
      </c>
      <c r="E2490">
        <v>1008</v>
      </c>
      <c r="F2490">
        <v>1</v>
      </c>
      <c r="G2490">
        <v>5</v>
      </c>
      <c r="H2490">
        <v>0</v>
      </c>
      <c r="I2490" t="s">
        <v>32</v>
      </c>
      <c r="J2490">
        <v>0</v>
      </c>
      <c r="K2490">
        <v>31</v>
      </c>
      <c r="L2490" t="s">
        <v>24</v>
      </c>
      <c r="M2490" t="s">
        <v>31</v>
      </c>
      <c r="N2490" t="s">
        <v>30</v>
      </c>
      <c r="O2490" t="s">
        <v>27</v>
      </c>
      <c r="P2490">
        <v>3.46</v>
      </c>
      <c r="Q2490" s="2" t="b">
        <f>FALSE()</f>
        <v>0</v>
      </c>
      <c r="R2490">
        <v>1</v>
      </c>
    </row>
    <row r="2491" spans="1:18" x14ac:dyDescent="0.25">
      <c r="A2491">
        <v>202490</v>
      </c>
      <c r="B2491">
        <v>52820</v>
      </c>
      <c r="C2491" t="s">
        <v>18</v>
      </c>
      <c r="D2491">
        <v>2131.83</v>
      </c>
      <c r="E2491">
        <v>813</v>
      </c>
      <c r="F2491">
        <v>0</v>
      </c>
      <c r="G2491">
        <v>3</v>
      </c>
      <c r="H2491">
        <v>0</v>
      </c>
      <c r="I2491" t="s">
        <v>19</v>
      </c>
      <c r="J2491">
        <v>0</v>
      </c>
      <c r="K2491">
        <v>21</v>
      </c>
      <c r="L2491" t="s">
        <v>24</v>
      </c>
      <c r="M2491" t="s">
        <v>25</v>
      </c>
      <c r="N2491" t="s">
        <v>26</v>
      </c>
      <c r="O2491" t="s">
        <v>27</v>
      </c>
      <c r="P2491">
        <v>0.06</v>
      </c>
      <c r="Q2491" s="2" t="b">
        <f>FALSE()</f>
        <v>0</v>
      </c>
      <c r="R2491">
        <v>0</v>
      </c>
    </row>
    <row r="2492" spans="1:18" x14ac:dyDescent="0.25">
      <c r="A2492">
        <v>202491</v>
      </c>
      <c r="B2492">
        <v>53337</v>
      </c>
      <c r="C2492" t="s">
        <v>18</v>
      </c>
      <c r="D2492">
        <v>4172.32</v>
      </c>
      <c r="E2492">
        <v>3313</v>
      </c>
      <c r="F2492">
        <v>2</v>
      </c>
      <c r="G2492">
        <v>7</v>
      </c>
      <c r="H2492">
        <v>0</v>
      </c>
      <c r="I2492" t="s">
        <v>32</v>
      </c>
      <c r="J2492">
        <v>0</v>
      </c>
      <c r="K2492">
        <v>72</v>
      </c>
      <c r="L2492" t="s">
        <v>24</v>
      </c>
      <c r="M2492" t="s">
        <v>25</v>
      </c>
      <c r="N2492" t="s">
        <v>22</v>
      </c>
      <c r="O2492" t="s">
        <v>36</v>
      </c>
      <c r="P2492">
        <v>0.41</v>
      </c>
      <c r="Q2492" s="2" t="b">
        <f>FALSE()</f>
        <v>0</v>
      </c>
      <c r="R2492">
        <v>1</v>
      </c>
    </row>
    <row r="2493" spans="1:18" x14ac:dyDescent="0.25">
      <c r="A2493">
        <v>202492</v>
      </c>
      <c r="B2493">
        <v>51892</v>
      </c>
      <c r="C2493" t="s">
        <v>18</v>
      </c>
      <c r="D2493">
        <v>6932.4</v>
      </c>
      <c r="E2493">
        <v>2796</v>
      </c>
      <c r="F2493">
        <v>2</v>
      </c>
      <c r="G2493">
        <v>4</v>
      </c>
      <c r="H2493">
        <v>0</v>
      </c>
      <c r="I2493" t="s">
        <v>19</v>
      </c>
      <c r="J2493">
        <v>0</v>
      </c>
      <c r="K2493">
        <v>78</v>
      </c>
      <c r="L2493" t="s">
        <v>24</v>
      </c>
      <c r="M2493" t="s">
        <v>37</v>
      </c>
      <c r="N2493" t="s">
        <v>22</v>
      </c>
      <c r="O2493" t="s">
        <v>27</v>
      </c>
      <c r="P2493">
        <v>3.02</v>
      </c>
      <c r="Q2493" s="2" t="b">
        <f>TRUE()</f>
        <v>1</v>
      </c>
      <c r="R2493">
        <v>1</v>
      </c>
    </row>
    <row r="2494" spans="1:18" x14ac:dyDescent="0.25">
      <c r="A2494">
        <v>202493</v>
      </c>
      <c r="B2494">
        <v>54425</v>
      </c>
      <c r="C2494" t="s">
        <v>34</v>
      </c>
      <c r="D2494">
        <v>2208.09</v>
      </c>
      <c r="E2494">
        <v>1240</v>
      </c>
      <c r="F2494">
        <v>1</v>
      </c>
      <c r="G2494">
        <v>5</v>
      </c>
      <c r="H2494">
        <v>0</v>
      </c>
      <c r="I2494" t="s">
        <v>32</v>
      </c>
      <c r="J2494">
        <v>0</v>
      </c>
      <c r="K2494">
        <v>64</v>
      </c>
      <c r="L2494" t="s">
        <v>20</v>
      </c>
      <c r="M2494" t="s">
        <v>37</v>
      </c>
      <c r="N2494" t="s">
        <v>22</v>
      </c>
      <c r="O2494" t="s">
        <v>27</v>
      </c>
      <c r="P2494">
        <v>1.38</v>
      </c>
      <c r="Q2494" s="2" t="b">
        <f>FALSE()</f>
        <v>0</v>
      </c>
      <c r="R2494">
        <v>0</v>
      </c>
    </row>
    <row r="2495" spans="1:18" x14ac:dyDescent="0.25">
      <c r="A2495">
        <v>202494</v>
      </c>
      <c r="B2495">
        <v>52590</v>
      </c>
      <c r="C2495" t="s">
        <v>34</v>
      </c>
      <c r="D2495">
        <v>1186.1300000000001</v>
      </c>
      <c r="E2495">
        <v>2653</v>
      </c>
      <c r="F2495">
        <v>2</v>
      </c>
      <c r="G2495">
        <v>3</v>
      </c>
      <c r="H2495">
        <v>0</v>
      </c>
      <c r="I2495" t="s">
        <v>33</v>
      </c>
      <c r="J2495">
        <v>0</v>
      </c>
      <c r="K2495">
        <v>50</v>
      </c>
      <c r="L2495" t="s">
        <v>24</v>
      </c>
      <c r="M2495" t="s">
        <v>29</v>
      </c>
      <c r="N2495" t="s">
        <v>30</v>
      </c>
      <c r="O2495" t="s">
        <v>27</v>
      </c>
      <c r="P2495">
        <v>2.33</v>
      </c>
      <c r="Q2495" s="2" t="b">
        <f>FALSE()</f>
        <v>0</v>
      </c>
      <c r="R2495">
        <v>0</v>
      </c>
    </row>
    <row r="2496" spans="1:18" x14ac:dyDescent="0.25">
      <c r="A2496">
        <v>202495</v>
      </c>
      <c r="B2496">
        <v>55093</v>
      </c>
      <c r="C2496" t="s">
        <v>34</v>
      </c>
      <c r="D2496">
        <v>3521.89</v>
      </c>
      <c r="E2496">
        <v>3621</v>
      </c>
      <c r="F2496">
        <v>2</v>
      </c>
      <c r="G2496">
        <v>4</v>
      </c>
      <c r="H2496">
        <v>0</v>
      </c>
      <c r="I2496" t="s">
        <v>19</v>
      </c>
      <c r="J2496">
        <v>0</v>
      </c>
      <c r="K2496">
        <v>62</v>
      </c>
      <c r="L2496" t="s">
        <v>24</v>
      </c>
      <c r="M2496" t="s">
        <v>29</v>
      </c>
      <c r="N2496" t="s">
        <v>22</v>
      </c>
      <c r="O2496" t="s">
        <v>36</v>
      </c>
      <c r="P2496">
        <v>1.67</v>
      </c>
      <c r="Q2496" s="2" t="b">
        <f>FALSE()</f>
        <v>0</v>
      </c>
      <c r="R2496">
        <v>0</v>
      </c>
    </row>
    <row r="2497" spans="1:18" x14ac:dyDescent="0.25">
      <c r="A2497">
        <v>202496</v>
      </c>
      <c r="B2497">
        <v>50583</v>
      </c>
      <c r="C2497" t="s">
        <v>18</v>
      </c>
      <c r="D2497">
        <v>4061.55</v>
      </c>
      <c r="E2497">
        <v>488</v>
      </c>
      <c r="F2497">
        <v>1</v>
      </c>
      <c r="G2497">
        <v>11</v>
      </c>
      <c r="H2497">
        <v>0</v>
      </c>
      <c r="I2497" t="s">
        <v>33</v>
      </c>
      <c r="J2497">
        <v>0</v>
      </c>
      <c r="K2497">
        <v>64</v>
      </c>
      <c r="L2497" t="s">
        <v>24</v>
      </c>
      <c r="M2497" t="s">
        <v>35</v>
      </c>
      <c r="N2497" t="s">
        <v>26</v>
      </c>
      <c r="O2497" t="s">
        <v>27</v>
      </c>
      <c r="P2497">
        <v>8.3000000000000007</v>
      </c>
      <c r="Q2497" s="2" t="b">
        <f>FALSE()</f>
        <v>0</v>
      </c>
      <c r="R2497">
        <v>1</v>
      </c>
    </row>
    <row r="2498" spans="1:18" x14ac:dyDescent="0.25">
      <c r="A2498">
        <v>202497</v>
      </c>
      <c r="B2498">
        <v>53699</v>
      </c>
      <c r="C2498" t="s">
        <v>28</v>
      </c>
      <c r="D2498">
        <v>840.47</v>
      </c>
      <c r="E2498">
        <v>3011</v>
      </c>
      <c r="F2498">
        <v>2</v>
      </c>
      <c r="G2498">
        <v>2</v>
      </c>
      <c r="H2498">
        <v>1</v>
      </c>
      <c r="I2498" t="s">
        <v>33</v>
      </c>
      <c r="J2498">
        <v>1</v>
      </c>
      <c r="K2498">
        <v>80</v>
      </c>
      <c r="L2498" t="s">
        <v>20</v>
      </c>
      <c r="M2498" t="s">
        <v>29</v>
      </c>
      <c r="N2498" t="s">
        <v>22</v>
      </c>
      <c r="O2498" t="s">
        <v>23</v>
      </c>
      <c r="P2498">
        <v>0.95</v>
      </c>
      <c r="Q2498" s="2" t="b">
        <f>FALSE()</f>
        <v>0</v>
      </c>
      <c r="R2498">
        <v>0</v>
      </c>
    </row>
    <row r="2499" spans="1:18" x14ac:dyDescent="0.25">
      <c r="A2499">
        <v>202498</v>
      </c>
      <c r="B2499">
        <v>50089</v>
      </c>
      <c r="C2499" t="s">
        <v>34</v>
      </c>
      <c r="D2499">
        <v>5913.44</v>
      </c>
      <c r="E2499">
        <v>2151</v>
      </c>
      <c r="F2499">
        <v>0</v>
      </c>
      <c r="G2499">
        <v>5</v>
      </c>
      <c r="H2499">
        <v>0</v>
      </c>
      <c r="I2499" t="s">
        <v>32</v>
      </c>
      <c r="J2499">
        <v>0</v>
      </c>
      <c r="K2499">
        <v>36</v>
      </c>
      <c r="L2499" t="s">
        <v>20</v>
      </c>
      <c r="M2499" t="s">
        <v>21</v>
      </c>
      <c r="N2499" t="s">
        <v>26</v>
      </c>
      <c r="O2499" t="s">
        <v>23</v>
      </c>
      <c r="P2499">
        <v>0.11</v>
      </c>
      <c r="Q2499" s="2" t="b">
        <f>FALSE()</f>
        <v>0</v>
      </c>
      <c r="R2499">
        <v>1</v>
      </c>
    </row>
    <row r="2500" spans="1:18" x14ac:dyDescent="0.25">
      <c r="A2500">
        <v>202499</v>
      </c>
      <c r="B2500">
        <v>54826</v>
      </c>
      <c r="C2500" t="s">
        <v>34</v>
      </c>
      <c r="D2500">
        <v>4174.82</v>
      </c>
      <c r="E2500">
        <v>404</v>
      </c>
      <c r="F2500">
        <v>0</v>
      </c>
      <c r="G2500">
        <v>2</v>
      </c>
      <c r="H2500">
        <v>1</v>
      </c>
      <c r="I2500" t="s">
        <v>19</v>
      </c>
      <c r="J2500">
        <v>0</v>
      </c>
      <c r="K2500">
        <v>77</v>
      </c>
      <c r="L2500" t="s">
        <v>20</v>
      </c>
      <c r="M2500" t="s">
        <v>35</v>
      </c>
      <c r="N2500" t="s">
        <v>30</v>
      </c>
      <c r="O2500" t="s">
        <v>23</v>
      </c>
      <c r="P2500">
        <v>3.1</v>
      </c>
      <c r="Q2500" s="2" t="b">
        <f>FALSE()</f>
        <v>0</v>
      </c>
      <c r="R2500">
        <v>1</v>
      </c>
    </row>
    <row r="2501" spans="1:18" x14ac:dyDescent="0.25">
      <c r="A2501">
        <v>202500</v>
      </c>
      <c r="B2501">
        <v>52688</v>
      </c>
      <c r="C2501" t="s">
        <v>34</v>
      </c>
      <c r="D2501">
        <v>1551.8</v>
      </c>
      <c r="E2501">
        <v>221</v>
      </c>
      <c r="F2501">
        <v>1</v>
      </c>
      <c r="G2501">
        <v>4</v>
      </c>
      <c r="H2501">
        <v>0</v>
      </c>
      <c r="I2501" t="s">
        <v>33</v>
      </c>
      <c r="J2501">
        <v>0</v>
      </c>
      <c r="K2501">
        <v>29</v>
      </c>
      <c r="L2501" t="s">
        <v>20</v>
      </c>
      <c r="M2501" t="s">
        <v>31</v>
      </c>
      <c r="N2501" t="s">
        <v>22</v>
      </c>
      <c r="O2501" t="s">
        <v>36</v>
      </c>
      <c r="P2501">
        <v>1.59</v>
      </c>
      <c r="Q2501" s="2" t="b">
        <f>FALSE()</f>
        <v>0</v>
      </c>
      <c r="R2501">
        <v>0</v>
      </c>
    </row>
    <row r="2502" spans="1:18" x14ac:dyDescent="0.25">
      <c r="A2502">
        <v>202501</v>
      </c>
      <c r="B2502">
        <v>55407</v>
      </c>
      <c r="C2502" t="s">
        <v>18</v>
      </c>
      <c r="D2502">
        <v>2710.64</v>
      </c>
      <c r="E2502">
        <v>1623</v>
      </c>
      <c r="F2502">
        <v>2</v>
      </c>
      <c r="G2502">
        <v>2</v>
      </c>
      <c r="H2502">
        <v>0</v>
      </c>
      <c r="I2502" t="s">
        <v>32</v>
      </c>
      <c r="J2502">
        <v>0</v>
      </c>
      <c r="K2502">
        <v>46</v>
      </c>
      <c r="L2502" t="s">
        <v>24</v>
      </c>
      <c r="M2502" t="s">
        <v>37</v>
      </c>
      <c r="N2502" t="s">
        <v>30</v>
      </c>
      <c r="O2502" t="s">
        <v>36</v>
      </c>
      <c r="P2502">
        <v>2.2799999999999998</v>
      </c>
      <c r="Q2502" s="2" t="b">
        <f>FALSE()</f>
        <v>0</v>
      </c>
      <c r="R2502">
        <v>0</v>
      </c>
    </row>
    <row r="2503" spans="1:18" x14ac:dyDescent="0.25">
      <c r="A2503">
        <v>202502</v>
      </c>
      <c r="B2503">
        <v>51881</v>
      </c>
      <c r="C2503" t="s">
        <v>34</v>
      </c>
      <c r="D2503">
        <v>2870.23</v>
      </c>
      <c r="E2503">
        <v>864</v>
      </c>
      <c r="F2503">
        <v>1</v>
      </c>
      <c r="G2503">
        <v>2</v>
      </c>
      <c r="H2503">
        <v>0</v>
      </c>
      <c r="I2503" t="s">
        <v>33</v>
      </c>
      <c r="J2503">
        <v>0</v>
      </c>
      <c r="K2503">
        <v>63</v>
      </c>
      <c r="L2503" t="s">
        <v>20</v>
      </c>
      <c r="M2503" t="s">
        <v>31</v>
      </c>
      <c r="N2503" t="s">
        <v>22</v>
      </c>
      <c r="O2503" t="s">
        <v>36</v>
      </c>
      <c r="P2503">
        <v>2.29</v>
      </c>
      <c r="Q2503" s="2" t="b">
        <f>FALSE()</f>
        <v>0</v>
      </c>
      <c r="R2503">
        <v>0</v>
      </c>
    </row>
    <row r="2504" spans="1:18" x14ac:dyDescent="0.25">
      <c r="A2504">
        <v>202503</v>
      </c>
      <c r="B2504">
        <v>53586</v>
      </c>
      <c r="C2504" t="s">
        <v>18</v>
      </c>
      <c r="D2504">
        <v>2461.0700000000002</v>
      </c>
      <c r="E2504">
        <v>3153</v>
      </c>
      <c r="F2504">
        <v>2</v>
      </c>
      <c r="G2504">
        <v>4</v>
      </c>
      <c r="H2504">
        <v>1</v>
      </c>
      <c r="I2504" t="s">
        <v>32</v>
      </c>
      <c r="J2504">
        <v>0</v>
      </c>
      <c r="K2504">
        <v>74</v>
      </c>
      <c r="L2504" t="s">
        <v>24</v>
      </c>
      <c r="M2504" t="s">
        <v>35</v>
      </c>
      <c r="N2504" t="s">
        <v>30</v>
      </c>
      <c r="O2504" t="s">
        <v>27</v>
      </c>
      <c r="P2504">
        <v>0.4</v>
      </c>
      <c r="Q2504" s="2" t="b">
        <f>FALSE()</f>
        <v>0</v>
      </c>
      <c r="R2504">
        <v>0</v>
      </c>
    </row>
    <row r="2505" spans="1:18" x14ac:dyDescent="0.25">
      <c r="A2505">
        <v>202504</v>
      </c>
      <c r="B2505">
        <v>54160</v>
      </c>
      <c r="C2505" t="s">
        <v>34</v>
      </c>
      <c r="D2505">
        <v>2697.44</v>
      </c>
      <c r="E2505">
        <v>1567</v>
      </c>
      <c r="F2505">
        <v>0</v>
      </c>
      <c r="G2505">
        <v>5</v>
      </c>
      <c r="H2505">
        <v>1</v>
      </c>
      <c r="I2505" t="s">
        <v>32</v>
      </c>
      <c r="J2505">
        <v>0</v>
      </c>
      <c r="K2505">
        <v>20</v>
      </c>
      <c r="L2505" t="s">
        <v>24</v>
      </c>
      <c r="M2505" t="s">
        <v>29</v>
      </c>
      <c r="N2505" t="s">
        <v>22</v>
      </c>
      <c r="O2505" t="s">
        <v>27</v>
      </c>
      <c r="P2505">
        <v>1.71</v>
      </c>
      <c r="Q2505" s="2" t="b">
        <f>FALSE()</f>
        <v>0</v>
      </c>
      <c r="R2505">
        <v>0</v>
      </c>
    </row>
    <row r="2506" spans="1:18" x14ac:dyDescent="0.25">
      <c r="A2506">
        <v>202505</v>
      </c>
      <c r="B2506">
        <v>54950</v>
      </c>
      <c r="C2506" t="s">
        <v>18</v>
      </c>
      <c r="D2506">
        <v>3530.36</v>
      </c>
      <c r="E2506">
        <v>390</v>
      </c>
      <c r="F2506">
        <v>2</v>
      </c>
      <c r="G2506">
        <v>10</v>
      </c>
      <c r="H2506">
        <v>0</v>
      </c>
      <c r="I2506" t="s">
        <v>33</v>
      </c>
      <c r="J2506">
        <v>0</v>
      </c>
      <c r="K2506">
        <v>79</v>
      </c>
      <c r="L2506" t="s">
        <v>20</v>
      </c>
      <c r="M2506" t="s">
        <v>25</v>
      </c>
      <c r="N2506" t="s">
        <v>22</v>
      </c>
      <c r="O2506" t="s">
        <v>23</v>
      </c>
      <c r="P2506">
        <v>2.7</v>
      </c>
      <c r="Q2506" s="2" t="b">
        <f>FALSE()</f>
        <v>0</v>
      </c>
      <c r="R2506">
        <v>1</v>
      </c>
    </row>
    <row r="2507" spans="1:18" x14ac:dyDescent="0.25">
      <c r="A2507">
        <v>202506</v>
      </c>
      <c r="B2507">
        <v>55363</v>
      </c>
      <c r="C2507" t="s">
        <v>34</v>
      </c>
      <c r="D2507">
        <v>5537.7</v>
      </c>
      <c r="E2507">
        <v>1765</v>
      </c>
      <c r="F2507">
        <v>1</v>
      </c>
      <c r="G2507">
        <v>5</v>
      </c>
      <c r="H2507">
        <v>0</v>
      </c>
      <c r="I2507" t="s">
        <v>33</v>
      </c>
      <c r="J2507">
        <v>0</v>
      </c>
      <c r="K2507">
        <v>81</v>
      </c>
      <c r="L2507" t="s">
        <v>24</v>
      </c>
      <c r="M2507" t="s">
        <v>29</v>
      </c>
      <c r="N2507" t="s">
        <v>30</v>
      </c>
      <c r="O2507" t="s">
        <v>27</v>
      </c>
      <c r="P2507">
        <v>4.33</v>
      </c>
      <c r="Q2507" s="2" t="b">
        <f>FALSE()</f>
        <v>0</v>
      </c>
      <c r="R2507">
        <v>1</v>
      </c>
    </row>
    <row r="2508" spans="1:18" x14ac:dyDescent="0.25">
      <c r="A2508">
        <v>202507</v>
      </c>
      <c r="B2508">
        <v>51634</v>
      </c>
      <c r="C2508" t="s">
        <v>34</v>
      </c>
      <c r="D2508">
        <v>3880.05</v>
      </c>
      <c r="E2508">
        <v>3531</v>
      </c>
      <c r="F2508">
        <v>0</v>
      </c>
      <c r="G2508">
        <v>4</v>
      </c>
      <c r="H2508">
        <v>0</v>
      </c>
      <c r="I2508" t="s">
        <v>33</v>
      </c>
      <c r="J2508">
        <v>1</v>
      </c>
      <c r="K2508">
        <v>63</v>
      </c>
      <c r="L2508" t="s">
        <v>20</v>
      </c>
      <c r="M2508" t="s">
        <v>21</v>
      </c>
      <c r="N2508" t="s">
        <v>26</v>
      </c>
      <c r="O2508" t="s">
        <v>27</v>
      </c>
      <c r="P2508">
        <v>3.45</v>
      </c>
      <c r="Q2508" s="2" t="b">
        <f>FALSE()</f>
        <v>0</v>
      </c>
      <c r="R2508">
        <v>1</v>
      </c>
    </row>
    <row r="2509" spans="1:18" x14ac:dyDescent="0.25">
      <c r="A2509">
        <v>202508</v>
      </c>
      <c r="B2509">
        <v>53761</v>
      </c>
      <c r="C2509" t="s">
        <v>34</v>
      </c>
      <c r="D2509">
        <v>6409.99</v>
      </c>
      <c r="E2509">
        <v>885</v>
      </c>
      <c r="F2509">
        <v>1</v>
      </c>
      <c r="G2509">
        <v>2</v>
      </c>
      <c r="H2509">
        <v>0</v>
      </c>
      <c r="I2509" t="s">
        <v>19</v>
      </c>
      <c r="J2509">
        <v>0</v>
      </c>
      <c r="K2509">
        <v>48</v>
      </c>
      <c r="L2509" t="s">
        <v>20</v>
      </c>
      <c r="M2509" t="s">
        <v>31</v>
      </c>
      <c r="N2509" t="s">
        <v>30</v>
      </c>
      <c r="O2509" t="s">
        <v>27</v>
      </c>
      <c r="P2509">
        <v>9.09</v>
      </c>
      <c r="Q2509" s="2" t="b">
        <f>FALSE()</f>
        <v>0</v>
      </c>
      <c r="R2509">
        <v>1</v>
      </c>
    </row>
    <row r="2510" spans="1:18" x14ac:dyDescent="0.25">
      <c r="A2510">
        <v>202509</v>
      </c>
      <c r="B2510">
        <v>52725</v>
      </c>
      <c r="C2510" t="s">
        <v>34</v>
      </c>
      <c r="D2510">
        <v>283.13</v>
      </c>
      <c r="E2510">
        <v>182</v>
      </c>
      <c r="F2510">
        <v>1</v>
      </c>
      <c r="G2510">
        <v>7</v>
      </c>
      <c r="H2510">
        <v>0</v>
      </c>
      <c r="I2510" t="s">
        <v>19</v>
      </c>
      <c r="J2510">
        <v>0</v>
      </c>
      <c r="K2510">
        <v>43</v>
      </c>
      <c r="L2510" t="s">
        <v>24</v>
      </c>
      <c r="M2510" t="s">
        <v>31</v>
      </c>
      <c r="N2510" t="s">
        <v>22</v>
      </c>
      <c r="O2510" t="s">
        <v>27</v>
      </c>
      <c r="P2510">
        <v>2.31</v>
      </c>
      <c r="Q2510" s="2" t="b">
        <f>FALSE()</f>
        <v>0</v>
      </c>
      <c r="R2510">
        <v>1</v>
      </c>
    </row>
    <row r="2511" spans="1:18" x14ac:dyDescent="0.25">
      <c r="A2511">
        <v>202510</v>
      </c>
      <c r="B2511">
        <v>55858</v>
      </c>
      <c r="C2511" t="s">
        <v>18</v>
      </c>
      <c r="D2511">
        <v>1784.25</v>
      </c>
      <c r="E2511">
        <v>1233</v>
      </c>
      <c r="F2511">
        <v>1</v>
      </c>
      <c r="G2511">
        <v>2</v>
      </c>
      <c r="H2511">
        <v>1</v>
      </c>
      <c r="I2511" t="s">
        <v>33</v>
      </c>
      <c r="J2511">
        <v>0</v>
      </c>
      <c r="K2511">
        <v>75</v>
      </c>
      <c r="L2511" t="s">
        <v>24</v>
      </c>
      <c r="M2511" t="s">
        <v>29</v>
      </c>
      <c r="N2511" t="s">
        <v>22</v>
      </c>
      <c r="O2511" t="s">
        <v>27</v>
      </c>
      <c r="P2511">
        <v>8.2200000000000006</v>
      </c>
      <c r="Q2511" s="2" t="b">
        <f>FALSE()</f>
        <v>0</v>
      </c>
      <c r="R2511">
        <v>0</v>
      </c>
    </row>
    <row r="2512" spans="1:18" x14ac:dyDescent="0.25">
      <c r="A2512">
        <v>202511</v>
      </c>
      <c r="B2512">
        <v>54566</v>
      </c>
      <c r="C2512" t="s">
        <v>18</v>
      </c>
      <c r="D2512">
        <v>2485.5700000000002</v>
      </c>
      <c r="E2512">
        <v>1597</v>
      </c>
      <c r="F2512">
        <v>2</v>
      </c>
      <c r="G2512">
        <v>2</v>
      </c>
      <c r="H2512">
        <v>0</v>
      </c>
      <c r="I2512" t="s">
        <v>19</v>
      </c>
      <c r="J2512">
        <v>0</v>
      </c>
      <c r="K2512">
        <v>32</v>
      </c>
      <c r="L2512" t="s">
        <v>24</v>
      </c>
      <c r="M2512" t="s">
        <v>21</v>
      </c>
      <c r="N2512" t="s">
        <v>26</v>
      </c>
      <c r="O2512" t="s">
        <v>36</v>
      </c>
      <c r="P2512">
        <v>2.69</v>
      </c>
      <c r="Q2512" s="2" t="b">
        <f>FALSE()</f>
        <v>0</v>
      </c>
      <c r="R2512">
        <v>0</v>
      </c>
    </row>
    <row r="2513" spans="1:18" x14ac:dyDescent="0.25">
      <c r="A2513">
        <v>202512</v>
      </c>
      <c r="B2513">
        <v>55665</v>
      </c>
      <c r="C2513" t="s">
        <v>18</v>
      </c>
      <c r="D2513">
        <v>2392.8200000000002</v>
      </c>
      <c r="E2513">
        <v>2771</v>
      </c>
      <c r="F2513">
        <v>1</v>
      </c>
      <c r="G2513">
        <v>4</v>
      </c>
      <c r="H2513">
        <v>0</v>
      </c>
      <c r="I2513" t="s">
        <v>32</v>
      </c>
      <c r="J2513">
        <v>0</v>
      </c>
      <c r="K2513">
        <v>21</v>
      </c>
      <c r="L2513" t="s">
        <v>24</v>
      </c>
      <c r="M2513" t="s">
        <v>37</v>
      </c>
      <c r="N2513" t="s">
        <v>26</v>
      </c>
      <c r="O2513" t="s">
        <v>36</v>
      </c>
      <c r="P2513">
        <v>0.09</v>
      </c>
      <c r="Q2513" s="2" t="b">
        <f>FALSE()</f>
        <v>0</v>
      </c>
      <c r="R2513">
        <v>0</v>
      </c>
    </row>
    <row r="2514" spans="1:18" x14ac:dyDescent="0.25">
      <c r="A2514">
        <v>202513</v>
      </c>
      <c r="B2514">
        <v>53268</v>
      </c>
      <c r="C2514" t="s">
        <v>28</v>
      </c>
      <c r="D2514">
        <v>3707.72</v>
      </c>
      <c r="E2514">
        <v>2367</v>
      </c>
      <c r="F2514">
        <v>3</v>
      </c>
      <c r="G2514">
        <v>4</v>
      </c>
      <c r="H2514">
        <v>1</v>
      </c>
      <c r="I2514" t="s">
        <v>33</v>
      </c>
      <c r="J2514">
        <v>0</v>
      </c>
      <c r="K2514">
        <v>41</v>
      </c>
      <c r="L2514" t="s">
        <v>24</v>
      </c>
      <c r="M2514" t="s">
        <v>21</v>
      </c>
      <c r="N2514" t="s">
        <v>30</v>
      </c>
      <c r="O2514" t="s">
        <v>36</v>
      </c>
      <c r="P2514">
        <v>0.31</v>
      </c>
      <c r="Q2514" s="2" t="b">
        <f>FALSE()</f>
        <v>0</v>
      </c>
      <c r="R2514">
        <v>1</v>
      </c>
    </row>
    <row r="2515" spans="1:18" x14ac:dyDescent="0.25">
      <c r="A2515">
        <v>202514</v>
      </c>
      <c r="B2515">
        <v>51024</v>
      </c>
      <c r="C2515" t="s">
        <v>18</v>
      </c>
      <c r="D2515">
        <v>3744.35</v>
      </c>
      <c r="E2515">
        <v>626</v>
      </c>
      <c r="F2515">
        <v>2</v>
      </c>
      <c r="G2515">
        <v>3</v>
      </c>
      <c r="H2515">
        <v>0</v>
      </c>
      <c r="I2515" t="s">
        <v>19</v>
      </c>
      <c r="J2515">
        <v>0</v>
      </c>
      <c r="K2515">
        <v>48</v>
      </c>
      <c r="L2515" t="s">
        <v>20</v>
      </c>
      <c r="M2515" t="s">
        <v>29</v>
      </c>
      <c r="N2515" t="s">
        <v>30</v>
      </c>
      <c r="O2515" t="s">
        <v>36</v>
      </c>
      <c r="P2515">
        <v>0.4</v>
      </c>
      <c r="Q2515" s="2" t="b">
        <f>FALSE()</f>
        <v>0</v>
      </c>
      <c r="R2515">
        <v>1</v>
      </c>
    </row>
    <row r="2516" spans="1:18" x14ac:dyDescent="0.25">
      <c r="A2516">
        <v>202515</v>
      </c>
      <c r="B2516">
        <v>53768</v>
      </c>
      <c r="C2516" t="s">
        <v>18</v>
      </c>
      <c r="D2516">
        <v>1798.07</v>
      </c>
      <c r="E2516">
        <v>2764</v>
      </c>
      <c r="F2516">
        <v>0</v>
      </c>
      <c r="G2516">
        <v>3</v>
      </c>
      <c r="H2516">
        <v>0</v>
      </c>
      <c r="I2516" t="s">
        <v>19</v>
      </c>
      <c r="J2516">
        <v>0</v>
      </c>
      <c r="K2516">
        <v>37</v>
      </c>
      <c r="L2516" t="s">
        <v>20</v>
      </c>
      <c r="M2516" t="s">
        <v>21</v>
      </c>
      <c r="N2516" t="s">
        <v>22</v>
      </c>
      <c r="O2516" t="s">
        <v>36</v>
      </c>
      <c r="P2516">
        <v>0.67</v>
      </c>
      <c r="Q2516" s="2" t="b">
        <f>FALSE()</f>
        <v>0</v>
      </c>
      <c r="R2516">
        <v>0</v>
      </c>
    </row>
    <row r="2517" spans="1:18" x14ac:dyDescent="0.25">
      <c r="A2517">
        <v>202516</v>
      </c>
      <c r="B2517">
        <v>53514</v>
      </c>
      <c r="C2517" t="s">
        <v>34</v>
      </c>
      <c r="D2517">
        <v>424.13</v>
      </c>
      <c r="E2517">
        <v>1116</v>
      </c>
      <c r="F2517">
        <v>2</v>
      </c>
      <c r="G2517">
        <v>9</v>
      </c>
      <c r="H2517">
        <v>0</v>
      </c>
      <c r="I2517" t="s">
        <v>33</v>
      </c>
      <c r="J2517">
        <v>0</v>
      </c>
      <c r="K2517">
        <v>54</v>
      </c>
      <c r="L2517" t="s">
        <v>20</v>
      </c>
      <c r="M2517" t="s">
        <v>21</v>
      </c>
      <c r="N2517" t="s">
        <v>30</v>
      </c>
      <c r="O2517" t="s">
        <v>36</v>
      </c>
      <c r="P2517">
        <v>0.73</v>
      </c>
      <c r="Q2517" s="2" t="b">
        <f>FALSE()</f>
        <v>0</v>
      </c>
      <c r="R2517">
        <v>1</v>
      </c>
    </row>
    <row r="2518" spans="1:18" x14ac:dyDescent="0.25">
      <c r="A2518">
        <v>202517</v>
      </c>
      <c r="B2518">
        <v>53773</v>
      </c>
      <c r="C2518" t="s">
        <v>18</v>
      </c>
      <c r="D2518">
        <v>1922.63</v>
      </c>
      <c r="E2518">
        <v>506</v>
      </c>
      <c r="F2518">
        <v>1</v>
      </c>
      <c r="G2518">
        <v>5</v>
      </c>
      <c r="H2518">
        <v>0</v>
      </c>
      <c r="I2518" t="s">
        <v>32</v>
      </c>
      <c r="J2518">
        <v>0</v>
      </c>
      <c r="K2518">
        <v>68</v>
      </c>
      <c r="L2518" t="s">
        <v>20</v>
      </c>
      <c r="M2518" t="s">
        <v>31</v>
      </c>
      <c r="N2518" t="s">
        <v>30</v>
      </c>
      <c r="O2518" t="s">
        <v>36</v>
      </c>
      <c r="P2518">
        <v>1.02</v>
      </c>
      <c r="Q2518" s="2" t="b">
        <f>FALSE()</f>
        <v>0</v>
      </c>
      <c r="R2518">
        <v>0</v>
      </c>
    </row>
    <row r="2519" spans="1:18" x14ac:dyDescent="0.25">
      <c r="A2519">
        <v>202518</v>
      </c>
      <c r="B2519">
        <v>54461</v>
      </c>
      <c r="C2519" t="s">
        <v>18</v>
      </c>
      <c r="D2519">
        <v>1116.4000000000001</v>
      </c>
      <c r="E2519">
        <v>551</v>
      </c>
      <c r="F2519">
        <v>1</v>
      </c>
      <c r="G2519">
        <v>7</v>
      </c>
      <c r="H2519">
        <v>0</v>
      </c>
      <c r="I2519" t="s">
        <v>33</v>
      </c>
      <c r="J2519">
        <v>0</v>
      </c>
      <c r="K2519">
        <v>32</v>
      </c>
      <c r="L2519" t="s">
        <v>20</v>
      </c>
      <c r="M2519" t="s">
        <v>35</v>
      </c>
      <c r="N2519" t="s">
        <v>26</v>
      </c>
      <c r="O2519" t="s">
        <v>36</v>
      </c>
      <c r="P2519">
        <v>4.46</v>
      </c>
      <c r="Q2519" s="2" t="b">
        <f>FALSE()</f>
        <v>0</v>
      </c>
      <c r="R2519">
        <v>1</v>
      </c>
    </row>
    <row r="2520" spans="1:18" x14ac:dyDescent="0.25">
      <c r="A2520">
        <v>202519</v>
      </c>
      <c r="B2520">
        <v>53116</v>
      </c>
      <c r="C2520" t="s">
        <v>34</v>
      </c>
      <c r="D2520">
        <v>3278.97</v>
      </c>
      <c r="E2520">
        <v>1155</v>
      </c>
      <c r="F2520">
        <v>2</v>
      </c>
      <c r="G2520">
        <v>4</v>
      </c>
      <c r="H2520">
        <v>0</v>
      </c>
      <c r="I2520" t="s">
        <v>33</v>
      </c>
      <c r="J2520">
        <v>1</v>
      </c>
      <c r="K2520">
        <v>50</v>
      </c>
      <c r="L2520" t="s">
        <v>20</v>
      </c>
      <c r="M2520" t="s">
        <v>35</v>
      </c>
      <c r="N2520" t="s">
        <v>30</v>
      </c>
      <c r="O2520" t="s">
        <v>36</v>
      </c>
      <c r="P2520">
        <v>2.14</v>
      </c>
      <c r="Q2520" s="2" t="b">
        <f>FALSE()</f>
        <v>0</v>
      </c>
      <c r="R2520">
        <v>0</v>
      </c>
    </row>
    <row r="2521" spans="1:18" x14ac:dyDescent="0.25">
      <c r="A2521">
        <v>202520</v>
      </c>
      <c r="B2521">
        <v>52636</v>
      </c>
      <c r="C2521" t="s">
        <v>18</v>
      </c>
      <c r="D2521">
        <v>1874.08</v>
      </c>
      <c r="E2521">
        <v>2640</v>
      </c>
      <c r="F2521">
        <v>2</v>
      </c>
      <c r="G2521">
        <v>2</v>
      </c>
      <c r="H2521">
        <v>0</v>
      </c>
      <c r="I2521" t="s">
        <v>33</v>
      </c>
      <c r="J2521">
        <v>0</v>
      </c>
      <c r="K2521">
        <v>40</v>
      </c>
      <c r="L2521" t="s">
        <v>24</v>
      </c>
      <c r="M2521" t="s">
        <v>37</v>
      </c>
      <c r="N2521" t="s">
        <v>30</v>
      </c>
      <c r="O2521" t="s">
        <v>23</v>
      </c>
      <c r="P2521">
        <v>0.11</v>
      </c>
      <c r="Q2521" s="2" t="b">
        <f>FALSE()</f>
        <v>0</v>
      </c>
      <c r="R2521">
        <v>0</v>
      </c>
    </row>
    <row r="2522" spans="1:18" x14ac:dyDescent="0.25">
      <c r="A2522">
        <v>202521</v>
      </c>
      <c r="B2522">
        <v>54582</v>
      </c>
      <c r="C2522" t="s">
        <v>28</v>
      </c>
      <c r="D2522">
        <v>1179.48</v>
      </c>
      <c r="E2522">
        <v>2864</v>
      </c>
      <c r="F2522">
        <v>0</v>
      </c>
      <c r="G2522">
        <v>2</v>
      </c>
      <c r="H2522">
        <v>0</v>
      </c>
      <c r="I2522" t="s">
        <v>19</v>
      </c>
      <c r="J2522">
        <v>0</v>
      </c>
      <c r="K2522">
        <v>33</v>
      </c>
      <c r="L2522" t="s">
        <v>24</v>
      </c>
      <c r="M2522" t="s">
        <v>35</v>
      </c>
      <c r="N2522" t="s">
        <v>22</v>
      </c>
      <c r="O2522" t="s">
        <v>27</v>
      </c>
      <c r="P2522">
        <v>4.28</v>
      </c>
      <c r="Q2522" s="2" t="b">
        <f>FALSE()</f>
        <v>0</v>
      </c>
      <c r="R2522">
        <v>0</v>
      </c>
    </row>
    <row r="2523" spans="1:18" x14ac:dyDescent="0.25">
      <c r="A2523">
        <v>202522</v>
      </c>
      <c r="B2523">
        <v>53192</v>
      </c>
      <c r="C2523" t="s">
        <v>18</v>
      </c>
      <c r="D2523">
        <v>5891.93</v>
      </c>
      <c r="E2523">
        <v>2801</v>
      </c>
      <c r="F2523">
        <v>0</v>
      </c>
      <c r="G2523">
        <v>6</v>
      </c>
      <c r="H2523">
        <v>0</v>
      </c>
      <c r="I2523" t="s">
        <v>32</v>
      </c>
      <c r="J2523">
        <v>0</v>
      </c>
      <c r="K2523">
        <v>78</v>
      </c>
      <c r="L2523" t="s">
        <v>20</v>
      </c>
      <c r="M2523" t="s">
        <v>25</v>
      </c>
      <c r="N2523" t="s">
        <v>22</v>
      </c>
      <c r="O2523" t="s">
        <v>23</v>
      </c>
      <c r="P2523">
        <v>1.47</v>
      </c>
      <c r="Q2523" s="2" t="b">
        <f>FALSE()</f>
        <v>0</v>
      </c>
      <c r="R2523">
        <v>1</v>
      </c>
    </row>
    <row r="2524" spans="1:18" x14ac:dyDescent="0.25">
      <c r="A2524">
        <v>202523</v>
      </c>
      <c r="B2524">
        <v>54373</v>
      </c>
      <c r="C2524" t="s">
        <v>28</v>
      </c>
      <c r="D2524">
        <v>3591.62</v>
      </c>
      <c r="E2524">
        <v>3537</v>
      </c>
      <c r="F2524">
        <v>1</v>
      </c>
      <c r="G2524">
        <v>8</v>
      </c>
      <c r="H2524">
        <v>0</v>
      </c>
      <c r="I2524" t="s">
        <v>33</v>
      </c>
      <c r="J2524">
        <v>0</v>
      </c>
      <c r="K2524">
        <v>30</v>
      </c>
      <c r="L2524" t="s">
        <v>24</v>
      </c>
      <c r="M2524" t="s">
        <v>25</v>
      </c>
      <c r="N2524" t="s">
        <v>26</v>
      </c>
      <c r="O2524" t="s">
        <v>23</v>
      </c>
      <c r="P2524">
        <v>1.18</v>
      </c>
      <c r="Q2524" s="2" t="b">
        <f>FALSE()</f>
        <v>0</v>
      </c>
      <c r="R2524">
        <v>1</v>
      </c>
    </row>
    <row r="2525" spans="1:18" x14ac:dyDescent="0.25">
      <c r="A2525">
        <v>202524</v>
      </c>
      <c r="B2525">
        <v>55312</v>
      </c>
      <c r="C2525" t="s">
        <v>18</v>
      </c>
      <c r="D2525">
        <v>552.25</v>
      </c>
      <c r="E2525">
        <v>1415</v>
      </c>
      <c r="F2525">
        <v>1</v>
      </c>
      <c r="G2525">
        <v>0</v>
      </c>
      <c r="H2525">
        <v>0</v>
      </c>
      <c r="I2525" t="s">
        <v>33</v>
      </c>
      <c r="J2525">
        <v>0</v>
      </c>
      <c r="K2525">
        <v>28</v>
      </c>
      <c r="L2525" t="s">
        <v>20</v>
      </c>
      <c r="M2525" t="s">
        <v>21</v>
      </c>
      <c r="N2525" t="s">
        <v>22</v>
      </c>
      <c r="O2525" t="s">
        <v>27</v>
      </c>
      <c r="P2525">
        <v>0.21</v>
      </c>
      <c r="Q2525" s="2" t="b">
        <f>FALSE()</f>
        <v>0</v>
      </c>
      <c r="R2525">
        <v>0</v>
      </c>
    </row>
    <row r="2526" spans="1:18" x14ac:dyDescent="0.25">
      <c r="A2526">
        <v>202525</v>
      </c>
      <c r="B2526">
        <v>55323</v>
      </c>
      <c r="C2526" t="s">
        <v>34</v>
      </c>
      <c r="D2526">
        <v>2729.8</v>
      </c>
      <c r="E2526">
        <v>2686</v>
      </c>
      <c r="F2526">
        <v>3</v>
      </c>
      <c r="G2526">
        <v>3</v>
      </c>
      <c r="H2526">
        <v>0</v>
      </c>
      <c r="I2526" t="s">
        <v>32</v>
      </c>
      <c r="J2526">
        <v>1</v>
      </c>
      <c r="K2526">
        <v>48</v>
      </c>
      <c r="L2526" t="s">
        <v>20</v>
      </c>
      <c r="M2526" t="s">
        <v>29</v>
      </c>
      <c r="N2526" t="s">
        <v>26</v>
      </c>
      <c r="O2526" t="s">
        <v>23</v>
      </c>
      <c r="P2526">
        <v>1.05</v>
      </c>
      <c r="Q2526" s="2" t="b">
        <f>FALSE()</f>
        <v>0</v>
      </c>
      <c r="R2526">
        <v>1</v>
      </c>
    </row>
    <row r="2527" spans="1:18" x14ac:dyDescent="0.25">
      <c r="A2527">
        <v>202526</v>
      </c>
      <c r="B2527">
        <v>53491</v>
      </c>
      <c r="C2527" t="s">
        <v>18</v>
      </c>
      <c r="D2527">
        <v>2670.33</v>
      </c>
      <c r="E2527">
        <v>2409</v>
      </c>
      <c r="F2527">
        <v>2</v>
      </c>
      <c r="G2527">
        <v>7</v>
      </c>
      <c r="H2527">
        <v>0</v>
      </c>
      <c r="I2527" t="s">
        <v>19</v>
      </c>
      <c r="J2527">
        <v>0</v>
      </c>
      <c r="K2527">
        <v>18</v>
      </c>
      <c r="L2527" t="s">
        <v>24</v>
      </c>
      <c r="M2527" t="s">
        <v>35</v>
      </c>
      <c r="N2527" t="s">
        <v>30</v>
      </c>
      <c r="O2527" t="s">
        <v>36</v>
      </c>
      <c r="P2527">
        <v>3.2</v>
      </c>
      <c r="Q2527" s="2" t="b">
        <f>FALSE()</f>
        <v>0</v>
      </c>
      <c r="R2527">
        <v>1</v>
      </c>
    </row>
    <row r="2528" spans="1:18" x14ac:dyDescent="0.25">
      <c r="A2528">
        <v>202527</v>
      </c>
      <c r="B2528">
        <v>53667</v>
      </c>
      <c r="C2528" t="s">
        <v>34</v>
      </c>
      <c r="D2528">
        <v>602.32000000000005</v>
      </c>
      <c r="E2528">
        <v>3170</v>
      </c>
      <c r="F2528">
        <v>0</v>
      </c>
      <c r="G2528">
        <v>2</v>
      </c>
      <c r="H2528">
        <v>1</v>
      </c>
      <c r="I2528" t="s">
        <v>19</v>
      </c>
      <c r="J2528">
        <v>0</v>
      </c>
      <c r="K2528">
        <v>72</v>
      </c>
      <c r="L2528" t="s">
        <v>24</v>
      </c>
      <c r="M2528" t="s">
        <v>29</v>
      </c>
      <c r="N2528" t="s">
        <v>22</v>
      </c>
      <c r="O2528" t="s">
        <v>36</v>
      </c>
      <c r="P2528">
        <v>5.1100000000000003</v>
      </c>
      <c r="Q2528" s="2" t="b">
        <f>FALSE()</f>
        <v>0</v>
      </c>
      <c r="R2528">
        <v>0</v>
      </c>
    </row>
    <row r="2529" spans="1:18" x14ac:dyDescent="0.25">
      <c r="A2529">
        <v>202528</v>
      </c>
      <c r="B2529">
        <v>55174</v>
      </c>
      <c r="C2529" t="s">
        <v>18</v>
      </c>
      <c r="D2529">
        <v>2634.45</v>
      </c>
      <c r="E2529">
        <v>3616</v>
      </c>
      <c r="F2529">
        <v>3</v>
      </c>
      <c r="G2529">
        <v>7</v>
      </c>
      <c r="H2529">
        <v>0</v>
      </c>
      <c r="I2529" t="s">
        <v>19</v>
      </c>
      <c r="J2529">
        <v>0</v>
      </c>
      <c r="K2529">
        <v>49</v>
      </c>
      <c r="L2529" t="s">
        <v>20</v>
      </c>
      <c r="M2529" t="s">
        <v>35</v>
      </c>
      <c r="N2529" t="s">
        <v>30</v>
      </c>
      <c r="O2529" t="s">
        <v>23</v>
      </c>
      <c r="P2529">
        <v>3.47</v>
      </c>
      <c r="Q2529" s="2" t="b">
        <f>FALSE()</f>
        <v>0</v>
      </c>
      <c r="R2529">
        <v>1</v>
      </c>
    </row>
    <row r="2530" spans="1:18" x14ac:dyDescent="0.25">
      <c r="A2530">
        <v>202529</v>
      </c>
      <c r="B2530">
        <v>50285</v>
      </c>
      <c r="C2530" t="s">
        <v>18</v>
      </c>
      <c r="D2530">
        <v>6253.43</v>
      </c>
      <c r="E2530">
        <v>3527</v>
      </c>
      <c r="F2530">
        <v>0</v>
      </c>
      <c r="G2530">
        <v>2</v>
      </c>
      <c r="H2530">
        <v>0</v>
      </c>
      <c r="I2530" t="s">
        <v>19</v>
      </c>
      <c r="J2530">
        <v>1</v>
      </c>
      <c r="K2530">
        <v>49</v>
      </c>
      <c r="L2530" t="s">
        <v>20</v>
      </c>
      <c r="M2530" t="s">
        <v>35</v>
      </c>
      <c r="N2530" t="s">
        <v>30</v>
      </c>
      <c r="O2530" t="s">
        <v>27</v>
      </c>
      <c r="P2530">
        <v>1.18</v>
      </c>
      <c r="Q2530" s="2" t="b">
        <f>FALSE()</f>
        <v>0</v>
      </c>
      <c r="R2530">
        <v>1</v>
      </c>
    </row>
    <row r="2531" spans="1:18" x14ac:dyDescent="0.25">
      <c r="A2531">
        <v>202530</v>
      </c>
      <c r="B2531">
        <v>54037</v>
      </c>
      <c r="C2531" t="s">
        <v>28</v>
      </c>
      <c r="D2531">
        <v>3185.4</v>
      </c>
      <c r="E2531">
        <v>3111</v>
      </c>
      <c r="F2531">
        <v>1</v>
      </c>
      <c r="G2531">
        <v>3</v>
      </c>
      <c r="H2531">
        <v>1</v>
      </c>
      <c r="I2531" t="s">
        <v>19</v>
      </c>
      <c r="J2531">
        <v>0</v>
      </c>
      <c r="K2531">
        <v>43</v>
      </c>
      <c r="L2531" t="s">
        <v>24</v>
      </c>
      <c r="M2531" t="s">
        <v>35</v>
      </c>
      <c r="N2531" t="s">
        <v>30</v>
      </c>
      <c r="O2531" t="s">
        <v>36</v>
      </c>
      <c r="P2531">
        <v>1.71</v>
      </c>
      <c r="Q2531" s="2" t="b">
        <f>FALSE()</f>
        <v>0</v>
      </c>
      <c r="R2531">
        <v>0</v>
      </c>
    </row>
    <row r="2532" spans="1:18" x14ac:dyDescent="0.25">
      <c r="A2532">
        <v>202531</v>
      </c>
      <c r="B2532">
        <v>50439</v>
      </c>
      <c r="C2532" t="s">
        <v>18</v>
      </c>
      <c r="D2532">
        <v>2991.47</v>
      </c>
      <c r="E2532">
        <v>1350</v>
      </c>
      <c r="F2532">
        <v>1</v>
      </c>
      <c r="G2532">
        <v>3</v>
      </c>
      <c r="H2532">
        <v>1</v>
      </c>
      <c r="I2532" t="s">
        <v>32</v>
      </c>
      <c r="J2532">
        <v>0</v>
      </c>
      <c r="K2532">
        <v>68</v>
      </c>
      <c r="L2532" t="s">
        <v>24</v>
      </c>
      <c r="M2532" t="s">
        <v>25</v>
      </c>
      <c r="N2532" t="s">
        <v>26</v>
      </c>
      <c r="O2532" t="s">
        <v>27</v>
      </c>
      <c r="P2532">
        <v>2.25</v>
      </c>
      <c r="Q2532" s="2" t="b">
        <f>FALSE()</f>
        <v>0</v>
      </c>
      <c r="R2532">
        <v>0</v>
      </c>
    </row>
    <row r="2533" spans="1:18" x14ac:dyDescent="0.25">
      <c r="A2533">
        <v>202532</v>
      </c>
      <c r="B2533">
        <v>53427</v>
      </c>
      <c r="C2533" t="s">
        <v>18</v>
      </c>
      <c r="D2533">
        <v>1533.26</v>
      </c>
      <c r="E2533">
        <v>2984</v>
      </c>
      <c r="F2533">
        <v>1</v>
      </c>
      <c r="G2533">
        <v>3</v>
      </c>
      <c r="H2533">
        <v>0</v>
      </c>
      <c r="I2533" t="s">
        <v>19</v>
      </c>
      <c r="J2533">
        <v>1</v>
      </c>
      <c r="K2533">
        <v>49</v>
      </c>
      <c r="L2533" t="s">
        <v>20</v>
      </c>
      <c r="M2533" t="s">
        <v>31</v>
      </c>
      <c r="N2533" t="s">
        <v>22</v>
      </c>
      <c r="O2533" t="s">
        <v>23</v>
      </c>
      <c r="P2533">
        <v>0.09</v>
      </c>
      <c r="Q2533" s="2" t="b">
        <f>FALSE()</f>
        <v>0</v>
      </c>
      <c r="R2533">
        <v>0</v>
      </c>
    </row>
    <row r="2534" spans="1:18" x14ac:dyDescent="0.25">
      <c r="A2534">
        <v>202533</v>
      </c>
      <c r="B2534">
        <v>50470</v>
      </c>
      <c r="C2534" t="s">
        <v>34</v>
      </c>
      <c r="D2534">
        <v>1585.88</v>
      </c>
      <c r="E2534">
        <v>138</v>
      </c>
      <c r="F2534">
        <v>1</v>
      </c>
      <c r="G2534">
        <v>3</v>
      </c>
      <c r="H2534">
        <v>1</v>
      </c>
      <c r="I2534" t="s">
        <v>33</v>
      </c>
      <c r="J2534">
        <v>0</v>
      </c>
      <c r="K2534">
        <v>57</v>
      </c>
      <c r="L2534" t="s">
        <v>24</v>
      </c>
      <c r="M2534" t="s">
        <v>37</v>
      </c>
      <c r="N2534" t="s">
        <v>22</v>
      </c>
      <c r="O2534" t="s">
        <v>36</v>
      </c>
      <c r="P2534">
        <v>7.0000000000000007E-2</v>
      </c>
      <c r="Q2534" s="2" t="b">
        <f>FALSE()</f>
        <v>0</v>
      </c>
      <c r="R2534">
        <v>0</v>
      </c>
    </row>
    <row r="2535" spans="1:18" x14ac:dyDescent="0.25">
      <c r="A2535">
        <v>202534</v>
      </c>
      <c r="B2535">
        <v>50873</v>
      </c>
      <c r="C2535" t="s">
        <v>18</v>
      </c>
      <c r="D2535">
        <v>3051.45</v>
      </c>
      <c r="E2535">
        <v>1662</v>
      </c>
      <c r="F2535">
        <v>3</v>
      </c>
      <c r="G2535">
        <v>5</v>
      </c>
      <c r="H2535">
        <v>1</v>
      </c>
      <c r="I2535" t="s">
        <v>19</v>
      </c>
      <c r="J2535">
        <v>0</v>
      </c>
      <c r="K2535">
        <v>38</v>
      </c>
      <c r="L2535" t="s">
        <v>20</v>
      </c>
      <c r="M2535" t="s">
        <v>31</v>
      </c>
      <c r="N2535" t="s">
        <v>26</v>
      </c>
      <c r="O2535" t="s">
        <v>36</v>
      </c>
      <c r="P2535">
        <v>3.25</v>
      </c>
      <c r="Q2535" s="2" t="b">
        <f>FALSE()</f>
        <v>0</v>
      </c>
      <c r="R2535">
        <v>1</v>
      </c>
    </row>
    <row r="2536" spans="1:18" x14ac:dyDescent="0.25">
      <c r="A2536">
        <v>202535</v>
      </c>
      <c r="B2536">
        <v>53440</v>
      </c>
      <c r="C2536" t="s">
        <v>34</v>
      </c>
      <c r="D2536">
        <v>1374.07</v>
      </c>
      <c r="E2536">
        <v>1301</v>
      </c>
      <c r="F2536">
        <v>1</v>
      </c>
      <c r="G2536">
        <v>1</v>
      </c>
      <c r="H2536">
        <v>1</v>
      </c>
      <c r="I2536" t="s">
        <v>33</v>
      </c>
      <c r="J2536">
        <v>0</v>
      </c>
      <c r="K2536">
        <v>23</v>
      </c>
      <c r="L2536" t="s">
        <v>24</v>
      </c>
      <c r="M2536" t="s">
        <v>31</v>
      </c>
      <c r="N2536" t="s">
        <v>26</v>
      </c>
      <c r="O2536" t="s">
        <v>23</v>
      </c>
      <c r="P2536">
        <v>7.82</v>
      </c>
      <c r="Q2536" s="2" t="b">
        <f>FALSE()</f>
        <v>0</v>
      </c>
      <c r="R2536">
        <v>0</v>
      </c>
    </row>
    <row r="2537" spans="1:18" x14ac:dyDescent="0.25">
      <c r="A2537">
        <v>202536</v>
      </c>
      <c r="B2537">
        <v>53577</v>
      </c>
      <c r="C2537" t="s">
        <v>18</v>
      </c>
      <c r="D2537">
        <v>1542.37</v>
      </c>
      <c r="E2537">
        <v>558</v>
      </c>
      <c r="F2537">
        <v>1</v>
      </c>
      <c r="G2537">
        <v>5</v>
      </c>
      <c r="H2537">
        <v>1</v>
      </c>
      <c r="I2537" t="s">
        <v>19</v>
      </c>
      <c r="J2537">
        <v>0</v>
      </c>
      <c r="K2537">
        <v>81</v>
      </c>
      <c r="L2537" t="s">
        <v>24</v>
      </c>
      <c r="M2537" t="s">
        <v>25</v>
      </c>
      <c r="N2537" t="s">
        <v>22</v>
      </c>
      <c r="O2537" t="s">
        <v>36</v>
      </c>
      <c r="P2537">
        <v>0.56000000000000005</v>
      </c>
      <c r="Q2537" s="2" t="b">
        <f>FALSE()</f>
        <v>0</v>
      </c>
      <c r="R2537">
        <v>0</v>
      </c>
    </row>
    <row r="2538" spans="1:18" x14ac:dyDescent="0.25">
      <c r="A2538">
        <v>202537</v>
      </c>
      <c r="B2538">
        <v>51470</v>
      </c>
      <c r="C2538" t="s">
        <v>18</v>
      </c>
      <c r="D2538">
        <v>366.23</v>
      </c>
      <c r="E2538">
        <v>3363</v>
      </c>
      <c r="F2538">
        <v>0</v>
      </c>
      <c r="G2538">
        <v>5</v>
      </c>
      <c r="H2538">
        <v>0</v>
      </c>
      <c r="I2538" t="s">
        <v>33</v>
      </c>
      <c r="J2538">
        <v>0</v>
      </c>
      <c r="K2538">
        <v>21</v>
      </c>
      <c r="L2538" t="s">
        <v>24</v>
      </c>
      <c r="M2538" t="s">
        <v>31</v>
      </c>
      <c r="N2538" t="s">
        <v>30</v>
      </c>
      <c r="O2538" t="s">
        <v>36</v>
      </c>
      <c r="P2538">
        <v>1.6</v>
      </c>
      <c r="Q2538" s="2" t="b">
        <f>FALSE()</f>
        <v>0</v>
      </c>
      <c r="R2538">
        <v>0</v>
      </c>
    </row>
    <row r="2539" spans="1:18" x14ac:dyDescent="0.25">
      <c r="A2539">
        <v>202538</v>
      </c>
      <c r="B2539">
        <v>50403</v>
      </c>
      <c r="C2539" t="s">
        <v>34</v>
      </c>
      <c r="D2539">
        <v>1565.17</v>
      </c>
      <c r="E2539">
        <v>335</v>
      </c>
      <c r="F2539">
        <v>1</v>
      </c>
      <c r="G2539">
        <v>3</v>
      </c>
      <c r="H2539">
        <v>1</v>
      </c>
      <c r="I2539" t="s">
        <v>33</v>
      </c>
      <c r="J2539">
        <v>0</v>
      </c>
      <c r="K2539">
        <v>64</v>
      </c>
      <c r="L2539" t="s">
        <v>24</v>
      </c>
      <c r="M2539" t="s">
        <v>29</v>
      </c>
      <c r="N2539" t="s">
        <v>22</v>
      </c>
      <c r="O2539" t="s">
        <v>27</v>
      </c>
      <c r="P2539">
        <v>1.61</v>
      </c>
      <c r="Q2539" s="2" t="b">
        <f>FALSE()</f>
        <v>0</v>
      </c>
      <c r="R2539">
        <v>0</v>
      </c>
    </row>
    <row r="2540" spans="1:18" x14ac:dyDescent="0.25">
      <c r="A2540">
        <v>202539</v>
      </c>
      <c r="B2540">
        <v>54323</v>
      </c>
      <c r="C2540" t="s">
        <v>34</v>
      </c>
      <c r="D2540">
        <v>6637.54</v>
      </c>
      <c r="E2540">
        <v>1247</v>
      </c>
      <c r="F2540">
        <v>0</v>
      </c>
      <c r="G2540">
        <v>3</v>
      </c>
      <c r="H2540">
        <v>0</v>
      </c>
      <c r="I2540" t="s">
        <v>19</v>
      </c>
      <c r="J2540">
        <v>0</v>
      </c>
      <c r="K2540">
        <v>28</v>
      </c>
      <c r="L2540" t="s">
        <v>24</v>
      </c>
      <c r="M2540" t="s">
        <v>25</v>
      </c>
      <c r="N2540" t="s">
        <v>26</v>
      </c>
      <c r="O2540" t="s">
        <v>27</v>
      </c>
      <c r="P2540">
        <v>0.92</v>
      </c>
      <c r="Q2540" s="2" t="b">
        <f>FALSE()</f>
        <v>0</v>
      </c>
      <c r="R2540">
        <v>1</v>
      </c>
    </row>
    <row r="2541" spans="1:18" x14ac:dyDescent="0.25">
      <c r="A2541">
        <v>202540</v>
      </c>
      <c r="B2541">
        <v>51953</v>
      </c>
      <c r="C2541" t="s">
        <v>18</v>
      </c>
      <c r="D2541">
        <v>5490.31</v>
      </c>
      <c r="E2541">
        <v>1008</v>
      </c>
      <c r="F2541">
        <v>0</v>
      </c>
      <c r="G2541">
        <v>7</v>
      </c>
      <c r="H2541">
        <v>0</v>
      </c>
      <c r="I2541" t="s">
        <v>33</v>
      </c>
      <c r="J2541">
        <v>0</v>
      </c>
      <c r="K2541">
        <v>51</v>
      </c>
      <c r="L2541" t="s">
        <v>20</v>
      </c>
      <c r="M2541" t="s">
        <v>21</v>
      </c>
      <c r="N2541" t="s">
        <v>26</v>
      </c>
      <c r="O2541" t="s">
        <v>36</v>
      </c>
      <c r="P2541">
        <v>0.11</v>
      </c>
      <c r="Q2541" s="2" t="b">
        <f>FALSE()</f>
        <v>0</v>
      </c>
      <c r="R2541">
        <v>1</v>
      </c>
    </row>
    <row r="2542" spans="1:18" x14ac:dyDescent="0.25">
      <c r="A2542">
        <v>202541</v>
      </c>
      <c r="B2542">
        <v>50575</v>
      </c>
      <c r="C2542" t="s">
        <v>18</v>
      </c>
      <c r="D2542">
        <v>2062.1999999999998</v>
      </c>
      <c r="E2542">
        <v>1168</v>
      </c>
      <c r="F2542">
        <v>1</v>
      </c>
      <c r="G2542">
        <v>8</v>
      </c>
      <c r="H2542">
        <v>1</v>
      </c>
      <c r="I2542" t="s">
        <v>19</v>
      </c>
      <c r="J2542">
        <v>0</v>
      </c>
      <c r="K2542">
        <v>35</v>
      </c>
      <c r="L2542" t="s">
        <v>24</v>
      </c>
      <c r="M2542" t="s">
        <v>37</v>
      </c>
      <c r="N2542" t="s">
        <v>22</v>
      </c>
      <c r="O2542" t="s">
        <v>27</v>
      </c>
      <c r="P2542">
        <v>2.81</v>
      </c>
      <c r="Q2542" s="2" t="b">
        <f>FALSE()</f>
        <v>0</v>
      </c>
      <c r="R2542">
        <v>1</v>
      </c>
    </row>
    <row r="2543" spans="1:18" x14ac:dyDescent="0.25">
      <c r="A2543">
        <v>202542</v>
      </c>
      <c r="B2543">
        <v>54736</v>
      </c>
      <c r="C2543" t="s">
        <v>18</v>
      </c>
      <c r="D2543">
        <v>1729.27</v>
      </c>
      <c r="E2543">
        <v>500</v>
      </c>
      <c r="F2543">
        <v>0</v>
      </c>
      <c r="G2543">
        <v>4</v>
      </c>
      <c r="H2543">
        <v>0</v>
      </c>
      <c r="I2543" t="s">
        <v>32</v>
      </c>
      <c r="J2543">
        <v>1</v>
      </c>
      <c r="K2543">
        <v>39</v>
      </c>
      <c r="L2543" t="s">
        <v>24</v>
      </c>
      <c r="M2543" t="s">
        <v>35</v>
      </c>
      <c r="N2543" t="s">
        <v>22</v>
      </c>
      <c r="O2543" t="s">
        <v>36</v>
      </c>
      <c r="P2543">
        <v>2.2000000000000002</v>
      </c>
      <c r="Q2543" s="2" t="b">
        <f>FALSE()</f>
        <v>0</v>
      </c>
      <c r="R2543">
        <v>0</v>
      </c>
    </row>
    <row r="2544" spans="1:18" x14ac:dyDescent="0.25">
      <c r="A2544">
        <v>202543</v>
      </c>
      <c r="B2544">
        <v>52499</v>
      </c>
      <c r="C2544" t="s">
        <v>34</v>
      </c>
      <c r="D2544">
        <v>1622.25</v>
      </c>
      <c r="E2544">
        <v>690</v>
      </c>
      <c r="F2544">
        <v>0</v>
      </c>
      <c r="G2544">
        <v>4</v>
      </c>
      <c r="H2544">
        <v>1</v>
      </c>
      <c r="I2544" t="s">
        <v>33</v>
      </c>
      <c r="J2544">
        <v>0</v>
      </c>
      <c r="K2544">
        <v>34</v>
      </c>
      <c r="L2544" t="s">
        <v>24</v>
      </c>
      <c r="M2544" t="s">
        <v>29</v>
      </c>
      <c r="N2544" t="s">
        <v>26</v>
      </c>
      <c r="O2544" t="s">
        <v>36</v>
      </c>
      <c r="P2544">
        <v>1.18</v>
      </c>
      <c r="Q2544" s="2" t="b">
        <f>FALSE()</f>
        <v>0</v>
      </c>
      <c r="R2544">
        <v>0</v>
      </c>
    </row>
    <row r="2545" spans="1:18" x14ac:dyDescent="0.25">
      <c r="A2545">
        <v>202544</v>
      </c>
      <c r="B2545">
        <v>50286</v>
      </c>
      <c r="C2545" t="s">
        <v>34</v>
      </c>
      <c r="D2545">
        <v>5017.2299999999996</v>
      </c>
      <c r="E2545">
        <v>1782</v>
      </c>
      <c r="F2545">
        <v>2</v>
      </c>
      <c r="G2545">
        <v>4</v>
      </c>
      <c r="H2545">
        <v>0</v>
      </c>
      <c r="I2545" t="s">
        <v>33</v>
      </c>
      <c r="J2545">
        <v>0</v>
      </c>
      <c r="K2545">
        <v>80</v>
      </c>
      <c r="L2545" t="s">
        <v>20</v>
      </c>
      <c r="M2545" t="s">
        <v>31</v>
      </c>
      <c r="N2545" t="s">
        <v>30</v>
      </c>
      <c r="O2545" t="s">
        <v>36</v>
      </c>
      <c r="P2545">
        <v>2.81</v>
      </c>
      <c r="Q2545" s="2" t="b">
        <f>FALSE()</f>
        <v>0</v>
      </c>
      <c r="R2545">
        <v>1</v>
      </c>
    </row>
    <row r="2546" spans="1:18" x14ac:dyDescent="0.25">
      <c r="A2546">
        <v>202545</v>
      </c>
      <c r="B2546">
        <v>50515</v>
      </c>
      <c r="C2546" t="s">
        <v>18</v>
      </c>
      <c r="D2546">
        <v>1633.58</v>
      </c>
      <c r="E2546">
        <v>1775</v>
      </c>
      <c r="F2546">
        <v>0</v>
      </c>
      <c r="G2546">
        <v>9</v>
      </c>
      <c r="H2546">
        <v>0</v>
      </c>
      <c r="I2546" t="s">
        <v>19</v>
      </c>
      <c r="J2546">
        <v>1</v>
      </c>
      <c r="K2546">
        <v>70</v>
      </c>
      <c r="L2546" t="s">
        <v>20</v>
      </c>
      <c r="M2546" t="s">
        <v>25</v>
      </c>
      <c r="N2546" t="s">
        <v>22</v>
      </c>
      <c r="O2546" t="s">
        <v>23</v>
      </c>
      <c r="P2546">
        <v>0.79</v>
      </c>
      <c r="Q2546" s="2" t="b">
        <f>FALSE()</f>
        <v>0</v>
      </c>
      <c r="R2546">
        <v>1</v>
      </c>
    </row>
    <row r="2547" spans="1:18" x14ac:dyDescent="0.25">
      <c r="A2547">
        <v>202546</v>
      </c>
      <c r="B2547">
        <v>54628</v>
      </c>
      <c r="C2547" t="s">
        <v>34</v>
      </c>
      <c r="D2547">
        <v>2504.6</v>
      </c>
      <c r="E2547">
        <v>3104</v>
      </c>
      <c r="F2547">
        <v>0</v>
      </c>
      <c r="G2547">
        <v>2</v>
      </c>
      <c r="H2547">
        <v>0</v>
      </c>
      <c r="I2547" t="s">
        <v>32</v>
      </c>
      <c r="J2547">
        <v>0</v>
      </c>
      <c r="K2547">
        <v>64</v>
      </c>
      <c r="L2547" t="s">
        <v>24</v>
      </c>
      <c r="M2547" t="s">
        <v>25</v>
      </c>
      <c r="N2547" t="s">
        <v>22</v>
      </c>
      <c r="O2547" t="s">
        <v>36</v>
      </c>
      <c r="P2547">
        <v>1.88</v>
      </c>
      <c r="Q2547" s="2" t="b">
        <f>FALSE()</f>
        <v>0</v>
      </c>
      <c r="R2547">
        <v>0</v>
      </c>
    </row>
    <row r="2548" spans="1:18" x14ac:dyDescent="0.25">
      <c r="A2548">
        <v>202547</v>
      </c>
      <c r="B2548">
        <v>54651</v>
      </c>
      <c r="C2548" t="s">
        <v>28</v>
      </c>
      <c r="D2548">
        <v>3536.51</v>
      </c>
      <c r="E2548">
        <v>3414</v>
      </c>
      <c r="F2548">
        <v>0</v>
      </c>
      <c r="G2548">
        <v>3</v>
      </c>
      <c r="H2548">
        <v>0</v>
      </c>
      <c r="I2548" t="s">
        <v>33</v>
      </c>
      <c r="J2548">
        <v>0</v>
      </c>
      <c r="K2548">
        <v>65</v>
      </c>
      <c r="L2548" t="s">
        <v>20</v>
      </c>
      <c r="M2548" t="s">
        <v>25</v>
      </c>
      <c r="N2548" t="s">
        <v>30</v>
      </c>
      <c r="O2548" t="s">
        <v>27</v>
      </c>
      <c r="P2548">
        <v>0.66</v>
      </c>
      <c r="Q2548" s="2" t="b">
        <f>FALSE()</f>
        <v>0</v>
      </c>
      <c r="R2548">
        <v>0</v>
      </c>
    </row>
    <row r="2549" spans="1:18" x14ac:dyDescent="0.25">
      <c r="A2549">
        <v>202548</v>
      </c>
      <c r="B2549">
        <v>55581</v>
      </c>
      <c r="C2549" t="s">
        <v>34</v>
      </c>
      <c r="D2549">
        <v>649.46</v>
      </c>
      <c r="E2549">
        <v>2202</v>
      </c>
      <c r="F2549">
        <v>0</v>
      </c>
      <c r="G2549">
        <v>5</v>
      </c>
      <c r="H2549">
        <v>0</v>
      </c>
      <c r="I2549" t="s">
        <v>19</v>
      </c>
      <c r="J2549">
        <v>1</v>
      </c>
      <c r="K2549">
        <v>77</v>
      </c>
      <c r="L2549" t="s">
        <v>20</v>
      </c>
      <c r="M2549" t="s">
        <v>29</v>
      </c>
      <c r="N2549" t="s">
        <v>26</v>
      </c>
      <c r="O2549" t="s">
        <v>27</v>
      </c>
      <c r="P2549">
        <v>7.64</v>
      </c>
      <c r="Q2549" s="2" t="b">
        <f>FALSE()</f>
        <v>0</v>
      </c>
      <c r="R2549">
        <v>0</v>
      </c>
    </row>
    <row r="2550" spans="1:18" x14ac:dyDescent="0.25">
      <c r="A2550">
        <v>202549</v>
      </c>
      <c r="B2550">
        <v>51181</v>
      </c>
      <c r="C2550" t="s">
        <v>18</v>
      </c>
      <c r="D2550">
        <v>1468.66</v>
      </c>
      <c r="E2550">
        <v>2735</v>
      </c>
      <c r="F2550">
        <v>1</v>
      </c>
      <c r="G2550">
        <v>3</v>
      </c>
      <c r="H2550">
        <v>0</v>
      </c>
      <c r="I2550" t="s">
        <v>19</v>
      </c>
      <c r="J2550">
        <v>0</v>
      </c>
      <c r="K2550">
        <v>40</v>
      </c>
      <c r="L2550" t="s">
        <v>20</v>
      </c>
      <c r="M2550" t="s">
        <v>35</v>
      </c>
      <c r="N2550" t="s">
        <v>22</v>
      </c>
      <c r="O2550" t="s">
        <v>36</v>
      </c>
      <c r="P2550">
        <v>2.98</v>
      </c>
      <c r="Q2550" s="2" t="b">
        <f>FALSE()</f>
        <v>0</v>
      </c>
      <c r="R2550">
        <v>0</v>
      </c>
    </row>
    <row r="2551" spans="1:18" x14ac:dyDescent="0.25">
      <c r="A2551">
        <v>202550</v>
      </c>
      <c r="B2551">
        <v>50972</v>
      </c>
      <c r="C2551" t="s">
        <v>34</v>
      </c>
      <c r="D2551">
        <v>1274.78</v>
      </c>
      <c r="E2551">
        <v>1928</v>
      </c>
      <c r="F2551">
        <v>0</v>
      </c>
      <c r="G2551">
        <v>4</v>
      </c>
      <c r="H2551">
        <v>1</v>
      </c>
      <c r="I2551" t="s">
        <v>32</v>
      </c>
      <c r="J2551">
        <v>0</v>
      </c>
      <c r="K2551">
        <v>53</v>
      </c>
      <c r="L2551" t="s">
        <v>20</v>
      </c>
      <c r="M2551" t="s">
        <v>29</v>
      </c>
      <c r="N2551" t="s">
        <v>30</v>
      </c>
      <c r="O2551" t="s">
        <v>27</v>
      </c>
      <c r="P2551">
        <v>10.82</v>
      </c>
      <c r="Q2551" s="2" t="b">
        <f>FALSE()</f>
        <v>0</v>
      </c>
      <c r="R2551">
        <v>0</v>
      </c>
    </row>
    <row r="2552" spans="1:18" x14ac:dyDescent="0.25">
      <c r="A2552">
        <v>202551</v>
      </c>
      <c r="B2552">
        <v>53335</v>
      </c>
      <c r="C2552" t="s">
        <v>18</v>
      </c>
      <c r="D2552">
        <v>3437.19</v>
      </c>
      <c r="E2552">
        <v>3445</v>
      </c>
      <c r="F2552">
        <v>0</v>
      </c>
      <c r="G2552">
        <v>6</v>
      </c>
      <c r="H2552">
        <v>0</v>
      </c>
      <c r="I2552" t="s">
        <v>19</v>
      </c>
      <c r="J2552">
        <v>1</v>
      </c>
      <c r="K2552">
        <v>74</v>
      </c>
      <c r="L2552" t="s">
        <v>24</v>
      </c>
      <c r="M2552" t="s">
        <v>37</v>
      </c>
      <c r="N2552" t="s">
        <v>30</v>
      </c>
      <c r="O2552" t="s">
        <v>27</v>
      </c>
      <c r="P2552">
        <v>2.81</v>
      </c>
      <c r="Q2552" s="2" t="b">
        <f>FALSE()</f>
        <v>0</v>
      </c>
      <c r="R2552">
        <v>0</v>
      </c>
    </row>
    <row r="2553" spans="1:18" x14ac:dyDescent="0.25">
      <c r="A2553">
        <v>202552</v>
      </c>
      <c r="B2553">
        <v>51807</v>
      </c>
      <c r="C2553" t="s">
        <v>34</v>
      </c>
      <c r="D2553">
        <v>5349.09</v>
      </c>
      <c r="E2553">
        <v>2866</v>
      </c>
      <c r="F2553">
        <v>2</v>
      </c>
      <c r="G2553">
        <v>2</v>
      </c>
      <c r="H2553">
        <v>1</v>
      </c>
      <c r="I2553" t="s">
        <v>19</v>
      </c>
      <c r="J2553">
        <v>0</v>
      </c>
      <c r="K2553">
        <v>32</v>
      </c>
      <c r="L2553" t="s">
        <v>24</v>
      </c>
      <c r="M2553" t="s">
        <v>29</v>
      </c>
      <c r="N2553" t="s">
        <v>22</v>
      </c>
      <c r="O2553" t="s">
        <v>23</v>
      </c>
      <c r="P2553">
        <v>3.75</v>
      </c>
      <c r="Q2553" s="2" t="b">
        <f>FALSE()</f>
        <v>0</v>
      </c>
      <c r="R2553">
        <v>1</v>
      </c>
    </row>
    <row r="2554" spans="1:18" x14ac:dyDescent="0.25">
      <c r="A2554">
        <v>202553</v>
      </c>
      <c r="B2554">
        <v>51917</v>
      </c>
      <c r="C2554" t="s">
        <v>18</v>
      </c>
      <c r="D2554">
        <v>3714.81</v>
      </c>
      <c r="E2554">
        <v>2153</v>
      </c>
      <c r="F2554">
        <v>0</v>
      </c>
      <c r="G2554">
        <v>7</v>
      </c>
      <c r="H2554">
        <v>0</v>
      </c>
      <c r="I2554" t="s">
        <v>19</v>
      </c>
      <c r="J2554">
        <v>0</v>
      </c>
      <c r="K2554">
        <v>19</v>
      </c>
      <c r="L2554" t="s">
        <v>20</v>
      </c>
      <c r="M2554" t="s">
        <v>37</v>
      </c>
      <c r="N2554" t="s">
        <v>26</v>
      </c>
      <c r="O2554" t="s">
        <v>36</v>
      </c>
      <c r="P2554">
        <v>0.32</v>
      </c>
      <c r="Q2554" s="2" t="b">
        <f>FALSE()</f>
        <v>0</v>
      </c>
      <c r="R2554">
        <v>1</v>
      </c>
    </row>
    <row r="2555" spans="1:18" x14ac:dyDescent="0.25">
      <c r="A2555">
        <v>202554</v>
      </c>
      <c r="B2555">
        <v>55980</v>
      </c>
      <c r="C2555" t="s">
        <v>34</v>
      </c>
      <c r="D2555">
        <v>3037.31</v>
      </c>
      <c r="E2555">
        <v>592</v>
      </c>
      <c r="F2555">
        <v>1</v>
      </c>
      <c r="G2555">
        <v>6</v>
      </c>
      <c r="H2555">
        <v>0</v>
      </c>
      <c r="I2555" t="s">
        <v>19</v>
      </c>
      <c r="J2555">
        <v>1</v>
      </c>
      <c r="K2555">
        <v>39</v>
      </c>
      <c r="L2555" t="s">
        <v>20</v>
      </c>
      <c r="M2555" t="s">
        <v>21</v>
      </c>
      <c r="N2555" t="s">
        <v>30</v>
      </c>
      <c r="O2555" t="s">
        <v>36</v>
      </c>
      <c r="P2555">
        <v>2.66</v>
      </c>
      <c r="Q2555" s="2" t="b">
        <f>FALSE()</f>
        <v>0</v>
      </c>
      <c r="R2555">
        <v>0</v>
      </c>
    </row>
    <row r="2556" spans="1:18" x14ac:dyDescent="0.25">
      <c r="A2556">
        <v>202555</v>
      </c>
      <c r="B2556">
        <v>53356</v>
      </c>
      <c r="C2556" t="s">
        <v>34</v>
      </c>
      <c r="D2556">
        <v>1520.96</v>
      </c>
      <c r="E2556">
        <v>1059</v>
      </c>
      <c r="F2556">
        <v>1</v>
      </c>
      <c r="G2556">
        <v>9</v>
      </c>
      <c r="H2556">
        <v>0</v>
      </c>
      <c r="I2556" t="s">
        <v>32</v>
      </c>
      <c r="J2556">
        <v>0</v>
      </c>
      <c r="K2556">
        <v>73</v>
      </c>
      <c r="L2556" t="s">
        <v>24</v>
      </c>
      <c r="M2556" t="s">
        <v>29</v>
      </c>
      <c r="N2556" t="s">
        <v>30</v>
      </c>
      <c r="O2556" t="s">
        <v>27</v>
      </c>
      <c r="P2556">
        <v>0.02</v>
      </c>
      <c r="Q2556" s="2" t="b">
        <f>FALSE()</f>
        <v>0</v>
      </c>
      <c r="R2556">
        <v>1</v>
      </c>
    </row>
    <row r="2557" spans="1:18" x14ac:dyDescent="0.25">
      <c r="A2557">
        <v>202556</v>
      </c>
      <c r="B2557">
        <v>50303</v>
      </c>
      <c r="C2557" t="s">
        <v>34</v>
      </c>
      <c r="D2557">
        <v>5097.33</v>
      </c>
      <c r="E2557">
        <v>771</v>
      </c>
      <c r="F2557">
        <v>1</v>
      </c>
      <c r="G2557">
        <v>2</v>
      </c>
      <c r="H2557">
        <v>0</v>
      </c>
      <c r="I2557" t="s">
        <v>33</v>
      </c>
      <c r="J2557">
        <v>0</v>
      </c>
      <c r="K2557">
        <v>52</v>
      </c>
      <c r="L2557" t="s">
        <v>20</v>
      </c>
      <c r="M2557" t="s">
        <v>25</v>
      </c>
      <c r="N2557" t="s">
        <v>30</v>
      </c>
      <c r="O2557" t="s">
        <v>23</v>
      </c>
      <c r="P2557">
        <v>1.51</v>
      </c>
      <c r="Q2557" s="2" t="b">
        <f>FALSE()</f>
        <v>0</v>
      </c>
      <c r="R2557">
        <v>1</v>
      </c>
    </row>
    <row r="2558" spans="1:18" x14ac:dyDescent="0.25">
      <c r="A2558">
        <v>202557</v>
      </c>
      <c r="B2558">
        <v>52771</v>
      </c>
      <c r="C2558" t="s">
        <v>18</v>
      </c>
      <c r="D2558">
        <v>2257.92</v>
      </c>
      <c r="E2558">
        <v>2915</v>
      </c>
      <c r="F2558">
        <v>2</v>
      </c>
      <c r="G2558">
        <v>6</v>
      </c>
      <c r="H2558">
        <v>0</v>
      </c>
      <c r="I2558" t="s">
        <v>32</v>
      </c>
      <c r="J2558">
        <v>0</v>
      </c>
      <c r="K2558">
        <v>41</v>
      </c>
      <c r="L2558" t="s">
        <v>24</v>
      </c>
      <c r="M2558" t="s">
        <v>37</v>
      </c>
      <c r="N2558" t="s">
        <v>22</v>
      </c>
      <c r="O2558" t="s">
        <v>36</v>
      </c>
      <c r="P2558">
        <v>7.52</v>
      </c>
      <c r="Q2558" s="2" t="b">
        <f>FALSE()</f>
        <v>0</v>
      </c>
      <c r="R2558">
        <v>0</v>
      </c>
    </row>
    <row r="2559" spans="1:18" x14ac:dyDescent="0.25">
      <c r="A2559">
        <v>202558</v>
      </c>
      <c r="B2559">
        <v>50198</v>
      </c>
      <c r="C2559" t="s">
        <v>18</v>
      </c>
      <c r="D2559">
        <v>2101.17</v>
      </c>
      <c r="E2559">
        <v>116</v>
      </c>
      <c r="F2559">
        <v>0</v>
      </c>
      <c r="G2559">
        <v>5</v>
      </c>
      <c r="H2559">
        <v>0</v>
      </c>
      <c r="I2559" t="s">
        <v>32</v>
      </c>
      <c r="J2559">
        <v>0</v>
      </c>
      <c r="K2559">
        <v>55</v>
      </c>
      <c r="L2559" t="s">
        <v>20</v>
      </c>
      <c r="M2559" t="s">
        <v>29</v>
      </c>
      <c r="N2559" t="s">
        <v>30</v>
      </c>
      <c r="O2559" t="s">
        <v>36</v>
      </c>
      <c r="P2559">
        <v>2.2999999999999998</v>
      </c>
      <c r="Q2559" s="2" t="b">
        <f>FALSE()</f>
        <v>0</v>
      </c>
      <c r="R2559">
        <v>0</v>
      </c>
    </row>
    <row r="2560" spans="1:18" x14ac:dyDescent="0.25">
      <c r="A2560">
        <v>202559</v>
      </c>
      <c r="B2560">
        <v>54371</v>
      </c>
      <c r="C2560" t="s">
        <v>34</v>
      </c>
      <c r="D2560">
        <v>3994.77</v>
      </c>
      <c r="E2560">
        <v>1786</v>
      </c>
      <c r="F2560">
        <v>3</v>
      </c>
      <c r="G2560">
        <v>6</v>
      </c>
      <c r="H2560">
        <v>1</v>
      </c>
      <c r="I2560" t="s">
        <v>19</v>
      </c>
      <c r="J2560">
        <v>0</v>
      </c>
      <c r="K2560">
        <v>39</v>
      </c>
      <c r="L2560" t="s">
        <v>20</v>
      </c>
      <c r="M2560" t="s">
        <v>35</v>
      </c>
      <c r="N2560" t="s">
        <v>22</v>
      </c>
      <c r="O2560" t="s">
        <v>23</v>
      </c>
      <c r="P2560">
        <v>0.18</v>
      </c>
      <c r="Q2560" s="2" t="b">
        <f>FALSE()</f>
        <v>0</v>
      </c>
      <c r="R2560">
        <v>1</v>
      </c>
    </row>
    <row r="2561" spans="1:18" x14ac:dyDescent="0.25">
      <c r="A2561">
        <v>202560</v>
      </c>
      <c r="B2561">
        <v>51011</v>
      </c>
      <c r="C2561" t="s">
        <v>18</v>
      </c>
      <c r="D2561">
        <v>2528.06</v>
      </c>
      <c r="E2561">
        <v>682</v>
      </c>
      <c r="F2561">
        <v>2</v>
      </c>
      <c r="G2561">
        <v>4</v>
      </c>
      <c r="H2561">
        <v>0</v>
      </c>
      <c r="I2561" t="s">
        <v>19</v>
      </c>
      <c r="J2561">
        <v>0</v>
      </c>
      <c r="K2561">
        <v>46</v>
      </c>
      <c r="L2561" t="s">
        <v>24</v>
      </c>
      <c r="M2561" t="s">
        <v>35</v>
      </c>
      <c r="N2561" t="s">
        <v>22</v>
      </c>
      <c r="O2561" t="s">
        <v>27</v>
      </c>
      <c r="P2561">
        <v>3.84</v>
      </c>
      <c r="Q2561" s="2" t="b">
        <f>FALSE()</f>
        <v>0</v>
      </c>
      <c r="R2561">
        <v>0</v>
      </c>
    </row>
    <row r="2562" spans="1:18" x14ac:dyDescent="0.25">
      <c r="A2562">
        <v>202561</v>
      </c>
      <c r="B2562">
        <v>52569</v>
      </c>
      <c r="C2562" t="s">
        <v>18</v>
      </c>
      <c r="D2562">
        <v>3996.21</v>
      </c>
      <c r="E2562">
        <v>3431</v>
      </c>
      <c r="F2562">
        <v>0</v>
      </c>
      <c r="G2562">
        <v>6</v>
      </c>
      <c r="H2562">
        <v>1</v>
      </c>
      <c r="I2562" t="s">
        <v>19</v>
      </c>
      <c r="J2562">
        <v>0</v>
      </c>
      <c r="K2562">
        <v>83</v>
      </c>
      <c r="L2562" t="s">
        <v>20</v>
      </c>
      <c r="M2562" t="s">
        <v>31</v>
      </c>
      <c r="N2562" t="s">
        <v>22</v>
      </c>
      <c r="O2562" t="s">
        <v>27</v>
      </c>
      <c r="P2562">
        <v>2.93</v>
      </c>
      <c r="Q2562" s="2" t="b">
        <f>FALSE()</f>
        <v>0</v>
      </c>
      <c r="R2562">
        <v>1</v>
      </c>
    </row>
    <row r="2563" spans="1:18" x14ac:dyDescent="0.25">
      <c r="A2563">
        <v>202562</v>
      </c>
      <c r="B2563">
        <v>50572</v>
      </c>
      <c r="C2563" t="s">
        <v>18</v>
      </c>
      <c r="D2563">
        <v>4372.49</v>
      </c>
      <c r="E2563">
        <v>736</v>
      </c>
      <c r="F2563">
        <v>1</v>
      </c>
      <c r="G2563">
        <v>5</v>
      </c>
      <c r="H2563">
        <v>1</v>
      </c>
      <c r="I2563" t="s">
        <v>33</v>
      </c>
      <c r="J2563">
        <v>1</v>
      </c>
      <c r="K2563">
        <v>37</v>
      </c>
      <c r="L2563" t="s">
        <v>24</v>
      </c>
      <c r="M2563" t="s">
        <v>21</v>
      </c>
      <c r="N2563" t="s">
        <v>22</v>
      </c>
      <c r="O2563" t="s">
        <v>23</v>
      </c>
      <c r="P2563">
        <v>4.24</v>
      </c>
      <c r="Q2563" s="2" t="b">
        <f>FALSE()</f>
        <v>0</v>
      </c>
      <c r="R2563">
        <v>1</v>
      </c>
    </row>
    <row r="2564" spans="1:18" x14ac:dyDescent="0.25">
      <c r="A2564">
        <v>202563</v>
      </c>
      <c r="B2564">
        <v>50386</v>
      </c>
      <c r="C2564" t="s">
        <v>18</v>
      </c>
      <c r="D2564">
        <v>1064.8599999999999</v>
      </c>
      <c r="E2564">
        <v>3256</v>
      </c>
      <c r="F2564">
        <v>0</v>
      </c>
      <c r="G2564">
        <v>4</v>
      </c>
      <c r="H2564">
        <v>0</v>
      </c>
      <c r="I2564" t="s">
        <v>19</v>
      </c>
      <c r="J2564">
        <v>0</v>
      </c>
      <c r="K2564">
        <v>82</v>
      </c>
      <c r="L2564" t="s">
        <v>24</v>
      </c>
      <c r="M2564" t="s">
        <v>29</v>
      </c>
      <c r="N2564" t="s">
        <v>26</v>
      </c>
      <c r="O2564" t="s">
        <v>23</v>
      </c>
      <c r="P2564">
        <v>4.2699999999999996</v>
      </c>
      <c r="Q2564" s="2" t="b">
        <f>FALSE()</f>
        <v>0</v>
      </c>
      <c r="R2564">
        <v>0</v>
      </c>
    </row>
    <row r="2565" spans="1:18" x14ac:dyDescent="0.25">
      <c r="A2565">
        <v>202564</v>
      </c>
      <c r="B2565">
        <v>53790</v>
      </c>
      <c r="C2565" t="s">
        <v>34</v>
      </c>
      <c r="D2565">
        <v>3912.84</v>
      </c>
      <c r="E2565">
        <v>1862</v>
      </c>
      <c r="F2565">
        <v>4</v>
      </c>
      <c r="G2565">
        <v>3</v>
      </c>
      <c r="H2565">
        <v>1</v>
      </c>
      <c r="I2565" t="s">
        <v>32</v>
      </c>
      <c r="J2565">
        <v>1</v>
      </c>
      <c r="K2565">
        <v>61</v>
      </c>
      <c r="L2565" t="s">
        <v>24</v>
      </c>
      <c r="M2565" t="s">
        <v>25</v>
      </c>
      <c r="N2565" t="s">
        <v>26</v>
      </c>
      <c r="O2565" t="s">
        <v>27</v>
      </c>
      <c r="P2565">
        <v>1.86</v>
      </c>
      <c r="Q2565" s="2" t="b">
        <f>FALSE()</f>
        <v>0</v>
      </c>
      <c r="R2565">
        <v>1</v>
      </c>
    </row>
    <row r="2566" spans="1:18" x14ac:dyDescent="0.25">
      <c r="A2566">
        <v>202565</v>
      </c>
      <c r="B2566">
        <v>50395</v>
      </c>
      <c r="C2566" t="s">
        <v>18</v>
      </c>
      <c r="D2566">
        <v>3312.76</v>
      </c>
      <c r="E2566">
        <v>126</v>
      </c>
      <c r="F2566">
        <v>3</v>
      </c>
      <c r="G2566">
        <v>6</v>
      </c>
      <c r="H2566">
        <v>0</v>
      </c>
      <c r="I2566" t="s">
        <v>32</v>
      </c>
      <c r="J2566">
        <v>0</v>
      </c>
      <c r="K2566">
        <v>76</v>
      </c>
      <c r="L2566" t="s">
        <v>24</v>
      </c>
      <c r="M2566" t="s">
        <v>29</v>
      </c>
      <c r="N2566" t="s">
        <v>22</v>
      </c>
      <c r="O2566" t="s">
        <v>27</v>
      </c>
      <c r="P2566">
        <v>2.2599999999999998</v>
      </c>
      <c r="Q2566" s="2" t="b">
        <f>FALSE()</f>
        <v>0</v>
      </c>
      <c r="R2566">
        <v>1</v>
      </c>
    </row>
    <row r="2567" spans="1:18" x14ac:dyDescent="0.25">
      <c r="A2567">
        <v>202566</v>
      </c>
      <c r="B2567">
        <v>51104</v>
      </c>
      <c r="C2567" t="s">
        <v>34</v>
      </c>
      <c r="D2567">
        <v>137.44</v>
      </c>
      <c r="E2567">
        <v>3355</v>
      </c>
      <c r="F2567">
        <v>1</v>
      </c>
      <c r="G2567">
        <v>4</v>
      </c>
      <c r="H2567">
        <v>0</v>
      </c>
      <c r="I2567" t="s">
        <v>19</v>
      </c>
      <c r="J2567">
        <v>0</v>
      </c>
      <c r="K2567">
        <v>56</v>
      </c>
      <c r="L2567" t="s">
        <v>24</v>
      </c>
      <c r="M2567" t="s">
        <v>21</v>
      </c>
      <c r="N2567" t="s">
        <v>30</v>
      </c>
      <c r="O2567" t="s">
        <v>27</v>
      </c>
      <c r="P2567">
        <v>3.51</v>
      </c>
      <c r="Q2567" s="2" t="b">
        <f>FALSE()</f>
        <v>0</v>
      </c>
      <c r="R2567">
        <v>0</v>
      </c>
    </row>
    <row r="2568" spans="1:18" x14ac:dyDescent="0.25">
      <c r="A2568">
        <v>202567</v>
      </c>
      <c r="B2568">
        <v>52405</v>
      </c>
      <c r="C2568" t="s">
        <v>34</v>
      </c>
      <c r="D2568">
        <v>1991.43</v>
      </c>
      <c r="E2568">
        <v>1289</v>
      </c>
      <c r="F2568">
        <v>0</v>
      </c>
      <c r="G2568">
        <v>6</v>
      </c>
      <c r="H2568">
        <v>1</v>
      </c>
      <c r="I2568" t="s">
        <v>19</v>
      </c>
      <c r="J2568">
        <v>0</v>
      </c>
      <c r="K2568">
        <v>80</v>
      </c>
      <c r="L2568" t="s">
        <v>24</v>
      </c>
      <c r="M2568" t="s">
        <v>35</v>
      </c>
      <c r="N2568" t="s">
        <v>30</v>
      </c>
      <c r="O2568" t="s">
        <v>27</v>
      </c>
      <c r="P2568">
        <v>7.87</v>
      </c>
      <c r="Q2568" s="2" t="b">
        <f>FALSE()</f>
        <v>0</v>
      </c>
      <c r="R2568">
        <v>0</v>
      </c>
    </row>
    <row r="2569" spans="1:18" x14ac:dyDescent="0.25">
      <c r="A2569">
        <v>202568</v>
      </c>
      <c r="B2569">
        <v>52294</v>
      </c>
      <c r="C2569" t="s">
        <v>34</v>
      </c>
      <c r="D2569">
        <v>4976.46</v>
      </c>
      <c r="E2569">
        <v>1736</v>
      </c>
      <c r="F2569">
        <v>4</v>
      </c>
      <c r="G2569">
        <v>6</v>
      </c>
      <c r="H2569">
        <v>1</v>
      </c>
      <c r="I2569" t="s">
        <v>19</v>
      </c>
      <c r="J2569">
        <v>0</v>
      </c>
      <c r="K2569">
        <v>66</v>
      </c>
      <c r="L2569" t="s">
        <v>24</v>
      </c>
      <c r="M2569" t="s">
        <v>31</v>
      </c>
      <c r="N2569" t="s">
        <v>22</v>
      </c>
      <c r="O2569" t="s">
        <v>36</v>
      </c>
      <c r="P2569">
        <v>0.44</v>
      </c>
      <c r="Q2569" s="2" t="b">
        <f>FALSE()</f>
        <v>0</v>
      </c>
      <c r="R2569">
        <v>1</v>
      </c>
    </row>
    <row r="2570" spans="1:18" x14ac:dyDescent="0.25">
      <c r="A2570">
        <v>202569</v>
      </c>
      <c r="B2570">
        <v>54006</v>
      </c>
      <c r="C2570" t="s">
        <v>18</v>
      </c>
      <c r="D2570">
        <v>2445.9</v>
      </c>
      <c r="E2570">
        <v>344</v>
      </c>
      <c r="F2570">
        <v>2</v>
      </c>
      <c r="G2570">
        <v>4</v>
      </c>
      <c r="H2570">
        <v>0</v>
      </c>
      <c r="I2570" t="s">
        <v>32</v>
      </c>
      <c r="J2570">
        <v>0</v>
      </c>
      <c r="K2570">
        <v>42</v>
      </c>
      <c r="L2570" t="s">
        <v>20</v>
      </c>
      <c r="M2570" t="s">
        <v>31</v>
      </c>
      <c r="N2570" t="s">
        <v>22</v>
      </c>
      <c r="O2570" t="s">
        <v>27</v>
      </c>
      <c r="P2570">
        <v>0</v>
      </c>
      <c r="Q2570" s="2" t="b">
        <f>FALSE()</f>
        <v>0</v>
      </c>
      <c r="R2570">
        <v>0</v>
      </c>
    </row>
    <row r="2571" spans="1:18" x14ac:dyDescent="0.25">
      <c r="A2571">
        <v>202570</v>
      </c>
      <c r="B2571">
        <v>51723</v>
      </c>
      <c r="C2571" t="s">
        <v>28</v>
      </c>
      <c r="D2571">
        <v>2336.6999999999998</v>
      </c>
      <c r="E2571">
        <v>1851</v>
      </c>
      <c r="F2571">
        <v>0</v>
      </c>
      <c r="G2571">
        <v>3</v>
      </c>
      <c r="H2571">
        <v>1</v>
      </c>
      <c r="I2571" t="s">
        <v>32</v>
      </c>
      <c r="J2571">
        <v>0</v>
      </c>
      <c r="K2571">
        <v>53</v>
      </c>
      <c r="L2571" t="s">
        <v>20</v>
      </c>
      <c r="M2571" t="s">
        <v>21</v>
      </c>
      <c r="N2571" t="s">
        <v>22</v>
      </c>
      <c r="O2571" t="s">
        <v>36</v>
      </c>
      <c r="P2571">
        <v>0.91</v>
      </c>
      <c r="Q2571" s="2" t="b">
        <f>FALSE()</f>
        <v>0</v>
      </c>
      <c r="R2571">
        <v>0</v>
      </c>
    </row>
    <row r="2572" spans="1:18" x14ac:dyDescent="0.25">
      <c r="A2572">
        <v>202571</v>
      </c>
      <c r="B2572">
        <v>51297</v>
      </c>
      <c r="C2572" t="s">
        <v>34</v>
      </c>
      <c r="D2572">
        <v>1156.6600000000001</v>
      </c>
      <c r="E2572">
        <v>1527</v>
      </c>
      <c r="F2572">
        <v>5</v>
      </c>
      <c r="G2572">
        <v>1</v>
      </c>
      <c r="H2572">
        <v>0</v>
      </c>
      <c r="I2572" t="s">
        <v>33</v>
      </c>
      <c r="J2572">
        <v>0</v>
      </c>
      <c r="K2572">
        <v>20</v>
      </c>
      <c r="L2572" t="s">
        <v>24</v>
      </c>
      <c r="M2572" t="s">
        <v>37</v>
      </c>
      <c r="N2572" t="s">
        <v>26</v>
      </c>
      <c r="O2572" t="s">
        <v>23</v>
      </c>
      <c r="P2572">
        <v>3.35</v>
      </c>
      <c r="Q2572" s="2" t="b">
        <f>FALSE()</f>
        <v>0</v>
      </c>
      <c r="R2572">
        <v>1</v>
      </c>
    </row>
    <row r="2573" spans="1:18" x14ac:dyDescent="0.25">
      <c r="A2573">
        <v>202572</v>
      </c>
      <c r="B2573">
        <v>52386</v>
      </c>
      <c r="C2573" t="s">
        <v>34</v>
      </c>
      <c r="D2573">
        <v>915.98</v>
      </c>
      <c r="E2573">
        <v>432</v>
      </c>
      <c r="F2573">
        <v>1</v>
      </c>
      <c r="G2573">
        <v>2</v>
      </c>
      <c r="H2573">
        <v>0</v>
      </c>
      <c r="I2573" t="s">
        <v>33</v>
      </c>
      <c r="J2573">
        <v>0</v>
      </c>
      <c r="K2573">
        <v>22</v>
      </c>
      <c r="L2573" t="s">
        <v>20</v>
      </c>
      <c r="M2573" t="s">
        <v>35</v>
      </c>
      <c r="N2573" t="s">
        <v>22</v>
      </c>
      <c r="O2573" t="s">
        <v>36</v>
      </c>
      <c r="P2573">
        <v>2.72</v>
      </c>
      <c r="Q2573" s="2" t="b">
        <f>FALSE()</f>
        <v>0</v>
      </c>
      <c r="R2573">
        <v>0</v>
      </c>
    </row>
    <row r="2574" spans="1:18" x14ac:dyDescent="0.25">
      <c r="A2574">
        <v>202573</v>
      </c>
      <c r="B2574">
        <v>50805</v>
      </c>
      <c r="C2574" t="s">
        <v>18</v>
      </c>
      <c r="D2574">
        <v>8698.8700000000008</v>
      </c>
      <c r="E2574">
        <v>437</v>
      </c>
      <c r="F2574">
        <v>1</v>
      </c>
      <c r="G2574">
        <v>4</v>
      </c>
      <c r="H2574">
        <v>0</v>
      </c>
      <c r="I2574" t="s">
        <v>33</v>
      </c>
      <c r="J2574">
        <v>0</v>
      </c>
      <c r="K2574">
        <v>57</v>
      </c>
      <c r="L2574" t="s">
        <v>24</v>
      </c>
      <c r="M2574" t="s">
        <v>35</v>
      </c>
      <c r="N2574" t="s">
        <v>30</v>
      </c>
      <c r="O2574" t="s">
        <v>27</v>
      </c>
      <c r="P2574">
        <v>0.83</v>
      </c>
      <c r="Q2574" s="2" t="b">
        <f>TRUE()</f>
        <v>1</v>
      </c>
      <c r="R2574">
        <v>1</v>
      </c>
    </row>
    <row r="2575" spans="1:18" x14ac:dyDescent="0.25">
      <c r="A2575">
        <v>202574</v>
      </c>
      <c r="B2575">
        <v>51092</v>
      </c>
      <c r="C2575" t="s">
        <v>34</v>
      </c>
      <c r="D2575">
        <v>2193.91</v>
      </c>
      <c r="E2575">
        <v>3117</v>
      </c>
      <c r="F2575">
        <v>2</v>
      </c>
      <c r="G2575">
        <v>4</v>
      </c>
      <c r="H2575">
        <v>1</v>
      </c>
      <c r="I2575" t="s">
        <v>33</v>
      </c>
      <c r="J2575">
        <v>0</v>
      </c>
      <c r="K2575">
        <v>21</v>
      </c>
      <c r="L2575" t="s">
        <v>20</v>
      </c>
      <c r="M2575" t="s">
        <v>21</v>
      </c>
      <c r="N2575" t="s">
        <v>22</v>
      </c>
      <c r="O2575" t="s">
        <v>36</v>
      </c>
      <c r="P2575">
        <v>1.1000000000000001</v>
      </c>
      <c r="Q2575" s="2" t="b">
        <f>FALSE()</f>
        <v>0</v>
      </c>
      <c r="R2575">
        <v>0</v>
      </c>
    </row>
    <row r="2576" spans="1:18" x14ac:dyDescent="0.25">
      <c r="A2576">
        <v>202575</v>
      </c>
      <c r="B2576">
        <v>52078</v>
      </c>
      <c r="C2576" t="s">
        <v>34</v>
      </c>
      <c r="D2576">
        <v>6599.62</v>
      </c>
      <c r="E2576">
        <v>2911</v>
      </c>
      <c r="F2576">
        <v>0</v>
      </c>
      <c r="G2576">
        <v>1</v>
      </c>
      <c r="H2576">
        <v>0</v>
      </c>
      <c r="I2576" t="s">
        <v>33</v>
      </c>
      <c r="J2576">
        <v>0</v>
      </c>
      <c r="K2576">
        <v>48</v>
      </c>
      <c r="L2576" t="s">
        <v>20</v>
      </c>
      <c r="M2576" t="s">
        <v>25</v>
      </c>
      <c r="N2576" t="s">
        <v>30</v>
      </c>
      <c r="O2576" t="s">
        <v>27</v>
      </c>
      <c r="P2576">
        <v>1.53</v>
      </c>
      <c r="Q2576" s="2" t="b">
        <f>FALSE()</f>
        <v>0</v>
      </c>
      <c r="R2576">
        <v>1</v>
      </c>
    </row>
    <row r="2577" spans="1:18" x14ac:dyDescent="0.25">
      <c r="A2577">
        <v>202576</v>
      </c>
      <c r="B2577">
        <v>51178</v>
      </c>
      <c r="C2577" t="s">
        <v>34</v>
      </c>
      <c r="D2577">
        <v>1895.7</v>
      </c>
      <c r="E2577">
        <v>3206</v>
      </c>
      <c r="F2577">
        <v>2</v>
      </c>
      <c r="G2577">
        <v>4</v>
      </c>
      <c r="H2577">
        <v>0</v>
      </c>
      <c r="I2577" t="s">
        <v>19</v>
      </c>
      <c r="J2577">
        <v>0</v>
      </c>
      <c r="K2577">
        <v>22</v>
      </c>
      <c r="L2577" t="s">
        <v>24</v>
      </c>
      <c r="M2577" t="s">
        <v>35</v>
      </c>
      <c r="N2577" t="s">
        <v>22</v>
      </c>
      <c r="O2577" t="s">
        <v>27</v>
      </c>
      <c r="P2577">
        <v>1.89</v>
      </c>
      <c r="Q2577" s="2" t="b">
        <f>FALSE()</f>
        <v>0</v>
      </c>
      <c r="R2577">
        <v>0</v>
      </c>
    </row>
    <row r="2578" spans="1:18" x14ac:dyDescent="0.25">
      <c r="A2578">
        <v>202577</v>
      </c>
      <c r="B2578">
        <v>53845</v>
      </c>
      <c r="C2578" t="s">
        <v>18</v>
      </c>
      <c r="D2578">
        <v>1594.61</v>
      </c>
      <c r="E2578">
        <v>3476</v>
      </c>
      <c r="F2578">
        <v>0</v>
      </c>
      <c r="G2578">
        <v>4</v>
      </c>
      <c r="H2578">
        <v>1</v>
      </c>
      <c r="I2578" t="s">
        <v>33</v>
      </c>
      <c r="J2578">
        <v>0</v>
      </c>
      <c r="K2578">
        <v>35</v>
      </c>
      <c r="L2578" t="s">
        <v>20</v>
      </c>
      <c r="M2578" t="s">
        <v>21</v>
      </c>
      <c r="N2578" t="s">
        <v>30</v>
      </c>
      <c r="O2578" t="s">
        <v>23</v>
      </c>
      <c r="P2578">
        <v>0.13</v>
      </c>
      <c r="Q2578" s="2" t="b">
        <f>FALSE()</f>
        <v>0</v>
      </c>
      <c r="R2578">
        <v>0</v>
      </c>
    </row>
    <row r="2579" spans="1:18" x14ac:dyDescent="0.25">
      <c r="A2579">
        <v>202578</v>
      </c>
      <c r="B2579">
        <v>53196</v>
      </c>
      <c r="C2579" t="s">
        <v>34</v>
      </c>
      <c r="D2579">
        <v>2316.02</v>
      </c>
      <c r="E2579">
        <v>802</v>
      </c>
      <c r="F2579">
        <v>3</v>
      </c>
      <c r="G2579">
        <v>2</v>
      </c>
      <c r="H2579">
        <v>0</v>
      </c>
      <c r="I2579" t="s">
        <v>33</v>
      </c>
      <c r="J2579">
        <v>0</v>
      </c>
      <c r="K2579">
        <v>57</v>
      </c>
      <c r="L2579" t="s">
        <v>24</v>
      </c>
      <c r="M2579" t="s">
        <v>37</v>
      </c>
      <c r="N2579" t="s">
        <v>22</v>
      </c>
      <c r="O2579" t="s">
        <v>36</v>
      </c>
      <c r="P2579">
        <v>1.99</v>
      </c>
      <c r="Q2579" s="2" t="b">
        <f>FALSE()</f>
        <v>0</v>
      </c>
      <c r="R2579">
        <v>1</v>
      </c>
    </row>
    <row r="2580" spans="1:18" x14ac:dyDescent="0.25">
      <c r="A2580">
        <v>202579</v>
      </c>
      <c r="B2580">
        <v>50073</v>
      </c>
      <c r="C2580" t="s">
        <v>18</v>
      </c>
      <c r="D2580">
        <v>536.04999999999995</v>
      </c>
      <c r="E2580">
        <v>3123</v>
      </c>
      <c r="F2580">
        <v>3</v>
      </c>
      <c r="G2580">
        <v>2</v>
      </c>
      <c r="H2580">
        <v>1</v>
      </c>
      <c r="I2580" t="s">
        <v>33</v>
      </c>
      <c r="J2580">
        <v>0</v>
      </c>
      <c r="K2580">
        <v>29</v>
      </c>
      <c r="L2580" t="s">
        <v>20</v>
      </c>
      <c r="M2580" t="s">
        <v>29</v>
      </c>
      <c r="N2580" t="s">
        <v>22</v>
      </c>
      <c r="O2580" t="s">
        <v>27</v>
      </c>
      <c r="P2580">
        <v>1.41</v>
      </c>
      <c r="Q2580" s="2" t="b">
        <f>FALSE()</f>
        <v>0</v>
      </c>
      <c r="R2580">
        <v>1</v>
      </c>
    </row>
    <row r="2581" spans="1:18" x14ac:dyDescent="0.25">
      <c r="A2581">
        <v>202580</v>
      </c>
      <c r="B2581">
        <v>51573</v>
      </c>
      <c r="C2581" t="s">
        <v>18</v>
      </c>
      <c r="D2581">
        <v>1188.6099999999999</v>
      </c>
      <c r="E2581">
        <v>2402</v>
      </c>
      <c r="F2581">
        <v>1</v>
      </c>
      <c r="G2581">
        <v>5</v>
      </c>
      <c r="H2581">
        <v>0</v>
      </c>
      <c r="I2581" t="s">
        <v>33</v>
      </c>
      <c r="J2581">
        <v>0</v>
      </c>
      <c r="K2581">
        <v>37</v>
      </c>
      <c r="L2581" t="s">
        <v>24</v>
      </c>
      <c r="M2581" t="s">
        <v>37</v>
      </c>
      <c r="N2581" t="s">
        <v>22</v>
      </c>
      <c r="O2581" t="s">
        <v>27</v>
      </c>
      <c r="P2581">
        <v>1.0900000000000001</v>
      </c>
      <c r="Q2581" s="2" t="b">
        <f>FALSE()</f>
        <v>0</v>
      </c>
      <c r="R2581">
        <v>0</v>
      </c>
    </row>
    <row r="2582" spans="1:18" x14ac:dyDescent="0.25">
      <c r="A2582">
        <v>202581</v>
      </c>
      <c r="B2582">
        <v>52862</v>
      </c>
      <c r="C2582" t="s">
        <v>18</v>
      </c>
      <c r="D2582">
        <v>11373.32</v>
      </c>
      <c r="E2582">
        <v>1835</v>
      </c>
      <c r="F2582">
        <v>0</v>
      </c>
      <c r="G2582">
        <v>3</v>
      </c>
      <c r="H2582">
        <v>0</v>
      </c>
      <c r="I2582" t="s">
        <v>19</v>
      </c>
      <c r="J2582">
        <v>0</v>
      </c>
      <c r="K2582">
        <v>51</v>
      </c>
      <c r="L2582" t="s">
        <v>24</v>
      </c>
      <c r="M2582" t="s">
        <v>37</v>
      </c>
      <c r="N2582" t="s">
        <v>30</v>
      </c>
      <c r="O2582" t="s">
        <v>27</v>
      </c>
      <c r="P2582">
        <v>4.87</v>
      </c>
      <c r="Q2582" s="2" t="b">
        <f>TRUE()</f>
        <v>1</v>
      </c>
      <c r="R2582">
        <v>1</v>
      </c>
    </row>
    <row r="2583" spans="1:18" x14ac:dyDescent="0.25">
      <c r="A2583">
        <v>202582</v>
      </c>
      <c r="B2583">
        <v>51169</v>
      </c>
      <c r="C2583" t="s">
        <v>34</v>
      </c>
      <c r="D2583">
        <v>7348.97</v>
      </c>
      <c r="E2583">
        <v>2100</v>
      </c>
      <c r="F2583">
        <v>0</v>
      </c>
      <c r="G2583">
        <v>6</v>
      </c>
      <c r="H2583">
        <v>0</v>
      </c>
      <c r="I2583" t="s">
        <v>33</v>
      </c>
      <c r="J2583">
        <v>1</v>
      </c>
      <c r="K2583">
        <v>19</v>
      </c>
      <c r="L2583" t="s">
        <v>20</v>
      </c>
      <c r="M2583" t="s">
        <v>29</v>
      </c>
      <c r="N2583" t="s">
        <v>30</v>
      </c>
      <c r="O2583" t="s">
        <v>36</v>
      </c>
      <c r="P2583">
        <v>0.57999999999999996</v>
      </c>
      <c r="Q2583" s="2" t="b">
        <f>TRUE()</f>
        <v>1</v>
      </c>
      <c r="R2583">
        <v>1</v>
      </c>
    </row>
    <row r="2584" spans="1:18" x14ac:dyDescent="0.25">
      <c r="A2584">
        <v>202583</v>
      </c>
      <c r="B2584">
        <v>52759</v>
      </c>
      <c r="C2584" t="s">
        <v>34</v>
      </c>
      <c r="D2584">
        <v>1008.79</v>
      </c>
      <c r="E2584">
        <v>2358</v>
      </c>
      <c r="F2584">
        <v>0</v>
      </c>
      <c r="G2584">
        <v>4</v>
      </c>
      <c r="H2584">
        <v>0</v>
      </c>
      <c r="I2584" t="s">
        <v>33</v>
      </c>
      <c r="J2584">
        <v>0</v>
      </c>
      <c r="K2584">
        <v>41</v>
      </c>
      <c r="L2584" t="s">
        <v>24</v>
      </c>
      <c r="M2584" t="s">
        <v>29</v>
      </c>
      <c r="N2584" t="s">
        <v>22</v>
      </c>
      <c r="O2584" t="s">
        <v>36</v>
      </c>
      <c r="P2584">
        <v>2.65</v>
      </c>
      <c r="Q2584" s="2" t="b">
        <f>FALSE()</f>
        <v>0</v>
      </c>
      <c r="R2584">
        <v>0</v>
      </c>
    </row>
    <row r="2585" spans="1:18" x14ac:dyDescent="0.25">
      <c r="A2585">
        <v>202584</v>
      </c>
      <c r="B2585">
        <v>54204</v>
      </c>
      <c r="C2585" t="s">
        <v>18</v>
      </c>
      <c r="D2585">
        <v>3599</v>
      </c>
      <c r="E2585">
        <v>2429</v>
      </c>
      <c r="F2585">
        <v>4</v>
      </c>
      <c r="G2585">
        <v>2</v>
      </c>
      <c r="H2585">
        <v>0</v>
      </c>
      <c r="I2585" t="s">
        <v>33</v>
      </c>
      <c r="J2585">
        <v>0</v>
      </c>
      <c r="K2585">
        <v>41</v>
      </c>
      <c r="L2585" t="s">
        <v>24</v>
      </c>
      <c r="M2585" t="s">
        <v>29</v>
      </c>
      <c r="N2585" t="s">
        <v>22</v>
      </c>
      <c r="O2585" t="s">
        <v>27</v>
      </c>
      <c r="P2585">
        <v>6.96</v>
      </c>
      <c r="Q2585" s="2" t="b">
        <f>FALSE()</f>
        <v>0</v>
      </c>
      <c r="R2585">
        <v>1</v>
      </c>
    </row>
    <row r="2586" spans="1:18" x14ac:dyDescent="0.25">
      <c r="A2586">
        <v>202585</v>
      </c>
      <c r="B2586">
        <v>54465</v>
      </c>
      <c r="C2586" t="s">
        <v>18</v>
      </c>
      <c r="D2586">
        <v>2002.81</v>
      </c>
      <c r="E2586">
        <v>885</v>
      </c>
      <c r="F2586">
        <v>3</v>
      </c>
      <c r="G2586">
        <v>6</v>
      </c>
      <c r="H2586">
        <v>0</v>
      </c>
      <c r="I2586" t="s">
        <v>19</v>
      </c>
      <c r="J2586">
        <v>0</v>
      </c>
      <c r="K2586">
        <v>80</v>
      </c>
      <c r="L2586" t="s">
        <v>20</v>
      </c>
      <c r="M2586" t="s">
        <v>31</v>
      </c>
      <c r="N2586" t="s">
        <v>22</v>
      </c>
      <c r="O2586" t="s">
        <v>27</v>
      </c>
      <c r="P2586">
        <v>3.99</v>
      </c>
      <c r="Q2586" s="2" t="b">
        <f>FALSE()</f>
        <v>0</v>
      </c>
      <c r="R2586">
        <v>1</v>
      </c>
    </row>
    <row r="2587" spans="1:18" x14ac:dyDescent="0.25">
      <c r="A2587">
        <v>202586</v>
      </c>
      <c r="B2587">
        <v>52966</v>
      </c>
      <c r="C2587" t="s">
        <v>34</v>
      </c>
      <c r="D2587">
        <v>2951.83</v>
      </c>
      <c r="E2587">
        <v>1419</v>
      </c>
      <c r="F2587">
        <v>2</v>
      </c>
      <c r="G2587">
        <v>4</v>
      </c>
      <c r="H2587">
        <v>0</v>
      </c>
      <c r="I2587" t="s">
        <v>19</v>
      </c>
      <c r="J2587">
        <v>0</v>
      </c>
      <c r="K2587">
        <v>67</v>
      </c>
      <c r="L2587" t="s">
        <v>20</v>
      </c>
      <c r="M2587" t="s">
        <v>29</v>
      </c>
      <c r="N2587" t="s">
        <v>22</v>
      </c>
      <c r="O2587" t="s">
        <v>23</v>
      </c>
      <c r="P2587">
        <v>2.2799999999999998</v>
      </c>
      <c r="Q2587" s="2" t="b">
        <f>FALSE()</f>
        <v>0</v>
      </c>
      <c r="R2587">
        <v>0</v>
      </c>
    </row>
    <row r="2588" spans="1:18" x14ac:dyDescent="0.25">
      <c r="A2588">
        <v>202587</v>
      </c>
      <c r="B2588">
        <v>53097</v>
      </c>
      <c r="C2588" t="s">
        <v>34</v>
      </c>
      <c r="D2588">
        <v>701.86</v>
      </c>
      <c r="E2588">
        <v>1048</v>
      </c>
      <c r="F2588">
        <v>2</v>
      </c>
      <c r="G2588">
        <v>4</v>
      </c>
      <c r="H2588">
        <v>0</v>
      </c>
      <c r="I2588" t="s">
        <v>33</v>
      </c>
      <c r="J2588">
        <v>0</v>
      </c>
      <c r="K2588">
        <v>58</v>
      </c>
      <c r="L2588" t="s">
        <v>20</v>
      </c>
      <c r="M2588" t="s">
        <v>21</v>
      </c>
      <c r="N2588" t="s">
        <v>30</v>
      </c>
      <c r="O2588" t="s">
        <v>23</v>
      </c>
      <c r="P2588">
        <v>1.35</v>
      </c>
      <c r="Q2588" s="2" t="b">
        <f>FALSE()</f>
        <v>0</v>
      </c>
      <c r="R2588">
        <v>0</v>
      </c>
    </row>
    <row r="2589" spans="1:18" x14ac:dyDescent="0.25">
      <c r="A2589">
        <v>202588</v>
      </c>
      <c r="B2589">
        <v>50178</v>
      </c>
      <c r="C2589" t="s">
        <v>34</v>
      </c>
      <c r="D2589">
        <v>1446.54</v>
      </c>
      <c r="E2589">
        <v>140</v>
      </c>
      <c r="F2589">
        <v>0</v>
      </c>
      <c r="G2589">
        <v>4</v>
      </c>
      <c r="H2589">
        <v>1</v>
      </c>
      <c r="I2589" t="s">
        <v>33</v>
      </c>
      <c r="J2589">
        <v>0</v>
      </c>
      <c r="K2589">
        <v>28</v>
      </c>
      <c r="L2589" t="s">
        <v>24</v>
      </c>
      <c r="M2589" t="s">
        <v>31</v>
      </c>
      <c r="N2589" t="s">
        <v>26</v>
      </c>
      <c r="O2589" t="s">
        <v>27</v>
      </c>
      <c r="P2589">
        <v>3.97</v>
      </c>
      <c r="Q2589" s="2" t="b">
        <f>FALSE()</f>
        <v>0</v>
      </c>
      <c r="R2589">
        <v>0</v>
      </c>
    </row>
    <row r="2590" spans="1:18" x14ac:dyDescent="0.25">
      <c r="A2590">
        <v>202589</v>
      </c>
      <c r="B2590">
        <v>51533</v>
      </c>
      <c r="C2590" t="s">
        <v>18</v>
      </c>
      <c r="D2590">
        <v>1087.31</v>
      </c>
      <c r="E2590">
        <v>46</v>
      </c>
      <c r="F2590">
        <v>0</v>
      </c>
      <c r="G2590">
        <v>3</v>
      </c>
      <c r="H2590">
        <v>0</v>
      </c>
      <c r="I2590" t="s">
        <v>33</v>
      </c>
      <c r="J2590">
        <v>0</v>
      </c>
      <c r="K2590">
        <v>53</v>
      </c>
      <c r="L2590" t="s">
        <v>24</v>
      </c>
      <c r="M2590" t="s">
        <v>35</v>
      </c>
      <c r="N2590" t="s">
        <v>30</v>
      </c>
      <c r="O2590" t="s">
        <v>36</v>
      </c>
      <c r="P2590">
        <v>2.02</v>
      </c>
      <c r="Q2590" s="2" t="b">
        <f>FALSE()</f>
        <v>0</v>
      </c>
      <c r="R2590">
        <v>0</v>
      </c>
    </row>
    <row r="2591" spans="1:18" x14ac:dyDescent="0.25">
      <c r="A2591">
        <v>202590</v>
      </c>
      <c r="B2591">
        <v>54037</v>
      </c>
      <c r="C2591" t="s">
        <v>18</v>
      </c>
      <c r="D2591">
        <v>3082.21</v>
      </c>
      <c r="E2591">
        <v>2587</v>
      </c>
      <c r="F2591">
        <v>0</v>
      </c>
      <c r="G2591">
        <v>3</v>
      </c>
      <c r="H2591">
        <v>0</v>
      </c>
      <c r="I2591" t="s">
        <v>33</v>
      </c>
      <c r="J2591">
        <v>0</v>
      </c>
      <c r="K2591">
        <v>57</v>
      </c>
      <c r="L2591" t="s">
        <v>24</v>
      </c>
      <c r="M2591" t="s">
        <v>29</v>
      </c>
      <c r="N2591" t="s">
        <v>22</v>
      </c>
      <c r="O2591" t="s">
        <v>23</v>
      </c>
      <c r="P2591">
        <v>4.47</v>
      </c>
      <c r="Q2591" s="2" t="b">
        <f>FALSE()</f>
        <v>0</v>
      </c>
      <c r="R2591">
        <v>0</v>
      </c>
    </row>
    <row r="2592" spans="1:18" x14ac:dyDescent="0.25">
      <c r="A2592">
        <v>202591</v>
      </c>
      <c r="B2592">
        <v>53902</v>
      </c>
      <c r="C2592" t="s">
        <v>34</v>
      </c>
      <c r="D2592">
        <v>1946.98</v>
      </c>
      <c r="E2592">
        <v>1011</v>
      </c>
      <c r="F2592">
        <v>2</v>
      </c>
      <c r="G2592">
        <v>2</v>
      </c>
      <c r="H2592">
        <v>0</v>
      </c>
      <c r="I2592" t="s">
        <v>33</v>
      </c>
      <c r="J2592">
        <v>0</v>
      </c>
      <c r="K2592">
        <v>67</v>
      </c>
      <c r="L2592" t="s">
        <v>24</v>
      </c>
      <c r="M2592" t="s">
        <v>31</v>
      </c>
      <c r="N2592" t="s">
        <v>22</v>
      </c>
      <c r="O2592" t="s">
        <v>36</v>
      </c>
      <c r="P2592">
        <v>2.37</v>
      </c>
      <c r="Q2592" s="2" t="b">
        <f>FALSE()</f>
        <v>0</v>
      </c>
      <c r="R2592">
        <v>0</v>
      </c>
    </row>
    <row r="2593" spans="1:18" x14ac:dyDescent="0.25">
      <c r="A2593">
        <v>202592</v>
      </c>
      <c r="B2593">
        <v>55685</v>
      </c>
      <c r="C2593" t="s">
        <v>28</v>
      </c>
      <c r="D2593">
        <v>3083.42</v>
      </c>
      <c r="E2593">
        <v>1951</v>
      </c>
      <c r="F2593">
        <v>2</v>
      </c>
      <c r="G2593">
        <v>2</v>
      </c>
      <c r="H2593">
        <v>0</v>
      </c>
      <c r="I2593" t="s">
        <v>19</v>
      </c>
      <c r="J2593">
        <v>0</v>
      </c>
      <c r="K2593">
        <v>59</v>
      </c>
      <c r="L2593" t="s">
        <v>24</v>
      </c>
      <c r="M2593" t="s">
        <v>31</v>
      </c>
      <c r="N2593" t="s">
        <v>26</v>
      </c>
      <c r="O2593" t="s">
        <v>27</v>
      </c>
      <c r="P2593">
        <v>7.0000000000000007E-2</v>
      </c>
      <c r="Q2593" s="2" t="b">
        <f>FALSE()</f>
        <v>0</v>
      </c>
      <c r="R2593">
        <v>0</v>
      </c>
    </row>
    <row r="2594" spans="1:18" x14ac:dyDescent="0.25">
      <c r="A2594">
        <v>202593</v>
      </c>
      <c r="B2594">
        <v>52561</v>
      </c>
      <c r="C2594" t="s">
        <v>18</v>
      </c>
      <c r="D2594">
        <v>4834.6099999999997</v>
      </c>
      <c r="E2594">
        <v>1313</v>
      </c>
      <c r="F2594">
        <v>1</v>
      </c>
      <c r="G2594">
        <v>4</v>
      </c>
      <c r="H2594">
        <v>0</v>
      </c>
      <c r="I2594" t="s">
        <v>33</v>
      </c>
      <c r="J2594">
        <v>0</v>
      </c>
      <c r="K2594">
        <v>69</v>
      </c>
      <c r="L2594" t="s">
        <v>20</v>
      </c>
      <c r="M2594" t="s">
        <v>29</v>
      </c>
      <c r="N2594" t="s">
        <v>22</v>
      </c>
      <c r="O2594" t="s">
        <v>36</v>
      </c>
      <c r="P2594">
        <v>6.51</v>
      </c>
      <c r="Q2594" s="2" t="b">
        <f>FALSE()</f>
        <v>0</v>
      </c>
      <c r="R2594">
        <v>1</v>
      </c>
    </row>
    <row r="2595" spans="1:18" x14ac:dyDescent="0.25">
      <c r="A2595">
        <v>202594</v>
      </c>
      <c r="B2595">
        <v>54533</v>
      </c>
      <c r="C2595" t="s">
        <v>28</v>
      </c>
      <c r="D2595">
        <v>4897.29</v>
      </c>
      <c r="E2595">
        <v>1587</v>
      </c>
      <c r="F2595">
        <v>1</v>
      </c>
      <c r="G2595">
        <v>3</v>
      </c>
      <c r="H2595">
        <v>0</v>
      </c>
      <c r="I2595" t="s">
        <v>32</v>
      </c>
      <c r="J2595">
        <v>0</v>
      </c>
      <c r="K2595">
        <v>39</v>
      </c>
      <c r="L2595" t="s">
        <v>24</v>
      </c>
      <c r="M2595" t="s">
        <v>29</v>
      </c>
      <c r="N2595" t="s">
        <v>22</v>
      </c>
      <c r="O2595" t="s">
        <v>36</v>
      </c>
      <c r="P2595">
        <v>3.29</v>
      </c>
      <c r="Q2595" s="2" t="b">
        <f>FALSE()</f>
        <v>0</v>
      </c>
      <c r="R2595">
        <v>1</v>
      </c>
    </row>
    <row r="2596" spans="1:18" x14ac:dyDescent="0.25">
      <c r="A2596">
        <v>202595</v>
      </c>
      <c r="B2596">
        <v>50689</v>
      </c>
      <c r="C2596" t="s">
        <v>28</v>
      </c>
      <c r="D2596">
        <v>2801.88</v>
      </c>
      <c r="E2596">
        <v>1920</v>
      </c>
      <c r="F2596">
        <v>0</v>
      </c>
      <c r="G2596">
        <v>1</v>
      </c>
      <c r="H2596">
        <v>0</v>
      </c>
      <c r="I2596" t="s">
        <v>33</v>
      </c>
      <c r="J2596">
        <v>0</v>
      </c>
      <c r="K2596">
        <v>18</v>
      </c>
      <c r="L2596" t="s">
        <v>24</v>
      </c>
      <c r="M2596" t="s">
        <v>31</v>
      </c>
      <c r="N2596" t="s">
        <v>22</v>
      </c>
      <c r="O2596" t="s">
        <v>23</v>
      </c>
      <c r="P2596">
        <v>0.82</v>
      </c>
      <c r="Q2596" s="2" t="b">
        <f>FALSE()</f>
        <v>0</v>
      </c>
      <c r="R2596">
        <v>0</v>
      </c>
    </row>
    <row r="2597" spans="1:18" x14ac:dyDescent="0.25">
      <c r="A2597">
        <v>202596</v>
      </c>
      <c r="B2597">
        <v>51682</v>
      </c>
      <c r="C2597" t="s">
        <v>34</v>
      </c>
      <c r="D2597">
        <v>1085.55</v>
      </c>
      <c r="E2597">
        <v>1170</v>
      </c>
      <c r="F2597">
        <v>1</v>
      </c>
      <c r="G2597">
        <v>4</v>
      </c>
      <c r="H2597">
        <v>0</v>
      </c>
      <c r="I2597" t="s">
        <v>33</v>
      </c>
      <c r="J2597">
        <v>0</v>
      </c>
      <c r="K2597">
        <v>66</v>
      </c>
      <c r="L2597" t="s">
        <v>20</v>
      </c>
      <c r="M2597" t="s">
        <v>37</v>
      </c>
      <c r="N2597" t="s">
        <v>30</v>
      </c>
      <c r="O2597" t="s">
        <v>36</v>
      </c>
      <c r="P2597">
        <v>15.71</v>
      </c>
      <c r="Q2597" s="2" t="b">
        <f>FALSE()</f>
        <v>0</v>
      </c>
      <c r="R2597">
        <v>0</v>
      </c>
    </row>
    <row r="2598" spans="1:18" x14ac:dyDescent="0.25">
      <c r="A2598">
        <v>202597</v>
      </c>
      <c r="B2598">
        <v>50220</v>
      </c>
      <c r="C2598" t="s">
        <v>18</v>
      </c>
      <c r="D2598">
        <v>1714.21</v>
      </c>
      <c r="E2598">
        <v>49</v>
      </c>
      <c r="F2598">
        <v>1</v>
      </c>
      <c r="G2598">
        <v>2</v>
      </c>
      <c r="H2598">
        <v>0</v>
      </c>
      <c r="I2598" t="s">
        <v>19</v>
      </c>
      <c r="J2598">
        <v>0</v>
      </c>
      <c r="K2598">
        <v>73</v>
      </c>
      <c r="L2598" t="s">
        <v>24</v>
      </c>
      <c r="M2598" t="s">
        <v>31</v>
      </c>
      <c r="N2598" t="s">
        <v>26</v>
      </c>
      <c r="O2598" t="s">
        <v>36</v>
      </c>
      <c r="P2598">
        <v>1.88</v>
      </c>
      <c r="Q2598" s="2" t="b">
        <f>FALSE()</f>
        <v>0</v>
      </c>
      <c r="R2598">
        <v>0</v>
      </c>
    </row>
    <row r="2599" spans="1:18" x14ac:dyDescent="0.25">
      <c r="A2599">
        <v>202598</v>
      </c>
      <c r="B2599">
        <v>50186</v>
      </c>
      <c r="C2599" t="s">
        <v>34</v>
      </c>
      <c r="D2599">
        <v>3224.06</v>
      </c>
      <c r="E2599">
        <v>929</v>
      </c>
      <c r="F2599">
        <v>0</v>
      </c>
      <c r="G2599">
        <v>4</v>
      </c>
      <c r="H2599">
        <v>0</v>
      </c>
      <c r="I2599" t="s">
        <v>19</v>
      </c>
      <c r="J2599">
        <v>0</v>
      </c>
      <c r="K2599">
        <v>60</v>
      </c>
      <c r="L2599" t="s">
        <v>24</v>
      </c>
      <c r="M2599" t="s">
        <v>31</v>
      </c>
      <c r="N2599" t="s">
        <v>30</v>
      </c>
      <c r="O2599" t="s">
        <v>23</v>
      </c>
      <c r="P2599">
        <v>0.56000000000000005</v>
      </c>
      <c r="Q2599" s="2" t="b">
        <f>FALSE()</f>
        <v>0</v>
      </c>
      <c r="R2599">
        <v>0</v>
      </c>
    </row>
    <row r="2600" spans="1:18" x14ac:dyDescent="0.25">
      <c r="A2600">
        <v>202599</v>
      </c>
      <c r="B2600">
        <v>54200</v>
      </c>
      <c r="C2600" t="s">
        <v>28</v>
      </c>
      <c r="D2600">
        <v>2703.73</v>
      </c>
      <c r="E2600">
        <v>1054</v>
      </c>
      <c r="F2600">
        <v>0</v>
      </c>
      <c r="G2600">
        <v>3</v>
      </c>
      <c r="H2600">
        <v>0</v>
      </c>
      <c r="I2600" t="s">
        <v>19</v>
      </c>
      <c r="J2600">
        <v>0</v>
      </c>
      <c r="K2600">
        <v>41</v>
      </c>
      <c r="L2600" t="s">
        <v>24</v>
      </c>
      <c r="M2600" t="s">
        <v>31</v>
      </c>
      <c r="N2600" t="s">
        <v>26</v>
      </c>
      <c r="O2600" t="s">
        <v>27</v>
      </c>
      <c r="P2600">
        <v>0.21</v>
      </c>
      <c r="Q2600" s="2" t="b">
        <f>FALSE()</f>
        <v>0</v>
      </c>
      <c r="R2600">
        <v>0</v>
      </c>
    </row>
    <row r="2601" spans="1:18" x14ac:dyDescent="0.25">
      <c r="A2601">
        <v>202600</v>
      </c>
      <c r="B2601">
        <v>52011</v>
      </c>
      <c r="C2601" t="s">
        <v>34</v>
      </c>
      <c r="D2601">
        <v>1177.45</v>
      </c>
      <c r="E2601">
        <v>99</v>
      </c>
      <c r="F2601">
        <v>0</v>
      </c>
      <c r="G2601">
        <v>5</v>
      </c>
      <c r="H2601">
        <v>1</v>
      </c>
      <c r="I2601" t="s">
        <v>33</v>
      </c>
      <c r="J2601">
        <v>1</v>
      </c>
      <c r="K2601">
        <v>36</v>
      </c>
      <c r="L2601" t="s">
        <v>20</v>
      </c>
      <c r="M2601" t="s">
        <v>25</v>
      </c>
      <c r="N2601" t="s">
        <v>22</v>
      </c>
      <c r="O2601" t="s">
        <v>36</v>
      </c>
      <c r="P2601">
        <v>6.09</v>
      </c>
      <c r="Q2601" s="2" t="b">
        <f>FALSE()</f>
        <v>0</v>
      </c>
      <c r="R2601">
        <v>0</v>
      </c>
    </row>
    <row r="2602" spans="1:18" x14ac:dyDescent="0.25">
      <c r="A2602">
        <v>202601</v>
      </c>
      <c r="B2602">
        <v>53719</v>
      </c>
      <c r="C2602" t="s">
        <v>34</v>
      </c>
      <c r="D2602">
        <v>1487.76</v>
      </c>
      <c r="E2602">
        <v>2471</v>
      </c>
      <c r="F2602">
        <v>0</v>
      </c>
      <c r="G2602">
        <v>4</v>
      </c>
      <c r="H2602">
        <v>1</v>
      </c>
      <c r="I2602" t="s">
        <v>33</v>
      </c>
      <c r="J2602">
        <v>0</v>
      </c>
      <c r="K2602">
        <v>36</v>
      </c>
      <c r="L2602" t="s">
        <v>20</v>
      </c>
      <c r="M2602" t="s">
        <v>35</v>
      </c>
      <c r="N2602" t="s">
        <v>30</v>
      </c>
      <c r="O2602" t="s">
        <v>27</v>
      </c>
      <c r="P2602">
        <v>2.52</v>
      </c>
      <c r="Q2602" s="2" t="b">
        <f>FALSE()</f>
        <v>0</v>
      </c>
      <c r="R2602">
        <v>0</v>
      </c>
    </row>
    <row r="2603" spans="1:18" x14ac:dyDescent="0.25">
      <c r="A2603">
        <v>202602</v>
      </c>
      <c r="B2603">
        <v>51176</v>
      </c>
      <c r="C2603" t="s">
        <v>18</v>
      </c>
      <c r="D2603">
        <v>5307.8</v>
      </c>
      <c r="E2603">
        <v>1898</v>
      </c>
      <c r="F2603">
        <v>3</v>
      </c>
      <c r="G2603">
        <v>10</v>
      </c>
      <c r="H2603">
        <v>0</v>
      </c>
      <c r="I2603" t="s">
        <v>33</v>
      </c>
      <c r="J2603">
        <v>1</v>
      </c>
      <c r="K2603">
        <v>35</v>
      </c>
      <c r="L2603" t="s">
        <v>24</v>
      </c>
      <c r="M2603" t="s">
        <v>35</v>
      </c>
      <c r="N2603" t="s">
        <v>30</v>
      </c>
      <c r="O2603" t="s">
        <v>27</v>
      </c>
      <c r="P2603">
        <v>0.13</v>
      </c>
      <c r="Q2603" s="2" t="b">
        <f>FALSE()</f>
        <v>0</v>
      </c>
      <c r="R2603">
        <v>1</v>
      </c>
    </row>
    <row r="2604" spans="1:18" x14ac:dyDescent="0.25">
      <c r="A2604">
        <v>202603</v>
      </c>
      <c r="B2604">
        <v>55947</v>
      </c>
      <c r="C2604" t="s">
        <v>18</v>
      </c>
      <c r="D2604">
        <v>1453.98</v>
      </c>
      <c r="E2604">
        <v>3630</v>
      </c>
      <c r="F2604">
        <v>2</v>
      </c>
      <c r="G2604">
        <v>5</v>
      </c>
      <c r="H2604">
        <v>1</v>
      </c>
      <c r="I2604" t="s">
        <v>33</v>
      </c>
      <c r="J2604">
        <v>0</v>
      </c>
      <c r="K2604">
        <v>56</v>
      </c>
      <c r="L2604" t="s">
        <v>24</v>
      </c>
      <c r="M2604" t="s">
        <v>25</v>
      </c>
      <c r="N2604" t="s">
        <v>22</v>
      </c>
      <c r="O2604" t="s">
        <v>36</v>
      </c>
      <c r="P2604">
        <v>0.32</v>
      </c>
      <c r="Q2604" s="2" t="b">
        <f>FALSE()</f>
        <v>0</v>
      </c>
      <c r="R2604">
        <v>0</v>
      </c>
    </row>
    <row r="2605" spans="1:18" x14ac:dyDescent="0.25">
      <c r="A2605">
        <v>202604</v>
      </c>
      <c r="B2605">
        <v>52479</v>
      </c>
      <c r="C2605" t="s">
        <v>18</v>
      </c>
      <c r="D2605">
        <v>1103.2</v>
      </c>
      <c r="E2605">
        <v>565</v>
      </c>
      <c r="F2605">
        <v>2</v>
      </c>
      <c r="G2605">
        <v>3</v>
      </c>
      <c r="H2605">
        <v>0</v>
      </c>
      <c r="I2605" t="s">
        <v>19</v>
      </c>
      <c r="J2605">
        <v>0</v>
      </c>
      <c r="K2605">
        <v>36</v>
      </c>
      <c r="L2605" t="s">
        <v>24</v>
      </c>
      <c r="M2605" t="s">
        <v>21</v>
      </c>
      <c r="N2605" t="s">
        <v>26</v>
      </c>
      <c r="O2605" t="s">
        <v>36</v>
      </c>
      <c r="P2605">
        <v>1.97</v>
      </c>
      <c r="Q2605" s="2" t="b">
        <f>FALSE()</f>
        <v>0</v>
      </c>
      <c r="R2605">
        <v>0</v>
      </c>
    </row>
    <row r="2606" spans="1:18" x14ac:dyDescent="0.25">
      <c r="A2606">
        <v>202605</v>
      </c>
      <c r="B2606">
        <v>52935</v>
      </c>
      <c r="C2606" t="s">
        <v>18</v>
      </c>
      <c r="D2606">
        <v>5065.6899999999996</v>
      </c>
      <c r="E2606">
        <v>3639</v>
      </c>
      <c r="F2606">
        <v>0</v>
      </c>
      <c r="G2606">
        <v>4</v>
      </c>
      <c r="H2606">
        <v>0</v>
      </c>
      <c r="I2606" t="s">
        <v>19</v>
      </c>
      <c r="J2606">
        <v>0</v>
      </c>
      <c r="K2606">
        <v>22</v>
      </c>
      <c r="L2606" t="s">
        <v>20</v>
      </c>
      <c r="M2606" t="s">
        <v>35</v>
      </c>
      <c r="N2606" t="s">
        <v>26</v>
      </c>
      <c r="O2606" t="s">
        <v>36</v>
      </c>
      <c r="P2606">
        <v>0.23</v>
      </c>
      <c r="Q2606" s="2" t="b">
        <f>FALSE()</f>
        <v>0</v>
      </c>
      <c r="R2606">
        <v>1</v>
      </c>
    </row>
    <row r="2607" spans="1:18" x14ac:dyDescent="0.25">
      <c r="A2607">
        <v>202606</v>
      </c>
      <c r="B2607">
        <v>55238</v>
      </c>
      <c r="C2607" t="s">
        <v>18</v>
      </c>
      <c r="D2607">
        <v>3313.02</v>
      </c>
      <c r="E2607">
        <v>1694</v>
      </c>
      <c r="F2607">
        <v>2</v>
      </c>
      <c r="G2607">
        <v>3</v>
      </c>
      <c r="H2607">
        <v>0</v>
      </c>
      <c r="I2607" t="s">
        <v>19</v>
      </c>
      <c r="J2607">
        <v>0</v>
      </c>
      <c r="K2607">
        <v>73</v>
      </c>
      <c r="L2607" t="s">
        <v>20</v>
      </c>
      <c r="M2607" t="s">
        <v>31</v>
      </c>
      <c r="N2607" t="s">
        <v>30</v>
      </c>
      <c r="O2607" t="s">
        <v>36</v>
      </c>
      <c r="P2607">
        <v>2.39</v>
      </c>
      <c r="Q2607" s="2" t="b">
        <f>FALSE()</f>
        <v>0</v>
      </c>
      <c r="R2607">
        <v>0</v>
      </c>
    </row>
    <row r="2608" spans="1:18" x14ac:dyDescent="0.25">
      <c r="A2608">
        <v>202607</v>
      </c>
      <c r="B2608">
        <v>51468</v>
      </c>
      <c r="C2608" t="s">
        <v>34</v>
      </c>
      <c r="D2608">
        <v>3202.81</v>
      </c>
      <c r="E2608">
        <v>84</v>
      </c>
      <c r="F2608">
        <v>2</v>
      </c>
      <c r="G2608">
        <v>4</v>
      </c>
      <c r="H2608">
        <v>1</v>
      </c>
      <c r="I2608" t="s">
        <v>19</v>
      </c>
      <c r="J2608">
        <v>0</v>
      </c>
      <c r="K2608">
        <v>28</v>
      </c>
      <c r="L2608" t="s">
        <v>24</v>
      </c>
      <c r="M2608" t="s">
        <v>37</v>
      </c>
      <c r="N2608" t="s">
        <v>30</v>
      </c>
      <c r="O2608" t="s">
        <v>23</v>
      </c>
      <c r="P2608">
        <v>4.8600000000000003</v>
      </c>
      <c r="Q2608" s="2" t="b">
        <f>FALSE()</f>
        <v>0</v>
      </c>
      <c r="R2608">
        <v>0</v>
      </c>
    </row>
    <row r="2609" spans="1:18" x14ac:dyDescent="0.25">
      <c r="A2609">
        <v>202608</v>
      </c>
      <c r="B2609">
        <v>53419</v>
      </c>
      <c r="C2609" t="s">
        <v>28</v>
      </c>
      <c r="D2609">
        <v>2177.58</v>
      </c>
      <c r="E2609">
        <v>2763</v>
      </c>
      <c r="F2609">
        <v>0</v>
      </c>
      <c r="G2609">
        <v>5</v>
      </c>
      <c r="H2609">
        <v>0</v>
      </c>
      <c r="I2609" t="s">
        <v>33</v>
      </c>
      <c r="J2609">
        <v>0</v>
      </c>
      <c r="K2609">
        <v>75</v>
      </c>
      <c r="L2609" t="s">
        <v>20</v>
      </c>
      <c r="M2609" t="s">
        <v>25</v>
      </c>
      <c r="N2609" t="s">
        <v>22</v>
      </c>
      <c r="O2609" t="s">
        <v>23</v>
      </c>
      <c r="P2609">
        <v>3.65</v>
      </c>
      <c r="Q2609" s="2" t="b">
        <f>FALSE()</f>
        <v>0</v>
      </c>
      <c r="R2609">
        <v>0</v>
      </c>
    </row>
    <row r="2610" spans="1:18" x14ac:dyDescent="0.25">
      <c r="A2610">
        <v>202609</v>
      </c>
      <c r="B2610">
        <v>55383</v>
      </c>
      <c r="C2610" t="s">
        <v>18</v>
      </c>
      <c r="D2610">
        <v>899.55</v>
      </c>
      <c r="E2610">
        <v>2696</v>
      </c>
      <c r="F2610">
        <v>1</v>
      </c>
      <c r="G2610">
        <v>3</v>
      </c>
      <c r="H2610">
        <v>1</v>
      </c>
      <c r="I2610" t="s">
        <v>32</v>
      </c>
      <c r="J2610">
        <v>0</v>
      </c>
      <c r="K2610">
        <v>39</v>
      </c>
      <c r="L2610" t="s">
        <v>24</v>
      </c>
      <c r="M2610" t="s">
        <v>31</v>
      </c>
      <c r="N2610" t="s">
        <v>30</v>
      </c>
      <c r="O2610" t="s">
        <v>36</v>
      </c>
      <c r="P2610">
        <v>0.34</v>
      </c>
      <c r="Q2610" s="2" t="b">
        <f>FALSE()</f>
        <v>0</v>
      </c>
      <c r="R2610">
        <v>0</v>
      </c>
    </row>
    <row r="2611" spans="1:18" x14ac:dyDescent="0.25">
      <c r="A2611">
        <v>202610</v>
      </c>
      <c r="B2611">
        <v>51068</v>
      </c>
      <c r="C2611" t="s">
        <v>28</v>
      </c>
      <c r="D2611">
        <v>327.62</v>
      </c>
      <c r="E2611">
        <v>855</v>
      </c>
      <c r="F2611">
        <v>2</v>
      </c>
      <c r="G2611">
        <v>7</v>
      </c>
      <c r="H2611">
        <v>0</v>
      </c>
      <c r="I2611" t="s">
        <v>32</v>
      </c>
      <c r="J2611">
        <v>1</v>
      </c>
      <c r="K2611">
        <v>54</v>
      </c>
      <c r="L2611" t="s">
        <v>20</v>
      </c>
      <c r="M2611" t="s">
        <v>31</v>
      </c>
      <c r="N2611" t="s">
        <v>30</v>
      </c>
      <c r="O2611" t="s">
        <v>36</v>
      </c>
      <c r="P2611">
        <v>1.06</v>
      </c>
      <c r="Q2611" s="2" t="b">
        <f>FALSE()</f>
        <v>0</v>
      </c>
      <c r="R2611">
        <v>1</v>
      </c>
    </row>
    <row r="2612" spans="1:18" x14ac:dyDescent="0.25">
      <c r="A2612">
        <v>202611</v>
      </c>
      <c r="B2612">
        <v>52086</v>
      </c>
      <c r="C2612" t="s">
        <v>28</v>
      </c>
      <c r="D2612">
        <v>2558.12</v>
      </c>
      <c r="E2612">
        <v>34</v>
      </c>
      <c r="F2612">
        <v>1</v>
      </c>
      <c r="G2612">
        <v>2</v>
      </c>
      <c r="H2612">
        <v>0</v>
      </c>
      <c r="I2612" t="s">
        <v>33</v>
      </c>
      <c r="J2612">
        <v>0</v>
      </c>
      <c r="K2612">
        <v>22</v>
      </c>
      <c r="L2612" t="s">
        <v>24</v>
      </c>
      <c r="M2612" t="s">
        <v>25</v>
      </c>
      <c r="N2612" t="s">
        <v>30</v>
      </c>
      <c r="O2612" t="s">
        <v>36</v>
      </c>
      <c r="P2612">
        <v>1.68</v>
      </c>
      <c r="Q2612" s="2" t="b">
        <f>FALSE()</f>
        <v>0</v>
      </c>
      <c r="R2612">
        <v>0</v>
      </c>
    </row>
    <row r="2613" spans="1:18" x14ac:dyDescent="0.25">
      <c r="A2613">
        <v>202612</v>
      </c>
      <c r="B2613">
        <v>51082</v>
      </c>
      <c r="C2613" t="s">
        <v>28</v>
      </c>
      <c r="D2613">
        <v>1496.39</v>
      </c>
      <c r="E2613">
        <v>1458</v>
      </c>
      <c r="F2613">
        <v>1</v>
      </c>
      <c r="G2613">
        <v>2</v>
      </c>
      <c r="H2613">
        <v>1</v>
      </c>
      <c r="I2613" t="s">
        <v>33</v>
      </c>
      <c r="J2613">
        <v>0</v>
      </c>
      <c r="K2613">
        <v>22</v>
      </c>
      <c r="L2613" t="s">
        <v>20</v>
      </c>
      <c r="M2613" t="s">
        <v>21</v>
      </c>
      <c r="N2613" t="s">
        <v>26</v>
      </c>
      <c r="O2613" t="s">
        <v>27</v>
      </c>
      <c r="P2613">
        <v>1.83</v>
      </c>
      <c r="Q2613" s="2" t="b">
        <f>FALSE()</f>
        <v>0</v>
      </c>
      <c r="R2613">
        <v>0</v>
      </c>
    </row>
    <row r="2614" spans="1:18" x14ac:dyDescent="0.25">
      <c r="A2614">
        <v>202613</v>
      </c>
      <c r="B2614">
        <v>53593</v>
      </c>
      <c r="C2614" t="s">
        <v>18</v>
      </c>
      <c r="D2614">
        <v>599.69000000000005</v>
      </c>
      <c r="E2614">
        <v>3084</v>
      </c>
      <c r="F2614">
        <v>1</v>
      </c>
      <c r="G2614">
        <v>7</v>
      </c>
      <c r="H2614">
        <v>0</v>
      </c>
      <c r="I2614" t="s">
        <v>33</v>
      </c>
      <c r="J2614">
        <v>0</v>
      </c>
      <c r="K2614">
        <v>79</v>
      </c>
      <c r="L2614" t="s">
        <v>24</v>
      </c>
      <c r="M2614" t="s">
        <v>35</v>
      </c>
      <c r="N2614" t="s">
        <v>22</v>
      </c>
      <c r="O2614" t="s">
        <v>36</v>
      </c>
      <c r="P2614">
        <v>0.5</v>
      </c>
      <c r="Q2614" s="2" t="b">
        <f>FALSE()</f>
        <v>0</v>
      </c>
      <c r="R2614">
        <v>1</v>
      </c>
    </row>
    <row r="2615" spans="1:18" x14ac:dyDescent="0.25">
      <c r="A2615">
        <v>202614</v>
      </c>
      <c r="B2615">
        <v>54720</v>
      </c>
      <c r="C2615" t="s">
        <v>18</v>
      </c>
      <c r="D2615">
        <v>2542.46</v>
      </c>
      <c r="E2615">
        <v>773</v>
      </c>
      <c r="F2615">
        <v>5</v>
      </c>
      <c r="G2615">
        <v>5</v>
      </c>
      <c r="H2615">
        <v>0</v>
      </c>
      <c r="I2615" t="s">
        <v>33</v>
      </c>
      <c r="J2615">
        <v>0</v>
      </c>
      <c r="K2615">
        <v>42</v>
      </c>
      <c r="L2615" t="s">
        <v>20</v>
      </c>
      <c r="M2615" t="s">
        <v>21</v>
      </c>
      <c r="N2615" t="s">
        <v>22</v>
      </c>
      <c r="O2615" t="s">
        <v>36</v>
      </c>
      <c r="P2615">
        <v>8.77</v>
      </c>
      <c r="Q2615" s="2" t="b">
        <f>FALSE()</f>
        <v>0</v>
      </c>
      <c r="R2615">
        <v>1</v>
      </c>
    </row>
    <row r="2616" spans="1:18" x14ac:dyDescent="0.25">
      <c r="A2616">
        <v>202615</v>
      </c>
      <c r="B2616">
        <v>55451</v>
      </c>
      <c r="C2616" t="s">
        <v>34</v>
      </c>
      <c r="D2616">
        <v>426.9</v>
      </c>
      <c r="E2616">
        <v>1100</v>
      </c>
      <c r="F2616">
        <v>1</v>
      </c>
      <c r="G2616">
        <v>1</v>
      </c>
      <c r="H2616">
        <v>0</v>
      </c>
      <c r="I2616" t="s">
        <v>33</v>
      </c>
      <c r="J2616">
        <v>0</v>
      </c>
      <c r="K2616">
        <v>25</v>
      </c>
      <c r="L2616" t="s">
        <v>20</v>
      </c>
      <c r="M2616" t="s">
        <v>21</v>
      </c>
      <c r="N2616" t="s">
        <v>30</v>
      </c>
      <c r="O2616" t="s">
        <v>36</v>
      </c>
      <c r="P2616">
        <v>0.78</v>
      </c>
      <c r="Q2616" s="2" t="b">
        <f>FALSE()</f>
        <v>0</v>
      </c>
      <c r="R2616">
        <v>0</v>
      </c>
    </row>
    <row r="2617" spans="1:18" x14ac:dyDescent="0.25">
      <c r="A2617">
        <v>202616</v>
      </c>
      <c r="B2617">
        <v>52066</v>
      </c>
      <c r="C2617" t="s">
        <v>34</v>
      </c>
      <c r="D2617">
        <v>516.80999999999995</v>
      </c>
      <c r="E2617">
        <v>1957</v>
      </c>
      <c r="F2617">
        <v>1</v>
      </c>
      <c r="G2617">
        <v>4</v>
      </c>
      <c r="H2617">
        <v>0</v>
      </c>
      <c r="I2617" t="s">
        <v>33</v>
      </c>
      <c r="J2617">
        <v>0</v>
      </c>
      <c r="K2617">
        <v>34</v>
      </c>
      <c r="L2617" t="s">
        <v>20</v>
      </c>
      <c r="M2617" t="s">
        <v>29</v>
      </c>
      <c r="N2617" t="s">
        <v>26</v>
      </c>
      <c r="O2617" t="s">
        <v>23</v>
      </c>
      <c r="P2617">
        <v>1.1599999999999999</v>
      </c>
      <c r="Q2617" s="2" t="b">
        <f>FALSE()</f>
        <v>0</v>
      </c>
      <c r="R2617">
        <v>0</v>
      </c>
    </row>
    <row r="2618" spans="1:18" x14ac:dyDescent="0.25">
      <c r="A2618">
        <v>202617</v>
      </c>
      <c r="B2618">
        <v>53532</v>
      </c>
      <c r="C2618" t="s">
        <v>34</v>
      </c>
      <c r="D2618">
        <v>5445.59</v>
      </c>
      <c r="E2618">
        <v>1232</v>
      </c>
      <c r="F2618">
        <v>1</v>
      </c>
      <c r="G2618">
        <v>2</v>
      </c>
      <c r="H2618">
        <v>0</v>
      </c>
      <c r="I2618" t="s">
        <v>33</v>
      </c>
      <c r="J2618">
        <v>0</v>
      </c>
      <c r="K2618">
        <v>60</v>
      </c>
      <c r="L2618" t="s">
        <v>20</v>
      </c>
      <c r="M2618" t="s">
        <v>31</v>
      </c>
      <c r="N2618" t="s">
        <v>26</v>
      </c>
      <c r="O2618" t="s">
        <v>36</v>
      </c>
      <c r="P2618">
        <v>1.62</v>
      </c>
      <c r="Q2618" s="2" t="b">
        <f>FALSE()</f>
        <v>0</v>
      </c>
      <c r="R2618">
        <v>1</v>
      </c>
    </row>
    <row r="2619" spans="1:18" x14ac:dyDescent="0.25">
      <c r="A2619">
        <v>202618</v>
      </c>
      <c r="B2619">
        <v>51203</v>
      </c>
      <c r="C2619" t="s">
        <v>18</v>
      </c>
      <c r="D2619">
        <v>1937.32</v>
      </c>
      <c r="E2619">
        <v>896</v>
      </c>
      <c r="F2619">
        <v>1</v>
      </c>
      <c r="G2619">
        <v>4</v>
      </c>
      <c r="H2619">
        <v>1</v>
      </c>
      <c r="I2619" t="s">
        <v>19</v>
      </c>
      <c r="J2619">
        <v>0</v>
      </c>
      <c r="K2619">
        <v>27</v>
      </c>
      <c r="L2619" t="s">
        <v>24</v>
      </c>
      <c r="M2619" t="s">
        <v>35</v>
      </c>
      <c r="N2619" t="s">
        <v>30</v>
      </c>
      <c r="O2619" t="s">
        <v>36</v>
      </c>
      <c r="P2619">
        <v>0.28000000000000003</v>
      </c>
      <c r="Q2619" s="2" t="b">
        <f>FALSE()</f>
        <v>0</v>
      </c>
      <c r="R2619">
        <v>0</v>
      </c>
    </row>
    <row r="2620" spans="1:18" x14ac:dyDescent="0.25">
      <c r="A2620">
        <v>202619</v>
      </c>
      <c r="B2620">
        <v>53768</v>
      </c>
      <c r="C2620" t="s">
        <v>18</v>
      </c>
      <c r="D2620">
        <v>2546.86</v>
      </c>
      <c r="E2620">
        <v>1914</v>
      </c>
      <c r="F2620">
        <v>1</v>
      </c>
      <c r="G2620">
        <v>3</v>
      </c>
      <c r="H2620">
        <v>0</v>
      </c>
      <c r="I2620" t="s">
        <v>19</v>
      </c>
      <c r="J2620">
        <v>0</v>
      </c>
      <c r="K2620">
        <v>39</v>
      </c>
      <c r="L2620" t="s">
        <v>24</v>
      </c>
      <c r="M2620" t="s">
        <v>37</v>
      </c>
      <c r="N2620" t="s">
        <v>22</v>
      </c>
      <c r="O2620" t="s">
        <v>23</v>
      </c>
      <c r="P2620">
        <v>8.8699999999999992</v>
      </c>
      <c r="Q2620" s="2" t="b">
        <f>FALSE()</f>
        <v>0</v>
      </c>
      <c r="R2620">
        <v>0</v>
      </c>
    </row>
    <row r="2621" spans="1:18" x14ac:dyDescent="0.25">
      <c r="A2621">
        <v>202620</v>
      </c>
      <c r="B2621">
        <v>52712</v>
      </c>
      <c r="C2621" t="s">
        <v>18</v>
      </c>
      <c r="D2621">
        <v>657.06</v>
      </c>
      <c r="E2621">
        <v>1390</v>
      </c>
      <c r="F2621">
        <v>1</v>
      </c>
      <c r="G2621">
        <v>7</v>
      </c>
      <c r="H2621">
        <v>1</v>
      </c>
      <c r="I2621" t="s">
        <v>33</v>
      </c>
      <c r="J2621">
        <v>0</v>
      </c>
      <c r="K2621">
        <v>71</v>
      </c>
      <c r="L2621" t="s">
        <v>24</v>
      </c>
      <c r="M2621" t="s">
        <v>21</v>
      </c>
      <c r="N2621" t="s">
        <v>26</v>
      </c>
      <c r="O2621" t="s">
        <v>36</v>
      </c>
      <c r="P2621">
        <v>2.12</v>
      </c>
      <c r="Q2621" s="2" t="b">
        <f>FALSE()</f>
        <v>0</v>
      </c>
      <c r="R2621">
        <v>1</v>
      </c>
    </row>
    <row r="2622" spans="1:18" x14ac:dyDescent="0.25">
      <c r="A2622">
        <v>202621</v>
      </c>
      <c r="B2622">
        <v>50523</v>
      </c>
      <c r="C2622" t="s">
        <v>34</v>
      </c>
      <c r="D2622">
        <v>1769.7</v>
      </c>
      <c r="E2622">
        <v>2252</v>
      </c>
      <c r="F2622">
        <v>0</v>
      </c>
      <c r="G2622">
        <v>2</v>
      </c>
      <c r="H2622">
        <v>1</v>
      </c>
      <c r="I2622" t="s">
        <v>33</v>
      </c>
      <c r="J2622">
        <v>0</v>
      </c>
      <c r="K2622">
        <v>43</v>
      </c>
      <c r="L2622" t="s">
        <v>24</v>
      </c>
      <c r="M2622" t="s">
        <v>21</v>
      </c>
      <c r="N2622" t="s">
        <v>22</v>
      </c>
      <c r="O2622" t="s">
        <v>27</v>
      </c>
      <c r="P2622">
        <v>0.06</v>
      </c>
      <c r="Q2622" s="2" t="b">
        <f>FALSE()</f>
        <v>0</v>
      </c>
      <c r="R2622">
        <v>0</v>
      </c>
    </row>
    <row r="2623" spans="1:18" x14ac:dyDescent="0.25">
      <c r="A2623">
        <v>202622</v>
      </c>
      <c r="B2623">
        <v>51225</v>
      </c>
      <c r="C2623" t="s">
        <v>18</v>
      </c>
      <c r="D2623">
        <v>1340.3</v>
      </c>
      <c r="E2623">
        <v>504</v>
      </c>
      <c r="F2623">
        <v>1</v>
      </c>
      <c r="G2623">
        <v>5</v>
      </c>
      <c r="H2623">
        <v>0</v>
      </c>
      <c r="I2623" t="s">
        <v>32</v>
      </c>
      <c r="J2623">
        <v>0</v>
      </c>
      <c r="K2623">
        <v>57</v>
      </c>
      <c r="L2623" t="s">
        <v>24</v>
      </c>
      <c r="M2623" t="s">
        <v>25</v>
      </c>
      <c r="N2623" t="s">
        <v>30</v>
      </c>
      <c r="O2623" t="s">
        <v>27</v>
      </c>
      <c r="P2623">
        <v>3.81</v>
      </c>
      <c r="Q2623" s="2" t="b">
        <f>FALSE()</f>
        <v>0</v>
      </c>
      <c r="R2623">
        <v>0</v>
      </c>
    </row>
    <row r="2624" spans="1:18" x14ac:dyDescent="0.25">
      <c r="A2624">
        <v>202623</v>
      </c>
      <c r="B2624">
        <v>55475</v>
      </c>
      <c r="C2624" t="s">
        <v>18</v>
      </c>
      <c r="D2624">
        <v>546.44000000000005</v>
      </c>
      <c r="E2624">
        <v>2431</v>
      </c>
      <c r="F2624">
        <v>2</v>
      </c>
      <c r="G2624">
        <v>4</v>
      </c>
      <c r="H2624">
        <v>0</v>
      </c>
      <c r="I2624" t="s">
        <v>19</v>
      </c>
      <c r="J2624">
        <v>0</v>
      </c>
      <c r="K2624">
        <v>50</v>
      </c>
      <c r="L2624" t="s">
        <v>24</v>
      </c>
      <c r="M2624" t="s">
        <v>21</v>
      </c>
      <c r="N2624" t="s">
        <v>30</v>
      </c>
      <c r="O2624" t="s">
        <v>23</v>
      </c>
      <c r="P2624">
        <v>1.0900000000000001</v>
      </c>
      <c r="Q2624" s="2" t="b">
        <f>FALSE()</f>
        <v>0</v>
      </c>
      <c r="R2624">
        <v>0</v>
      </c>
    </row>
    <row r="2625" spans="1:18" x14ac:dyDescent="0.25">
      <c r="A2625">
        <v>202624</v>
      </c>
      <c r="B2625">
        <v>50735</v>
      </c>
      <c r="C2625" t="s">
        <v>28</v>
      </c>
      <c r="D2625">
        <v>767.97</v>
      </c>
      <c r="E2625">
        <v>1738</v>
      </c>
      <c r="F2625">
        <v>1</v>
      </c>
      <c r="G2625">
        <v>4</v>
      </c>
      <c r="H2625">
        <v>0</v>
      </c>
      <c r="I2625" t="s">
        <v>33</v>
      </c>
      <c r="J2625">
        <v>0</v>
      </c>
      <c r="K2625">
        <v>18</v>
      </c>
      <c r="L2625" t="s">
        <v>38</v>
      </c>
      <c r="M2625" t="s">
        <v>31</v>
      </c>
      <c r="N2625" t="s">
        <v>22</v>
      </c>
      <c r="O2625" t="s">
        <v>27</v>
      </c>
      <c r="P2625">
        <v>3.14</v>
      </c>
      <c r="Q2625" s="2" t="b">
        <f>FALSE()</f>
        <v>0</v>
      </c>
      <c r="R2625">
        <v>0</v>
      </c>
    </row>
    <row r="2626" spans="1:18" x14ac:dyDescent="0.25">
      <c r="A2626">
        <v>202625</v>
      </c>
      <c r="B2626">
        <v>51870</v>
      </c>
      <c r="C2626" t="s">
        <v>34</v>
      </c>
      <c r="D2626">
        <v>3091.86</v>
      </c>
      <c r="E2626">
        <v>2079</v>
      </c>
      <c r="F2626">
        <v>1</v>
      </c>
      <c r="G2626">
        <v>2</v>
      </c>
      <c r="H2626">
        <v>1</v>
      </c>
      <c r="I2626" t="s">
        <v>19</v>
      </c>
      <c r="J2626">
        <v>1</v>
      </c>
      <c r="K2626">
        <v>79</v>
      </c>
      <c r="L2626" t="s">
        <v>20</v>
      </c>
      <c r="M2626" t="s">
        <v>31</v>
      </c>
      <c r="N2626" t="s">
        <v>26</v>
      </c>
      <c r="O2626" t="s">
        <v>36</v>
      </c>
      <c r="P2626">
        <v>4.75</v>
      </c>
      <c r="Q2626" s="2" t="b">
        <f>FALSE()</f>
        <v>0</v>
      </c>
      <c r="R2626">
        <v>0</v>
      </c>
    </row>
    <row r="2627" spans="1:18" x14ac:dyDescent="0.25">
      <c r="A2627">
        <v>202626</v>
      </c>
      <c r="B2627">
        <v>55094</v>
      </c>
      <c r="C2627" t="s">
        <v>34</v>
      </c>
      <c r="D2627">
        <v>1084.8399999999999</v>
      </c>
      <c r="E2627">
        <v>2126</v>
      </c>
      <c r="F2627">
        <v>2</v>
      </c>
      <c r="G2627">
        <v>5</v>
      </c>
      <c r="H2627">
        <v>0</v>
      </c>
      <c r="I2627" t="s">
        <v>33</v>
      </c>
      <c r="J2627">
        <v>0</v>
      </c>
      <c r="K2627">
        <v>46</v>
      </c>
      <c r="L2627" t="s">
        <v>20</v>
      </c>
      <c r="M2627" t="s">
        <v>37</v>
      </c>
      <c r="N2627" t="s">
        <v>30</v>
      </c>
      <c r="O2627" t="s">
        <v>27</v>
      </c>
      <c r="P2627">
        <v>2.31</v>
      </c>
      <c r="Q2627" s="2" t="b">
        <f>FALSE()</f>
        <v>0</v>
      </c>
      <c r="R2627">
        <v>0</v>
      </c>
    </row>
    <row r="2628" spans="1:18" x14ac:dyDescent="0.25">
      <c r="A2628">
        <v>202627</v>
      </c>
      <c r="B2628">
        <v>54573</v>
      </c>
      <c r="C2628" t="s">
        <v>18</v>
      </c>
      <c r="D2628">
        <v>1243.17</v>
      </c>
      <c r="E2628">
        <v>2819</v>
      </c>
      <c r="F2628">
        <v>3</v>
      </c>
      <c r="G2628">
        <v>4</v>
      </c>
      <c r="H2628">
        <v>0</v>
      </c>
      <c r="I2628" t="s">
        <v>33</v>
      </c>
      <c r="J2628">
        <v>0</v>
      </c>
      <c r="K2628">
        <v>82</v>
      </c>
      <c r="L2628" t="s">
        <v>20</v>
      </c>
      <c r="M2628" t="s">
        <v>37</v>
      </c>
      <c r="N2628" t="s">
        <v>26</v>
      </c>
      <c r="O2628" t="s">
        <v>27</v>
      </c>
      <c r="P2628">
        <v>5.63</v>
      </c>
      <c r="Q2628" s="2" t="b">
        <f>FALSE()</f>
        <v>0</v>
      </c>
      <c r="R2628">
        <v>1</v>
      </c>
    </row>
    <row r="2629" spans="1:18" x14ac:dyDescent="0.25">
      <c r="A2629">
        <v>202628</v>
      </c>
      <c r="B2629">
        <v>52058</v>
      </c>
      <c r="C2629" t="s">
        <v>34</v>
      </c>
      <c r="D2629">
        <v>655.23</v>
      </c>
      <c r="E2629">
        <v>459</v>
      </c>
      <c r="F2629">
        <v>0</v>
      </c>
      <c r="G2629">
        <v>5</v>
      </c>
      <c r="H2629">
        <v>1</v>
      </c>
      <c r="I2629" t="s">
        <v>19</v>
      </c>
      <c r="J2629">
        <v>0</v>
      </c>
      <c r="K2629">
        <v>48</v>
      </c>
      <c r="L2629" t="s">
        <v>20</v>
      </c>
      <c r="M2629" t="s">
        <v>29</v>
      </c>
      <c r="N2629" t="s">
        <v>26</v>
      </c>
      <c r="O2629" t="s">
        <v>36</v>
      </c>
      <c r="P2629">
        <v>1.55</v>
      </c>
      <c r="Q2629" s="2" t="b">
        <f>FALSE()</f>
        <v>0</v>
      </c>
      <c r="R2629">
        <v>0</v>
      </c>
    </row>
    <row r="2630" spans="1:18" x14ac:dyDescent="0.25">
      <c r="A2630">
        <v>202629</v>
      </c>
      <c r="B2630">
        <v>52956</v>
      </c>
      <c r="C2630" t="s">
        <v>34</v>
      </c>
      <c r="D2630">
        <v>6352.43</v>
      </c>
      <c r="E2630">
        <v>3469</v>
      </c>
      <c r="F2630">
        <v>0</v>
      </c>
      <c r="G2630">
        <v>10</v>
      </c>
      <c r="H2630">
        <v>0</v>
      </c>
      <c r="I2630" t="s">
        <v>33</v>
      </c>
      <c r="J2630">
        <v>0</v>
      </c>
      <c r="K2630">
        <v>65</v>
      </c>
      <c r="L2630" t="s">
        <v>24</v>
      </c>
      <c r="M2630" t="s">
        <v>31</v>
      </c>
      <c r="N2630" t="s">
        <v>30</v>
      </c>
      <c r="O2630" t="s">
        <v>27</v>
      </c>
      <c r="P2630">
        <v>0.19</v>
      </c>
      <c r="Q2630" s="2" t="b">
        <f>FALSE()</f>
        <v>0</v>
      </c>
      <c r="R2630">
        <v>1</v>
      </c>
    </row>
    <row r="2631" spans="1:18" x14ac:dyDescent="0.25">
      <c r="A2631">
        <v>202630</v>
      </c>
      <c r="B2631">
        <v>53504</v>
      </c>
      <c r="C2631" t="s">
        <v>34</v>
      </c>
      <c r="D2631">
        <v>908.77</v>
      </c>
      <c r="E2631">
        <v>561</v>
      </c>
      <c r="F2631">
        <v>2</v>
      </c>
      <c r="G2631">
        <v>2</v>
      </c>
      <c r="H2631">
        <v>0</v>
      </c>
      <c r="I2631" t="s">
        <v>19</v>
      </c>
      <c r="J2631">
        <v>0</v>
      </c>
      <c r="K2631">
        <v>76</v>
      </c>
      <c r="L2631" t="s">
        <v>38</v>
      </c>
      <c r="M2631" t="s">
        <v>21</v>
      </c>
      <c r="N2631" t="s">
        <v>26</v>
      </c>
      <c r="O2631" t="s">
        <v>27</v>
      </c>
      <c r="P2631">
        <v>15.59</v>
      </c>
      <c r="Q2631" s="2" t="b">
        <f>FALSE()</f>
        <v>0</v>
      </c>
      <c r="R2631">
        <v>0</v>
      </c>
    </row>
    <row r="2632" spans="1:18" x14ac:dyDescent="0.25">
      <c r="A2632">
        <v>202631</v>
      </c>
      <c r="B2632">
        <v>52499</v>
      </c>
      <c r="C2632" t="s">
        <v>34</v>
      </c>
      <c r="D2632">
        <v>2825.49</v>
      </c>
      <c r="E2632">
        <v>3012</v>
      </c>
      <c r="F2632">
        <v>1</v>
      </c>
      <c r="G2632">
        <v>5</v>
      </c>
      <c r="H2632">
        <v>0</v>
      </c>
      <c r="I2632" t="s">
        <v>33</v>
      </c>
      <c r="J2632">
        <v>0</v>
      </c>
      <c r="K2632">
        <v>20</v>
      </c>
      <c r="L2632" t="s">
        <v>24</v>
      </c>
      <c r="M2632" t="s">
        <v>21</v>
      </c>
      <c r="N2632" t="s">
        <v>26</v>
      </c>
      <c r="O2632" t="s">
        <v>27</v>
      </c>
      <c r="P2632">
        <v>3.87</v>
      </c>
      <c r="Q2632" s="2" t="b">
        <f>FALSE()</f>
        <v>0</v>
      </c>
      <c r="R2632">
        <v>0</v>
      </c>
    </row>
    <row r="2633" spans="1:18" x14ac:dyDescent="0.25">
      <c r="A2633">
        <v>202632</v>
      </c>
      <c r="B2633">
        <v>51056</v>
      </c>
      <c r="C2633" t="s">
        <v>28</v>
      </c>
      <c r="D2633">
        <v>1476.78</v>
      </c>
      <c r="E2633">
        <v>1181</v>
      </c>
      <c r="F2633">
        <v>2</v>
      </c>
      <c r="G2633">
        <v>4</v>
      </c>
      <c r="H2633">
        <v>0</v>
      </c>
      <c r="I2633" t="s">
        <v>19</v>
      </c>
      <c r="J2633">
        <v>0</v>
      </c>
      <c r="K2633">
        <v>41</v>
      </c>
      <c r="L2633" t="s">
        <v>20</v>
      </c>
      <c r="M2633" t="s">
        <v>37</v>
      </c>
      <c r="N2633" t="s">
        <v>22</v>
      </c>
      <c r="O2633" t="s">
        <v>23</v>
      </c>
      <c r="P2633">
        <v>2.17</v>
      </c>
      <c r="Q2633" s="2" t="b">
        <f>FALSE()</f>
        <v>0</v>
      </c>
      <c r="R2633">
        <v>0</v>
      </c>
    </row>
    <row r="2634" spans="1:18" x14ac:dyDescent="0.25">
      <c r="A2634">
        <v>202633</v>
      </c>
      <c r="B2634">
        <v>51846</v>
      </c>
      <c r="C2634" t="s">
        <v>28</v>
      </c>
      <c r="D2634">
        <v>925.09</v>
      </c>
      <c r="E2634">
        <v>2557</v>
      </c>
      <c r="F2634">
        <v>0</v>
      </c>
      <c r="G2634">
        <v>2</v>
      </c>
      <c r="H2634">
        <v>0</v>
      </c>
      <c r="I2634" t="s">
        <v>19</v>
      </c>
      <c r="J2634">
        <v>0</v>
      </c>
      <c r="K2634">
        <v>50</v>
      </c>
      <c r="L2634" t="s">
        <v>24</v>
      </c>
      <c r="M2634" t="s">
        <v>29</v>
      </c>
      <c r="N2634" t="s">
        <v>22</v>
      </c>
      <c r="O2634" t="s">
        <v>36</v>
      </c>
      <c r="P2634">
        <v>1.47</v>
      </c>
      <c r="Q2634" s="2" t="b">
        <f>FALSE()</f>
        <v>0</v>
      </c>
      <c r="R2634">
        <v>0</v>
      </c>
    </row>
    <row r="2635" spans="1:18" x14ac:dyDescent="0.25">
      <c r="A2635">
        <v>202634</v>
      </c>
      <c r="B2635">
        <v>55575</v>
      </c>
      <c r="C2635" t="s">
        <v>18</v>
      </c>
      <c r="D2635">
        <v>3569.5</v>
      </c>
      <c r="E2635">
        <v>1034</v>
      </c>
      <c r="F2635">
        <v>1</v>
      </c>
      <c r="G2635">
        <v>6</v>
      </c>
      <c r="H2635">
        <v>0</v>
      </c>
      <c r="I2635" t="s">
        <v>19</v>
      </c>
      <c r="J2635">
        <v>0</v>
      </c>
      <c r="K2635">
        <v>84</v>
      </c>
      <c r="L2635" t="s">
        <v>20</v>
      </c>
      <c r="M2635" t="s">
        <v>29</v>
      </c>
      <c r="N2635" t="s">
        <v>22</v>
      </c>
      <c r="O2635" t="s">
        <v>27</v>
      </c>
      <c r="P2635">
        <v>10.51</v>
      </c>
      <c r="Q2635" s="2" t="b">
        <f>FALSE()</f>
        <v>0</v>
      </c>
      <c r="R2635">
        <v>0</v>
      </c>
    </row>
    <row r="2636" spans="1:18" x14ac:dyDescent="0.25">
      <c r="A2636">
        <v>202635</v>
      </c>
      <c r="B2636">
        <v>50723</v>
      </c>
      <c r="C2636" t="s">
        <v>18</v>
      </c>
      <c r="D2636">
        <v>6810.2</v>
      </c>
      <c r="E2636">
        <v>2820</v>
      </c>
      <c r="F2636">
        <v>0</v>
      </c>
      <c r="G2636">
        <v>1</v>
      </c>
      <c r="H2636">
        <v>0</v>
      </c>
      <c r="I2636" t="s">
        <v>19</v>
      </c>
      <c r="J2636">
        <v>0</v>
      </c>
      <c r="K2636">
        <v>81</v>
      </c>
      <c r="L2636" t="s">
        <v>24</v>
      </c>
      <c r="M2636" t="s">
        <v>21</v>
      </c>
      <c r="N2636" t="s">
        <v>26</v>
      </c>
      <c r="O2636" t="s">
        <v>36</v>
      </c>
      <c r="P2636">
        <v>4.9800000000000004</v>
      </c>
      <c r="Q2636" s="2" t="b">
        <f>FALSE()</f>
        <v>0</v>
      </c>
      <c r="R2636">
        <v>1</v>
      </c>
    </row>
    <row r="2637" spans="1:18" x14ac:dyDescent="0.25">
      <c r="A2637">
        <v>202636</v>
      </c>
      <c r="B2637">
        <v>51792</v>
      </c>
      <c r="C2637" t="s">
        <v>28</v>
      </c>
      <c r="D2637">
        <v>3458.14</v>
      </c>
      <c r="E2637">
        <v>2465</v>
      </c>
      <c r="F2637">
        <v>2</v>
      </c>
      <c r="G2637">
        <v>6</v>
      </c>
      <c r="H2637">
        <v>0</v>
      </c>
      <c r="I2637" t="s">
        <v>32</v>
      </c>
      <c r="J2637">
        <v>0</v>
      </c>
      <c r="K2637">
        <v>71</v>
      </c>
      <c r="L2637" t="s">
        <v>24</v>
      </c>
      <c r="M2637" t="s">
        <v>35</v>
      </c>
      <c r="N2637" t="s">
        <v>30</v>
      </c>
      <c r="O2637" t="s">
        <v>27</v>
      </c>
      <c r="P2637">
        <v>3.7</v>
      </c>
      <c r="Q2637" s="2" t="b">
        <f>FALSE()</f>
        <v>0</v>
      </c>
      <c r="R2637">
        <v>0</v>
      </c>
    </row>
    <row r="2638" spans="1:18" x14ac:dyDescent="0.25">
      <c r="A2638">
        <v>202637</v>
      </c>
      <c r="B2638">
        <v>52874</v>
      </c>
      <c r="C2638" t="s">
        <v>34</v>
      </c>
      <c r="D2638">
        <v>1048.42</v>
      </c>
      <c r="E2638">
        <v>3335</v>
      </c>
      <c r="F2638">
        <v>0</v>
      </c>
      <c r="G2638">
        <v>1</v>
      </c>
      <c r="H2638">
        <v>0</v>
      </c>
      <c r="I2638" t="s">
        <v>33</v>
      </c>
      <c r="J2638">
        <v>0</v>
      </c>
      <c r="K2638">
        <v>29</v>
      </c>
      <c r="L2638" t="s">
        <v>24</v>
      </c>
      <c r="M2638" t="s">
        <v>29</v>
      </c>
      <c r="N2638" t="s">
        <v>22</v>
      </c>
      <c r="O2638" t="s">
        <v>27</v>
      </c>
      <c r="P2638">
        <v>0.77</v>
      </c>
      <c r="Q2638" s="2" t="b">
        <f>FALSE()</f>
        <v>0</v>
      </c>
      <c r="R2638">
        <v>0</v>
      </c>
    </row>
    <row r="2639" spans="1:18" x14ac:dyDescent="0.25">
      <c r="A2639">
        <v>202638</v>
      </c>
      <c r="B2639">
        <v>50469</v>
      </c>
      <c r="C2639" t="s">
        <v>18</v>
      </c>
      <c r="D2639">
        <v>3942.85</v>
      </c>
      <c r="E2639">
        <v>57</v>
      </c>
      <c r="F2639">
        <v>2</v>
      </c>
      <c r="G2639">
        <v>7</v>
      </c>
      <c r="H2639">
        <v>0</v>
      </c>
      <c r="I2639" t="s">
        <v>19</v>
      </c>
      <c r="J2639">
        <v>1</v>
      </c>
      <c r="K2639">
        <v>79</v>
      </c>
      <c r="L2639" t="s">
        <v>24</v>
      </c>
      <c r="M2639" t="s">
        <v>25</v>
      </c>
      <c r="N2639" t="s">
        <v>26</v>
      </c>
      <c r="O2639" t="s">
        <v>36</v>
      </c>
      <c r="P2639">
        <v>2.4300000000000002</v>
      </c>
      <c r="Q2639" s="2" t="b">
        <f>FALSE()</f>
        <v>0</v>
      </c>
      <c r="R2639">
        <v>1</v>
      </c>
    </row>
    <row r="2640" spans="1:18" x14ac:dyDescent="0.25">
      <c r="A2640">
        <v>202639</v>
      </c>
      <c r="B2640">
        <v>50423</v>
      </c>
      <c r="C2640" t="s">
        <v>34</v>
      </c>
      <c r="D2640">
        <v>4005.55</v>
      </c>
      <c r="E2640">
        <v>3133</v>
      </c>
      <c r="F2640">
        <v>0</v>
      </c>
      <c r="G2640">
        <v>3</v>
      </c>
      <c r="H2640">
        <v>0</v>
      </c>
      <c r="I2640" t="s">
        <v>33</v>
      </c>
      <c r="J2640">
        <v>0</v>
      </c>
      <c r="K2640">
        <v>59</v>
      </c>
      <c r="L2640" t="s">
        <v>20</v>
      </c>
      <c r="M2640" t="s">
        <v>31</v>
      </c>
      <c r="N2640" t="s">
        <v>22</v>
      </c>
      <c r="O2640" t="s">
        <v>23</v>
      </c>
      <c r="P2640">
        <v>2.86</v>
      </c>
      <c r="Q2640" s="2" t="b">
        <f>FALSE()</f>
        <v>0</v>
      </c>
      <c r="R2640">
        <v>1</v>
      </c>
    </row>
    <row r="2641" spans="1:18" x14ac:dyDescent="0.25">
      <c r="A2641">
        <v>202640</v>
      </c>
      <c r="B2641">
        <v>50520</v>
      </c>
      <c r="C2641" t="s">
        <v>34</v>
      </c>
      <c r="D2641">
        <v>1229.32</v>
      </c>
      <c r="E2641">
        <v>495</v>
      </c>
      <c r="F2641">
        <v>1</v>
      </c>
      <c r="G2641">
        <v>8</v>
      </c>
      <c r="H2641">
        <v>1</v>
      </c>
      <c r="I2641" t="s">
        <v>33</v>
      </c>
      <c r="J2641">
        <v>0</v>
      </c>
      <c r="K2641">
        <v>46</v>
      </c>
      <c r="L2641" t="s">
        <v>20</v>
      </c>
      <c r="M2641" t="s">
        <v>37</v>
      </c>
      <c r="N2641" t="s">
        <v>22</v>
      </c>
      <c r="O2641" t="s">
        <v>27</v>
      </c>
      <c r="P2641">
        <v>4.1500000000000004</v>
      </c>
      <c r="Q2641" s="2" t="b">
        <f>FALSE()</f>
        <v>0</v>
      </c>
      <c r="R2641">
        <v>1</v>
      </c>
    </row>
    <row r="2642" spans="1:18" x14ac:dyDescent="0.25">
      <c r="A2642">
        <v>202641</v>
      </c>
      <c r="B2642">
        <v>51519</v>
      </c>
      <c r="C2642" t="s">
        <v>18</v>
      </c>
      <c r="D2642">
        <v>1746.63</v>
      </c>
      <c r="E2642">
        <v>710</v>
      </c>
      <c r="F2642">
        <v>2</v>
      </c>
      <c r="G2642">
        <v>5</v>
      </c>
      <c r="H2642">
        <v>0</v>
      </c>
      <c r="I2642" t="s">
        <v>32</v>
      </c>
      <c r="J2642">
        <v>0</v>
      </c>
      <c r="K2642">
        <v>69</v>
      </c>
      <c r="L2642" t="s">
        <v>20</v>
      </c>
      <c r="M2642" t="s">
        <v>21</v>
      </c>
      <c r="N2642" t="s">
        <v>30</v>
      </c>
      <c r="O2642" t="s">
        <v>23</v>
      </c>
      <c r="P2642">
        <v>0.26</v>
      </c>
      <c r="Q2642" s="2" t="b">
        <f>FALSE()</f>
        <v>0</v>
      </c>
      <c r="R2642">
        <v>0</v>
      </c>
    </row>
    <row r="2643" spans="1:18" x14ac:dyDescent="0.25">
      <c r="A2643">
        <v>202642</v>
      </c>
      <c r="B2643">
        <v>52327</v>
      </c>
      <c r="C2643" t="s">
        <v>28</v>
      </c>
      <c r="D2643">
        <v>3223.72</v>
      </c>
      <c r="E2643">
        <v>3532</v>
      </c>
      <c r="F2643">
        <v>0</v>
      </c>
      <c r="G2643">
        <v>5</v>
      </c>
      <c r="H2643">
        <v>0</v>
      </c>
      <c r="I2643" t="s">
        <v>33</v>
      </c>
      <c r="J2643">
        <v>0</v>
      </c>
      <c r="K2643">
        <v>78</v>
      </c>
      <c r="L2643" t="s">
        <v>24</v>
      </c>
      <c r="M2643" t="s">
        <v>31</v>
      </c>
      <c r="N2643" t="s">
        <v>30</v>
      </c>
      <c r="O2643" t="s">
        <v>36</v>
      </c>
      <c r="P2643">
        <v>0.56999999999999995</v>
      </c>
      <c r="Q2643" s="2" t="b">
        <f>FALSE()</f>
        <v>0</v>
      </c>
      <c r="R2643">
        <v>0</v>
      </c>
    </row>
    <row r="2644" spans="1:18" x14ac:dyDescent="0.25">
      <c r="A2644">
        <v>202643</v>
      </c>
      <c r="B2644">
        <v>52138</v>
      </c>
      <c r="C2644" t="s">
        <v>18</v>
      </c>
      <c r="D2644">
        <v>5580.97</v>
      </c>
      <c r="E2644">
        <v>532</v>
      </c>
      <c r="F2644">
        <v>0</v>
      </c>
      <c r="G2644">
        <v>4</v>
      </c>
      <c r="H2644">
        <v>0</v>
      </c>
      <c r="I2644" t="s">
        <v>33</v>
      </c>
      <c r="J2644">
        <v>0</v>
      </c>
      <c r="K2644">
        <v>69</v>
      </c>
      <c r="L2644" t="s">
        <v>24</v>
      </c>
      <c r="M2644" t="s">
        <v>29</v>
      </c>
      <c r="N2644" t="s">
        <v>22</v>
      </c>
      <c r="O2644" t="s">
        <v>27</v>
      </c>
      <c r="P2644">
        <v>2.5</v>
      </c>
      <c r="Q2644" s="2" t="b">
        <f>FALSE()</f>
        <v>0</v>
      </c>
      <c r="R2644">
        <v>1</v>
      </c>
    </row>
    <row r="2645" spans="1:18" x14ac:dyDescent="0.25">
      <c r="A2645">
        <v>202644</v>
      </c>
      <c r="B2645">
        <v>52391</v>
      </c>
      <c r="C2645" t="s">
        <v>18</v>
      </c>
      <c r="D2645">
        <v>3801.03</v>
      </c>
      <c r="E2645">
        <v>61</v>
      </c>
      <c r="F2645">
        <v>2</v>
      </c>
      <c r="G2645">
        <v>5</v>
      </c>
      <c r="H2645">
        <v>0</v>
      </c>
      <c r="I2645" t="s">
        <v>19</v>
      </c>
      <c r="J2645">
        <v>0</v>
      </c>
      <c r="K2645">
        <v>21</v>
      </c>
      <c r="L2645" t="s">
        <v>24</v>
      </c>
      <c r="M2645" t="s">
        <v>21</v>
      </c>
      <c r="N2645" t="s">
        <v>26</v>
      </c>
      <c r="O2645" t="s">
        <v>27</v>
      </c>
      <c r="P2645">
        <v>7.7</v>
      </c>
      <c r="Q2645" s="2" t="b">
        <f>FALSE()</f>
        <v>0</v>
      </c>
      <c r="R2645">
        <v>1</v>
      </c>
    </row>
    <row r="2646" spans="1:18" x14ac:dyDescent="0.25">
      <c r="A2646">
        <v>202645</v>
      </c>
      <c r="B2646">
        <v>53006</v>
      </c>
      <c r="C2646" t="s">
        <v>28</v>
      </c>
      <c r="D2646">
        <v>2962.37</v>
      </c>
      <c r="E2646">
        <v>2539</v>
      </c>
      <c r="F2646">
        <v>1</v>
      </c>
      <c r="G2646">
        <v>2</v>
      </c>
      <c r="H2646">
        <v>0</v>
      </c>
      <c r="I2646" t="s">
        <v>32</v>
      </c>
      <c r="J2646">
        <v>1</v>
      </c>
      <c r="K2646">
        <v>70</v>
      </c>
      <c r="L2646" t="s">
        <v>24</v>
      </c>
      <c r="M2646" t="s">
        <v>35</v>
      </c>
      <c r="N2646" t="s">
        <v>30</v>
      </c>
      <c r="O2646" t="s">
        <v>23</v>
      </c>
      <c r="P2646">
        <v>0.95</v>
      </c>
      <c r="Q2646" s="2" t="b">
        <f>FALSE()</f>
        <v>0</v>
      </c>
      <c r="R2646">
        <v>0</v>
      </c>
    </row>
    <row r="2647" spans="1:18" x14ac:dyDescent="0.25">
      <c r="A2647">
        <v>202646</v>
      </c>
      <c r="B2647">
        <v>53609</v>
      </c>
      <c r="C2647" t="s">
        <v>18</v>
      </c>
      <c r="D2647">
        <v>5556.97</v>
      </c>
      <c r="E2647">
        <v>3479</v>
      </c>
      <c r="F2647">
        <v>0</v>
      </c>
      <c r="G2647">
        <v>5</v>
      </c>
      <c r="H2647">
        <v>0</v>
      </c>
      <c r="I2647" t="s">
        <v>33</v>
      </c>
      <c r="J2647">
        <v>0</v>
      </c>
      <c r="K2647">
        <v>23</v>
      </c>
      <c r="L2647" t="s">
        <v>24</v>
      </c>
      <c r="M2647" t="s">
        <v>31</v>
      </c>
      <c r="N2647" t="s">
        <v>22</v>
      </c>
      <c r="O2647" t="s">
        <v>27</v>
      </c>
      <c r="P2647">
        <v>2.73</v>
      </c>
      <c r="Q2647" s="2" t="b">
        <f>FALSE()</f>
        <v>0</v>
      </c>
      <c r="R2647">
        <v>1</v>
      </c>
    </row>
    <row r="2648" spans="1:18" x14ac:dyDescent="0.25">
      <c r="A2648">
        <v>202647</v>
      </c>
      <c r="B2648">
        <v>51461</v>
      </c>
      <c r="C2648" t="s">
        <v>18</v>
      </c>
      <c r="D2648">
        <v>1974.62</v>
      </c>
      <c r="E2648">
        <v>417</v>
      </c>
      <c r="F2648">
        <v>1</v>
      </c>
      <c r="G2648">
        <v>3</v>
      </c>
      <c r="H2648">
        <v>0</v>
      </c>
      <c r="I2648" t="s">
        <v>33</v>
      </c>
      <c r="J2648">
        <v>0</v>
      </c>
      <c r="K2648">
        <v>47</v>
      </c>
      <c r="L2648" t="s">
        <v>20</v>
      </c>
      <c r="M2648" t="s">
        <v>29</v>
      </c>
      <c r="N2648" t="s">
        <v>26</v>
      </c>
      <c r="O2648" t="s">
        <v>27</v>
      </c>
      <c r="P2648">
        <v>0.99</v>
      </c>
      <c r="Q2648" s="2" t="b">
        <f>FALSE()</f>
        <v>0</v>
      </c>
      <c r="R2648">
        <v>0</v>
      </c>
    </row>
    <row r="2649" spans="1:18" x14ac:dyDescent="0.25">
      <c r="A2649">
        <v>202648</v>
      </c>
      <c r="B2649">
        <v>50727</v>
      </c>
      <c r="C2649" t="s">
        <v>18</v>
      </c>
      <c r="D2649">
        <v>2289.69</v>
      </c>
      <c r="E2649">
        <v>2057</v>
      </c>
      <c r="F2649">
        <v>1</v>
      </c>
      <c r="G2649">
        <v>2</v>
      </c>
      <c r="H2649">
        <v>1</v>
      </c>
      <c r="I2649" t="s">
        <v>32</v>
      </c>
      <c r="J2649">
        <v>0</v>
      </c>
      <c r="K2649">
        <v>80</v>
      </c>
      <c r="L2649" t="s">
        <v>20</v>
      </c>
      <c r="M2649" t="s">
        <v>37</v>
      </c>
      <c r="N2649" t="s">
        <v>22</v>
      </c>
      <c r="O2649" t="s">
        <v>27</v>
      </c>
      <c r="P2649">
        <v>12.02</v>
      </c>
      <c r="Q2649" s="2" t="b">
        <f>FALSE()</f>
        <v>0</v>
      </c>
      <c r="R2649">
        <v>0</v>
      </c>
    </row>
    <row r="2650" spans="1:18" x14ac:dyDescent="0.25">
      <c r="A2650">
        <v>202649</v>
      </c>
      <c r="B2650">
        <v>53321</v>
      </c>
      <c r="C2650" t="s">
        <v>18</v>
      </c>
      <c r="D2650">
        <v>917.98</v>
      </c>
      <c r="E2650">
        <v>485</v>
      </c>
      <c r="F2650">
        <v>2</v>
      </c>
      <c r="G2650">
        <v>4</v>
      </c>
      <c r="H2650">
        <v>1</v>
      </c>
      <c r="I2650" t="s">
        <v>19</v>
      </c>
      <c r="J2650">
        <v>1</v>
      </c>
      <c r="K2650">
        <v>53</v>
      </c>
      <c r="L2650" t="s">
        <v>20</v>
      </c>
      <c r="M2650" t="s">
        <v>35</v>
      </c>
      <c r="N2650" t="s">
        <v>22</v>
      </c>
      <c r="O2650" t="s">
        <v>23</v>
      </c>
      <c r="P2650">
        <v>2.69</v>
      </c>
      <c r="Q2650" s="2" t="b">
        <f>FALSE()</f>
        <v>0</v>
      </c>
      <c r="R2650">
        <v>0</v>
      </c>
    </row>
    <row r="2651" spans="1:18" x14ac:dyDescent="0.25">
      <c r="A2651">
        <v>202650</v>
      </c>
      <c r="B2651">
        <v>53679</v>
      </c>
      <c r="C2651" t="s">
        <v>18</v>
      </c>
      <c r="D2651">
        <v>1934.04</v>
      </c>
      <c r="E2651">
        <v>878</v>
      </c>
      <c r="F2651">
        <v>1</v>
      </c>
      <c r="G2651">
        <v>5</v>
      </c>
      <c r="H2651">
        <v>0</v>
      </c>
      <c r="I2651" t="s">
        <v>33</v>
      </c>
      <c r="J2651">
        <v>0</v>
      </c>
      <c r="K2651">
        <v>84</v>
      </c>
      <c r="L2651" t="s">
        <v>20</v>
      </c>
      <c r="M2651" t="s">
        <v>21</v>
      </c>
      <c r="N2651" t="s">
        <v>26</v>
      </c>
      <c r="O2651" t="s">
        <v>27</v>
      </c>
      <c r="P2651">
        <v>1.72</v>
      </c>
      <c r="Q2651" s="2" t="b">
        <f>FALSE()</f>
        <v>0</v>
      </c>
      <c r="R2651">
        <v>0</v>
      </c>
    </row>
    <row r="2652" spans="1:18" x14ac:dyDescent="0.25">
      <c r="A2652">
        <v>202651</v>
      </c>
      <c r="B2652">
        <v>52274</v>
      </c>
      <c r="C2652" t="s">
        <v>18</v>
      </c>
      <c r="D2652">
        <v>2197.2199999999998</v>
      </c>
      <c r="E2652">
        <v>1967</v>
      </c>
      <c r="F2652">
        <v>0</v>
      </c>
      <c r="G2652">
        <v>2</v>
      </c>
      <c r="H2652">
        <v>0</v>
      </c>
      <c r="I2652" t="s">
        <v>32</v>
      </c>
      <c r="J2652">
        <v>0</v>
      </c>
      <c r="K2652">
        <v>72</v>
      </c>
      <c r="L2652" t="s">
        <v>20</v>
      </c>
      <c r="M2652" t="s">
        <v>35</v>
      </c>
      <c r="N2652" t="s">
        <v>30</v>
      </c>
      <c r="O2652" t="s">
        <v>27</v>
      </c>
      <c r="P2652">
        <v>0.7</v>
      </c>
      <c r="Q2652" s="2" t="b">
        <f>FALSE()</f>
        <v>0</v>
      </c>
      <c r="R2652">
        <v>0</v>
      </c>
    </row>
    <row r="2653" spans="1:18" x14ac:dyDescent="0.25">
      <c r="A2653">
        <v>202652</v>
      </c>
      <c r="B2653">
        <v>53904</v>
      </c>
      <c r="C2653" t="s">
        <v>18</v>
      </c>
      <c r="D2653">
        <v>207.94</v>
      </c>
      <c r="E2653">
        <v>1400</v>
      </c>
      <c r="F2653">
        <v>1</v>
      </c>
      <c r="G2653">
        <v>3</v>
      </c>
      <c r="H2653">
        <v>1</v>
      </c>
      <c r="I2653" t="s">
        <v>19</v>
      </c>
      <c r="J2653">
        <v>0</v>
      </c>
      <c r="K2653">
        <v>76</v>
      </c>
      <c r="L2653" t="s">
        <v>20</v>
      </c>
      <c r="M2653" t="s">
        <v>31</v>
      </c>
      <c r="N2653" t="s">
        <v>22</v>
      </c>
      <c r="O2653" t="s">
        <v>36</v>
      </c>
      <c r="P2653">
        <v>5.88</v>
      </c>
      <c r="Q2653" s="2" t="b">
        <f>FALSE()</f>
        <v>0</v>
      </c>
      <c r="R2653">
        <v>0</v>
      </c>
    </row>
    <row r="2654" spans="1:18" x14ac:dyDescent="0.25">
      <c r="A2654">
        <v>202653</v>
      </c>
      <c r="B2654">
        <v>50284</v>
      </c>
      <c r="C2654" t="s">
        <v>18</v>
      </c>
      <c r="D2654">
        <v>2329.36</v>
      </c>
      <c r="E2654">
        <v>3097</v>
      </c>
      <c r="F2654">
        <v>1</v>
      </c>
      <c r="G2654">
        <v>4</v>
      </c>
      <c r="H2654">
        <v>0</v>
      </c>
      <c r="I2654" t="s">
        <v>19</v>
      </c>
      <c r="J2654">
        <v>0</v>
      </c>
      <c r="K2654">
        <v>37</v>
      </c>
      <c r="L2654" t="s">
        <v>24</v>
      </c>
      <c r="M2654" t="s">
        <v>29</v>
      </c>
      <c r="N2654" t="s">
        <v>30</v>
      </c>
      <c r="O2654" t="s">
        <v>36</v>
      </c>
      <c r="P2654">
        <v>1.57</v>
      </c>
      <c r="Q2654" s="2" t="b">
        <f>FALSE()</f>
        <v>0</v>
      </c>
      <c r="R2654">
        <v>0</v>
      </c>
    </row>
    <row r="2655" spans="1:18" x14ac:dyDescent="0.25">
      <c r="A2655">
        <v>202654</v>
      </c>
      <c r="B2655">
        <v>55041</v>
      </c>
      <c r="C2655" t="s">
        <v>18</v>
      </c>
      <c r="D2655">
        <v>810.29</v>
      </c>
      <c r="E2655">
        <v>1783</v>
      </c>
      <c r="F2655">
        <v>2</v>
      </c>
      <c r="G2655">
        <v>3</v>
      </c>
      <c r="H2655">
        <v>1</v>
      </c>
      <c r="I2655" t="s">
        <v>33</v>
      </c>
      <c r="J2655">
        <v>0</v>
      </c>
      <c r="K2655">
        <v>81</v>
      </c>
      <c r="L2655" t="s">
        <v>24</v>
      </c>
      <c r="M2655" t="s">
        <v>25</v>
      </c>
      <c r="N2655" t="s">
        <v>26</v>
      </c>
      <c r="O2655" t="s">
        <v>27</v>
      </c>
      <c r="P2655">
        <v>3.16</v>
      </c>
      <c r="Q2655" s="2" t="b">
        <f>FALSE()</f>
        <v>0</v>
      </c>
      <c r="R2655">
        <v>0</v>
      </c>
    </row>
    <row r="2656" spans="1:18" x14ac:dyDescent="0.25">
      <c r="A2656">
        <v>202655</v>
      </c>
      <c r="B2656">
        <v>51526</v>
      </c>
      <c r="C2656" t="s">
        <v>28</v>
      </c>
      <c r="D2656">
        <v>4682.2700000000004</v>
      </c>
      <c r="E2656">
        <v>3027</v>
      </c>
      <c r="F2656">
        <v>2</v>
      </c>
      <c r="G2656">
        <v>5</v>
      </c>
      <c r="H2656">
        <v>0</v>
      </c>
      <c r="I2656" t="s">
        <v>33</v>
      </c>
      <c r="J2656">
        <v>0</v>
      </c>
      <c r="K2656">
        <v>47</v>
      </c>
      <c r="L2656" t="s">
        <v>20</v>
      </c>
      <c r="M2656" t="s">
        <v>25</v>
      </c>
      <c r="N2656" t="s">
        <v>26</v>
      </c>
      <c r="O2656" t="s">
        <v>36</v>
      </c>
      <c r="P2656">
        <v>3.99</v>
      </c>
      <c r="Q2656" s="2" t="b">
        <f>FALSE()</f>
        <v>0</v>
      </c>
      <c r="R2656">
        <v>1</v>
      </c>
    </row>
    <row r="2657" spans="1:18" x14ac:dyDescent="0.25">
      <c r="A2657">
        <v>202656</v>
      </c>
      <c r="B2657">
        <v>55268</v>
      </c>
      <c r="C2657" t="s">
        <v>18</v>
      </c>
      <c r="D2657">
        <v>3502.8</v>
      </c>
      <c r="E2657">
        <v>1570</v>
      </c>
      <c r="F2657">
        <v>0</v>
      </c>
      <c r="G2657">
        <v>3</v>
      </c>
      <c r="H2657">
        <v>0</v>
      </c>
      <c r="I2657" t="s">
        <v>33</v>
      </c>
      <c r="J2657">
        <v>0</v>
      </c>
      <c r="K2657">
        <v>67</v>
      </c>
      <c r="L2657" t="s">
        <v>24</v>
      </c>
      <c r="M2657" t="s">
        <v>29</v>
      </c>
      <c r="N2657" t="s">
        <v>26</v>
      </c>
      <c r="O2657" t="s">
        <v>27</v>
      </c>
      <c r="P2657">
        <v>0.87</v>
      </c>
      <c r="Q2657" s="2" t="b">
        <f>FALSE()</f>
        <v>0</v>
      </c>
      <c r="R2657">
        <v>0</v>
      </c>
    </row>
    <row r="2658" spans="1:18" x14ac:dyDescent="0.25">
      <c r="A2658">
        <v>202657</v>
      </c>
      <c r="B2658">
        <v>55561</v>
      </c>
      <c r="C2658" t="s">
        <v>34</v>
      </c>
      <c r="D2658">
        <v>3928.93</v>
      </c>
      <c r="E2658">
        <v>2951</v>
      </c>
      <c r="F2658">
        <v>2</v>
      </c>
      <c r="G2658">
        <v>2</v>
      </c>
      <c r="H2658">
        <v>0</v>
      </c>
      <c r="I2658" t="s">
        <v>33</v>
      </c>
      <c r="J2658">
        <v>1</v>
      </c>
      <c r="K2658">
        <v>56</v>
      </c>
      <c r="L2658" t="s">
        <v>24</v>
      </c>
      <c r="M2658" t="s">
        <v>31</v>
      </c>
      <c r="N2658" t="s">
        <v>22</v>
      </c>
      <c r="O2658" t="s">
        <v>27</v>
      </c>
      <c r="P2658">
        <v>6.03</v>
      </c>
      <c r="Q2658" s="2" t="b">
        <f>FALSE()</f>
        <v>0</v>
      </c>
      <c r="R2658">
        <v>1</v>
      </c>
    </row>
    <row r="2659" spans="1:18" x14ac:dyDescent="0.25">
      <c r="A2659">
        <v>202658</v>
      </c>
      <c r="B2659">
        <v>55729</v>
      </c>
      <c r="C2659" t="s">
        <v>18</v>
      </c>
      <c r="D2659">
        <v>5581.38</v>
      </c>
      <c r="E2659">
        <v>1617</v>
      </c>
      <c r="F2659">
        <v>1</v>
      </c>
      <c r="G2659">
        <v>6</v>
      </c>
      <c r="H2659">
        <v>0</v>
      </c>
      <c r="I2659" t="s">
        <v>33</v>
      </c>
      <c r="J2659">
        <v>0</v>
      </c>
      <c r="K2659">
        <v>32</v>
      </c>
      <c r="L2659" t="s">
        <v>20</v>
      </c>
      <c r="M2659" t="s">
        <v>37</v>
      </c>
      <c r="N2659" t="s">
        <v>22</v>
      </c>
      <c r="O2659" t="s">
        <v>27</v>
      </c>
      <c r="P2659">
        <v>3.49</v>
      </c>
      <c r="Q2659" s="2" t="b">
        <f>FALSE()</f>
        <v>0</v>
      </c>
      <c r="R2659">
        <v>1</v>
      </c>
    </row>
    <row r="2660" spans="1:18" x14ac:dyDescent="0.25">
      <c r="A2660">
        <v>202659</v>
      </c>
      <c r="B2660">
        <v>51206</v>
      </c>
      <c r="C2660" t="s">
        <v>18</v>
      </c>
      <c r="D2660">
        <v>1122.17</v>
      </c>
      <c r="E2660">
        <v>2734</v>
      </c>
      <c r="F2660">
        <v>0</v>
      </c>
      <c r="G2660">
        <v>7</v>
      </c>
      <c r="H2660">
        <v>0</v>
      </c>
      <c r="I2660" t="s">
        <v>33</v>
      </c>
      <c r="J2660">
        <v>0</v>
      </c>
      <c r="K2660">
        <v>31</v>
      </c>
      <c r="L2660" t="s">
        <v>20</v>
      </c>
      <c r="M2660" t="s">
        <v>21</v>
      </c>
      <c r="N2660" t="s">
        <v>22</v>
      </c>
      <c r="O2660" t="s">
        <v>27</v>
      </c>
      <c r="P2660">
        <v>9.19</v>
      </c>
      <c r="Q2660" s="2" t="b">
        <f>FALSE()</f>
        <v>0</v>
      </c>
      <c r="R2660">
        <v>1</v>
      </c>
    </row>
    <row r="2661" spans="1:18" x14ac:dyDescent="0.25">
      <c r="A2661">
        <v>202660</v>
      </c>
      <c r="B2661">
        <v>55789</v>
      </c>
      <c r="C2661" t="s">
        <v>18</v>
      </c>
      <c r="D2661">
        <v>1843.21</v>
      </c>
      <c r="E2661">
        <v>2674</v>
      </c>
      <c r="F2661">
        <v>5</v>
      </c>
      <c r="G2661">
        <v>8</v>
      </c>
      <c r="H2661">
        <v>0</v>
      </c>
      <c r="I2661" t="s">
        <v>33</v>
      </c>
      <c r="J2661">
        <v>1</v>
      </c>
      <c r="K2661">
        <v>24</v>
      </c>
      <c r="L2661" t="s">
        <v>20</v>
      </c>
      <c r="M2661" t="s">
        <v>29</v>
      </c>
      <c r="N2661" t="s">
        <v>26</v>
      </c>
      <c r="O2661" t="s">
        <v>36</v>
      </c>
      <c r="P2661">
        <v>11.13</v>
      </c>
      <c r="Q2661" s="2" t="b">
        <f>FALSE()</f>
        <v>0</v>
      </c>
      <c r="R2661">
        <v>1</v>
      </c>
    </row>
    <row r="2662" spans="1:18" x14ac:dyDescent="0.25">
      <c r="A2662">
        <v>202661</v>
      </c>
      <c r="B2662">
        <v>54834</v>
      </c>
      <c r="C2662" t="s">
        <v>34</v>
      </c>
      <c r="D2662">
        <v>4957.74</v>
      </c>
      <c r="E2662">
        <v>3554</v>
      </c>
      <c r="F2662">
        <v>1</v>
      </c>
      <c r="G2662">
        <v>3</v>
      </c>
      <c r="H2662">
        <v>0</v>
      </c>
      <c r="I2662" t="s">
        <v>33</v>
      </c>
      <c r="J2662">
        <v>0</v>
      </c>
      <c r="K2662">
        <v>36</v>
      </c>
      <c r="L2662" t="s">
        <v>24</v>
      </c>
      <c r="M2662" t="s">
        <v>35</v>
      </c>
      <c r="N2662" t="s">
        <v>22</v>
      </c>
      <c r="O2662" t="s">
        <v>27</v>
      </c>
      <c r="P2662">
        <v>7.58</v>
      </c>
      <c r="Q2662" s="2" t="b">
        <f>FALSE()</f>
        <v>0</v>
      </c>
      <c r="R2662">
        <v>1</v>
      </c>
    </row>
    <row r="2663" spans="1:18" x14ac:dyDescent="0.25">
      <c r="A2663">
        <v>202662</v>
      </c>
      <c r="B2663">
        <v>53971</v>
      </c>
      <c r="C2663" t="s">
        <v>34</v>
      </c>
      <c r="D2663">
        <v>4302.1000000000004</v>
      </c>
      <c r="E2663">
        <v>3590</v>
      </c>
      <c r="F2663">
        <v>0</v>
      </c>
      <c r="G2663">
        <v>4</v>
      </c>
      <c r="H2663">
        <v>0</v>
      </c>
      <c r="I2663" t="s">
        <v>33</v>
      </c>
      <c r="J2663">
        <v>0</v>
      </c>
      <c r="K2663">
        <v>26</v>
      </c>
      <c r="L2663" t="s">
        <v>20</v>
      </c>
      <c r="M2663" t="s">
        <v>25</v>
      </c>
      <c r="N2663" t="s">
        <v>22</v>
      </c>
      <c r="O2663" t="s">
        <v>27</v>
      </c>
      <c r="P2663">
        <v>0.16</v>
      </c>
      <c r="Q2663" s="2" t="b">
        <f>FALSE()</f>
        <v>0</v>
      </c>
      <c r="R2663">
        <v>1</v>
      </c>
    </row>
    <row r="2664" spans="1:18" x14ac:dyDescent="0.25">
      <c r="A2664">
        <v>202663</v>
      </c>
      <c r="B2664">
        <v>50415</v>
      </c>
      <c r="C2664" t="s">
        <v>18</v>
      </c>
      <c r="D2664">
        <v>3038.76</v>
      </c>
      <c r="E2664">
        <v>487</v>
      </c>
      <c r="F2664">
        <v>2</v>
      </c>
      <c r="G2664">
        <v>3</v>
      </c>
      <c r="H2664">
        <v>1</v>
      </c>
      <c r="I2664" t="s">
        <v>33</v>
      </c>
      <c r="J2664">
        <v>0</v>
      </c>
      <c r="K2664">
        <v>66</v>
      </c>
      <c r="L2664" t="s">
        <v>20</v>
      </c>
      <c r="M2664" t="s">
        <v>35</v>
      </c>
      <c r="N2664" t="s">
        <v>22</v>
      </c>
      <c r="O2664" t="s">
        <v>36</v>
      </c>
      <c r="P2664">
        <v>2.72</v>
      </c>
      <c r="Q2664" s="2" t="b">
        <f>FALSE()</f>
        <v>0</v>
      </c>
      <c r="R2664">
        <v>0</v>
      </c>
    </row>
    <row r="2665" spans="1:18" x14ac:dyDescent="0.25">
      <c r="A2665">
        <v>202664</v>
      </c>
      <c r="B2665">
        <v>53349</v>
      </c>
      <c r="C2665" t="s">
        <v>34</v>
      </c>
      <c r="D2665">
        <v>1777.02</v>
      </c>
      <c r="E2665">
        <v>1027</v>
      </c>
      <c r="F2665">
        <v>0</v>
      </c>
      <c r="G2665">
        <v>4</v>
      </c>
      <c r="H2665">
        <v>0</v>
      </c>
      <c r="I2665" t="s">
        <v>32</v>
      </c>
      <c r="J2665">
        <v>0</v>
      </c>
      <c r="K2665">
        <v>39</v>
      </c>
      <c r="L2665" t="s">
        <v>24</v>
      </c>
      <c r="M2665" t="s">
        <v>25</v>
      </c>
      <c r="N2665" t="s">
        <v>30</v>
      </c>
      <c r="O2665" t="s">
        <v>27</v>
      </c>
      <c r="P2665">
        <v>1.67</v>
      </c>
      <c r="Q2665" s="2" t="b">
        <f>FALSE()</f>
        <v>0</v>
      </c>
      <c r="R2665">
        <v>0</v>
      </c>
    </row>
    <row r="2666" spans="1:18" x14ac:dyDescent="0.25">
      <c r="A2666">
        <v>202665</v>
      </c>
      <c r="B2666">
        <v>50457</v>
      </c>
      <c r="C2666" t="s">
        <v>18</v>
      </c>
      <c r="D2666">
        <v>585.35</v>
      </c>
      <c r="E2666">
        <v>509</v>
      </c>
      <c r="F2666">
        <v>1</v>
      </c>
      <c r="G2666">
        <v>7</v>
      </c>
      <c r="H2666">
        <v>0</v>
      </c>
      <c r="I2666" t="s">
        <v>33</v>
      </c>
      <c r="J2666">
        <v>1</v>
      </c>
      <c r="K2666">
        <v>29</v>
      </c>
      <c r="L2666" t="s">
        <v>20</v>
      </c>
      <c r="M2666" t="s">
        <v>29</v>
      </c>
      <c r="N2666" t="s">
        <v>30</v>
      </c>
      <c r="O2666" t="s">
        <v>23</v>
      </c>
      <c r="P2666">
        <v>5.31</v>
      </c>
      <c r="Q2666" s="2" t="b">
        <f>FALSE()</f>
        <v>0</v>
      </c>
      <c r="R2666">
        <v>1</v>
      </c>
    </row>
    <row r="2667" spans="1:18" x14ac:dyDescent="0.25">
      <c r="A2667">
        <v>202666</v>
      </c>
      <c r="B2667">
        <v>55382</v>
      </c>
      <c r="C2667" t="s">
        <v>28</v>
      </c>
      <c r="D2667">
        <v>1144.3900000000001</v>
      </c>
      <c r="E2667">
        <v>830</v>
      </c>
      <c r="F2667">
        <v>0</v>
      </c>
      <c r="G2667">
        <v>3</v>
      </c>
      <c r="H2667">
        <v>1</v>
      </c>
      <c r="I2667" t="s">
        <v>32</v>
      </c>
      <c r="J2667">
        <v>0</v>
      </c>
      <c r="K2667">
        <v>50</v>
      </c>
      <c r="L2667" t="s">
        <v>24</v>
      </c>
      <c r="M2667" t="s">
        <v>31</v>
      </c>
      <c r="N2667" t="s">
        <v>30</v>
      </c>
      <c r="O2667" t="s">
        <v>36</v>
      </c>
      <c r="P2667">
        <v>3.18</v>
      </c>
      <c r="Q2667" s="2" t="b">
        <f>FALSE()</f>
        <v>0</v>
      </c>
      <c r="R2667">
        <v>0</v>
      </c>
    </row>
    <row r="2668" spans="1:18" x14ac:dyDescent="0.25">
      <c r="A2668">
        <v>202667</v>
      </c>
      <c r="B2668">
        <v>55720</v>
      </c>
      <c r="C2668" t="s">
        <v>34</v>
      </c>
      <c r="D2668">
        <v>2204.41</v>
      </c>
      <c r="E2668">
        <v>1000</v>
      </c>
      <c r="F2668">
        <v>3</v>
      </c>
      <c r="G2668">
        <v>2</v>
      </c>
      <c r="H2668">
        <v>0</v>
      </c>
      <c r="I2668" t="s">
        <v>33</v>
      </c>
      <c r="J2668">
        <v>0</v>
      </c>
      <c r="K2668">
        <v>29</v>
      </c>
      <c r="L2668" t="s">
        <v>20</v>
      </c>
      <c r="M2668" t="s">
        <v>35</v>
      </c>
      <c r="N2668" t="s">
        <v>22</v>
      </c>
      <c r="O2668" t="s">
        <v>36</v>
      </c>
      <c r="P2668">
        <v>6.77</v>
      </c>
      <c r="Q2668" s="2" t="b">
        <f>FALSE()</f>
        <v>0</v>
      </c>
      <c r="R2668">
        <v>1</v>
      </c>
    </row>
    <row r="2669" spans="1:18" x14ac:dyDescent="0.25">
      <c r="A2669">
        <v>202668</v>
      </c>
      <c r="B2669">
        <v>50139</v>
      </c>
      <c r="C2669" t="s">
        <v>18</v>
      </c>
      <c r="D2669">
        <v>2875.03</v>
      </c>
      <c r="E2669">
        <v>384</v>
      </c>
      <c r="F2669">
        <v>2</v>
      </c>
      <c r="G2669">
        <v>3</v>
      </c>
      <c r="H2669">
        <v>0</v>
      </c>
      <c r="I2669" t="s">
        <v>32</v>
      </c>
      <c r="J2669">
        <v>0</v>
      </c>
      <c r="K2669">
        <v>19</v>
      </c>
      <c r="L2669" t="s">
        <v>20</v>
      </c>
      <c r="M2669" t="s">
        <v>37</v>
      </c>
      <c r="N2669" t="s">
        <v>30</v>
      </c>
      <c r="O2669" t="s">
        <v>36</v>
      </c>
      <c r="P2669">
        <v>4.87</v>
      </c>
      <c r="Q2669" s="2" t="b">
        <f>FALSE()</f>
        <v>0</v>
      </c>
      <c r="R2669">
        <v>0</v>
      </c>
    </row>
    <row r="2670" spans="1:18" x14ac:dyDescent="0.25">
      <c r="A2670">
        <v>202669</v>
      </c>
      <c r="B2670">
        <v>52028</v>
      </c>
      <c r="C2670" t="s">
        <v>28</v>
      </c>
      <c r="D2670">
        <v>1123.23</v>
      </c>
      <c r="E2670">
        <v>3088</v>
      </c>
      <c r="F2670">
        <v>0</v>
      </c>
      <c r="G2670">
        <v>6</v>
      </c>
      <c r="H2670">
        <v>0</v>
      </c>
      <c r="I2670" t="s">
        <v>33</v>
      </c>
      <c r="J2670">
        <v>0</v>
      </c>
      <c r="K2670">
        <v>68</v>
      </c>
      <c r="L2670" t="s">
        <v>20</v>
      </c>
      <c r="M2670" t="s">
        <v>25</v>
      </c>
      <c r="N2670" t="s">
        <v>26</v>
      </c>
      <c r="O2670" t="s">
        <v>27</v>
      </c>
      <c r="P2670">
        <v>1.66</v>
      </c>
      <c r="Q2670" s="2" t="b">
        <f>FALSE()</f>
        <v>0</v>
      </c>
      <c r="R2670">
        <v>0</v>
      </c>
    </row>
    <row r="2671" spans="1:18" x14ac:dyDescent="0.25">
      <c r="A2671">
        <v>202670</v>
      </c>
      <c r="B2671">
        <v>52065</v>
      </c>
      <c r="C2671" t="s">
        <v>34</v>
      </c>
      <c r="D2671">
        <v>2319.2399999999998</v>
      </c>
      <c r="E2671">
        <v>1124</v>
      </c>
      <c r="F2671">
        <v>3</v>
      </c>
      <c r="G2671">
        <v>5</v>
      </c>
      <c r="H2671">
        <v>0</v>
      </c>
      <c r="I2671" t="s">
        <v>33</v>
      </c>
      <c r="J2671">
        <v>1</v>
      </c>
      <c r="K2671">
        <v>32</v>
      </c>
      <c r="L2671" t="s">
        <v>20</v>
      </c>
      <c r="M2671" t="s">
        <v>35</v>
      </c>
      <c r="N2671" t="s">
        <v>26</v>
      </c>
      <c r="O2671" t="s">
        <v>36</v>
      </c>
      <c r="P2671">
        <v>2.46</v>
      </c>
      <c r="Q2671" s="2" t="b">
        <f>FALSE()</f>
        <v>0</v>
      </c>
      <c r="R2671">
        <v>1</v>
      </c>
    </row>
    <row r="2672" spans="1:18" x14ac:dyDescent="0.25">
      <c r="A2672">
        <v>202671</v>
      </c>
      <c r="B2672">
        <v>51286</v>
      </c>
      <c r="C2672" t="s">
        <v>18</v>
      </c>
      <c r="D2672">
        <v>708.66</v>
      </c>
      <c r="E2672">
        <v>1499</v>
      </c>
      <c r="F2672">
        <v>1</v>
      </c>
      <c r="G2672">
        <v>0</v>
      </c>
      <c r="H2672">
        <v>0</v>
      </c>
      <c r="I2672" t="s">
        <v>33</v>
      </c>
      <c r="J2672">
        <v>0</v>
      </c>
      <c r="K2672">
        <v>34</v>
      </c>
      <c r="L2672" t="s">
        <v>38</v>
      </c>
      <c r="M2672" t="s">
        <v>35</v>
      </c>
      <c r="N2672" t="s">
        <v>30</v>
      </c>
      <c r="O2672" t="s">
        <v>23</v>
      </c>
      <c r="P2672">
        <v>1.83</v>
      </c>
      <c r="Q2672" s="2" t="b">
        <f>FALSE()</f>
        <v>0</v>
      </c>
      <c r="R2672">
        <v>0</v>
      </c>
    </row>
    <row r="2673" spans="1:18" x14ac:dyDescent="0.25">
      <c r="A2673">
        <v>202672</v>
      </c>
      <c r="B2673">
        <v>50374</v>
      </c>
      <c r="C2673" t="s">
        <v>18</v>
      </c>
      <c r="D2673">
        <v>2175.9899999999998</v>
      </c>
      <c r="E2673">
        <v>2797</v>
      </c>
      <c r="F2673">
        <v>1</v>
      </c>
      <c r="G2673">
        <v>5</v>
      </c>
      <c r="H2673">
        <v>0</v>
      </c>
      <c r="I2673" t="s">
        <v>33</v>
      </c>
      <c r="J2673">
        <v>0</v>
      </c>
      <c r="K2673">
        <v>84</v>
      </c>
      <c r="L2673" t="s">
        <v>24</v>
      </c>
      <c r="M2673" t="s">
        <v>35</v>
      </c>
      <c r="N2673" t="s">
        <v>22</v>
      </c>
      <c r="O2673" t="s">
        <v>27</v>
      </c>
      <c r="P2673">
        <v>4.07</v>
      </c>
      <c r="Q2673" s="2" t="b">
        <f>FALSE()</f>
        <v>0</v>
      </c>
      <c r="R2673">
        <v>0</v>
      </c>
    </row>
    <row r="2674" spans="1:18" x14ac:dyDescent="0.25">
      <c r="A2674">
        <v>202673</v>
      </c>
      <c r="B2674">
        <v>53281</v>
      </c>
      <c r="C2674" t="s">
        <v>34</v>
      </c>
      <c r="D2674">
        <v>3227.37</v>
      </c>
      <c r="E2674">
        <v>2653</v>
      </c>
      <c r="F2674">
        <v>1</v>
      </c>
      <c r="G2674">
        <v>3</v>
      </c>
      <c r="H2674">
        <v>1</v>
      </c>
      <c r="I2674" t="s">
        <v>33</v>
      </c>
      <c r="J2674">
        <v>0</v>
      </c>
      <c r="K2674">
        <v>60</v>
      </c>
      <c r="L2674" t="s">
        <v>24</v>
      </c>
      <c r="M2674" t="s">
        <v>21</v>
      </c>
      <c r="N2674" t="s">
        <v>22</v>
      </c>
      <c r="O2674" t="s">
        <v>36</v>
      </c>
      <c r="P2674">
        <v>2.1</v>
      </c>
      <c r="Q2674" s="2" t="b">
        <f>FALSE()</f>
        <v>0</v>
      </c>
      <c r="R2674">
        <v>0</v>
      </c>
    </row>
    <row r="2675" spans="1:18" x14ac:dyDescent="0.25">
      <c r="A2675">
        <v>202674</v>
      </c>
      <c r="B2675">
        <v>51155</v>
      </c>
      <c r="C2675" t="s">
        <v>18</v>
      </c>
      <c r="D2675">
        <v>1171.1400000000001</v>
      </c>
      <c r="E2675">
        <v>3511</v>
      </c>
      <c r="F2675">
        <v>0</v>
      </c>
      <c r="G2675">
        <v>7</v>
      </c>
      <c r="H2675">
        <v>0</v>
      </c>
      <c r="I2675" t="s">
        <v>32</v>
      </c>
      <c r="J2675">
        <v>0</v>
      </c>
      <c r="K2675">
        <v>77</v>
      </c>
      <c r="L2675" t="s">
        <v>24</v>
      </c>
      <c r="M2675" t="s">
        <v>29</v>
      </c>
      <c r="N2675" t="s">
        <v>22</v>
      </c>
      <c r="O2675" t="s">
        <v>23</v>
      </c>
      <c r="P2675">
        <v>10.24</v>
      </c>
      <c r="Q2675" s="2" t="b">
        <f>FALSE()</f>
        <v>0</v>
      </c>
      <c r="R2675">
        <v>1</v>
      </c>
    </row>
    <row r="2676" spans="1:18" x14ac:dyDescent="0.25">
      <c r="A2676">
        <v>202675</v>
      </c>
      <c r="B2676">
        <v>55477</v>
      </c>
      <c r="C2676" t="s">
        <v>18</v>
      </c>
      <c r="D2676">
        <v>3138.3</v>
      </c>
      <c r="E2676">
        <v>3596</v>
      </c>
      <c r="F2676">
        <v>3</v>
      </c>
      <c r="G2676">
        <v>1</v>
      </c>
      <c r="H2676">
        <v>0</v>
      </c>
      <c r="I2676" t="s">
        <v>33</v>
      </c>
      <c r="J2676">
        <v>0</v>
      </c>
      <c r="K2676">
        <v>70</v>
      </c>
      <c r="L2676" t="s">
        <v>20</v>
      </c>
      <c r="M2676" t="s">
        <v>35</v>
      </c>
      <c r="N2676" t="s">
        <v>22</v>
      </c>
      <c r="O2676" t="s">
        <v>23</v>
      </c>
      <c r="P2676">
        <v>1.68</v>
      </c>
      <c r="Q2676" s="2" t="b">
        <f>FALSE()</f>
        <v>0</v>
      </c>
      <c r="R2676">
        <v>1</v>
      </c>
    </row>
    <row r="2677" spans="1:18" x14ac:dyDescent="0.25">
      <c r="A2677">
        <v>202676</v>
      </c>
      <c r="B2677">
        <v>50694</v>
      </c>
      <c r="C2677" t="s">
        <v>18</v>
      </c>
      <c r="D2677">
        <v>3170.21</v>
      </c>
      <c r="E2677">
        <v>1559</v>
      </c>
      <c r="F2677">
        <v>0</v>
      </c>
      <c r="G2677">
        <v>7</v>
      </c>
      <c r="H2677">
        <v>0</v>
      </c>
      <c r="I2677" t="s">
        <v>32</v>
      </c>
      <c r="J2677">
        <v>1</v>
      </c>
      <c r="K2677">
        <v>18</v>
      </c>
      <c r="L2677" t="s">
        <v>20</v>
      </c>
      <c r="M2677" t="s">
        <v>21</v>
      </c>
      <c r="N2677" t="s">
        <v>30</v>
      </c>
      <c r="O2677" t="s">
        <v>23</v>
      </c>
      <c r="P2677">
        <v>5.21</v>
      </c>
      <c r="Q2677" s="2" t="b">
        <f>FALSE()</f>
        <v>0</v>
      </c>
      <c r="R2677">
        <v>1</v>
      </c>
    </row>
    <row r="2678" spans="1:18" x14ac:dyDescent="0.25">
      <c r="A2678">
        <v>202677</v>
      </c>
      <c r="B2678">
        <v>52849</v>
      </c>
      <c r="C2678" t="s">
        <v>18</v>
      </c>
      <c r="D2678">
        <v>3291.43</v>
      </c>
      <c r="E2678">
        <v>2060</v>
      </c>
      <c r="F2678">
        <v>1</v>
      </c>
      <c r="G2678">
        <v>5</v>
      </c>
      <c r="H2678">
        <v>0</v>
      </c>
      <c r="I2678" t="s">
        <v>33</v>
      </c>
      <c r="J2678">
        <v>0</v>
      </c>
      <c r="K2678">
        <v>56</v>
      </c>
      <c r="L2678" t="s">
        <v>24</v>
      </c>
      <c r="M2678" t="s">
        <v>37</v>
      </c>
      <c r="N2678" t="s">
        <v>22</v>
      </c>
      <c r="O2678" t="s">
        <v>27</v>
      </c>
      <c r="P2678">
        <v>1.74</v>
      </c>
      <c r="Q2678" s="2" t="b">
        <f>FALSE()</f>
        <v>0</v>
      </c>
      <c r="R2678">
        <v>0</v>
      </c>
    </row>
    <row r="2679" spans="1:18" x14ac:dyDescent="0.25">
      <c r="A2679">
        <v>202678</v>
      </c>
      <c r="B2679">
        <v>55402</v>
      </c>
      <c r="C2679" t="s">
        <v>28</v>
      </c>
      <c r="D2679">
        <v>3182.71</v>
      </c>
      <c r="E2679">
        <v>2842</v>
      </c>
      <c r="F2679">
        <v>1</v>
      </c>
      <c r="G2679">
        <v>6</v>
      </c>
      <c r="H2679">
        <v>1</v>
      </c>
      <c r="I2679" t="s">
        <v>33</v>
      </c>
      <c r="J2679">
        <v>0</v>
      </c>
      <c r="K2679">
        <v>56</v>
      </c>
      <c r="L2679" t="s">
        <v>24</v>
      </c>
      <c r="M2679" t="s">
        <v>29</v>
      </c>
      <c r="N2679" t="s">
        <v>22</v>
      </c>
      <c r="O2679" t="s">
        <v>23</v>
      </c>
      <c r="P2679">
        <v>1.67</v>
      </c>
      <c r="Q2679" s="2" t="b">
        <f>FALSE()</f>
        <v>0</v>
      </c>
      <c r="R2679">
        <v>0</v>
      </c>
    </row>
    <row r="2680" spans="1:18" x14ac:dyDescent="0.25">
      <c r="A2680">
        <v>202679</v>
      </c>
      <c r="B2680">
        <v>50639</v>
      </c>
      <c r="C2680" t="s">
        <v>34</v>
      </c>
      <c r="D2680">
        <v>9618.06</v>
      </c>
      <c r="E2680">
        <v>1387</v>
      </c>
      <c r="F2680">
        <v>2</v>
      </c>
      <c r="G2680">
        <v>4</v>
      </c>
      <c r="H2680">
        <v>0</v>
      </c>
      <c r="I2680" t="s">
        <v>19</v>
      </c>
      <c r="J2680">
        <v>0</v>
      </c>
      <c r="K2680">
        <v>70</v>
      </c>
      <c r="L2680" t="s">
        <v>20</v>
      </c>
      <c r="M2680" t="s">
        <v>29</v>
      </c>
      <c r="N2680" t="s">
        <v>22</v>
      </c>
      <c r="O2680" t="s">
        <v>36</v>
      </c>
      <c r="P2680">
        <v>2.62</v>
      </c>
      <c r="Q2680" s="2" t="b">
        <f>TRUE()</f>
        <v>1</v>
      </c>
      <c r="R2680">
        <v>1</v>
      </c>
    </row>
    <row r="2681" spans="1:18" x14ac:dyDescent="0.25">
      <c r="A2681">
        <v>202680</v>
      </c>
      <c r="B2681">
        <v>50923</v>
      </c>
      <c r="C2681" t="s">
        <v>18</v>
      </c>
      <c r="D2681">
        <v>718.22</v>
      </c>
      <c r="E2681">
        <v>1431</v>
      </c>
      <c r="F2681">
        <v>2</v>
      </c>
      <c r="G2681">
        <v>6</v>
      </c>
      <c r="H2681">
        <v>1</v>
      </c>
      <c r="I2681" t="s">
        <v>19</v>
      </c>
      <c r="J2681">
        <v>0</v>
      </c>
      <c r="K2681">
        <v>59</v>
      </c>
      <c r="L2681" t="s">
        <v>20</v>
      </c>
      <c r="M2681" t="s">
        <v>37</v>
      </c>
      <c r="N2681" t="s">
        <v>30</v>
      </c>
      <c r="O2681" t="s">
        <v>27</v>
      </c>
      <c r="P2681">
        <v>2.89</v>
      </c>
      <c r="Q2681" s="2" t="b">
        <f>FALSE()</f>
        <v>0</v>
      </c>
      <c r="R2681">
        <v>0</v>
      </c>
    </row>
    <row r="2682" spans="1:18" x14ac:dyDescent="0.25">
      <c r="A2682">
        <v>202681</v>
      </c>
      <c r="B2682">
        <v>55596</v>
      </c>
      <c r="C2682" t="s">
        <v>18</v>
      </c>
      <c r="D2682">
        <v>5028.2700000000004</v>
      </c>
      <c r="E2682">
        <v>2347</v>
      </c>
      <c r="F2682">
        <v>0</v>
      </c>
      <c r="G2682">
        <v>3</v>
      </c>
      <c r="H2682">
        <v>0</v>
      </c>
      <c r="I2682" t="s">
        <v>32</v>
      </c>
      <c r="J2682">
        <v>0</v>
      </c>
      <c r="K2682">
        <v>39</v>
      </c>
      <c r="L2682" t="s">
        <v>20</v>
      </c>
      <c r="M2682" t="s">
        <v>35</v>
      </c>
      <c r="N2682" t="s">
        <v>26</v>
      </c>
      <c r="O2682" t="s">
        <v>36</v>
      </c>
      <c r="P2682">
        <v>4.22</v>
      </c>
      <c r="Q2682" s="2" t="b">
        <f>FALSE()</f>
        <v>0</v>
      </c>
      <c r="R2682">
        <v>1</v>
      </c>
    </row>
    <row r="2683" spans="1:18" x14ac:dyDescent="0.25">
      <c r="A2683">
        <v>202682</v>
      </c>
      <c r="B2683">
        <v>51097</v>
      </c>
      <c r="C2683" t="s">
        <v>28</v>
      </c>
      <c r="D2683">
        <v>3874.77</v>
      </c>
      <c r="E2683">
        <v>1619</v>
      </c>
      <c r="F2683">
        <v>2</v>
      </c>
      <c r="G2683">
        <v>3</v>
      </c>
      <c r="H2683">
        <v>0</v>
      </c>
      <c r="I2683" t="s">
        <v>33</v>
      </c>
      <c r="J2683">
        <v>0</v>
      </c>
      <c r="K2683">
        <v>42</v>
      </c>
      <c r="L2683" t="s">
        <v>20</v>
      </c>
      <c r="M2683" t="s">
        <v>35</v>
      </c>
      <c r="N2683" t="s">
        <v>22</v>
      </c>
      <c r="O2683" t="s">
        <v>36</v>
      </c>
      <c r="P2683">
        <v>0.53</v>
      </c>
      <c r="Q2683" s="2" t="b">
        <f>FALSE()</f>
        <v>0</v>
      </c>
      <c r="R2683">
        <v>1</v>
      </c>
    </row>
    <row r="2684" spans="1:18" x14ac:dyDescent="0.25">
      <c r="A2684">
        <v>202683</v>
      </c>
      <c r="B2684">
        <v>50784</v>
      </c>
      <c r="C2684" t="s">
        <v>18</v>
      </c>
      <c r="D2684">
        <v>1647.75</v>
      </c>
      <c r="E2684">
        <v>1689</v>
      </c>
      <c r="F2684">
        <v>4</v>
      </c>
      <c r="G2684">
        <v>4</v>
      </c>
      <c r="H2684">
        <v>0</v>
      </c>
      <c r="I2684" t="s">
        <v>33</v>
      </c>
      <c r="J2684">
        <v>1</v>
      </c>
      <c r="K2684">
        <v>55</v>
      </c>
      <c r="L2684" t="s">
        <v>20</v>
      </c>
      <c r="M2684" t="s">
        <v>25</v>
      </c>
      <c r="N2684" t="s">
        <v>22</v>
      </c>
      <c r="O2684" t="s">
        <v>23</v>
      </c>
      <c r="P2684">
        <v>2.04</v>
      </c>
      <c r="Q2684" s="2" t="b">
        <f>FALSE()</f>
        <v>0</v>
      </c>
      <c r="R2684">
        <v>1</v>
      </c>
    </row>
    <row r="2685" spans="1:18" x14ac:dyDescent="0.25">
      <c r="A2685">
        <v>202684</v>
      </c>
      <c r="B2685">
        <v>52196</v>
      </c>
      <c r="C2685" t="s">
        <v>28</v>
      </c>
      <c r="D2685">
        <v>550.08000000000004</v>
      </c>
      <c r="E2685">
        <v>2311</v>
      </c>
      <c r="F2685">
        <v>0</v>
      </c>
      <c r="G2685">
        <v>1</v>
      </c>
      <c r="H2685">
        <v>1</v>
      </c>
      <c r="I2685" t="s">
        <v>19</v>
      </c>
      <c r="J2685">
        <v>0</v>
      </c>
      <c r="K2685">
        <v>56</v>
      </c>
      <c r="L2685" t="s">
        <v>24</v>
      </c>
      <c r="M2685" t="s">
        <v>37</v>
      </c>
      <c r="N2685" t="s">
        <v>30</v>
      </c>
      <c r="O2685" t="s">
        <v>27</v>
      </c>
      <c r="P2685">
        <v>0.55000000000000004</v>
      </c>
      <c r="Q2685" s="2" t="b">
        <f>FALSE()</f>
        <v>0</v>
      </c>
      <c r="R2685">
        <v>0</v>
      </c>
    </row>
    <row r="2686" spans="1:18" x14ac:dyDescent="0.25">
      <c r="A2686">
        <v>202685</v>
      </c>
      <c r="B2686">
        <v>53313</v>
      </c>
      <c r="C2686" t="s">
        <v>34</v>
      </c>
      <c r="D2686">
        <v>1867.21</v>
      </c>
      <c r="E2686">
        <v>2649</v>
      </c>
      <c r="F2686">
        <v>0</v>
      </c>
      <c r="G2686">
        <v>3</v>
      </c>
      <c r="H2686">
        <v>0</v>
      </c>
      <c r="I2686" t="s">
        <v>33</v>
      </c>
      <c r="J2686">
        <v>0</v>
      </c>
      <c r="K2686">
        <v>30</v>
      </c>
      <c r="L2686" t="s">
        <v>20</v>
      </c>
      <c r="M2686" t="s">
        <v>35</v>
      </c>
      <c r="N2686" t="s">
        <v>30</v>
      </c>
      <c r="O2686" t="s">
        <v>36</v>
      </c>
      <c r="P2686">
        <v>16.29</v>
      </c>
      <c r="Q2686" s="2" t="b">
        <f>FALSE()</f>
        <v>0</v>
      </c>
      <c r="R2686">
        <v>0</v>
      </c>
    </row>
    <row r="2687" spans="1:18" x14ac:dyDescent="0.25">
      <c r="A2687">
        <v>202686</v>
      </c>
      <c r="B2687">
        <v>51180</v>
      </c>
      <c r="C2687" t="s">
        <v>18</v>
      </c>
      <c r="D2687">
        <v>2375.0100000000002</v>
      </c>
      <c r="E2687">
        <v>1622</v>
      </c>
      <c r="F2687">
        <v>2</v>
      </c>
      <c r="G2687">
        <v>4</v>
      </c>
      <c r="H2687">
        <v>0</v>
      </c>
      <c r="I2687" t="s">
        <v>33</v>
      </c>
      <c r="J2687">
        <v>0</v>
      </c>
      <c r="K2687">
        <v>30</v>
      </c>
      <c r="L2687" t="s">
        <v>20</v>
      </c>
      <c r="M2687" t="s">
        <v>37</v>
      </c>
      <c r="N2687" t="s">
        <v>30</v>
      </c>
      <c r="O2687" t="s">
        <v>36</v>
      </c>
      <c r="P2687">
        <v>1.65</v>
      </c>
      <c r="Q2687" s="2" t="b">
        <f>FALSE()</f>
        <v>0</v>
      </c>
      <c r="R2687">
        <v>0</v>
      </c>
    </row>
    <row r="2688" spans="1:18" x14ac:dyDescent="0.25">
      <c r="A2688">
        <v>202687</v>
      </c>
      <c r="B2688">
        <v>52640</v>
      </c>
      <c r="C2688" t="s">
        <v>18</v>
      </c>
      <c r="D2688">
        <v>4173.6400000000003</v>
      </c>
      <c r="E2688">
        <v>787</v>
      </c>
      <c r="F2688">
        <v>2</v>
      </c>
      <c r="G2688">
        <v>6</v>
      </c>
      <c r="H2688">
        <v>1</v>
      </c>
      <c r="I2688" t="s">
        <v>19</v>
      </c>
      <c r="J2688">
        <v>1</v>
      </c>
      <c r="K2688">
        <v>74</v>
      </c>
      <c r="L2688" t="s">
        <v>24</v>
      </c>
      <c r="M2688" t="s">
        <v>21</v>
      </c>
      <c r="N2688" t="s">
        <v>30</v>
      </c>
      <c r="O2688" t="s">
        <v>27</v>
      </c>
      <c r="P2688">
        <v>1.57</v>
      </c>
      <c r="Q2688" s="2" t="b">
        <f>FALSE()</f>
        <v>0</v>
      </c>
      <c r="R2688">
        <v>1</v>
      </c>
    </row>
    <row r="2689" spans="1:18" x14ac:dyDescent="0.25">
      <c r="A2689">
        <v>202688</v>
      </c>
      <c r="B2689">
        <v>55029</v>
      </c>
      <c r="C2689" t="s">
        <v>34</v>
      </c>
      <c r="D2689">
        <v>3023.44</v>
      </c>
      <c r="E2689">
        <v>1046</v>
      </c>
      <c r="F2689">
        <v>1</v>
      </c>
      <c r="G2689">
        <v>5</v>
      </c>
      <c r="H2689">
        <v>0</v>
      </c>
      <c r="I2689" t="s">
        <v>33</v>
      </c>
      <c r="J2689">
        <v>0</v>
      </c>
      <c r="K2689">
        <v>26</v>
      </c>
      <c r="L2689" t="s">
        <v>20</v>
      </c>
      <c r="M2689" t="s">
        <v>21</v>
      </c>
      <c r="N2689" t="s">
        <v>26</v>
      </c>
      <c r="O2689" t="s">
        <v>27</v>
      </c>
      <c r="P2689">
        <v>4.21</v>
      </c>
      <c r="Q2689" s="2" t="b">
        <f>FALSE()</f>
        <v>0</v>
      </c>
      <c r="R2689">
        <v>0</v>
      </c>
    </row>
    <row r="2690" spans="1:18" x14ac:dyDescent="0.25">
      <c r="A2690">
        <v>202689</v>
      </c>
      <c r="B2690">
        <v>51647</v>
      </c>
      <c r="C2690" t="s">
        <v>18</v>
      </c>
      <c r="D2690">
        <v>2228.65</v>
      </c>
      <c r="E2690">
        <v>1298</v>
      </c>
      <c r="F2690">
        <v>2</v>
      </c>
      <c r="G2690">
        <v>5</v>
      </c>
      <c r="H2690">
        <v>0</v>
      </c>
      <c r="I2690" t="s">
        <v>32</v>
      </c>
      <c r="J2690">
        <v>0</v>
      </c>
      <c r="K2690">
        <v>43</v>
      </c>
      <c r="L2690" t="s">
        <v>24</v>
      </c>
      <c r="M2690" t="s">
        <v>35</v>
      </c>
      <c r="N2690" t="s">
        <v>22</v>
      </c>
      <c r="O2690" t="s">
        <v>27</v>
      </c>
      <c r="P2690">
        <v>3.61</v>
      </c>
      <c r="Q2690" s="2" t="b">
        <f>FALSE()</f>
        <v>0</v>
      </c>
      <c r="R2690">
        <v>0</v>
      </c>
    </row>
    <row r="2691" spans="1:18" x14ac:dyDescent="0.25">
      <c r="A2691">
        <v>202690</v>
      </c>
      <c r="B2691">
        <v>51229</v>
      </c>
      <c r="C2691" t="s">
        <v>18</v>
      </c>
      <c r="D2691">
        <v>1441.36</v>
      </c>
      <c r="E2691">
        <v>1664</v>
      </c>
      <c r="F2691">
        <v>0</v>
      </c>
      <c r="G2691">
        <v>2</v>
      </c>
      <c r="H2691">
        <v>0</v>
      </c>
      <c r="I2691" t="s">
        <v>33</v>
      </c>
      <c r="J2691">
        <v>0</v>
      </c>
      <c r="K2691">
        <v>49</v>
      </c>
      <c r="L2691" t="s">
        <v>20</v>
      </c>
      <c r="M2691" t="s">
        <v>37</v>
      </c>
      <c r="N2691" t="s">
        <v>26</v>
      </c>
      <c r="O2691" t="s">
        <v>23</v>
      </c>
      <c r="P2691">
        <v>5.62</v>
      </c>
      <c r="Q2691" s="2" t="b">
        <f>FALSE()</f>
        <v>0</v>
      </c>
      <c r="R2691">
        <v>0</v>
      </c>
    </row>
    <row r="2692" spans="1:18" x14ac:dyDescent="0.25">
      <c r="A2692">
        <v>202691</v>
      </c>
      <c r="B2692">
        <v>55926</v>
      </c>
      <c r="C2692" t="s">
        <v>18</v>
      </c>
      <c r="D2692">
        <v>3849.14</v>
      </c>
      <c r="E2692">
        <v>3443</v>
      </c>
      <c r="F2692">
        <v>4</v>
      </c>
      <c r="G2692">
        <v>6</v>
      </c>
      <c r="H2692">
        <v>0</v>
      </c>
      <c r="I2692" t="s">
        <v>33</v>
      </c>
      <c r="J2692">
        <v>0</v>
      </c>
      <c r="K2692">
        <v>21</v>
      </c>
      <c r="L2692" t="s">
        <v>24</v>
      </c>
      <c r="M2692" t="s">
        <v>31</v>
      </c>
      <c r="N2692" t="s">
        <v>30</v>
      </c>
      <c r="O2692" t="s">
        <v>36</v>
      </c>
      <c r="P2692">
        <v>0.7</v>
      </c>
      <c r="Q2692" s="2" t="b">
        <f>FALSE()</f>
        <v>0</v>
      </c>
      <c r="R2692">
        <v>1</v>
      </c>
    </row>
    <row r="2693" spans="1:18" x14ac:dyDescent="0.25">
      <c r="A2693">
        <v>202692</v>
      </c>
      <c r="B2693">
        <v>54483</v>
      </c>
      <c r="C2693" t="s">
        <v>34</v>
      </c>
      <c r="D2693">
        <v>509.57</v>
      </c>
      <c r="E2693">
        <v>2358</v>
      </c>
      <c r="F2693">
        <v>4</v>
      </c>
      <c r="G2693">
        <v>4</v>
      </c>
      <c r="H2693">
        <v>1</v>
      </c>
      <c r="I2693" t="s">
        <v>19</v>
      </c>
      <c r="J2693">
        <v>0</v>
      </c>
      <c r="K2693">
        <v>42</v>
      </c>
      <c r="L2693" t="s">
        <v>24</v>
      </c>
      <c r="M2693" t="s">
        <v>21</v>
      </c>
      <c r="N2693" t="s">
        <v>22</v>
      </c>
      <c r="O2693" t="s">
        <v>27</v>
      </c>
      <c r="P2693">
        <v>7.22</v>
      </c>
      <c r="Q2693" s="2" t="b">
        <f>FALSE()</f>
        <v>0</v>
      </c>
      <c r="R2693">
        <v>1</v>
      </c>
    </row>
    <row r="2694" spans="1:18" x14ac:dyDescent="0.25">
      <c r="A2694">
        <v>202693</v>
      </c>
      <c r="B2694">
        <v>51428</v>
      </c>
      <c r="C2694" t="s">
        <v>18</v>
      </c>
      <c r="D2694">
        <v>1627.13</v>
      </c>
      <c r="E2694">
        <v>983</v>
      </c>
      <c r="F2694">
        <v>1</v>
      </c>
      <c r="G2694">
        <v>2</v>
      </c>
      <c r="H2694">
        <v>0</v>
      </c>
      <c r="I2694" t="s">
        <v>19</v>
      </c>
      <c r="J2694">
        <v>0</v>
      </c>
      <c r="K2694">
        <v>84</v>
      </c>
      <c r="L2694" t="s">
        <v>24</v>
      </c>
      <c r="M2694" t="s">
        <v>21</v>
      </c>
      <c r="N2694" t="s">
        <v>22</v>
      </c>
      <c r="O2694" t="s">
        <v>36</v>
      </c>
      <c r="P2694">
        <v>0.49</v>
      </c>
      <c r="Q2694" s="2" t="b">
        <f>FALSE()</f>
        <v>0</v>
      </c>
      <c r="R2694">
        <v>0</v>
      </c>
    </row>
    <row r="2695" spans="1:18" x14ac:dyDescent="0.25">
      <c r="A2695">
        <v>202694</v>
      </c>
      <c r="B2695">
        <v>55703</v>
      </c>
      <c r="C2695" t="s">
        <v>28</v>
      </c>
      <c r="D2695">
        <v>3637.17</v>
      </c>
      <c r="E2695">
        <v>2568</v>
      </c>
      <c r="F2695">
        <v>0</v>
      </c>
      <c r="G2695">
        <v>4</v>
      </c>
      <c r="H2695">
        <v>1</v>
      </c>
      <c r="I2695" t="s">
        <v>33</v>
      </c>
      <c r="J2695">
        <v>0</v>
      </c>
      <c r="K2695">
        <v>48</v>
      </c>
      <c r="L2695" t="s">
        <v>20</v>
      </c>
      <c r="M2695" t="s">
        <v>31</v>
      </c>
      <c r="N2695" t="s">
        <v>30</v>
      </c>
      <c r="O2695" t="s">
        <v>36</v>
      </c>
      <c r="P2695">
        <v>0.06</v>
      </c>
      <c r="Q2695" s="2" t="b">
        <f>FALSE()</f>
        <v>0</v>
      </c>
      <c r="R2695">
        <v>1</v>
      </c>
    </row>
    <row r="2696" spans="1:18" x14ac:dyDescent="0.25">
      <c r="A2696">
        <v>202695</v>
      </c>
      <c r="B2696">
        <v>54339</v>
      </c>
      <c r="C2696" t="s">
        <v>28</v>
      </c>
      <c r="D2696">
        <v>5828.98</v>
      </c>
      <c r="E2696">
        <v>1335</v>
      </c>
      <c r="F2696">
        <v>1</v>
      </c>
      <c r="G2696">
        <v>1</v>
      </c>
      <c r="H2696">
        <v>0</v>
      </c>
      <c r="I2696" t="s">
        <v>32</v>
      </c>
      <c r="J2696">
        <v>0</v>
      </c>
      <c r="K2696">
        <v>64</v>
      </c>
      <c r="L2696" t="s">
        <v>20</v>
      </c>
      <c r="M2696" t="s">
        <v>21</v>
      </c>
      <c r="N2696" t="s">
        <v>26</v>
      </c>
      <c r="O2696" t="s">
        <v>23</v>
      </c>
      <c r="P2696">
        <v>3.3</v>
      </c>
      <c r="Q2696" s="2" t="b">
        <f>FALSE()</f>
        <v>0</v>
      </c>
      <c r="R2696">
        <v>1</v>
      </c>
    </row>
    <row r="2697" spans="1:18" x14ac:dyDescent="0.25">
      <c r="A2697">
        <v>202696</v>
      </c>
      <c r="B2697">
        <v>52219</v>
      </c>
      <c r="C2697" t="s">
        <v>18</v>
      </c>
      <c r="D2697">
        <v>3248</v>
      </c>
      <c r="E2697">
        <v>3089</v>
      </c>
      <c r="F2697">
        <v>0</v>
      </c>
      <c r="G2697">
        <v>5</v>
      </c>
      <c r="H2697">
        <v>0</v>
      </c>
      <c r="I2697" t="s">
        <v>19</v>
      </c>
      <c r="J2697">
        <v>0</v>
      </c>
      <c r="K2697">
        <v>54</v>
      </c>
      <c r="L2697" t="s">
        <v>20</v>
      </c>
      <c r="M2697" t="s">
        <v>21</v>
      </c>
      <c r="N2697" t="s">
        <v>30</v>
      </c>
      <c r="O2697" t="s">
        <v>23</v>
      </c>
      <c r="P2697">
        <v>0.87</v>
      </c>
      <c r="Q2697" s="2" t="b">
        <f>FALSE()</f>
        <v>0</v>
      </c>
      <c r="R2697">
        <v>0</v>
      </c>
    </row>
    <row r="2698" spans="1:18" x14ac:dyDescent="0.25">
      <c r="A2698">
        <v>202697</v>
      </c>
      <c r="B2698">
        <v>54867</v>
      </c>
      <c r="C2698" t="s">
        <v>34</v>
      </c>
      <c r="D2698">
        <v>1601.14</v>
      </c>
      <c r="E2698">
        <v>118</v>
      </c>
      <c r="F2698">
        <v>4</v>
      </c>
      <c r="G2698">
        <v>5</v>
      </c>
      <c r="H2698">
        <v>1</v>
      </c>
      <c r="I2698" t="s">
        <v>33</v>
      </c>
      <c r="J2698">
        <v>0</v>
      </c>
      <c r="K2698">
        <v>21</v>
      </c>
      <c r="L2698" t="s">
        <v>20</v>
      </c>
      <c r="M2698" t="s">
        <v>29</v>
      </c>
      <c r="N2698" t="s">
        <v>30</v>
      </c>
      <c r="O2698" t="s">
        <v>36</v>
      </c>
      <c r="P2698">
        <v>1.44</v>
      </c>
      <c r="Q2698" s="2" t="b">
        <f>FALSE()</f>
        <v>0</v>
      </c>
      <c r="R2698">
        <v>1</v>
      </c>
    </row>
    <row r="2699" spans="1:18" x14ac:dyDescent="0.25">
      <c r="A2699">
        <v>202698</v>
      </c>
      <c r="B2699">
        <v>55907</v>
      </c>
      <c r="C2699" t="s">
        <v>28</v>
      </c>
      <c r="D2699">
        <v>3850.34</v>
      </c>
      <c r="E2699">
        <v>1067</v>
      </c>
      <c r="F2699">
        <v>1</v>
      </c>
      <c r="G2699">
        <v>2</v>
      </c>
      <c r="H2699">
        <v>0</v>
      </c>
      <c r="I2699" t="s">
        <v>32</v>
      </c>
      <c r="J2699">
        <v>0</v>
      </c>
      <c r="K2699">
        <v>22</v>
      </c>
      <c r="L2699" t="s">
        <v>24</v>
      </c>
      <c r="M2699" t="s">
        <v>35</v>
      </c>
      <c r="N2699" t="s">
        <v>30</v>
      </c>
      <c r="O2699" t="s">
        <v>36</v>
      </c>
      <c r="P2699">
        <v>0.52</v>
      </c>
      <c r="Q2699" s="2" t="b">
        <f>FALSE()</f>
        <v>0</v>
      </c>
      <c r="R2699">
        <v>1</v>
      </c>
    </row>
    <row r="2700" spans="1:18" x14ac:dyDescent="0.25">
      <c r="A2700">
        <v>202699</v>
      </c>
      <c r="B2700">
        <v>54163</v>
      </c>
      <c r="C2700" t="s">
        <v>18</v>
      </c>
      <c r="D2700">
        <v>8110.9</v>
      </c>
      <c r="E2700">
        <v>1120</v>
      </c>
      <c r="F2700">
        <v>1</v>
      </c>
      <c r="G2700">
        <v>3</v>
      </c>
      <c r="H2700">
        <v>0</v>
      </c>
      <c r="I2700" t="s">
        <v>19</v>
      </c>
      <c r="J2700">
        <v>1</v>
      </c>
      <c r="K2700">
        <v>67</v>
      </c>
      <c r="L2700" t="s">
        <v>24</v>
      </c>
      <c r="M2700" t="s">
        <v>29</v>
      </c>
      <c r="N2700" t="s">
        <v>22</v>
      </c>
      <c r="O2700" t="s">
        <v>27</v>
      </c>
      <c r="P2700">
        <v>2.78</v>
      </c>
      <c r="Q2700" s="2" t="b">
        <f>TRUE()</f>
        <v>1</v>
      </c>
      <c r="R2700">
        <v>1</v>
      </c>
    </row>
    <row r="2701" spans="1:18" x14ac:dyDescent="0.25">
      <c r="A2701">
        <v>202700</v>
      </c>
      <c r="B2701">
        <v>52218</v>
      </c>
      <c r="C2701" t="s">
        <v>34</v>
      </c>
      <c r="D2701">
        <v>2285.8000000000002</v>
      </c>
      <c r="E2701">
        <v>1138</v>
      </c>
      <c r="F2701">
        <v>0</v>
      </c>
      <c r="G2701">
        <v>2</v>
      </c>
      <c r="H2701">
        <v>1</v>
      </c>
      <c r="I2701" t="s">
        <v>33</v>
      </c>
      <c r="J2701">
        <v>0</v>
      </c>
      <c r="K2701">
        <v>67</v>
      </c>
      <c r="L2701" t="s">
        <v>20</v>
      </c>
      <c r="M2701" t="s">
        <v>21</v>
      </c>
      <c r="N2701" t="s">
        <v>26</v>
      </c>
      <c r="O2701" t="s">
        <v>23</v>
      </c>
      <c r="P2701">
        <v>4.5</v>
      </c>
      <c r="Q2701" s="2" t="b">
        <f>FALSE()</f>
        <v>0</v>
      </c>
      <c r="R2701">
        <v>0</v>
      </c>
    </row>
    <row r="2702" spans="1:18" x14ac:dyDescent="0.25">
      <c r="A2702">
        <v>202701</v>
      </c>
      <c r="B2702">
        <v>51196</v>
      </c>
      <c r="C2702" t="s">
        <v>34</v>
      </c>
      <c r="D2702">
        <v>2967.98</v>
      </c>
      <c r="E2702">
        <v>655</v>
      </c>
      <c r="F2702">
        <v>0</v>
      </c>
      <c r="G2702">
        <v>3</v>
      </c>
      <c r="H2702">
        <v>0</v>
      </c>
      <c r="I2702" t="s">
        <v>33</v>
      </c>
      <c r="J2702">
        <v>0</v>
      </c>
      <c r="K2702">
        <v>58</v>
      </c>
      <c r="L2702" t="s">
        <v>24</v>
      </c>
      <c r="M2702" t="s">
        <v>29</v>
      </c>
      <c r="N2702" t="s">
        <v>22</v>
      </c>
      <c r="O2702" t="s">
        <v>27</v>
      </c>
      <c r="P2702">
        <v>5.09</v>
      </c>
      <c r="Q2702" s="2" t="b">
        <f>FALSE()</f>
        <v>0</v>
      </c>
      <c r="R2702">
        <v>0</v>
      </c>
    </row>
    <row r="2703" spans="1:18" x14ac:dyDescent="0.25">
      <c r="A2703">
        <v>202702</v>
      </c>
      <c r="B2703">
        <v>53995</v>
      </c>
      <c r="C2703" t="s">
        <v>28</v>
      </c>
      <c r="D2703">
        <v>950.45</v>
      </c>
      <c r="E2703">
        <v>226</v>
      </c>
      <c r="F2703">
        <v>1</v>
      </c>
      <c r="G2703">
        <v>2</v>
      </c>
      <c r="H2703">
        <v>0</v>
      </c>
      <c r="I2703" t="s">
        <v>33</v>
      </c>
      <c r="J2703">
        <v>1</v>
      </c>
      <c r="K2703">
        <v>65</v>
      </c>
      <c r="L2703" t="s">
        <v>20</v>
      </c>
      <c r="M2703" t="s">
        <v>31</v>
      </c>
      <c r="N2703" t="s">
        <v>30</v>
      </c>
      <c r="O2703" t="s">
        <v>27</v>
      </c>
      <c r="P2703">
        <v>0.73</v>
      </c>
      <c r="Q2703" s="2" t="b">
        <f>FALSE()</f>
        <v>0</v>
      </c>
      <c r="R2703">
        <v>0</v>
      </c>
    </row>
    <row r="2704" spans="1:18" x14ac:dyDescent="0.25">
      <c r="A2704">
        <v>202703</v>
      </c>
      <c r="B2704">
        <v>52110</v>
      </c>
      <c r="C2704" t="s">
        <v>18</v>
      </c>
      <c r="D2704">
        <v>5223.12</v>
      </c>
      <c r="E2704">
        <v>1748</v>
      </c>
      <c r="F2704">
        <v>0</v>
      </c>
      <c r="G2704">
        <v>2</v>
      </c>
      <c r="H2704">
        <v>0</v>
      </c>
      <c r="I2704" t="s">
        <v>19</v>
      </c>
      <c r="J2704">
        <v>1</v>
      </c>
      <c r="K2704">
        <v>37</v>
      </c>
      <c r="L2704" t="s">
        <v>24</v>
      </c>
      <c r="M2704" t="s">
        <v>31</v>
      </c>
      <c r="N2704" t="s">
        <v>30</v>
      </c>
      <c r="O2704" t="s">
        <v>27</v>
      </c>
      <c r="P2704">
        <v>1.54</v>
      </c>
      <c r="Q2704" s="2" t="b">
        <f>FALSE()</f>
        <v>0</v>
      </c>
      <c r="R2704">
        <v>1</v>
      </c>
    </row>
    <row r="2705" spans="1:18" x14ac:dyDescent="0.25">
      <c r="A2705">
        <v>202704</v>
      </c>
      <c r="B2705">
        <v>55916</v>
      </c>
      <c r="C2705" t="s">
        <v>28</v>
      </c>
      <c r="D2705">
        <v>3735.42</v>
      </c>
      <c r="E2705">
        <v>715</v>
      </c>
      <c r="F2705">
        <v>1</v>
      </c>
      <c r="G2705">
        <v>2</v>
      </c>
      <c r="H2705">
        <v>1</v>
      </c>
      <c r="I2705" t="s">
        <v>19</v>
      </c>
      <c r="J2705">
        <v>1</v>
      </c>
      <c r="K2705">
        <v>79</v>
      </c>
      <c r="L2705" t="s">
        <v>24</v>
      </c>
      <c r="M2705" t="s">
        <v>29</v>
      </c>
      <c r="N2705" t="s">
        <v>30</v>
      </c>
      <c r="O2705" t="s">
        <v>23</v>
      </c>
      <c r="P2705">
        <v>0.39</v>
      </c>
      <c r="Q2705" s="2" t="b">
        <f>FALSE()</f>
        <v>0</v>
      </c>
      <c r="R2705">
        <v>1</v>
      </c>
    </row>
    <row r="2706" spans="1:18" x14ac:dyDescent="0.25">
      <c r="A2706">
        <v>202705</v>
      </c>
      <c r="B2706">
        <v>52661</v>
      </c>
      <c r="C2706" t="s">
        <v>18</v>
      </c>
      <c r="D2706">
        <v>3173.85</v>
      </c>
      <c r="E2706">
        <v>2140</v>
      </c>
      <c r="F2706">
        <v>2</v>
      </c>
      <c r="G2706">
        <v>2</v>
      </c>
      <c r="H2706">
        <v>0</v>
      </c>
      <c r="I2706" t="s">
        <v>19</v>
      </c>
      <c r="J2706">
        <v>0</v>
      </c>
      <c r="K2706">
        <v>40</v>
      </c>
      <c r="L2706" t="s">
        <v>24</v>
      </c>
      <c r="M2706" t="s">
        <v>31</v>
      </c>
      <c r="N2706" t="s">
        <v>26</v>
      </c>
      <c r="O2706" t="s">
        <v>27</v>
      </c>
      <c r="P2706">
        <v>0.21</v>
      </c>
      <c r="Q2706" s="2" t="b">
        <f>FALSE()</f>
        <v>0</v>
      </c>
      <c r="R2706">
        <v>0</v>
      </c>
    </row>
    <row r="2707" spans="1:18" x14ac:dyDescent="0.25">
      <c r="A2707">
        <v>202706</v>
      </c>
      <c r="B2707">
        <v>55399</v>
      </c>
      <c r="C2707" t="s">
        <v>34</v>
      </c>
      <c r="D2707">
        <v>1666.65</v>
      </c>
      <c r="E2707">
        <v>1765</v>
      </c>
      <c r="F2707">
        <v>2</v>
      </c>
      <c r="G2707">
        <v>2</v>
      </c>
      <c r="H2707">
        <v>0</v>
      </c>
      <c r="I2707" t="s">
        <v>33</v>
      </c>
      <c r="J2707">
        <v>0</v>
      </c>
      <c r="K2707">
        <v>70</v>
      </c>
      <c r="L2707" t="s">
        <v>24</v>
      </c>
      <c r="M2707" t="s">
        <v>37</v>
      </c>
      <c r="N2707" t="s">
        <v>26</v>
      </c>
      <c r="O2707" t="s">
        <v>36</v>
      </c>
      <c r="P2707">
        <v>0.89</v>
      </c>
      <c r="Q2707" s="2" t="b">
        <f>FALSE()</f>
        <v>0</v>
      </c>
      <c r="R2707">
        <v>0</v>
      </c>
    </row>
    <row r="2708" spans="1:18" x14ac:dyDescent="0.25">
      <c r="A2708">
        <v>202707</v>
      </c>
      <c r="B2708">
        <v>55360</v>
      </c>
      <c r="C2708" t="s">
        <v>18</v>
      </c>
      <c r="D2708">
        <v>820.72</v>
      </c>
      <c r="E2708">
        <v>3008</v>
      </c>
      <c r="F2708">
        <v>2</v>
      </c>
      <c r="G2708">
        <v>4</v>
      </c>
      <c r="H2708">
        <v>0</v>
      </c>
      <c r="I2708" t="s">
        <v>19</v>
      </c>
      <c r="J2708">
        <v>0</v>
      </c>
      <c r="K2708">
        <v>80</v>
      </c>
      <c r="L2708" t="s">
        <v>20</v>
      </c>
      <c r="M2708" t="s">
        <v>21</v>
      </c>
      <c r="N2708" t="s">
        <v>22</v>
      </c>
      <c r="O2708" t="s">
        <v>36</v>
      </c>
      <c r="P2708">
        <v>3.94</v>
      </c>
      <c r="Q2708" s="2" t="b">
        <f>FALSE()</f>
        <v>0</v>
      </c>
      <c r="R2708">
        <v>0</v>
      </c>
    </row>
    <row r="2709" spans="1:18" x14ac:dyDescent="0.25">
      <c r="A2709">
        <v>202708</v>
      </c>
      <c r="B2709">
        <v>54837</v>
      </c>
      <c r="C2709" t="s">
        <v>18</v>
      </c>
      <c r="D2709">
        <v>4669.2700000000004</v>
      </c>
      <c r="E2709">
        <v>996</v>
      </c>
      <c r="F2709">
        <v>1</v>
      </c>
      <c r="G2709">
        <v>6</v>
      </c>
      <c r="H2709">
        <v>1</v>
      </c>
      <c r="I2709" t="s">
        <v>33</v>
      </c>
      <c r="J2709">
        <v>1</v>
      </c>
      <c r="K2709">
        <v>26</v>
      </c>
      <c r="L2709" t="s">
        <v>20</v>
      </c>
      <c r="M2709" t="s">
        <v>37</v>
      </c>
      <c r="N2709" t="s">
        <v>30</v>
      </c>
      <c r="O2709" t="s">
        <v>27</v>
      </c>
      <c r="P2709">
        <v>4.74</v>
      </c>
      <c r="Q2709" s="2" t="b">
        <f>FALSE()</f>
        <v>0</v>
      </c>
      <c r="R2709">
        <v>1</v>
      </c>
    </row>
    <row r="2710" spans="1:18" x14ac:dyDescent="0.25">
      <c r="A2710">
        <v>202709</v>
      </c>
      <c r="B2710">
        <v>50305</v>
      </c>
      <c r="C2710" t="s">
        <v>18</v>
      </c>
      <c r="D2710">
        <v>2828.77</v>
      </c>
      <c r="E2710">
        <v>2358</v>
      </c>
      <c r="F2710">
        <v>1</v>
      </c>
      <c r="G2710">
        <v>2</v>
      </c>
      <c r="H2710">
        <v>0</v>
      </c>
      <c r="I2710" t="s">
        <v>33</v>
      </c>
      <c r="J2710">
        <v>0</v>
      </c>
      <c r="K2710">
        <v>44</v>
      </c>
      <c r="L2710" t="s">
        <v>20</v>
      </c>
      <c r="M2710" t="s">
        <v>21</v>
      </c>
      <c r="N2710" t="s">
        <v>30</v>
      </c>
      <c r="O2710" t="s">
        <v>36</v>
      </c>
      <c r="P2710">
        <v>2.2000000000000002</v>
      </c>
      <c r="Q2710" s="2" t="b">
        <f>FALSE()</f>
        <v>0</v>
      </c>
      <c r="R2710">
        <v>0</v>
      </c>
    </row>
    <row r="2711" spans="1:18" x14ac:dyDescent="0.25">
      <c r="A2711">
        <v>202710</v>
      </c>
      <c r="B2711">
        <v>52186</v>
      </c>
      <c r="C2711" t="s">
        <v>28</v>
      </c>
      <c r="D2711">
        <v>2507.63</v>
      </c>
      <c r="E2711">
        <v>215</v>
      </c>
      <c r="F2711">
        <v>0</v>
      </c>
      <c r="G2711">
        <v>6</v>
      </c>
      <c r="H2711">
        <v>0</v>
      </c>
      <c r="I2711" t="s">
        <v>33</v>
      </c>
      <c r="J2711">
        <v>0</v>
      </c>
      <c r="K2711">
        <v>82</v>
      </c>
      <c r="L2711" t="s">
        <v>20</v>
      </c>
      <c r="M2711" t="s">
        <v>35</v>
      </c>
      <c r="N2711" t="s">
        <v>22</v>
      </c>
      <c r="O2711" t="s">
        <v>23</v>
      </c>
      <c r="P2711">
        <v>3.32</v>
      </c>
      <c r="Q2711" s="2" t="b">
        <f>FALSE()</f>
        <v>0</v>
      </c>
      <c r="R2711">
        <v>0</v>
      </c>
    </row>
    <row r="2712" spans="1:18" x14ac:dyDescent="0.25">
      <c r="A2712">
        <v>202711</v>
      </c>
      <c r="B2712">
        <v>52205</v>
      </c>
      <c r="C2712" t="s">
        <v>18</v>
      </c>
      <c r="D2712">
        <v>3135.96</v>
      </c>
      <c r="E2712">
        <v>23</v>
      </c>
      <c r="F2712">
        <v>0</v>
      </c>
      <c r="G2712">
        <v>6</v>
      </c>
      <c r="H2712">
        <v>1</v>
      </c>
      <c r="I2712" t="s">
        <v>33</v>
      </c>
      <c r="J2712">
        <v>0</v>
      </c>
      <c r="K2712">
        <v>44</v>
      </c>
      <c r="L2712" t="s">
        <v>20</v>
      </c>
      <c r="M2712" t="s">
        <v>21</v>
      </c>
      <c r="N2712" t="s">
        <v>30</v>
      </c>
      <c r="O2712" t="s">
        <v>27</v>
      </c>
      <c r="P2712">
        <v>0.32</v>
      </c>
      <c r="Q2712" s="2" t="b">
        <f>FALSE()</f>
        <v>0</v>
      </c>
      <c r="R2712">
        <v>0</v>
      </c>
    </row>
    <row r="2713" spans="1:18" x14ac:dyDescent="0.25">
      <c r="A2713">
        <v>202712</v>
      </c>
      <c r="B2713">
        <v>52998</v>
      </c>
      <c r="C2713" t="s">
        <v>34</v>
      </c>
      <c r="D2713">
        <v>1805.07</v>
      </c>
      <c r="E2713">
        <v>1569</v>
      </c>
      <c r="F2713">
        <v>0</v>
      </c>
      <c r="G2713">
        <v>5</v>
      </c>
      <c r="H2713">
        <v>1</v>
      </c>
      <c r="I2713" t="s">
        <v>32</v>
      </c>
      <c r="J2713">
        <v>0</v>
      </c>
      <c r="K2713">
        <v>19</v>
      </c>
      <c r="L2713" t="s">
        <v>24</v>
      </c>
      <c r="M2713" t="s">
        <v>35</v>
      </c>
      <c r="N2713" t="s">
        <v>22</v>
      </c>
      <c r="O2713" t="s">
        <v>23</v>
      </c>
      <c r="P2713">
        <v>2.35</v>
      </c>
      <c r="Q2713" s="2" t="b">
        <f>FALSE()</f>
        <v>0</v>
      </c>
      <c r="R2713">
        <v>0</v>
      </c>
    </row>
    <row r="2714" spans="1:18" x14ac:dyDescent="0.25">
      <c r="A2714">
        <v>202713</v>
      </c>
      <c r="B2714">
        <v>54945</v>
      </c>
      <c r="C2714" t="s">
        <v>18</v>
      </c>
      <c r="D2714">
        <v>5780.33</v>
      </c>
      <c r="E2714">
        <v>2021</v>
      </c>
      <c r="F2714">
        <v>1</v>
      </c>
      <c r="G2714">
        <v>2</v>
      </c>
      <c r="H2714">
        <v>0</v>
      </c>
      <c r="I2714" t="s">
        <v>19</v>
      </c>
      <c r="J2714">
        <v>0</v>
      </c>
      <c r="K2714">
        <v>26</v>
      </c>
      <c r="L2714" t="s">
        <v>24</v>
      </c>
      <c r="M2714" t="s">
        <v>25</v>
      </c>
      <c r="N2714" t="s">
        <v>30</v>
      </c>
      <c r="O2714" t="s">
        <v>36</v>
      </c>
      <c r="P2714">
        <v>0.95</v>
      </c>
      <c r="Q2714" s="2" t="b">
        <f>FALSE()</f>
        <v>0</v>
      </c>
      <c r="R2714">
        <v>1</v>
      </c>
    </row>
    <row r="2715" spans="1:18" x14ac:dyDescent="0.25">
      <c r="A2715">
        <v>202714</v>
      </c>
      <c r="B2715">
        <v>55811</v>
      </c>
      <c r="C2715" t="s">
        <v>28</v>
      </c>
      <c r="D2715">
        <v>1047.67</v>
      </c>
      <c r="E2715">
        <v>3307</v>
      </c>
      <c r="F2715">
        <v>1</v>
      </c>
      <c r="G2715">
        <v>3</v>
      </c>
      <c r="H2715">
        <v>0</v>
      </c>
      <c r="I2715" t="s">
        <v>19</v>
      </c>
      <c r="J2715">
        <v>0</v>
      </c>
      <c r="K2715">
        <v>37</v>
      </c>
      <c r="L2715" t="s">
        <v>24</v>
      </c>
      <c r="M2715" t="s">
        <v>35</v>
      </c>
      <c r="N2715" t="s">
        <v>26</v>
      </c>
      <c r="O2715" t="s">
        <v>27</v>
      </c>
      <c r="P2715">
        <v>1.79</v>
      </c>
      <c r="Q2715" s="2" t="b">
        <f>FALSE()</f>
        <v>0</v>
      </c>
      <c r="R2715">
        <v>0</v>
      </c>
    </row>
    <row r="2716" spans="1:18" x14ac:dyDescent="0.25">
      <c r="A2716">
        <v>202715</v>
      </c>
      <c r="B2716">
        <v>54041</v>
      </c>
      <c r="C2716" t="s">
        <v>18</v>
      </c>
      <c r="D2716">
        <v>773.5</v>
      </c>
      <c r="E2716">
        <v>1006</v>
      </c>
      <c r="F2716">
        <v>1</v>
      </c>
      <c r="G2716">
        <v>3</v>
      </c>
      <c r="H2716">
        <v>1</v>
      </c>
      <c r="I2716" t="s">
        <v>33</v>
      </c>
      <c r="J2716">
        <v>1</v>
      </c>
      <c r="K2716">
        <v>66</v>
      </c>
      <c r="L2716" t="s">
        <v>24</v>
      </c>
      <c r="M2716" t="s">
        <v>31</v>
      </c>
      <c r="N2716" t="s">
        <v>22</v>
      </c>
      <c r="O2716" t="s">
        <v>23</v>
      </c>
      <c r="P2716">
        <v>4.99</v>
      </c>
      <c r="Q2716" s="2" t="b">
        <f>FALSE()</f>
        <v>0</v>
      </c>
      <c r="R2716">
        <v>0</v>
      </c>
    </row>
    <row r="2717" spans="1:18" x14ac:dyDescent="0.25">
      <c r="A2717">
        <v>202716</v>
      </c>
      <c r="B2717">
        <v>52196</v>
      </c>
      <c r="C2717" t="s">
        <v>18</v>
      </c>
      <c r="D2717">
        <v>621.87</v>
      </c>
      <c r="E2717">
        <v>2989</v>
      </c>
      <c r="F2717">
        <v>1</v>
      </c>
      <c r="G2717">
        <v>6</v>
      </c>
      <c r="H2717">
        <v>0</v>
      </c>
      <c r="I2717" t="s">
        <v>19</v>
      </c>
      <c r="J2717">
        <v>0</v>
      </c>
      <c r="K2717">
        <v>33</v>
      </c>
      <c r="L2717" t="s">
        <v>24</v>
      </c>
      <c r="M2717" t="s">
        <v>35</v>
      </c>
      <c r="N2717" t="s">
        <v>26</v>
      </c>
      <c r="O2717" t="s">
        <v>36</v>
      </c>
      <c r="P2717">
        <v>1.65</v>
      </c>
      <c r="Q2717" s="2" t="b">
        <f>FALSE()</f>
        <v>0</v>
      </c>
      <c r="R2717">
        <v>0</v>
      </c>
    </row>
    <row r="2718" spans="1:18" x14ac:dyDescent="0.25">
      <c r="A2718">
        <v>202717</v>
      </c>
      <c r="B2718">
        <v>53592</v>
      </c>
      <c r="C2718" t="s">
        <v>18</v>
      </c>
      <c r="D2718">
        <v>4302.66</v>
      </c>
      <c r="E2718">
        <v>3193</v>
      </c>
      <c r="F2718">
        <v>2</v>
      </c>
      <c r="G2718">
        <v>2</v>
      </c>
      <c r="H2718">
        <v>0</v>
      </c>
      <c r="I2718" t="s">
        <v>33</v>
      </c>
      <c r="J2718">
        <v>0</v>
      </c>
      <c r="K2718">
        <v>74</v>
      </c>
      <c r="L2718" t="s">
        <v>20</v>
      </c>
      <c r="M2718" t="s">
        <v>21</v>
      </c>
      <c r="N2718" t="s">
        <v>30</v>
      </c>
      <c r="O2718" t="s">
        <v>27</v>
      </c>
      <c r="P2718">
        <v>5.22</v>
      </c>
      <c r="Q2718" s="2" t="b">
        <f>FALSE()</f>
        <v>0</v>
      </c>
      <c r="R2718">
        <v>1</v>
      </c>
    </row>
    <row r="2719" spans="1:18" x14ac:dyDescent="0.25">
      <c r="A2719">
        <v>202718</v>
      </c>
      <c r="B2719">
        <v>55370</v>
      </c>
      <c r="C2719" t="s">
        <v>28</v>
      </c>
      <c r="D2719">
        <v>5002.1099999999997</v>
      </c>
      <c r="E2719">
        <v>316</v>
      </c>
      <c r="F2719">
        <v>4</v>
      </c>
      <c r="G2719">
        <v>6</v>
      </c>
      <c r="H2719">
        <v>1</v>
      </c>
      <c r="I2719" t="s">
        <v>33</v>
      </c>
      <c r="J2719">
        <v>1</v>
      </c>
      <c r="K2719">
        <v>77</v>
      </c>
      <c r="L2719" t="s">
        <v>24</v>
      </c>
      <c r="M2719" t="s">
        <v>35</v>
      </c>
      <c r="N2719" t="s">
        <v>22</v>
      </c>
      <c r="O2719" t="s">
        <v>23</v>
      </c>
      <c r="P2719">
        <v>0.72</v>
      </c>
      <c r="Q2719" s="2" t="b">
        <f>FALSE()</f>
        <v>0</v>
      </c>
      <c r="R2719">
        <v>1</v>
      </c>
    </row>
    <row r="2720" spans="1:18" x14ac:dyDescent="0.25">
      <c r="A2720">
        <v>202719</v>
      </c>
      <c r="B2720">
        <v>50555</v>
      </c>
      <c r="C2720" t="s">
        <v>18</v>
      </c>
      <c r="D2720">
        <v>1551.08</v>
      </c>
      <c r="E2720">
        <v>582</v>
      </c>
      <c r="F2720">
        <v>1</v>
      </c>
      <c r="G2720">
        <v>6</v>
      </c>
      <c r="H2720">
        <v>1</v>
      </c>
      <c r="I2720" t="s">
        <v>19</v>
      </c>
      <c r="J2720">
        <v>0</v>
      </c>
      <c r="K2720">
        <v>41</v>
      </c>
      <c r="L2720" t="s">
        <v>24</v>
      </c>
      <c r="M2720" t="s">
        <v>31</v>
      </c>
      <c r="N2720" t="s">
        <v>22</v>
      </c>
      <c r="O2720" t="s">
        <v>23</v>
      </c>
      <c r="P2720">
        <v>8.7100000000000009</v>
      </c>
      <c r="Q2720" s="2" t="b">
        <f>FALSE()</f>
        <v>0</v>
      </c>
      <c r="R2720">
        <v>0</v>
      </c>
    </row>
    <row r="2721" spans="1:18" x14ac:dyDescent="0.25">
      <c r="A2721">
        <v>202720</v>
      </c>
      <c r="B2721">
        <v>55360</v>
      </c>
      <c r="C2721" t="s">
        <v>18</v>
      </c>
      <c r="D2721">
        <v>4946.74</v>
      </c>
      <c r="E2721">
        <v>3192</v>
      </c>
      <c r="F2721">
        <v>2</v>
      </c>
      <c r="G2721">
        <v>6</v>
      </c>
      <c r="H2721">
        <v>0</v>
      </c>
      <c r="I2721" t="s">
        <v>33</v>
      </c>
      <c r="J2721">
        <v>1</v>
      </c>
      <c r="K2721">
        <v>65</v>
      </c>
      <c r="L2721" t="s">
        <v>24</v>
      </c>
      <c r="M2721" t="s">
        <v>31</v>
      </c>
      <c r="N2721" t="s">
        <v>22</v>
      </c>
      <c r="O2721" t="s">
        <v>27</v>
      </c>
      <c r="P2721">
        <v>6.66</v>
      </c>
      <c r="Q2721" s="2" t="b">
        <f>FALSE()</f>
        <v>0</v>
      </c>
      <c r="R2721">
        <v>1</v>
      </c>
    </row>
    <row r="2722" spans="1:18" x14ac:dyDescent="0.25">
      <c r="A2722">
        <v>202721</v>
      </c>
      <c r="B2722">
        <v>51631</v>
      </c>
      <c r="C2722" t="s">
        <v>34</v>
      </c>
      <c r="D2722">
        <v>2062.75</v>
      </c>
      <c r="E2722">
        <v>3320</v>
      </c>
      <c r="F2722">
        <v>1</v>
      </c>
      <c r="G2722">
        <v>4</v>
      </c>
      <c r="H2722">
        <v>0</v>
      </c>
      <c r="I2722" t="s">
        <v>19</v>
      </c>
      <c r="J2722">
        <v>0</v>
      </c>
      <c r="K2722">
        <v>71</v>
      </c>
      <c r="L2722" t="s">
        <v>24</v>
      </c>
      <c r="M2722" t="s">
        <v>31</v>
      </c>
      <c r="N2722" t="s">
        <v>30</v>
      </c>
      <c r="O2722" t="s">
        <v>27</v>
      </c>
      <c r="P2722">
        <v>2.81</v>
      </c>
      <c r="Q2722" s="2" t="b">
        <f>FALSE()</f>
        <v>0</v>
      </c>
      <c r="R2722">
        <v>0</v>
      </c>
    </row>
    <row r="2723" spans="1:18" x14ac:dyDescent="0.25">
      <c r="A2723">
        <v>202722</v>
      </c>
      <c r="B2723">
        <v>55177</v>
      </c>
      <c r="C2723" t="s">
        <v>18</v>
      </c>
      <c r="D2723">
        <v>1943.3</v>
      </c>
      <c r="E2723">
        <v>2563</v>
      </c>
      <c r="F2723">
        <v>0</v>
      </c>
      <c r="G2723">
        <v>4</v>
      </c>
      <c r="H2723">
        <v>1</v>
      </c>
      <c r="I2723" t="s">
        <v>33</v>
      </c>
      <c r="J2723">
        <v>1</v>
      </c>
      <c r="K2723">
        <v>18</v>
      </c>
      <c r="L2723" t="s">
        <v>20</v>
      </c>
      <c r="M2723" t="s">
        <v>31</v>
      </c>
      <c r="N2723" t="s">
        <v>22</v>
      </c>
      <c r="O2723" t="s">
        <v>27</v>
      </c>
      <c r="P2723">
        <v>7.98</v>
      </c>
      <c r="Q2723" s="2" t="b">
        <f>FALSE()</f>
        <v>0</v>
      </c>
      <c r="R2723">
        <v>0</v>
      </c>
    </row>
    <row r="2724" spans="1:18" x14ac:dyDescent="0.25">
      <c r="A2724">
        <v>202723</v>
      </c>
      <c r="B2724">
        <v>51951</v>
      </c>
      <c r="C2724" t="s">
        <v>34</v>
      </c>
      <c r="D2724">
        <v>2643.63</v>
      </c>
      <c r="E2724">
        <v>2339</v>
      </c>
      <c r="F2724">
        <v>1</v>
      </c>
      <c r="G2724">
        <v>4</v>
      </c>
      <c r="H2724">
        <v>0</v>
      </c>
      <c r="I2724" t="s">
        <v>19</v>
      </c>
      <c r="J2724">
        <v>0</v>
      </c>
      <c r="K2724">
        <v>45</v>
      </c>
      <c r="L2724" t="s">
        <v>20</v>
      </c>
      <c r="M2724" t="s">
        <v>35</v>
      </c>
      <c r="N2724" t="s">
        <v>22</v>
      </c>
      <c r="O2724" t="s">
        <v>27</v>
      </c>
      <c r="P2724">
        <v>0.93</v>
      </c>
      <c r="Q2724" s="2" t="b">
        <f>FALSE()</f>
        <v>0</v>
      </c>
      <c r="R2724">
        <v>0</v>
      </c>
    </row>
    <row r="2725" spans="1:18" x14ac:dyDescent="0.25">
      <c r="A2725">
        <v>202724</v>
      </c>
      <c r="B2725">
        <v>50774</v>
      </c>
      <c r="C2725" t="s">
        <v>18</v>
      </c>
      <c r="D2725">
        <v>686.68</v>
      </c>
      <c r="E2725">
        <v>415</v>
      </c>
      <c r="F2725">
        <v>1</v>
      </c>
      <c r="G2725">
        <v>2</v>
      </c>
      <c r="H2725">
        <v>0</v>
      </c>
      <c r="I2725" t="s">
        <v>32</v>
      </c>
      <c r="J2725">
        <v>1</v>
      </c>
      <c r="K2725">
        <v>75</v>
      </c>
      <c r="L2725" t="s">
        <v>24</v>
      </c>
      <c r="M2725" t="s">
        <v>35</v>
      </c>
      <c r="N2725" t="s">
        <v>30</v>
      </c>
      <c r="O2725" t="s">
        <v>27</v>
      </c>
      <c r="P2725">
        <v>8.26</v>
      </c>
      <c r="Q2725" s="2" t="b">
        <f>FALSE()</f>
        <v>0</v>
      </c>
      <c r="R2725">
        <v>0</v>
      </c>
    </row>
    <row r="2726" spans="1:18" x14ac:dyDescent="0.25">
      <c r="A2726">
        <v>202725</v>
      </c>
      <c r="B2726">
        <v>51980</v>
      </c>
      <c r="C2726" t="s">
        <v>34</v>
      </c>
      <c r="D2726">
        <v>4525.1099999999997</v>
      </c>
      <c r="E2726">
        <v>1362</v>
      </c>
      <c r="F2726">
        <v>0</v>
      </c>
      <c r="G2726">
        <v>3</v>
      </c>
      <c r="H2726">
        <v>0</v>
      </c>
      <c r="I2726" t="s">
        <v>19</v>
      </c>
      <c r="J2726">
        <v>0</v>
      </c>
      <c r="K2726">
        <v>42</v>
      </c>
      <c r="L2726" t="s">
        <v>20</v>
      </c>
      <c r="M2726" t="s">
        <v>25</v>
      </c>
      <c r="N2726" t="s">
        <v>30</v>
      </c>
      <c r="O2726" t="s">
        <v>23</v>
      </c>
      <c r="P2726">
        <v>4.1900000000000004</v>
      </c>
      <c r="Q2726" s="2" t="b">
        <f>FALSE()</f>
        <v>0</v>
      </c>
      <c r="R2726">
        <v>1</v>
      </c>
    </row>
    <row r="2727" spans="1:18" x14ac:dyDescent="0.25">
      <c r="A2727">
        <v>202726</v>
      </c>
      <c r="B2727">
        <v>52542</v>
      </c>
      <c r="C2727" t="s">
        <v>28</v>
      </c>
      <c r="D2727">
        <v>6075.06</v>
      </c>
      <c r="E2727">
        <v>2107</v>
      </c>
      <c r="F2727">
        <v>2</v>
      </c>
      <c r="G2727">
        <v>6</v>
      </c>
      <c r="H2727">
        <v>0</v>
      </c>
      <c r="I2727" t="s">
        <v>33</v>
      </c>
      <c r="J2727">
        <v>0</v>
      </c>
      <c r="K2727">
        <v>51</v>
      </c>
      <c r="L2727" t="s">
        <v>24</v>
      </c>
      <c r="M2727" t="s">
        <v>25</v>
      </c>
      <c r="N2727" t="s">
        <v>22</v>
      </c>
      <c r="O2727" t="s">
        <v>36</v>
      </c>
      <c r="P2727">
        <v>2.96</v>
      </c>
      <c r="Q2727" s="2" t="b">
        <f>FALSE()</f>
        <v>0</v>
      </c>
      <c r="R2727">
        <v>1</v>
      </c>
    </row>
    <row r="2728" spans="1:18" x14ac:dyDescent="0.25">
      <c r="A2728">
        <v>202727</v>
      </c>
      <c r="B2728">
        <v>51361</v>
      </c>
      <c r="C2728" t="s">
        <v>34</v>
      </c>
      <c r="D2728">
        <v>5857.98</v>
      </c>
      <c r="E2728">
        <v>3030</v>
      </c>
      <c r="F2728">
        <v>0</v>
      </c>
      <c r="G2728">
        <v>4</v>
      </c>
      <c r="H2728">
        <v>1</v>
      </c>
      <c r="I2728" t="s">
        <v>33</v>
      </c>
      <c r="J2728">
        <v>1</v>
      </c>
      <c r="K2728">
        <v>71</v>
      </c>
      <c r="L2728" t="s">
        <v>20</v>
      </c>
      <c r="M2728" t="s">
        <v>25</v>
      </c>
      <c r="N2728" t="s">
        <v>26</v>
      </c>
      <c r="O2728" t="s">
        <v>36</v>
      </c>
      <c r="P2728">
        <v>5.51</v>
      </c>
      <c r="Q2728" s="2" t="b">
        <f>FALSE()</f>
        <v>0</v>
      </c>
      <c r="R2728">
        <v>1</v>
      </c>
    </row>
    <row r="2729" spans="1:18" x14ac:dyDescent="0.25">
      <c r="A2729">
        <v>202728</v>
      </c>
      <c r="B2729">
        <v>53534</v>
      </c>
      <c r="C2729" t="s">
        <v>18</v>
      </c>
      <c r="D2729">
        <v>1501.65</v>
      </c>
      <c r="E2729">
        <v>1312</v>
      </c>
      <c r="F2729">
        <v>2</v>
      </c>
      <c r="G2729">
        <v>4</v>
      </c>
      <c r="H2729">
        <v>1</v>
      </c>
      <c r="I2729" t="s">
        <v>33</v>
      </c>
      <c r="J2729">
        <v>1</v>
      </c>
      <c r="K2729">
        <v>56</v>
      </c>
      <c r="L2729" t="s">
        <v>24</v>
      </c>
      <c r="M2729" t="s">
        <v>35</v>
      </c>
      <c r="N2729" t="s">
        <v>22</v>
      </c>
      <c r="O2729" t="s">
        <v>23</v>
      </c>
      <c r="P2729">
        <v>3.65</v>
      </c>
      <c r="Q2729" s="2" t="b">
        <f>FALSE()</f>
        <v>0</v>
      </c>
      <c r="R2729">
        <v>0</v>
      </c>
    </row>
    <row r="2730" spans="1:18" x14ac:dyDescent="0.25">
      <c r="A2730">
        <v>202729</v>
      </c>
      <c r="B2730">
        <v>53283</v>
      </c>
      <c r="C2730" t="s">
        <v>18</v>
      </c>
      <c r="D2730">
        <v>2420.98</v>
      </c>
      <c r="E2730">
        <v>2812</v>
      </c>
      <c r="F2730">
        <v>1</v>
      </c>
      <c r="G2730">
        <v>5</v>
      </c>
      <c r="H2730">
        <v>0</v>
      </c>
      <c r="I2730" t="s">
        <v>19</v>
      </c>
      <c r="J2730">
        <v>0</v>
      </c>
      <c r="K2730">
        <v>59</v>
      </c>
      <c r="L2730" t="s">
        <v>20</v>
      </c>
      <c r="M2730" t="s">
        <v>31</v>
      </c>
      <c r="N2730" t="s">
        <v>22</v>
      </c>
      <c r="O2730" t="s">
        <v>36</v>
      </c>
      <c r="P2730">
        <v>1.23</v>
      </c>
      <c r="Q2730" s="2" t="b">
        <f>FALSE()</f>
        <v>0</v>
      </c>
      <c r="R2730">
        <v>0</v>
      </c>
    </row>
    <row r="2731" spans="1:18" x14ac:dyDescent="0.25">
      <c r="A2731">
        <v>202730</v>
      </c>
      <c r="B2731">
        <v>54858</v>
      </c>
      <c r="C2731" t="s">
        <v>34</v>
      </c>
      <c r="D2731">
        <v>994.28</v>
      </c>
      <c r="E2731">
        <v>2427</v>
      </c>
      <c r="F2731">
        <v>0</v>
      </c>
      <c r="G2731">
        <v>6</v>
      </c>
      <c r="H2731">
        <v>0</v>
      </c>
      <c r="I2731" t="s">
        <v>33</v>
      </c>
      <c r="J2731">
        <v>0</v>
      </c>
      <c r="K2731">
        <v>19</v>
      </c>
      <c r="L2731" t="s">
        <v>24</v>
      </c>
      <c r="M2731" t="s">
        <v>21</v>
      </c>
      <c r="N2731" t="s">
        <v>22</v>
      </c>
      <c r="O2731" t="s">
        <v>23</v>
      </c>
      <c r="P2731">
        <v>1.37</v>
      </c>
      <c r="Q2731" s="2" t="b">
        <f>FALSE()</f>
        <v>0</v>
      </c>
      <c r="R2731">
        <v>0</v>
      </c>
    </row>
    <row r="2732" spans="1:18" x14ac:dyDescent="0.25">
      <c r="A2732">
        <v>202731</v>
      </c>
      <c r="B2732">
        <v>55821</v>
      </c>
      <c r="C2732" t="s">
        <v>28</v>
      </c>
      <c r="D2732">
        <v>3171.18</v>
      </c>
      <c r="E2732">
        <v>3261</v>
      </c>
      <c r="F2732">
        <v>1</v>
      </c>
      <c r="G2732">
        <v>9</v>
      </c>
      <c r="H2732">
        <v>0</v>
      </c>
      <c r="I2732" t="s">
        <v>32</v>
      </c>
      <c r="J2732">
        <v>0</v>
      </c>
      <c r="K2732">
        <v>69</v>
      </c>
      <c r="L2732" t="s">
        <v>24</v>
      </c>
      <c r="M2732" t="s">
        <v>37</v>
      </c>
      <c r="N2732" t="s">
        <v>30</v>
      </c>
      <c r="O2732" t="s">
        <v>23</v>
      </c>
      <c r="P2732">
        <v>3.05</v>
      </c>
      <c r="Q2732" s="2" t="b">
        <f>FALSE()</f>
        <v>0</v>
      </c>
      <c r="R2732">
        <v>1</v>
      </c>
    </row>
    <row r="2733" spans="1:18" x14ac:dyDescent="0.25">
      <c r="A2733">
        <v>202732</v>
      </c>
      <c r="B2733">
        <v>55719</v>
      </c>
      <c r="C2733" t="s">
        <v>34</v>
      </c>
      <c r="D2733">
        <v>8504.84</v>
      </c>
      <c r="E2733">
        <v>2319</v>
      </c>
      <c r="F2733">
        <v>0</v>
      </c>
      <c r="G2733">
        <v>4</v>
      </c>
      <c r="H2733">
        <v>1</v>
      </c>
      <c r="I2733" t="s">
        <v>19</v>
      </c>
      <c r="J2733">
        <v>0</v>
      </c>
      <c r="K2733">
        <v>54</v>
      </c>
      <c r="L2733" t="s">
        <v>24</v>
      </c>
      <c r="M2733" t="s">
        <v>37</v>
      </c>
      <c r="N2733" t="s">
        <v>26</v>
      </c>
      <c r="O2733" t="s">
        <v>36</v>
      </c>
      <c r="P2733">
        <v>2.2999999999999998</v>
      </c>
      <c r="Q2733" s="2" t="b">
        <f>TRUE()</f>
        <v>1</v>
      </c>
      <c r="R2733">
        <v>1</v>
      </c>
    </row>
    <row r="2734" spans="1:18" x14ac:dyDescent="0.25">
      <c r="A2734">
        <v>202733</v>
      </c>
      <c r="B2734">
        <v>51706</v>
      </c>
      <c r="C2734" t="s">
        <v>34</v>
      </c>
      <c r="D2734">
        <v>3645.54</v>
      </c>
      <c r="E2734">
        <v>582</v>
      </c>
      <c r="F2734">
        <v>0</v>
      </c>
      <c r="G2734">
        <v>5</v>
      </c>
      <c r="H2734">
        <v>0</v>
      </c>
      <c r="I2734" t="s">
        <v>33</v>
      </c>
      <c r="J2734">
        <v>0</v>
      </c>
      <c r="K2734">
        <v>25</v>
      </c>
      <c r="L2734" t="s">
        <v>20</v>
      </c>
      <c r="M2734" t="s">
        <v>35</v>
      </c>
      <c r="N2734" t="s">
        <v>22</v>
      </c>
      <c r="O2734" t="s">
        <v>27</v>
      </c>
      <c r="P2734">
        <v>0.37</v>
      </c>
      <c r="Q2734" s="2" t="b">
        <f>FALSE()</f>
        <v>0</v>
      </c>
      <c r="R2734">
        <v>1</v>
      </c>
    </row>
    <row r="2735" spans="1:18" x14ac:dyDescent="0.25">
      <c r="A2735">
        <v>202734</v>
      </c>
      <c r="B2735">
        <v>54405</v>
      </c>
      <c r="C2735" t="s">
        <v>18</v>
      </c>
      <c r="D2735">
        <v>2730.28</v>
      </c>
      <c r="E2735">
        <v>1048</v>
      </c>
      <c r="F2735">
        <v>1</v>
      </c>
      <c r="G2735">
        <v>2</v>
      </c>
      <c r="H2735">
        <v>0</v>
      </c>
      <c r="I2735" t="s">
        <v>19</v>
      </c>
      <c r="J2735">
        <v>0</v>
      </c>
      <c r="K2735">
        <v>67</v>
      </c>
      <c r="L2735" t="s">
        <v>24</v>
      </c>
      <c r="M2735" t="s">
        <v>21</v>
      </c>
      <c r="N2735" t="s">
        <v>30</v>
      </c>
      <c r="O2735" t="s">
        <v>36</v>
      </c>
      <c r="P2735">
        <v>0.41</v>
      </c>
      <c r="Q2735" s="2" t="b">
        <f>FALSE()</f>
        <v>0</v>
      </c>
      <c r="R2735">
        <v>0</v>
      </c>
    </row>
    <row r="2736" spans="1:18" x14ac:dyDescent="0.25">
      <c r="A2736">
        <v>202735</v>
      </c>
      <c r="B2736">
        <v>50908</v>
      </c>
      <c r="C2736" t="s">
        <v>18</v>
      </c>
      <c r="D2736">
        <v>4471.97</v>
      </c>
      <c r="E2736">
        <v>449</v>
      </c>
      <c r="F2736">
        <v>0</v>
      </c>
      <c r="G2736">
        <v>2</v>
      </c>
      <c r="H2736">
        <v>0</v>
      </c>
      <c r="I2736" t="s">
        <v>19</v>
      </c>
      <c r="J2736">
        <v>0</v>
      </c>
      <c r="K2736">
        <v>83</v>
      </c>
      <c r="L2736" t="s">
        <v>24</v>
      </c>
      <c r="M2736" t="s">
        <v>35</v>
      </c>
      <c r="N2736" t="s">
        <v>26</v>
      </c>
      <c r="O2736" t="s">
        <v>23</v>
      </c>
      <c r="P2736">
        <v>3.06</v>
      </c>
      <c r="Q2736" s="2" t="b">
        <f>FALSE()</f>
        <v>0</v>
      </c>
      <c r="R2736">
        <v>1</v>
      </c>
    </row>
    <row r="2737" spans="1:18" x14ac:dyDescent="0.25">
      <c r="A2737">
        <v>202736</v>
      </c>
      <c r="B2737">
        <v>53810</v>
      </c>
      <c r="C2737" t="s">
        <v>18</v>
      </c>
      <c r="D2737">
        <v>1074.42</v>
      </c>
      <c r="E2737">
        <v>163</v>
      </c>
      <c r="F2737">
        <v>0</v>
      </c>
      <c r="G2737">
        <v>6</v>
      </c>
      <c r="H2737">
        <v>0</v>
      </c>
      <c r="I2737" t="s">
        <v>32</v>
      </c>
      <c r="J2737">
        <v>0</v>
      </c>
      <c r="K2737">
        <v>65</v>
      </c>
      <c r="L2737" t="s">
        <v>38</v>
      </c>
      <c r="M2737" t="s">
        <v>37</v>
      </c>
      <c r="N2737" t="s">
        <v>30</v>
      </c>
      <c r="O2737" t="s">
        <v>27</v>
      </c>
      <c r="P2737">
        <v>0.37</v>
      </c>
      <c r="Q2737" s="2" t="b">
        <f>FALSE()</f>
        <v>0</v>
      </c>
      <c r="R2737">
        <v>0</v>
      </c>
    </row>
    <row r="2738" spans="1:18" x14ac:dyDescent="0.25">
      <c r="A2738">
        <v>202737</v>
      </c>
      <c r="B2738">
        <v>55241</v>
      </c>
      <c r="C2738" t="s">
        <v>34</v>
      </c>
      <c r="D2738">
        <v>1856.87</v>
      </c>
      <c r="E2738">
        <v>3445</v>
      </c>
      <c r="F2738">
        <v>0</v>
      </c>
      <c r="G2738">
        <v>2</v>
      </c>
      <c r="H2738">
        <v>0</v>
      </c>
      <c r="I2738" t="s">
        <v>33</v>
      </c>
      <c r="J2738">
        <v>0</v>
      </c>
      <c r="K2738">
        <v>71</v>
      </c>
      <c r="L2738" t="s">
        <v>24</v>
      </c>
      <c r="M2738" t="s">
        <v>37</v>
      </c>
      <c r="N2738" t="s">
        <v>22</v>
      </c>
      <c r="O2738" t="s">
        <v>36</v>
      </c>
      <c r="P2738">
        <v>0.25</v>
      </c>
      <c r="Q2738" s="2" t="b">
        <f>FALSE()</f>
        <v>0</v>
      </c>
      <c r="R2738">
        <v>0</v>
      </c>
    </row>
    <row r="2739" spans="1:18" x14ac:dyDescent="0.25">
      <c r="A2739">
        <v>202738</v>
      </c>
      <c r="B2739">
        <v>51617</v>
      </c>
      <c r="C2739" t="s">
        <v>34</v>
      </c>
      <c r="D2739">
        <v>3311.28</v>
      </c>
      <c r="E2739">
        <v>1123</v>
      </c>
      <c r="F2739">
        <v>2</v>
      </c>
      <c r="G2739">
        <v>5</v>
      </c>
      <c r="H2739">
        <v>0</v>
      </c>
      <c r="I2739" t="s">
        <v>33</v>
      </c>
      <c r="J2739">
        <v>0</v>
      </c>
      <c r="K2739">
        <v>58</v>
      </c>
      <c r="L2739" t="s">
        <v>24</v>
      </c>
      <c r="M2739" t="s">
        <v>31</v>
      </c>
      <c r="N2739" t="s">
        <v>30</v>
      </c>
      <c r="O2739" t="s">
        <v>23</v>
      </c>
      <c r="P2739">
        <v>0.51</v>
      </c>
      <c r="Q2739" s="2" t="b">
        <f>FALSE()</f>
        <v>0</v>
      </c>
      <c r="R2739">
        <v>0</v>
      </c>
    </row>
    <row r="2740" spans="1:18" x14ac:dyDescent="0.25">
      <c r="A2740">
        <v>202739</v>
      </c>
      <c r="B2740">
        <v>55875</v>
      </c>
      <c r="C2740" t="s">
        <v>34</v>
      </c>
      <c r="D2740">
        <v>630.04</v>
      </c>
      <c r="E2740">
        <v>2464</v>
      </c>
      <c r="F2740">
        <v>1</v>
      </c>
      <c r="G2740">
        <v>3</v>
      </c>
      <c r="H2740">
        <v>0</v>
      </c>
      <c r="I2740" t="s">
        <v>33</v>
      </c>
      <c r="J2740">
        <v>0</v>
      </c>
      <c r="K2740">
        <v>53</v>
      </c>
      <c r="L2740" t="s">
        <v>38</v>
      </c>
      <c r="M2740" t="s">
        <v>37</v>
      </c>
      <c r="N2740" t="s">
        <v>22</v>
      </c>
      <c r="O2740" t="s">
        <v>27</v>
      </c>
      <c r="P2740">
        <v>1.1200000000000001</v>
      </c>
      <c r="Q2740" s="2" t="b">
        <f>FALSE()</f>
        <v>0</v>
      </c>
      <c r="R2740">
        <v>0</v>
      </c>
    </row>
    <row r="2741" spans="1:18" x14ac:dyDescent="0.25">
      <c r="A2741">
        <v>202740</v>
      </c>
      <c r="B2741">
        <v>50375</v>
      </c>
      <c r="C2741" t="s">
        <v>34</v>
      </c>
      <c r="D2741">
        <v>1009.86</v>
      </c>
      <c r="E2741">
        <v>1174</v>
      </c>
      <c r="F2741">
        <v>2</v>
      </c>
      <c r="G2741">
        <v>1</v>
      </c>
      <c r="H2741">
        <v>0</v>
      </c>
      <c r="I2741" t="s">
        <v>33</v>
      </c>
      <c r="J2741">
        <v>0</v>
      </c>
      <c r="K2741">
        <v>19</v>
      </c>
      <c r="L2741" t="s">
        <v>20</v>
      </c>
      <c r="M2741" t="s">
        <v>37</v>
      </c>
      <c r="N2741" t="s">
        <v>30</v>
      </c>
      <c r="O2741" t="s">
        <v>23</v>
      </c>
      <c r="P2741">
        <v>6.12</v>
      </c>
      <c r="Q2741" s="2" t="b">
        <f>FALSE()</f>
        <v>0</v>
      </c>
      <c r="R2741">
        <v>0</v>
      </c>
    </row>
    <row r="2742" spans="1:18" x14ac:dyDescent="0.25">
      <c r="A2742">
        <v>202741</v>
      </c>
      <c r="B2742">
        <v>51584</v>
      </c>
      <c r="C2742" t="s">
        <v>34</v>
      </c>
      <c r="D2742">
        <v>4362.55</v>
      </c>
      <c r="E2742">
        <v>729</v>
      </c>
      <c r="F2742">
        <v>0</v>
      </c>
      <c r="G2742">
        <v>4</v>
      </c>
      <c r="H2742">
        <v>0</v>
      </c>
      <c r="I2742" t="s">
        <v>33</v>
      </c>
      <c r="J2742">
        <v>0</v>
      </c>
      <c r="K2742">
        <v>33</v>
      </c>
      <c r="L2742" t="s">
        <v>20</v>
      </c>
      <c r="M2742" t="s">
        <v>29</v>
      </c>
      <c r="N2742" t="s">
        <v>30</v>
      </c>
      <c r="O2742" t="s">
        <v>36</v>
      </c>
      <c r="P2742">
        <v>0.5</v>
      </c>
      <c r="Q2742" s="2" t="b">
        <f>FALSE()</f>
        <v>0</v>
      </c>
      <c r="R2742">
        <v>1</v>
      </c>
    </row>
    <row r="2743" spans="1:18" x14ac:dyDescent="0.25">
      <c r="A2743">
        <v>202742</v>
      </c>
      <c r="B2743">
        <v>52983</v>
      </c>
      <c r="C2743" t="s">
        <v>28</v>
      </c>
      <c r="D2743">
        <v>2838.74</v>
      </c>
      <c r="E2743">
        <v>2358</v>
      </c>
      <c r="F2743">
        <v>0</v>
      </c>
      <c r="G2743">
        <v>4</v>
      </c>
      <c r="H2743">
        <v>0</v>
      </c>
      <c r="I2743" t="s">
        <v>33</v>
      </c>
      <c r="J2743">
        <v>0</v>
      </c>
      <c r="K2743">
        <v>73</v>
      </c>
      <c r="L2743" t="s">
        <v>24</v>
      </c>
      <c r="M2743" t="s">
        <v>29</v>
      </c>
      <c r="N2743" t="s">
        <v>30</v>
      </c>
      <c r="O2743" t="s">
        <v>27</v>
      </c>
      <c r="P2743">
        <v>0.92</v>
      </c>
      <c r="Q2743" s="2" t="b">
        <f>FALSE()</f>
        <v>0</v>
      </c>
      <c r="R2743">
        <v>0</v>
      </c>
    </row>
    <row r="2744" spans="1:18" x14ac:dyDescent="0.25">
      <c r="A2744">
        <v>202743</v>
      </c>
      <c r="B2744">
        <v>51971</v>
      </c>
      <c r="C2744" t="s">
        <v>28</v>
      </c>
      <c r="D2744">
        <v>1309.8</v>
      </c>
      <c r="E2744">
        <v>854</v>
      </c>
      <c r="F2744">
        <v>0</v>
      </c>
      <c r="G2744">
        <v>5</v>
      </c>
      <c r="H2744">
        <v>1</v>
      </c>
      <c r="I2744" t="s">
        <v>33</v>
      </c>
      <c r="J2744">
        <v>0</v>
      </c>
      <c r="K2744">
        <v>30</v>
      </c>
      <c r="L2744" t="s">
        <v>24</v>
      </c>
      <c r="M2744" t="s">
        <v>37</v>
      </c>
      <c r="N2744" t="s">
        <v>26</v>
      </c>
      <c r="O2744" t="s">
        <v>27</v>
      </c>
      <c r="P2744">
        <v>8.36</v>
      </c>
      <c r="Q2744" s="2" t="b">
        <f>FALSE()</f>
        <v>0</v>
      </c>
      <c r="R2744">
        <v>0</v>
      </c>
    </row>
    <row r="2745" spans="1:18" x14ac:dyDescent="0.25">
      <c r="A2745">
        <v>202744</v>
      </c>
      <c r="B2745">
        <v>54429</v>
      </c>
      <c r="C2745" t="s">
        <v>18</v>
      </c>
      <c r="D2745">
        <v>1819.51</v>
      </c>
      <c r="E2745">
        <v>2953</v>
      </c>
      <c r="F2745">
        <v>1</v>
      </c>
      <c r="G2745">
        <v>5</v>
      </c>
      <c r="H2745">
        <v>0</v>
      </c>
      <c r="I2745" t="s">
        <v>33</v>
      </c>
      <c r="J2745">
        <v>0</v>
      </c>
      <c r="K2745">
        <v>56</v>
      </c>
      <c r="L2745" t="s">
        <v>24</v>
      </c>
      <c r="M2745" t="s">
        <v>29</v>
      </c>
      <c r="N2745" t="s">
        <v>26</v>
      </c>
      <c r="O2745" t="s">
        <v>27</v>
      </c>
      <c r="P2745">
        <v>1.27</v>
      </c>
      <c r="Q2745" s="2" t="b">
        <f>FALSE()</f>
        <v>0</v>
      </c>
      <c r="R2745">
        <v>0</v>
      </c>
    </row>
    <row r="2746" spans="1:18" x14ac:dyDescent="0.25">
      <c r="A2746">
        <v>202745</v>
      </c>
      <c r="B2746">
        <v>52209</v>
      </c>
      <c r="C2746" t="s">
        <v>18</v>
      </c>
      <c r="D2746">
        <v>2558.5</v>
      </c>
      <c r="E2746">
        <v>3325</v>
      </c>
      <c r="F2746">
        <v>1</v>
      </c>
      <c r="G2746">
        <v>5</v>
      </c>
      <c r="H2746">
        <v>1</v>
      </c>
      <c r="I2746" t="s">
        <v>32</v>
      </c>
      <c r="J2746">
        <v>0</v>
      </c>
      <c r="K2746">
        <v>52</v>
      </c>
      <c r="L2746" t="s">
        <v>24</v>
      </c>
      <c r="M2746" t="s">
        <v>29</v>
      </c>
      <c r="N2746" t="s">
        <v>30</v>
      </c>
      <c r="O2746" t="s">
        <v>23</v>
      </c>
      <c r="P2746">
        <v>1.03</v>
      </c>
      <c r="Q2746" s="2" t="b">
        <f>FALSE()</f>
        <v>0</v>
      </c>
      <c r="R2746">
        <v>0</v>
      </c>
    </row>
    <row r="2747" spans="1:18" x14ac:dyDescent="0.25">
      <c r="A2747">
        <v>202746</v>
      </c>
      <c r="B2747">
        <v>51186</v>
      </c>
      <c r="C2747" t="s">
        <v>28</v>
      </c>
      <c r="D2747">
        <v>3202.93</v>
      </c>
      <c r="E2747">
        <v>1223</v>
      </c>
      <c r="F2747">
        <v>3</v>
      </c>
      <c r="G2747">
        <v>5</v>
      </c>
      <c r="H2747">
        <v>1</v>
      </c>
      <c r="I2747" t="s">
        <v>33</v>
      </c>
      <c r="J2747">
        <v>1</v>
      </c>
      <c r="K2747">
        <v>27</v>
      </c>
      <c r="L2747" t="s">
        <v>24</v>
      </c>
      <c r="M2747" t="s">
        <v>29</v>
      </c>
      <c r="N2747" t="s">
        <v>22</v>
      </c>
      <c r="O2747" t="s">
        <v>36</v>
      </c>
      <c r="P2747">
        <v>0.69</v>
      </c>
      <c r="Q2747" s="2" t="b">
        <f>FALSE()</f>
        <v>0</v>
      </c>
      <c r="R2747">
        <v>1</v>
      </c>
    </row>
    <row r="2748" spans="1:18" x14ac:dyDescent="0.25">
      <c r="A2748">
        <v>202747</v>
      </c>
      <c r="B2748">
        <v>52008</v>
      </c>
      <c r="C2748" t="s">
        <v>28</v>
      </c>
      <c r="D2748">
        <v>5838.71</v>
      </c>
      <c r="E2748">
        <v>2023</v>
      </c>
      <c r="F2748">
        <v>3</v>
      </c>
      <c r="G2748">
        <v>7</v>
      </c>
      <c r="H2748">
        <v>0</v>
      </c>
      <c r="I2748" t="s">
        <v>19</v>
      </c>
      <c r="J2748">
        <v>1</v>
      </c>
      <c r="K2748">
        <v>64</v>
      </c>
      <c r="L2748" t="s">
        <v>20</v>
      </c>
      <c r="M2748" t="s">
        <v>31</v>
      </c>
      <c r="N2748" t="s">
        <v>30</v>
      </c>
      <c r="O2748" t="s">
        <v>36</v>
      </c>
      <c r="P2748">
        <v>2.17</v>
      </c>
      <c r="Q2748" s="2" t="b">
        <f>FALSE()</f>
        <v>0</v>
      </c>
      <c r="R2748">
        <v>1</v>
      </c>
    </row>
    <row r="2749" spans="1:18" x14ac:dyDescent="0.25">
      <c r="A2749">
        <v>202748</v>
      </c>
      <c r="B2749">
        <v>54419</v>
      </c>
      <c r="C2749" t="s">
        <v>18</v>
      </c>
      <c r="D2749">
        <v>3421.43</v>
      </c>
      <c r="E2749">
        <v>3029</v>
      </c>
      <c r="F2749">
        <v>0</v>
      </c>
      <c r="G2749">
        <v>2</v>
      </c>
      <c r="H2749">
        <v>0</v>
      </c>
      <c r="I2749" t="s">
        <v>33</v>
      </c>
      <c r="J2749">
        <v>0</v>
      </c>
      <c r="K2749">
        <v>82</v>
      </c>
      <c r="L2749" t="s">
        <v>24</v>
      </c>
      <c r="M2749" t="s">
        <v>31</v>
      </c>
      <c r="N2749" t="s">
        <v>30</v>
      </c>
      <c r="O2749" t="s">
        <v>27</v>
      </c>
      <c r="P2749">
        <v>0.37</v>
      </c>
      <c r="Q2749" s="2" t="b">
        <f>FALSE()</f>
        <v>0</v>
      </c>
      <c r="R2749">
        <v>0</v>
      </c>
    </row>
    <row r="2750" spans="1:18" x14ac:dyDescent="0.25">
      <c r="A2750">
        <v>202749</v>
      </c>
      <c r="B2750">
        <v>53595</v>
      </c>
      <c r="C2750" t="s">
        <v>18</v>
      </c>
      <c r="D2750">
        <v>4404.29</v>
      </c>
      <c r="E2750">
        <v>1448</v>
      </c>
      <c r="F2750">
        <v>6</v>
      </c>
      <c r="G2750">
        <v>5</v>
      </c>
      <c r="H2750">
        <v>0</v>
      </c>
      <c r="I2750" t="s">
        <v>33</v>
      </c>
      <c r="J2750">
        <v>0</v>
      </c>
      <c r="K2750">
        <v>19</v>
      </c>
      <c r="L2750" t="s">
        <v>24</v>
      </c>
      <c r="M2750" t="s">
        <v>29</v>
      </c>
      <c r="N2750" t="s">
        <v>26</v>
      </c>
      <c r="O2750" t="s">
        <v>27</v>
      </c>
      <c r="P2750">
        <v>4.29</v>
      </c>
      <c r="Q2750" s="2" t="b">
        <f>FALSE()</f>
        <v>0</v>
      </c>
      <c r="R2750">
        <v>1</v>
      </c>
    </row>
    <row r="2751" spans="1:18" x14ac:dyDescent="0.25">
      <c r="A2751">
        <v>202750</v>
      </c>
      <c r="B2751">
        <v>51427</v>
      </c>
      <c r="C2751" t="s">
        <v>18</v>
      </c>
      <c r="D2751">
        <v>1485.7</v>
      </c>
      <c r="E2751">
        <v>1731</v>
      </c>
      <c r="F2751">
        <v>1</v>
      </c>
      <c r="G2751">
        <v>5</v>
      </c>
      <c r="H2751">
        <v>0</v>
      </c>
      <c r="I2751" t="s">
        <v>19</v>
      </c>
      <c r="J2751">
        <v>1</v>
      </c>
      <c r="K2751">
        <v>59</v>
      </c>
      <c r="L2751" t="s">
        <v>24</v>
      </c>
      <c r="M2751" t="s">
        <v>21</v>
      </c>
      <c r="N2751" t="s">
        <v>22</v>
      </c>
      <c r="O2751" t="s">
        <v>23</v>
      </c>
      <c r="P2751">
        <v>3.4</v>
      </c>
      <c r="Q2751" s="2" t="b">
        <f>FALSE()</f>
        <v>0</v>
      </c>
      <c r="R2751">
        <v>0</v>
      </c>
    </row>
    <row r="2752" spans="1:18" x14ac:dyDescent="0.25">
      <c r="A2752">
        <v>202751</v>
      </c>
      <c r="B2752">
        <v>54231</v>
      </c>
      <c r="C2752" t="s">
        <v>18</v>
      </c>
      <c r="D2752">
        <v>4712.22</v>
      </c>
      <c r="E2752">
        <v>1528</v>
      </c>
      <c r="F2752">
        <v>2</v>
      </c>
      <c r="G2752">
        <v>2</v>
      </c>
      <c r="H2752">
        <v>0</v>
      </c>
      <c r="I2752" t="s">
        <v>33</v>
      </c>
      <c r="J2752">
        <v>0</v>
      </c>
      <c r="K2752">
        <v>73</v>
      </c>
      <c r="L2752" t="s">
        <v>20</v>
      </c>
      <c r="M2752" t="s">
        <v>21</v>
      </c>
      <c r="N2752" t="s">
        <v>22</v>
      </c>
      <c r="O2752" t="s">
        <v>23</v>
      </c>
      <c r="P2752">
        <v>6.08</v>
      </c>
      <c r="Q2752" s="2" t="b">
        <f>FALSE()</f>
        <v>0</v>
      </c>
      <c r="R2752">
        <v>1</v>
      </c>
    </row>
    <row r="2753" spans="1:18" x14ac:dyDescent="0.25">
      <c r="A2753">
        <v>202752</v>
      </c>
      <c r="B2753">
        <v>55451</v>
      </c>
      <c r="C2753" t="s">
        <v>18</v>
      </c>
      <c r="D2753">
        <v>6979.23</v>
      </c>
      <c r="E2753">
        <v>1650</v>
      </c>
      <c r="F2753">
        <v>3</v>
      </c>
      <c r="G2753">
        <v>5</v>
      </c>
      <c r="H2753">
        <v>1</v>
      </c>
      <c r="I2753" t="s">
        <v>33</v>
      </c>
      <c r="J2753">
        <v>0</v>
      </c>
      <c r="K2753">
        <v>66</v>
      </c>
      <c r="L2753" t="s">
        <v>24</v>
      </c>
      <c r="M2753" t="s">
        <v>35</v>
      </c>
      <c r="N2753" t="s">
        <v>22</v>
      </c>
      <c r="O2753" t="s">
        <v>27</v>
      </c>
      <c r="P2753">
        <v>0.79</v>
      </c>
      <c r="Q2753" s="2" t="b">
        <f>TRUE()</f>
        <v>1</v>
      </c>
      <c r="R2753">
        <v>1</v>
      </c>
    </row>
    <row r="2754" spans="1:18" x14ac:dyDescent="0.25">
      <c r="A2754">
        <v>202753</v>
      </c>
      <c r="B2754">
        <v>51964</v>
      </c>
      <c r="C2754" t="s">
        <v>34</v>
      </c>
      <c r="D2754">
        <v>5346.67</v>
      </c>
      <c r="E2754">
        <v>1269</v>
      </c>
      <c r="F2754">
        <v>0</v>
      </c>
      <c r="G2754">
        <v>3</v>
      </c>
      <c r="H2754">
        <v>0</v>
      </c>
      <c r="I2754" t="s">
        <v>33</v>
      </c>
      <c r="J2754">
        <v>0</v>
      </c>
      <c r="K2754">
        <v>74</v>
      </c>
      <c r="L2754" t="s">
        <v>20</v>
      </c>
      <c r="M2754" t="s">
        <v>37</v>
      </c>
      <c r="N2754" t="s">
        <v>22</v>
      </c>
      <c r="O2754" t="s">
        <v>23</v>
      </c>
      <c r="P2754">
        <v>4.79</v>
      </c>
      <c r="Q2754" s="2" t="b">
        <f>FALSE()</f>
        <v>0</v>
      </c>
      <c r="R2754">
        <v>1</v>
      </c>
    </row>
    <row r="2755" spans="1:18" x14ac:dyDescent="0.25">
      <c r="A2755">
        <v>202754</v>
      </c>
      <c r="B2755">
        <v>51841</v>
      </c>
      <c r="C2755" t="s">
        <v>18</v>
      </c>
      <c r="D2755">
        <v>1040.06</v>
      </c>
      <c r="E2755">
        <v>2094</v>
      </c>
      <c r="F2755">
        <v>1</v>
      </c>
      <c r="G2755">
        <v>2</v>
      </c>
      <c r="H2755">
        <v>1</v>
      </c>
      <c r="I2755" t="s">
        <v>19</v>
      </c>
      <c r="J2755">
        <v>0</v>
      </c>
      <c r="K2755">
        <v>65</v>
      </c>
      <c r="L2755" t="s">
        <v>20</v>
      </c>
      <c r="M2755" t="s">
        <v>25</v>
      </c>
      <c r="N2755" t="s">
        <v>26</v>
      </c>
      <c r="O2755" t="s">
        <v>36</v>
      </c>
      <c r="P2755">
        <v>0.54</v>
      </c>
      <c r="Q2755" s="2" t="b">
        <f>FALSE()</f>
        <v>0</v>
      </c>
      <c r="R2755">
        <v>0</v>
      </c>
    </row>
    <row r="2756" spans="1:18" x14ac:dyDescent="0.25">
      <c r="A2756">
        <v>202755</v>
      </c>
      <c r="B2756">
        <v>52674</v>
      </c>
      <c r="C2756" t="s">
        <v>34</v>
      </c>
      <c r="D2756">
        <v>3612.91</v>
      </c>
      <c r="E2756">
        <v>1740</v>
      </c>
      <c r="F2756">
        <v>0</v>
      </c>
      <c r="G2756">
        <v>3</v>
      </c>
      <c r="H2756">
        <v>0</v>
      </c>
      <c r="I2756" t="s">
        <v>33</v>
      </c>
      <c r="J2756">
        <v>0</v>
      </c>
      <c r="K2756">
        <v>33</v>
      </c>
      <c r="L2756" t="s">
        <v>24</v>
      </c>
      <c r="M2756" t="s">
        <v>21</v>
      </c>
      <c r="N2756" t="s">
        <v>26</v>
      </c>
      <c r="O2756" t="s">
        <v>23</v>
      </c>
      <c r="P2756">
        <v>6.02</v>
      </c>
      <c r="Q2756" s="2" t="b">
        <f>FALSE()</f>
        <v>0</v>
      </c>
      <c r="R2756">
        <v>1</v>
      </c>
    </row>
    <row r="2757" spans="1:18" x14ac:dyDescent="0.25">
      <c r="A2757">
        <v>202756</v>
      </c>
      <c r="B2757">
        <v>51350</v>
      </c>
      <c r="C2757" t="s">
        <v>18</v>
      </c>
      <c r="D2757">
        <v>2547.48</v>
      </c>
      <c r="E2757">
        <v>705</v>
      </c>
      <c r="F2757">
        <v>0</v>
      </c>
      <c r="G2757">
        <v>5</v>
      </c>
      <c r="H2757">
        <v>1</v>
      </c>
      <c r="I2757" t="s">
        <v>33</v>
      </c>
      <c r="J2757">
        <v>0</v>
      </c>
      <c r="K2757">
        <v>49</v>
      </c>
      <c r="L2757" t="s">
        <v>24</v>
      </c>
      <c r="M2757" t="s">
        <v>35</v>
      </c>
      <c r="N2757" t="s">
        <v>22</v>
      </c>
      <c r="O2757" t="s">
        <v>27</v>
      </c>
      <c r="P2757">
        <v>0.18</v>
      </c>
      <c r="Q2757" s="2" t="b">
        <f>FALSE()</f>
        <v>0</v>
      </c>
      <c r="R2757">
        <v>0</v>
      </c>
    </row>
    <row r="2758" spans="1:18" x14ac:dyDescent="0.25">
      <c r="A2758">
        <v>202757</v>
      </c>
      <c r="B2758">
        <v>55513</v>
      </c>
      <c r="C2758" t="s">
        <v>18</v>
      </c>
      <c r="D2758">
        <v>1829.75</v>
      </c>
      <c r="E2758">
        <v>2095</v>
      </c>
      <c r="F2758">
        <v>0</v>
      </c>
      <c r="G2758">
        <v>5</v>
      </c>
      <c r="H2758">
        <v>0</v>
      </c>
      <c r="I2758" t="s">
        <v>33</v>
      </c>
      <c r="J2758">
        <v>1</v>
      </c>
      <c r="K2758">
        <v>68</v>
      </c>
      <c r="L2758" t="s">
        <v>20</v>
      </c>
      <c r="M2758" t="s">
        <v>29</v>
      </c>
      <c r="N2758" t="s">
        <v>30</v>
      </c>
      <c r="O2758" t="s">
        <v>23</v>
      </c>
      <c r="P2758">
        <v>3.86</v>
      </c>
      <c r="Q2758" s="2" t="b">
        <f>FALSE()</f>
        <v>0</v>
      </c>
      <c r="R2758">
        <v>0</v>
      </c>
    </row>
    <row r="2759" spans="1:18" x14ac:dyDescent="0.25">
      <c r="A2759">
        <v>202758</v>
      </c>
      <c r="B2759">
        <v>53752</v>
      </c>
      <c r="C2759" t="s">
        <v>34</v>
      </c>
      <c r="D2759">
        <v>3867.47</v>
      </c>
      <c r="E2759">
        <v>831</v>
      </c>
      <c r="F2759">
        <v>3</v>
      </c>
      <c r="G2759">
        <v>1</v>
      </c>
      <c r="H2759">
        <v>1</v>
      </c>
      <c r="I2759" t="s">
        <v>19</v>
      </c>
      <c r="J2759">
        <v>0</v>
      </c>
      <c r="K2759">
        <v>22</v>
      </c>
      <c r="L2759" t="s">
        <v>20</v>
      </c>
      <c r="M2759" t="s">
        <v>21</v>
      </c>
      <c r="N2759" t="s">
        <v>22</v>
      </c>
      <c r="O2759" t="s">
        <v>36</v>
      </c>
      <c r="P2759">
        <v>1.21</v>
      </c>
      <c r="Q2759" s="2" t="b">
        <f>FALSE()</f>
        <v>0</v>
      </c>
      <c r="R2759">
        <v>1</v>
      </c>
    </row>
    <row r="2760" spans="1:18" x14ac:dyDescent="0.25">
      <c r="A2760">
        <v>202759</v>
      </c>
      <c r="B2760">
        <v>52636</v>
      </c>
      <c r="C2760" t="s">
        <v>18</v>
      </c>
      <c r="D2760">
        <v>1109.8499999999999</v>
      </c>
      <c r="E2760">
        <v>2350</v>
      </c>
      <c r="F2760">
        <v>3</v>
      </c>
      <c r="G2760">
        <v>4</v>
      </c>
      <c r="H2760">
        <v>1</v>
      </c>
      <c r="I2760" t="s">
        <v>32</v>
      </c>
      <c r="J2760">
        <v>0</v>
      </c>
      <c r="K2760">
        <v>58</v>
      </c>
      <c r="L2760" t="s">
        <v>20</v>
      </c>
      <c r="M2760" t="s">
        <v>35</v>
      </c>
      <c r="N2760" t="s">
        <v>22</v>
      </c>
      <c r="O2760" t="s">
        <v>23</v>
      </c>
      <c r="P2760">
        <v>2.71</v>
      </c>
      <c r="Q2760" s="2" t="b">
        <f>FALSE()</f>
        <v>0</v>
      </c>
      <c r="R2760">
        <v>1</v>
      </c>
    </row>
    <row r="2761" spans="1:18" x14ac:dyDescent="0.25">
      <c r="A2761">
        <v>202760</v>
      </c>
      <c r="B2761">
        <v>51365</v>
      </c>
      <c r="C2761" t="s">
        <v>28</v>
      </c>
      <c r="D2761">
        <v>580.1</v>
      </c>
      <c r="E2761">
        <v>207</v>
      </c>
      <c r="F2761">
        <v>0</v>
      </c>
      <c r="G2761">
        <v>5</v>
      </c>
      <c r="H2761">
        <v>0</v>
      </c>
      <c r="I2761" t="s">
        <v>33</v>
      </c>
      <c r="J2761">
        <v>0</v>
      </c>
      <c r="K2761">
        <v>45</v>
      </c>
      <c r="L2761" t="s">
        <v>20</v>
      </c>
      <c r="M2761" t="s">
        <v>35</v>
      </c>
      <c r="N2761" t="s">
        <v>30</v>
      </c>
      <c r="O2761" t="s">
        <v>23</v>
      </c>
      <c r="P2761">
        <v>5.14</v>
      </c>
      <c r="Q2761" s="2" t="b">
        <f>FALSE()</f>
        <v>0</v>
      </c>
      <c r="R2761">
        <v>0</v>
      </c>
    </row>
    <row r="2762" spans="1:18" x14ac:dyDescent="0.25">
      <c r="A2762">
        <v>202761</v>
      </c>
      <c r="B2762">
        <v>54759</v>
      </c>
      <c r="C2762" t="s">
        <v>28</v>
      </c>
      <c r="D2762">
        <v>3146.28</v>
      </c>
      <c r="E2762">
        <v>518</v>
      </c>
      <c r="F2762">
        <v>1</v>
      </c>
      <c r="G2762">
        <v>4</v>
      </c>
      <c r="H2762">
        <v>0</v>
      </c>
      <c r="I2762" t="s">
        <v>33</v>
      </c>
      <c r="J2762">
        <v>0</v>
      </c>
      <c r="K2762">
        <v>78</v>
      </c>
      <c r="L2762" t="s">
        <v>20</v>
      </c>
      <c r="M2762" t="s">
        <v>31</v>
      </c>
      <c r="N2762" t="s">
        <v>22</v>
      </c>
      <c r="O2762" t="s">
        <v>23</v>
      </c>
      <c r="P2762">
        <v>7.11</v>
      </c>
      <c r="Q2762" s="2" t="b">
        <f>FALSE()</f>
        <v>0</v>
      </c>
      <c r="R2762">
        <v>0</v>
      </c>
    </row>
    <row r="2763" spans="1:18" x14ac:dyDescent="0.25">
      <c r="A2763">
        <v>202762</v>
      </c>
      <c r="B2763">
        <v>53686</v>
      </c>
      <c r="C2763" t="s">
        <v>34</v>
      </c>
      <c r="D2763">
        <v>3093.84</v>
      </c>
      <c r="E2763">
        <v>1166</v>
      </c>
      <c r="F2763">
        <v>3</v>
      </c>
      <c r="G2763">
        <v>4</v>
      </c>
      <c r="H2763">
        <v>0</v>
      </c>
      <c r="I2763" t="s">
        <v>33</v>
      </c>
      <c r="J2763">
        <v>0</v>
      </c>
      <c r="K2763">
        <v>28</v>
      </c>
      <c r="L2763" t="s">
        <v>24</v>
      </c>
      <c r="M2763" t="s">
        <v>29</v>
      </c>
      <c r="N2763" t="s">
        <v>22</v>
      </c>
      <c r="O2763" t="s">
        <v>23</v>
      </c>
      <c r="P2763">
        <v>6.26</v>
      </c>
      <c r="Q2763" s="2" t="b">
        <f>FALSE()</f>
        <v>0</v>
      </c>
      <c r="R2763">
        <v>1</v>
      </c>
    </row>
    <row r="2764" spans="1:18" x14ac:dyDescent="0.25">
      <c r="A2764">
        <v>202763</v>
      </c>
      <c r="B2764">
        <v>52062</v>
      </c>
      <c r="C2764" t="s">
        <v>18</v>
      </c>
      <c r="D2764">
        <v>3386.01</v>
      </c>
      <c r="E2764">
        <v>3618</v>
      </c>
      <c r="F2764">
        <v>3</v>
      </c>
      <c r="G2764">
        <v>7</v>
      </c>
      <c r="H2764">
        <v>0</v>
      </c>
      <c r="I2764" t="s">
        <v>19</v>
      </c>
      <c r="J2764">
        <v>0</v>
      </c>
      <c r="K2764">
        <v>69</v>
      </c>
      <c r="L2764" t="s">
        <v>20</v>
      </c>
      <c r="M2764" t="s">
        <v>31</v>
      </c>
      <c r="N2764" t="s">
        <v>22</v>
      </c>
      <c r="O2764" t="s">
        <v>27</v>
      </c>
      <c r="P2764">
        <v>10.61</v>
      </c>
      <c r="Q2764" s="2" t="b">
        <f>FALSE()</f>
        <v>0</v>
      </c>
      <c r="R2764">
        <v>1</v>
      </c>
    </row>
    <row r="2765" spans="1:18" x14ac:dyDescent="0.25">
      <c r="A2765">
        <v>202764</v>
      </c>
      <c r="B2765">
        <v>51575</v>
      </c>
      <c r="C2765" t="s">
        <v>34</v>
      </c>
      <c r="D2765">
        <v>1407.11</v>
      </c>
      <c r="E2765">
        <v>1840</v>
      </c>
      <c r="F2765">
        <v>0</v>
      </c>
      <c r="G2765">
        <v>4</v>
      </c>
      <c r="H2765">
        <v>1</v>
      </c>
      <c r="I2765" t="s">
        <v>33</v>
      </c>
      <c r="J2765">
        <v>0</v>
      </c>
      <c r="K2765">
        <v>70</v>
      </c>
      <c r="L2765" t="s">
        <v>24</v>
      </c>
      <c r="M2765" t="s">
        <v>35</v>
      </c>
      <c r="N2765" t="s">
        <v>26</v>
      </c>
      <c r="O2765" t="s">
        <v>27</v>
      </c>
      <c r="P2765">
        <v>1.51</v>
      </c>
      <c r="Q2765" s="2" t="b">
        <f>FALSE()</f>
        <v>0</v>
      </c>
      <c r="R2765">
        <v>0</v>
      </c>
    </row>
    <row r="2766" spans="1:18" x14ac:dyDescent="0.25">
      <c r="A2766">
        <v>202765</v>
      </c>
      <c r="B2766">
        <v>50113</v>
      </c>
      <c r="C2766" t="s">
        <v>28</v>
      </c>
      <c r="D2766">
        <v>1920.16</v>
      </c>
      <c r="E2766">
        <v>2674</v>
      </c>
      <c r="F2766">
        <v>1</v>
      </c>
      <c r="G2766">
        <v>7</v>
      </c>
      <c r="H2766">
        <v>0</v>
      </c>
      <c r="I2766" t="s">
        <v>32</v>
      </c>
      <c r="J2766">
        <v>0</v>
      </c>
      <c r="K2766">
        <v>48</v>
      </c>
      <c r="L2766" t="s">
        <v>20</v>
      </c>
      <c r="M2766" t="s">
        <v>31</v>
      </c>
      <c r="N2766" t="s">
        <v>22</v>
      </c>
      <c r="O2766" t="s">
        <v>23</v>
      </c>
      <c r="P2766">
        <v>0.51</v>
      </c>
      <c r="Q2766" s="2" t="b">
        <f>FALSE()</f>
        <v>0</v>
      </c>
      <c r="R2766">
        <v>1</v>
      </c>
    </row>
    <row r="2767" spans="1:18" x14ac:dyDescent="0.25">
      <c r="A2767">
        <v>202766</v>
      </c>
      <c r="B2767">
        <v>51643</v>
      </c>
      <c r="C2767" t="s">
        <v>34</v>
      </c>
      <c r="D2767">
        <v>2177.92</v>
      </c>
      <c r="E2767">
        <v>1134</v>
      </c>
      <c r="F2767">
        <v>3</v>
      </c>
      <c r="G2767">
        <v>3</v>
      </c>
      <c r="H2767">
        <v>0</v>
      </c>
      <c r="I2767" t="s">
        <v>33</v>
      </c>
      <c r="J2767">
        <v>1</v>
      </c>
      <c r="K2767">
        <v>31</v>
      </c>
      <c r="L2767" t="s">
        <v>24</v>
      </c>
      <c r="M2767" t="s">
        <v>31</v>
      </c>
      <c r="N2767" t="s">
        <v>22</v>
      </c>
      <c r="O2767" t="s">
        <v>36</v>
      </c>
      <c r="P2767">
        <v>3.13</v>
      </c>
      <c r="Q2767" s="2" t="b">
        <f>FALSE()</f>
        <v>0</v>
      </c>
      <c r="R2767">
        <v>1</v>
      </c>
    </row>
    <row r="2768" spans="1:18" x14ac:dyDescent="0.25">
      <c r="A2768">
        <v>202767</v>
      </c>
      <c r="B2768">
        <v>55725</v>
      </c>
      <c r="C2768" t="s">
        <v>34</v>
      </c>
      <c r="D2768">
        <v>1149.94</v>
      </c>
      <c r="E2768">
        <v>3398</v>
      </c>
      <c r="F2768">
        <v>1</v>
      </c>
      <c r="G2768">
        <v>4</v>
      </c>
      <c r="H2768">
        <v>1</v>
      </c>
      <c r="I2768" t="s">
        <v>33</v>
      </c>
      <c r="J2768">
        <v>0</v>
      </c>
      <c r="K2768">
        <v>67</v>
      </c>
      <c r="L2768" t="s">
        <v>20</v>
      </c>
      <c r="M2768" t="s">
        <v>29</v>
      </c>
      <c r="N2768" t="s">
        <v>22</v>
      </c>
      <c r="O2768" t="s">
        <v>23</v>
      </c>
      <c r="P2768">
        <v>2.86</v>
      </c>
      <c r="Q2768" s="2" t="b">
        <f>FALSE()</f>
        <v>0</v>
      </c>
      <c r="R2768">
        <v>0</v>
      </c>
    </row>
    <row r="2769" spans="1:18" x14ac:dyDescent="0.25">
      <c r="A2769">
        <v>202768</v>
      </c>
      <c r="B2769">
        <v>52750</v>
      </c>
      <c r="C2769" t="s">
        <v>18</v>
      </c>
      <c r="D2769">
        <v>1009.49</v>
      </c>
      <c r="E2769">
        <v>1183</v>
      </c>
      <c r="F2769">
        <v>0</v>
      </c>
      <c r="G2769">
        <v>5</v>
      </c>
      <c r="H2769">
        <v>0</v>
      </c>
      <c r="I2769" t="s">
        <v>19</v>
      </c>
      <c r="J2769">
        <v>0</v>
      </c>
      <c r="K2769">
        <v>56</v>
      </c>
      <c r="L2769" t="s">
        <v>24</v>
      </c>
      <c r="M2769" t="s">
        <v>37</v>
      </c>
      <c r="N2769" t="s">
        <v>22</v>
      </c>
      <c r="O2769" t="s">
        <v>23</v>
      </c>
      <c r="P2769">
        <v>0.01</v>
      </c>
      <c r="Q2769" s="2" t="b">
        <f>FALSE()</f>
        <v>0</v>
      </c>
      <c r="R2769">
        <v>0</v>
      </c>
    </row>
    <row r="2770" spans="1:18" x14ac:dyDescent="0.25">
      <c r="A2770">
        <v>202769</v>
      </c>
      <c r="B2770">
        <v>54325</v>
      </c>
      <c r="C2770" t="s">
        <v>34</v>
      </c>
      <c r="D2770">
        <v>4090.03</v>
      </c>
      <c r="E2770">
        <v>2107</v>
      </c>
      <c r="F2770">
        <v>1</v>
      </c>
      <c r="G2770">
        <v>1</v>
      </c>
      <c r="H2770">
        <v>0</v>
      </c>
      <c r="I2770" t="s">
        <v>19</v>
      </c>
      <c r="J2770">
        <v>0</v>
      </c>
      <c r="K2770">
        <v>75</v>
      </c>
      <c r="L2770" t="s">
        <v>20</v>
      </c>
      <c r="M2770" t="s">
        <v>31</v>
      </c>
      <c r="N2770" t="s">
        <v>22</v>
      </c>
      <c r="O2770" t="s">
        <v>36</v>
      </c>
      <c r="P2770">
        <v>3.04</v>
      </c>
      <c r="Q2770" s="2" t="b">
        <f>FALSE()</f>
        <v>0</v>
      </c>
      <c r="R2770">
        <v>1</v>
      </c>
    </row>
    <row r="2771" spans="1:18" x14ac:dyDescent="0.25">
      <c r="A2771">
        <v>202770</v>
      </c>
      <c r="B2771">
        <v>52002</v>
      </c>
      <c r="C2771" t="s">
        <v>34</v>
      </c>
      <c r="D2771">
        <v>3364.36</v>
      </c>
      <c r="E2771">
        <v>2915</v>
      </c>
      <c r="F2771">
        <v>1</v>
      </c>
      <c r="G2771">
        <v>4</v>
      </c>
      <c r="H2771">
        <v>0</v>
      </c>
      <c r="I2771" t="s">
        <v>33</v>
      </c>
      <c r="J2771">
        <v>0</v>
      </c>
      <c r="K2771">
        <v>18</v>
      </c>
      <c r="L2771" t="s">
        <v>24</v>
      </c>
      <c r="M2771" t="s">
        <v>29</v>
      </c>
      <c r="N2771" t="s">
        <v>22</v>
      </c>
      <c r="O2771" t="s">
        <v>36</v>
      </c>
      <c r="P2771">
        <v>1.04</v>
      </c>
      <c r="Q2771" s="2" t="b">
        <f>FALSE()</f>
        <v>0</v>
      </c>
      <c r="R2771">
        <v>0</v>
      </c>
    </row>
    <row r="2772" spans="1:18" x14ac:dyDescent="0.25">
      <c r="A2772">
        <v>202771</v>
      </c>
      <c r="B2772">
        <v>51847</v>
      </c>
      <c r="C2772" t="s">
        <v>18</v>
      </c>
      <c r="D2772">
        <v>1154.27</v>
      </c>
      <c r="E2772">
        <v>1086</v>
      </c>
      <c r="F2772">
        <v>2</v>
      </c>
      <c r="G2772">
        <v>4</v>
      </c>
      <c r="H2772">
        <v>0</v>
      </c>
      <c r="I2772" t="s">
        <v>19</v>
      </c>
      <c r="J2772">
        <v>0</v>
      </c>
      <c r="K2772">
        <v>19</v>
      </c>
      <c r="L2772" t="s">
        <v>24</v>
      </c>
      <c r="M2772" t="s">
        <v>31</v>
      </c>
      <c r="N2772" t="s">
        <v>30</v>
      </c>
      <c r="O2772" t="s">
        <v>36</v>
      </c>
      <c r="P2772">
        <v>0.27</v>
      </c>
      <c r="Q2772" s="2" t="b">
        <f>FALSE()</f>
        <v>0</v>
      </c>
      <c r="R2772">
        <v>0</v>
      </c>
    </row>
    <row r="2773" spans="1:18" x14ac:dyDescent="0.25">
      <c r="A2773">
        <v>202772</v>
      </c>
      <c r="B2773">
        <v>52644</v>
      </c>
      <c r="C2773" t="s">
        <v>18</v>
      </c>
      <c r="D2773">
        <v>3113.5</v>
      </c>
      <c r="E2773">
        <v>2483</v>
      </c>
      <c r="F2773">
        <v>0</v>
      </c>
      <c r="G2773">
        <v>6</v>
      </c>
      <c r="H2773">
        <v>1</v>
      </c>
      <c r="I2773" t="s">
        <v>32</v>
      </c>
      <c r="J2773">
        <v>1</v>
      </c>
      <c r="K2773">
        <v>49</v>
      </c>
      <c r="L2773" t="s">
        <v>24</v>
      </c>
      <c r="M2773" t="s">
        <v>31</v>
      </c>
      <c r="N2773" t="s">
        <v>22</v>
      </c>
      <c r="O2773" t="s">
        <v>27</v>
      </c>
      <c r="P2773">
        <v>4.13</v>
      </c>
      <c r="Q2773" s="2" t="b">
        <f>FALSE()</f>
        <v>0</v>
      </c>
      <c r="R2773">
        <v>0</v>
      </c>
    </row>
    <row r="2774" spans="1:18" x14ac:dyDescent="0.25">
      <c r="A2774">
        <v>202773</v>
      </c>
      <c r="B2774">
        <v>55203</v>
      </c>
      <c r="C2774" t="s">
        <v>28</v>
      </c>
      <c r="D2774">
        <v>3690.8</v>
      </c>
      <c r="E2774">
        <v>822</v>
      </c>
      <c r="F2774">
        <v>3</v>
      </c>
      <c r="G2774">
        <v>1</v>
      </c>
      <c r="H2774">
        <v>0</v>
      </c>
      <c r="I2774" t="s">
        <v>32</v>
      </c>
      <c r="J2774">
        <v>0</v>
      </c>
      <c r="K2774">
        <v>76</v>
      </c>
      <c r="L2774" t="s">
        <v>20</v>
      </c>
      <c r="M2774" t="s">
        <v>21</v>
      </c>
      <c r="N2774" t="s">
        <v>30</v>
      </c>
      <c r="O2774" t="s">
        <v>27</v>
      </c>
      <c r="P2774">
        <v>3.86</v>
      </c>
      <c r="Q2774" s="2" t="b">
        <f>FALSE()</f>
        <v>0</v>
      </c>
      <c r="R2774">
        <v>1</v>
      </c>
    </row>
    <row r="2775" spans="1:18" x14ac:dyDescent="0.25">
      <c r="A2775">
        <v>202774</v>
      </c>
      <c r="B2775">
        <v>53598</v>
      </c>
      <c r="C2775" t="s">
        <v>18</v>
      </c>
      <c r="D2775">
        <v>705.87</v>
      </c>
      <c r="E2775">
        <v>1946</v>
      </c>
      <c r="F2775">
        <v>1</v>
      </c>
      <c r="G2775">
        <v>5</v>
      </c>
      <c r="H2775">
        <v>1</v>
      </c>
      <c r="I2775" t="s">
        <v>33</v>
      </c>
      <c r="J2775">
        <v>0</v>
      </c>
      <c r="K2775">
        <v>67</v>
      </c>
      <c r="L2775" t="s">
        <v>24</v>
      </c>
      <c r="M2775" t="s">
        <v>25</v>
      </c>
      <c r="N2775" t="s">
        <v>26</v>
      </c>
      <c r="O2775" t="s">
        <v>27</v>
      </c>
      <c r="P2775">
        <v>1.64</v>
      </c>
      <c r="Q2775" s="2" t="b">
        <f>FALSE()</f>
        <v>0</v>
      </c>
      <c r="R2775">
        <v>0</v>
      </c>
    </row>
    <row r="2776" spans="1:18" x14ac:dyDescent="0.25">
      <c r="A2776">
        <v>202775</v>
      </c>
      <c r="B2776">
        <v>52417</v>
      </c>
      <c r="C2776" t="s">
        <v>34</v>
      </c>
      <c r="D2776">
        <v>4449.2</v>
      </c>
      <c r="E2776">
        <v>1628</v>
      </c>
      <c r="F2776">
        <v>2</v>
      </c>
      <c r="G2776">
        <v>5</v>
      </c>
      <c r="H2776">
        <v>0</v>
      </c>
      <c r="I2776" t="s">
        <v>19</v>
      </c>
      <c r="J2776">
        <v>0</v>
      </c>
      <c r="K2776">
        <v>43</v>
      </c>
      <c r="L2776" t="s">
        <v>20</v>
      </c>
      <c r="M2776" t="s">
        <v>29</v>
      </c>
      <c r="N2776" t="s">
        <v>22</v>
      </c>
      <c r="O2776" t="s">
        <v>27</v>
      </c>
      <c r="P2776">
        <v>9.07</v>
      </c>
      <c r="Q2776" s="2" t="b">
        <f>FALSE()</f>
        <v>0</v>
      </c>
      <c r="R2776">
        <v>1</v>
      </c>
    </row>
    <row r="2777" spans="1:18" x14ac:dyDescent="0.25">
      <c r="A2777">
        <v>202776</v>
      </c>
      <c r="B2777">
        <v>50928</v>
      </c>
      <c r="C2777" t="s">
        <v>18</v>
      </c>
      <c r="D2777">
        <v>2078.86</v>
      </c>
      <c r="E2777">
        <v>2591</v>
      </c>
      <c r="F2777">
        <v>3</v>
      </c>
      <c r="G2777">
        <v>3</v>
      </c>
      <c r="H2777">
        <v>0</v>
      </c>
      <c r="I2777" t="s">
        <v>33</v>
      </c>
      <c r="J2777">
        <v>0</v>
      </c>
      <c r="K2777">
        <v>42</v>
      </c>
      <c r="L2777" t="s">
        <v>20</v>
      </c>
      <c r="M2777" t="s">
        <v>21</v>
      </c>
      <c r="N2777" t="s">
        <v>26</v>
      </c>
      <c r="O2777" t="s">
        <v>36</v>
      </c>
      <c r="P2777">
        <v>13.97</v>
      </c>
      <c r="Q2777" s="2" t="b">
        <f>FALSE()</f>
        <v>0</v>
      </c>
      <c r="R2777">
        <v>1</v>
      </c>
    </row>
    <row r="2778" spans="1:18" x14ac:dyDescent="0.25">
      <c r="A2778">
        <v>202777</v>
      </c>
      <c r="B2778">
        <v>52969</v>
      </c>
      <c r="C2778" t="s">
        <v>34</v>
      </c>
      <c r="D2778">
        <v>1677.29</v>
      </c>
      <c r="E2778">
        <v>2452</v>
      </c>
      <c r="F2778">
        <v>0</v>
      </c>
      <c r="G2778">
        <v>8</v>
      </c>
      <c r="H2778">
        <v>0</v>
      </c>
      <c r="I2778" t="s">
        <v>19</v>
      </c>
      <c r="J2778">
        <v>0</v>
      </c>
      <c r="K2778">
        <v>37</v>
      </c>
      <c r="L2778" t="s">
        <v>24</v>
      </c>
      <c r="M2778" t="s">
        <v>31</v>
      </c>
      <c r="N2778" t="s">
        <v>22</v>
      </c>
      <c r="O2778" t="s">
        <v>36</v>
      </c>
      <c r="P2778">
        <v>1.1499999999999999</v>
      </c>
      <c r="Q2778" s="2" t="b">
        <f>FALSE()</f>
        <v>0</v>
      </c>
      <c r="R2778">
        <v>1</v>
      </c>
    </row>
    <row r="2779" spans="1:18" x14ac:dyDescent="0.25">
      <c r="A2779">
        <v>202778</v>
      </c>
      <c r="B2779">
        <v>50551</v>
      </c>
      <c r="C2779" t="s">
        <v>18</v>
      </c>
      <c r="D2779">
        <v>316.13</v>
      </c>
      <c r="E2779">
        <v>2779</v>
      </c>
      <c r="F2779">
        <v>1</v>
      </c>
      <c r="G2779">
        <v>3</v>
      </c>
      <c r="H2779">
        <v>0</v>
      </c>
      <c r="I2779" t="s">
        <v>33</v>
      </c>
      <c r="J2779">
        <v>0</v>
      </c>
      <c r="K2779">
        <v>40</v>
      </c>
      <c r="L2779" t="s">
        <v>20</v>
      </c>
      <c r="M2779" t="s">
        <v>31</v>
      </c>
      <c r="N2779" t="s">
        <v>30</v>
      </c>
      <c r="O2779" t="s">
        <v>36</v>
      </c>
      <c r="P2779">
        <v>0.56999999999999995</v>
      </c>
      <c r="Q2779" s="2" t="b">
        <f>FALSE()</f>
        <v>0</v>
      </c>
      <c r="R2779">
        <v>0</v>
      </c>
    </row>
    <row r="2780" spans="1:18" x14ac:dyDescent="0.25">
      <c r="A2780">
        <v>202779</v>
      </c>
      <c r="B2780">
        <v>51445</v>
      </c>
      <c r="C2780" t="s">
        <v>18</v>
      </c>
      <c r="D2780">
        <v>4068.65</v>
      </c>
      <c r="E2780">
        <v>123</v>
      </c>
      <c r="F2780">
        <v>3</v>
      </c>
      <c r="G2780">
        <v>9</v>
      </c>
      <c r="H2780">
        <v>0</v>
      </c>
      <c r="I2780" t="s">
        <v>33</v>
      </c>
      <c r="J2780">
        <v>0</v>
      </c>
      <c r="K2780">
        <v>41</v>
      </c>
      <c r="L2780" t="s">
        <v>24</v>
      </c>
      <c r="M2780" t="s">
        <v>37</v>
      </c>
      <c r="N2780" t="s">
        <v>26</v>
      </c>
      <c r="O2780" t="s">
        <v>27</v>
      </c>
      <c r="P2780">
        <v>4.12</v>
      </c>
      <c r="Q2780" s="2" t="b">
        <f>FALSE()</f>
        <v>0</v>
      </c>
      <c r="R2780">
        <v>1</v>
      </c>
    </row>
    <row r="2781" spans="1:18" x14ac:dyDescent="0.25">
      <c r="A2781">
        <v>202780</v>
      </c>
      <c r="B2781">
        <v>53463</v>
      </c>
      <c r="C2781" t="s">
        <v>18</v>
      </c>
      <c r="D2781">
        <v>3169.81</v>
      </c>
      <c r="E2781">
        <v>116</v>
      </c>
      <c r="F2781">
        <v>1</v>
      </c>
      <c r="G2781">
        <v>4</v>
      </c>
      <c r="H2781">
        <v>0</v>
      </c>
      <c r="I2781" t="s">
        <v>33</v>
      </c>
      <c r="J2781">
        <v>0</v>
      </c>
      <c r="K2781">
        <v>26</v>
      </c>
      <c r="L2781" t="s">
        <v>24</v>
      </c>
      <c r="M2781" t="s">
        <v>21</v>
      </c>
      <c r="N2781" t="s">
        <v>22</v>
      </c>
      <c r="O2781" t="s">
        <v>27</v>
      </c>
      <c r="P2781">
        <v>2.89</v>
      </c>
      <c r="Q2781" s="2" t="b">
        <f>FALSE()</f>
        <v>0</v>
      </c>
      <c r="R2781">
        <v>0</v>
      </c>
    </row>
    <row r="2782" spans="1:18" x14ac:dyDescent="0.25">
      <c r="A2782">
        <v>202781</v>
      </c>
      <c r="B2782">
        <v>51807</v>
      </c>
      <c r="C2782" t="s">
        <v>18</v>
      </c>
      <c r="D2782">
        <v>5730.44</v>
      </c>
      <c r="E2782">
        <v>214</v>
      </c>
      <c r="F2782">
        <v>1</v>
      </c>
      <c r="G2782">
        <v>3</v>
      </c>
      <c r="H2782">
        <v>0</v>
      </c>
      <c r="I2782" t="s">
        <v>33</v>
      </c>
      <c r="J2782">
        <v>0</v>
      </c>
      <c r="K2782">
        <v>66</v>
      </c>
      <c r="L2782" t="s">
        <v>24</v>
      </c>
      <c r="M2782" t="s">
        <v>37</v>
      </c>
      <c r="N2782" t="s">
        <v>26</v>
      </c>
      <c r="O2782" t="s">
        <v>27</v>
      </c>
      <c r="P2782">
        <v>3.84</v>
      </c>
      <c r="Q2782" s="2" t="b">
        <f>FALSE()</f>
        <v>0</v>
      </c>
      <c r="R2782">
        <v>1</v>
      </c>
    </row>
    <row r="2783" spans="1:18" x14ac:dyDescent="0.25">
      <c r="A2783">
        <v>202782</v>
      </c>
      <c r="B2783">
        <v>55336</v>
      </c>
      <c r="C2783" t="s">
        <v>34</v>
      </c>
      <c r="D2783">
        <v>2429.42</v>
      </c>
      <c r="E2783">
        <v>3165</v>
      </c>
      <c r="F2783">
        <v>0</v>
      </c>
      <c r="G2783">
        <v>3</v>
      </c>
      <c r="H2783">
        <v>0</v>
      </c>
      <c r="I2783" t="s">
        <v>19</v>
      </c>
      <c r="J2783">
        <v>0</v>
      </c>
      <c r="K2783">
        <v>48</v>
      </c>
      <c r="L2783" t="s">
        <v>24</v>
      </c>
      <c r="M2783" t="s">
        <v>25</v>
      </c>
      <c r="N2783" t="s">
        <v>22</v>
      </c>
      <c r="O2783" t="s">
        <v>36</v>
      </c>
      <c r="P2783">
        <v>3.02</v>
      </c>
      <c r="Q2783" s="2" t="b">
        <f>FALSE()</f>
        <v>0</v>
      </c>
      <c r="R2783">
        <v>0</v>
      </c>
    </row>
    <row r="2784" spans="1:18" x14ac:dyDescent="0.25">
      <c r="A2784">
        <v>202783</v>
      </c>
      <c r="B2784">
        <v>53045</v>
      </c>
      <c r="C2784" t="s">
        <v>18</v>
      </c>
      <c r="D2784">
        <v>3920.81</v>
      </c>
      <c r="E2784">
        <v>2670</v>
      </c>
      <c r="F2784">
        <v>0</v>
      </c>
      <c r="G2784">
        <v>5</v>
      </c>
      <c r="H2784">
        <v>1</v>
      </c>
      <c r="I2784" t="s">
        <v>33</v>
      </c>
      <c r="J2784">
        <v>0</v>
      </c>
      <c r="K2784">
        <v>82</v>
      </c>
      <c r="L2784" t="s">
        <v>24</v>
      </c>
      <c r="M2784" t="s">
        <v>35</v>
      </c>
      <c r="N2784" t="s">
        <v>22</v>
      </c>
      <c r="O2784" t="s">
        <v>23</v>
      </c>
      <c r="P2784">
        <v>9.42</v>
      </c>
      <c r="Q2784" s="2" t="b">
        <f>FALSE()</f>
        <v>0</v>
      </c>
      <c r="R2784">
        <v>1</v>
      </c>
    </row>
    <row r="2785" spans="1:18" x14ac:dyDescent="0.25">
      <c r="A2785">
        <v>202784</v>
      </c>
      <c r="B2785">
        <v>50488</v>
      </c>
      <c r="C2785" t="s">
        <v>34</v>
      </c>
      <c r="D2785">
        <v>3161.7</v>
      </c>
      <c r="E2785">
        <v>2812</v>
      </c>
      <c r="F2785">
        <v>0</v>
      </c>
      <c r="G2785">
        <v>3</v>
      </c>
      <c r="H2785">
        <v>0</v>
      </c>
      <c r="I2785" t="s">
        <v>33</v>
      </c>
      <c r="J2785">
        <v>0</v>
      </c>
      <c r="K2785">
        <v>49</v>
      </c>
      <c r="L2785" t="s">
        <v>24</v>
      </c>
      <c r="M2785" t="s">
        <v>31</v>
      </c>
      <c r="N2785" t="s">
        <v>30</v>
      </c>
      <c r="O2785" t="s">
        <v>36</v>
      </c>
      <c r="P2785">
        <v>0.03</v>
      </c>
      <c r="Q2785" s="2" t="b">
        <f>FALSE()</f>
        <v>0</v>
      </c>
      <c r="R2785">
        <v>0</v>
      </c>
    </row>
    <row r="2786" spans="1:18" x14ac:dyDescent="0.25">
      <c r="A2786">
        <v>202785</v>
      </c>
      <c r="B2786">
        <v>50126</v>
      </c>
      <c r="C2786" t="s">
        <v>28</v>
      </c>
      <c r="D2786">
        <v>655.84</v>
      </c>
      <c r="E2786">
        <v>1323</v>
      </c>
      <c r="F2786">
        <v>0</v>
      </c>
      <c r="G2786">
        <v>5</v>
      </c>
      <c r="H2786">
        <v>0</v>
      </c>
      <c r="I2786" t="s">
        <v>19</v>
      </c>
      <c r="J2786">
        <v>1</v>
      </c>
      <c r="K2786">
        <v>81</v>
      </c>
      <c r="L2786" t="s">
        <v>24</v>
      </c>
      <c r="M2786" t="s">
        <v>25</v>
      </c>
      <c r="N2786" t="s">
        <v>22</v>
      </c>
      <c r="O2786" t="s">
        <v>36</v>
      </c>
      <c r="P2786">
        <v>2.08</v>
      </c>
      <c r="Q2786" s="2" t="b">
        <f>FALSE()</f>
        <v>0</v>
      </c>
      <c r="R2786">
        <v>0</v>
      </c>
    </row>
    <row r="2787" spans="1:18" x14ac:dyDescent="0.25">
      <c r="A2787">
        <v>202786</v>
      </c>
      <c r="B2787">
        <v>54096</v>
      </c>
      <c r="C2787" t="s">
        <v>34</v>
      </c>
      <c r="D2787">
        <v>797.2</v>
      </c>
      <c r="E2787">
        <v>2090</v>
      </c>
      <c r="F2787">
        <v>4</v>
      </c>
      <c r="G2787">
        <v>4</v>
      </c>
      <c r="H2787">
        <v>0</v>
      </c>
      <c r="I2787" t="s">
        <v>19</v>
      </c>
      <c r="J2787">
        <v>0</v>
      </c>
      <c r="K2787">
        <v>74</v>
      </c>
      <c r="L2787" t="s">
        <v>20</v>
      </c>
      <c r="M2787" t="s">
        <v>37</v>
      </c>
      <c r="N2787" t="s">
        <v>22</v>
      </c>
      <c r="O2787" t="s">
        <v>36</v>
      </c>
      <c r="P2787">
        <v>4.0999999999999996</v>
      </c>
      <c r="Q2787" s="2" t="b">
        <f>FALSE()</f>
        <v>0</v>
      </c>
      <c r="R2787">
        <v>1</v>
      </c>
    </row>
    <row r="2788" spans="1:18" x14ac:dyDescent="0.25">
      <c r="A2788">
        <v>202787</v>
      </c>
      <c r="B2788">
        <v>54867</v>
      </c>
      <c r="C2788" t="s">
        <v>18</v>
      </c>
      <c r="D2788">
        <v>1831.68</v>
      </c>
      <c r="E2788">
        <v>1376</v>
      </c>
      <c r="F2788">
        <v>0</v>
      </c>
      <c r="G2788">
        <v>3</v>
      </c>
      <c r="H2788">
        <v>0</v>
      </c>
      <c r="I2788" t="s">
        <v>19</v>
      </c>
      <c r="J2788">
        <v>0</v>
      </c>
      <c r="K2788">
        <v>50</v>
      </c>
      <c r="L2788" t="s">
        <v>24</v>
      </c>
      <c r="M2788" t="s">
        <v>37</v>
      </c>
      <c r="N2788" t="s">
        <v>22</v>
      </c>
      <c r="O2788" t="s">
        <v>27</v>
      </c>
      <c r="P2788">
        <v>1.41</v>
      </c>
      <c r="Q2788" s="2" t="b">
        <f>FALSE()</f>
        <v>0</v>
      </c>
      <c r="R2788">
        <v>0</v>
      </c>
    </row>
    <row r="2789" spans="1:18" x14ac:dyDescent="0.25">
      <c r="A2789">
        <v>202788</v>
      </c>
      <c r="B2789">
        <v>51031</v>
      </c>
      <c r="C2789" t="s">
        <v>18</v>
      </c>
      <c r="D2789">
        <v>6653.36</v>
      </c>
      <c r="E2789">
        <v>1438</v>
      </c>
      <c r="F2789">
        <v>3</v>
      </c>
      <c r="G2789">
        <v>4</v>
      </c>
      <c r="H2789">
        <v>0</v>
      </c>
      <c r="I2789" t="s">
        <v>33</v>
      </c>
      <c r="J2789">
        <v>0</v>
      </c>
      <c r="K2789">
        <v>82</v>
      </c>
      <c r="L2789" t="s">
        <v>24</v>
      </c>
      <c r="M2789" t="s">
        <v>21</v>
      </c>
      <c r="N2789" t="s">
        <v>26</v>
      </c>
      <c r="O2789" t="s">
        <v>36</v>
      </c>
      <c r="P2789">
        <v>2.4900000000000002</v>
      </c>
      <c r="Q2789" s="2" t="b">
        <f>FALSE()</f>
        <v>0</v>
      </c>
      <c r="R2789">
        <v>1</v>
      </c>
    </row>
    <row r="2790" spans="1:18" x14ac:dyDescent="0.25">
      <c r="A2790">
        <v>202789</v>
      </c>
      <c r="B2790">
        <v>53533</v>
      </c>
      <c r="C2790" t="s">
        <v>28</v>
      </c>
      <c r="D2790">
        <v>3318.02</v>
      </c>
      <c r="E2790">
        <v>1418</v>
      </c>
      <c r="F2790">
        <v>0</v>
      </c>
      <c r="G2790">
        <v>3</v>
      </c>
      <c r="H2790">
        <v>0</v>
      </c>
      <c r="I2790" t="s">
        <v>33</v>
      </c>
      <c r="J2790">
        <v>0</v>
      </c>
      <c r="K2790">
        <v>29</v>
      </c>
      <c r="L2790" t="s">
        <v>24</v>
      </c>
      <c r="M2790" t="s">
        <v>29</v>
      </c>
      <c r="N2790" t="s">
        <v>30</v>
      </c>
      <c r="O2790" t="s">
        <v>27</v>
      </c>
      <c r="P2790">
        <v>2.25</v>
      </c>
      <c r="Q2790" s="2" t="b">
        <f>FALSE()</f>
        <v>0</v>
      </c>
      <c r="R2790">
        <v>0</v>
      </c>
    </row>
    <row r="2791" spans="1:18" x14ac:dyDescent="0.25">
      <c r="A2791">
        <v>202790</v>
      </c>
      <c r="B2791">
        <v>52985</v>
      </c>
      <c r="C2791" t="s">
        <v>34</v>
      </c>
      <c r="D2791">
        <v>2432.46</v>
      </c>
      <c r="E2791">
        <v>356</v>
      </c>
      <c r="F2791">
        <v>1</v>
      </c>
      <c r="G2791">
        <v>3</v>
      </c>
      <c r="H2791">
        <v>0</v>
      </c>
      <c r="I2791" t="s">
        <v>33</v>
      </c>
      <c r="J2791">
        <v>0</v>
      </c>
      <c r="K2791">
        <v>78</v>
      </c>
      <c r="L2791" t="s">
        <v>24</v>
      </c>
      <c r="M2791" t="s">
        <v>25</v>
      </c>
      <c r="N2791" t="s">
        <v>22</v>
      </c>
      <c r="O2791" t="s">
        <v>36</v>
      </c>
      <c r="P2791">
        <v>2.4900000000000002</v>
      </c>
      <c r="Q2791" s="2" t="b">
        <f>FALSE()</f>
        <v>0</v>
      </c>
      <c r="R2791">
        <v>0</v>
      </c>
    </row>
    <row r="2792" spans="1:18" x14ac:dyDescent="0.25">
      <c r="A2792">
        <v>202791</v>
      </c>
      <c r="B2792">
        <v>52484</v>
      </c>
      <c r="C2792" t="s">
        <v>18</v>
      </c>
      <c r="D2792">
        <v>563.77</v>
      </c>
      <c r="E2792">
        <v>3626</v>
      </c>
      <c r="F2792">
        <v>0</v>
      </c>
      <c r="G2792">
        <v>8</v>
      </c>
      <c r="H2792">
        <v>0</v>
      </c>
      <c r="I2792" t="s">
        <v>33</v>
      </c>
      <c r="J2792">
        <v>0</v>
      </c>
      <c r="K2792">
        <v>83</v>
      </c>
      <c r="L2792" t="s">
        <v>24</v>
      </c>
      <c r="M2792" t="s">
        <v>37</v>
      </c>
      <c r="N2792" t="s">
        <v>22</v>
      </c>
      <c r="O2792" t="s">
        <v>23</v>
      </c>
      <c r="P2792">
        <v>6.54</v>
      </c>
      <c r="Q2792" s="2" t="b">
        <f>FALSE()</f>
        <v>0</v>
      </c>
      <c r="R2792">
        <v>1</v>
      </c>
    </row>
    <row r="2793" spans="1:18" x14ac:dyDescent="0.25">
      <c r="A2793">
        <v>202792</v>
      </c>
      <c r="B2793">
        <v>54489</v>
      </c>
      <c r="C2793" t="s">
        <v>18</v>
      </c>
      <c r="D2793">
        <v>1351.05</v>
      </c>
      <c r="E2793">
        <v>1850</v>
      </c>
      <c r="F2793">
        <v>3</v>
      </c>
      <c r="G2793">
        <v>3</v>
      </c>
      <c r="H2793">
        <v>0</v>
      </c>
      <c r="I2793" t="s">
        <v>33</v>
      </c>
      <c r="J2793">
        <v>0</v>
      </c>
      <c r="K2793">
        <v>33</v>
      </c>
      <c r="L2793" t="s">
        <v>24</v>
      </c>
      <c r="M2793" t="s">
        <v>31</v>
      </c>
      <c r="N2793" t="s">
        <v>26</v>
      </c>
      <c r="O2793" t="s">
        <v>36</v>
      </c>
      <c r="P2793">
        <v>1.22</v>
      </c>
      <c r="Q2793" s="2" t="b">
        <f>FALSE()</f>
        <v>0</v>
      </c>
      <c r="R2793">
        <v>1</v>
      </c>
    </row>
    <row r="2794" spans="1:18" x14ac:dyDescent="0.25">
      <c r="A2794">
        <v>202793</v>
      </c>
      <c r="B2794">
        <v>53914</v>
      </c>
      <c r="C2794" t="s">
        <v>34</v>
      </c>
      <c r="D2794">
        <v>3128.53</v>
      </c>
      <c r="E2794">
        <v>2048</v>
      </c>
      <c r="F2794">
        <v>5</v>
      </c>
      <c r="G2794">
        <v>4</v>
      </c>
      <c r="H2794">
        <v>0</v>
      </c>
      <c r="I2794" t="s">
        <v>33</v>
      </c>
      <c r="J2794">
        <v>0</v>
      </c>
      <c r="K2794">
        <v>84</v>
      </c>
      <c r="L2794" t="s">
        <v>24</v>
      </c>
      <c r="M2794" t="s">
        <v>37</v>
      </c>
      <c r="N2794" t="s">
        <v>22</v>
      </c>
      <c r="O2794" t="s">
        <v>36</v>
      </c>
      <c r="P2794">
        <v>4.37</v>
      </c>
      <c r="Q2794" s="2" t="b">
        <f>FALSE()</f>
        <v>0</v>
      </c>
      <c r="R2794">
        <v>1</v>
      </c>
    </row>
    <row r="2795" spans="1:18" x14ac:dyDescent="0.25">
      <c r="A2795">
        <v>202794</v>
      </c>
      <c r="B2795">
        <v>53361</v>
      </c>
      <c r="C2795" t="s">
        <v>34</v>
      </c>
      <c r="D2795">
        <v>1926.02</v>
      </c>
      <c r="E2795">
        <v>1501</v>
      </c>
      <c r="F2795">
        <v>1</v>
      </c>
      <c r="G2795">
        <v>3</v>
      </c>
      <c r="H2795">
        <v>1</v>
      </c>
      <c r="I2795" t="s">
        <v>33</v>
      </c>
      <c r="J2795">
        <v>1</v>
      </c>
      <c r="K2795">
        <v>27</v>
      </c>
      <c r="L2795" t="s">
        <v>20</v>
      </c>
      <c r="M2795" t="s">
        <v>21</v>
      </c>
      <c r="N2795" t="s">
        <v>30</v>
      </c>
      <c r="O2795" t="s">
        <v>36</v>
      </c>
      <c r="P2795">
        <v>3.66</v>
      </c>
      <c r="Q2795" s="2" t="b">
        <f>FALSE()</f>
        <v>0</v>
      </c>
      <c r="R2795">
        <v>0</v>
      </c>
    </row>
    <row r="2796" spans="1:18" x14ac:dyDescent="0.25">
      <c r="A2796">
        <v>202795</v>
      </c>
      <c r="B2796">
        <v>51593</v>
      </c>
      <c r="C2796" t="s">
        <v>34</v>
      </c>
      <c r="D2796">
        <v>1246.1199999999999</v>
      </c>
      <c r="E2796">
        <v>2580</v>
      </c>
      <c r="F2796">
        <v>2</v>
      </c>
      <c r="G2796">
        <v>3</v>
      </c>
      <c r="H2796">
        <v>0</v>
      </c>
      <c r="I2796" t="s">
        <v>19</v>
      </c>
      <c r="J2796">
        <v>0</v>
      </c>
      <c r="K2796">
        <v>35</v>
      </c>
      <c r="L2796" t="s">
        <v>24</v>
      </c>
      <c r="M2796" t="s">
        <v>37</v>
      </c>
      <c r="N2796" t="s">
        <v>22</v>
      </c>
      <c r="O2796" t="s">
        <v>36</v>
      </c>
      <c r="P2796">
        <v>1.88</v>
      </c>
      <c r="Q2796" s="2" t="b">
        <f>FALSE()</f>
        <v>0</v>
      </c>
      <c r="R2796">
        <v>0</v>
      </c>
    </row>
    <row r="2797" spans="1:18" x14ac:dyDescent="0.25">
      <c r="A2797">
        <v>202796</v>
      </c>
      <c r="B2797">
        <v>52902</v>
      </c>
      <c r="C2797" t="s">
        <v>18</v>
      </c>
      <c r="D2797">
        <v>2848.73</v>
      </c>
      <c r="E2797">
        <v>2219</v>
      </c>
      <c r="F2797">
        <v>0</v>
      </c>
      <c r="G2797">
        <v>3</v>
      </c>
      <c r="H2797">
        <v>0</v>
      </c>
      <c r="I2797" t="s">
        <v>33</v>
      </c>
      <c r="J2797">
        <v>0</v>
      </c>
      <c r="K2797">
        <v>35</v>
      </c>
      <c r="L2797" t="s">
        <v>20</v>
      </c>
      <c r="M2797" t="s">
        <v>37</v>
      </c>
      <c r="N2797" t="s">
        <v>30</v>
      </c>
      <c r="O2797" t="s">
        <v>27</v>
      </c>
      <c r="P2797">
        <v>0.57999999999999996</v>
      </c>
      <c r="Q2797" s="2" t="b">
        <f>FALSE()</f>
        <v>0</v>
      </c>
      <c r="R2797">
        <v>0</v>
      </c>
    </row>
    <row r="2798" spans="1:18" x14ac:dyDescent="0.25">
      <c r="A2798">
        <v>202797</v>
      </c>
      <c r="B2798">
        <v>55800</v>
      </c>
      <c r="C2798" t="s">
        <v>18</v>
      </c>
      <c r="D2798">
        <v>3519.18</v>
      </c>
      <c r="E2798">
        <v>2785</v>
      </c>
      <c r="F2798">
        <v>0</v>
      </c>
      <c r="G2798">
        <v>4</v>
      </c>
      <c r="H2798">
        <v>1</v>
      </c>
      <c r="I2798" t="s">
        <v>19</v>
      </c>
      <c r="J2798">
        <v>0</v>
      </c>
      <c r="K2798">
        <v>39</v>
      </c>
      <c r="L2798" t="s">
        <v>24</v>
      </c>
      <c r="M2798" t="s">
        <v>21</v>
      </c>
      <c r="N2798" t="s">
        <v>30</v>
      </c>
      <c r="O2798" t="s">
        <v>27</v>
      </c>
      <c r="P2798">
        <v>2.46</v>
      </c>
      <c r="Q2798" s="2" t="b">
        <f>FALSE()</f>
        <v>0</v>
      </c>
      <c r="R2798">
        <v>0</v>
      </c>
    </row>
    <row r="2799" spans="1:18" x14ac:dyDescent="0.25">
      <c r="A2799">
        <v>202798</v>
      </c>
      <c r="B2799">
        <v>53141</v>
      </c>
      <c r="C2799" t="s">
        <v>18</v>
      </c>
      <c r="D2799">
        <v>733.63</v>
      </c>
      <c r="E2799">
        <v>517</v>
      </c>
      <c r="F2799">
        <v>1</v>
      </c>
      <c r="G2799">
        <v>9</v>
      </c>
      <c r="H2799">
        <v>0</v>
      </c>
      <c r="I2799" t="s">
        <v>33</v>
      </c>
      <c r="J2799">
        <v>0</v>
      </c>
      <c r="K2799">
        <v>30</v>
      </c>
      <c r="L2799" t="s">
        <v>20</v>
      </c>
      <c r="M2799" t="s">
        <v>31</v>
      </c>
      <c r="N2799" t="s">
        <v>26</v>
      </c>
      <c r="O2799" t="s">
        <v>27</v>
      </c>
      <c r="P2799">
        <v>9.73</v>
      </c>
      <c r="Q2799" s="2" t="b">
        <f>FALSE()</f>
        <v>0</v>
      </c>
      <c r="R2799">
        <v>1</v>
      </c>
    </row>
    <row r="2800" spans="1:18" x14ac:dyDescent="0.25">
      <c r="A2800">
        <v>202799</v>
      </c>
      <c r="B2800">
        <v>54900</v>
      </c>
      <c r="C2800" t="s">
        <v>28</v>
      </c>
      <c r="D2800">
        <v>1184.93</v>
      </c>
      <c r="E2800">
        <v>1864</v>
      </c>
      <c r="F2800">
        <v>2</v>
      </c>
      <c r="G2800">
        <v>5</v>
      </c>
      <c r="H2800">
        <v>1</v>
      </c>
      <c r="I2800" t="s">
        <v>33</v>
      </c>
      <c r="J2800">
        <v>0</v>
      </c>
      <c r="K2800">
        <v>77</v>
      </c>
      <c r="L2800" t="s">
        <v>20</v>
      </c>
      <c r="M2800" t="s">
        <v>37</v>
      </c>
      <c r="N2800" t="s">
        <v>30</v>
      </c>
      <c r="O2800" t="s">
        <v>36</v>
      </c>
      <c r="P2800">
        <v>7.12</v>
      </c>
      <c r="Q2800" s="2" t="b">
        <f>FALSE()</f>
        <v>0</v>
      </c>
      <c r="R2800">
        <v>0</v>
      </c>
    </row>
    <row r="2801" spans="1:18" x14ac:dyDescent="0.25">
      <c r="A2801">
        <v>202800</v>
      </c>
      <c r="B2801">
        <v>53595</v>
      </c>
      <c r="C2801" t="s">
        <v>18</v>
      </c>
      <c r="D2801">
        <v>577.73</v>
      </c>
      <c r="E2801">
        <v>1725</v>
      </c>
      <c r="F2801">
        <v>2</v>
      </c>
      <c r="G2801">
        <v>2</v>
      </c>
      <c r="H2801">
        <v>0</v>
      </c>
      <c r="I2801" t="s">
        <v>33</v>
      </c>
      <c r="J2801">
        <v>0</v>
      </c>
      <c r="K2801">
        <v>69</v>
      </c>
      <c r="L2801" t="s">
        <v>20</v>
      </c>
      <c r="M2801" t="s">
        <v>21</v>
      </c>
      <c r="N2801" t="s">
        <v>30</v>
      </c>
      <c r="O2801" t="s">
        <v>23</v>
      </c>
      <c r="P2801">
        <v>1.67</v>
      </c>
      <c r="Q2801" s="2" t="b">
        <f>FALSE()</f>
        <v>0</v>
      </c>
      <c r="R2801">
        <v>0</v>
      </c>
    </row>
    <row r="2802" spans="1:18" x14ac:dyDescent="0.25">
      <c r="A2802">
        <v>202801</v>
      </c>
      <c r="B2802">
        <v>51522</v>
      </c>
      <c r="C2802" t="s">
        <v>18</v>
      </c>
      <c r="D2802">
        <v>1918.23</v>
      </c>
      <c r="E2802">
        <v>1593</v>
      </c>
      <c r="F2802">
        <v>2</v>
      </c>
      <c r="G2802">
        <v>4</v>
      </c>
      <c r="H2802">
        <v>1</v>
      </c>
      <c r="I2802" t="s">
        <v>33</v>
      </c>
      <c r="J2802">
        <v>0</v>
      </c>
      <c r="K2802">
        <v>38</v>
      </c>
      <c r="L2802" t="s">
        <v>20</v>
      </c>
      <c r="M2802" t="s">
        <v>29</v>
      </c>
      <c r="N2802" t="s">
        <v>22</v>
      </c>
      <c r="O2802" t="s">
        <v>27</v>
      </c>
      <c r="P2802">
        <v>5.6</v>
      </c>
      <c r="Q2802" s="2" t="b">
        <f>FALSE()</f>
        <v>0</v>
      </c>
      <c r="R2802">
        <v>0</v>
      </c>
    </row>
    <row r="2803" spans="1:18" x14ac:dyDescent="0.25">
      <c r="A2803">
        <v>202802</v>
      </c>
      <c r="B2803">
        <v>53707</v>
      </c>
      <c r="C2803" t="s">
        <v>18</v>
      </c>
      <c r="D2803">
        <v>1248.31</v>
      </c>
      <c r="E2803">
        <v>2195</v>
      </c>
      <c r="F2803">
        <v>0</v>
      </c>
      <c r="G2803">
        <v>7</v>
      </c>
      <c r="H2803">
        <v>0</v>
      </c>
      <c r="I2803" t="s">
        <v>19</v>
      </c>
      <c r="J2803">
        <v>0</v>
      </c>
      <c r="K2803">
        <v>37</v>
      </c>
      <c r="L2803" t="s">
        <v>24</v>
      </c>
      <c r="M2803" t="s">
        <v>21</v>
      </c>
      <c r="N2803" t="s">
        <v>30</v>
      </c>
      <c r="O2803" t="s">
        <v>23</v>
      </c>
      <c r="P2803">
        <v>4.66</v>
      </c>
      <c r="Q2803" s="2" t="b">
        <f>FALSE()</f>
        <v>0</v>
      </c>
      <c r="R2803">
        <v>1</v>
      </c>
    </row>
    <row r="2804" spans="1:18" x14ac:dyDescent="0.25">
      <c r="A2804">
        <v>202803</v>
      </c>
      <c r="B2804">
        <v>50994</v>
      </c>
      <c r="C2804" t="s">
        <v>34</v>
      </c>
      <c r="D2804">
        <v>9797.98</v>
      </c>
      <c r="E2804">
        <v>3538</v>
      </c>
      <c r="F2804">
        <v>0</v>
      </c>
      <c r="G2804">
        <v>8</v>
      </c>
      <c r="H2804">
        <v>0</v>
      </c>
      <c r="I2804" t="s">
        <v>19</v>
      </c>
      <c r="J2804">
        <v>0</v>
      </c>
      <c r="K2804">
        <v>43</v>
      </c>
      <c r="L2804" t="s">
        <v>24</v>
      </c>
      <c r="M2804" t="s">
        <v>21</v>
      </c>
      <c r="N2804" t="s">
        <v>22</v>
      </c>
      <c r="O2804" t="s">
        <v>27</v>
      </c>
      <c r="P2804">
        <v>3.04</v>
      </c>
      <c r="Q2804" s="2" t="b">
        <f>TRUE()</f>
        <v>1</v>
      </c>
      <c r="R2804">
        <v>1</v>
      </c>
    </row>
    <row r="2805" spans="1:18" x14ac:dyDescent="0.25">
      <c r="A2805">
        <v>202804</v>
      </c>
      <c r="B2805">
        <v>55886</v>
      </c>
      <c r="C2805" t="s">
        <v>34</v>
      </c>
      <c r="D2805">
        <v>1305.3800000000001</v>
      </c>
      <c r="E2805">
        <v>2718</v>
      </c>
      <c r="F2805">
        <v>2</v>
      </c>
      <c r="G2805">
        <v>4</v>
      </c>
      <c r="H2805">
        <v>0</v>
      </c>
      <c r="I2805" t="s">
        <v>32</v>
      </c>
      <c r="J2805">
        <v>0</v>
      </c>
      <c r="K2805">
        <v>42</v>
      </c>
      <c r="L2805" t="s">
        <v>24</v>
      </c>
      <c r="M2805" t="s">
        <v>35</v>
      </c>
      <c r="N2805" t="s">
        <v>30</v>
      </c>
      <c r="O2805" t="s">
        <v>36</v>
      </c>
      <c r="P2805">
        <v>0.38</v>
      </c>
      <c r="Q2805" s="2" t="b">
        <f>FALSE()</f>
        <v>0</v>
      </c>
      <c r="R2805">
        <v>0</v>
      </c>
    </row>
    <row r="2806" spans="1:18" x14ac:dyDescent="0.25">
      <c r="A2806">
        <v>202805</v>
      </c>
      <c r="B2806">
        <v>55879</v>
      </c>
      <c r="C2806" t="s">
        <v>28</v>
      </c>
      <c r="D2806">
        <v>3623.22</v>
      </c>
      <c r="E2806">
        <v>2519</v>
      </c>
      <c r="F2806">
        <v>0</v>
      </c>
      <c r="G2806">
        <v>4</v>
      </c>
      <c r="H2806">
        <v>0</v>
      </c>
      <c r="I2806" t="s">
        <v>33</v>
      </c>
      <c r="J2806">
        <v>0</v>
      </c>
      <c r="K2806">
        <v>65</v>
      </c>
      <c r="L2806" t="s">
        <v>20</v>
      </c>
      <c r="M2806" t="s">
        <v>31</v>
      </c>
      <c r="N2806" t="s">
        <v>22</v>
      </c>
      <c r="O2806" t="s">
        <v>23</v>
      </c>
      <c r="P2806">
        <v>2.97</v>
      </c>
      <c r="Q2806" s="2" t="b">
        <f>FALSE()</f>
        <v>0</v>
      </c>
      <c r="R2806">
        <v>1</v>
      </c>
    </row>
    <row r="2807" spans="1:18" x14ac:dyDescent="0.25">
      <c r="A2807">
        <v>202806</v>
      </c>
      <c r="B2807">
        <v>50928</v>
      </c>
      <c r="C2807" t="s">
        <v>34</v>
      </c>
      <c r="D2807">
        <v>3330.2</v>
      </c>
      <c r="E2807">
        <v>3215</v>
      </c>
      <c r="F2807">
        <v>0</v>
      </c>
      <c r="G2807">
        <v>3</v>
      </c>
      <c r="H2807">
        <v>0</v>
      </c>
      <c r="I2807" t="s">
        <v>19</v>
      </c>
      <c r="J2807">
        <v>0</v>
      </c>
      <c r="K2807">
        <v>34</v>
      </c>
      <c r="L2807" t="s">
        <v>24</v>
      </c>
      <c r="M2807" t="s">
        <v>29</v>
      </c>
      <c r="N2807" t="s">
        <v>22</v>
      </c>
      <c r="O2807" t="s">
        <v>23</v>
      </c>
      <c r="P2807">
        <v>0.57999999999999996</v>
      </c>
      <c r="Q2807" s="2" t="b">
        <f>FALSE()</f>
        <v>0</v>
      </c>
      <c r="R2807">
        <v>0</v>
      </c>
    </row>
    <row r="2808" spans="1:18" x14ac:dyDescent="0.25">
      <c r="A2808">
        <v>202807</v>
      </c>
      <c r="B2808">
        <v>54839</v>
      </c>
      <c r="C2808" t="s">
        <v>18</v>
      </c>
      <c r="D2808">
        <v>3209.15</v>
      </c>
      <c r="E2808">
        <v>55</v>
      </c>
      <c r="F2808">
        <v>2</v>
      </c>
      <c r="G2808">
        <v>2</v>
      </c>
      <c r="H2808">
        <v>0</v>
      </c>
      <c r="I2808" t="s">
        <v>33</v>
      </c>
      <c r="J2808">
        <v>0</v>
      </c>
      <c r="K2808">
        <v>74</v>
      </c>
      <c r="L2808" t="s">
        <v>20</v>
      </c>
      <c r="M2808" t="s">
        <v>29</v>
      </c>
      <c r="N2808" t="s">
        <v>30</v>
      </c>
      <c r="O2808" t="s">
        <v>36</v>
      </c>
      <c r="P2808">
        <v>5.83</v>
      </c>
      <c r="Q2808" s="2" t="b">
        <f>FALSE()</f>
        <v>0</v>
      </c>
      <c r="R2808">
        <v>0</v>
      </c>
    </row>
    <row r="2809" spans="1:18" x14ac:dyDescent="0.25">
      <c r="A2809">
        <v>202808</v>
      </c>
      <c r="B2809">
        <v>52531</v>
      </c>
      <c r="C2809" t="s">
        <v>34</v>
      </c>
      <c r="D2809">
        <v>1064.6300000000001</v>
      </c>
      <c r="E2809">
        <v>3087</v>
      </c>
      <c r="F2809">
        <v>1</v>
      </c>
      <c r="G2809">
        <v>5</v>
      </c>
      <c r="H2809">
        <v>0</v>
      </c>
      <c r="I2809" t="s">
        <v>19</v>
      </c>
      <c r="J2809">
        <v>0</v>
      </c>
      <c r="K2809">
        <v>29</v>
      </c>
      <c r="L2809" t="s">
        <v>20</v>
      </c>
      <c r="M2809" t="s">
        <v>29</v>
      </c>
      <c r="N2809" t="s">
        <v>26</v>
      </c>
      <c r="O2809" t="s">
        <v>27</v>
      </c>
      <c r="P2809">
        <v>1.64</v>
      </c>
      <c r="Q2809" s="2" t="b">
        <f>FALSE()</f>
        <v>0</v>
      </c>
      <c r="R2809">
        <v>0</v>
      </c>
    </row>
    <row r="2810" spans="1:18" x14ac:dyDescent="0.25">
      <c r="A2810">
        <v>202809</v>
      </c>
      <c r="B2810">
        <v>55725</v>
      </c>
      <c r="C2810" t="s">
        <v>34</v>
      </c>
      <c r="D2810">
        <v>2552.16</v>
      </c>
      <c r="E2810">
        <v>3411</v>
      </c>
      <c r="F2810">
        <v>0</v>
      </c>
      <c r="G2810">
        <v>3</v>
      </c>
      <c r="H2810">
        <v>0</v>
      </c>
      <c r="I2810" t="s">
        <v>33</v>
      </c>
      <c r="J2810">
        <v>0</v>
      </c>
      <c r="K2810">
        <v>82</v>
      </c>
      <c r="L2810" t="s">
        <v>20</v>
      </c>
      <c r="M2810" t="s">
        <v>35</v>
      </c>
      <c r="N2810" t="s">
        <v>22</v>
      </c>
      <c r="O2810" t="s">
        <v>27</v>
      </c>
      <c r="P2810">
        <v>3.54</v>
      </c>
      <c r="Q2810" s="2" t="b">
        <f>FALSE()</f>
        <v>0</v>
      </c>
      <c r="R2810">
        <v>0</v>
      </c>
    </row>
    <row r="2811" spans="1:18" x14ac:dyDescent="0.25">
      <c r="A2811">
        <v>202810</v>
      </c>
      <c r="B2811">
        <v>50847</v>
      </c>
      <c r="C2811" t="s">
        <v>28</v>
      </c>
      <c r="D2811">
        <v>907.52</v>
      </c>
      <c r="E2811">
        <v>1942</v>
      </c>
      <c r="F2811">
        <v>0</v>
      </c>
      <c r="G2811">
        <v>2</v>
      </c>
      <c r="H2811">
        <v>0</v>
      </c>
      <c r="I2811" t="s">
        <v>19</v>
      </c>
      <c r="J2811">
        <v>0</v>
      </c>
      <c r="K2811">
        <v>40</v>
      </c>
      <c r="L2811" t="s">
        <v>24</v>
      </c>
      <c r="M2811" t="s">
        <v>29</v>
      </c>
      <c r="N2811" t="s">
        <v>22</v>
      </c>
      <c r="O2811" t="s">
        <v>36</v>
      </c>
      <c r="P2811">
        <v>1.8</v>
      </c>
      <c r="Q2811" s="2" t="b">
        <f>FALSE()</f>
        <v>0</v>
      </c>
      <c r="R2811">
        <v>0</v>
      </c>
    </row>
    <row r="2812" spans="1:18" x14ac:dyDescent="0.25">
      <c r="A2812">
        <v>202811</v>
      </c>
      <c r="B2812">
        <v>52913</v>
      </c>
      <c r="C2812" t="s">
        <v>18</v>
      </c>
      <c r="D2812">
        <v>1217.01</v>
      </c>
      <c r="E2812">
        <v>1333</v>
      </c>
      <c r="F2812">
        <v>1</v>
      </c>
      <c r="G2812">
        <v>4</v>
      </c>
      <c r="H2812">
        <v>0</v>
      </c>
      <c r="I2812" t="s">
        <v>32</v>
      </c>
      <c r="J2812">
        <v>0</v>
      </c>
      <c r="K2812">
        <v>60</v>
      </c>
      <c r="L2812" t="s">
        <v>20</v>
      </c>
      <c r="M2812" t="s">
        <v>37</v>
      </c>
      <c r="N2812" t="s">
        <v>22</v>
      </c>
      <c r="O2812" t="s">
        <v>36</v>
      </c>
      <c r="P2812">
        <v>3.64</v>
      </c>
      <c r="Q2812" s="2" t="b">
        <f>FALSE()</f>
        <v>0</v>
      </c>
      <c r="R2812">
        <v>0</v>
      </c>
    </row>
    <row r="2813" spans="1:18" x14ac:dyDescent="0.25">
      <c r="A2813">
        <v>202812</v>
      </c>
      <c r="B2813">
        <v>55465</v>
      </c>
      <c r="C2813" t="s">
        <v>34</v>
      </c>
      <c r="D2813">
        <v>2578.67</v>
      </c>
      <c r="E2813">
        <v>1715</v>
      </c>
      <c r="F2813">
        <v>0</v>
      </c>
      <c r="G2813">
        <v>4</v>
      </c>
      <c r="H2813">
        <v>0</v>
      </c>
      <c r="I2813" t="s">
        <v>19</v>
      </c>
      <c r="J2813">
        <v>0</v>
      </c>
      <c r="K2813">
        <v>20</v>
      </c>
      <c r="L2813" t="s">
        <v>24</v>
      </c>
      <c r="M2813" t="s">
        <v>25</v>
      </c>
      <c r="N2813" t="s">
        <v>22</v>
      </c>
      <c r="O2813" t="s">
        <v>36</v>
      </c>
      <c r="P2813">
        <v>0.77</v>
      </c>
      <c r="Q2813" s="2" t="b">
        <f>FALSE()</f>
        <v>0</v>
      </c>
      <c r="R2813">
        <v>0</v>
      </c>
    </row>
    <row r="2814" spans="1:18" x14ac:dyDescent="0.25">
      <c r="A2814">
        <v>202813</v>
      </c>
      <c r="B2814">
        <v>55914</v>
      </c>
      <c r="C2814" t="s">
        <v>34</v>
      </c>
      <c r="D2814">
        <v>2733.03</v>
      </c>
      <c r="E2814">
        <v>783</v>
      </c>
      <c r="F2814">
        <v>0</v>
      </c>
      <c r="G2814">
        <v>2</v>
      </c>
      <c r="H2814">
        <v>0</v>
      </c>
      <c r="I2814" t="s">
        <v>19</v>
      </c>
      <c r="J2814">
        <v>1</v>
      </c>
      <c r="K2814">
        <v>52</v>
      </c>
      <c r="L2814" t="s">
        <v>20</v>
      </c>
      <c r="M2814" t="s">
        <v>31</v>
      </c>
      <c r="N2814" t="s">
        <v>30</v>
      </c>
      <c r="O2814" t="s">
        <v>36</v>
      </c>
      <c r="P2814">
        <v>7.77</v>
      </c>
      <c r="Q2814" s="2" t="b">
        <f>FALSE()</f>
        <v>0</v>
      </c>
      <c r="R2814">
        <v>0</v>
      </c>
    </row>
    <row r="2815" spans="1:18" x14ac:dyDescent="0.25">
      <c r="A2815">
        <v>202814</v>
      </c>
      <c r="B2815">
        <v>55305</v>
      </c>
      <c r="C2815" t="s">
        <v>18</v>
      </c>
      <c r="D2815">
        <v>1678.55</v>
      </c>
      <c r="E2815">
        <v>1638</v>
      </c>
      <c r="F2815">
        <v>1</v>
      </c>
      <c r="G2815">
        <v>6</v>
      </c>
      <c r="H2815">
        <v>0</v>
      </c>
      <c r="I2815" t="s">
        <v>19</v>
      </c>
      <c r="J2815">
        <v>0</v>
      </c>
      <c r="K2815">
        <v>81</v>
      </c>
      <c r="L2815" t="s">
        <v>20</v>
      </c>
      <c r="M2815" t="s">
        <v>31</v>
      </c>
      <c r="N2815" t="s">
        <v>30</v>
      </c>
      <c r="O2815" t="s">
        <v>27</v>
      </c>
      <c r="P2815">
        <v>7.8</v>
      </c>
      <c r="Q2815" s="2" t="b">
        <f>FALSE()</f>
        <v>0</v>
      </c>
      <c r="R2815">
        <v>0</v>
      </c>
    </row>
    <row r="2816" spans="1:18" x14ac:dyDescent="0.25">
      <c r="A2816">
        <v>202815</v>
      </c>
      <c r="B2816">
        <v>54211</v>
      </c>
      <c r="C2816" t="s">
        <v>28</v>
      </c>
      <c r="D2816">
        <v>4830.7700000000004</v>
      </c>
      <c r="E2816">
        <v>2536</v>
      </c>
      <c r="F2816">
        <v>2</v>
      </c>
      <c r="G2816">
        <v>5</v>
      </c>
      <c r="H2816">
        <v>1</v>
      </c>
      <c r="I2816" t="s">
        <v>33</v>
      </c>
      <c r="J2816">
        <v>0</v>
      </c>
      <c r="K2816">
        <v>71</v>
      </c>
      <c r="L2816" t="s">
        <v>24</v>
      </c>
      <c r="M2816" t="s">
        <v>21</v>
      </c>
      <c r="N2816" t="s">
        <v>22</v>
      </c>
      <c r="O2816" t="s">
        <v>27</v>
      </c>
      <c r="P2816">
        <v>0.18</v>
      </c>
      <c r="Q2816" s="2" t="b">
        <f>FALSE()</f>
        <v>0</v>
      </c>
      <c r="R2816">
        <v>1</v>
      </c>
    </row>
    <row r="2817" spans="1:18" x14ac:dyDescent="0.25">
      <c r="A2817">
        <v>202816</v>
      </c>
      <c r="B2817">
        <v>53931</v>
      </c>
      <c r="C2817" t="s">
        <v>34</v>
      </c>
      <c r="D2817">
        <v>2372.46</v>
      </c>
      <c r="E2817">
        <v>160</v>
      </c>
      <c r="F2817">
        <v>0</v>
      </c>
      <c r="G2817">
        <v>5</v>
      </c>
      <c r="H2817">
        <v>0</v>
      </c>
      <c r="I2817" t="s">
        <v>33</v>
      </c>
      <c r="J2817">
        <v>0</v>
      </c>
      <c r="K2817">
        <v>63</v>
      </c>
      <c r="L2817" t="s">
        <v>24</v>
      </c>
      <c r="M2817" t="s">
        <v>25</v>
      </c>
      <c r="N2817" t="s">
        <v>22</v>
      </c>
      <c r="O2817" t="s">
        <v>36</v>
      </c>
      <c r="P2817">
        <v>2.36</v>
      </c>
      <c r="Q2817" s="2" t="b">
        <f>FALSE()</f>
        <v>0</v>
      </c>
      <c r="R2817">
        <v>0</v>
      </c>
    </row>
    <row r="2818" spans="1:18" x14ac:dyDescent="0.25">
      <c r="A2818">
        <v>202817</v>
      </c>
      <c r="B2818">
        <v>50514</v>
      </c>
      <c r="C2818" t="s">
        <v>34</v>
      </c>
      <c r="D2818">
        <v>5432.03</v>
      </c>
      <c r="E2818">
        <v>402</v>
      </c>
      <c r="F2818">
        <v>2</v>
      </c>
      <c r="G2818">
        <v>4</v>
      </c>
      <c r="H2818">
        <v>0</v>
      </c>
      <c r="I2818" t="s">
        <v>33</v>
      </c>
      <c r="J2818">
        <v>1</v>
      </c>
      <c r="K2818">
        <v>38</v>
      </c>
      <c r="L2818" t="s">
        <v>24</v>
      </c>
      <c r="M2818" t="s">
        <v>21</v>
      </c>
      <c r="N2818" t="s">
        <v>26</v>
      </c>
      <c r="O2818" t="s">
        <v>23</v>
      </c>
      <c r="P2818">
        <v>2.33</v>
      </c>
      <c r="Q2818" s="2" t="b">
        <f>FALSE()</f>
        <v>0</v>
      </c>
      <c r="R2818">
        <v>1</v>
      </c>
    </row>
    <row r="2819" spans="1:18" x14ac:dyDescent="0.25">
      <c r="A2819">
        <v>202818</v>
      </c>
      <c r="B2819">
        <v>54064</v>
      </c>
      <c r="C2819" t="s">
        <v>34</v>
      </c>
      <c r="D2819">
        <v>2039.32</v>
      </c>
      <c r="E2819">
        <v>1701</v>
      </c>
      <c r="F2819">
        <v>2</v>
      </c>
      <c r="G2819">
        <v>2</v>
      </c>
      <c r="H2819">
        <v>0</v>
      </c>
      <c r="I2819" t="s">
        <v>19</v>
      </c>
      <c r="J2819">
        <v>0</v>
      </c>
      <c r="K2819">
        <v>37</v>
      </c>
      <c r="L2819" t="s">
        <v>24</v>
      </c>
      <c r="M2819" t="s">
        <v>37</v>
      </c>
      <c r="N2819" t="s">
        <v>22</v>
      </c>
      <c r="O2819" t="s">
        <v>23</v>
      </c>
      <c r="P2819">
        <v>0</v>
      </c>
      <c r="Q2819" s="2" t="b">
        <f>FALSE()</f>
        <v>0</v>
      </c>
      <c r="R2819">
        <v>0</v>
      </c>
    </row>
    <row r="2820" spans="1:18" x14ac:dyDescent="0.25">
      <c r="A2820">
        <v>202819</v>
      </c>
      <c r="B2820">
        <v>52261</v>
      </c>
      <c r="C2820" t="s">
        <v>34</v>
      </c>
      <c r="D2820">
        <v>6281.38</v>
      </c>
      <c r="E2820">
        <v>173</v>
      </c>
      <c r="F2820">
        <v>3</v>
      </c>
      <c r="G2820">
        <v>3</v>
      </c>
      <c r="H2820">
        <v>0</v>
      </c>
      <c r="I2820" t="s">
        <v>32</v>
      </c>
      <c r="J2820">
        <v>0</v>
      </c>
      <c r="K2820">
        <v>36</v>
      </c>
      <c r="L2820" t="s">
        <v>24</v>
      </c>
      <c r="M2820" t="s">
        <v>29</v>
      </c>
      <c r="N2820" t="s">
        <v>22</v>
      </c>
      <c r="O2820" t="s">
        <v>23</v>
      </c>
      <c r="P2820">
        <v>1.66</v>
      </c>
      <c r="Q2820" s="2" t="b">
        <f>FALSE()</f>
        <v>0</v>
      </c>
      <c r="R2820">
        <v>1</v>
      </c>
    </row>
    <row r="2821" spans="1:18" x14ac:dyDescent="0.25">
      <c r="A2821">
        <v>202820</v>
      </c>
      <c r="B2821">
        <v>51052</v>
      </c>
      <c r="C2821" t="s">
        <v>18</v>
      </c>
      <c r="D2821">
        <v>580.52</v>
      </c>
      <c r="E2821">
        <v>1650</v>
      </c>
      <c r="F2821">
        <v>4</v>
      </c>
      <c r="G2821">
        <v>5</v>
      </c>
      <c r="H2821">
        <v>1</v>
      </c>
      <c r="I2821" t="s">
        <v>33</v>
      </c>
      <c r="J2821">
        <v>0</v>
      </c>
      <c r="K2821">
        <v>55</v>
      </c>
      <c r="L2821" t="s">
        <v>24</v>
      </c>
      <c r="M2821" t="s">
        <v>35</v>
      </c>
      <c r="N2821" t="s">
        <v>22</v>
      </c>
      <c r="O2821" t="s">
        <v>36</v>
      </c>
      <c r="P2821">
        <v>6.46</v>
      </c>
      <c r="Q2821" s="2" t="b">
        <f>FALSE()</f>
        <v>0</v>
      </c>
      <c r="R2821">
        <v>1</v>
      </c>
    </row>
    <row r="2822" spans="1:18" x14ac:dyDescent="0.25">
      <c r="A2822">
        <v>202821</v>
      </c>
      <c r="B2822">
        <v>53899</v>
      </c>
      <c r="C2822" t="s">
        <v>18</v>
      </c>
      <c r="D2822">
        <v>2220.7600000000002</v>
      </c>
      <c r="E2822">
        <v>1430</v>
      </c>
      <c r="F2822">
        <v>2</v>
      </c>
      <c r="G2822">
        <v>2</v>
      </c>
      <c r="H2822">
        <v>0</v>
      </c>
      <c r="I2822" t="s">
        <v>32</v>
      </c>
      <c r="J2822">
        <v>0</v>
      </c>
      <c r="K2822">
        <v>75</v>
      </c>
      <c r="L2822" t="s">
        <v>24</v>
      </c>
      <c r="M2822" t="s">
        <v>31</v>
      </c>
      <c r="N2822" t="s">
        <v>30</v>
      </c>
      <c r="O2822" t="s">
        <v>27</v>
      </c>
      <c r="P2822">
        <v>0.69</v>
      </c>
      <c r="Q2822" s="2" t="b">
        <f>FALSE()</f>
        <v>0</v>
      </c>
      <c r="R2822">
        <v>0</v>
      </c>
    </row>
    <row r="2823" spans="1:18" x14ac:dyDescent="0.25">
      <c r="A2823">
        <v>202822</v>
      </c>
      <c r="B2823">
        <v>54681</v>
      </c>
      <c r="C2823" t="s">
        <v>18</v>
      </c>
      <c r="D2823">
        <v>113.14</v>
      </c>
      <c r="E2823">
        <v>2809</v>
      </c>
      <c r="F2823">
        <v>0</v>
      </c>
      <c r="G2823">
        <v>6</v>
      </c>
      <c r="H2823">
        <v>1</v>
      </c>
      <c r="I2823" t="s">
        <v>33</v>
      </c>
      <c r="J2823">
        <v>0</v>
      </c>
      <c r="K2823">
        <v>36</v>
      </c>
      <c r="L2823" t="s">
        <v>24</v>
      </c>
      <c r="M2823" t="s">
        <v>29</v>
      </c>
      <c r="N2823" t="s">
        <v>22</v>
      </c>
      <c r="O2823" t="s">
        <v>27</v>
      </c>
      <c r="P2823">
        <v>3.78</v>
      </c>
      <c r="Q2823" s="2" t="b">
        <f>FALSE()</f>
        <v>0</v>
      </c>
      <c r="R2823">
        <v>0</v>
      </c>
    </row>
    <row r="2824" spans="1:18" x14ac:dyDescent="0.25">
      <c r="A2824">
        <v>202823</v>
      </c>
      <c r="B2824">
        <v>50037</v>
      </c>
      <c r="C2824" t="s">
        <v>18</v>
      </c>
      <c r="D2824">
        <v>4382.96</v>
      </c>
      <c r="E2824">
        <v>586</v>
      </c>
      <c r="F2824">
        <v>2</v>
      </c>
      <c r="G2824">
        <v>3</v>
      </c>
      <c r="H2824">
        <v>0</v>
      </c>
      <c r="I2824" t="s">
        <v>19</v>
      </c>
      <c r="J2824">
        <v>0</v>
      </c>
      <c r="K2824">
        <v>48</v>
      </c>
      <c r="L2824" t="s">
        <v>24</v>
      </c>
      <c r="M2824" t="s">
        <v>25</v>
      </c>
      <c r="N2824" t="s">
        <v>22</v>
      </c>
      <c r="O2824" t="s">
        <v>23</v>
      </c>
      <c r="P2824">
        <v>0.79</v>
      </c>
      <c r="Q2824" s="2" t="b">
        <f>FALSE()</f>
        <v>0</v>
      </c>
      <c r="R2824">
        <v>1</v>
      </c>
    </row>
    <row r="2825" spans="1:18" x14ac:dyDescent="0.25">
      <c r="A2825">
        <v>202824</v>
      </c>
      <c r="B2825">
        <v>50328</v>
      </c>
      <c r="C2825" t="s">
        <v>18</v>
      </c>
      <c r="D2825">
        <v>11114.39</v>
      </c>
      <c r="E2825">
        <v>2059</v>
      </c>
      <c r="F2825">
        <v>0</v>
      </c>
      <c r="G2825">
        <v>5</v>
      </c>
      <c r="H2825">
        <v>0</v>
      </c>
      <c r="I2825" t="s">
        <v>33</v>
      </c>
      <c r="J2825">
        <v>0</v>
      </c>
      <c r="K2825">
        <v>69</v>
      </c>
      <c r="L2825" t="s">
        <v>24</v>
      </c>
      <c r="M2825" t="s">
        <v>37</v>
      </c>
      <c r="N2825" t="s">
        <v>30</v>
      </c>
      <c r="O2825" t="s">
        <v>36</v>
      </c>
      <c r="P2825">
        <v>3.07</v>
      </c>
      <c r="Q2825" s="2" t="b">
        <f>TRUE()</f>
        <v>1</v>
      </c>
      <c r="R2825">
        <v>1</v>
      </c>
    </row>
    <row r="2826" spans="1:18" x14ac:dyDescent="0.25">
      <c r="A2826">
        <v>202825</v>
      </c>
      <c r="B2826">
        <v>50131</v>
      </c>
      <c r="C2826" t="s">
        <v>34</v>
      </c>
      <c r="D2826">
        <v>2139.6999999999998</v>
      </c>
      <c r="E2826">
        <v>2497</v>
      </c>
      <c r="F2826">
        <v>0</v>
      </c>
      <c r="G2826">
        <v>7</v>
      </c>
      <c r="H2826">
        <v>0</v>
      </c>
      <c r="I2826" t="s">
        <v>33</v>
      </c>
      <c r="J2826">
        <v>0</v>
      </c>
      <c r="K2826">
        <v>42</v>
      </c>
      <c r="L2826" t="s">
        <v>20</v>
      </c>
      <c r="M2826" t="s">
        <v>35</v>
      </c>
      <c r="N2826" t="s">
        <v>22</v>
      </c>
      <c r="O2826" t="s">
        <v>27</v>
      </c>
      <c r="P2826">
        <v>0.08</v>
      </c>
      <c r="Q2826" s="2" t="b">
        <f>FALSE()</f>
        <v>0</v>
      </c>
      <c r="R2826">
        <v>1</v>
      </c>
    </row>
    <row r="2827" spans="1:18" x14ac:dyDescent="0.25">
      <c r="A2827">
        <v>202826</v>
      </c>
      <c r="B2827">
        <v>54572</v>
      </c>
      <c r="C2827" t="s">
        <v>28</v>
      </c>
      <c r="D2827">
        <v>630.5</v>
      </c>
      <c r="E2827">
        <v>1251</v>
      </c>
      <c r="F2827">
        <v>1</v>
      </c>
      <c r="G2827">
        <v>4</v>
      </c>
      <c r="H2827">
        <v>1</v>
      </c>
      <c r="I2827" t="s">
        <v>19</v>
      </c>
      <c r="J2827">
        <v>0</v>
      </c>
      <c r="K2827">
        <v>26</v>
      </c>
      <c r="L2827" t="s">
        <v>20</v>
      </c>
      <c r="M2827" t="s">
        <v>31</v>
      </c>
      <c r="N2827" t="s">
        <v>22</v>
      </c>
      <c r="O2827" t="s">
        <v>23</v>
      </c>
      <c r="P2827">
        <v>9.48</v>
      </c>
      <c r="Q2827" s="2" t="b">
        <f>FALSE()</f>
        <v>0</v>
      </c>
      <c r="R2827">
        <v>0</v>
      </c>
    </row>
    <row r="2828" spans="1:18" x14ac:dyDescent="0.25">
      <c r="A2828">
        <v>202827</v>
      </c>
      <c r="B2828">
        <v>54659</v>
      </c>
      <c r="C2828" t="s">
        <v>28</v>
      </c>
      <c r="D2828">
        <v>4137.09</v>
      </c>
      <c r="E2828">
        <v>1884</v>
      </c>
      <c r="F2828">
        <v>1</v>
      </c>
      <c r="G2828">
        <v>3</v>
      </c>
      <c r="H2828">
        <v>0</v>
      </c>
      <c r="I2828" t="s">
        <v>33</v>
      </c>
      <c r="J2828">
        <v>0</v>
      </c>
      <c r="K2828">
        <v>39</v>
      </c>
      <c r="L2828" t="s">
        <v>24</v>
      </c>
      <c r="M2828" t="s">
        <v>21</v>
      </c>
      <c r="N2828" t="s">
        <v>30</v>
      </c>
      <c r="O2828" t="s">
        <v>23</v>
      </c>
      <c r="P2828">
        <v>2.4900000000000002</v>
      </c>
      <c r="Q2828" s="2" t="b">
        <f>FALSE()</f>
        <v>0</v>
      </c>
      <c r="R2828">
        <v>1</v>
      </c>
    </row>
    <row r="2829" spans="1:18" x14ac:dyDescent="0.25">
      <c r="A2829">
        <v>202828</v>
      </c>
      <c r="B2829">
        <v>54250</v>
      </c>
      <c r="C2829" t="s">
        <v>28</v>
      </c>
      <c r="D2829">
        <v>2724.82</v>
      </c>
      <c r="E2829">
        <v>1732</v>
      </c>
      <c r="F2829">
        <v>0</v>
      </c>
      <c r="G2829">
        <v>2</v>
      </c>
      <c r="H2829">
        <v>0</v>
      </c>
      <c r="I2829" t="s">
        <v>33</v>
      </c>
      <c r="J2829">
        <v>0</v>
      </c>
      <c r="K2829">
        <v>82</v>
      </c>
      <c r="L2829" t="s">
        <v>24</v>
      </c>
      <c r="M2829" t="s">
        <v>25</v>
      </c>
      <c r="N2829" t="s">
        <v>26</v>
      </c>
      <c r="O2829" t="s">
        <v>36</v>
      </c>
      <c r="P2829">
        <v>3.62</v>
      </c>
      <c r="Q2829" s="2" t="b">
        <f>FALSE()</f>
        <v>0</v>
      </c>
      <c r="R2829">
        <v>0</v>
      </c>
    </row>
    <row r="2830" spans="1:18" x14ac:dyDescent="0.25">
      <c r="A2830">
        <v>202829</v>
      </c>
      <c r="B2830">
        <v>55257</v>
      </c>
      <c r="C2830" t="s">
        <v>18</v>
      </c>
      <c r="D2830">
        <v>2716.43</v>
      </c>
      <c r="E2830">
        <v>1165</v>
      </c>
      <c r="F2830">
        <v>1</v>
      </c>
      <c r="G2830">
        <v>3</v>
      </c>
      <c r="H2830">
        <v>1</v>
      </c>
      <c r="I2830" t="s">
        <v>33</v>
      </c>
      <c r="J2830">
        <v>0</v>
      </c>
      <c r="K2830">
        <v>51</v>
      </c>
      <c r="L2830" t="s">
        <v>24</v>
      </c>
      <c r="M2830" t="s">
        <v>35</v>
      </c>
      <c r="N2830" t="s">
        <v>22</v>
      </c>
      <c r="O2830" t="s">
        <v>36</v>
      </c>
      <c r="P2830">
        <v>3.46</v>
      </c>
      <c r="Q2830" s="2" t="b">
        <f>FALSE()</f>
        <v>0</v>
      </c>
      <c r="R2830">
        <v>0</v>
      </c>
    </row>
    <row r="2831" spans="1:18" x14ac:dyDescent="0.25">
      <c r="A2831">
        <v>202830</v>
      </c>
      <c r="B2831">
        <v>54256</v>
      </c>
      <c r="C2831" t="s">
        <v>34</v>
      </c>
      <c r="D2831">
        <v>986.18</v>
      </c>
      <c r="E2831">
        <v>1086</v>
      </c>
      <c r="F2831">
        <v>1</v>
      </c>
      <c r="G2831">
        <v>9</v>
      </c>
      <c r="H2831">
        <v>1</v>
      </c>
      <c r="I2831" t="s">
        <v>33</v>
      </c>
      <c r="J2831">
        <v>0</v>
      </c>
      <c r="K2831">
        <v>73</v>
      </c>
      <c r="L2831" t="s">
        <v>24</v>
      </c>
      <c r="M2831" t="s">
        <v>37</v>
      </c>
      <c r="N2831" t="s">
        <v>22</v>
      </c>
      <c r="O2831" t="s">
        <v>27</v>
      </c>
      <c r="P2831">
        <v>0.19</v>
      </c>
      <c r="Q2831" s="2" t="b">
        <f>FALSE()</f>
        <v>0</v>
      </c>
      <c r="R2831">
        <v>1</v>
      </c>
    </row>
    <row r="2832" spans="1:18" x14ac:dyDescent="0.25">
      <c r="A2832">
        <v>202831</v>
      </c>
      <c r="B2832">
        <v>50956</v>
      </c>
      <c r="C2832" t="s">
        <v>18</v>
      </c>
      <c r="D2832">
        <v>4328.01</v>
      </c>
      <c r="E2832">
        <v>600</v>
      </c>
      <c r="F2832">
        <v>0</v>
      </c>
      <c r="G2832">
        <v>1</v>
      </c>
      <c r="H2832">
        <v>0</v>
      </c>
      <c r="I2832" t="s">
        <v>33</v>
      </c>
      <c r="J2832">
        <v>0</v>
      </c>
      <c r="K2832">
        <v>70</v>
      </c>
      <c r="L2832" t="s">
        <v>24</v>
      </c>
      <c r="M2832" t="s">
        <v>35</v>
      </c>
      <c r="N2832" t="s">
        <v>22</v>
      </c>
      <c r="O2832" t="s">
        <v>27</v>
      </c>
      <c r="P2832">
        <v>2.66</v>
      </c>
      <c r="Q2832" s="2" t="b">
        <f>FALSE()</f>
        <v>0</v>
      </c>
      <c r="R2832">
        <v>1</v>
      </c>
    </row>
    <row r="2833" spans="1:18" x14ac:dyDescent="0.25">
      <c r="A2833">
        <v>202832</v>
      </c>
      <c r="B2833">
        <v>54717</v>
      </c>
      <c r="C2833" t="s">
        <v>18</v>
      </c>
      <c r="D2833">
        <v>4805.59</v>
      </c>
      <c r="E2833">
        <v>2922</v>
      </c>
      <c r="F2833">
        <v>0</v>
      </c>
      <c r="G2833">
        <v>4</v>
      </c>
      <c r="H2833">
        <v>0</v>
      </c>
      <c r="I2833" t="s">
        <v>33</v>
      </c>
      <c r="J2833">
        <v>0</v>
      </c>
      <c r="K2833">
        <v>71</v>
      </c>
      <c r="L2833" t="s">
        <v>20</v>
      </c>
      <c r="M2833" t="s">
        <v>37</v>
      </c>
      <c r="N2833" t="s">
        <v>30</v>
      </c>
      <c r="O2833" t="s">
        <v>27</v>
      </c>
      <c r="P2833">
        <v>0.55000000000000004</v>
      </c>
      <c r="Q2833" s="2" t="b">
        <f>FALSE()</f>
        <v>0</v>
      </c>
      <c r="R2833">
        <v>1</v>
      </c>
    </row>
    <row r="2834" spans="1:18" x14ac:dyDescent="0.25">
      <c r="A2834">
        <v>202833</v>
      </c>
      <c r="B2834">
        <v>50046</v>
      </c>
      <c r="C2834" t="s">
        <v>18</v>
      </c>
      <c r="D2834">
        <v>2407.34</v>
      </c>
      <c r="E2834">
        <v>1753</v>
      </c>
      <c r="F2834">
        <v>0</v>
      </c>
      <c r="G2834">
        <v>3</v>
      </c>
      <c r="H2834">
        <v>1</v>
      </c>
      <c r="I2834" t="s">
        <v>33</v>
      </c>
      <c r="J2834">
        <v>0</v>
      </c>
      <c r="K2834">
        <v>51</v>
      </c>
      <c r="L2834" t="s">
        <v>24</v>
      </c>
      <c r="M2834" t="s">
        <v>21</v>
      </c>
      <c r="N2834" t="s">
        <v>22</v>
      </c>
      <c r="O2834" t="s">
        <v>27</v>
      </c>
      <c r="P2834">
        <v>1.01</v>
      </c>
      <c r="Q2834" s="2" t="b">
        <f>FALSE()</f>
        <v>0</v>
      </c>
      <c r="R2834">
        <v>0</v>
      </c>
    </row>
    <row r="2835" spans="1:18" x14ac:dyDescent="0.25">
      <c r="A2835">
        <v>202834</v>
      </c>
      <c r="B2835">
        <v>51578</v>
      </c>
      <c r="C2835" t="s">
        <v>18</v>
      </c>
      <c r="D2835">
        <v>2226.75</v>
      </c>
      <c r="E2835">
        <v>3622</v>
      </c>
      <c r="F2835">
        <v>3</v>
      </c>
      <c r="G2835">
        <v>7</v>
      </c>
      <c r="H2835">
        <v>1</v>
      </c>
      <c r="I2835" t="s">
        <v>19</v>
      </c>
      <c r="J2835">
        <v>0</v>
      </c>
      <c r="K2835">
        <v>26</v>
      </c>
      <c r="L2835" t="s">
        <v>20</v>
      </c>
      <c r="M2835" t="s">
        <v>25</v>
      </c>
      <c r="N2835" t="s">
        <v>26</v>
      </c>
      <c r="O2835" t="s">
        <v>27</v>
      </c>
      <c r="P2835">
        <v>6.71</v>
      </c>
      <c r="Q2835" s="2" t="b">
        <f>FALSE()</f>
        <v>0</v>
      </c>
      <c r="R2835">
        <v>1</v>
      </c>
    </row>
    <row r="2836" spans="1:18" x14ac:dyDescent="0.25">
      <c r="A2836">
        <v>202835</v>
      </c>
      <c r="B2836">
        <v>52618</v>
      </c>
      <c r="C2836" t="s">
        <v>28</v>
      </c>
      <c r="D2836">
        <v>2304.79</v>
      </c>
      <c r="E2836">
        <v>3330</v>
      </c>
      <c r="F2836">
        <v>1</v>
      </c>
      <c r="G2836">
        <v>3</v>
      </c>
      <c r="H2836">
        <v>0</v>
      </c>
      <c r="I2836" t="s">
        <v>33</v>
      </c>
      <c r="J2836">
        <v>0</v>
      </c>
      <c r="K2836">
        <v>20</v>
      </c>
      <c r="L2836" t="s">
        <v>24</v>
      </c>
      <c r="M2836" t="s">
        <v>21</v>
      </c>
      <c r="N2836" t="s">
        <v>30</v>
      </c>
      <c r="O2836" t="s">
        <v>36</v>
      </c>
      <c r="P2836">
        <v>6.4</v>
      </c>
      <c r="Q2836" s="2" t="b">
        <f>FALSE()</f>
        <v>0</v>
      </c>
      <c r="R2836">
        <v>0</v>
      </c>
    </row>
    <row r="2837" spans="1:18" x14ac:dyDescent="0.25">
      <c r="A2837">
        <v>202836</v>
      </c>
      <c r="B2837">
        <v>55773</v>
      </c>
      <c r="C2837" t="s">
        <v>18</v>
      </c>
      <c r="D2837">
        <v>5644.27</v>
      </c>
      <c r="E2837">
        <v>602</v>
      </c>
      <c r="F2837">
        <v>2</v>
      </c>
      <c r="G2837">
        <v>2</v>
      </c>
      <c r="H2837">
        <v>0</v>
      </c>
      <c r="I2837" t="s">
        <v>19</v>
      </c>
      <c r="J2837">
        <v>1</v>
      </c>
      <c r="K2837">
        <v>79</v>
      </c>
      <c r="L2837" t="s">
        <v>20</v>
      </c>
      <c r="M2837" t="s">
        <v>37</v>
      </c>
      <c r="N2837" t="s">
        <v>22</v>
      </c>
      <c r="O2837" t="s">
        <v>36</v>
      </c>
      <c r="P2837">
        <v>0.57999999999999996</v>
      </c>
      <c r="Q2837" s="2" t="b">
        <f>FALSE()</f>
        <v>0</v>
      </c>
      <c r="R2837">
        <v>1</v>
      </c>
    </row>
    <row r="2838" spans="1:18" x14ac:dyDescent="0.25">
      <c r="A2838">
        <v>202837</v>
      </c>
      <c r="B2838">
        <v>54367</v>
      </c>
      <c r="C2838" t="s">
        <v>34</v>
      </c>
      <c r="D2838">
        <v>3251.92</v>
      </c>
      <c r="E2838">
        <v>2717</v>
      </c>
      <c r="F2838">
        <v>2</v>
      </c>
      <c r="G2838">
        <v>6</v>
      </c>
      <c r="H2838">
        <v>1</v>
      </c>
      <c r="I2838" t="s">
        <v>19</v>
      </c>
      <c r="J2838">
        <v>1</v>
      </c>
      <c r="K2838">
        <v>36</v>
      </c>
      <c r="L2838" t="s">
        <v>24</v>
      </c>
      <c r="M2838" t="s">
        <v>35</v>
      </c>
      <c r="N2838" t="s">
        <v>30</v>
      </c>
      <c r="O2838" t="s">
        <v>36</v>
      </c>
      <c r="P2838">
        <v>1.23</v>
      </c>
      <c r="Q2838" s="2" t="b">
        <f>FALSE()</f>
        <v>0</v>
      </c>
      <c r="R2838">
        <v>0</v>
      </c>
    </row>
    <row r="2839" spans="1:18" x14ac:dyDescent="0.25">
      <c r="A2839">
        <v>202838</v>
      </c>
      <c r="B2839">
        <v>54401</v>
      </c>
      <c r="C2839" t="s">
        <v>18</v>
      </c>
      <c r="D2839">
        <v>4905.07</v>
      </c>
      <c r="E2839">
        <v>506</v>
      </c>
      <c r="F2839">
        <v>1</v>
      </c>
      <c r="G2839">
        <v>4</v>
      </c>
      <c r="H2839">
        <v>0</v>
      </c>
      <c r="I2839" t="s">
        <v>32</v>
      </c>
      <c r="J2839">
        <v>0</v>
      </c>
      <c r="K2839">
        <v>35</v>
      </c>
      <c r="L2839" t="s">
        <v>24</v>
      </c>
      <c r="M2839" t="s">
        <v>37</v>
      </c>
      <c r="N2839" t="s">
        <v>26</v>
      </c>
      <c r="O2839" t="s">
        <v>27</v>
      </c>
      <c r="P2839">
        <v>4.4000000000000004</v>
      </c>
      <c r="Q2839" s="2" t="b">
        <f>FALSE()</f>
        <v>0</v>
      </c>
      <c r="R2839">
        <v>1</v>
      </c>
    </row>
    <row r="2840" spans="1:18" x14ac:dyDescent="0.25">
      <c r="A2840">
        <v>202839</v>
      </c>
      <c r="B2840">
        <v>54777</v>
      </c>
      <c r="C2840" t="s">
        <v>18</v>
      </c>
      <c r="D2840">
        <v>3621.52</v>
      </c>
      <c r="E2840">
        <v>2987</v>
      </c>
      <c r="F2840">
        <v>1</v>
      </c>
      <c r="G2840">
        <v>3</v>
      </c>
      <c r="H2840">
        <v>1</v>
      </c>
      <c r="I2840" t="s">
        <v>32</v>
      </c>
      <c r="J2840">
        <v>0</v>
      </c>
      <c r="K2840">
        <v>72</v>
      </c>
      <c r="L2840" t="s">
        <v>20</v>
      </c>
      <c r="M2840" t="s">
        <v>31</v>
      </c>
      <c r="N2840" t="s">
        <v>26</v>
      </c>
      <c r="O2840" t="s">
        <v>27</v>
      </c>
      <c r="P2840">
        <v>3.34</v>
      </c>
      <c r="Q2840" s="2" t="b">
        <f>FALSE()</f>
        <v>0</v>
      </c>
      <c r="R2840">
        <v>1</v>
      </c>
    </row>
    <row r="2841" spans="1:18" x14ac:dyDescent="0.25">
      <c r="A2841">
        <v>202840</v>
      </c>
      <c r="B2841">
        <v>54326</v>
      </c>
      <c r="C2841" t="s">
        <v>34</v>
      </c>
      <c r="D2841">
        <v>915.92</v>
      </c>
      <c r="E2841">
        <v>3258</v>
      </c>
      <c r="F2841">
        <v>0</v>
      </c>
      <c r="G2841">
        <v>6</v>
      </c>
      <c r="H2841">
        <v>1</v>
      </c>
      <c r="I2841" t="s">
        <v>33</v>
      </c>
      <c r="J2841">
        <v>0</v>
      </c>
      <c r="K2841">
        <v>44</v>
      </c>
      <c r="L2841" t="s">
        <v>20</v>
      </c>
      <c r="M2841" t="s">
        <v>29</v>
      </c>
      <c r="N2841" t="s">
        <v>30</v>
      </c>
      <c r="O2841" t="s">
        <v>36</v>
      </c>
      <c r="P2841">
        <v>2.69</v>
      </c>
      <c r="Q2841" s="2" t="b">
        <f>FALSE()</f>
        <v>0</v>
      </c>
      <c r="R2841">
        <v>0</v>
      </c>
    </row>
    <row r="2842" spans="1:18" x14ac:dyDescent="0.25">
      <c r="A2842">
        <v>202841</v>
      </c>
      <c r="B2842">
        <v>54566</v>
      </c>
      <c r="C2842" t="s">
        <v>18</v>
      </c>
      <c r="D2842">
        <v>7450.34</v>
      </c>
      <c r="E2842">
        <v>1826</v>
      </c>
      <c r="F2842">
        <v>2</v>
      </c>
      <c r="G2842">
        <v>5</v>
      </c>
      <c r="H2842">
        <v>0</v>
      </c>
      <c r="I2842" t="s">
        <v>33</v>
      </c>
      <c r="J2842">
        <v>0</v>
      </c>
      <c r="K2842">
        <v>50</v>
      </c>
      <c r="L2842" t="s">
        <v>24</v>
      </c>
      <c r="M2842" t="s">
        <v>21</v>
      </c>
      <c r="N2842" t="s">
        <v>22</v>
      </c>
      <c r="O2842" t="s">
        <v>36</v>
      </c>
      <c r="P2842">
        <v>3.73</v>
      </c>
      <c r="Q2842" s="2" t="b">
        <f>TRUE()</f>
        <v>1</v>
      </c>
      <c r="R2842">
        <v>1</v>
      </c>
    </row>
    <row r="2843" spans="1:18" x14ac:dyDescent="0.25">
      <c r="A2843">
        <v>202842</v>
      </c>
      <c r="B2843">
        <v>53936</v>
      </c>
      <c r="C2843" t="s">
        <v>34</v>
      </c>
      <c r="D2843">
        <v>928.82</v>
      </c>
      <c r="E2843">
        <v>2632</v>
      </c>
      <c r="F2843">
        <v>0</v>
      </c>
      <c r="G2843">
        <v>3</v>
      </c>
      <c r="H2843">
        <v>0</v>
      </c>
      <c r="I2843" t="s">
        <v>19</v>
      </c>
      <c r="J2843">
        <v>0</v>
      </c>
      <c r="K2843">
        <v>37</v>
      </c>
      <c r="L2843" t="s">
        <v>20</v>
      </c>
      <c r="M2843" t="s">
        <v>21</v>
      </c>
      <c r="N2843" t="s">
        <v>22</v>
      </c>
      <c r="O2843" t="s">
        <v>36</v>
      </c>
      <c r="P2843">
        <v>2.63</v>
      </c>
      <c r="Q2843" s="2" t="b">
        <f>FALSE()</f>
        <v>0</v>
      </c>
      <c r="R2843">
        <v>0</v>
      </c>
    </row>
    <row r="2844" spans="1:18" x14ac:dyDescent="0.25">
      <c r="A2844">
        <v>202843</v>
      </c>
      <c r="B2844">
        <v>52670</v>
      </c>
      <c r="C2844" t="s">
        <v>18</v>
      </c>
      <c r="D2844">
        <v>967.02</v>
      </c>
      <c r="E2844">
        <v>2580</v>
      </c>
      <c r="F2844">
        <v>1</v>
      </c>
      <c r="G2844">
        <v>1</v>
      </c>
      <c r="H2844">
        <v>0</v>
      </c>
      <c r="I2844" t="s">
        <v>19</v>
      </c>
      <c r="J2844">
        <v>0</v>
      </c>
      <c r="K2844">
        <v>36</v>
      </c>
      <c r="L2844" t="s">
        <v>24</v>
      </c>
      <c r="M2844" t="s">
        <v>29</v>
      </c>
      <c r="N2844" t="s">
        <v>22</v>
      </c>
      <c r="O2844" t="s">
        <v>36</v>
      </c>
      <c r="P2844">
        <v>1.9</v>
      </c>
      <c r="Q2844" s="2" t="b">
        <f>FALSE()</f>
        <v>0</v>
      </c>
      <c r="R2844">
        <v>0</v>
      </c>
    </row>
    <row r="2845" spans="1:18" x14ac:dyDescent="0.25">
      <c r="A2845">
        <v>202844</v>
      </c>
      <c r="B2845">
        <v>52099</v>
      </c>
      <c r="C2845" t="s">
        <v>34</v>
      </c>
      <c r="D2845">
        <v>2414.77</v>
      </c>
      <c r="E2845">
        <v>3011</v>
      </c>
      <c r="F2845">
        <v>2</v>
      </c>
      <c r="G2845">
        <v>3</v>
      </c>
      <c r="H2845">
        <v>1</v>
      </c>
      <c r="I2845" t="s">
        <v>32</v>
      </c>
      <c r="J2845">
        <v>0</v>
      </c>
      <c r="K2845">
        <v>59</v>
      </c>
      <c r="L2845" t="s">
        <v>20</v>
      </c>
      <c r="M2845" t="s">
        <v>31</v>
      </c>
      <c r="N2845" t="s">
        <v>22</v>
      </c>
      <c r="O2845" t="s">
        <v>23</v>
      </c>
      <c r="P2845">
        <v>4.24</v>
      </c>
      <c r="Q2845" s="2" t="b">
        <f>FALSE()</f>
        <v>0</v>
      </c>
      <c r="R2845">
        <v>0</v>
      </c>
    </row>
    <row r="2846" spans="1:18" x14ac:dyDescent="0.25">
      <c r="A2846">
        <v>202845</v>
      </c>
      <c r="B2846">
        <v>50112</v>
      </c>
      <c r="C2846" t="s">
        <v>34</v>
      </c>
      <c r="D2846">
        <v>1487.14</v>
      </c>
      <c r="E2846">
        <v>2617</v>
      </c>
      <c r="F2846">
        <v>0</v>
      </c>
      <c r="G2846">
        <v>1</v>
      </c>
      <c r="H2846">
        <v>0</v>
      </c>
      <c r="I2846" t="s">
        <v>33</v>
      </c>
      <c r="J2846">
        <v>1</v>
      </c>
      <c r="K2846">
        <v>74</v>
      </c>
      <c r="L2846" t="s">
        <v>24</v>
      </c>
      <c r="M2846" t="s">
        <v>31</v>
      </c>
      <c r="N2846" t="s">
        <v>22</v>
      </c>
      <c r="O2846" t="s">
        <v>36</v>
      </c>
      <c r="P2846">
        <v>5.78</v>
      </c>
      <c r="Q2846" s="2" t="b">
        <f>FALSE()</f>
        <v>0</v>
      </c>
      <c r="R2846">
        <v>0</v>
      </c>
    </row>
    <row r="2847" spans="1:18" x14ac:dyDescent="0.25">
      <c r="A2847">
        <v>202846</v>
      </c>
      <c r="B2847">
        <v>53747</v>
      </c>
      <c r="C2847" t="s">
        <v>28</v>
      </c>
      <c r="D2847">
        <v>1487.03</v>
      </c>
      <c r="E2847">
        <v>1326</v>
      </c>
      <c r="F2847">
        <v>2</v>
      </c>
      <c r="G2847">
        <v>3</v>
      </c>
      <c r="H2847">
        <v>1</v>
      </c>
      <c r="I2847" t="s">
        <v>33</v>
      </c>
      <c r="J2847">
        <v>0</v>
      </c>
      <c r="K2847">
        <v>76</v>
      </c>
      <c r="L2847" t="s">
        <v>20</v>
      </c>
      <c r="M2847" t="s">
        <v>25</v>
      </c>
      <c r="N2847" t="s">
        <v>30</v>
      </c>
      <c r="O2847" t="s">
        <v>36</v>
      </c>
      <c r="P2847">
        <v>0.39</v>
      </c>
      <c r="Q2847" s="2" t="b">
        <f>FALSE()</f>
        <v>0</v>
      </c>
      <c r="R2847">
        <v>0</v>
      </c>
    </row>
    <row r="2848" spans="1:18" x14ac:dyDescent="0.25">
      <c r="A2848">
        <v>202847</v>
      </c>
      <c r="B2848">
        <v>53540</v>
      </c>
      <c r="C2848" t="s">
        <v>18</v>
      </c>
      <c r="D2848">
        <v>849.45</v>
      </c>
      <c r="E2848">
        <v>194</v>
      </c>
      <c r="F2848">
        <v>2</v>
      </c>
      <c r="G2848">
        <v>4</v>
      </c>
      <c r="H2848">
        <v>0</v>
      </c>
      <c r="I2848" t="s">
        <v>32</v>
      </c>
      <c r="J2848">
        <v>0</v>
      </c>
      <c r="K2848">
        <v>20</v>
      </c>
      <c r="L2848" t="s">
        <v>24</v>
      </c>
      <c r="M2848" t="s">
        <v>21</v>
      </c>
      <c r="N2848" t="s">
        <v>22</v>
      </c>
      <c r="O2848" t="s">
        <v>27</v>
      </c>
      <c r="P2848">
        <v>0.28999999999999998</v>
      </c>
      <c r="Q2848" s="2" t="b">
        <f>FALSE()</f>
        <v>0</v>
      </c>
      <c r="R2848">
        <v>0</v>
      </c>
    </row>
    <row r="2849" spans="1:18" x14ac:dyDescent="0.25">
      <c r="A2849">
        <v>202848</v>
      </c>
      <c r="B2849">
        <v>55894</v>
      </c>
      <c r="C2849" t="s">
        <v>18</v>
      </c>
      <c r="D2849">
        <v>2875.12</v>
      </c>
      <c r="E2849">
        <v>1573</v>
      </c>
      <c r="F2849">
        <v>0</v>
      </c>
      <c r="G2849">
        <v>6</v>
      </c>
      <c r="H2849">
        <v>0</v>
      </c>
      <c r="I2849" t="s">
        <v>33</v>
      </c>
      <c r="J2849">
        <v>1</v>
      </c>
      <c r="K2849">
        <v>69</v>
      </c>
      <c r="L2849" t="s">
        <v>20</v>
      </c>
      <c r="M2849" t="s">
        <v>31</v>
      </c>
      <c r="N2849" t="s">
        <v>22</v>
      </c>
      <c r="O2849" t="s">
        <v>36</v>
      </c>
      <c r="P2849">
        <v>1.44</v>
      </c>
      <c r="Q2849" s="2" t="b">
        <f>FALSE()</f>
        <v>0</v>
      </c>
      <c r="R2849">
        <v>0</v>
      </c>
    </row>
    <row r="2850" spans="1:18" x14ac:dyDescent="0.25">
      <c r="A2850">
        <v>202849</v>
      </c>
      <c r="B2850">
        <v>50222</v>
      </c>
      <c r="C2850" t="s">
        <v>18</v>
      </c>
      <c r="D2850">
        <v>3170.44</v>
      </c>
      <c r="E2850">
        <v>1162</v>
      </c>
      <c r="F2850">
        <v>1</v>
      </c>
      <c r="G2850">
        <v>7</v>
      </c>
      <c r="H2850">
        <v>1</v>
      </c>
      <c r="I2850" t="s">
        <v>33</v>
      </c>
      <c r="J2850">
        <v>0</v>
      </c>
      <c r="K2850">
        <v>20</v>
      </c>
      <c r="L2850" t="s">
        <v>24</v>
      </c>
      <c r="M2850" t="s">
        <v>37</v>
      </c>
      <c r="N2850" t="s">
        <v>26</v>
      </c>
      <c r="O2850" t="s">
        <v>36</v>
      </c>
      <c r="P2850">
        <v>3.47</v>
      </c>
      <c r="Q2850" s="2" t="b">
        <f>FALSE()</f>
        <v>0</v>
      </c>
      <c r="R2850">
        <v>1</v>
      </c>
    </row>
    <row r="2851" spans="1:18" x14ac:dyDescent="0.25">
      <c r="A2851">
        <v>202850</v>
      </c>
      <c r="B2851">
        <v>55363</v>
      </c>
      <c r="C2851" t="s">
        <v>18</v>
      </c>
      <c r="D2851">
        <v>2805.4</v>
      </c>
      <c r="E2851">
        <v>3608</v>
      </c>
      <c r="F2851">
        <v>1</v>
      </c>
      <c r="G2851">
        <v>5</v>
      </c>
      <c r="H2851">
        <v>0</v>
      </c>
      <c r="I2851" t="s">
        <v>33</v>
      </c>
      <c r="J2851">
        <v>1</v>
      </c>
      <c r="K2851">
        <v>55</v>
      </c>
      <c r="L2851" t="s">
        <v>24</v>
      </c>
      <c r="M2851" t="s">
        <v>25</v>
      </c>
      <c r="N2851" t="s">
        <v>30</v>
      </c>
      <c r="O2851" t="s">
        <v>27</v>
      </c>
      <c r="P2851">
        <v>5.62</v>
      </c>
      <c r="Q2851" s="2" t="b">
        <f>FALSE()</f>
        <v>0</v>
      </c>
      <c r="R2851">
        <v>0</v>
      </c>
    </row>
    <row r="2852" spans="1:18" x14ac:dyDescent="0.25">
      <c r="A2852">
        <v>202851</v>
      </c>
      <c r="B2852">
        <v>52091</v>
      </c>
      <c r="C2852" t="s">
        <v>28</v>
      </c>
      <c r="D2852">
        <v>2203.61</v>
      </c>
      <c r="E2852">
        <v>1138</v>
      </c>
      <c r="F2852">
        <v>0</v>
      </c>
      <c r="G2852">
        <v>6</v>
      </c>
      <c r="H2852">
        <v>1</v>
      </c>
      <c r="I2852" t="s">
        <v>33</v>
      </c>
      <c r="J2852">
        <v>0</v>
      </c>
      <c r="K2852">
        <v>51</v>
      </c>
      <c r="L2852" t="s">
        <v>20</v>
      </c>
      <c r="M2852" t="s">
        <v>37</v>
      </c>
      <c r="N2852" t="s">
        <v>30</v>
      </c>
      <c r="O2852" t="s">
        <v>27</v>
      </c>
      <c r="P2852">
        <v>0.97</v>
      </c>
      <c r="Q2852" s="2" t="b">
        <f>FALSE()</f>
        <v>0</v>
      </c>
      <c r="R2852">
        <v>0</v>
      </c>
    </row>
    <row r="2853" spans="1:18" x14ac:dyDescent="0.25">
      <c r="A2853">
        <v>202852</v>
      </c>
      <c r="B2853">
        <v>51406</v>
      </c>
      <c r="C2853" t="s">
        <v>34</v>
      </c>
      <c r="D2853">
        <v>3067.5</v>
      </c>
      <c r="E2853">
        <v>1743</v>
      </c>
      <c r="F2853">
        <v>1</v>
      </c>
      <c r="G2853">
        <v>6</v>
      </c>
      <c r="H2853">
        <v>0</v>
      </c>
      <c r="I2853" t="s">
        <v>33</v>
      </c>
      <c r="J2853">
        <v>1</v>
      </c>
      <c r="K2853">
        <v>25</v>
      </c>
      <c r="L2853" t="s">
        <v>20</v>
      </c>
      <c r="M2853" t="s">
        <v>35</v>
      </c>
      <c r="N2853" t="s">
        <v>30</v>
      </c>
      <c r="O2853" t="s">
        <v>36</v>
      </c>
      <c r="P2853">
        <v>0.71</v>
      </c>
      <c r="Q2853" s="2" t="b">
        <f>FALSE()</f>
        <v>0</v>
      </c>
      <c r="R2853">
        <v>0</v>
      </c>
    </row>
    <row r="2854" spans="1:18" x14ac:dyDescent="0.25">
      <c r="A2854">
        <v>202853</v>
      </c>
      <c r="B2854">
        <v>50592</v>
      </c>
      <c r="C2854" t="s">
        <v>28</v>
      </c>
      <c r="D2854">
        <v>1629.77</v>
      </c>
      <c r="E2854">
        <v>981</v>
      </c>
      <c r="F2854">
        <v>3</v>
      </c>
      <c r="G2854">
        <v>2</v>
      </c>
      <c r="H2854">
        <v>0</v>
      </c>
      <c r="I2854" t="s">
        <v>19</v>
      </c>
      <c r="J2854">
        <v>1</v>
      </c>
      <c r="K2854">
        <v>58</v>
      </c>
      <c r="L2854" t="s">
        <v>20</v>
      </c>
      <c r="M2854" t="s">
        <v>21</v>
      </c>
      <c r="N2854" t="s">
        <v>22</v>
      </c>
      <c r="O2854" t="s">
        <v>27</v>
      </c>
      <c r="P2854">
        <v>0.71</v>
      </c>
      <c r="Q2854" s="2" t="b">
        <f>FALSE()</f>
        <v>0</v>
      </c>
      <c r="R2854">
        <v>1</v>
      </c>
    </row>
    <row r="2855" spans="1:18" x14ac:dyDescent="0.25">
      <c r="A2855">
        <v>202854</v>
      </c>
      <c r="B2855">
        <v>51407</v>
      </c>
      <c r="C2855" t="s">
        <v>18</v>
      </c>
      <c r="D2855">
        <v>2687.51</v>
      </c>
      <c r="E2855">
        <v>450</v>
      </c>
      <c r="F2855">
        <v>0</v>
      </c>
      <c r="G2855">
        <v>3</v>
      </c>
      <c r="H2855">
        <v>0</v>
      </c>
      <c r="I2855" t="s">
        <v>32</v>
      </c>
      <c r="J2855">
        <v>0</v>
      </c>
      <c r="K2855">
        <v>84</v>
      </c>
      <c r="L2855" t="s">
        <v>20</v>
      </c>
      <c r="M2855" t="s">
        <v>21</v>
      </c>
      <c r="N2855" t="s">
        <v>30</v>
      </c>
      <c r="O2855" t="s">
        <v>27</v>
      </c>
      <c r="P2855">
        <v>1.69</v>
      </c>
      <c r="Q2855" s="2" t="b">
        <f>FALSE()</f>
        <v>0</v>
      </c>
      <c r="R2855">
        <v>0</v>
      </c>
    </row>
    <row r="2856" spans="1:18" x14ac:dyDescent="0.25">
      <c r="A2856">
        <v>202855</v>
      </c>
      <c r="B2856">
        <v>53904</v>
      </c>
      <c r="C2856" t="s">
        <v>28</v>
      </c>
      <c r="D2856">
        <v>2244.08</v>
      </c>
      <c r="E2856">
        <v>1089</v>
      </c>
      <c r="F2856">
        <v>0</v>
      </c>
      <c r="G2856">
        <v>2</v>
      </c>
      <c r="H2856">
        <v>0</v>
      </c>
      <c r="I2856" t="s">
        <v>32</v>
      </c>
      <c r="J2856">
        <v>0</v>
      </c>
      <c r="K2856">
        <v>58</v>
      </c>
      <c r="L2856" t="s">
        <v>24</v>
      </c>
      <c r="M2856" t="s">
        <v>37</v>
      </c>
      <c r="N2856" t="s">
        <v>30</v>
      </c>
      <c r="O2856" t="s">
        <v>36</v>
      </c>
      <c r="P2856">
        <v>1.98</v>
      </c>
      <c r="Q2856" s="2" t="b">
        <f>FALSE()</f>
        <v>0</v>
      </c>
      <c r="R2856">
        <v>0</v>
      </c>
    </row>
    <row r="2857" spans="1:18" x14ac:dyDescent="0.25">
      <c r="A2857">
        <v>202856</v>
      </c>
      <c r="B2857">
        <v>52027</v>
      </c>
      <c r="C2857" t="s">
        <v>34</v>
      </c>
      <c r="D2857">
        <v>983.48</v>
      </c>
      <c r="E2857">
        <v>1242</v>
      </c>
      <c r="F2857">
        <v>0</v>
      </c>
      <c r="G2857">
        <v>4</v>
      </c>
      <c r="H2857">
        <v>0</v>
      </c>
      <c r="I2857" t="s">
        <v>32</v>
      </c>
      <c r="J2857">
        <v>0</v>
      </c>
      <c r="K2857">
        <v>77</v>
      </c>
      <c r="L2857" t="s">
        <v>24</v>
      </c>
      <c r="M2857" t="s">
        <v>31</v>
      </c>
      <c r="N2857" t="s">
        <v>22</v>
      </c>
      <c r="O2857" t="s">
        <v>27</v>
      </c>
      <c r="P2857">
        <v>1.04</v>
      </c>
      <c r="Q2857" s="2" t="b">
        <f>FALSE()</f>
        <v>0</v>
      </c>
      <c r="R2857">
        <v>0</v>
      </c>
    </row>
    <row r="2858" spans="1:18" x14ac:dyDescent="0.25">
      <c r="A2858">
        <v>202857</v>
      </c>
      <c r="B2858">
        <v>55256</v>
      </c>
      <c r="C2858" t="s">
        <v>18</v>
      </c>
      <c r="D2858">
        <v>1576.02</v>
      </c>
      <c r="E2858">
        <v>781</v>
      </c>
      <c r="F2858">
        <v>1</v>
      </c>
      <c r="G2858">
        <v>5</v>
      </c>
      <c r="H2858">
        <v>1</v>
      </c>
      <c r="I2858" t="s">
        <v>19</v>
      </c>
      <c r="J2858">
        <v>1</v>
      </c>
      <c r="K2858">
        <v>57</v>
      </c>
      <c r="L2858" t="s">
        <v>20</v>
      </c>
      <c r="M2858" t="s">
        <v>29</v>
      </c>
      <c r="N2858" t="s">
        <v>26</v>
      </c>
      <c r="O2858" t="s">
        <v>36</v>
      </c>
      <c r="P2858">
        <v>3.46</v>
      </c>
      <c r="Q2858" s="2" t="b">
        <f>FALSE()</f>
        <v>0</v>
      </c>
      <c r="R2858">
        <v>0</v>
      </c>
    </row>
    <row r="2859" spans="1:18" x14ac:dyDescent="0.25">
      <c r="A2859">
        <v>202858</v>
      </c>
      <c r="B2859">
        <v>52403</v>
      </c>
      <c r="C2859" t="s">
        <v>18</v>
      </c>
      <c r="D2859">
        <v>2918.06</v>
      </c>
      <c r="E2859">
        <v>2638</v>
      </c>
      <c r="F2859">
        <v>0</v>
      </c>
      <c r="G2859">
        <v>2</v>
      </c>
      <c r="H2859">
        <v>0</v>
      </c>
      <c r="I2859" t="s">
        <v>33</v>
      </c>
      <c r="J2859">
        <v>0</v>
      </c>
      <c r="K2859">
        <v>63</v>
      </c>
      <c r="L2859" t="s">
        <v>24</v>
      </c>
      <c r="M2859" t="s">
        <v>31</v>
      </c>
      <c r="N2859" t="s">
        <v>22</v>
      </c>
      <c r="O2859" t="s">
        <v>27</v>
      </c>
      <c r="P2859">
        <v>3.04</v>
      </c>
      <c r="Q2859" s="2" t="b">
        <f>FALSE()</f>
        <v>0</v>
      </c>
      <c r="R2859">
        <v>0</v>
      </c>
    </row>
    <row r="2860" spans="1:18" x14ac:dyDescent="0.25">
      <c r="A2860">
        <v>202859</v>
      </c>
      <c r="B2860">
        <v>53867</v>
      </c>
      <c r="C2860" t="s">
        <v>28</v>
      </c>
      <c r="D2860">
        <v>3504.19</v>
      </c>
      <c r="E2860">
        <v>2660</v>
      </c>
      <c r="F2860">
        <v>0</v>
      </c>
      <c r="G2860">
        <v>5</v>
      </c>
      <c r="H2860">
        <v>0</v>
      </c>
      <c r="I2860" t="s">
        <v>33</v>
      </c>
      <c r="J2860">
        <v>0</v>
      </c>
      <c r="K2860">
        <v>54</v>
      </c>
      <c r="L2860" t="s">
        <v>24</v>
      </c>
      <c r="M2860" t="s">
        <v>25</v>
      </c>
      <c r="N2860" t="s">
        <v>26</v>
      </c>
      <c r="O2860" t="s">
        <v>27</v>
      </c>
      <c r="P2860">
        <v>2.5</v>
      </c>
      <c r="Q2860" s="2" t="b">
        <f>FALSE()</f>
        <v>0</v>
      </c>
      <c r="R2860">
        <v>0</v>
      </c>
    </row>
    <row r="2861" spans="1:18" x14ac:dyDescent="0.25">
      <c r="A2861">
        <v>202860</v>
      </c>
      <c r="B2861">
        <v>50143</v>
      </c>
      <c r="C2861" t="s">
        <v>28</v>
      </c>
      <c r="D2861">
        <v>2617.0500000000002</v>
      </c>
      <c r="E2861">
        <v>2309</v>
      </c>
      <c r="F2861">
        <v>1</v>
      </c>
      <c r="G2861">
        <v>3</v>
      </c>
      <c r="H2861">
        <v>0</v>
      </c>
      <c r="I2861" t="s">
        <v>19</v>
      </c>
      <c r="J2861">
        <v>0</v>
      </c>
      <c r="K2861">
        <v>71</v>
      </c>
      <c r="L2861" t="s">
        <v>24</v>
      </c>
      <c r="M2861" t="s">
        <v>31</v>
      </c>
      <c r="N2861" t="s">
        <v>26</v>
      </c>
      <c r="O2861" t="s">
        <v>27</v>
      </c>
      <c r="P2861">
        <v>1.24</v>
      </c>
      <c r="Q2861" s="2" t="b">
        <f>FALSE()</f>
        <v>0</v>
      </c>
      <c r="R2861">
        <v>0</v>
      </c>
    </row>
    <row r="2862" spans="1:18" x14ac:dyDescent="0.25">
      <c r="A2862">
        <v>202861</v>
      </c>
      <c r="B2862">
        <v>52127</v>
      </c>
      <c r="C2862" t="s">
        <v>28</v>
      </c>
      <c r="D2862">
        <v>435.89</v>
      </c>
      <c r="E2862">
        <v>2268</v>
      </c>
      <c r="F2862">
        <v>3</v>
      </c>
      <c r="G2862">
        <v>7</v>
      </c>
      <c r="H2862">
        <v>0</v>
      </c>
      <c r="I2862" t="s">
        <v>33</v>
      </c>
      <c r="J2862">
        <v>0</v>
      </c>
      <c r="K2862">
        <v>31</v>
      </c>
      <c r="L2862" t="s">
        <v>20</v>
      </c>
      <c r="M2862" t="s">
        <v>29</v>
      </c>
      <c r="N2862" t="s">
        <v>30</v>
      </c>
      <c r="O2862" t="s">
        <v>27</v>
      </c>
      <c r="P2862">
        <v>5.51</v>
      </c>
      <c r="Q2862" s="2" t="b">
        <f>FALSE()</f>
        <v>0</v>
      </c>
      <c r="R2862">
        <v>1</v>
      </c>
    </row>
    <row r="2863" spans="1:18" x14ac:dyDescent="0.25">
      <c r="A2863">
        <v>202862</v>
      </c>
      <c r="B2863">
        <v>51317</v>
      </c>
      <c r="C2863" t="s">
        <v>28</v>
      </c>
      <c r="D2863">
        <v>1911.32</v>
      </c>
      <c r="E2863">
        <v>1550</v>
      </c>
      <c r="F2863">
        <v>2</v>
      </c>
      <c r="G2863">
        <v>6</v>
      </c>
      <c r="H2863">
        <v>0</v>
      </c>
      <c r="I2863" t="s">
        <v>33</v>
      </c>
      <c r="J2863">
        <v>0</v>
      </c>
      <c r="K2863">
        <v>39</v>
      </c>
      <c r="L2863" t="s">
        <v>20</v>
      </c>
      <c r="M2863" t="s">
        <v>37</v>
      </c>
      <c r="N2863" t="s">
        <v>22</v>
      </c>
      <c r="O2863" t="s">
        <v>23</v>
      </c>
      <c r="P2863">
        <v>2.63</v>
      </c>
      <c r="Q2863" s="2" t="b">
        <f>FALSE()</f>
        <v>0</v>
      </c>
      <c r="R2863">
        <v>0</v>
      </c>
    </row>
    <row r="2864" spans="1:18" x14ac:dyDescent="0.25">
      <c r="A2864">
        <v>202863</v>
      </c>
      <c r="B2864">
        <v>50709</v>
      </c>
      <c r="C2864" t="s">
        <v>18</v>
      </c>
      <c r="D2864">
        <v>1601.82</v>
      </c>
      <c r="E2864">
        <v>92</v>
      </c>
      <c r="F2864">
        <v>0</v>
      </c>
      <c r="G2864">
        <v>4</v>
      </c>
      <c r="H2864">
        <v>1</v>
      </c>
      <c r="I2864" t="s">
        <v>33</v>
      </c>
      <c r="J2864">
        <v>0</v>
      </c>
      <c r="K2864">
        <v>57</v>
      </c>
      <c r="L2864" t="s">
        <v>20</v>
      </c>
      <c r="M2864" t="s">
        <v>35</v>
      </c>
      <c r="N2864" t="s">
        <v>30</v>
      </c>
      <c r="O2864" t="s">
        <v>36</v>
      </c>
      <c r="P2864">
        <v>19.79</v>
      </c>
      <c r="Q2864" s="2" t="b">
        <f>FALSE()</f>
        <v>0</v>
      </c>
      <c r="R2864">
        <v>0</v>
      </c>
    </row>
    <row r="2865" spans="1:18" x14ac:dyDescent="0.25">
      <c r="A2865">
        <v>202864</v>
      </c>
      <c r="B2865">
        <v>54583</v>
      </c>
      <c r="C2865" t="s">
        <v>34</v>
      </c>
      <c r="D2865">
        <v>3255.6</v>
      </c>
      <c r="E2865">
        <v>3311</v>
      </c>
      <c r="F2865">
        <v>0</v>
      </c>
      <c r="G2865">
        <v>5</v>
      </c>
      <c r="H2865">
        <v>0</v>
      </c>
      <c r="I2865" t="s">
        <v>33</v>
      </c>
      <c r="J2865">
        <v>1</v>
      </c>
      <c r="K2865">
        <v>38</v>
      </c>
      <c r="L2865" t="s">
        <v>20</v>
      </c>
      <c r="M2865" t="s">
        <v>31</v>
      </c>
      <c r="N2865" t="s">
        <v>30</v>
      </c>
      <c r="O2865" t="s">
        <v>36</v>
      </c>
      <c r="P2865">
        <v>0.99</v>
      </c>
      <c r="Q2865" s="2" t="b">
        <f>FALSE()</f>
        <v>0</v>
      </c>
      <c r="R2865">
        <v>0</v>
      </c>
    </row>
    <row r="2866" spans="1:18" x14ac:dyDescent="0.25">
      <c r="A2866">
        <v>202865</v>
      </c>
      <c r="B2866">
        <v>54065</v>
      </c>
      <c r="C2866" t="s">
        <v>34</v>
      </c>
      <c r="D2866">
        <v>1755.57</v>
      </c>
      <c r="E2866">
        <v>753</v>
      </c>
      <c r="F2866">
        <v>0</v>
      </c>
      <c r="G2866">
        <v>3</v>
      </c>
      <c r="H2866">
        <v>0</v>
      </c>
      <c r="I2866" t="s">
        <v>33</v>
      </c>
      <c r="J2866">
        <v>0</v>
      </c>
      <c r="K2866">
        <v>59</v>
      </c>
      <c r="L2866" t="s">
        <v>24</v>
      </c>
      <c r="M2866" t="s">
        <v>35</v>
      </c>
      <c r="N2866" t="s">
        <v>26</v>
      </c>
      <c r="O2866" t="s">
        <v>36</v>
      </c>
      <c r="P2866">
        <v>1.26</v>
      </c>
      <c r="Q2866" s="2" t="b">
        <f>FALSE()</f>
        <v>0</v>
      </c>
      <c r="R2866">
        <v>0</v>
      </c>
    </row>
    <row r="2867" spans="1:18" x14ac:dyDescent="0.25">
      <c r="A2867">
        <v>202866</v>
      </c>
      <c r="B2867">
        <v>50082</v>
      </c>
      <c r="C2867" t="s">
        <v>18</v>
      </c>
      <c r="D2867">
        <v>4282.04</v>
      </c>
      <c r="E2867">
        <v>1812</v>
      </c>
      <c r="F2867">
        <v>3</v>
      </c>
      <c r="G2867">
        <v>1</v>
      </c>
      <c r="H2867">
        <v>0</v>
      </c>
      <c r="I2867" t="s">
        <v>33</v>
      </c>
      <c r="J2867">
        <v>1</v>
      </c>
      <c r="K2867">
        <v>56</v>
      </c>
      <c r="L2867" t="s">
        <v>24</v>
      </c>
      <c r="M2867" t="s">
        <v>31</v>
      </c>
      <c r="N2867" t="s">
        <v>26</v>
      </c>
      <c r="O2867" t="s">
        <v>23</v>
      </c>
      <c r="P2867">
        <v>1.46</v>
      </c>
      <c r="Q2867" s="2" t="b">
        <f>FALSE()</f>
        <v>0</v>
      </c>
      <c r="R2867">
        <v>1</v>
      </c>
    </row>
    <row r="2868" spans="1:18" x14ac:dyDescent="0.25">
      <c r="A2868">
        <v>202867</v>
      </c>
      <c r="B2868">
        <v>55359</v>
      </c>
      <c r="C2868" t="s">
        <v>18</v>
      </c>
      <c r="D2868">
        <v>266.88</v>
      </c>
      <c r="E2868">
        <v>2028</v>
      </c>
      <c r="F2868">
        <v>0</v>
      </c>
      <c r="G2868">
        <v>4</v>
      </c>
      <c r="H2868">
        <v>0</v>
      </c>
      <c r="I2868" t="s">
        <v>33</v>
      </c>
      <c r="J2868">
        <v>0</v>
      </c>
      <c r="K2868">
        <v>26</v>
      </c>
      <c r="L2868" t="s">
        <v>20</v>
      </c>
      <c r="M2868" t="s">
        <v>21</v>
      </c>
      <c r="N2868" t="s">
        <v>30</v>
      </c>
      <c r="O2868" t="s">
        <v>27</v>
      </c>
      <c r="P2868">
        <v>0.42</v>
      </c>
      <c r="Q2868" s="2" t="b">
        <f>FALSE()</f>
        <v>0</v>
      </c>
      <c r="R2868">
        <v>0</v>
      </c>
    </row>
    <row r="2869" spans="1:18" x14ac:dyDescent="0.25">
      <c r="A2869">
        <v>202868</v>
      </c>
      <c r="B2869">
        <v>53262</v>
      </c>
      <c r="C2869" t="s">
        <v>18</v>
      </c>
      <c r="D2869">
        <v>1610.28</v>
      </c>
      <c r="E2869">
        <v>2771</v>
      </c>
      <c r="F2869">
        <v>2</v>
      </c>
      <c r="G2869">
        <v>5</v>
      </c>
      <c r="H2869">
        <v>1</v>
      </c>
      <c r="I2869" t="s">
        <v>33</v>
      </c>
      <c r="J2869">
        <v>0</v>
      </c>
      <c r="K2869">
        <v>37</v>
      </c>
      <c r="L2869" t="s">
        <v>24</v>
      </c>
      <c r="M2869" t="s">
        <v>31</v>
      </c>
      <c r="N2869" t="s">
        <v>22</v>
      </c>
      <c r="O2869" t="s">
        <v>36</v>
      </c>
      <c r="P2869">
        <v>1.66</v>
      </c>
      <c r="Q2869" s="2" t="b">
        <f>FALSE()</f>
        <v>0</v>
      </c>
      <c r="R2869">
        <v>0</v>
      </c>
    </row>
    <row r="2870" spans="1:18" x14ac:dyDescent="0.25">
      <c r="A2870">
        <v>202869</v>
      </c>
      <c r="B2870">
        <v>55551</v>
      </c>
      <c r="C2870" t="s">
        <v>18</v>
      </c>
      <c r="D2870">
        <v>754.15</v>
      </c>
      <c r="E2870">
        <v>3204</v>
      </c>
      <c r="F2870">
        <v>3</v>
      </c>
      <c r="G2870">
        <v>5</v>
      </c>
      <c r="H2870">
        <v>0</v>
      </c>
      <c r="I2870" t="s">
        <v>33</v>
      </c>
      <c r="J2870">
        <v>1</v>
      </c>
      <c r="K2870">
        <v>68</v>
      </c>
      <c r="L2870" t="s">
        <v>24</v>
      </c>
      <c r="M2870" t="s">
        <v>25</v>
      </c>
      <c r="N2870" t="s">
        <v>26</v>
      </c>
      <c r="O2870" t="s">
        <v>27</v>
      </c>
      <c r="P2870">
        <v>1.93</v>
      </c>
      <c r="Q2870" s="2" t="b">
        <f>FALSE()</f>
        <v>0</v>
      </c>
      <c r="R2870">
        <v>1</v>
      </c>
    </row>
    <row r="2871" spans="1:18" x14ac:dyDescent="0.25">
      <c r="A2871">
        <v>202870</v>
      </c>
      <c r="B2871">
        <v>53396</v>
      </c>
      <c r="C2871" t="s">
        <v>18</v>
      </c>
      <c r="D2871">
        <v>3946.92</v>
      </c>
      <c r="E2871">
        <v>365</v>
      </c>
      <c r="F2871">
        <v>2</v>
      </c>
      <c r="G2871">
        <v>4</v>
      </c>
      <c r="H2871">
        <v>0</v>
      </c>
      <c r="I2871" t="s">
        <v>33</v>
      </c>
      <c r="J2871">
        <v>0</v>
      </c>
      <c r="K2871">
        <v>66</v>
      </c>
      <c r="L2871" t="s">
        <v>20</v>
      </c>
      <c r="M2871" t="s">
        <v>29</v>
      </c>
      <c r="N2871" t="s">
        <v>30</v>
      </c>
      <c r="O2871" t="s">
        <v>36</v>
      </c>
      <c r="P2871">
        <v>0.34</v>
      </c>
      <c r="Q2871" s="2" t="b">
        <f>FALSE()</f>
        <v>0</v>
      </c>
      <c r="R2871">
        <v>1</v>
      </c>
    </row>
    <row r="2872" spans="1:18" x14ac:dyDescent="0.25">
      <c r="A2872">
        <v>202871</v>
      </c>
      <c r="B2872">
        <v>55346</v>
      </c>
      <c r="C2872" t="s">
        <v>18</v>
      </c>
      <c r="D2872">
        <v>5639.94</v>
      </c>
      <c r="E2872">
        <v>1600</v>
      </c>
      <c r="F2872">
        <v>1</v>
      </c>
      <c r="G2872">
        <v>3</v>
      </c>
      <c r="H2872">
        <v>0</v>
      </c>
      <c r="I2872" t="s">
        <v>33</v>
      </c>
      <c r="J2872">
        <v>0</v>
      </c>
      <c r="K2872">
        <v>83</v>
      </c>
      <c r="L2872" t="s">
        <v>24</v>
      </c>
      <c r="M2872" t="s">
        <v>35</v>
      </c>
      <c r="N2872" t="s">
        <v>22</v>
      </c>
      <c r="O2872" t="s">
        <v>36</v>
      </c>
      <c r="P2872">
        <v>2.12</v>
      </c>
      <c r="Q2872" s="2" t="b">
        <f>FALSE()</f>
        <v>0</v>
      </c>
      <c r="R2872">
        <v>1</v>
      </c>
    </row>
    <row r="2873" spans="1:18" x14ac:dyDescent="0.25">
      <c r="A2873">
        <v>202872</v>
      </c>
      <c r="B2873">
        <v>50792</v>
      </c>
      <c r="C2873" t="s">
        <v>18</v>
      </c>
      <c r="D2873">
        <v>4751.6099999999997</v>
      </c>
      <c r="E2873">
        <v>910</v>
      </c>
      <c r="F2873">
        <v>2</v>
      </c>
      <c r="G2873">
        <v>1</v>
      </c>
      <c r="H2873">
        <v>0</v>
      </c>
      <c r="I2873" t="s">
        <v>32</v>
      </c>
      <c r="J2873">
        <v>0</v>
      </c>
      <c r="K2873">
        <v>39</v>
      </c>
      <c r="L2873" t="s">
        <v>20</v>
      </c>
      <c r="M2873" t="s">
        <v>21</v>
      </c>
      <c r="N2873" t="s">
        <v>26</v>
      </c>
      <c r="O2873" t="s">
        <v>27</v>
      </c>
      <c r="P2873">
        <v>0.03</v>
      </c>
      <c r="Q2873" s="2" t="b">
        <f>FALSE()</f>
        <v>0</v>
      </c>
      <c r="R2873">
        <v>1</v>
      </c>
    </row>
    <row r="2874" spans="1:18" x14ac:dyDescent="0.25">
      <c r="A2874">
        <v>202873</v>
      </c>
      <c r="B2874">
        <v>51680</v>
      </c>
      <c r="C2874" t="s">
        <v>18</v>
      </c>
      <c r="D2874">
        <v>1728.14</v>
      </c>
      <c r="E2874">
        <v>877</v>
      </c>
      <c r="F2874">
        <v>0</v>
      </c>
      <c r="G2874">
        <v>4</v>
      </c>
      <c r="H2874">
        <v>0</v>
      </c>
      <c r="I2874" t="s">
        <v>33</v>
      </c>
      <c r="J2874">
        <v>0</v>
      </c>
      <c r="K2874">
        <v>77</v>
      </c>
      <c r="L2874" t="s">
        <v>24</v>
      </c>
      <c r="M2874" t="s">
        <v>37</v>
      </c>
      <c r="N2874" t="s">
        <v>26</v>
      </c>
      <c r="O2874" t="s">
        <v>23</v>
      </c>
      <c r="P2874">
        <v>0.61</v>
      </c>
      <c r="Q2874" s="2" t="b">
        <f>FALSE()</f>
        <v>0</v>
      </c>
      <c r="R2874">
        <v>0</v>
      </c>
    </row>
    <row r="2875" spans="1:18" x14ac:dyDescent="0.25">
      <c r="A2875">
        <v>202874</v>
      </c>
      <c r="B2875">
        <v>52064</v>
      </c>
      <c r="C2875" t="s">
        <v>18</v>
      </c>
      <c r="D2875">
        <v>2029.07</v>
      </c>
      <c r="E2875">
        <v>791</v>
      </c>
      <c r="F2875">
        <v>1</v>
      </c>
      <c r="G2875">
        <v>2</v>
      </c>
      <c r="H2875">
        <v>0</v>
      </c>
      <c r="I2875" t="s">
        <v>33</v>
      </c>
      <c r="J2875">
        <v>0</v>
      </c>
      <c r="K2875">
        <v>59</v>
      </c>
      <c r="L2875" t="s">
        <v>24</v>
      </c>
      <c r="M2875" t="s">
        <v>25</v>
      </c>
      <c r="N2875" t="s">
        <v>30</v>
      </c>
      <c r="O2875" t="s">
        <v>23</v>
      </c>
      <c r="P2875">
        <v>0.33</v>
      </c>
      <c r="Q2875" s="2" t="b">
        <f>FALSE()</f>
        <v>0</v>
      </c>
      <c r="R2875">
        <v>0</v>
      </c>
    </row>
    <row r="2876" spans="1:18" x14ac:dyDescent="0.25">
      <c r="A2876">
        <v>202875</v>
      </c>
      <c r="B2876">
        <v>55391</v>
      </c>
      <c r="C2876" t="s">
        <v>18</v>
      </c>
      <c r="D2876">
        <v>5425.13</v>
      </c>
      <c r="E2876">
        <v>3399</v>
      </c>
      <c r="F2876">
        <v>0</v>
      </c>
      <c r="G2876">
        <v>5</v>
      </c>
      <c r="H2876">
        <v>0</v>
      </c>
      <c r="I2876" t="s">
        <v>33</v>
      </c>
      <c r="J2876">
        <v>0</v>
      </c>
      <c r="K2876">
        <v>71</v>
      </c>
      <c r="L2876" t="s">
        <v>24</v>
      </c>
      <c r="M2876" t="s">
        <v>35</v>
      </c>
      <c r="N2876" t="s">
        <v>30</v>
      </c>
      <c r="O2876" t="s">
        <v>36</v>
      </c>
      <c r="P2876">
        <v>11.93</v>
      </c>
      <c r="Q2876" s="2" t="b">
        <f>FALSE()</f>
        <v>0</v>
      </c>
      <c r="R2876">
        <v>1</v>
      </c>
    </row>
    <row r="2877" spans="1:18" x14ac:dyDescent="0.25">
      <c r="A2877">
        <v>202876</v>
      </c>
      <c r="B2877">
        <v>51223</v>
      </c>
      <c r="C2877" t="s">
        <v>34</v>
      </c>
      <c r="D2877">
        <v>619.97</v>
      </c>
      <c r="E2877">
        <v>2268</v>
      </c>
      <c r="F2877">
        <v>0</v>
      </c>
      <c r="G2877">
        <v>5</v>
      </c>
      <c r="H2877">
        <v>1</v>
      </c>
      <c r="I2877" t="s">
        <v>33</v>
      </c>
      <c r="J2877">
        <v>0</v>
      </c>
      <c r="K2877">
        <v>20</v>
      </c>
      <c r="L2877" t="s">
        <v>20</v>
      </c>
      <c r="M2877" t="s">
        <v>35</v>
      </c>
      <c r="N2877" t="s">
        <v>26</v>
      </c>
      <c r="O2877" t="s">
        <v>36</v>
      </c>
      <c r="P2877">
        <v>3.09</v>
      </c>
      <c r="Q2877" s="2" t="b">
        <f>FALSE()</f>
        <v>0</v>
      </c>
      <c r="R2877">
        <v>0</v>
      </c>
    </row>
    <row r="2878" spans="1:18" x14ac:dyDescent="0.25">
      <c r="A2878">
        <v>202877</v>
      </c>
      <c r="B2878">
        <v>54219</v>
      </c>
      <c r="C2878" t="s">
        <v>18</v>
      </c>
      <c r="D2878">
        <v>251.61</v>
      </c>
      <c r="E2878">
        <v>2799</v>
      </c>
      <c r="F2878">
        <v>2</v>
      </c>
      <c r="G2878">
        <v>2</v>
      </c>
      <c r="H2878">
        <v>0</v>
      </c>
      <c r="I2878" t="s">
        <v>19</v>
      </c>
      <c r="J2878">
        <v>1</v>
      </c>
      <c r="K2878">
        <v>79</v>
      </c>
      <c r="L2878" t="s">
        <v>20</v>
      </c>
      <c r="M2878" t="s">
        <v>29</v>
      </c>
      <c r="N2878" t="s">
        <v>30</v>
      </c>
      <c r="O2878" t="s">
        <v>27</v>
      </c>
      <c r="P2878">
        <v>1.29</v>
      </c>
      <c r="Q2878" s="2" t="b">
        <f>FALSE()</f>
        <v>0</v>
      </c>
      <c r="R2878">
        <v>0</v>
      </c>
    </row>
    <row r="2879" spans="1:18" x14ac:dyDescent="0.25">
      <c r="A2879">
        <v>202878</v>
      </c>
      <c r="B2879">
        <v>50681</v>
      </c>
      <c r="C2879" t="s">
        <v>28</v>
      </c>
      <c r="D2879">
        <v>2864.01</v>
      </c>
      <c r="E2879">
        <v>211</v>
      </c>
      <c r="F2879">
        <v>1</v>
      </c>
      <c r="G2879">
        <v>6</v>
      </c>
      <c r="H2879">
        <v>0</v>
      </c>
      <c r="I2879" t="s">
        <v>19</v>
      </c>
      <c r="J2879">
        <v>1</v>
      </c>
      <c r="K2879">
        <v>37</v>
      </c>
      <c r="L2879" t="s">
        <v>24</v>
      </c>
      <c r="M2879" t="s">
        <v>37</v>
      </c>
      <c r="N2879" t="s">
        <v>22</v>
      </c>
      <c r="O2879" t="s">
        <v>27</v>
      </c>
      <c r="P2879">
        <v>5.92</v>
      </c>
      <c r="Q2879" s="2" t="b">
        <f>FALSE()</f>
        <v>0</v>
      </c>
      <c r="R2879">
        <v>0</v>
      </c>
    </row>
    <row r="2880" spans="1:18" x14ac:dyDescent="0.25">
      <c r="A2880">
        <v>202879</v>
      </c>
      <c r="B2880">
        <v>54644</v>
      </c>
      <c r="C2880" t="s">
        <v>18</v>
      </c>
      <c r="D2880">
        <v>3097.86</v>
      </c>
      <c r="E2880">
        <v>1583</v>
      </c>
      <c r="F2880">
        <v>0</v>
      </c>
      <c r="G2880">
        <v>6</v>
      </c>
      <c r="H2880">
        <v>0</v>
      </c>
      <c r="I2880" t="s">
        <v>33</v>
      </c>
      <c r="J2880">
        <v>1</v>
      </c>
      <c r="K2880">
        <v>32</v>
      </c>
      <c r="L2880" t="s">
        <v>20</v>
      </c>
      <c r="M2880" t="s">
        <v>35</v>
      </c>
      <c r="N2880" t="s">
        <v>26</v>
      </c>
      <c r="O2880" t="s">
        <v>27</v>
      </c>
      <c r="P2880">
        <v>0.51</v>
      </c>
      <c r="Q2880" s="2" t="b">
        <f>FALSE()</f>
        <v>0</v>
      </c>
      <c r="R2880">
        <v>0</v>
      </c>
    </row>
    <row r="2881" spans="1:18" x14ac:dyDescent="0.25">
      <c r="A2881">
        <v>202880</v>
      </c>
      <c r="B2881">
        <v>55178</v>
      </c>
      <c r="C2881" t="s">
        <v>28</v>
      </c>
      <c r="D2881">
        <v>4111.18</v>
      </c>
      <c r="E2881">
        <v>3204</v>
      </c>
      <c r="F2881">
        <v>2</v>
      </c>
      <c r="G2881">
        <v>2</v>
      </c>
      <c r="H2881">
        <v>0</v>
      </c>
      <c r="I2881" t="s">
        <v>33</v>
      </c>
      <c r="J2881">
        <v>0</v>
      </c>
      <c r="K2881">
        <v>32</v>
      </c>
      <c r="L2881" t="s">
        <v>24</v>
      </c>
      <c r="M2881" t="s">
        <v>25</v>
      </c>
      <c r="N2881" t="s">
        <v>26</v>
      </c>
      <c r="O2881" t="s">
        <v>27</v>
      </c>
      <c r="P2881">
        <v>2.86</v>
      </c>
      <c r="Q2881" s="2" t="b">
        <f>FALSE()</f>
        <v>0</v>
      </c>
      <c r="R2881">
        <v>1</v>
      </c>
    </row>
    <row r="2882" spans="1:18" x14ac:dyDescent="0.25">
      <c r="A2882">
        <v>202881</v>
      </c>
      <c r="B2882">
        <v>54608</v>
      </c>
      <c r="C2882" t="s">
        <v>34</v>
      </c>
      <c r="D2882">
        <v>421.97</v>
      </c>
      <c r="E2882">
        <v>1260</v>
      </c>
      <c r="F2882">
        <v>1</v>
      </c>
      <c r="G2882">
        <v>3</v>
      </c>
      <c r="H2882">
        <v>1</v>
      </c>
      <c r="I2882" t="s">
        <v>19</v>
      </c>
      <c r="J2882">
        <v>0</v>
      </c>
      <c r="K2882">
        <v>41</v>
      </c>
      <c r="L2882" t="s">
        <v>24</v>
      </c>
      <c r="M2882" t="s">
        <v>21</v>
      </c>
      <c r="N2882" t="s">
        <v>30</v>
      </c>
      <c r="O2882" t="s">
        <v>36</v>
      </c>
      <c r="P2882">
        <v>0.51</v>
      </c>
      <c r="Q2882" s="2" t="b">
        <f>FALSE()</f>
        <v>0</v>
      </c>
      <c r="R2882">
        <v>0</v>
      </c>
    </row>
    <row r="2883" spans="1:18" x14ac:dyDescent="0.25">
      <c r="A2883">
        <v>202882</v>
      </c>
      <c r="B2883">
        <v>50044</v>
      </c>
      <c r="C2883" t="s">
        <v>28</v>
      </c>
      <c r="D2883">
        <v>1541.96</v>
      </c>
      <c r="E2883">
        <v>3240</v>
      </c>
      <c r="F2883">
        <v>4</v>
      </c>
      <c r="G2883">
        <v>3</v>
      </c>
      <c r="H2883">
        <v>0</v>
      </c>
      <c r="I2883" t="s">
        <v>19</v>
      </c>
      <c r="J2883">
        <v>0</v>
      </c>
      <c r="K2883">
        <v>33</v>
      </c>
      <c r="L2883" t="s">
        <v>20</v>
      </c>
      <c r="M2883" t="s">
        <v>35</v>
      </c>
      <c r="N2883" t="s">
        <v>22</v>
      </c>
      <c r="O2883" t="s">
        <v>36</v>
      </c>
      <c r="P2883">
        <v>7.3</v>
      </c>
      <c r="Q2883" s="2" t="b">
        <f>FALSE()</f>
        <v>0</v>
      </c>
      <c r="R2883">
        <v>1</v>
      </c>
    </row>
    <row r="2884" spans="1:18" x14ac:dyDescent="0.25">
      <c r="A2884">
        <v>202883</v>
      </c>
      <c r="B2884">
        <v>51738</v>
      </c>
      <c r="C2884" t="s">
        <v>18</v>
      </c>
      <c r="D2884">
        <v>4233.88</v>
      </c>
      <c r="E2884">
        <v>3395</v>
      </c>
      <c r="F2884">
        <v>0</v>
      </c>
      <c r="G2884">
        <v>3</v>
      </c>
      <c r="H2884">
        <v>0</v>
      </c>
      <c r="I2884" t="s">
        <v>19</v>
      </c>
      <c r="J2884">
        <v>0</v>
      </c>
      <c r="K2884">
        <v>58</v>
      </c>
      <c r="L2884" t="s">
        <v>20</v>
      </c>
      <c r="M2884" t="s">
        <v>37</v>
      </c>
      <c r="N2884" t="s">
        <v>22</v>
      </c>
      <c r="O2884" t="s">
        <v>36</v>
      </c>
      <c r="P2884">
        <v>2.64</v>
      </c>
      <c r="Q2884" s="2" t="b">
        <f>FALSE()</f>
        <v>0</v>
      </c>
      <c r="R2884">
        <v>1</v>
      </c>
    </row>
    <row r="2885" spans="1:18" x14ac:dyDescent="0.25">
      <c r="A2885">
        <v>202884</v>
      </c>
      <c r="B2885">
        <v>52564</v>
      </c>
      <c r="C2885" t="s">
        <v>18</v>
      </c>
      <c r="D2885">
        <v>158</v>
      </c>
      <c r="E2885">
        <v>3032</v>
      </c>
      <c r="F2885">
        <v>2</v>
      </c>
      <c r="G2885">
        <v>5</v>
      </c>
      <c r="H2885">
        <v>0</v>
      </c>
      <c r="I2885" t="s">
        <v>19</v>
      </c>
      <c r="J2885">
        <v>0</v>
      </c>
      <c r="K2885">
        <v>32</v>
      </c>
      <c r="L2885" t="s">
        <v>20</v>
      </c>
      <c r="M2885" t="s">
        <v>29</v>
      </c>
      <c r="N2885" t="s">
        <v>22</v>
      </c>
      <c r="O2885" t="s">
        <v>27</v>
      </c>
      <c r="P2885">
        <v>3.59</v>
      </c>
      <c r="Q2885" s="2" t="b">
        <f>FALSE()</f>
        <v>0</v>
      </c>
      <c r="R2885">
        <v>0</v>
      </c>
    </row>
    <row r="2886" spans="1:18" x14ac:dyDescent="0.25">
      <c r="A2886">
        <v>202885</v>
      </c>
      <c r="B2886">
        <v>51353</v>
      </c>
      <c r="C2886" t="s">
        <v>34</v>
      </c>
      <c r="D2886">
        <v>1024.47</v>
      </c>
      <c r="E2886">
        <v>2155</v>
      </c>
      <c r="F2886">
        <v>0</v>
      </c>
      <c r="G2886">
        <v>3</v>
      </c>
      <c r="H2886">
        <v>1</v>
      </c>
      <c r="I2886" t="s">
        <v>33</v>
      </c>
      <c r="J2886">
        <v>0</v>
      </c>
      <c r="K2886">
        <v>65</v>
      </c>
      <c r="L2886" t="s">
        <v>20</v>
      </c>
      <c r="M2886" t="s">
        <v>37</v>
      </c>
      <c r="N2886" t="s">
        <v>22</v>
      </c>
      <c r="O2886" t="s">
        <v>36</v>
      </c>
      <c r="P2886">
        <v>2.84</v>
      </c>
      <c r="Q2886" s="2" t="b">
        <f>FALSE()</f>
        <v>0</v>
      </c>
      <c r="R2886">
        <v>0</v>
      </c>
    </row>
    <row r="2887" spans="1:18" x14ac:dyDescent="0.25">
      <c r="A2887">
        <v>202886</v>
      </c>
      <c r="B2887">
        <v>52252</v>
      </c>
      <c r="C2887" t="s">
        <v>18</v>
      </c>
      <c r="D2887">
        <v>3648.38</v>
      </c>
      <c r="E2887">
        <v>3602</v>
      </c>
      <c r="F2887">
        <v>1</v>
      </c>
      <c r="G2887">
        <v>2</v>
      </c>
      <c r="H2887">
        <v>0</v>
      </c>
      <c r="I2887" t="s">
        <v>33</v>
      </c>
      <c r="J2887">
        <v>0</v>
      </c>
      <c r="K2887">
        <v>32</v>
      </c>
      <c r="L2887" t="s">
        <v>20</v>
      </c>
      <c r="M2887" t="s">
        <v>35</v>
      </c>
      <c r="N2887" t="s">
        <v>22</v>
      </c>
      <c r="O2887" t="s">
        <v>23</v>
      </c>
      <c r="P2887">
        <v>6.39</v>
      </c>
      <c r="Q2887" s="2" t="b">
        <f>FALSE()</f>
        <v>0</v>
      </c>
      <c r="R2887">
        <v>1</v>
      </c>
    </row>
    <row r="2888" spans="1:18" x14ac:dyDescent="0.25">
      <c r="A2888">
        <v>202887</v>
      </c>
      <c r="B2888">
        <v>51631</v>
      </c>
      <c r="C2888" t="s">
        <v>28</v>
      </c>
      <c r="D2888">
        <v>1805.85</v>
      </c>
      <c r="E2888">
        <v>2558</v>
      </c>
      <c r="F2888">
        <v>1</v>
      </c>
      <c r="G2888">
        <v>3</v>
      </c>
      <c r="H2888">
        <v>0</v>
      </c>
      <c r="I2888" t="s">
        <v>33</v>
      </c>
      <c r="J2888">
        <v>0</v>
      </c>
      <c r="K2888">
        <v>21</v>
      </c>
      <c r="L2888" t="s">
        <v>20</v>
      </c>
      <c r="M2888" t="s">
        <v>37</v>
      </c>
      <c r="N2888" t="s">
        <v>22</v>
      </c>
      <c r="O2888" t="s">
        <v>23</v>
      </c>
      <c r="P2888">
        <v>3.28</v>
      </c>
      <c r="Q2888" s="2" t="b">
        <f>FALSE()</f>
        <v>0</v>
      </c>
      <c r="R2888">
        <v>0</v>
      </c>
    </row>
    <row r="2889" spans="1:18" x14ac:dyDescent="0.25">
      <c r="A2889">
        <v>202888</v>
      </c>
      <c r="B2889">
        <v>53151</v>
      </c>
      <c r="C2889" t="s">
        <v>34</v>
      </c>
      <c r="D2889">
        <v>1709.4</v>
      </c>
      <c r="E2889">
        <v>284</v>
      </c>
      <c r="F2889">
        <v>0</v>
      </c>
      <c r="G2889">
        <v>3</v>
      </c>
      <c r="H2889">
        <v>0</v>
      </c>
      <c r="I2889" t="s">
        <v>19</v>
      </c>
      <c r="J2889">
        <v>0</v>
      </c>
      <c r="K2889">
        <v>56</v>
      </c>
      <c r="L2889" t="s">
        <v>20</v>
      </c>
      <c r="M2889" t="s">
        <v>29</v>
      </c>
      <c r="N2889" t="s">
        <v>30</v>
      </c>
      <c r="O2889" t="s">
        <v>23</v>
      </c>
      <c r="P2889">
        <v>5.29</v>
      </c>
      <c r="Q2889" s="2" t="b">
        <f>FALSE()</f>
        <v>0</v>
      </c>
      <c r="R2889">
        <v>0</v>
      </c>
    </row>
    <row r="2890" spans="1:18" x14ac:dyDescent="0.25">
      <c r="A2890">
        <v>202889</v>
      </c>
      <c r="B2890">
        <v>53149</v>
      </c>
      <c r="C2890" t="s">
        <v>18</v>
      </c>
      <c r="D2890">
        <v>5273.02</v>
      </c>
      <c r="E2890">
        <v>1008</v>
      </c>
      <c r="F2890">
        <v>0</v>
      </c>
      <c r="G2890">
        <v>2</v>
      </c>
      <c r="H2890">
        <v>0</v>
      </c>
      <c r="I2890" t="s">
        <v>33</v>
      </c>
      <c r="J2890">
        <v>0</v>
      </c>
      <c r="K2890">
        <v>62</v>
      </c>
      <c r="L2890" t="s">
        <v>20</v>
      </c>
      <c r="M2890" t="s">
        <v>31</v>
      </c>
      <c r="N2890" t="s">
        <v>22</v>
      </c>
      <c r="O2890" t="s">
        <v>36</v>
      </c>
      <c r="P2890">
        <v>2.0099999999999998</v>
      </c>
      <c r="Q2890" s="2" t="b">
        <f>FALSE()</f>
        <v>0</v>
      </c>
      <c r="R2890">
        <v>1</v>
      </c>
    </row>
    <row r="2891" spans="1:18" x14ac:dyDescent="0.25">
      <c r="A2891">
        <v>202890</v>
      </c>
      <c r="B2891">
        <v>50424</v>
      </c>
      <c r="C2891" t="s">
        <v>28</v>
      </c>
      <c r="D2891">
        <v>4141.8900000000003</v>
      </c>
      <c r="E2891">
        <v>2007</v>
      </c>
      <c r="F2891">
        <v>2</v>
      </c>
      <c r="G2891">
        <v>7</v>
      </c>
      <c r="H2891">
        <v>1</v>
      </c>
      <c r="I2891" t="s">
        <v>19</v>
      </c>
      <c r="J2891">
        <v>0</v>
      </c>
      <c r="K2891">
        <v>77</v>
      </c>
      <c r="L2891" t="s">
        <v>24</v>
      </c>
      <c r="M2891" t="s">
        <v>37</v>
      </c>
      <c r="N2891" t="s">
        <v>22</v>
      </c>
      <c r="O2891" t="s">
        <v>23</v>
      </c>
      <c r="P2891">
        <v>0.75</v>
      </c>
      <c r="Q2891" s="2" t="b">
        <f>FALSE()</f>
        <v>0</v>
      </c>
      <c r="R2891">
        <v>1</v>
      </c>
    </row>
    <row r="2892" spans="1:18" x14ac:dyDescent="0.25">
      <c r="A2892">
        <v>202891</v>
      </c>
      <c r="B2892">
        <v>50179</v>
      </c>
      <c r="C2892" t="s">
        <v>28</v>
      </c>
      <c r="D2892">
        <v>3589.51</v>
      </c>
      <c r="E2892">
        <v>1670</v>
      </c>
      <c r="F2892">
        <v>0</v>
      </c>
      <c r="G2892">
        <v>4</v>
      </c>
      <c r="H2892">
        <v>0</v>
      </c>
      <c r="I2892" t="s">
        <v>33</v>
      </c>
      <c r="J2892">
        <v>0</v>
      </c>
      <c r="K2892">
        <v>31</v>
      </c>
      <c r="L2892" t="s">
        <v>20</v>
      </c>
      <c r="M2892" t="s">
        <v>29</v>
      </c>
      <c r="N2892" t="s">
        <v>22</v>
      </c>
      <c r="O2892" t="s">
        <v>27</v>
      </c>
      <c r="P2892">
        <v>2.0499999999999998</v>
      </c>
      <c r="Q2892" s="2" t="b">
        <f>FALSE()</f>
        <v>0</v>
      </c>
      <c r="R2892">
        <v>1</v>
      </c>
    </row>
    <row r="2893" spans="1:18" x14ac:dyDescent="0.25">
      <c r="A2893">
        <v>202892</v>
      </c>
      <c r="B2893">
        <v>53422</v>
      </c>
      <c r="C2893" t="s">
        <v>34</v>
      </c>
      <c r="D2893">
        <v>4238.62</v>
      </c>
      <c r="E2893">
        <v>1323</v>
      </c>
      <c r="F2893">
        <v>2</v>
      </c>
      <c r="G2893">
        <v>7</v>
      </c>
      <c r="H2893">
        <v>0</v>
      </c>
      <c r="I2893" t="s">
        <v>33</v>
      </c>
      <c r="J2893">
        <v>0</v>
      </c>
      <c r="K2893">
        <v>22</v>
      </c>
      <c r="L2893" t="s">
        <v>20</v>
      </c>
      <c r="M2893" t="s">
        <v>31</v>
      </c>
      <c r="N2893" t="s">
        <v>30</v>
      </c>
      <c r="O2893" t="s">
        <v>27</v>
      </c>
      <c r="P2893">
        <v>3.2</v>
      </c>
      <c r="Q2893" s="2" t="b">
        <f>FALSE()</f>
        <v>0</v>
      </c>
      <c r="R2893">
        <v>1</v>
      </c>
    </row>
    <row r="2894" spans="1:18" x14ac:dyDescent="0.25">
      <c r="A2894">
        <v>202893</v>
      </c>
      <c r="B2894">
        <v>51450</v>
      </c>
      <c r="C2894" t="s">
        <v>28</v>
      </c>
      <c r="D2894">
        <v>428.08</v>
      </c>
      <c r="E2894">
        <v>3255</v>
      </c>
      <c r="F2894">
        <v>1</v>
      </c>
      <c r="G2894">
        <v>0</v>
      </c>
      <c r="H2894">
        <v>0</v>
      </c>
      <c r="I2894" t="s">
        <v>33</v>
      </c>
      <c r="J2894">
        <v>1</v>
      </c>
      <c r="K2894">
        <v>25</v>
      </c>
      <c r="L2894" t="s">
        <v>20</v>
      </c>
      <c r="M2894" t="s">
        <v>29</v>
      </c>
      <c r="N2894" t="s">
        <v>30</v>
      </c>
      <c r="O2894" t="s">
        <v>27</v>
      </c>
      <c r="P2894">
        <v>3.08</v>
      </c>
      <c r="Q2894" s="2" t="b">
        <f>FALSE()</f>
        <v>0</v>
      </c>
      <c r="R2894">
        <v>0</v>
      </c>
    </row>
    <row r="2895" spans="1:18" x14ac:dyDescent="0.25">
      <c r="A2895">
        <v>202894</v>
      </c>
      <c r="B2895">
        <v>54230</v>
      </c>
      <c r="C2895" t="s">
        <v>28</v>
      </c>
      <c r="D2895">
        <v>2334.9499999999998</v>
      </c>
      <c r="E2895">
        <v>1469</v>
      </c>
      <c r="F2895">
        <v>2</v>
      </c>
      <c r="G2895">
        <v>3</v>
      </c>
      <c r="H2895">
        <v>0</v>
      </c>
      <c r="I2895" t="s">
        <v>33</v>
      </c>
      <c r="J2895">
        <v>0</v>
      </c>
      <c r="K2895">
        <v>70</v>
      </c>
      <c r="L2895" t="s">
        <v>24</v>
      </c>
      <c r="M2895" t="s">
        <v>37</v>
      </c>
      <c r="N2895" t="s">
        <v>26</v>
      </c>
      <c r="O2895" t="s">
        <v>27</v>
      </c>
      <c r="P2895">
        <v>0.67</v>
      </c>
      <c r="Q2895" s="2" t="b">
        <f>FALSE()</f>
        <v>0</v>
      </c>
      <c r="R2895">
        <v>0</v>
      </c>
    </row>
    <row r="2896" spans="1:18" x14ac:dyDescent="0.25">
      <c r="A2896">
        <v>202895</v>
      </c>
      <c r="B2896">
        <v>51585</v>
      </c>
      <c r="C2896" t="s">
        <v>34</v>
      </c>
      <c r="D2896">
        <v>2717</v>
      </c>
      <c r="E2896">
        <v>3348</v>
      </c>
      <c r="F2896">
        <v>1</v>
      </c>
      <c r="G2896">
        <v>3</v>
      </c>
      <c r="H2896">
        <v>0</v>
      </c>
      <c r="I2896" t="s">
        <v>33</v>
      </c>
      <c r="J2896">
        <v>0</v>
      </c>
      <c r="K2896">
        <v>29</v>
      </c>
      <c r="L2896" t="s">
        <v>20</v>
      </c>
      <c r="M2896" t="s">
        <v>25</v>
      </c>
      <c r="N2896" t="s">
        <v>22</v>
      </c>
      <c r="O2896" t="s">
        <v>27</v>
      </c>
      <c r="P2896">
        <v>1.8</v>
      </c>
      <c r="Q2896" s="2" t="b">
        <f>FALSE()</f>
        <v>0</v>
      </c>
      <c r="R2896">
        <v>0</v>
      </c>
    </row>
    <row r="2897" spans="1:18" x14ac:dyDescent="0.25">
      <c r="A2897">
        <v>202896</v>
      </c>
      <c r="B2897">
        <v>55299</v>
      </c>
      <c r="C2897" t="s">
        <v>28</v>
      </c>
      <c r="D2897">
        <v>803.93</v>
      </c>
      <c r="E2897">
        <v>2442</v>
      </c>
      <c r="F2897">
        <v>1</v>
      </c>
      <c r="G2897">
        <v>3</v>
      </c>
      <c r="H2897">
        <v>1</v>
      </c>
      <c r="I2897" t="s">
        <v>33</v>
      </c>
      <c r="J2897">
        <v>1</v>
      </c>
      <c r="K2897">
        <v>33</v>
      </c>
      <c r="L2897" t="s">
        <v>24</v>
      </c>
      <c r="M2897" t="s">
        <v>35</v>
      </c>
      <c r="N2897" t="s">
        <v>26</v>
      </c>
      <c r="O2897" t="s">
        <v>36</v>
      </c>
      <c r="P2897">
        <v>1.25</v>
      </c>
      <c r="Q2897" s="2" t="b">
        <f>FALSE()</f>
        <v>0</v>
      </c>
      <c r="R2897">
        <v>0</v>
      </c>
    </row>
    <row r="2898" spans="1:18" x14ac:dyDescent="0.25">
      <c r="A2898">
        <v>202897</v>
      </c>
      <c r="B2898">
        <v>55953</v>
      </c>
      <c r="C2898" t="s">
        <v>28</v>
      </c>
      <c r="D2898">
        <v>2996.62</v>
      </c>
      <c r="E2898">
        <v>250</v>
      </c>
      <c r="F2898">
        <v>2</v>
      </c>
      <c r="G2898">
        <v>1</v>
      </c>
      <c r="H2898">
        <v>0</v>
      </c>
      <c r="I2898" t="s">
        <v>33</v>
      </c>
      <c r="J2898">
        <v>0</v>
      </c>
      <c r="K2898">
        <v>54</v>
      </c>
      <c r="L2898" t="s">
        <v>20</v>
      </c>
      <c r="M2898" t="s">
        <v>25</v>
      </c>
      <c r="N2898" t="s">
        <v>30</v>
      </c>
      <c r="O2898" t="s">
        <v>36</v>
      </c>
      <c r="P2898">
        <v>0.62</v>
      </c>
      <c r="Q2898" s="2" t="b">
        <f>FALSE()</f>
        <v>0</v>
      </c>
      <c r="R2898">
        <v>0</v>
      </c>
    </row>
    <row r="2899" spans="1:18" x14ac:dyDescent="0.25">
      <c r="A2899">
        <v>202898</v>
      </c>
      <c r="B2899">
        <v>55239</v>
      </c>
      <c r="C2899" t="s">
        <v>28</v>
      </c>
      <c r="D2899">
        <v>330.81</v>
      </c>
      <c r="E2899">
        <v>3586</v>
      </c>
      <c r="F2899">
        <v>0</v>
      </c>
      <c r="G2899">
        <v>7</v>
      </c>
      <c r="H2899">
        <v>1</v>
      </c>
      <c r="I2899" t="s">
        <v>32</v>
      </c>
      <c r="J2899">
        <v>0</v>
      </c>
      <c r="K2899">
        <v>66</v>
      </c>
      <c r="L2899" t="s">
        <v>24</v>
      </c>
      <c r="M2899" t="s">
        <v>37</v>
      </c>
      <c r="N2899" t="s">
        <v>22</v>
      </c>
      <c r="O2899" t="s">
        <v>23</v>
      </c>
      <c r="P2899">
        <v>0.72</v>
      </c>
      <c r="Q2899" s="2" t="b">
        <f>FALSE()</f>
        <v>0</v>
      </c>
      <c r="R2899">
        <v>1</v>
      </c>
    </row>
    <row r="2900" spans="1:18" x14ac:dyDescent="0.25">
      <c r="A2900">
        <v>202899</v>
      </c>
      <c r="B2900">
        <v>53591</v>
      </c>
      <c r="C2900" t="s">
        <v>34</v>
      </c>
      <c r="D2900">
        <v>2078.7800000000002</v>
      </c>
      <c r="E2900">
        <v>1680</v>
      </c>
      <c r="F2900">
        <v>1</v>
      </c>
      <c r="G2900">
        <v>4</v>
      </c>
      <c r="H2900">
        <v>1</v>
      </c>
      <c r="I2900" t="s">
        <v>32</v>
      </c>
      <c r="J2900">
        <v>0</v>
      </c>
      <c r="K2900">
        <v>83</v>
      </c>
      <c r="L2900" t="s">
        <v>20</v>
      </c>
      <c r="M2900" t="s">
        <v>31</v>
      </c>
      <c r="N2900" t="s">
        <v>26</v>
      </c>
      <c r="O2900" t="s">
        <v>27</v>
      </c>
      <c r="P2900">
        <v>0.09</v>
      </c>
      <c r="Q2900" s="2" t="b">
        <f>FALSE()</f>
        <v>0</v>
      </c>
      <c r="R2900">
        <v>0</v>
      </c>
    </row>
    <row r="2901" spans="1:18" x14ac:dyDescent="0.25">
      <c r="A2901">
        <v>202900</v>
      </c>
      <c r="B2901">
        <v>51441</v>
      </c>
      <c r="C2901" t="s">
        <v>18</v>
      </c>
      <c r="D2901">
        <v>4555.09</v>
      </c>
      <c r="E2901">
        <v>3490</v>
      </c>
      <c r="F2901">
        <v>0</v>
      </c>
      <c r="G2901">
        <v>4</v>
      </c>
      <c r="H2901">
        <v>0</v>
      </c>
      <c r="I2901" t="s">
        <v>33</v>
      </c>
      <c r="J2901">
        <v>0</v>
      </c>
      <c r="K2901">
        <v>80</v>
      </c>
      <c r="L2901" t="s">
        <v>20</v>
      </c>
      <c r="M2901" t="s">
        <v>31</v>
      </c>
      <c r="N2901" t="s">
        <v>22</v>
      </c>
      <c r="O2901" t="s">
        <v>23</v>
      </c>
      <c r="P2901">
        <v>0.08</v>
      </c>
      <c r="Q2901" s="2" t="b">
        <f>FALSE()</f>
        <v>0</v>
      </c>
      <c r="R2901">
        <v>1</v>
      </c>
    </row>
    <row r="2902" spans="1:18" x14ac:dyDescent="0.25">
      <c r="A2902">
        <v>202901</v>
      </c>
      <c r="B2902">
        <v>51513</v>
      </c>
      <c r="C2902" t="s">
        <v>18</v>
      </c>
      <c r="D2902">
        <v>3665.15</v>
      </c>
      <c r="E2902">
        <v>771</v>
      </c>
      <c r="F2902">
        <v>2</v>
      </c>
      <c r="G2902">
        <v>2</v>
      </c>
      <c r="H2902">
        <v>0</v>
      </c>
      <c r="I2902" t="s">
        <v>33</v>
      </c>
      <c r="J2902">
        <v>0</v>
      </c>
      <c r="K2902">
        <v>41</v>
      </c>
      <c r="L2902" t="s">
        <v>24</v>
      </c>
      <c r="M2902" t="s">
        <v>31</v>
      </c>
      <c r="N2902" t="s">
        <v>30</v>
      </c>
      <c r="O2902" t="s">
        <v>23</v>
      </c>
      <c r="P2902">
        <v>1.2</v>
      </c>
      <c r="Q2902" s="2" t="b">
        <f>FALSE()</f>
        <v>0</v>
      </c>
      <c r="R2902">
        <v>1</v>
      </c>
    </row>
    <row r="2903" spans="1:18" x14ac:dyDescent="0.25">
      <c r="A2903">
        <v>202902</v>
      </c>
      <c r="B2903">
        <v>53392</v>
      </c>
      <c r="C2903" t="s">
        <v>34</v>
      </c>
      <c r="D2903">
        <v>1885.47</v>
      </c>
      <c r="E2903">
        <v>497</v>
      </c>
      <c r="F2903">
        <v>1</v>
      </c>
      <c r="G2903">
        <v>11</v>
      </c>
      <c r="H2903">
        <v>0</v>
      </c>
      <c r="I2903" t="s">
        <v>32</v>
      </c>
      <c r="J2903">
        <v>0</v>
      </c>
      <c r="K2903">
        <v>45</v>
      </c>
      <c r="L2903" t="s">
        <v>24</v>
      </c>
      <c r="M2903" t="s">
        <v>21</v>
      </c>
      <c r="N2903" t="s">
        <v>22</v>
      </c>
      <c r="O2903" t="s">
        <v>27</v>
      </c>
      <c r="P2903">
        <v>0.25</v>
      </c>
      <c r="Q2903" s="2" t="b">
        <f>FALSE()</f>
        <v>0</v>
      </c>
      <c r="R2903">
        <v>1</v>
      </c>
    </row>
    <row r="2904" spans="1:18" x14ac:dyDescent="0.25">
      <c r="A2904">
        <v>202903</v>
      </c>
      <c r="B2904">
        <v>51624</v>
      </c>
      <c r="C2904" t="s">
        <v>34</v>
      </c>
      <c r="D2904">
        <v>5086.7299999999996</v>
      </c>
      <c r="E2904">
        <v>2989</v>
      </c>
      <c r="F2904">
        <v>0</v>
      </c>
      <c r="G2904">
        <v>4</v>
      </c>
      <c r="H2904">
        <v>1</v>
      </c>
      <c r="I2904" t="s">
        <v>33</v>
      </c>
      <c r="J2904">
        <v>0</v>
      </c>
      <c r="K2904">
        <v>51</v>
      </c>
      <c r="L2904" t="s">
        <v>20</v>
      </c>
      <c r="M2904" t="s">
        <v>21</v>
      </c>
      <c r="N2904" t="s">
        <v>30</v>
      </c>
      <c r="O2904" t="s">
        <v>36</v>
      </c>
      <c r="P2904">
        <v>1.84</v>
      </c>
      <c r="Q2904" s="2" t="b">
        <f>FALSE()</f>
        <v>0</v>
      </c>
      <c r="R2904">
        <v>1</v>
      </c>
    </row>
    <row r="2905" spans="1:18" x14ac:dyDescent="0.25">
      <c r="A2905">
        <v>202904</v>
      </c>
      <c r="B2905">
        <v>50119</v>
      </c>
      <c r="C2905" t="s">
        <v>28</v>
      </c>
      <c r="D2905">
        <v>1661.67</v>
      </c>
      <c r="E2905">
        <v>2952</v>
      </c>
      <c r="F2905">
        <v>0</v>
      </c>
      <c r="G2905">
        <v>5</v>
      </c>
      <c r="H2905">
        <v>0</v>
      </c>
      <c r="I2905" t="s">
        <v>19</v>
      </c>
      <c r="J2905">
        <v>0</v>
      </c>
      <c r="K2905">
        <v>37</v>
      </c>
      <c r="L2905" t="s">
        <v>20</v>
      </c>
      <c r="M2905" t="s">
        <v>21</v>
      </c>
      <c r="N2905" t="s">
        <v>26</v>
      </c>
      <c r="O2905" t="s">
        <v>23</v>
      </c>
      <c r="P2905">
        <v>0.69</v>
      </c>
      <c r="Q2905" s="2" t="b">
        <f>FALSE()</f>
        <v>0</v>
      </c>
      <c r="R2905">
        <v>0</v>
      </c>
    </row>
    <row r="2906" spans="1:18" x14ac:dyDescent="0.25">
      <c r="A2906">
        <v>202905</v>
      </c>
      <c r="B2906">
        <v>52221</v>
      </c>
      <c r="C2906" t="s">
        <v>34</v>
      </c>
      <c r="D2906">
        <v>2624.31</v>
      </c>
      <c r="E2906">
        <v>228</v>
      </c>
      <c r="F2906">
        <v>2</v>
      </c>
      <c r="G2906">
        <v>4</v>
      </c>
      <c r="H2906">
        <v>0</v>
      </c>
      <c r="I2906" t="s">
        <v>19</v>
      </c>
      <c r="J2906">
        <v>0</v>
      </c>
      <c r="K2906">
        <v>61</v>
      </c>
      <c r="L2906" t="s">
        <v>20</v>
      </c>
      <c r="M2906" t="s">
        <v>29</v>
      </c>
      <c r="N2906" t="s">
        <v>26</v>
      </c>
      <c r="O2906" t="s">
        <v>23</v>
      </c>
      <c r="P2906">
        <v>5.68</v>
      </c>
      <c r="Q2906" s="2" t="b">
        <f>FALSE()</f>
        <v>0</v>
      </c>
      <c r="R2906">
        <v>0</v>
      </c>
    </row>
    <row r="2907" spans="1:18" x14ac:dyDescent="0.25">
      <c r="A2907">
        <v>202906</v>
      </c>
      <c r="B2907">
        <v>55689</v>
      </c>
      <c r="C2907" t="s">
        <v>34</v>
      </c>
      <c r="D2907">
        <v>5132.45</v>
      </c>
      <c r="E2907">
        <v>2783</v>
      </c>
      <c r="F2907">
        <v>0</v>
      </c>
      <c r="G2907">
        <v>5</v>
      </c>
      <c r="H2907">
        <v>0</v>
      </c>
      <c r="I2907" t="s">
        <v>19</v>
      </c>
      <c r="J2907">
        <v>0</v>
      </c>
      <c r="K2907">
        <v>70</v>
      </c>
      <c r="L2907" t="s">
        <v>24</v>
      </c>
      <c r="M2907" t="s">
        <v>21</v>
      </c>
      <c r="N2907" t="s">
        <v>30</v>
      </c>
      <c r="O2907" t="s">
        <v>27</v>
      </c>
      <c r="P2907">
        <v>22.38</v>
      </c>
      <c r="Q2907" s="2" t="b">
        <f>FALSE()</f>
        <v>0</v>
      </c>
      <c r="R2907">
        <v>1</v>
      </c>
    </row>
    <row r="2908" spans="1:18" x14ac:dyDescent="0.25">
      <c r="A2908">
        <v>202907</v>
      </c>
      <c r="B2908">
        <v>55615</v>
      </c>
      <c r="C2908" t="s">
        <v>18</v>
      </c>
      <c r="D2908">
        <v>3163.38</v>
      </c>
      <c r="E2908">
        <v>2354</v>
      </c>
      <c r="F2908">
        <v>0</v>
      </c>
      <c r="G2908">
        <v>3</v>
      </c>
      <c r="H2908">
        <v>1</v>
      </c>
      <c r="I2908" t="s">
        <v>33</v>
      </c>
      <c r="J2908">
        <v>1</v>
      </c>
      <c r="K2908">
        <v>69</v>
      </c>
      <c r="L2908" t="s">
        <v>20</v>
      </c>
      <c r="M2908" t="s">
        <v>21</v>
      </c>
      <c r="N2908" t="s">
        <v>26</v>
      </c>
      <c r="O2908" t="s">
        <v>27</v>
      </c>
      <c r="P2908">
        <v>4.79</v>
      </c>
      <c r="Q2908" s="2" t="b">
        <f>FALSE()</f>
        <v>0</v>
      </c>
      <c r="R2908">
        <v>0</v>
      </c>
    </row>
    <row r="2909" spans="1:18" x14ac:dyDescent="0.25">
      <c r="A2909">
        <v>202908</v>
      </c>
      <c r="B2909">
        <v>51420</v>
      </c>
      <c r="C2909" t="s">
        <v>34</v>
      </c>
      <c r="D2909">
        <v>660.67</v>
      </c>
      <c r="E2909">
        <v>788</v>
      </c>
      <c r="F2909">
        <v>1</v>
      </c>
      <c r="G2909">
        <v>1</v>
      </c>
      <c r="H2909">
        <v>0</v>
      </c>
      <c r="I2909" t="s">
        <v>19</v>
      </c>
      <c r="J2909">
        <v>0</v>
      </c>
      <c r="K2909">
        <v>29</v>
      </c>
      <c r="L2909" t="s">
        <v>20</v>
      </c>
      <c r="M2909" t="s">
        <v>31</v>
      </c>
      <c r="N2909" t="s">
        <v>22</v>
      </c>
      <c r="O2909" t="s">
        <v>36</v>
      </c>
      <c r="P2909">
        <v>5.67</v>
      </c>
      <c r="Q2909" s="2" t="b">
        <f>FALSE()</f>
        <v>0</v>
      </c>
      <c r="R2909">
        <v>0</v>
      </c>
    </row>
    <row r="2910" spans="1:18" x14ac:dyDescent="0.25">
      <c r="A2910">
        <v>202909</v>
      </c>
      <c r="B2910">
        <v>52878</v>
      </c>
      <c r="C2910" t="s">
        <v>18</v>
      </c>
      <c r="D2910">
        <v>490.79</v>
      </c>
      <c r="E2910">
        <v>2195</v>
      </c>
      <c r="F2910">
        <v>0</v>
      </c>
      <c r="G2910">
        <v>6</v>
      </c>
      <c r="H2910">
        <v>0</v>
      </c>
      <c r="I2910" t="s">
        <v>19</v>
      </c>
      <c r="J2910">
        <v>1</v>
      </c>
      <c r="K2910">
        <v>68</v>
      </c>
      <c r="L2910" t="s">
        <v>20</v>
      </c>
      <c r="M2910" t="s">
        <v>29</v>
      </c>
      <c r="N2910" t="s">
        <v>22</v>
      </c>
      <c r="O2910" t="s">
        <v>23</v>
      </c>
      <c r="P2910">
        <v>2.21</v>
      </c>
      <c r="Q2910" s="2" t="b">
        <f>FALSE()</f>
        <v>0</v>
      </c>
      <c r="R2910">
        <v>0</v>
      </c>
    </row>
    <row r="2911" spans="1:18" x14ac:dyDescent="0.25">
      <c r="A2911">
        <v>202910</v>
      </c>
      <c r="B2911">
        <v>55576</v>
      </c>
      <c r="C2911" t="s">
        <v>34</v>
      </c>
      <c r="D2911">
        <v>1988.51</v>
      </c>
      <c r="E2911">
        <v>2655</v>
      </c>
      <c r="F2911">
        <v>2</v>
      </c>
      <c r="G2911">
        <v>3</v>
      </c>
      <c r="H2911">
        <v>0</v>
      </c>
      <c r="I2911" t="s">
        <v>32</v>
      </c>
      <c r="J2911">
        <v>0</v>
      </c>
      <c r="K2911">
        <v>25</v>
      </c>
      <c r="L2911" t="s">
        <v>20</v>
      </c>
      <c r="M2911" t="s">
        <v>37</v>
      </c>
      <c r="N2911" t="s">
        <v>22</v>
      </c>
      <c r="O2911" t="s">
        <v>23</v>
      </c>
      <c r="P2911">
        <v>0.12</v>
      </c>
      <c r="Q2911" s="2" t="b">
        <f>FALSE()</f>
        <v>0</v>
      </c>
      <c r="R2911">
        <v>0</v>
      </c>
    </row>
    <row r="2912" spans="1:18" x14ac:dyDescent="0.25">
      <c r="A2912">
        <v>202911</v>
      </c>
      <c r="B2912">
        <v>55208</v>
      </c>
      <c r="C2912" t="s">
        <v>18</v>
      </c>
      <c r="D2912">
        <v>3215.16</v>
      </c>
      <c r="E2912">
        <v>612</v>
      </c>
      <c r="F2912">
        <v>3</v>
      </c>
      <c r="G2912">
        <v>5</v>
      </c>
      <c r="H2912">
        <v>0</v>
      </c>
      <c r="I2912" t="s">
        <v>19</v>
      </c>
      <c r="J2912">
        <v>1</v>
      </c>
      <c r="K2912">
        <v>73</v>
      </c>
      <c r="L2912" t="s">
        <v>24</v>
      </c>
      <c r="M2912" t="s">
        <v>25</v>
      </c>
      <c r="N2912" t="s">
        <v>30</v>
      </c>
      <c r="O2912" t="s">
        <v>36</v>
      </c>
      <c r="P2912">
        <v>0.41</v>
      </c>
      <c r="Q2912" s="2" t="b">
        <f>FALSE()</f>
        <v>0</v>
      </c>
      <c r="R2912">
        <v>1</v>
      </c>
    </row>
    <row r="2913" spans="1:18" x14ac:dyDescent="0.25">
      <c r="A2913">
        <v>202912</v>
      </c>
      <c r="B2913">
        <v>50963</v>
      </c>
      <c r="C2913" t="s">
        <v>18</v>
      </c>
      <c r="D2913">
        <v>1147.97</v>
      </c>
      <c r="E2913">
        <v>648</v>
      </c>
      <c r="F2913">
        <v>0</v>
      </c>
      <c r="G2913">
        <v>1</v>
      </c>
      <c r="H2913">
        <v>1</v>
      </c>
      <c r="I2913" t="s">
        <v>19</v>
      </c>
      <c r="J2913">
        <v>0</v>
      </c>
      <c r="K2913">
        <v>47</v>
      </c>
      <c r="L2913" t="s">
        <v>20</v>
      </c>
      <c r="M2913" t="s">
        <v>29</v>
      </c>
      <c r="N2913" t="s">
        <v>22</v>
      </c>
      <c r="O2913" t="s">
        <v>36</v>
      </c>
      <c r="P2913">
        <v>6.26</v>
      </c>
      <c r="Q2913" s="2" t="b">
        <f>FALSE()</f>
        <v>0</v>
      </c>
      <c r="R2913">
        <v>0</v>
      </c>
    </row>
    <row r="2914" spans="1:18" x14ac:dyDescent="0.25">
      <c r="A2914">
        <v>202913</v>
      </c>
      <c r="B2914">
        <v>53546</v>
      </c>
      <c r="C2914" t="s">
        <v>18</v>
      </c>
      <c r="D2914">
        <v>2758.1</v>
      </c>
      <c r="E2914">
        <v>812</v>
      </c>
      <c r="F2914">
        <v>0</v>
      </c>
      <c r="G2914">
        <v>6</v>
      </c>
      <c r="H2914">
        <v>1</v>
      </c>
      <c r="I2914" t="s">
        <v>33</v>
      </c>
      <c r="J2914">
        <v>1</v>
      </c>
      <c r="K2914">
        <v>22</v>
      </c>
      <c r="L2914" t="s">
        <v>20</v>
      </c>
      <c r="M2914" t="s">
        <v>25</v>
      </c>
      <c r="N2914" t="s">
        <v>22</v>
      </c>
      <c r="O2914" t="s">
        <v>23</v>
      </c>
      <c r="P2914">
        <v>5.67</v>
      </c>
      <c r="Q2914" s="2" t="b">
        <f>FALSE()</f>
        <v>0</v>
      </c>
      <c r="R2914">
        <v>0</v>
      </c>
    </row>
    <row r="2915" spans="1:18" x14ac:dyDescent="0.25">
      <c r="A2915">
        <v>202914</v>
      </c>
      <c r="B2915">
        <v>50653</v>
      </c>
      <c r="C2915" t="s">
        <v>18</v>
      </c>
      <c r="D2915">
        <v>3728.12</v>
      </c>
      <c r="E2915">
        <v>570</v>
      </c>
      <c r="F2915">
        <v>1</v>
      </c>
      <c r="G2915">
        <v>2</v>
      </c>
      <c r="H2915">
        <v>1</v>
      </c>
      <c r="I2915" t="s">
        <v>19</v>
      </c>
      <c r="J2915">
        <v>1</v>
      </c>
      <c r="K2915">
        <v>50</v>
      </c>
      <c r="L2915" t="s">
        <v>24</v>
      </c>
      <c r="M2915" t="s">
        <v>29</v>
      </c>
      <c r="N2915" t="s">
        <v>26</v>
      </c>
      <c r="O2915" t="s">
        <v>36</v>
      </c>
      <c r="P2915">
        <v>1.52</v>
      </c>
      <c r="Q2915" s="2" t="b">
        <f>FALSE()</f>
        <v>0</v>
      </c>
      <c r="R2915">
        <v>1</v>
      </c>
    </row>
    <row r="2916" spans="1:18" x14ac:dyDescent="0.25">
      <c r="A2916">
        <v>202915</v>
      </c>
      <c r="B2916">
        <v>51630</v>
      </c>
      <c r="C2916" t="s">
        <v>18</v>
      </c>
      <c r="D2916">
        <v>3106.27</v>
      </c>
      <c r="E2916">
        <v>415</v>
      </c>
      <c r="F2916">
        <v>1</v>
      </c>
      <c r="G2916">
        <v>9</v>
      </c>
      <c r="H2916">
        <v>1</v>
      </c>
      <c r="I2916" t="s">
        <v>32</v>
      </c>
      <c r="J2916">
        <v>0</v>
      </c>
      <c r="K2916">
        <v>61</v>
      </c>
      <c r="L2916" t="s">
        <v>24</v>
      </c>
      <c r="M2916" t="s">
        <v>29</v>
      </c>
      <c r="N2916" t="s">
        <v>22</v>
      </c>
      <c r="O2916" t="s">
        <v>36</v>
      </c>
      <c r="P2916">
        <v>0.06</v>
      </c>
      <c r="Q2916" s="2" t="b">
        <f>FALSE()</f>
        <v>0</v>
      </c>
      <c r="R2916">
        <v>1</v>
      </c>
    </row>
    <row r="2917" spans="1:18" x14ac:dyDescent="0.25">
      <c r="A2917">
        <v>202916</v>
      </c>
      <c r="B2917">
        <v>53913</v>
      </c>
      <c r="C2917" t="s">
        <v>18</v>
      </c>
      <c r="D2917">
        <v>1795.91</v>
      </c>
      <c r="E2917">
        <v>2885</v>
      </c>
      <c r="F2917">
        <v>1</v>
      </c>
      <c r="G2917">
        <v>0</v>
      </c>
      <c r="H2917">
        <v>0</v>
      </c>
      <c r="I2917" t="s">
        <v>32</v>
      </c>
      <c r="J2917">
        <v>1</v>
      </c>
      <c r="K2917">
        <v>33</v>
      </c>
      <c r="L2917" t="s">
        <v>24</v>
      </c>
      <c r="M2917" t="s">
        <v>35</v>
      </c>
      <c r="N2917" t="s">
        <v>26</v>
      </c>
      <c r="O2917" t="s">
        <v>27</v>
      </c>
      <c r="P2917">
        <v>4.01</v>
      </c>
      <c r="Q2917" s="2" t="b">
        <f>FALSE()</f>
        <v>0</v>
      </c>
      <c r="R2917">
        <v>0</v>
      </c>
    </row>
    <row r="2918" spans="1:18" x14ac:dyDescent="0.25">
      <c r="A2918">
        <v>202917</v>
      </c>
      <c r="B2918">
        <v>55250</v>
      </c>
      <c r="C2918" t="s">
        <v>18</v>
      </c>
      <c r="D2918">
        <v>1877.96</v>
      </c>
      <c r="E2918">
        <v>524</v>
      </c>
      <c r="F2918">
        <v>2</v>
      </c>
      <c r="G2918">
        <v>5</v>
      </c>
      <c r="H2918">
        <v>0</v>
      </c>
      <c r="I2918" t="s">
        <v>33</v>
      </c>
      <c r="J2918">
        <v>1</v>
      </c>
      <c r="K2918">
        <v>47</v>
      </c>
      <c r="L2918" t="s">
        <v>20</v>
      </c>
      <c r="M2918" t="s">
        <v>35</v>
      </c>
      <c r="N2918" t="s">
        <v>22</v>
      </c>
      <c r="O2918" t="s">
        <v>36</v>
      </c>
      <c r="P2918">
        <v>2.83</v>
      </c>
      <c r="Q2918" s="2" t="b">
        <f>FALSE()</f>
        <v>0</v>
      </c>
      <c r="R2918">
        <v>0</v>
      </c>
    </row>
    <row r="2919" spans="1:18" x14ac:dyDescent="0.25">
      <c r="A2919">
        <v>202918</v>
      </c>
      <c r="B2919">
        <v>52904</v>
      </c>
      <c r="C2919" t="s">
        <v>18</v>
      </c>
      <c r="D2919">
        <v>1676.18</v>
      </c>
      <c r="E2919">
        <v>78</v>
      </c>
      <c r="F2919">
        <v>0</v>
      </c>
      <c r="G2919">
        <v>3</v>
      </c>
      <c r="H2919">
        <v>0</v>
      </c>
      <c r="I2919" t="s">
        <v>33</v>
      </c>
      <c r="J2919">
        <v>0</v>
      </c>
      <c r="K2919">
        <v>67</v>
      </c>
      <c r="L2919" t="s">
        <v>20</v>
      </c>
      <c r="M2919" t="s">
        <v>21</v>
      </c>
      <c r="N2919" t="s">
        <v>26</v>
      </c>
      <c r="O2919" t="s">
        <v>27</v>
      </c>
      <c r="P2919">
        <v>1.83</v>
      </c>
      <c r="Q2919" s="2" t="b">
        <f>FALSE()</f>
        <v>0</v>
      </c>
      <c r="R2919">
        <v>0</v>
      </c>
    </row>
    <row r="2920" spans="1:18" x14ac:dyDescent="0.25">
      <c r="A2920">
        <v>202919</v>
      </c>
      <c r="B2920">
        <v>54149</v>
      </c>
      <c r="C2920" t="s">
        <v>18</v>
      </c>
      <c r="D2920">
        <v>876.08</v>
      </c>
      <c r="E2920">
        <v>740</v>
      </c>
      <c r="F2920">
        <v>2</v>
      </c>
      <c r="G2920">
        <v>3</v>
      </c>
      <c r="H2920">
        <v>0</v>
      </c>
      <c r="I2920" t="s">
        <v>33</v>
      </c>
      <c r="J2920">
        <v>0</v>
      </c>
      <c r="K2920">
        <v>50</v>
      </c>
      <c r="L2920" t="s">
        <v>20</v>
      </c>
      <c r="M2920" t="s">
        <v>29</v>
      </c>
      <c r="N2920" t="s">
        <v>22</v>
      </c>
      <c r="O2920" t="s">
        <v>23</v>
      </c>
      <c r="P2920">
        <v>1.78</v>
      </c>
      <c r="Q2920" s="2" t="b">
        <f>FALSE()</f>
        <v>0</v>
      </c>
      <c r="R2920">
        <v>0</v>
      </c>
    </row>
    <row r="2921" spans="1:18" x14ac:dyDescent="0.25">
      <c r="A2921">
        <v>202920</v>
      </c>
      <c r="B2921">
        <v>53386</v>
      </c>
      <c r="C2921" t="s">
        <v>18</v>
      </c>
      <c r="D2921">
        <v>5806</v>
      </c>
      <c r="E2921">
        <v>878</v>
      </c>
      <c r="F2921">
        <v>2</v>
      </c>
      <c r="G2921">
        <v>3</v>
      </c>
      <c r="H2921">
        <v>0</v>
      </c>
      <c r="I2921" t="s">
        <v>33</v>
      </c>
      <c r="J2921">
        <v>0</v>
      </c>
      <c r="K2921">
        <v>42</v>
      </c>
      <c r="L2921" t="s">
        <v>20</v>
      </c>
      <c r="M2921" t="s">
        <v>35</v>
      </c>
      <c r="N2921" t="s">
        <v>26</v>
      </c>
      <c r="O2921" t="s">
        <v>27</v>
      </c>
      <c r="P2921">
        <v>2.7</v>
      </c>
      <c r="Q2921" s="2" t="b">
        <f>FALSE()</f>
        <v>0</v>
      </c>
      <c r="R2921">
        <v>1</v>
      </c>
    </row>
    <row r="2922" spans="1:18" x14ac:dyDescent="0.25">
      <c r="A2922">
        <v>202921</v>
      </c>
      <c r="B2922">
        <v>50813</v>
      </c>
      <c r="C2922" t="s">
        <v>28</v>
      </c>
      <c r="D2922">
        <v>3832.11</v>
      </c>
      <c r="E2922">
        <v>3129</v>
      </c>
      <c r="F2922">
        <v>0</v>
      </c>
      <c r="G2922">
        <v>8</v>
      </c>
      <c r="H2922">
        <v>1</v>
      </c>
      <c r="I2922" t="s">
        <v>33</v>
      </c>
      <c r="J2922">
        <v>1</v>
      </c>
      <c r="K2922">
        <v>24</v>
      </c>
      <c r="L2922" t="s">
        <v>20</v>
      </c>
      <c r="M2922" t="s">
        <v>31</v>
      </c>
      <c r="N2922" t="s">
        <v>30</v>
      </c>
      <c r="O2922" t="s">
        <v>27</v>
      </c>
      <c r="P2922">
        <v>2.2200000000000002</v>
      </c>
      <c r="Q2922" s="2" t="b">
        <f>FALSE()</f>
        <v>0</v>
      </c>
      <c r="R2922">
        <v>1</v>
      </c>
    </row>
    <row r="2923" spans="1:18" x14ac:dyDescent="0.25">
      <c r="A2923">
        <v>202922</v>
      </c>
      <c r="B2923">
        <v>55837</v>
      </c>
      <c r="C2923" t="s">
        <v>18</v>
      </c>
      <c r="D2923">
        <v>2285.19</v>
      </c>
      <c r="E2923">
        <v>2860</v>
      </c>
      <c r="F2923">
        <v>2</v>
      </c>
      <c r="G2923">
        <v>5</v>
      </c>
      <c r="H2923">
        <v>1</v>
      </c>
      <c r="I2923" t="s">
        <v>19</v>
      </c>
      <c r="J2923">
        <v>0</v>
      </c>
      <c r="K2923">
        <v>63</v>
      </c>
      <c r="L2923" t="s">
        <v>20</v>
      </c>
      <c r="M2923" t="s">
        <v>35</v>
      </c>
      <c r="N2923" t="s">
        <v>22</v>
      </c>
      <c r="O2923" t="s">
        <v>36</v>
      </c>
      <c r="P2923">
        <v>2.9</v>
      </c>
      <c r="Q2923" s="2" t="b">
        <f>FALSE()</f>
        <v>0</v>
      </c>
      <c r="R2923">
        <v>0</v>
      </c>
    </row>
    <row r="2924" spans="1:18" x14ac:dyDescent="0.25">
      <c r="A2924">
        <v>202923</v>
      </c>
      <c r="B2924">
        <v>55361</v>
      </c>
      <c r="C2924" t="s">
        <v>34</v>
      </c>
      <c r="D2924">
        <v>4621.46</v>
      </c>
      <c r="E2924">
        <v>405</v>
      </c>
      <c r="F2924">
        <v>3</v>
      </c>
      <c r="G2924">
        <v>2</v>
      </c>
      <c r="H2924">
        <v>1</v>
      </c>
      <c r="I2924" t="s">
        <v>33</v>
      </c>
      <c r="J2924">
        <v>0</v>
      </c>
      <c r="K2924">
        <v>43</v>
      </c>
      <c r="L2924" t="s">
        <v>24</v>
      </c>
      <c r="M2924" t="s">
        <v>31</v>
      </c>
      <c r="N2924" t="s">
        <v>22</v>
      </c>
      <c r="O2924" t="s">
        <v>27</v>
      </c>
      <c r="P2924">
        <v>3.1</v>
      </c>
      <c r="Q2924" s="2" t="b">
        <f>FALSE()</f>
        <v>0</v>
      </c>
      <c r="R2924">
        <v>1</v>
      </c>
    </row>
    <row r="2925" spans="1:18" x14ac:dyDescent="0.25">
      <c r="A2925">
        <v>202924</v>
      </c>
      <c r="B2925">
        <v>52078</v>
      </c>
      <c r="C2925" t="s">
        <v>18</v>
      </c>
      <c r="D2925">
        <v>2690.52</v>
      </c>
      <c r="E2925">
        <v>3383</v>
      </c>
      <c r="F2925">
        <v>0</v>
      </c>
      <c r="G2925">
        <v>6</v>
      </c>
      <c r="H2925">
        <v>1</v>
      </c>
      <c r="I2925" t="s">
        <v>33</v>
      </c>
      <c r="J2925">
        <v>1</v>
      </c>
      <c r="K2925">
        <v>64</v>
      </c>
      <c r="L2925" t="s">
        <v>24</v>
      </c>
      <c r="M2925" t="s">
        <v>25</v>
      </c>
      <c r="N2925" t="s">
        <v>30</v>
      </c>
      <c r="O2925" t="s">
        <v>36</v>
      </c>
      <c r="P2925">
        <v>0.46</v>
      </c>
      <c r="Q2925" s="2" t="b">
        <f>FALSE()</f>
        <v>0</v>
      </c>
      <c r="R2925">
        <v>0</v>
      </c>
    </row>
    <row r="2926" spans="1:18" x14ac:dyDescent="0.25">
      <c r="A2926">
        <v>202925</v>
      </c>
      <c r="B2926">
        <v>55336</v>
      </c>
      <c r="C2926" t="s">
        <v>18</v>
      </c>
      <c r="D2926">
        <v>2974.91</v>
      </c>
      <c r="E2926">
        <v>329</v>
      </c>
      <c r="F2926">
        <v>1</v>
      </c>
      <c r="G2926">
        <v>4</v>
      </c>
      <c r="H2926">
        <v>0</v>
      </c>
      <c r="I2926" t="s">
        <v>33</v>
      </c>
      <c r="J2926">
        <v>0</v>
      </c>
      <c r="K2926">
        <v>57</v>
      </c>
      <c r="L2926" t="s">
        <v>20</v>
      </c>
      <c r="M2926" t="s">
        <v>37</v>
      </c>
      <c r="N2926" t="s">
        <v>22</v>
      </c>
      <c r="O2926" t="s">
        <v>27</v>
      </c>
      <c r="P2926">
        <v>1.01</v>
      </c>
      <c r="Q2926" s="2" t="b">
        <f>FALSE()</f>
        <v>0</v>
      </c>
      <c r="R2926">
        <v>0</v>
      </c>
    </row>
    <row r="2927" spans="1:18" x14ac:dyDescent="0.25">
      <c r="A2927">
        <v>202926</v>
      </c>
      <c r="B2927">
        <v>54148</v>
      </c>
      <c r="C2927" t="s">
        <v>34</v>
      </c>
      <c r="D2927">
        <v>5538.33</v>
      </c>
      <c r="E2927">
        <v>2077</v>
      </c>
      <c r="F2927">
        <v>3</v>
      </c>
      <c r="G2927">
        <v>7</v>
      </c>
      <c r="H2927">
        <v>0</v>
      </c>
      <c r="I2927" t="s">
        <v>19</v>
      </c>
      <c r="J2927">
        <v>0</v>
      </c>
      <c r="K2927">
        <v>51</v>
      </c>
      <c r="L2927" t="s">
        <v>24</v>
      </c>
      <c r="M2927" t="s">
        <v>21</v>
      </c>
      <c r="N2927" t="s">
        <v>26</v>
      </c>
      <c r="O2927" t="s">
        <v>36</v>
      </c>
      <c r="P2927">
        <v>1.93</v>
      </c>
      <c r="Q2927" s="2" t="b">
        <f>FALSE()</f>
        <v>0</v>
      </c>
      <c r="R2927">
        <v>1</v>
      </c>
    </row>
    <row r="2928" spans="1:18" x14ac:dyDescent="0.25">
      <c r="A2928">
        <v>202927</v>
      </c>
      <c r="B2928">
        <v>50339</v>
      </c>
      <c r="C2928" t="s">
        <v>28</v>
      </c>
      <c r="D2928">
        <v>5702.29</v>
      </c>
      <c r="E2928">
        <v>1238</v>
      </c>
      <c r="F2928">
        <v>0</v>
      </c>
      <c r="G2928">
        <v>2</v>
      </c>
      <c r="H2928">
        <v>0</v>
      </c>
      <c r="I2928" t="s">
        <v>33</v>
      </c>
      <c r="J2928">
        <v>0</v>
      </c>
      <c r="K2928">
        <v>81</v>
      </c>
      <c r="L2928" t="s">
        <v>20</v>
      </c>
      <c r="M2928" t="s">
        <v>31</v>
      </c>
      <c r="N2928" t="s">
        <v>22</v>
      </c>
      <c r="O2928" t="s">
        <v>27</v>
      </c>
      <c r="P2928">
        <v>5.04</v>
      </c>
      <c r="Q2928" s="2" t="b">
        <f>FALSE()</f>
        <v>0</v>
      </c>
      <c r="R2928">
        <v>1</v>
      </c>
    </row>
    <row r="2929" spans="1:18" x14ac:dyDescent="0.25">
      <c r="A2929">
        <v>202928</v>
      </c>
      <c r="B2929">
        <v>54045</v>
      </c>
      <c r="C2929" t="s">
        <v>18</v>
      </c>
      <c r="D2929">
        <v>2295.6799999999998</v>
      </c>
      <c r="E2929">
        <v>3441</v>
      </c>
      <c r="F2929">
        <v>1</v>
      </c>
      <c r="G2929">
        <v>7</v>
      </c>
      <c r="H2929">
        <v>0</v>
      </c>
      <c r="I2929" t="s">
        <v>19</v>
      </c>
      <c r="J2929">
        <v>1</v>
      </c>
      <c r="K2929">
        <v>40</v>
      </c>
      <c r="L2929" t="s">
        <v>24</v>
      </c>
      <c r="M2929" t="s">
        <v>25</v>
      </c>
      <c r="N2929" t="s">
        <v>26</v>
      </c>
      <c r="O2929" t="s">
        <v>36</v>
      </c>
      <c r="P2929">
        <v>3.76</v>
      </c>
      <c r="Q2929" s="2" t="b">
        <f>FALSE()</f>
        <v>0</v>
      </c>
      <c r="R2929">
        <v>1</v>
      </c>
    </row>
    <row r="2930" spans="1:18" x14ac:dyDescent="0.25">
      <c r="A2930">
        <v>202929</v>
      </c>
      <c r="B2930">
        <v>50726</v>
      </c>
      <c r="C2930" t="s">
        <v>34</v>
      </c>
      <c r="D2930">
        <v>1801.61</v>
      </c>
      <c r="E2930">
        <v>2690</v>
      </c>
      <c r="F2930">
        <v>1</v>
      </c>
      <c r="G2930">
        <v>8</v>
      </c>
      <c r="H2930">
        <v>0</v>
      </c>
      <c r="I2930" t="s">
        <v>32</v>
      </c>
      <c r="J2930">
        <v>1</v>
      </c>
      <c r="K2930">
        <v>64</v>
      </c>
      <c r="L2930" t="s">
        <v>24</v>
      </c>
      <c r="M2930" t="s">
        <v>21</v>
      </c>
      <c r="N2930" t="s">
        <v>22</v>
      </c>
      <c r="O2930" t="s">
        <v>27</v>
      </c>
      <c r="P2930">
        <v>0</v>
      </c>
      <c r="Q2930" s="2" t="b">
        <f>FALSE()</f>
        <v>0</v>
      </c>
      <c r="R2930">
        <v>1</v>
      </c>
    </row>
    <row r="2931" spans="1:18" x14ac:dyDescent="0.25">
      <c r="A2931">
        <v>202930</v>
      </c>
      <c r="B2931">
        <v>54538</v>
      </c>
      <c r="C2931" t="s">
        <v>18</v>
      </c>
      <c r="D2931">
        <v>2029.36</v>
      </c>
      <c r="E2931">
        <v>3461</v>
      </c>
      <c r="F2931">
        <v>1</v>
      </c>
      <c r="G2931">
        <v>3</v>
      </c>
      <c r="H2931">
        <v>1</v>
      </c>
      <c r="I2931" t="s">
        <v>19</v>
      </c>
      <c r="J2931">
        <v>1</v>
      </c>
      <c r="K2931">
        <v>38</v>
      </c>
      <c r="L2931" t="s">
        <v>20</v>
      </c>
      <c r="M2931" t="s">
        <v>35</v>
      </c>
      <c r="N2931" t="s">
        <v>30</v>
      </c>
      <c r="O2931" t="s">
        <v>27</v>
      </c>
      <c r="P2931">
        <v>0.03</v>
      </c>
      <c r="Q2931" s="2" t="b">
        <f>FALSE()</f>
        <v>0</v>
      </c>
      <c r="R2931">
        <v>0</v>
      </c>
    </row>
    <row r="2932" spans="1:18" x14ac:dyDescent="0.25">
      <c r="A2932">
        <v>202931</v>
      </c>
      <c r="B2932">
        <v>52457</v>
      </c>
      <c r="C2932" t="s">
        <v>34</v>
      </c>
      <c r="D2932">
        <v>4468.87</v>
      </c>
      <c r="E2932">
        <v>1063</v>
      </c>
      <c r="F2932">
        <v>2</v>
      </c>
      <c r="G2932">
        <v>7</v>
      </c>
      <c r="H2932">
        <v>0</v>
      </c>
      <c r="I2932" t="s">
        <v>33</v>
      </c>
      <c r="J2932">
        <v>1</v>
      </c>
      <c r="K2932">
        <v>45</v>
      </c>
      <c r="L2932" t="s">
        <v>20</v>
      </c>
      <c r="M2932" t="s">
        <v>29</v>
      </c>
      <c r="N2932" t="s">
        <v>30</v>
      </c>
      <c r="O2932" t="s">
        <v>23</v>
      </c>
      <c r="P2932">
        <v>2.13</v>
      </c>
      <c r="Q2932" s="2" t="b">
        <f>FALSE()</f>
        <v>0</v>
      </c>
      <c r="R2932">
        <v>1</v>
      </c>
    </row>
    <row r="2933" spans="1:18" x14ac:dyDescent="0.25">
      <c r="A2933">
        <v>202932</v>
      </c>
      <c r="B2933">
        <v>50678</v>
      </c>
      <c r="C2933" t="s">
        <v>18</v>
      </c>
      <c r="D2933">
        <v>7737.7</v>
      </c>
      <c r="E2933">
        <v>441</v>
      </c>
      <c r="F2933">
        <v>1</v>
      </c>
      <c r="G2933">
        <v>10</v>
      </c>
      <c r="H2933">
        <v>1</v>
      </c>
      <c r="I2933" t="s">
        <v>33</v>
      </c>
      <c r="J2933">
        <v>0</v>
      </c>
      <c r="K2933">
        <v>45</v>
      </c>
      <c r="L2933" t="s">
        <v>24</v>
      </c>
      <c r="M2933" t="s">
        <v>37</v>
      </c>
      <c r="N2933" t="s">
        <v>22</v>
      </c>
      <c r="O2933" t="s">
        <v>23</v>
      </c>
      <c r="P2933">
        <v>4.59</v>
      </c>
      <c r="Q2933" s="2" t="b">
        <f>TRUE()</f>
        <v>1</v>
      </c>
      <c r="R2933">
        <v>1</v>
      </c>
    </row>
    <row r="2934" spans="1:18" x14ac:dyDescent="0.25">
      <c r="A2934">
        <v>202933</v>
      </c>
      <c r="B2934">
        <v>55922</v>
      </c>
      <c r="C2934" t="s">
        <v>34</v>
      </c>
      <c r="D2934">
        <v>1917.42</v>
      </c>
      <c r="E2934">
        <v>573</v>
      </c>
      <c r="F2934">
        <v>2</v>
      </c>
      <c r="G2934">
        <v>4</v>
      </c>
      <c r="H2934">
        <v>0</v>
      </c>
      <c r="I2934" t="s">
        <v>33</v>
      </c>
      <c r="J2934">
        <v>1</v>
      </c>
      <c r="K2934">
        <v>28</v>
      </c>
      <c r="L2934" t="s">
        <v>20</v>
      </c>
      <c r="M2934" t="s">
        <v>35</v>
      </c>
      <c r="N2934" t="s">
        <v>26</v>
      </c>
      <c r="O2934" t="s">
        <v>27</v>
      </c>
      <c r="P2934">
        <v>1.87</v>
      </c>
      <c r="Q2934" s="2" t="b">
        <f>FALSE()</f>
        <v>0</v>
      </c>
      <c r="R2934">
        <v>0</v>
      </c>
    </row>
    <row r="2935" spans="1:18" x14ac:dyDescent="0.25">
      <c r="A2935">
        <v>202934</v>
      </c>
      <c r="B2935">
        <v>55290</v>
      </c>
      <c r="C2935" t="s">
        <v>34</v>
      </c>
      <c r="D2935">
        <v>1261.22</v>
      </c>
      <c r="E2935">
        <v>517</v>
      </c>
      <c r="F2935">
        <v>1</v>
      </c>
      <c r="G2935">
        <v>7</v>
      </c>
      <c r="H2935">
        <v>0</v>
      </c>
      <c r="I2935" t="s">
        <v>33</v>
      </c>
      <c r="J2935">
        <v>0</v>
      </c>
      <c r="K2935">
        <v>29</v>
      </c>
      <c r="L2935" t="s">
        <v>24</v>
      </c>
      <c r="M2935" t="s">
        <v>25</v>
      </c>
      <c r="N2935" t="s">
        <v>26</v>
      </c>
      <c r="O2935" t="s">
        <v>36</v>
      </c>
      <c r="P2935">
        <v>9.91</v>
      </c>
      <c r="Q2935" s="2" t="b">
        <f>FALSE()</f>
        <v>0</v>
      </c>
      <c r="R2935">
        <v>1</v>
      </c>
    </row>
    <row r="2936" spans="1:18" x14ac:dyDescent="0.25">
      <c r="A2936">
        <v>202935</v>
      </c>
      <c r="B2936">
        <v>50152</v>
      </c>
      <c r="C2936" t="s">
        <v>34</v>
      </c>
      <c r="D2936">
        <v>1389.43</v>
      </c>
      <c r="E2936">
        <v>2082</v>
      </c>
      <c r="F2936">
        <v>1</v>
      </c>
      <c r="G2936">
        <v>5</v>
      </c>
      <c r="H2936">
        <v>0</v>
      </c>
      <c r="I2936" t="s">
        <v>33</v>
      </c>
      <c r="J2936">
        <v>0</v>
      </c>
      <c r="K2936">
        <v>54</v>
      </c>
      <c r="L2936" t="s">
        <v>24</v>
      </c>
      <c r="M2936" t="s">
        <v>21</v>
      </c>
      <c r="N2936" t="s">
        <v>26</v>
      </c>
      <c r="O2936" t="s">
        <v>23</v>
      </c>
      <c r="P2936">
        <v>5.78</v>
      </c>
      <c r="Q2936" s="2" t="b">
        <f>FALSE()</f>
        <v>0</v>
      </c>
      <c r="R2936">
        <v>0</v>
      </c>
    </row>
    <row r="2937" spans="1:18" x14ac:dyDescent="0.25">
      <c r="A2937">
        <v>202936</v>
      </c>
      <c r="B2937">
        <v>52125</v>
      </c>
      <c r="C2937" t="s">
        <v>28</v>
      </c>
      <c r="D2937">
        <v>814.35</v>
      </c>
      <c r="E2937">
        <v>1137</v>
      </c>
      <c r="F2937">
        <v>1</v>
      </c>
      <c r="G2937">
        <v>2</v>
      </c>
      <c r="H2937">
        <v>1</v>
      </c>
      <c r="I2937" t="s">
        <v>33</v>
      </c>
      <c r="J2937">
        <v>0</v>
      </c>
      <c r="K2937">
        <v>79</v>
      </c>
      <c r="L2937" t="s">
        <v>20</v>
      </c>
      <c r="M2937" t="s">
        <v>25</v>
      </c>
      <c r="N2937" t="s">
        <v>26</v>
      </c>
      <c r="O2937" t="s">
        <v>36</v>
      </c>
      <c r="P2937">
        <v>5.4</v>
      </c>
      <c r="Q2937" s="2" t="b">
        <f>FALSE()</f>
        <v>0</v>
      </c>
      <c r="R2937">
        <v>0</v>
      </c>
    </row>
    <row r="2938" spans="1:18" x14ac:dyDescent="0.25">
      <c r="A2938">
        <v>202937</v>
      </c>
      <c r="B2938">
        <v>52573</v>
      </c>
      <c r="C2938" t="s">
        <v>34</v>
      </c>
      <c r="D2938">
        <v>2652.84</v>
      </c>
      <c r="E2938">
        <v>577</v>
      </c>
      <c r="F2938">
        <v>1</v>
      </c>
      <c r="G2938">
        <v>3</v>
      </c>
      <c r="H2938">
        <v>0</v>
      </c>
      <c r="I2938" t="s">
        <v>33</v>
      </c>
      <c r="J2938">
        <v>0</v>
      </c>
      <c r="K2938">
        <v>39</v>
      </c>
      <c r="L2938" t="s">
        <v>20</v>
      </c>
      <c r="M2938" t="s">
        <v>21</v>
      </c>
      <c r="N2938" t="s">
        <v>22</v>
      </c>
      <c r="O2938" t="s">
        <v>27</v>
      </c>
      <c r="P2938">
        <v>2.2599999999999998</v>
      </c>
      <c r="Q2938" s="2" t="b">
        <f>FALSE()</f>
        <v>0</v>
      </c>
      <c r="R2938">
        <v>0</v>
      </c>
    </row>
    <row r="2939" spans="1:18" x14ac:dyDescent="0.25">
      <c r="A2939">
        <v>202938</v>
      </c>
      <c r="B2939">
        <v>51809</v>
      </c>
      <c r="C2939" t="s">
        <v>18</v>
      </c>
      <c r="D2939">
        <v>4627.7700000000004</v>
      </c>
      <c r="E2939">
        <v>2206</v>
      </c>
      <c r="F2939">
        <v>1</v>
      </c>
      <c r="G2939">
        <v>3</v>
      </c>
      <c r="H2939">
        <v>0</v>
      </c>
      <c r="I2939" t="s">
        <v>33</v>
      </c>
      <c r="J2939">
        <v>0</v>
      </c>
      <c r="K2939">
        <v>34</v>
      </c>
      <c r="L2939" t="s">
        <v>24</v>
      </c>
      <c r="M2939" t="s">
        <v>25</v>
      </c>
      <c r="N2939" t="s">
        <v>22</v>
      </c>
      <c r="O2939" t="s">
        <v>23</v>
      </c>
      <c r="P2939">
        <v>4.9000000000000004</v>
      </c>
      <c r="Q2939" s="2" t="b">
        <f>FALSE()</f>
        <v>0</v>
      </c>
      <c r="R2939">
        <v>1</v>
      </c>
    </row>
    <row r="2940" spans="1:18" x14ac:dyDescent="0.25">
      <c r="A2940">
        <v>202939</v>
      </c>
      <c r="B2940">
        <v>52082</v>
      </c>
      <c r="C2940" t="s">
        <v>34</v>
      </c>
      <c r="D2940">
        <v>2217.9699999999998</v>
      </c>
      <c r="E2940">
        <v>2425</v>
      </c>
      <c r="F2940">
        <v>1</v>
      </c>
      <c r="G2940">
        <v>4</v>
      </c>
      <c r="H2940">
        <v>0</v>
      </c>
      <c r="I2940" t="s">
        <v>19</v>
      </c>
      <c r="J2940">
        <v>0</v>
      </c>
      <c r="K2940">
        <v>24</v>
      </c>
      <c r="L2940" t="s">
        <v>20</v>
      </c>
      <c r="M2940" t="s">
        <v>29</v>
      </c>
      <c r="N2940" t="s">
        <v>22</v>
      </c>
      <c r="O2940" t="s">
        <v>36</v>
      </c>
      <c r="P2940">
        <v>0.9</v>
      </c>
      <c r="Q2940" s="2" t="b">
        <f>FALSE()</f>
        <v>0</v>
      </c>
      <c r="R2940">
        <v>0</v>
      </c>
    </row>
    <row r="2941" spans="1:18" x14ac:dyDescent="0.25">
      <c r="A2941">
        <v>202940</v>
      </c>
      <c r="B2941">
        <v>54370</v>
      </c>
      <c r="C2941" t="s">
        <v>18</v>
      </c>
      <c r="D2941">
        <v>2032.43</v>
      </c>
      <c r="E2941">
        <v>518</v>
      </c>
      <c r="F2941">
        <v>1</v>
      </c>
      <c r="G2941">
        <v>2</v>
      </c>
      <c r="H2941">
        <v>1</v>
      </c>
      <c r="I2941" t="s">
        <v>33</v>
      </c>
      <c r="J2941">
        <v>0</v>
      </c>
      <c r="K2941">
        <v>23</v>
      </c>
      <c r="L2941" t="s">
        <v>24</v>
      </c>
      <c r="M2941" t="s">
        <v>25</v>
      </c>
      <c r="N2941" t="s">
        <v>22</v>
      </c>
      <c r="O2941" t="s">
        <v>27</v>
      </c>
      <c r="P2941">
        <v>5.43</v>
      </c>
      <c r="Q2941" s="2" t="b">
        <f>FALSE()</f>
        <v>0</v>
      </c>
      <c r="R2941">
        <v>0</v>
      </c>
    </row>
    <row r="2942" spans="1:18" x14ac:dyDescent="0.25">
      <c r="A2942">
        <v>202941</v>
      </c>
      <c r="B2942">
        <v>55002</v>
      </c>
      <c r="C2942" t="s">
        <v>34</v>
      </c>
      <c r="D2942">
        <v>1118.01</v>
      </c>
      <c r="E2942">
        <v>184</v>
      </c>
      <c r="F2942">
        <v>0</v>
      </c>
      <c r="G2942">
        <v>3</v>
      </c>
      <c r="H2942">
        <v>0</v>
      </c>
      <c r="I2942" t="s">
        <v>19</v>
      </c>
      <c r="J2942">
        <v>0</v>
      </c>
      <c r="K2942">
        <v>33</v>
      </c>
      <c r="L2942" t="s">
        <v>20</v>
      </c>
      <c r="M2942" t="s">
        <v>37</v>
      </c>
      <c r="N2942" t="s">
        <v>22</v>
      </c>
      <c r="O2942" t="s">
        <v>23</v>
      </c>
      <c r="P2942">
        <v>5.72</v>
      </c>
      <c r="Q2942" s="2" t="b">
        <f>FALSE()</f>
        <v>0</v>
      </c>
      <c r="R2942">
        <v>0</v>
      </c>
    </row>
    <row r="2943" spans="1:18" x14ac:dyDescent="0.25">
      <c r="A2943">
        <v>202942</v>
      </c>
      <c r="B2943">
        <v>52608</v>
      </c>
      <c r="C2943" t="s">
        <v>34</v>
      </c>
      <c r="D2943">
        <v>2698.12</v>
      </c>
      <c r="E2943">
        <v>3593</v>
      </c>
      <c r="F2943">
        <v>0</v>
      </c>
      <c r="G2943">
        <v>5</v>
      </c>
      <c r="H2943">
        <v>1</v>
      </c>
      <c r="I2943" t="s">
        <v>33</v>
      </c>
      <c r="J2943">
        <v>0</v>
      </c>
      <c r="K2943">
        <v>65</v>
      </c>
      <c r="L2943" t="s">
        <v>24</v>
      </c>
      <c r="M2943" t="s">
        <v>21</v>
      </c>
      <c r="N2943" t="s">
        <v>26</v>
      </c>
      <c r="O2943" t="s">
        <v>36</v>
      </c>
      <c r="P2943">
        <v>3.72</v>
      </c>
      <c r="Q2943" s="2" t="b">
        <f>FALSE()</f>
        <v>0</v>
      </c>
      <c r="R2943">
        <v>0</v>
      </c>
    </row>
    <row r="2944" spans="1:18" x14ac:dyDescent="0.25">
      <c r="A2944">
        <v>202943</v>
      </c>
      <c r="B2944">
        <v>54948</v>
      </c>
      <c r="C2944" t="s">
        <v>18</v>
      </c>
      <c r="D2944">
        <v>5116.71</v>
      </c>
      <c r="E2944">
        <v>529</v>
      </c>
      <c r="F2944">
        <v>1</v>
      </c>
      <c r="G2944">
        <v>5</v>
      </c>
      <c r="H2944">
        <v>0</v>
      </c>
      <c r="I2944" t="s">
        <v>33</v>
      </c>
      <c r="J2944">
        <v>0</v>
      </c>
      <c r="K2944">
        <v>80</v>
      </c>
      <c r="L2944" t="s">
        <v>20</v>
      </c>
      <c r="M2944" t="s">
        <v>25</v>
      </c>
      <c r="N2944" t="s">
        <v>26</v>
      </c>
      <c r="O2944" t="s">
        <v>27</v>
      </c>
      <c r="P2944">
        <v>2.0699999999999998</v>
      </c>
      <c r="Q2944" s="2" t="b">
        <f>FALSE()</f>
        <v>0</v>
      </c>
      <c r="R2944">
        <v>1</v>
      </c>
    </row>
    <row r="2945" spans="1:18" x14ac:dyDescent="0.25">
      <c r="A2945">
        <v>202944</v>
      </c>
      <c r="B2945">
        <v>51135</v>
      </c>
      <c r="C2945" t="s">
        <v>28</v>
      </c>
      <c r="D2945">
        <v>4856.72</v>
      </c>
      <c r="E2945">
        <v>2613</v>
      </c>
      <c r="F2945">
        <v>2</v>
      </c>
      <c r="G2945">
        <v>4</v>
      </c>
      <c r="H2945">
        <v>0</v>
      </c>
      <c r="I2945" t="s">
        <v>19</v>
      </c>
      <c r="J2945">
        <v>0</v>
      </c>
      <c r="K2945">
        <v>21</v>
      </c>
      <c r="L2945" t="s">
        <v>20</v>
      </c>
      <c r="M2945" t="s">
        <v>35</v>
      </c>
      <c r="N2945" t="s">
        <v>26</v>
      </c>
      <c r="O2945" t="s">
        <v>27</v>
      </c>
      <c r="P2945">
        <v>1.26</v>
      </c>
      <c r="Q2945" s="2" t="b">
        <f>FALSE()</f>
        <v>0</v>
      </c>
      <c r="R2945">
        <v>1</v>
      </c>
    </row>
    <row r="2946" spans="1:18" x14ac:dyDescent="0.25">
      <c r="A2946">
        <v>202945</v>
      </c>
      <c r="B2946">
        <v>51316</v>
      </c>
      <c r="C2946" t="s">
        <v>34</v>
      </c>
      <c r="D2946">
        <v>3382.01</v>
      </c>
      <c r="E2946">
        <v>300</v>
      </c>
      <c r="F2946">
        <v>0</v>
      </c>
      <c r="G2946">
        <v>2</v>
      </c>
      <c r="H2946">
        <v>0</v>
      </c>
      <c r="I2946" t="s">
        <v>33</v>
      </c>
      <c r="J2946">
        <v>0</v>
      </c>
      <c r="K2946">
        <v>55</v>
      </c>
      <c r="L2946" t="s">
        <v>20</v>
      </c>
      <c r="M2946" t="s">
        <v>29</v>
      </c>
      <c r="N2946" t="s">
        <v>22</v>
      </c>
      <c r="O2946" t="s">
        <v>27</v>
      </c>
      <c r="P2946">
        <v>5.64</v>
      </c>
      <c r="Q2946" s="2" t="b">
        <f>FALSE()</f>
        <v>0</v>
      </c>
      <c r="R2946">
        <v>0</v>
      </c>
    </row>
    <row r="2947" spans="1:18" x14ac:dyDescent="0.25">
      <c r="A2947">
        <v>202946</v>
      </c>
      <c r="B2947">
        <v>52561</v>
      </c>
      <c r="C2947" t="s">
        <v>18</v>
      </c>
      <c r="D2947">
        <v>2821.05</v>
      </c>
      <c r="E2947">
        <v>1284</v>
      </c>
      <c r="F2947">
        <v>2</v>
      </c>
      <c r="G2947">
        <v>4</v>
      </c>
      <c r="H2947">
        <v>0</v>
      </c>
      <c r="I2947" t="s">
        <v>33</v>
      </c>
      <c r="J2947">
        <v>0</v>
      </c>
      <c r="K2947">
        <v>75</v>
      </c>
      <c r="L2947" t="s">
        <v>24</v>
      </c>
      <c r="M2947" t="s">
        <v>21</v>
      </c>
      <c r="N2947" t="s">
        <v>22</v>
      </c>
      <c r="O2947" t="s">
        <v>27</v>
      </c>
      <c r="P2947">
        <v>0.79</v>
      </c>
      <c r="Q2947" s="2" t="b">
        <f>FALSE()</f>
        <v>0</v>
      </c>
      <c r="R2947">
        <v>0</v>
      </c>
    </row>
    <row r="2948" spans="1:18" x14ac:dyDescent="0.25">
      <c r="A2948">
        <v>202947</v>
      </c>
      <c r="B2948">
        <v>54442</v>
      </c>
      <c r="C2948" t="s">
        <v>34</v>
      </c>
      <c r="D2948">
        <v>2770.15</v>
      </c>
      <c r="E2948">
        <v>745</v>
      </c>
      <c r="F2948">
        <v>1</v>
      </c>
      <c r="G2948">
        <v>3</v>
      </c>
      <c r="H2948">
        <v>0</v>
      </c>
      <c r="I2948" t="s">
        <v>33</v>
      </c>
      <c r="J2948">
        <v>1</v>
      </c>
      <c r="K2948">
        <v>41</v>
      </c>
      <c r="L2948" t="s">
        <v>24</v>
      </c>
      <c r="M2948" t="s">
        <v>29</v>
      </c>
      <c r="N2948" t="s">
        <v>30</v>
      </c>
      <c r="O2948" t="s">
        <v>27</v>
      </c>
      <c r="P2948">
        <v>0.45</v>
      </c>
      <c r="Q2948" s="2" t="b">
        <f>FALSE()</f>
        <v>0</v>
      </c>
      <c r="R2948">
        <v>0</v>
      </c>
    </row>
    <row r="2949" spans="1:18" x14ac:dyDescent="0.25">
      <c r="A2949">
        <v>202948</v>
      </c>
      <c r="B2949">
        <v>50761</v>
      </c>
      <c r="C2949" t="s">
        <v>18</v>
      </c>
      <c r="D2949">
        <v>1334.71</v>
      </c>
      <c r="E2949">
        <v>2673</v>
      </c>
      <c r="F2949">
        <v>2</v>
      </c>
      <c r="G2949">
        <v>6</v>
      </c>
      <c r="H2949">
        <v>0</v>
      </c>
      <c r="I2949" t="s">
        <v>33</v>
      </c>
      <c r="J2949">
        <v>0</v>
      </c>
      <c r="K2949">
        <v>19</v>
      </c>
      <c r="L2949" t="s">
        <v>24</v>
      </c>
      <c r="M2949" t="s">
        <v>29</v>
      </c>
      <c r="N2949" t="s">
        <v>26</v>
      </c>
      <c r="O2949" t="s">
        <v>27</v>
      </c>
      <c r="P2949">
        <v>8.92</v>
      </c>
      <c r="Q2949" s="2" t="b">
        <f>FALSE()</f>
        <v>0</v>
      </c>
      <c r="R2949">
        <v>0</v>
      </c>
    </row>
    <row r="2950" spans="1:18" x14ac:dyDescent="0.25">
      <c r="A2950">
        <v>202949</v>
      </c>
      <c r="B2950">
        <v>54430</v>
      </c>
      <c r="C2950" t="s">
        <v>18</v>
      </c>
      <c r="D2950">
        <v>2731.89</v>
      </c>
      <c r="E2950">
        <v>3015</v>
      </c>
      <c r="F2950">
        <v>1</v>
      </c>
      <c r="G2950">
        <v>4</v>
      </c>
      <c r="H2950">
        <v>0</v>
      </c>
      <c r="I2950" t="s">
        <v>19</v>
      </c>
      <c r="J2950">
        <v>0</v>
      </c>
      <c r="K2950">
        <v>48</v>
      </c>
      <c r="L2950" t="s">
        <v>20</v>
      </c>
      <c r="M2950" t="s">
        <v>35</v>
      </c>
      <c r="N2950" t="s">
        <v>22</v>
      </c>
      <c r="O2950" t="s">
        <v>36</v>
      </c>
      <c r="P2950">
        <v>1.1299999999999999</v>
      </c>
      <c r="Q2950" s="2" t="b">
        <f>FALSE()</f>
        <v>0</v>
      </c>
      <c r="R2950">
        <v>0</v>
      </c>
    </row>
    <row r="2951" spans="1:18" x14ac:dyDescent="0.25">
      <c r="A2951">
        <v>202950</v>
      </c>
      <c r="B2951">
        <v>51780</v>
      </c>
      <c r="C2951" t="s">
        <v>18</v>
      </c>
      <c r="D2951">
        <v>5302.24</v>
      </c>
      <c r="E2951">
        <v>1087</v>
      </c>
      <c r="F2951">
        <v>0</v>
      </c>
      <c r="G2951">
        <v>2</v>
      </c>
      <c r="H2951">
        <v>1</v>
      </c>
      <c r="I2951" t="s">
        <v>19</v>
      </c>
      <c r="J2951">
        <v>1</v>
      </c>
      <c r="K2951">
        <v>75</v>
      </c>
      <c r="L2951" t="s">
        <v>20</v>
      </c>
      <c r="M2951" t="s">
        <v>21</v>
      </c>
      <c r="N2951" t="s">
        <v>30</v>
      </c>
      <c r="O2951" t="s">
        <v>27</v>
      </c>
      <c r="P2951">
        <v>4.4400000000000004</v>
      </c>
      <c r="Q2951" s="2" t="b">
        <f>FALSE()</f>
        <v>0</v>
      </c>
      <c r="R2951">
        <v>1</v>
      </c>
    </row>
    <row r="2952" spans="1:18" x14ac:dyDescent="0.25">
      <c r="A2952">
        <v>202951</v>
      </c>
      <c r="B2952">
        <v>51044</v>
      </c>
      <c r="C2952" t="s">
        <v>28</v>
      </c>
      <c r="D2952">
        <v>2113.1999999999998</v>
      </c>
      <c r="E2952">
        <v>1652</v>
      </c>
      <c r="F2952">
        <v>1</v>
      </c>
      <c r="G2952">
        <v>2</v>
      </c>
      <c r="H2952">
        <v>0</v>
      </c>
      <c r="I2952" t="s">
        <v>32</v>
      </c>
      <c r="J2952">
        <v>0</v>
      </c>
      <c r="K2952">
        <v>73</v>
      </c>
      <c r="L2952" t="s">
        <v>24</v>
      </c>
      <c r="M2952" t="s">
        <v>29</v>
      </c>
      <c r="N2952" t="s">
        <v>22</v>
      </c>
      <c r="O2952" t="s">
        <v>23</v>
      </c>
      <c r="P2952">
        <v>3.5</v>
      </c>
      <c r="Q2952" s="2" t="b">
        <f>FALSE()</f>
        <v>0</v>
      </c>
      <c r="R2952">
        <v>0</v>
      </c>
    </row>
    <row r="2953" spans="1:18" x14ac:dyDescent="0.25">
      <c r="A2953">
        <v>202952</v>
      </c>
      <c r="B2953">
        <v>52649</v>
      </c>
      <c r="C2953" t="s">
        <v>34</v>
      </c>
      <c r="D2953">
        <v>4557.74</v>
      </c>
      <c r="E2953">
        <v>2578</v>
      </c>
      <c r="F2953">
        <v>1</v>
      </c>
      <c r="G2953">
        <v>5</v>
      </c>
      <c r="H2953">
        <v>0</v>
      </c>
      <c r="I2953" t="s">
        <v>33</v>
      </c>
      <c r="J2953">
        <v>0</v>
      </c>
      <c r="K2953">
        <v>35</v>
      </c>
      <c r="L2953" t="s">
        <v>24</v>
      </c>
      <c r="M2953" t="s">
        <v>37</v>
      </c>
      <c r="N2953" t="s">
        <v>22</v>
      </c>
      <c r="O2953" t="s">
        <v>23</v>
      </c>
      <c r="P2953">
        <v>1.9</v>
      </c>
      <c r="Q2953" s="2" t="b">
        <f>FALSE()</f>
        <v>0</v>
      </c>
      <c r="R2953">
        <v>1</v>
      </c>
    </row>
    <row r="2954" spans="1:18" x14ac:dyDescent="0.25">
      <c r="A2954">
        <v>202953</v>
      </c>
      <c r="B2954">
        <v>53450</v>
      </c>
      <c r="C2954" t="s">
        <v>18</v>
      </c>
      <c r="D2954">
        <v>2294.1999999999998</v>
      </c>
      <c r="E2954">
        <v>612</v>
      </c>
      <c r="F2954">
        <v>0</v>
      </c>
      <c r="G2954">
        <v>5</v>
      </c>
      <c r="H2954">
        <v>0</v>
      </c>
      <c r="I2954" t="s">
        <v>19</v>
      </c>
      <c r="J2954">
        <v>0</v>
      </c>
      <c r="K2954">
        <v>19</v>
      </c>
      <c r="L2954" t="s">
        <v>20</v>
      </c>
      <c r="M2954" t="s">
        <v>25</v>
      </c>
      <c r="N2954" t="s">
        <v>30</v>
      </c>
      <c r="O2954" t="s">
        <v>23</v>
      </c>
      <c r="P2954">
        <v>0.21</v>
      </c>
      <c r="Q2954" s="2" t="b">
        <f>FALSE()</f>
        <v>0</v>
      </c>
      <c r="R2954">
        <v>0</v>
      </c>
    </row>
    <row r="2955" spans="1:18" x14ac:dyDescent="0.25">
      <c r="A2955">
        <v>202954</v>
      </c>
      <c r="B2955">
        <v>52570</v>
      </c>
      <c r="C2955" t="s">
        <v>34</v>
      </c>
      <c r="D2955">
        <v>3285.91</v>
      </c>
      <c r="E2955">
        <v>2598</v>
      </c>
      <c r="F2955">
        <v>1</v>
      </c>
      <c r="G2955">
        <v>7</v>
      </c>
      <c r="H2955">
        <v>0</v>
      </c>
      <c r="I2955" t="s">
        <v>33</v>
      </c>
      <c r="J2955">
        <v>0</v>
      </c>
      <c r="K2955">
        <v>18</v>
      </c>
      <c r="L2955" t="s">
        <v>20</v>
      </c>
      <c r="M2955" t="s">
        <v>37</v>
      </c>
      <c r="N2955" t="s">
        <v>22</v>
      </c>
      <c r="O2955" t="s">
        <v>23</v>
      </c>
      <c r="P2955">
        <v>2.77</v>
      </c>
      <c r="Q2955" s="2" t="b">
        <f>FALSE()</f>
        <v>0</v>
      </c>
      <c r="R2955">
        <v>1</v>
      </c>
    </row>
    <row r="2956" spans="1:18" x14ac:dyDescent="0.25">
      <c r="A2956">
        <v>202955</v>
      </c>
      <c r="B2956">
        <v>52430</v>
      </c>
      <c r="C2956" t="s">
        <v>18</v>
      </c>
      <c r="D2956">
        <v>6042.25</v>
      </c>
      <c r="E2956">
        <v>1364</v>
      </c>
      <c r="F2956">
        <v>1</v>
      </c>
      <c r="G2956">
        <v>4</v>
      </c>
      <c r="H2956">
        <v>0</v>
      </c>
      <c r="I2956" t="s">
        <v>33</v>
      </c>
      <c r="J2956">
        <v>1</v>
      </c>
      <c r="K2956">
        <v>24</v>
      </c>
      <c r="L2956" t="s">
        <v>20</v>
      </c>
      <c r="M2956" t="s">
        <v>29</v>
      </c>
      <c r="N2956" t="s">
        <v>26</v>
      </c>
      <c r="O2956" t="s">
        <v>23</v>
      </c>
      <c r="P2956">
        <v>0.39</v>
      </c>
      <c r="Q2956" s="2" t="b">
        <f>FALSE()</f>
        <v>0</v>
      </c>
      <c r="R2956">
        <v>1</v>
      </c>
    </row>
    <row r="2957" spans="1:18" x14ac:dyDescent="0.25">
      <c r="A2957">
        <v>202956</v>
      </c>
      <c r="B2957">
        <v>52040</v>
      </c>
      <c r="C2957" t="s">
        <v>18</v>
      </c>
      <c r="D2957">
        <v>413.73</v>
      </c>
      <c r="E2957">
        <v>1202</v>
      </c>
      <c r="F2957">
        <v>1</v>
      </c>
      <c r="G2957">
        <v>3</v>
      </c>
      <c r="H2957">
        <v>0</v>
      </c>
      <c r="I2957" t="s">
        <v>32</v>
      </c>
      <c r="J2957">
        <v>0</v>
      </c>
      <c r="K2957">
        <v>22</v>
      </c>
      <c r="L2957" t="s">
        <v>24</v>
      </c>
      <c r="M2957" t="s">
        <v>37</v>
      </c>
      <c r="N2957" t="s">
        <v>22</v>
      </c>
      <c r="O2957" t="s">
        <v>27</v>
      </c>
      <c r="P2957">
        <v>2.71</v>
      </c>
      <c r="Q2957" s="2" t="b">
        <f>FALSE()</f>
        <v>0</v>
      </c>
      <c r="R2957">
        <v>0</v>
      </c>
    </row>
    <row r="2958" spans="1:18" x14ac:dyDescent="0.25">
      <c r="A2958">
        <v>202957</v>
      </c>
      <c r="B2958">
        <v>52074</v>
      </c>
      <c r="C2958" t="s">
        <v>34</v>
      </c>
      <c r="D2958">
        <v>1839.93</v>
      </c>
      <c r="E2958">
        <v>357</v>
      </c>
      <c r="F2958">
        <v>0</v>
      </c>
      <c r="G2958">
        <v>2</v>
      </c>
      <c r="H2958">
        <v>0</v>
      </c>
      <c r="I2958" t="s">
        <v>33</v>
      </c>
      <c r="J2958">
        <v>1</v>
      </c>
      <c r="K2958">
        <v>47</v>
      </c>
      <c r="L2958" t="s">
        <v>24</v>
      </c>
      <c r="M2958" t="s">
        <v>21</v>
      </c>
      <c r="N2958" t="s">
        <v>30</v>
      </c>
      <c r="O2958" t="s">
        <v>27</v>
      </c>
      <c r="P2958">
        <v>2.2599999999999998</v>
      </c>
      <c r="Q2958" s="2" t="b">
        <f>FALSE()</f>
        <v>0</v>
      </c>
      <c r="R2958">
        <v>0</v>
      </c>
    </row>
    <row r="2959" spans="1:18" x14ac:dyDescent="0.25">
      <c r="A2959">
        <v>202958</v>
      </c>
      <c r="B2959">
        <v>53150</v>
      </c>
      <c r="C2959" t="s">
        <v>18</v>
      </c>
      <c r="D2959">
        <v>693.46</v>
      </c>
      <c r="E2959">
        <v>353</v>
      </c>
      <c r="F2959">
        <v>3</v>
      </c>
      <c r="G2959">
        <v>2</v>
      </c>
      <c r="H2959">
        <v>0</v>
      </c>
      <c r="I2959" t="s">
        <v>32</v>
      </c>
      <c r="J2959">
        <v>0</v>
      </c>
      <c r="K2959">
        <v>42</v>
      </c>
      <c r="L2959" t="s">
        <v>24</v>
      </c>
      <c r="M2959" t="s">
        <v>31</v>
      </c>
      <c r="N2959" t="s">
        <v>30</v>
      </c>
      <c r="O2959" t="s">
        <v>36</v>
      </c>
      <c r="P2959">
        <v>1.36</v>
      </c>
      <c r="Q2959" s="2" t="b">
        <f>FALSE()</f>
        <v>0</v>
      </c>
      <c r="R2959">
        <v>1</v>
      </c>
    </row>
    <row r="2960" spans="1:18" x14ac:dyDescent="0.25">
      <c r="A2960">
        <v>202959</v>
      </c>
      <c r="B2960">
        <v>54702</v>
      </c>
      <c r="C2960" t="s">
        <v>34</v>
      </c>
      <c r="D2960">
        <v>479.74</v>
      </c>
      <c r="E2960">
        <v>413</v>
      </c>
      <c r="F2960">
        <v>4</v>
      </c>
      <c r="G2960">
        <v>5</v>
      </c>
      <c r="H2960">
        <v>0</v>
      </c>
      <c r="I2960" t="s">
        <v>19</v>
      </c>
      <c r="J2960">
        <v>0</v>
      </c>
      <c r="K2960">
        <v>35</v>
      </c>
      <c r="L2960" t="s">
        <v>24</v>
      </c>
      <c r="M2960" t="s">
        <v>21</v>
      </c>
      <c r="N2960" t="s">
        <v>30</v>
      </c>
      <c r="O2960" t="s">
        <v>23</v>
      </c>
      <c r="P2960">
        <v>3.85</v>
      </c>
      <c r="Q2960" s="2" t="b">
        <f>FALSE()</f>
        <v>0</v>
      </c>
      <c r="R2960">
        <v>1</v>
      </c>
    </row>
    <row r="2961" spans="1:18" x14ac:dyDescent="0.25">
      <c r="A2961">
        <v>202960</v>
      </c>
      <c r="B2961">
        <v>53844</v>
      </c>
      <c r="C2961" t="s">
        <v>28</v>
      </c>
      <c r="D2961">
        <v>4221.4399999999996</v>
      </c>
      <c r="E2961">
        <v>1189</v>
      </c>
      <c r="F2961">
        <v>1</v>
      </c>
      <c r="G2961">
        <v>4</v>
      </c>
      <c r="H2961">
        <v>1</v>
      </c>
      <c r="I2961" t="s">
        <v>33</v>
      </c>
      <c r="J2961">
        <v>0</v>
      </c>
      <c r="K2961">
        <v>35</v>
      </c>
      <c r="L2961" t="s">
        <v>20</v>
      </c>
      <c r="M2961" t="s">
        <v>29</v>
      </c>
      <c r="N2961" t="s">
        <v>22</v>
      </c>
      <c r="O2961" t="s">
        <v>23</v>
      </c>
      <c r="P2961">
        <v>8.02</v>
      </c>
      <c r="Q2961" s="2" t="b">
        <f>FALSE()</f>
        <v>0</v>
      </c>
      <c r="R2961">
        <v>1</v>
      </c>
    </row>
    <row r="2962" spans="1:18" x14ac:dyDescent="0.25">
      <c r="A2962">
        <v>202961</v>
      </c>
      <c r="B2962">
        <v>53710</v>
      </c>
      <c r="C2962" t="s">
        <v>34</v>
      </c>
      <c r="D2962">
        <v>2170.4499999999998</v>
      </c>
      <c r="E2962">
        <v>1268</v>
      </c>
      <c r="F2962">
        <v>2</v>
      </c>
      <c r="G2962">
        <v>2</v>
      </c>
      <c r="H2962">
        <v>0</v>
      </c>
      <c r="I2962" t="s">
        <v>19</v>
      </c>
      <c r="J2962">
        <v>1</v>
      </c>
      <c r="K2962">
        <v>55</v>
      </c>
      <c r="L2962" t="s">
        <v>20</v>
      </c>
      <c r="M2962" t="s">
        <v>29</v>
      </c>
      <c r="N2962" t="s">
        <v>26</v>
      </c>
      <c r="O2962" t="s">
        <v>36</v>
      </c>
      <c r="P2962">
        <v>1.74</v>
      </c>
      <c r="Q2962" s="2" t="b">
        <f>FALSE()</f>
        <v>0</v>
      </c>
      <c r="R2962">
        <v>0</v>
      </c>
    </row>
    <row r="2963" spans="1:18" x14ac:dyDescent="0.25">
      <c r="A2963">
        <v>202962</v>
      </c>
      <c r="B2963">
        <v>51426</v>
      </c>
      <c r="C2963" t="s">
        <v>28</v>
      </c>
      <c r="D2963">
        <v>3794.1</v>
      </c>
      <c r="E2963">
        <v>468</v>
      </c>
      <c r="F2963">
        <v>1</v>
      </c>
      <c r="G2963">
        <v>7</v>
      </c>
      <c r="H2963">
        <v>0</v>
      </c>
      <c r="I2963" t="s">
        <v>33</v>
      </c>
      <c r="J2963">
        <v>0</v>
      </c>
      <c r="K2963">
        <v>49</v>
      </c>
      <c r="L2963" t="s">
        <v>24</v>
      </c>
      <c r="M2963" t="s">
        <v>21</v>
      </c>
      <c r="N2963" t="s">
        <v>22</v>
      </c>
      <c r="O2963" t="s">
        <v>36</v>
      </c>
      <c r="P2963">
        <v>0.48</v>
      </c>
      <c r="Q2963" s="2" t="b">
        <f>FALSE()</f>
        <v>0</v>
      </c>
      <c r="R2963">
        <v>1</v>
      </c>
    </row>
    <row r="2964" spans="1:18" x14ac:dyDescent="0.25">
      <c r="A2964">
        <v>202963</v>
      </c>
      <c r="B2964">
        <v>52982</v>
      </c>
      <c r="C2964" t="s">
        <v>34</v>
      </c>
      <c r="D2964">
        <v>3543.5</v>
      </c>
      <c r="E2964">
        <v>3409</v>
      </c>
      <c r="F2964">
        <v>1</v>
      </c>
      <c r="G2964">
        <v>6</v>
      </c>
      <c r="H2964">
        <v>0</v>
      </c>
      <c r="I2964" t="s">
        <v>33</v>
      </c>
      <c r="J2964">
        <v>0</v>
      </c>
      <c r="K2964">
        <v>73</v>
      </c>
      <c r="L2964" t="s">
        <v>20</v>
      </c>
      <c r="M2964" t="s">
        <v>29</v>
      </c>
      <c r="N2964" t="s">
        <v>26</v>
      </c>
      <c r="O2964" t="s">
        <v>27</v>
      </c>
      <c r="P2964">
        <v>2.75</v>
      </c>
      <c r="Q2964" s="2" t="b">
        <f>FALSE()</f>
        <v>0</v>
      </c>
      <c r="R2964">
        <v>0</v>
      </c>
    </row>
    <row r="2965" spans="1:18" x14ac:dyDescent="0.25">
      <c r="A2965">
        <v>202964</v>
      </c>
      <c r="B2965">
        <v>52051</v>
      </c>
      <c r="C2965" t="s">
        <v>18</v>
      </c>
      <c r="D2965">
        <v>4335.6899999999996</v>
      </c>
      <c r="E2965">
        <v>1859</v>
      </c>
      <c r="F2965">
        <v>2</v>
      </c>
      <c r="G2965">
        <v>7</v>
      </c>
      <c r="H2965">
        <v>0</v>
      </c>
      <c r="I2965" t="s">
        <v>33</v>
      </c>
      <c r="J2965">
        <v>0</v>
      </c>
      <c r="K2965">
        <v>24</v>
      </c>
      <c r="L2965" t="s">
        <v>20</v>
      </c>
      <c r="M2965" t="s">
        <v>21</v>
      </c>
      <c r="N2965" t="s">
        <v>26</v>
      </c>
      <c r="O2965" t="s">
        <v>27</v>
      </c>
      <c r="P2965">
        <v>0.03</v>
      </c>
      <c r="Q2965" s="2" t="b">
        <f>FALSE()</f>
        <v>0</v>
      </c>
      <c r="R2965">
        <v>1</v>
      </c>
    </row>
    <row r="2966" spans="1:18" x14ac:dyDescent="0.25">
      <c r="A2966">
        <v>202965</v>
      </c>
      <c r="B2966">
        <v>52639</v>
      </c>
      <c r="C2966" t="s">
        <v>28</v>
      </c>
      <c r="D2966">
        <v>3332.34</v>
      </c>
      <c r="E2966">
        <v>1323</v>
      </c>
      <c r="F2966">
        <v>0</v>
      </c>
      <c r="G2966">
        <v>5</v>
      </c>
      <c r="H2966">
        <v>1</v>
      </c>
      <c r="I2966" t="s">
        <v>33</v>
      </c>
      <c r="J2966">
        <v>0</v>
      </c>
      <c r="K2966">
        <v>18</v>
      </c>
      <c r="L2966" t="s">
        <v>24</v>
      </c>
      <c r="M2966" t="s">
        <v>29</v>
      </c>
      <c r="N2966" t="s">
        <v>22</v>
      </c>
      <c r="O2966" t="s">
        <v>36</v>
      </c>
      <c r="P2966">
        <v>1.01</v>
      </c>
      <c r="Q2966" s="2" t="b">
        <f>FALSE()</f>
        <v>0</v>
      </c>
      <c r="R2966">
        <v>0</v>
      </c>
    </row>
    <row r="2967" spans="1:18" x14ac:dyDescent="0.25">
      <c r="A2967">
        <v>202966</v>
      </c>
      <c r="B2967">
        <v>52258</v>
      </c>
      <c r="C2967" t="s">
        <v>34</v>
      </c>
      <c r="D2967">
        <v>1074.9100000000001</v>
      </c>
      <c r="E2967">
        <v>1276</v>
      </c>
      <c r="F2967">
        <v>1</v>
      </c>
      <c r="G2967">
        <v>3</v>
      </c>
      <c r="H2967">
        <v>0</v>
      </c>
      <c r="I2967" t="s">
        <v>32</v>
      </c>
      <c r="J2967">
        <v>0</v>
      </c>
      <c r="K2967">
        <v>46</v>
      </c>
      <c r="L2967" t="s">
        <v>20</v>
      </c>
      <c r="M2967" t="s">
        <v>29</v>
      </c>
      <c r="N2967" t="s">
        <v>22</v>
      </c>
      <c r="O2967" t="s">
        <v>36</v>
      </c>
      <c r="P2967">
        <v>2.0499999999999998</v>
      </c>
      <c r="Q2967" s="2" t="b">
        <f>FALSE()</f>
        <v>0</v>
      </c>
      <c r="R2967">
        <v>0</v>
      </c>
    </row>
    <row r="2968" spans="1:18" x14ac:dyDescent="0.25">
      <c r="A2968">
        <v>202967</v>
      </c>
      <c r="B2968">
        <v>50426</v>
      </c>
      <c r="C2968" t="s">
        <v>34</v>
      </c>
      <c r="D2968">
        <v>1845.99</v>
      </c>
      <c r="E2968">
        <v>649</v>
      </c>
      <c r="F2968">
        <v>2</v>
      </c>
      <c r="G2968">
        <v>1</v>
      </c>
      <c r="H2968">
        <v>0</v>
      </c>
      <c r="I2968" t="s">
        <v>33</v>
      </c>
      <c r="J2968">
        <v>0</v>
      </c>
      <c r="K2968">
        <v>21</v>
      </c>
      <c r="L2968" t="s">
        <v>24</v>
      </c>
      <c r="M2968" t="s">
        <v>37</v>
      </c>
      <c r="N2968" t="s">
        <v>30</v>
      </c>
      <c r="O2968" t="s">
        <v>27</v>
      </c>
      <c r="P2968">
        <v>15.01</v>
      </c>
      <c r="Q2968" s="2" t="b">
        <f>FALSE()</f>
        <v>0</v>
      </c>
      <c r="R2968">
        <v>0</v>
      </c>
    </row>
    <row r="2969" spans="1:18" x14ac:dyDescent="0.25">
      <c r="A2969">
        <v>202968</v>
      </c>
      <c r="B2969">
        <v>53336</v>
      </c>
      <c r="C2969" t="s">
        <v>34</v>
      </c>
      <c r="D2969">
        <v>2982.41</v>
      </c>
      <c r="E2969">
        <v>2897</v>
      </c>
      <c r="F2969">
        <v>1</v>
      </c>
      <c r="G2969">
        <v>4</v>
      </c>
      <c r="H2969">
        <v>0</v>
      </c>
      <c r="I2969" t="s">
        <v>33</v>
      </c>
      <c r="J2969">
        <v>0</v>
      </c>
      <c r="K2969">
        <v>68</v>
      </c>
      <c r="L2969" t="s">
        <v>20</v>
      </c>
      <c r="M2969" t="s">
        <v>21</v>
      </c>
      <c r="N2969" t="s">
        <v>22</v>
      </c>
      <c r="O2969" t="s">
        <v>23</v>
      </c>
      <c r="P2969">
        <v>1.49</v>
      </c>
      <c r="Q2969" s="2" t="b">
        <f>FALSE()</f>
        <v>0</v>
      </c>
      <c r="R2969">
        <v>0</v>
      </c>
    </row>
    <row r="2970" spans="1:18" x14ac:dyDescent="0.25">
      <c r="A2970">
        <v>202969</v>
      </c>
      <c r="B2970">
        <v>53318</v>
      </c>
      <c r="C2970" t="s">
        <v>18</v>
      </c>
      <c r="D2970">
        <v>3349.55</v>
      </c>
      <c r="E2970">
        <v>1191</v>
      </c>
      <c r="F2970">
        <v>0</v>
      </c>
      <c r="G2970">
        <v>1</v>
      </c>
      <c r="H2970">
        <v>1</v>
      </c>
      <c r="I2970" t="s">
        <v>19</v>
      </c>
      <c r="J2970">
        <v>0</v>
      </c>
      <c r="K2970">
        <v>18</v>
      </c>
      <c r="L2970" t="s">
        <v>20</v>
      </c>
      <c r="M2970" t="s">
        <v>25</v>
      </c>
      <c r="N2970" t="s">
        <v>30</v>
      </c>
      <c r="O2970" t="s">
        <v>27</v>
      </c>
      <c r="P2970">
        <v>2.5299999999999998</v>
      </c>
      <c r="Q2970" s="2" t="b">
        <f>FALSE()</f>
        <v>0</v>
      </c>
      <c r="R2970">
        <v>0</v>
      </c>
    </row>
    <row r="2971" spans="1:18" x14ac:dyDescent="0.25">
      <c r="A2971">
        <v>202970</v>
      </c>
      <c r="B2971">
        <v>54582</v>
      </c>
      <c r="C2971" t="s">
        <v>18</v>
      </c>
      <c r="D2971">
        <v>4965.2700000000004</v>
      </c>
      <c r="E2971">
        <v>2100</v>
      </c>
      <c r="F2971">
        <v>0</v>
      </c>
      <c r="G2971">
        <v>6</v>
      </c>
      <c r="H2971">
        <v>1</v>
      </c>
      <c r="I2971" t="s">
        <v>33</v>
      </c>
      <c r="J2971">
        <v>0</v>
      </c>
      <c r="K2971">
        <v>37</v>
      </c>
      <c r="L2971" t="s">
        <v>24</v>
      </c>
      <c r="M2971" t="s">
        <v>29</v>
      </c>
      <c r="N2971" t="s">
        <v>30</v>
      </c>
      <c r="O2971" t="s">
        <v>36</v>
      </c>
      <c r="P2971">
        <v>0.87</v>
      </c>
      <c r="Q2971" s="2" t="b">
        <f>FALSE()</f>
        <v>0</v>
      </c>
      <c r="R2971">
        <v>1</v>
      </c>
    </row>
    <row r="2972" spans="1:18" x14ac:dyDescent="0.25">
      <c r="A2972">
        <v>202971</v>
      </c>
      <c r="B2972">
        <v>55940</v>
      </c>
      <c r="C2972" t="s">
        <v>34</v>
      </c>
      <c r="D2972">
        <v>5421.17</v>
      </c>
      <c r="E2972">
        <v>562</v>
      </c>
      <c r="F2972">
        <v>1</v>
      </c>
      <c r="G2972">
        <v>3</v>
      </c>
      <c r="H2972">
        <v>1</v>
      </c>
      <c r="I2972" t="s">
        <v>33</v>
      </c>
      <c r="J2972">
        <v>1</v>
      </c>
      <c r="K2972">
        <v>26</v>
      </c>
      <c r="L2972" t="s">
        <v>20</v>
      </c>
      <c r="M2972" t="s">
        <v>37</v>
      </c>
      <c r="N2972" t="s">
        <v>22</v>
      </c>
      <c r="O2972" t="s">
        <v>27</v>
      </c>
      <c r="P2972">
        <v>0.38</v>
      </c>
      <c r="Q2972" s="2" t="b">
        <f>FALSE()</f>
        <v>0</v>
      </c>
      <c r="R2972">
        <v>1</v>
      </c>
    </row>
    <row r="2973" spans="1:18" x14ac:dyDescent="0.25">
      <c r="A2973">
        <v>202972</v>
      </c>
      <c r="B2973">
        <v>50449</v>
      </c>
      <c r="C2973" t="s">
        <v>18</v>
      </c>
      <c r="D2973">
        <v>3655.06</v>
      </c>
      <c r="E2973">
        <v>2215</v>
      </c>
      <c r="F2973">
        <v>0</v>
      </c>
      <c r="G2973">
        <v>6</v>
      </c>
      <c r="H2973">
        <v>1</v>
      </c>
      <c r="I2973" t="s">
        <v>19</v>
      </c>
      <c r="J2973">
        <v>0</v>
      </c>
      <c r="K2973">
        <v>53</v>
      </c>
      <c r="L2973" t="s">
        <v>20</v>
      </c>
      <c r="M2973" t="s">
        <v>31</v>
      </c>
      <c r="N2973" t="s">
        <v>22</v>
      </c>
      <c r="O2973" t="s">
        <v>36</v>
      </c>
      <c r="P2973">
        <v>11.41</v>
      </c>
      <c r="Q2973" s="2" t="b">
        <f>FALSE()</f>
        <v>0</v>
      </c>
      <c r="R2973">
        <v>1</v>
      </c>
    </row>
    <row r="2974" spans="1:18" x14ac:dyDescent="0.25">
      <c r="A2974">
        <v>202973</v>
      </c>
      <c r="B2974">
        <v>55782</v>
      </c>
      <c r="C2974" t="s">
        <v>34</v>
      </c>
      <c r="D2974">
        <v>628.09</v>
      </c>
      <c r="E2974">
        <v>3558</v>
      </c>
      <c r="F2974">
        <v>0</v>
      </c>
      <c r="G2974">
        <v>6</v>
      </c>
      <c r="H2974">
        <v>1</v>
      </c>
      <c r="I2974" t="s">
        <v>19</v>
      </c>
      <c r="J2974">
        <v>0</v>
      </c>
      <c r="K2974">
        <v>53</v>
      </c>
      <c r="L2974" t="s">
        <v>20</v>
      </c>
      <c r="M2974" t="s">
        <v>25</v>
      </c>
      <c r="N2974" t="s">
        <v>26</v>
      </c>
      <c r="O2974" t="s">
        <v>23</v>
      </c>
      <c r="P2974">
        <v>0.17</v>
      </c>
      <c r="Q2974" s="2" t="b">
        <f>FALSE()</f>
        <v>0</v>
      </c>
      <c r="R2974">
        <v>0</v>
      </c>
    </row>
    <row r="2975" spans="1:18" x14ac:dyDescent="0.25">
      <c r="A2975">
        <v>202974</v>
      </c>
      <c r="B2975">
        <v>54936</v>
      </c>
      <c r="C2975" t="s">
        <v>18</v>
      </c>
      <c r="D2975">
        <v>934.17</v>
      </c>
      <c r="E2975">
        <v>3119</v>
      </c>
      <c r="F2975">
        <v>0</v>
      </c>
      <c r="G2975">
        <v>7</v>
      </c>
      <c r="H2975">
        <v>0</v>
      </c>
      <c r="I2975" t="s">
        <v>33</v>
      </c>
      <c r="J2975">
        <v>1</v>
      </c>
      <c r="K2975">
        <v>41</v>
      </c>
      <c r="L2975" t="s">
        <v>24</v>
      </c>
      <c r="M2975" t="s">
        <v>31</v>
      </c>
      <c r="N2975" t="s">
        <v>30</v>
      </c>
      <c r="O2975" t="s">
        <v>27</v>
      </c>
      <c r="P2975">
        <v>0.56999999999999995</v>
      </c>
      <c r="Q2975" s="2" t="b">
        <f>FALSE()</f>
        <v>0</v>
      </c>
      <c r="R2975">
        <v>1</v>
      </c>
    </row>
    <row r="2976" spans="1:18" x14ac:dyDescent="0.25">
      <c r="A2976">
        <v>202975</v>
      </c>
      <c r="B2976">
        <v>51298</v>
      </c>
      <c r="C2976" t="s">
        <v>34</v>
      </c>
      <c r="D2976">
        <v>2838.94</v>
      </c>
      <c r="E2976">
        <v>159</v>
      </c>
      <c r="F2976">
        <v>1</v>
      </c>
      <c r="G2976">
        <v>4</v>
      </c>
      <c r="H2976">
        <v>0</v>
      </c>
      <c r="I2976" t="s">
        <v>32</v>
      </c>
      <c r="J2976">
        <v>0</v>
      </c>
      <c r="K2976">
        <v>54</v>
      </c>
      <c r="L2976" t="s">
        <v>20</v>
      </c>
      <c r="M2976" t="s">
        <v>29</v>
      </c>
      <c r="N2976" t="s">
        <v>30</v>
      </c>
      <c r="O2976" t="s">
        <v>23</v>
      </c>
      <c r="P2976">
        <v>0.47</v>
      </c>
      <c r="Q2976" s="2" t="b">
        <f>FALSE()</f>
        <v>0</v>
      </c>
      <c r="R2976">
        <v>0</v>
      </c>
    </row>
    <row r="2977" spans="1:18" x14ac:dyDescent="0.25">
      <c r="A2977">
        <v>202976</v>
      </c>
      <c r="B2977">
        <v>51614</v>
      </c>
      <c r="C2977" t="s">
        <v>28</v>
      </c>
      <c r="D2977">
        <v>1474.79</v>
      </c>
      <c r="E2977">
        <v>383</v>
      </c>
      <c r="F2977">
        <v>2</v>
      </c>
      <c r="G2977">
        <v>4</v>
      </c>
      <c r="H2977">
        <v>0</v>
      </c>
      <c r="I2977" t="s">
        <v>33</v>
      </c>
      <c r="J2977">
        <v>0</v>
      </c>
      <c r="K2977">
        <v>71</v>
      </c>
      <c r="L2977" t="s">
        <v>20</v>
      </c>
      <c r="M2977" t="s">
        <v>29</v>
      </c>
      <c r="N2977" t="s">
        <v>30</v>
      </c>
      <c r="O2977" t="s">
        <v>36</v>
      </c>
      <c r="P2977">
        <v>4.9400000000000004</v>
      </c>
      <c r="Q2977" s="2" t="b">
        <f>FALSE()</f>
        <v>0</v>
      </c>
      <c r="R2977">
        <v>0</v>
      </c>
    </row>
    <row r="2978" spans="1:18" x14ac:dyDescent="0.25">
      <c r="A2978">
        <v>202977</v>
      </c>
      <c r="B2978">
        <v>54165</v>
      </c>
      <c r="C2978" t="s">
        <v>34</v>
      </c>
      <c r="D2978">
        <v>2408.39</v>
      </c>
      <c r="E2978">
        <v>3045</v>
      </c>
      <c r="F2978">
        <v>6</v>
      </c>
      <c r="G2978">
        <v>4</v>
      </c>
      <c r="H2978">
        <v>0</v>
      </c>
      <c r="I2978" t="s">
        <v>33</v>
      </c>
      <c r="J2978">
        <v>0</v>
      </c>
      <c r="K2978">
        <v>20</v>
      </c>
      <c r="L2978" t="s">
        <v>24</v>
      </c>
      <c r="M2978" t="s">
        <v>37</v>
      </c>
      <c r="N2978" t="s">
        <v>30</v>
      </c>
      <c r="O2978" t="s">
        <v>27</v>
      </c>
      <c r="P2978">
        <v>0.34</v>
      </c>
      <c r="Q2978" s="2" t="b">
        <f>FALSE()</f>
        <v>0</v>
      </c>
      <c r="R2978">
        <v>1</v>
      </c>
    </row>
    <row r="2979" spans="1:18" x14ac:dyDescent="0.25">
      <c r="A2979">
        <v>202978</v>
      </c>
      <c r="B2979">
        <v>54122</v>
      </c>
      <c r="C2979" t="s">
        <v>28</v>
      </c>
      <c r="D2979">
        <v>1315.31</v>
      </c>
      <c r="E2979">
        <v>2684</v>
      </c>
      <c r="F2979">
        <v>2</v>
      </c>
      <c r="G2979">
        <v>6</v>
      </c>
      <c r="H2979">
        <v>0</v>
      </c>
      <c r="I2979" t="s">
        <v>33</v>
      </c>
      <c r="J2979">
        <v>0</v>
      </c>
      <c r="K2979">
        <v>41</v>
      </c>
      <c r="L2979" t="s">
        <v>20</v>
      </c>
      <c r="M2979" t="s">
        <v>35</v>
      </c>
      <c r="N2979" t="s">
        <v>30</v>
      </c>
      <c r="O2979" t="s">
        <v>36</v>
      </c>
      <c r="P2979">
        <v>2.73</v>
      </c>
      <c r="Q2979" s="2" t="b">
        <f>FALSE()</f>
        <v>0</v>
      </c>
      <c r="R2979">
        <v>0</v>
      </c>
    </row>
    <row r="2980" spans="1:18" x14ac:dyDescent="0.25">
      <c r="A2980">
        <v>202979</v>
      </c>
      <c r="B2980">
        <v>53698</v>
      </c>
      <c r="C2980" t="s">
        <v>18</v>
      </c>
      <c r="D2980">
        <v>1592.01</v>
      </c>
      <c r="E2980">
        <v>3399</v>
      </c>
      <c r="F2980">
        <v>0</v>
      </c>
      <c r="G2980">
        <v>4</v>
      </c>
      <c r="H2980">
        <v>0</v>
      </c>
      <c r="I2980" t="s">
        <v>19</v>
      </c>
      <c r="J2980">
        <v>0</v>
      </c>
      <c r="K2980">
        <v>21</v>
      </c>
      <c r="L2980" t="s">
        <v>20</v>
      </c>
      <c r="M2980" t="s">
        <v>31</v>
      </c>
      <c r="N2980" t="s">
        <v>26</v>
      </c>
      <c r="O2980" t="s">
        <v>27</v>
      </c>
      <c r="P2980">
        <v>0.05</v>
      </c>
      <c r="Q2980" s="2" t="b">
        <f>FALSE()</f>
        <v>0</v>
      </c>
      <c r="R2980">
        <v>0</v>
      </c>
    </row>
    <row r="2981" spans="1:18" x14ac:dyDescent="0.25">
      <c r="A2981">
        <v>202980</v>
      </c>
      <c r="B2981">
        <v>54842</v>
      </c>
      <c r="C2981" t="s">
        <v>18</v>
      </c>
      <c r="D2981">
        <v>2549.73</v>
      </c>
      <c r="E2981">
        <v>3614</v>
      </c>
      <c r="F2981">
        <v>1</v>
      </c>
      <c r="G2981">
        <v>2</v>
      </c>
      <c r="H2981">
        <v>0</v>
      </c>
      <c r="I2981" t="s">
        <v>19</v>
      </c>
      <c r="J2981">
        <v>0</v>
      </c>
      <c r="K2981">
        <v>41</v>
      </c>
      <c r="L2981" t="s">
        <v>20</v>
      </c>
      <c r="M2981" t="s">
        <v>31</v>
      </c>
      <c r="N2981" t="s">
        <v>30</v>
      </c>
      <c r="O2981" t="s">
        <v>27</v>
      </c>
      <c r="P2981">
        <v>0.4</v>
      </c>
      <c r="Q2981" s="2" t="b">
        <f>FALSE()</f>
        <v>0</v>
      </c>
      <c r="R2981">
        <v>0</v>
      </c>
    </row>
    <row r="2982" spans="1:18" x14ac:dyDescent="0.25">
      <c r="A2982">
        <v>202981</v>
      </c>
      <c r="B2982">
        <v>53206</v>
      </c>
      <c r="C2982" t="s">
        <v>18</v>
      </c>
      <c r="D2982">
        <v>1633.83</v>
      </c>
      <c r="E2982">
        <v>1368</v>
      </c>
      <c r="F2982">
        <v>0</v>
      </c>
      <c r="G2982">
        <v>3</v>
      </c>
      <c r="H2982">
        <v>0</v>
      </c>
      <c r="I2982" t="s">
        <v>32</v>
      </c>
      <c r="J2982">
        <v>0</v>
      </c>
      <c r="K2982">
        <v>60</v>
      </c>
      <c r="L2982" t="s">
        <v>20</v>
      </c>
      <c r="M2982" t="s">
        <v>35</v>
      </c>
      <c r="N2982" t="s">
        <v>30</v>
      </c>
      <c r="O2982" t="s">
        <v>23</v>
      </c>
      <c r="P2982">
        <v>2.57</v>
      </c>
      <c r="Q2982" s="2" t="b">
        <f>FALSE()</f>
        <v>0</v>
      </c>
      <c r="R2982">
        <v>0</v>
      </c>
    </row>
    <row r="2983" spans="1:18" x14ac:dyDescent="0.25">
      <c r="A2983">
        <v>202982</v>
      </c>
      <c r="B2983">
        <v>50382</v>
      </c>
      <c r="C2983" t="s">
        <v>18</v>
      </c>
      <c r="D2983">
        <v>3047.48</v>
      </c>
      <c r="E2983">
        <v>2899</v>
      </c>
      <c r="F2983">
        <v>2</v>
      </c>
      <c r="G2983">
        <v>8</v>
      </c>
      <c r="H2983">
        <v>1</v>
      </c>
      <c r="I2983" t="s">
        <v>33</v>
      </c>
      <c r="J2983">
        <v>0</v>
      </c>
      <c r="K2983">
        <v>49</v>
      </c>
      <c r="L2983" t="s">
        <v>20</v>
      </c>
      <c r="M2983" t="s">
        <v>25</v>
      </c>
      <c r="N2983" t="s">
        <v>30</v>
      </c>
      <c r="O2983" t="s">
        <v>23</v>
      </c>
      <c r="P2983">
        <v>3.05</v>
      </c>
      <c r="Q2983" s="2" t="b">
        <f>FALSE()</f>
        <v>0</v>
      </c>
      <c r="R2983">
        <v>1</v>
      </c>
    </row>
    <row r="2984" spans="1:18" x14ac:dyDescent="0.25">
      <c r="A2984">
        <v>202983</v>
      </c>
      <c r="B2984">
        <v>53408</v>
      </c>
      <c r="C2984" t="s">
        <v>34</v>
      </c>
      <c r="D2984">
        <v>1454.22</v>
      </c>
      <c r="E2984">
        <v>3336</v>
      </c>
      <c r="F2984">
        <v>1</v>
      </c>
      <c r="G2984">
        <v>4</v>
      </c>
      <c r="H2984">
        <v>1</v>
      </c>
      <c r="I2984" t="s">
        <v>19</v>
      </c>
      <c r="J2984">
        <v>0</v>
      </c>
      <c r="K2984">
        <v>38</v>
      </c>
      <c r="L2984" t="s">
        <v>24</v>
      </c>
      <c r="M2984" t="s">
        <v>21</v>
      </c>
      <c r="N2984" t="s">
        <v>30</v>
      </c>
      <c r="O2984" t="s">
        <v>23</v>
      </c>
      <c r="P2984">
        <v>0.19</v>
      </c>
      <c r="Q2984" s="2" t="b">
        <f>FALSE()</f>
        <v>0</v>
      </c>
      <c r="R2984">
        <v>0</v>
      </c>
    </row>
    <row r="2985" spans="1:18" x14ac:dyDescent="0.25">
      <c r="A2985">
        <v>202984</v>
      </c>
      <c r="B2985">
        <v>51251</v>
      </c>
      <c r="C2985" t="s">
        <v>34</v>
      </c>
      <c r="D2985">
        <v>1013.26</v>
      </c>
      <c r="E2985">
        <v>2793</v>
      </c>
      <c r="F2985">
        <v>0</v>
      </c>
      <c r="G2985">
        <v>4</v>
      </c>
      <c r="H2985">
        <v>1</v>
      </c>
      <c r="I2985" t="s">
        <v>19</v>
      </c>
      <c r="J2985">
        <v>0</v>
      </c>
      <c r="K2985">
        <v>44</v>
      </c>
      <c r="L2985" t="s">
        <v>20</v>
      </c>
      <c r="M2985" t="s">
        <v>29</v>
      </c>
      <c r="N2985" t="s">
        <v>30</v>
      </c>
      <c r="O2985" t="s">
        <v>27</v>
      </c>
      <c r="P2985">
        <v>0.9</v>
      </c>
      <c r="Q2985" s="2" t="b">
        <f>FALSE()</f>
        <v>0</v>
      </c>
      <c r="R2985">
        <v>0</v>
      </c>
    </row>
    <row r="2986" spans="1:18" x14ac:dyDescent="0.25">
      <c r="A2986">
        <v>202985</v>
      </c>
      <c r="B2986">
        <v>55715</v>
      </c>
      <c r="C2986" t="s">
        <v>18</v>
      </c>
      <c r="D2986">
        <v>2711.74</v>
      </c>
      <c r="E2986">
        <v>2555</v>
      </c>
      <c r="F2986">
        <v>2</v>
      </c>
      <c r="G2986">
        <v>3</v>
      </c>
      <c r="H2986">
        <v>0</v>
      </c>
      <c r="I2986" t="s">
        <v>19</v>
      </c>
      <c r="J2986">
        <v>0</v>
      </c>
      <c r="K2986">
        <v>37</v>
      </c>
      <c r="L2986" t="s">
        <v>24</v>
      </c>
      <c r="M2986" t="s">
        <v>21</v>
      </c>
      <c r="N2986" t="s">
        <v>30</v>
      </c>
      <c r="O2986" t="s">
        <v>27</v>
      </c>
      <c r="P2986">
        <v>5.83</v>
      </c>
      <c r="Q2986" s="2" t="b">
        <f>FALSE()</f>
        <v>0</v>
      </c>
      <c r="R2986">
        <v>0</v>
      </c>
    </row>
    <row r="2987" spans="1:18" x14ac:dyDescent="0.25">
      <c r="A2987">
        <v>202986</v>
      </c>
      <c r="B2987">
        <v>54646</v>
      </c>
      <c r="C2987" t="s">
        <v>28</v>
      </c>
      <c r="D2987">
        <v>3459.62</v>
      </c>
      <c r="E2987">
        <v>599</v>
      </c>
      <c r="F2987">
        <v>0</v>
      </c>
      <c r="G2987">
        <v>8</v>
      </c>
      <c r="H2987">
        <v>1</v>
      </c>
      <c r="I2987" t="s">
        <v>33</v>
      </c>
      <c r="J2987">
        <v>1</v>
      </c>
      <c r="K2987">
        <v>59</v>
      </c>
      <c r="L2987" t="s">
        <v>20</v>
      </c>
      <c r="M2987" t="s">
        <v>21</v>
      </c>
      <c r="N2987" t="s">
        <v>22</v>
      </c>
      <c r="O2987" t="s">
        <v>27</v>
      </c>
      <c r="P2987">
        <v>1.71</v>
      </c>
      <c r="Q2987" s="2" t="b">
        <f>FALSE()</f>
        <v>0</v>
      </c>
      <c r="R2987">
        <v>1</v>
      </c>
    </row>
    <row r="2988" spans="1:18" x14ac:dyDescent="0.25">
      <c r="A2988">
        <v>202987</v>
      </c>
      <c r="B2988">
        <v>50321</v>
      </c>
      <c r="C2988" t="s">
        <v>34</v>
      </c>
      <c r="D2988">
        <v>1630.22</v>
      </c>
      <c r="E2988">
        <v>2464</v>
      </c>
      <c r="F2988">
        <v>1</v>
      </c>
      <c r="G2988">
        <v>3</v>
      </c>
      <c r="H2988">
        <v>0</v>
      </c>
      <c r="I2988" t="s">
        <v>33</v>
      </c>
      <c r="J2988">
        <v>0</v>
      </c>
      <c r="K2988">
        <v>26</v>
      </c>
      <c r="L2988" t="s">
        <v>20</v>
      </c>
      <c r="M2988" t="s">
        <v>37</v>
      </c>
      <c r="N2988" t="s">
        <v>22</v>
      </c>
      <c r="O2988" t="s">
        <v>36</v>
      </c>
      <c r="P2988">
        <v>8.76</v>
      </c>
      <c r="Q2988" s="2" t="b">
        <f>FALSE()</f>
        <v>0</v>
      </c>
      <c r="R2988">
        <v>0</v>
      </c>
    </row>
    <row r="2989" spans="1:18" x14ac:dyDescent="0.25">
      <c r="A2989">
        <v>202988</v>
      </c>
      <c r="B2989">
        <v>51306</v>
      </c>
      <c r="C2989" t="s">
        <v>18</v>
      </c>
      <c r="D2989">
        <v>1380.5</v>
      </c>
      <c r="E2989">
        <v>2039</v>
      </c>
      <c r="F2989">
        <v>3</v>
      </c>
      <c r="G2989">
        <v>5</v>
      </c>
      <c r="H2989">
        <v>1</v>
      </c>
      <c r="I2989" t="s">
        <v>32</v>
      </c>
      <c r="J2989">
        <v>0</v>
      </c>
      <c r="K2989">
        <v>23</v>
      </c>
      <c r="L2989" t="s">
        <v>24</v>
      </c>
      <c r="M2989" t="s">
        <v>35</v>
      </c>
      <c r="N2989" t="s">
        <v>22</v>
      </c>
      <c r="O2989" t="s">
        <v>23</v>
      </c>
      <c r="P2989">
        <v>1.38</v>
      </c>
      <c r="Q2989" s="2" t="b">
        <f>FALSE()</f>
        <v>0</v>
      </c>
      <c r="R2989">
        <v>1</v>
      </c>
    </row>
    <row r="2990" spans="1:18" x14ac:dyDescent="0.25">
      <c r="A2990">
        <v>202989</v>
      </c>
      <c r="B2990">
        <v>53302</v>
      </c>
      <c r="C2990" t="s">
        <v>34</v>
      </c>
      <c r="D2990">
        <v>1968.79</v>
      </c>
      <c r="E2990">
        <v>2118</v>
      </c>
      <c r="F2990">
        <v>1</v>
      </c>
      <c r="G2990">
        <v>3</v>
      </c>
      <c r="H2990">
        <v>1</v>
      </c>
      <c r="I2990" t="s">
        <v>19</v>
      </c>
      <c r="J2990">
        <v>0</v>
      </c>
      <c r="K2990">
        <v>32</v>
      </c>
      <c r="L2990" t="s">
        <v>24</v>
      </c>
      <c r="M2990" t="s">
        <v>37</v>
      </c>
      <c r="N2990" t="s">
        <v>30</v>
      </c>
      <c r="O2990" t="s">
        <v>36</v>
      </c>
      <c r="P2990">
        <v>0.04</v>
      </c>
      <c r="Q2990" s="2" t="b">
        <f>FALSE()</f>
        <v>0</v>
      </c>
      <c r="R2990">
        <v>0</v>
      </c>
    </row>
    <row r="2991" spans="1:18" x14ac:dyDescent="0.25">
      <c r="A2991">
        <v>202990</v>
      </c>
      <c r="B2991">
        <v>50982</v>
      </c>
      <c r="C2991" t="s">
        <v>18</v>
      </c>
      <c r="D2991">
        <v>1333.42</v>
      </c>
      <c r="E2991">
        <v>2270</v>
      </c>
      <c r="F2991">
        <v>0</v>
      </c>
      <c r="G2991">
        <v>6</v>
      </c>
      <c r="H2991">
        <v>1</v>
      </c>
      <c r="I2991" t="s">
        <v>33</v>
      </c>
      <c r="J2991">
        <v>0</v>
      </c>
      <c r="K2991">
        <v>81</v>
      </c>
      <c r="L2991" t="s">
        <v>24</v>
      </c>
      <c r="M2991" t="s">
        <v>35</v>
      </c>
      <c r="N2991" t="s">
        <v>22</v>
      </c>
      <c r="O2991" t="s">
        <v>27</v>
      </c>
      <c r="P2991">
        <v>3.6</v>
      </c>
      <c r="Q2991" s="2" t="b">
        <f>FALSE()</f>
        <v>0</v>
      </c>
      <c r="R2991">
        <v>0</v>
      </c>
    </row>
    <row r="2992" spans="1:18" x14ac:dyDescent="0.25">
      <c r="A2992">
        <v>202991</v>
      </c>
      <c r="B2992">
        <v>50648</v>
      </c>
      <c r="C2992" t="s">
        <v>34</v>
      </c>
      <c r="D2992">
        <v>3173.71</v>
      </c>
      <c r="E2992">
        <v>579</v>
      </c>
      <c r="F2992">
        <v>0</v>
      </c>
      <c r="G2992">
        <v>6</v>
      </c>
      <c r="H2992">
        <v>0</v>
      </c>
      <c r="I2992" t="s">
        <v>32</v>
      </c>
      <c r="J2992">
        <v>0</v>
      </c>
      <c r="K2992">
        <v>57</v>
      </c>
      <c r="L2992" t="s">
        <v>38</v>
      </c>
      <c r="M2992" t="s">
        <v>35</v>
      </c>
      <c r="N2992" t="s">
        <v>26</v>
      </c>
      <c r="O2992" t="s">
        <v>27</v>
      </c>
      <c r="P2992">
        <v>0.63</v>
      </c>
      <c r="Q2992" s="2" t="b">
        <f>FALSE()</f>
        <v>0</v>
      </c>
      <c r="R2992">
        <v>0</v>
      </c>
    </row>
    <row r="2993" spans="1:18" x14ac:dyDescent="0.25">
      <c r="A2993">
        <v>202992</v>
      </c>
      <c r="B2993">
        <v>53035</v>
      </c>
      <c r="C2993" t="s">
        <v>18</v>
      </c>
      <c r="D2993">
        <v>1014.54</v>
      </c>
      <c r="E2993">
        <v>1538</v>
      </c>
      <c r="F2993">
        <v>2</v>
      </c>
      <c r="G2993">
        <v>4</v>
      </c>
      <c r="H2993">
        <v>0</v>
      </c>
      <c r="I2993" t="s">
        <v>32</v>
      </c>
      <c r="J2993">
        <v>0</v>
      </c>
      <c r="K2993">
        <v>38</v>
      </c>
      <c r="L2993" t="s">
        <v>24</v>
      </c>
      <c r="M2993" t="s">
        <v>29</v>
      </c>
      <c r="N2993" t="s">
        <v>22</v>
      </c>
      <c r="O2993" t="s">
        <v>27</v>
      </c>
      <c r="P2993">
        <v>8.94</v>
      </c>
      <c r="Q2993" s="2" t="b">
        <f>FALSE()</f>
        <v>0</v>
      </c>
      <c r="R2993">
        <v>0</v>
      </c>
    </row>
    <row r="2994" spans="1:18" x14ac:dyDescent="0.25">
      <c r="A2994">
        <v>202993</v>
      </c>
      <c r="B2994">
        <v>55083</v>
      </c>
      <c r="C2994" t="s">
        <v>34</v>
      </c>
      <c r="D2994">
        <v>6186.29</v>
      </c>
      <c r="E2994">
        <v>1438</v>
      </c>
      <c r="F2994">
        <v>0</v>
      </c>
      <c r="G2994">
        <v>3</v>
      </c>
      <c r="H2994">
        <v>0</v>
      </c>
      <c r="I2994" t="s">
        <v>33</v>
      </c>
      <c r="J2994">
        <v>0</v>
      </c>
      <c r="K2994">
        <v>59</v>
      </c>
      <c r="L2994" t="s">
        <v>20</v>
      </c>
      <c r="M2994" t="s">
        <v>21</v>
      </c>
      <c r="N2994" t="s">
        <v>22</v>
      </c>
      <c r="O2994" t="s">
        <v>27</v>
      </c>
      <c r="P2994">
        <v>0.49</v>
      </c>
      <c r="Q2994" s="2" t="b">
        <f>FALSE()</f>
        <v>0</v>
      </c>
      <c r="R2994">
        <v>1</v>
      </c>
    </row>
    <row r="2995" spans="1:18" x14ac:dyDescent="0.25">
      <c r="A2995">
        <v>202994</v>
      </c>
      <c r="B2995">
        <v>55591</v>
      </c>
      <c r="C2995" t="s">
        <v>34</v>
      </c>
      <c r="D2995">
        <v>537.9</v>
      </c>
      <c r="E2995">
        <v>1893</v>
      </c>
      <c r="F2995">
        <v>0</v>
      </c>
      <c r="G2995">
        <v>6</v>
      </c>
      <c r="H2995">
        <v>0</v>
      </c>
      <c r="I2995" t="s">
        <v>33</v>
      </c>
      <c r="J2995">
        <v>0</v>
      </c>
      <c r="K2995">
        <v>55</v>
      </c>
      <c r="L2995" t="s">
        <v>20</v>
      </c>
      <c r="M2995" t="s">
        <v>37</v>
      </c>
      <c r="N2995" t="s">
        <v>30</v>
      </c>
      <c r="O2995" t="s">
        <v>23</v>
      </c>
      <c r="P2995">
        <v>3.32</v>
      </c>
      <c r="Q2995" s="2" t="b">
        <f>FALSE()</f>
        <v>0</v>
      </c>
      <c r="R2995">
        <v>0</v>
      </c>
    </row>
    <row r="2996" spans="1:18" x14ac:dyDescent="0.25">
      <c r="A2996">
        <v>202995</v>
      </c>
      <c r="B2996">
        <v>53910</v>
      </c>
      <c r="C2996" t="s">
        <v>18</v>
      </c>
      <c r="D2996">
        <v>1899.44</v>
      </c>
      <c r="E2996">
        <v>3107</v>
      </c>
      <c r="F2996">
        <v>1</v>
      </c>
      <c r="G2996">
        <v>9</v>
      </c>
      <c r="H2996">
        <v>1</v>
      </c>
      <c r="I2996" t="s">
        <v>33</v>
      </c>
      <c r="J2996">
        <v>0</v>
      </c>
      <c r="K2996">
        <v>64</v>
      </c>
      <c r="L2996" t="s">
        <v>20</v>
      </c>
      <c r="M2996" t="s">
        <v>21</v>
      </c>
      <c r="N2996" t="s">
        <v>30</v>
      </c>
      <c r="O2996" t="s">
        <v>36</v>
      </c>
      <c r="P2996">
        <v>3.47</v>
      </c>
      <c r="Q2996" s="2" t="b">
        <f>FALSE()</f>
        <v>0</v>
      </c>
      <c r="R2996">
        <v>1</v>
      </c>
    </row>
    <row r="2997" spans="1:18" x14ac:dyDescent="0.25">
      <c r="A2997">
        <v>202996</v>
      </c>
      <c r="B2997">
        <v>54448</v>
      </c>
      <c r="C2997" t="s">
        <v>18</v>
      </c>
      <c r="D2997">
        <v>1154.58</v>
      </c>
      <c r="E2997">
        <v>118</v>
      </c>
      <c r="F2997">
        <v>1</v>
      </c>
      <c r="G2997">
        <v>2</v>
      </c>
      <c r="H2997">
        <v>0</v>
      </c>
      <c r="I2997" t="s">
        <v>33</v>
      </c>
      <c r="J2997">
        <v>0</v>
      </c>
      <c r="K2997">
        <v>32</v>
      </c>
      <c r="L2997" t="s">
        <v>20</v>
      </c>
      <c r="M2997" t="s">
        <v>35</v>
      </c>
      <c r="N2997" t="s">
        <v>22</v>
      </c>
      <c r="O2997" t="s">
        <v>27</v>
      </c>
      <c r="P2997">
        <v>0.32</v>
      </c>
      <c r="Q2997" s="2" t="b">
        <f>FALSE()</f>
        <v>0</v>
      </c>
      <c r="R2997">
        <v>0</v>
      </c>
    </row>
    <row r="2998" spans="1:18" x14ac:dyDescent="0.25">
      <c r="A2998">
        <v>202997</v>
      </c>
      <c r="B2998">
        <v>54691</v>
      </c>
      <c r="C2998" t="s">
        <v>18</v>
      </c>
      <c r="D2998">
        <v>3693.86</v>
      </c>
      <c r="E2998">
        <v>1325</v>
      </c>
      <c r="F2998">
        <v>2</v>
      </c>
      <c r="G2998">
        <v>3</v>
      </c>
      <c r="H2998">
        <v>1</v>
      </c>
      <c r="I2998" t="s">
        <v>19</v>
      </c>
      <c r="J2998">
        <v>0</v>
      </c>
      <c r="K2998">
        <v>32</v>
      </c>
      <c r="L2998" t="s">
        <v>20</v>
      </c>
      <c r="M2998" t="s">
        <v>31</v>
      </c>
      <c r="N2998" t="s">
        <v>22</v>
      </c>
      <c r="O2998" t="s">
        <v>36</v>
      </c>
      <c r="P2998">
        <v>9.44</v>
      </c>
      <c r="Q2998" s="2" t="b">
        <f>FALSE()</f>
        <v>0</v>
      </c>
      <c r="R2998">
        <v>1</v>
      </c>
    </row>
    <row r="2999" spans="1:18" x14ac:dyDescent="0.25">
      <c r="A2999">
        <v>202998</v>
      </c>
      <c r="B2999">
        <v>52102</v>
      </c>
      <c r="C2999" t="s">
        <v>34</v>
      </c>
      <c r="D2999">
        <v>1058.95</v>
      </c>
      <c r="E2999">
        <v>3320</v>
      </c>
      <c r="F2999">
        <v>0</v>
      </c>
      <c r="G2999">
        <v>3</v>
      </c>
      <c r="H2999">
        <v>0</v>
      </c>
      <c r="I2999" t="s">
        <v>33</v>
      </c>
      <c r="J2999">
        <v>0</v>
      </c>
      <c r="K2999">
        <v>73</v>
      </c>
      <c r="L2999" t="s">
        <v>20</v>
      </c>
      <c r="M2999" t="s">
        <v>21</v>
      </c>
      <c r="N2999" t="s">
        <v>30</v>
      </c>
      <c r="O2999" t="s">
        <v>36</v>
      </c>
      <c r="P2999">
        <v>1.22</v>
      </c>
      <c r="Q2999" s="2" t="b">
        <f>FALSE()</f>
        <v>0</v>
      </c>
      <c r="R2999">
        <v>0</v>
      </c>
    </row>
    <row r="3000" spans="1:18" x14ac:dyDescent="0.25">
      <c r="A3000">
        <v>202999</v>
      </c>
      <c r="B3000">
        <v>54161</v>
      </c>
      <c r="C3000" t="s">
        <v>28</v>
      </c>
      <c r="D3000">
        <v>2736.77</v>
      </c>
      <c r="E3000">
        <v>2382</v>
      </c>
      <c r="F3000">
        <v>0</v>
      </c>
      <c r="G3000">
        <v>2</v>
      </c>
      <c r="H3000">
        <v>0</v>
      </c>
      <c r="I3000" t="s">
        <v>33</v>
      </c>
      <c r="J3000">
        <v>1</v>
      </c>
      <c r="K3000">
        <v>34</v>
      </c>
      <c r="L3000" t="s">
        <v>20</v>
      </c>
      <c r="M3000" t="s">
        <v>35</v>
      </c>
      <c r="N3000" t="s">
        <v>30</v>
      </c>
      <c r="O3000" t="s">
        <v>27</v>
      </c>
      <c r="P3000">
        <v>1.1599999999999999</v>
      </c>
      <c r="Q3000" s="2" t="b">
        <f>FALSE()</f>
        <v>0</v>
      </c>
      <c r="R3000">
        <v>0</v>
      </c>
    </row>
    <row r="3001" spans="1:18" x14ac:dyDescent="0.25">
      <c r="A3001">
        <v>203000</v>
      </c>
      <c r="B3001">
        <v>55402</v>
      </c>
      <c r="C3001" t="s">
        <v>18</v>
      </c>
      <c r="D3001">
        <v>3275.2</v>
      </c>
      <c r="E3001">
        <v>1927</v>
      </c>
      <c r="F3001">
        <v>2</v>
      </c>
      <c r="G3001">
        <v>5</v>
      </c>
      <c r="H3001">
        <v>0</v>
      </c>
      <c r="I3001" t="s">
        <v>19</v>
      </c>
      <c r="J3001">
        <v>0</v>
      </c>
      <c r="K3001">
        <v>70</v>
      </c>
      <c r="L3001" t="s">
        <v>24</v>
      </c>
      <c r="M3001" t="s">
        <v>35</v>
      </c>
      <c r="N3001" t="s">
        <v>22</v>
      </c>
      <c r="O3001" t="s">
        <v>36</v>
      </c>
      <c r="P3001">
        <v>0.84</v>
      </c>
      <c r="Q3001" s="2" t="b">
        <f>FALSE()</f>
        <v>0</v>
      </c>
      <c r="R3001">
        <v>0</v>
      </c>
    </row>
    <row r="3002" spans="1:18" x14ac:dyDescent="0.25">
      <c r="A3002">
        <v>203001</v>
      </c>
      <c r="B3002">
        <v>52990</v>
      </c>
      <c r="C3002" t="s">
        <v>18</v>
      </c>
      <c r="D3002">
        <v>2397.31</v>
      </c>
      <c r="E3002">
        <v>424</v>
      </c>
      <c r="F3002">
        <v>1</v>
      </c>
      <c r="G3002">
        <v>2</v>
      </c>
      <c r="H3002">
        <v>0</v>
      </c>
      <c r="I3002" t="s">
        <v>33</v>
      </c>
      <c r="J3002">
        <v>1</v>
      </c>
      <c r="K3002">
        <v>55</v>
      </c>
      <c r="L3002" t="s">
        <v>20</v>
      </c>
      <c r="M3002" t="s">
        <v>35</v>
      </c>
      <c r="N3002" t="s">
        <v>30</v>
      </c>
      <c r="O3002" t="s">
        <v>36</v>
      </c>
      <c r="P3002">
        <v>9.06</v>
      </c>
      <c r="Q3002" s="2" t="b">
        <f>FALSE()</f>
        <v>0</v>
      </c>
      <c r="R3002">
        <v>0</v>
      </c>
    </row>
    <row r="3003" spans="1:18" x14ac:dyDescent="0.25">
      <c r="A3003">
        <v>203002</v>
      </c>
      <c r="B3003">
        <v>51380</v>
      </c>
      <c r="C3003" t="s">
        <v>18</v>
      </c>
      <c r="D3003">
        <v>1047.72</v>
      </c>
      <c r="E3003">
        <v>747</v>
      </c>
      <c r="F3003">
        <v>1</v>
      </c>
      <c r="G3003">
        <v>2</v>
      </c>
      <c r="H3003">
        <v>0</v>
      </c>
      <c r="I3003" t="s">
        <v>33</v>
      </c>
      <c r="J3003">
        <v>1</v>
      </c>
      <c r="K3003">
        <v>23</v>
      </c>
      <c r="L3003" t="s">
        <v>24</v>
      </c>
      <c r="M3003" t="s">
        <v>35</v>
      </c>
      <c r="N3003" t="s">
        <v>22</v>
      </c>
      <c r="O3003" t="s">
        <v>27</v>
      </c>
      <c r="P3003">
        <v>6.57</v>
      </c>
      <c r="Q3003" s="2" t="b">
        <f>FALSE()</f>
        <v>0</v>
      </c>
      <c r="R3003">
        <v>0</v>
      </c>
    </row>
    <row r="3004" spans="1:18" x14ac:dyDescent="0.25">
      <c r="A3004">
        <v>203003</v>
      </c>
      <c r="B3004">
        <v>51123</v>
      </c>
      <c r="C3004" t="s">
        <v>18</v>
      </c>
      <c r="D3004">
        <v>4330.84</v>
      </c>
      <c r="E3004">
        <v>228</v>
      </c>
      <c r="F3004">
        <v>0</v>
      </c>
      <c r="G3004">
        <v>8</v>
      </c>
      <c r="H3004">
        <v>1</v>
      </c>
      <c r="I3004" t="s">
        <v>19</v>
      </c>
      <c r="J3004">
        <v>0</v>
      </c>
      <c r="K3004">
        <v>32</v>
      </c>
      <c r="L3004" t="s">
        <v>20</v>
      </c>
      <c r="M3004" t="s">
        <v>21</v>
      </c>
      <c r="N3004" t="s">
        <v>26</v>
      </c>
      <c r="O3004" t="s">
        <v>36</v>
      </c>
      <c r="P3004">
        <v>5.28</v>
      </c>
      <c r="Q3004" s="2" t="b">
        <f>FALSE()</f>
        <v>0</v>
      </c>
      <c r="R3004">
        <v>1</v>
      </c>
    </row>
    <row r="3005" spans="1:18" x14ac:dyDescent="0.25">
      <c r="A3005">
        <v>203004</v>
      </c>
      <c r="B3005">
        <v>53981</v>
      </c>
      <c r="C3005" t="s">
        <v>28</v>
      </c>
      <c r="D3005">
        <v>6074.13</v>
      </c>
      <c r="E3005">
        <v>1331</v>
      </c>
      <c r="F3005">
        <v>2</v>
      </c>
      <c r="G3005">
        <v>0</v>
      </c>
      <c r="H3005">
        <v>0</v>
      </c>
      <c r="I3005" t="s">
        <v>19</v>
      </c>
      <c r="J3005">
        <v>0</v>
      </c>
      <c r="K3005">
        <v>31</v>
      </c>
      <c r="L3005" t="s">
        <v>24</v>
      </c>
      <c r="M3005" t="s">
        <v>25</v>
      </c>
      <c r="N3005" t="s">
        <v>30</v>
      </c>
      <c r="O3005" t="s">
        <v>27</v>
      </c>
      <c r="P3005">
        <v>0.39</v>
      </c>
      <c r="Q3005" s="2" t="b">
        <f>FALSE()</f>
        <v>0</v>
      </c>
      <c r="R3005">
        <v>1</v>
      </c>
    </row>
    <row r="3006" spans="1:18" x14ac:dyDescent="0.25">
      <c r="A3006">
        <v>203005</v>
      </c>
      <c r="B3006">
        <v>55397</v>
      </c>
      <c r="C3006" t="s">
        <v>34</v>
      </c>
      <c r="D3006">
        <v>3760.1</v>
      </c>
      <c r="E3006">
        <v>2893</v>
      </c>
      <c r="F3006">
        <v>0</v>
      </c>
      <c r="G3006">
        <v>7</v>
      </c>
      <c r="H3006">
        <v>0</v>
      </c>
      <c r="I3006" t="s">
        <v>33</v>
      </c>
      <c r="J3006">
        <v>0</v>
      </c>
      <c r="K3006">
        <v>58</v>
      </c>
      <c r="L3006" t="s">
        <v>20</v>
      </c>
      <c r="M3006" t="s">
        <v>31</v>
      </c>
      <c r="N3006" t="s">
        <v>26</v>
      </c>
      <c r="O3006" t="s">
        <v>36</v>
      </c>
      <c r="P3006">
        <v>0.4</v>
      </c>
      <c r="Q3006" s="2" t="b">
        <f>FALSE()</f>
        <v>0</v>
      </c>
      <c r="R3006">
        <v>1</v>
      </c>
    </row>
    <row r="3007" spans="1:18" x14ac:dyDescent="0.25">
      <c r="A3007">
        <v>203006</v>
      </c>
      <c r="B3007">
        <v>55156</v>
      </c>
      <c r="C3007" t="s">
        <v>34</v>
      </c>
      <c r="D3007">
        <v>2422.31</v>
      </c>
      <c r="E3007">
        <v>267</v>
      </c>
      <c r="F3007">
        <v>2</v>
      </c>
      <c r="G3007">
        <v>4</v>
      </c>
      <c r="H3007">
        <v>0</v>
      </c>
      <c r="I3007" t="s">
        <v>33</v>
      </c>
      <c r="J3007">
        <v>0</v>
      </c>
      <c r="K3007">
        <v>57</v>
      </c>
      <c r="L3007" t="s">
        <v>20</v>
      </c>
      <c r="M3007" t="s">
        <v>21</v>
      </c>
      <c r="N3007" t="s">
        <v>30</v>
      </c>
      <c r="O3007" t="s">
        <v>27</v>
      </c>
      <c r="P3007">
        <v>1.1100000000000001</v>
      </c>
      <c r="Q3007" s="2" t="b">
        <f>FALSE()</f>
        <v>0</v>
      </c>
      <c r="R3007">
        <v>0</v>
      </c>
    </row>
    <row r="3008" spans="1:18" x14ac:dyDescent="0.25">
      <c r="A3008">
        <v>203007</v>
      </c>
      <c r="B3008">
        <v>51445</v>
      </c>
      <c r="C3008" t="s">
        <v>18</v>
      </c>
      <c r="D3008">
        <v>330.8</v>
      </c>
      <c r="E3008">
        <v>1630</v>
      </c>
      <c r="F3008">
        <v>1</v>
      </c>
      <c r="G3008">
        <v>4</v>
      </c>
      <c r="H3008">
        <v>0</v>
      </c>
      <c r="I3008" t="s">
        <v>32</v>
      </c>
      <c r="J3008">
        <v>0</v>
      </c>
      <c r="K3008">
        <v>24</v>
      </c>
      <c r="L3008" t="s">
        <v>24</v>
      </c>
      <c r="M3008" t="s">
        <v>35</v>
      </c>
      <c r="N3008" t="s">
        <v>22</v>
      </c>
      <c r="O3008" t="s">
        <v>27</v>
      </c>
      <c r="P3008">
        <v>2.57</v>
      </c>
      <c r="Q3008" s="2" t="b">
        <f>FALSE()</f>
        <v>0</v>
      </c>
      <c r="R3008">
        <v>0</v>
      </c>
    </row>
    <row r="3009" spans="1:18" x14ac:dyDescent="0.25">
      <c r="A3009">
        <v>203008</v>
      </c>
      <c r="B3009">
        <v>55663</v>
      </c>
      <c r="C3009" t="s">
        <v>18</v>
      </c>
      <c r="D3009">
        <v>4000.25</v>
      </c>
      <c r="E3009">
        <v>2974</v>
      </c>
      <c r="F3009">
        <v>0</v>
      </c>
      <c r="G3009">
        <v>2</v>
      </c>
      <c r="H3009">
        <v>0</v>
      </c>
      <c r="I3009" t="s">
        <v>33</v>
      </c>
      <c r="J3009">
        <v>0</v>
      </c>
      <c r="K3009">
        <v>50</v>
      </c>
      <c r="L3009" t="s">
        <v>20</v>
      </c>
      <c r="M3009" t="s">
        <v>25</v>
      </c>
      <c r="N3009" t="s">
        <v>30</v>
      </c>
      <c r="O3009" t="s">
        <v>36</v>
      </c>
      <c r="P3009">
        <v>1.05</v>
      </c>
      <c r="Q3009" s="2" t="b">
        <f>FALSE()</f>
        <v>0</v>
      </c>
      <c r="R3009">
        <v>1</v>
      </c>
    </row>
    <row r="3010" spans="1:18" x14ac:dyDescent="0.25">
      <c r="A3010">
        <v>203009</v>
      </c>
      <c r="B3010">
        <v>51674</v>
      </c>
      <c r="C3010" t="s">
        <v>34</v>
      </c>
      <c r="D3010">
        <v>2129.46</v>
      </c>
      <c r="E3010">
        <v>1979</v>
      </c>
      <c r="F3010">
        <v>2</v>
      </c>
      <c r="G3010">
        <v>2</v>
      </c>
      <c r="H3010">
        <v>1</v>
      </c>
      <c r="I3010" t="s">
        <v>33</v>
      </c>
      <c r="J3010">
        <v>0</v>
      </c>
      <c r="K3010">
        <v>40</v>
      </c>
      <c r="L3010" t="s">
        <v>24</v>
      </c>
      <c r="M3010" t="s">
        <v>37</v>
      </c>
      <c r="N3010" t="s">
        <v>30</v>
      </c>
      <c r="O3010" t="s">
        <v>36</v>
      </c>
      <c r="P3010">
        <v>7.95</v>
      </c>
      <c r="Q3010" s="2" t="b">
        <f>FALSE()</f>
        <v>0</v>
      </c>
      <c r="R3010">
        <v>0</v>
      </c>
    </row>
    <row r="3011" spans="1:18" x14ac:dyDescent="0.25">
      <c r="A3011">
        <v>203010</v>
      </c>
      <c r="B3011">
        <v>51062</v>
      </c>
      <c r="C3011" t="s">
        <v>34</v>
      </c>
      <c r="D3011">
        <v>1912.48</v>
      </c>
      <c r="E3011">
        <v>3057</v>
      </c>
      <c r="F3011">
        <v>1</v>
      </c>
      <c r="G3011">
        <v>9</v>
      </c>
      <c r="H3011">
        <v>0</v>
      </c>
      <c r="I3011" t="s">
        <v>33</v>
      </c>
      <c r="J3011">
        <v>0</v>
      </c>
      <c r="K3011">
        <v>76</v>
      </c>
      <c r="L3011" t="s">
        <v>24</v>
      </c>
      <c r="M3011" t="s">
        <v>35</v>
      </c>
      <c r="N3011" t="s">
        <v>30</v>
      </c>
      <c r="O3011" t="s">
        <v>27</v>
      </c>
      <c r="P3011">
        <v>3.08</v>
      </c>
      <c r="Q3011" s="2" t="b">
        <f>FALSE()</f>
        <v>0</v>
      </c>
      <c r="R3011">
        <v>1</v>
      </c>
    </row>
    <row r="3012" spans="1:18" x14ac:dyDescent="0.25">
      <c r="A3012">
        <v>203011</v>
      </c>
      <c r="B3012">
        <v>51728</v>
      </c>
      <c r="C3012" t="s">
        <v>34</v>
      </c>
      <c r="D3012">
        <v>1338.85</v>
      </c>
      <c r="E3012">
        <v>2988</v>
      </c>
      <c r="F3012">
        <v>0</v>
      </c>
      <c r="G3012">
        <v>2</v>
      </c>
      <c r="H3012">
        <v>0</v>
      </c>
      <c r="I3012" t="s">
        <v>33</v>
      </c>
      <c r="J3012">
        <v>0</v>
      </c>
      <c r="K3012">
        <v>56</v>
      </c>
      <c r="L3012" t="s">
        <v>24</v>
      </c>
      <c r="M3012" t="s">
        <v>31</v>
      </c>
      <c r="N3012" t="s">
        <v>30</v>
      </c>
      <c r="O3012" t="s">
        <v>36</v>
      </c>
      <c r="P3012">
        <v>0.06</v>
      </c>
      <c r="Q3012" s="2" t="b">
        <f>FALSE()</f>
        <v>0</v>
      </c>
      <c r="R3012">
        <v>0</v>
      </c>
    </row>
    <row r="3013" spans="1:18" x14ac:dyDescent="0.25">
      <c r="A3013">
        <v>203012</v>
      </c>
      <c r="B3013">
        <v>53749</v>
      </c>
      <c r="C3013" t="s">
        <v>34</v>
      </c>
      <c r="D3013">
        <v>2401.7399999999998</v>
      </c>
      <c r="E3013">
        <v>991</v>
      </c>
      <c r="F3013">
        <v>1</v>
      </c>
      <c r="G3013">
        <v>3</v>
      </c>
      <c r="H3013">
        <v>0</v>
      </c>
      <c r="I3013" t="s">
        <v>33</v>
      </c>
      <c r="J3013">
        <v>0</v>
      </c>
      <c r="K3013">
        <v>35</v>
      </c>
      <c r="L3013" t="s">
        <v>24</v>
      </c>
      <c r="M3013" t="s">
        <v>31</v>
      </c>
      <c r="N3013" t="s">
        <v>22</v>
      </c>
      <c r="O3013" t="s">
        <v>36</v>
      </c>
      <c r="P3013">
        <v>2.0499999999999998</v>
      </c>
      <c r="Q3013" s="2" t="b">
        <f>FALSE()</f>
        <v>0</v>
      </c>
      <c r="R3013">
        <v>0</v>
      </c>
    </row>
    <row r="3014" spans="1:18" x14ac:dyDescent="0.25">
      <c r="A3014">
        <v>203013</v>
      </c>
      <c r="B3014">
        <v>55319</v>
      </c>
      <c r="C3014" t="s">
        <v>28</v>
      </c>
      <c r="D3014">
        <v>1253.4000000000001</v>
      </c>
      <c r="E3014">
        <v>2350</v>
      </c>
      <c r="F3014">
        <v>0</v>
      </c>
      <c r="G3014">
        <v>9</v>
      </c>
      <c r="H3014">
        <v>0</v>
      </c>
      <c r="I3014" t="s">
        <v>33</v>
      </c>
      <c r="J3014">
        <v>1</v>
      </c>
      <c r="K3014">
        <v>76</v>
      </c>
      <c r="L3014" t="s">
        <v>20</v>
      </c>
      <c r="M3014" t="s">
        <v>31</v>
      </c>
      <c r="N3014" t="s">
        <v>26</v>
      </c>
      <c r="O3014" t="s">
        <v>36</v>
      </c>
      <c r="P3014">
        <v>0.03</v>
      </c>
      <c r="Q3014" s="2" t="b">
        <f>FALSE()</f>
        <v>0</v>
      </c>
      <c r="R3014">
        <v>1</v>
      </c>
    </row>
    <row r="3015" spans="1:18" x14ac:dyDescent="0.25">
      <c r="A3015">
        <v>203014</v>
      </c>
      <c r="B3015">
        <v>51316</v>
      </c>
      <c r="C3015" t="s">
        <v>18</v>
      </c>
      <c r="D3015">
        <v>2386.66</v>
      </c>
      <c r="E3015">
        <v>2737</v>
      </c>
      <c r="F3015">
        <v>0</v>
      </c>
      <c r="G3015">
        <v>5</v>
      </c>
      <c r="H3015">
        <v>1</v>
      </c>
      <c r="I3015" t="s">
        <v>33</v>
      </c>
      <c r="J3015">
        <v>0</v>
      </c>
      <c r="K3015">
        <v>50</v>
      </c>
      <c r="L3015" t="s">
        <v>24</v>
      </c>
      <c r="M3015" t="s">
        <v>29</v>
      </c>
      <c r="N3015" t="s">
        <v>22</v>
      </c>
      <c r="O3015" t="s">
        <v>36</v>
      </c>
      <c r="P3015">
        <v>3.69</v>
      </c>
      <c r="Q3015" s="2" t="b">
        <f>FALSE()</f>
        <v>0</v>
      </c>
      <c r="R3015">
        <v>0</v>
      </c>
    </row>
    <row r="3016" spans="1:18" x14ac:dyDescent="0.25">
      <c r="A3016">
        <v>203015</v>
      </c>
      <c r="B3016">
        <v>55058</v>
      </c>
      <c r="C3016" t="s">
        <v>18</v>
      </c>
      <c r="D3016">
        <v>919.18</v>
      </c>
      <c r="E3016">
        <v>1194</v>
      </c>
      <c r="F3016">
        <v>2</v>
      </c>
      <c r="G3016">
        <v>1</v>
      </c>
      <c r="H3016">
        <v>1</v>
      </c>
      <c r="I3016" t="s">
        <v>19</v>
      </c>
      <c r="J3016">
        <v>0</v>
      </c>
      <c r="K3016">
        <v>72</v>
      </c>
      <c r="L3016" t="s">
        <v>24</v>
      </c>
      <c r="M3016" t="s">
        <v>31</v>
      </c>
      <c r="N3016" t="s">
        <v>30</v>
      </c>
      <c r="O3016" t="s">
        <v>36</v>
      </c>
      <c r="P3016">
        <v>1.31</v>
      </c>
      <c r="Q3016" s="2" t="b">
        <f>FALSE()</f>
        <v>0</v>
      </c>
      <c r="R3016">
        <v>0</v>
      </c>
    </row>
    <row r="3017" spans="1:18" x14ac:dyDescent="0.25">
      <c r="A3017">
        <v>203016</v>
      </c>
      <c r="B3017">
        <v>51620</v>
      </c>
      <c r="C3017" t="s">
        <v>34</v>
      </c>
      <c r="D3017">
        <v>2578.4299999999998</v>
      </c>
      <c r="E3017">
        <v>2725</v>
      </c>
      <c r="F3017">
        <v>2</v>
      </c>
      <c r="G3017">
        <v>3</v>
      </c>
      <c r="H3017">
        <v>0</v>
      </c>
      <c r="I3017" t="s">
        <v>33</v>
      </c>
      <c r="J3017">
        <v>0</v>
      </c>
      <c r="K3017">
        <v>43</v>
      </c>
      <c r="L3017" t="s">
        <v>24</v>
      </c>
      <c r="M3017" t="s">
        <v>29</v>
      </c>
      <c r="N3017" t="s">
        <v>22</v>
      </c>
      <c r="O3017" t="s">
        <v>27</v>
      </c>
      <c r="P3017">
        <v>6.62</v>
      </c>
      <c r="Q3017" s="2" t="b">
        <f>FALSE()</f>
        <v>0</v>
      </c>
      <c r="R3017">
        <v>0</v>
      </c>
    </row>
    <row r="3018" spans="1:18" x14ac:dyDescent="0.25">
      <c r="A3018">
        <v>203017</v>
      </c>
      <c r="B3018">
        <v>53432</v>
      </c>
      <c r="C3018" t="s">
        <v>34</v>
      </c>
      <c r="D3018">
        <v>6398.82</v>
      </c>
      <c r="E3018">
        <v>1112</v>
      </c>
      <c r="F3018">
        <v>1</v>
      </c>
      <c r="G3018">
        <v>6</v>
      </c>
      <c r="H3018">
        <v>0</v>
      </c>
      <c r="I3018" t="s">
        <v>33</v>
      </c>
      <c r="J3018">
        <v>0</v>
      </c>
      <c r="K3018">
        <v>53</v>
      </c>
      <c r="L3018" t="s">
        <v>20</v>
      </c>
      <c r="M3018" t="s">
        <v>35</v>
      </c>
      <c r="N3018" t="s">
        <v>30</v>
      </c>
      <c r="O3018" t="s">
        <v>36</v>
      </c>
      <c r="P3018">
        <v>2.65</v>
      </c>
      <c r="Q3018" s="2" t="b">
        <f>FALSE()</f>
        <v>0</v>
      </c>
      <c r="R3018">
        <v>1</v>
      </c>
    </row>
    <row r="3019" spans="1:18" x14ac:dyDescent="0.25">
      <c r="A3019">
        <v>203018</v>
      </c>
      <c r="B3019">
        <v>55361</v>
      </c>
      <c r="C3019" t="s">
        <v>18</v>
      </c>
      <c r="D3019">
        <v>1723.51</v>
      </c>
      <c r="E3019">
        <v>2530</v>
      </c>
      <c r="F3019">
        <v>3</v>
      </c>
      <c r="G3019">
        <v>2</v>
      </c>
      <c r="H3019">
        <v>0</v>
      </c>
      <c r="I3019" t="s">
        <v>33</v>
      </c>
      <c r="J3019">
        <v>0</v>
      </c>
      <c r="K3019">
        <v>45</v>
      </c>
      <c r="L3019" t="s">
        <v>20</v>
      </c>
      <c r="M3019" t="s">
        <v>31</v>
      </c>
      <c r="N3019" t="s">
        <v>22</v>
      </c>
      <c r="O3019" t="s">
        <v>36</v>
      </c>
      <c r="P3019">
        <v>2.96</v>
      </c>
      <c r="Q3019" s="2" t="b">
        <f>FALSE()</f>
        <v>0</v>
      </c>
      <c r="R3019">
        <v>1</v>
      </c>
    </row>
    <row r="3020" spans="1:18" x14ac:dyDescent="0.25">
      <c r="A3020">
        <v>203019</v>
      </c>
      <c r="B3020">
        <v>54892</v>
      </c>
      <c r="C3020" t="s">
        <v>34</v>
      </c>
      <c r="D3020">
        <v>1344.14</v>
      </c>
      <c r="E3020">
        <v>214</v>
      </c>
      <c r="F3020">
        <v>2</v>
      </c>
      <c r="G3020">
        <v>4</v>
      </c>
      <c r="H3020">
        <v>0</v>
      </c>
      <c r="I3020" t="s">
        <v>33</v>
      </c>
      <c r="J3020">
        <v>0</v>
      </c>
      <c r="K3020">
        <v>42</v>
      </c>
      <c r="L3020" t="s">
        <v>20</v>
      </c>
      <c r="M3020" t="s">
        <v>21</v>
      </c>
      <c r="N3020" t="s">
        <v>30</v>
      </c>
      <c r="O3020" t="s">
        <v>27</v>
      </c>
      <c r="P3020">
        <v>0.69</v>
      </c>
      <c r="Q3020" s="2" t="b">
        <f>FALSE()</f>
        <v>0</v>
      </c>
      <c r="R3020">
        <v>0</v>
      </c>
    </row>
    <row r="3021" spans="1:18" x14ac:dyDescent="0.25">
      <c r="A3021">
        <v>203020</v>
      </c>
      <c r="B3021">
        <v>51360</v>
      </c>
      <c r="C3021" t="s">
        <v>18</v>
      </c>
      <c r="D3021">
        <v>3809.93</v>
      </c>
      <c r="E3021">
        <v>1258</v>
      </c>
      <c r="F3021">
        <v>1</v>
      </c>
      <c r="G3021">
        <v>4</v>
      </c>
      <c r="H3021">
        <v>0</v>
      </c>
      <c r="I3021" t="s">
        <v>19</v>
      </c>
      <c r="J3021">
        <v>1</v>
      </c>
      <c r="K3021">
        <v>34</v>
      </c>
      <c r="L3021" t="s">
        <v>24</v>
      </c>
      <c r="M3021" t="s">
        <v>29</v>
      </c>
      <c r="N3021" t="s">
        <v>26</v>
      </c>
      <c r="O3021" t="s">
        <v>36</v>
      </c>
      <c r="P3021">
        <v>3.28</v>
      </c>
      <c r="Q3021" s="2" t="b">
        <f>FALSE()</f>
        <v>0</v>
      </c>
      <c r="R3021">
        <v>1</v>
      </c>
    </row>
    <row r="3022" spans="1:18" x14ac:dyDescent="0.25">
      <c r="A3022">
        <v>203021</v>
      </c>
      <c r="B3022">
        <v>55878</v>
      </c>
      <c r="C3022" t="s">
        <v>34</v>
      </c>
      <c r="D3022">
        <v>210.33</v>
      </c>
      <c r="E3022">
        <v>3280</v>
      </c>
      <c r="F3022">
        <v>0</v>
      </c>
      <c r="G3022">
        <v>3</v>
      </c>
      <c r="H3022">
        <v>0</v>
      </c>
      <c r="I3022" t="s">
        <v>33</v>
      </c>
      <c r="J3022">
        <v>0</v>
      </c>
      <c r="K3022">
        <v>68</v>
      </c>
      <c r="L3022" t="s">
        <v>24</v>
      </c>
      <c r="M3022" t="s">
        <v>25</v>
      </c>
      <c r="N3022" t="s">
        <v>22</v>
      </c>
      <c r="O3022" t="s">
        <v>27</v>
      </c>
      <c r="P3022">
        <v>3.24</v>
      </c>
      <c r="Q3022" s="2" t="b">
        <f>FALSE()</f>
        <v>0</v>
      </c>
      <c r="R3022">
        <v>0</v>
      </c>
    </row>
    <row r="3023" spans="1:18" x14ac:dyDescent="0.25">
      <c r="A3023">
        <v>203022</v>
      </c>
      <c r="B3023">
        <v>51301</v>
      </c>
      <c r="C3023" t="s">
        <v>18</v>
      </c>
      <c r="D3023">
        <v>1569.09</v>
      </c>
      <c r="E3023">
        <v>2979</v>
      </c>
      <c r="F3023">
        <v>1</v>
      </c>
      <c r="G3023">
        <v>4</v>
      </c>
      <c r="H3023">
        <v>0</v>
      </c>
      <c r="I3023" t="s">
        <v>33</v>
      </c>
      <c r="J3023">
        <v>0</v>
      </c>
      <c r="K3023">
        <v>21</v>
      </c>
      <c r="L3023" t="s">
        <v>20</v>
      </c>
      <c r="M3023" t="s">
        <v>29</v>
      </c>
      <c r="N3023" t="s">
        <v>30</v>
      </c>
      <c r="O3023" t="s">
        <v>36</v>
      </c>
      <c r="P3023">
        <v>2.0699999999999998</v>
      </c>
      <c r="Q3023" s="2" t="b">
        <f>FALSE()</f>
        <v>0</v>
      </c>
      <c r="R3023">
        <v>0</v>
      </c>
    </row>
    <row r="3024" spans="1:18" x14ac:dyDescent="0.25">
      <c r="A3024">
        <v>203023</v>
      </c>
      <c r="B3024">
        <v>51413</v>
      </c>
      <c r="C3024" t="s">
        <v>34</v>
      </c>
      <c r="D3024">
        <v>5550.49</v>
      </c>
      <c r="E3024">
        <v>811</v>
      </c>
      <c r="F3024">
        <v>2</v>
      </c>
      <c r="G3024">
        <v>3</v>
      </c>
      <c r="H3024">
        <v>0</v>
      </c>
      <c r="I3024" t="s">
        <v>33</v>
      </c>
      <c r="J3024">
        <v>0</v>
      </c>
      <c r="K3024">
        <v>81</v>
      </c>
      <c r="L3024" t="s">
        <v>20</v>
      </c>
      <c r="M3024" t="s">
        <v>31</v>
      </c>
      <c r="N3024" t="s">
        <v>26</v>
      </c>
      <c r="O3024" t="s">
        <v>36</v>
      </c>
      <c r="P3024">
        <v>3.33</v>
      </c>
      <c r="Q3024" s="2" t="b">
        <f>FALSE()</f>
        <v>0</v>
      </c>
      <c r="R3024">
        <v>1</v>
      </c>
    </row>
    <row r="3025" spans="1:18" x14ac:dyDescent="0.25">
      <c r="A3025">
        <v>203024</v>
      </c>
      <c r="B3025">
        <v>51287</v>
      </c>
      <c r="C3025" t="s">
        <v>18</v>
      </c>
      <c r="D3025">
        <v>984.67</v>
      </c>
      <c r="E3025">
        <v>1149</v>
      </c>
      <c r="F3025">
        <v>0</v>
      </c>
      <c r="G3025">
        <v>3</v>
      </c>
      <c r="H3025">
        <v>0</v>
      </c>
      <c r="I3025" t="s">
        <v>19</v>
      </c>
      <c r="J3025">
        <v>0</v>
      </c>
      <c r="K3025">
        <v>77</v>
      </c>
      <c r="L3025" t="s">
        <v>20</v>
      </c>
      <c r="M3025" t="s">
        <v>31</v>
      </c>
      <c r="N3025" t="s">
        <v>26</v>
      </c>
      <c r="O3025" t="s">
        <v>36</v>
      </c>
      <c r="P3025">
        <v>2.9</v>
      </c>
      <c r="Q3025" s="2" t="b">
        <f>FALSE()</f>
        <v>0</v>
      </c>
      <c r="R3025">
        <v>0</v>
      </c>
    </row>
    <row r="3026" spans="1:18" x14ac:dyDescent="0.25">
      <c r="A3026">
        <v>203025</v>
      </c>
      <c r="B3026">
        <v>54222</v>
      </c>
      <c r="C3026" t="s">
        <v>18</v>
      </c>
      <c r="D3026">
        <v>2602.61</v>
      </c>
      <c r="E3026">
        <v>2651</v>
      </c>
      <c r="F3026">
        <v>4</v>
      </c>
      <c r="G3026">
        <v>4</v>
      </c>
      <c r="H3026">
        <v>0</v>
      </c>
      <c r="I3026" t="s">
        <v>33</v>
      </c>
      <c r="J3026">
        <v>0</v>
      </c>
      <c r="K3026">
        <v>42</v>
      </c>
      <c r="L3026" t="s">
        <v>20</v>
      </c>
      <c r="M3026" t="s">
        <v>29</v>
      </c>
      <c r="N3026" t="s">
        <v>22</v>
      </c>
      <c r="O3026" t="s">
        <v>36</v>
      </c>
      <c r="P3026">
        <v>0.62</v>
      </c>
      <c r="Q3026" s="2" t="b">
        <f>FALSE()</f>
        <v>0</v>
      </c>
      <c r="R3026">
        <v>1</v>
      </c>
    </row>
    <row r="3027" spans="1:18" x14ac:dyDescent="0.25">
      <c r="A3027">
        <v>203026</v>
      </c>
      <c r="B3027">
        <v>51984</v>
      </c>
      <c r="C3027" t="s">
        <v>18</v>
      </c>
      <c r="D3027">
        <v>3676.67</v>
      </c>
      <c r="E3027">
        <v>2416</v>
      </c>
      <c r="F3027">
        <v>0</v>
      </c>
      <c r="G3027">
        <v>4</v>
      </c>
      <c r="H3027">
        <v>0</v>
      </c>
      <c r="I3027" t="s">
        <v>32</v>
      </c>
      <c r="J3027">
        <v>1</v>
      </c>
      <c r="K3027">
        <v>71</v>
      </c>
      <c r="L3027" t="s">
        <v>20</v>
      </c>
      <c r="M3027" t="s">
        <v>35</v>
      </c>
      <c r="N3027" t="s">
        <v>22</v>
      </c>
      <c r="O3027" t="s">
        <v>27</v>
      </c>
      <c r="P3027">
        <v>0.79</v>
      </c>
      <c r="Q3027" s="2" t="b">
        <f>FALSE()</f>
        <v>0</v>
      </c>
      <c r="R3027">
        <v>1</v>
      </c>
    </row>
    <row r="3028" spans="1:18" x14ac:dyDescent="0.25">
      <c r="A3028">
        <v>203027</v>
      </c>
      <c r="B3028">
        <v>51043</v>
      </c>
      <c r="C3028" t="s">
        <v>18</v>
      </c>
      <c r="D3028">
        <v>6106.54</v>
      </c>
      <c r="E3028">
        <v>858</v>
      </c>
      <c r="F3028">
        <v>0</v>
      </c>
      <c r="G3028">
        <v>3</v>
      </c>
      <c r="H3028">
        <v>1</v>
      </c>
      <c r="I3028" t="s">
        <v>33</v>
      </c>
      <c r="J3028">
        <v>0</v>
      </c>
      <c r="K3028">
        <v>27</v>
      </c>
      <c r="L3028" t="s">
        <v>24</v>
      </c>
      <c r="M3028" t="s">
        <v>37</v>
      </c>
      <c r="N3028" t="s">
        <v>22</v>
      </c>
      <c r="O3028" t="s">
        <v>36</v>
      </c>
      <c r="P3028">
        <v>4.3499999999999996</v>
      </c>
      <c r="Q3028" s="2" t="b">
        <f>FALSE()</f>
        <v>0</v>
      </c>
      <c r="R3028">
        <v>1</v>
      </c>
    </row>
    <row r="3029" spans="1:18" x14ac:dyDescent="0.25">
      <c r="A3029">
        <v>203028</v>
      </c>
      <c r="B3029">
        <v>53459</v>
      </c>
      <c r="C3029" t="s">
        <v>28</v>
      </c>
      <c r="D3029">
        <v>3698.73</v>
      </c>
      <c r="E3029">
        <v>2739</v>
      </c>
      <c r="F3029">
        <v>0</v>
      </c>
      <c r="G3029">
        <v>5</v>
      </c>
      <c r="H3029">
        <v>0</v>
      </c>
      <c r="I3029" t="s">
        <v>32</v>
      </c>
      <c r="J3029">
        <v>0</v>
      </c>
      <c r="K3029">
        <v>64</v>
      </c>
      <c r="L3029" t="s">
        <v>20</v>
      </c>
      <c r="M3029" t="s">
        <v>25</v>
      </c>
      <c r="N3029" t="s">
        <v>26</v>
      </c>
      <c r="O3029" t="s">
        <v>27</v>
      </c>
      <c r="P3029">
        <v>0.48</v>
      </c>
      <c r="Q3029" s="2" t="b">
        <f>FALSE()</f>
        <v>0</v>
      </c>
      <c r="R3029">
        <v>1</v>
      </c>
    </row>
    <row r="3030" spans="1:18" x14ac:dyDescent="0.25">
      <c r="A3030">
        <v>203029</v>
      </c>
      <c r="B3030">
        <v>52188</v>
      </c>
      <c r="C3030" t="s">
        <v>28</v>
      </c>
      <c r="D3030">
        <v>1638.7</v>
      </c>
      <c r="E3030">
        <v>1214</v>
      </c>
      <c r="F3030">
        <v>1</v>
      </c>
      <c r="G3030">
        <v>6</v>
      </c>
      <c r="H3030">
        <v>1</v>
      </c>
      <c r="I3030" t="s">
        <v>33</v>
      </c>
      <c r="J3030">
        <v>0</v>
      </c>
      <c r="K3030">
        <v>38</v>
      </c>
      <c r="L3030" t="s">
        <v>24</v>
      </c>
      <c r="M3030" t="s">
        <v>21</v>
      </c>
      <c r="N3030" t="s">
        <v>22</v>
      </c>
      <c r="O3030" t="s">
        <v>27</v>
      </c>
      <c r="P3030">
        <v>6.91</v>
      </c>
      <c r="Q3030" s="2" t="b">
        <f>FALSE()</f>
        <v>0</v>
      </c>
      <c r="R3030">
        <v>0</v>
      </c>
    </row>
    <row r="3031" spans="1:18" x14ac:dyDescent="0.25">
      <c r="A3031">
        <v>203030</v>
      </c>
      <c r="B3031">
        <v>51912</v>
      </c>
      <c r="C3031" t="s">
        <v>18</v>
      </c>
      <c r="D3031">
        <v>11817.01</v>
      </c>
      <c r="E3031">
        <v>740</v>
      </c>
      <c r="F3031">
        <v>0</v>
      </c>
      <c r="G3031">
        <v>3</v>
      </c>
      <c r="H3031">
        <v>1</v>
      </c>
      <c r="I3031" t="s">
        <v>33</v>
      </c>
      <c r="J3031">
        <v>1</v>
      </c>
      <c r="K3031">
        <v>52</v>
      </c>
      <c r="L3031" t="s">
        <v>24</v>
      </c>
      <c r="M3031" t="s">
        <v>29</v>
      </c>
      <c r="N3031" t="s">
        <v>26</v>
      </c>
      <c r="O3031" t="s">
        <v>27</v>
      </c>
      <c r="P3031">
        <v>0.44</v>
      </c>
      <c r="Q3031" s="2" t="b">
        <f>TRUE()</f>
        <v>1</v>
      </c>
      <c r="R3031">
        <v>1</v>
      </c>
    </row>
    <row r="3032" spans="1:18" x14ac:dyDescent="0.25">
      <c r="A3032">
        <v>203031</v>
      </c>
      <c r="B3032">
        <v>55726</v>
      </c>
      <c r="C3032" t="s">
        <v>34</v>
      </c>
      <c r="D3032">
        <v>1864.92</v>
      </c>
      <c r="E3032">
        <v>1411</v>
      </c>
      <c r="F3032">
        <v>0</v>
      </c>
      <c r="G3032">
        <v>8</v>
      </c>
      <c r="H3032">
        <v>0</v>
      </c>
      <c r="I3032" t="s">
        <v>19</v>
      </c>
      <c r="J3032">
        <v>0</v>
      </c>
      <c r="K3032">
        <v>73</v>
      </c>
      <c r="L3032" t="s">
        <v>20</v>
      </c>
      <c r="M3032" t="s">
        <v>35</v>
      </c>
      <c r="N3032" t="s">
        <v>22</v>
      </c>
      <c r="O3032" t="s">
        <v>36</v>
      </c>
      <c r="P3032">
        <v>3.3</v>
      </c>
      <c r="Q3032" s="2" t="b">
        <f>FALSE()</f>
        <v>0</v>
      </c>
      <c r="R3032">
        <v>1</v>
      </c>
    </row>
    <row r="3033" spans="1:18" x14ac:dyDescent="0.25">
      <c r="A3033">
        <v>203032</v>
      </c>
      <c r="B3033">
        <v>55453</v>
      </c>
      <c r="C3033" t="s">
        <v>34</v>
      </c>
      <c r="D3033">
        <v>2833.97</v>
      </c>
      <c r="E3033">
        <v>3518</v>
      </c>
      <c r="F3033">
        <v>1</v>
      </c>
      <c r="G3033">
        <v>2</v>
      </c>
      <c r="H3033">
        <v>0</v>
      </c>
      <c r="I3033" t="s">
        <v>33</v>
      </c>
      <c r="J3033">
        <v>0</v>
      </c>
      <c r="K3033">
        <v>44</v>
      </c>
      <c r="L3033" t="s">
        <v>24</v>
      </c>
      <c r="M3033" t="s">
        <v>25</v>
      </c>
      <c r="N3033" t="s">
        <v>22</v>
      </c>
      <c r="O3033" t="s">
        <v>23</v>
      </c>
      <c r="P3033">
        <v>4.04</v>
      </c>
      <c r="Q3033" s="2" t="b">
        <f>FALSE()</f>
        <v>0</v>
      </c>
      <c r="R3033">
        <v>0</v>
      </c>
    </row>
    <row r="3034" spans="1:18" x14ac:dyDescent="0.25">
      <c r="A3034">
        <v>203033</v>
      </c>
      <c r="B3034">
        <v>54133</v>
      </c>
      <c r="C3034" t="s">
        <v>18</v>
      </c>
      <c r="D3034">
        <v>390.05</v>
      </c>
      <c r="E3034">
        <v>509</v>
      </c>
      <c r="F3034">
        <v>1</v>
      </c>
      <c r="G3034">
        <v>3</v>
      </c>
      <c r="H3034">
        <v>0</v>
      </c>
      <c r="I3034" t="s">
        <v>33</v>
      </c>
      <c r="J3034">
        <v>0</v>
      </c>
      <c r="K3034">
        <v>70</v>
      </c>
      <c r="L3034" t="s">
        <v>24</v>
      </c>
      <c r="M3034" t="s">
        <v>25</v>
      </c>
      <c r="N3034" t="s">
        <v>26</v>
      </c>
      <c r="O3034" t="s">
        <v>27</v>
      </c>
      <c r="P3034">
        <v>1.98</v>
      </c>
      <c r="Q3034" s="2" t="b">
        <f>FALSE()</f>
        <v>0</v>
      </c>
      <c r="R3034">
        <v>0</v>
      </c>
    </row>
    <row r="3035" spans="1:18" x14ac:dyDescent="0.25">
      <c r="A3035">
        <v>203034</v>
      </c>
      <c r="B3035">
        <v>51670</v>
      </c>
      <c r="C3035" t="s">
        <v>34</v>
      </c>
      <c r="D3035">
        <v>8332.6200000000008</v>
      </c>
      <c r="E3035">
        <v>1738</v>
      </c>
      <c r="F3035">
        <v>2</v>
      </c>
      <c r="G3035">
        <v>4</v>
      </c>
      <c r="H3035">
        <v>0</v>
      </c>
      <c r="I3035" t="s">
        <v>19</v>
      </c>
      <c r="J3035">
        <v>0</v>
      </c>
      <c r="K3035">
        <v>42</v>
      </c>
      <c r="L3035" t="s">
        <v>24</v>
      </c>
      <c r="M3035" t="s">
        <v>35</v>
      </c>
      <c r="N3035" t="s">
        <v>22</v>
      </c>
      <c r="O3035" t="s">
        <v>36</v>
      </c>
      <c r="P3035">
        <v>4.34</v>
      </c>
      <c r="Q3035" s="2" t="b">
        <f>TRUE()</f>
        <v>1</v>
      </c>
      <c r="R3035">
        <v>1</v>
      </c>
    </row>
    <row r="3036" spans="1:18" x14ac:dyDescent="0.25">
      <c r="A3036">
        <v>203035</v>
      </c>
      <c r="B3036">
        <v>54641</v>
      </c>
      <c r="C3036" t="s">
        <v>18</v>
      </c>
      <c r="D3036">
        <v>3473.73</v>
      </c>
      <c r="E3036">
        <v>236</v>
      </c>
      <c r="F3036">
        <v>0</v>
      </c>
      <c r="G3036">
        <v>3</v>
      </c>
      <c r="H3036">
        <v>0</v>
      </c>
      <c r="I3036" t="s">
        <v>19</v>
      </c>
      <c r="J3036">
        <v>0</v>
      </c>
      <c r="K3036">
        <v>73</v>
      </c>
      <c r="L3036" t="s">
        <v>38</v>
      </c>
      <c r="M3036" t="s">
        <v>37</v>
      </c>
      <c r="N3036" t="s">
        <v>22</v>
      </c>
      <c r="O3036" t="s">
        <v>27</v>
      </c>
      <c r="P3036">
        <v>0.3</v>
      </c>
      <c r="Q3036" s="2" t="b">
        <f>FALSE()</f>
        <v>0</v>
      </c>
      <c r="R3036">
        <v>0</v>
      </c>
    </row>
    <row r="3037" spans="1:18" x14ac:dyDescent="0.25">
      <c r="A3037">
        <v>203036</v>
      </c>
      <c r="B3037">
        <v>55303</v>
      </c>
      <c r="C3037" t="s">
        <v>34</v>
      </c>
      <c r="D3037">
        <v>2249.29</v>
      </c>
      <c r="E3037">
        <v>2502</v>
      </c>
      <c r="F3037">
        <v>1</v>
      </c>
      <c r="G3037">
        <v>4</v>
      </c>
      <c r="H3037">
        <v>0</v>
      </c>
      <c r="I3037" t="s">
        <v>33</v>
      </c>
      <c r="J3037">
        <v>1</v>
      </c>
      <c r="K3037">
        <v>60</v>
      </c>
      <c r="L3037" t="s">
        <v>24</v>
      </c>
      <c r="M3037" t="s">
        <v>37</v>
      </c>
      <c r="N3037" t="s">
        <v>30</v>
      </c>
      <c r="O3037" t="s">
        <v>36</v>
      </c>
      <c r="P3037">
        <v>1.21</v>
      </c>
      <c r="Q3037" s="2" t="b">
        <f>FALSE()</f>
        <v>0</v>
      </c>
      <c r="R3037">
        <v>0</v>
      </c>
    </row>
    <row r="3038" spans="1:18" x14ac:dyDescent="0.25">
      <c r="A3038">
        <v>203037</v>
      </c>
      <c r="B3038">
        <v>50660</v>
      </c>
      <c r="C3038" t="s">
        <v>18</v>
      </c>
      <c r="D3038">
        <v>3960.45</v>
      </c>
      <c r="E3038">
        <v>247</v>
      </c>
      <c r="F3038">
        <v>1</v>
      </c>
      <c r="G3038">
        <v>1</v>
      </c>
      <c r="H3038">
        <v>1</v>
      </c>
      <c r="I3038" t="s">
        <v>33</v>
      </c>
      <c r="J3038">
        <v>0</v>
      </c>
      <c r="K3038">
        <v>78</v>
      </c>
      <c r="L3038" t="s">
        <v>20</v>
      </c>
      <c r="M3038" t="s">
        <v>37</v>
      </c>
      <c r="N3038" t="s">
        <v>30</v>
      </c>
      <c r="O3038" t="s">
        <v>36</v>
      </c>
      <c r="P3038">
        <v>1.4</v>
      </c>
      <c r="Q3038" s="2" t="b">
        <f>FALSE()</f>
        <v>0</v>
      </c>
      <c r="R3038">
        <v>1</v>
      </c>
    </row>
    <row r="3039" spans="1:18" x14ac:dyDescent="0.25">
      <c r="A3039">
        <v>203038</v>
      </c>
      <c r="B3039">
        <v>53584</v>
      </c>
      <c r="C3039" t="s">
        <v>18</v>
      </c>
      <c r="D3039">
        <v>1689.13</v>
      </c>
      <c r="E3039">
        <v>290</v>
      </c>
      <c r="F3039">
        <v>2</v>
      </c>
      <c r="G3039">
        <v>3</v>
      </c>
      <c r="H3039">
        <v>0</v>
      </c>
      <c r="I3039" t="s">
        <v>32</v>
      </c>
      <c r="J3039">
        <v>0</v>
      </c>
      <c r="K3039">
        <v>46</v>
      </c>
      <c r="L3039" t="s">
        <v>20</v>
      </c>
      <c r="M3039" t="s">
        <v>35</v>
      </c>
      <c r="N3039" t="s">
        <v>22</v>
      </c>
      <c r="O3039" t="s">
        <v>36</v>
      </c>
      <c r="P3039">
        <v>0.62</v>
      </c>
      <c r="Q3039" s="2" t="b">
        <f>FALSE()</f>
        <v>0</v>
      </c>
      <c r="R3039">
        <v>0</v>
      </c>
    </row>
    <row r="3040" spans="1:18" x14ac:dyDescent="0.25">
      <c r="A3040">
        <v>203039</v>
      </c>
      <c r="B3040">
        <v>53078</v>
      </c>
      <c r="C3040" t="s">
        <v>18</v>
      </c>
      <c r="D3040">
        <v>2897.7</v>
      </c>
      <c r="E3040">
        <v>36</v>
      </c>
      <c r="F3040">
        <v>1</v>
      </c>
      <c r="G3040">
        <v>6</v>
      </c>
      <c r="H3040">
        <v>1</v>
      </c>
      <c r="I3040" t="s">
        <v>19</v>
      </c>
      <c r="J3040">
        <v>0</v>
      </c>
      <c r="K3040">
        <v>83</v>
      </c>
      <c r="L3040" t="s">
        <v>20</v>
      </c>
      <c r="M3040" t="s">
        <v>37</v>
      </c>
      <c r="N3040" t="s">
        <v>22</v>
      </c>
      <c r="O3040" t="s">
        <v>36</v>
      </c>
      <c r="P3040">
        <v>5.38</v>
      </c>
      <c r="Q3040" s="2" t="b">
        <f>FALSE()</f>
        <v>0</v>
      </c>
      <c r="R3040">
        <v>0</v>
      </c>
    </row>
    <row r="3041" spans="1:18" x14ac:dyDescent="0.25">
      <c r="A3041">
        <v>203040</v>
      </c>
      <c r="B3041">
        <v>54122</v>
      </c>
      <c r="C3041" t="s">
        <v>34</v>
      </c>
      <c r="D3041">
        <v>1171.21</v>
      </c>
      <c r="E3041">
        <v>1247</v>
      </c>
      <c r="F3041">
        <v>2</v>
      </c>
      <c r="G3041">
        <v>2</v>
      </c>
      <c r="H3041">
        <v>0</v>
      </c>
      <c r="I3041" t="s">
        <v>33</v>
      </c>
      <c r="J3041">
        <v>0</v>
      </c>
      <c r="K3041">
        <v>70</v>
      </c>
      <c r="L3041" t="s">
        <v>20</v>
      </c>
      <c r="M3041" t="s">
        <v>21</v>
      </c>
      <c r="N3041" t="s">
        <v>30</v>
      </c>
      <c r="O3041" t="s">
        <v>23</v>
      </c>
      <c r="P3041">
        <v>1.66</v>
      </c>
      <c r="Q3041" s="2" t="b">
        <f>FALSE()</f>
        <v>0</v>
      </c>
      <c r="R3041">
        <v>0</v>
      </c>
    </row>
    <row r="3042" spans="1:18" x14ac:dyDescent="0.25">
      <c r="A3042">
        <v>203041</v>
      </c>
      <c r="B3042">
        <v>55949</v>
      </c>
      <c r="C3042" t="s">
        <v>34</v>
      </c>
      <c r="D3042">
        <v>2461.9899999999998</v>
      </c>
      <c r="E3042">
        <v>639</v>
      </c>
      <c r="F3042">
        <v>0</v>
      </c>
      <c r="G3042">
        <v>1</v>
      </c>
      <c r="H3042">
        <v>1</v>
      </c>
      <c r="I3042" t="s">
        <v>32</v>
      </c>
      <c r="J3042">
        <v>0</v>
      </c>
      <c r="K3042">
        <v>39</v>
      </c>
      <c r="L3042" t="s">
        <v>24</v>
      </c>
      <c r="M3042" t="s">
        <v>21</v>
      </c>
      <c r="N3042" t="s">
        <v>30</v>
      </c>
      <c r="O3042" t="s">
        <v>36</v>
      </c>
      <c r="P3042">
        <v>2.95</v>
      </c>
      <c r="Q3042" s="2" t="b">
        <f>FALSE()</f>
        <v>0</v>
      </c>
      <c r="R3042">
        <v>0</v>
      </c>
    </row>
    <row r="3043" spans="1:18" x14ac:dyDescent="0.25">
      <c r="A3043">
        <v>203042</v>
      </c>
      <c r="B3043">
        <v>54141</v>
      </c>
      <c r="C3043" t="s">
        <v>18</v>
      </c>
      <c r="D3043">
        <v>869.77</v>
      </c>
      <c r="E3043">
        <v>519</v>
      </c>
      <c r="F3043">
        <v>0</v>
      </c>
      <c r="G3043">
        <v>5</v>
      </c>
      <c r="H3043">
        <v>0</v>
      </c>
      <c r="I3043" t="s">
        <v>32</v>
      </c>
      <c r="J3043">
        <v>0</v>
      </c>
      <c r="K3043">
        <v>20</v>
      </c>
      <c r="L3043" t="s">
        <v>20</v>
      </c>
      <c r="M3043" t="s">
        <v>31</v>
      </c>
      <c r="N3043" t="s">
        <v>22</v>
      </c>
      <c r="O3043" t="s">
        <v>36</v>
      </c>
      <c r="P3043">
        <v>5.42</v>
      </c>
      <c r="Q3043" s="2" t="b">
        <f>FALSE()</f>
        <v>0</v>
      </c>
      <c r="R3043">
        <v>0</v>
      </c>
    </row>
    <row r="3044" spans="1:18" x14ac:dyDescent="0.25">
      <c r="A3044">
        <v>203043</v>
      </c>
      <c r="B3044">
        <v>55199</v>
      </c>
      <c r="C3044" t="s">
        <v>28</v>
      </c>
      <c r="D3044">
        <v>1940.66</v>
      </c>
      <c r="E3044">
        <v>3317</v>
      </c>
      <c r="F3044">
        <v>1</v>
      </c>
      <c r="G3044">
        <v>1</v>
      </c>
      <c r="H3044">
        <v>0</v>
      </c>
      <c r="I3044" t="s">
        <v>32</v>
      </c>
      <c r="J3044">
        <v>0</v>
      </c>
      <c r="K3044">
        <v>58</v>
      </c>
      <c r="L3044" t="s">
        <v>20</v>
      </c>
      <c r="M3044" t="s">
        <v>29</v>
      </c>
      <c r="N3044" t="s">
        <v>30</v>
      </c>
      <c r="O3044" t="s">
        <v>36</v>
      </c>
      <c r="P3044">
        <v>1.96</v>
      </c>
      <c r="Q3044" s="2" t="b">
        <f>FALSE()</f>
        <v>0</v>
      </c>
      <c r="R3044">
        <v>0</v>
      </c>
    </row>
    <row r="3045" spans="1:18" x14ac:dyDescent="0.25">
      <c r="A3045">
        <v>203044</v>
      </c>
      <c r="B3045">
        <v>53141</v>
      </c>
      <c r="C3045" t="s">
        <v>34</v>
      </c>
      <c r="D3045">
        <v>3533.99</v>
      </c>
      <c r="E3045">
        <v>803</v>
      </c>
      <c r="F3045">
        <v>0</v>
      </c>
      <c r="G3045">
        <v>5</v>
      </c>
      <c r="H3045">
        <v>1</v>
      </c>
      <c r="I3045" t="s">
        <v>33</v>
      </c>
      <c r="J3045">
        <v>0</v>
      </c>
      <c r="K3045">
        <v>65</v>
      </c>
      <c r="L3045" t="s">
        <v>24</v>
      </c>
      <c r="M3045" t="s">
        <v>25</v>
      </c>
      <c r="N3045" t="s">
        <v>30</v>
      </c>
      <c r="O3045" t="s">
        <v>36</v>
      </c>
      <c r="P3045">
        <v>0.18</v>
      </c>
      <c r="Q3045" s="2" t="b">
        <f>FALSE()</f>
        <v>0</v>
      </c>
      <c r="R3045">
        <v>0</v>
      </c>
    </row>
    <row r="3046" spans="1:18" x14ac:dyDescent="0.25">
      <c r="A3046">
        <v>203045</v>
      </c>
      <c r="B3046">
        <v>55322</v>
      </c>
      <c r="C3046" t="s">
        <v>28</v>
      </c>
      <c r="D3046">
        <v>2604.21</v>
      </c>
      <c r="E3046">
        <v>1198</v>
      </c>
      <c r="F3046">
        <v>0</v>
      </c>
      <c r="G3046">
        <v>4</v>
      </c>
      <c r="H3046">
        <v>1</v>
      </c>
      <c r="I3046" t="s">
        <v>19</v>
      </c>
      <c r="J3046">
        <v>0</v>
      </c>
      <c r="K3046">
        <v>28</v>
      </c>
      <c r="L3046" t="s">
        <v>20</v>
      </c>
      <c r="M3046" t="s">
        <v>21</v>
      </c>
      <c r="N3046" t="s">
        <v>22</v>
      </c>
      <c r="O3046" t="s">
        <v>27</v>
      </c>
      <c r="P3046">
        <v>2.73</v>
      </c>
      <c r="Q3046" s="2" t="b">
        <f>FALSE()</f>
        <v>0</v>
      </c>
      <c r="R3046">
        <v>0</v>
      </c>
    </row>
    <row r="3047" spans="1:18" x14ac:dyDescent="0.25">
      <c r="A3047">
        <v>203046</v>
      </c>
      <c r="B3047">
        <v>55267</v>
      </c>
      <c r="C3047" t="s">
        <v>34</v>
      </c>
      <c r="D3047">
        <v>1259.6099999999999</v>
      </c>
      <c r="E3047">
        <v>1008</v>
      </c>
      <c r="F3047">
        <v>0</v>
      </c>
      <c r="G3047">
        <v>4</v>
      </c>
      <c r="H3047">
        <v>0</v>
      </c>
      <c r="I3047" t="s">
        <v>19</v>
      </c>
      <c r="J3047">
        <v>0</v>
      </c>
      <c r="K3047">
        <v>63</v>
      </c>
      <c r="L3047" t="s">
        <v>24</v>
      </c>
      <c r="M3047" t="s">
        <v>37</v>
      </c>
      <c r="N3047" t="s">
        <v>22</v>
      </c>
      <c r="O3047" t="s">
        <v>27</v>
      </c>
      <c r="P3047">
        <v>0.83</v>
      </c>
      <c r="Q3047" s="2" t="b">
        <f>FALSE()</f>
        <v>0</v>
      </c>
      <c r="R3047">
        <v>0</v>
      </c>
    </row>
    <row r="3048" spans="1:18" x14ac:dyDescent="0.25">
      <c r="A3048">
        <v>203047</v>
      </c>
      <c r="B3048">
        <v>55656</v>
      </c>
      <c r="C3048" t="s">
        <v>18</v>
      </c>
      <c r="D3048">
        <v>1300.29</v>
      </c>
      <c r="E3048">
        <v>205</v>
      </c>
      <c r="F3048">
        <v>2</v>
      </c>
      <c r="G3048">
        <v>4</v>
      </c>
      <c r="H3048">
        <v>1</v>
      </c>
      <c r="I3048" t="s">
        <v>33</v>
      </c>
      <c r="J3048">
        <v>1</v>
      </c>
      <c r="K3048">
        <v>18</v>
      </c>
      <c r="L3048" t="s">
        <v>20</v>
      </c>
      <c r="M3048" t="s">
        <v>29</v>
      </c>
      <c r="N3048" t="s">
        <v>30</v>
      </c>
      <c r="O3048" t="s">
        <v>27</v>
      </c>
      <c r="P3048">
        <v>2.79</v>
      </c>
      <c r="Q3048" s="2" t="b">
        <f>FALSE()</f>
        <v>0</v>
      </c>
      <c r="R3048">
        <v>0</v>
      </c>
    </row>
    <row r="3049" spans="1:18" x14ac:dyDescent="0.25">
      <c r="A3049">
        <v>203048</v>
      </c>
      <c r="B3049">
        <v>52918</v>
      </c>
      <c r="C3049" t="s">
        <v>18</v>
      </c>
      <c r="D3049">
        <v>1726.51</v>
      </c>
      <c r="E3049">
        <v>2879</v>
      </c>
      <c r="F3049">
        <v>3</v>
      </c>
      <c r="G3049">
        <v>4</v>
      </c>
      <c r="H3049">
        <v>0</v>
      </c>
      <c r="I3049" t="s">
        <v>19</v>
      </c>
      <c r="J3049">
        <v>0</v>
      </c>
      <c r="K3049">
        <v>25</v>
      </c>
      <c r="L3049" t="s">
        <v>20</v>
      </c>
      <c r="M3049" t="s">
        <v>31</v>
      </c>
      <c r="N3049" t="s">
        <v>30</v>
      </c>
      <c r="O3049" t="s">
        <v>23</v>
      </c>
      <c r="P3049">
        <v>2.2999999999999998</v>
      </c>
      <c r="Q3049" s="2" t="b">
        <f>FALSE()</f>
        <v>0</v>
      </c>
      <c r="R3049">
        <v>1</v>
      </c>
    </row>
    <row r="3050" spans="1:18" x14ac:dyDescent="0.25">
      <c r="A3050">
        <v>203049</v>
      </c>
      <c r="B3050">
        <v>52653</v>
      </c>
      <c r="C3050" t="s">
        <v>34</v>
      </c>
      <c r="D3050">
        <v>1791.85</v>
      </c>
      <c r="E3050">
        <v>2585</v>
      </c>
      <c r="F3050">
        <v>0</v>
      </c>
      <c r="G3050">
        <v>7</v>
      </c>
      <c r="H3050">
        <v>1</v>
      </c>
      <c r="I3050" t="s">
        <v>33</v>
      </c>
      <c r="J3050">
        <v>0</v>
      </c>
      <c r="K3050">
        <v>59</v>
      </c>
      <c r="L3050" t="s">
        <v>24</v>
      </c>
      <c r="M3050" t="s">
        <v>25</v>
      </c>
      <c r="N3050" t="s">
        <v>22</v>
      </c>
      <c r="O3050" t="s">
        <v>27</v>
      </c>
      <c r="P3050">
        <v>11.29</v>
      </c>
      <c r="Q3050" s="2" t="b">
        <f>FALSE()</f>
        <v>0</v>
      </c>
      <c r="R3050">
        <v>1</v>
      </c>
    </row>
    <row r="3051" spans="1:18" x14ac:dyDescent="0.25">
      <c r="A3051">
        <v>203050</v>
      </c>
      <c r="B3051">
        <v>51441</v>
      </c>
      <c r="C3051" t="s">
        <v>28</v>
      </c>
      <c r="D3051">
        <v>491.91</v>
      </c>
      <c r="E3051">
        <v>109</v>
      </c>
      <c r="F3051">
        <v>2</v>
      </c>
      <c r="G3051">
        <v>4</v>
      </c>
      <c r="H3051">
        <v>1</v>
      </c>
      <c r="I3051" t="s">
        <v>33</v>
      </c>
      <c r="J3051">
        <v>0</v>
      </c>
      <c r="K3051">
        <v>49</v>
      </c>
      <c r="L3051" t="s">
        <v>20</v>
      </c>
      <c r="M3051" t="s">
        <v>37</v>
      </c>
      <c r="N3051" t="s">
        <v>26</v>
      </c>
      <c r="O3051" t="s">
        <v>27</v>
      </c>
      <c r="P3051">
        <v>1.32</v>
      </c>
      <c r="Q3051" s="2" t="b">
        <f>FALSE()</f>
        <v>0</v>
      </c>
      <c r="R3051">
        <v>0</v>
      </c>
    </row>
    <row r="3052" spans="1:18" x14ac:dyDescent="0.25">
      <c r="A3052">
        <v>203051</v>
      </c>
      <c r="B3052">
        <v>51767</v>
      </c>
      <c r="C3052" t="s">
        <v>18</v>
      </c>
      <c r="D3052">
        <v>4162.6099999999997</v>
      </c>
      <c r="E3052">
        <v>278</v>
      </c>
      <c r="F3052">
        <v>1</v>
      </c>
      <c r="G3052">
        <v>3</v>
      </c>
      <c r="H3052">
        <v>0</v>
      </c>
      <c r="I3052" t="s">
        <v>33</v>
      </c>
      <c r="J3052">
        <v>0</v>
      </c>
      <c r="K3052">
        <v>62</v>
      </c>
      <c r="L3052" t="s">
        <v>24</v>
      </c>
      <c r="M3052" t="s">
        <v>29</v>
      </c>
      <c r="N3052" t="s">
        <v>22</v>
      </c>
      <c r="O3052" t="s">
        <v>36</v>
      </c>
      <c r="P3052">
        <v>5.24</v>
      </c>
      <c r="Q3052" s="2" t="b">
        <f>FALSE()</f>
        <v>0</v>
      </c>
      <c r="R3052">
        <v>1</v>
      </c>
    </row>
    <row r="3053" spans="1:18" x14ac:dyDescent="0.25">
      <c r="A3053">
        <v>203052</v>
      </c>
      <c r="B3053">
        <v>54752</v>
      </c>
      <c r="C3053" t="s">
        <v>34</v>
      </c>
      <c r="D3053">
        <v>1306.3800000000001</v>
      </c>
      <c r="E3053">
        <v>3032</v>
      </c>
      <c r="F3053">
        <v>0</v>
      </c>
      <c r="G3053">
        <v>2</v>
      </c>
      <c r="H3053">
        <v>0</v>
      </c>
      <c r="I3053" t="s">
        <v>19</v>
      </c>
      <c r="J3053">
        <v>0</v>
      </c>
      <c r="K3053">
        <v>78</v>
      </c>
      <c r="L3053" t="s">
        <v>24</v>
      </c>
      <c r="M3053" t="s">
        <v>25</v>
      </c>
      <c r="N3053" t="s">
        <v>30</v>
      </c>
      <c r="O3053" t="s">
        <v>27</v>
      </c>
      <c r="P3053">
        <v>4.51</v>
      </c>
      <c r="Q3053" s="2" t="b">
        <f>FALSE()</f>
        <v>0</v>
      </c>
      <c r="R3053">
        <v>0</v>
      </c>
    </row>
    <row r="3054" spans="1:18" x14ac:dyDescent="0.25">
      <c r="A3054">
        <v>203053</v>
      </c>
      <c r="B3054">
        <v>50706</v>
      </c>
      <c r="C3054" t="s">
        <v>18</v>
      </c>
      <c r="D3054">
        <v>4665.54</v>
      </c>
      <c r="E3054">
        <v>274</v>
      </c>
      <c r="F3054">
        <v>1</v>
      </c>
      <c r="G3054">
        <v>2</v>
      </c>
      <c r="H3054">
        <v>1</v>
      </c>
      <c r="I3054" t="s">
        <v>33</v>
      </c>
      <c r="J3054">
        <v>0</v>
      </c>
      <c r="K3054">
        <v>76</v>
      </c>
      <c r="L3054" t="s">
        <v>24</v>
      </c>
      <c r="M3054" t="s">
        <v>29</v>
      </c>
      <c r="N3054" t="s">
        <v>22</v>
      </c>
      <c r="O3054" t="s">
        <v>36</v>
      </c>
      <c r="P3054">
        <v>1.28</v>
      </c>
      <c r="Q3054" s="2" t="b">
        <f>FALSE()</f>
        <v>0</v>
      </c>
      <c r="R3054">
        <v>1</v>
      </c>
    </row>
    <row r="3055" spans="1:18" x14ac:dyDescent="0.25">
      <c r="A3055">
        <v>203054</v>
      </c>
      <c r="B3055">
        <v>54159</v>
      </c>
      <c r="C3055" t="s">
        <v>18</v>
      </c>
      <c r="D3055">
        <v>491.18</v>
      </c>
      <c r="E3055">
        <v>2430</v>
      </c>
      <c r="F3055">
        <v>1</v>
      </c>
      <c r="G3055">
        <v>3</v>
      </c>
      <c r="H3055">
        <v>0</v>
      </c>
      <c r="I3055" t="s">
        <v>19</v>
      </c>
      <c r="J3055">
        <v>0</v>
      </c>
      <c r="K3055">
        <v>21</v>
      </c>
      <c r="L3055" t="s">
        <v>24</v>
      </c>
      <c r="M3055" t="s">
        <v>31</v>
      </c>
      <c r="N3055" t="s">
        <v>22</v>
      </c>
      <c r="O3055" t="s">
        <v>27</v>
      </c>
      <c r="P3055">
        <v>1.59</v>
      </c>
      <c r="Q3055" s="2" t="b">
        <f>FALSE()</f>
        <v>0</v>
      </c>
      <c r="R3055">
        <v>0</v>
      </c>
    </row>
    <row r="3056" spans="1:18" x14ac:dyDescent="0.25">
      <c r="A3056">
        <v>203055</v>
      </c>
      <c r="B3056">
        <v>53039</v>
      </c>
      <c r="C3056" t="s">
        <v>18</v>
      </c>
      <c r="D3056">
        <v>2898.51</v>
      </c>
      <c r="E3056">
        <v>1397</v>
      </c>
      <c r="F3056">
        <v>1</v>
      </c>
      <c r="G3056">
        <v>6</v>
      </c>
      <c r="H3056">
        <v>1</v>
      </c>
      <c r="I3056" t="s">
        <v>19</v>
      </c>
      <c r="J3056">
        <v>0</v>
      </c>
      <c r="K3056">
        <v>54</v>
      </c>
      <c r="L3056" t="s">
        <v>24</v>
      </c>
      <c r="M3056" t="s">
        <v>21</v>
      </c>
      <c r="N3056" t="s">
        <v>22</v>
      </c>
      <c r="O3056" t="s">
        <v>27</v>
      </c>
      <c r="P3056">
        <v>1.6</v>
      </c>
      <c r="Q3056" s="2" t="b">
        <f>FALSE()</f>
        <v>0</v>
      </c>
      <c r="R3056">
        <v>0</v>
      </c>
    </row>
    <row r="3057" spans="1:18" x14ac:dyDescent="0.25">
      <c r="A3057">
        <v>203056</v>
      </c>
      <c r="B3057">
        <v>54044</v>
      </c>
      <c r="C3057" t="s">
        <v>34</v>
      </c>
      <c r="D3057">
        <v>1709.55</v>
      </c>
      <c r="E3057">
        <v>72</v>
      </c>
      <c r="F3057">
        <v>1</v>
      </c>
      <c r="G3057">
        <v>5</v>
      </c>
      <c r="H3057">
        <v>0</v>
      </c>
      <c r="I3057" t="s">
        <v>33</v>
      </c>
      <c r="J3057">
        <v>0</v>
      </c>
      <c r="K3057">
        <v>28</v>
      </c>
      <c r="L3057" t="s">
        <v>20</v>
      </c>
      <c r="M3057" t="s">
        <v>29</v>
      </c>
      <c r="N3057" t="s">
        <v>30</v>
      </c>
      <c r="O3057" t="s">
        <v>23</v>
      </c>
      <c r="P3057">
        <v>0.26</v>
      </c>
      <c r="Q3057" s="2" t="b">
        <f>FALSE()</f>
        <v>0</v>
      </c>
      <c r="R3057">
        <v>0</v>
      </c>
    </row>
    <row r="3058" spans="1:18" x14ac:dyDescent="0.25">
      <c r="A3058">
        <v>203057</v>
      </c>
      <c r="B3058">
        <v>54821</v>
      </c>
      <c r="C3058" t="s">
        <v>18</v>
      </c>
      <c r="D3058">
        <v>1373.32</v>
      </c>
      <c r="E3058">
        <v>1744</v>
      </c>
      <c r="F3058">
        <v>0</v>
      </c>
      <c r="G3058">
        <v>2</v>
      </c>
      <c r="H3058">
        <v>1</v>
      </c>
      <c r="I3058" t="s">
        <v>32</v>
      </c>
      <c r="J3058">
        <v>0</v>
      </c>
      <c r="K3058">
        <v>47</v>
      </c>
      <c r="L3058" t="s">
        <v>24</v>
      </c>
      <c r="M3058" t="s">
        <v>37</v>
      </c>
      <c r="N3058" t="s">
        <v>30</v>
      </c>
      <c r="O3058" t="s">
        <v>36</v>
      </c>
      <c r="P3058">
        <v>1.87</v>
      </c>
      <c r="Q3058" s="2" t="b">
        <f>FALSE()</f>
        <v>0</v>
      </c>
      <c r="R3058">
        <v>0</v>
      </c>
    </row>
    <row r="3059" spans="1:18" x14ac:dyDescent="0.25">
      <c r="A3059">
        <v>203058</v>
      </c>
      <c r="B3059">
        <v>52999</v>
      </c>
      <c r="C3059" t="s">
        <v>28</v>
      </c>
      <c r="D3059">
        <v>2472.17</v>
      </c>
      <c r="E3059">
        <v>1256</v>
      </c>
      <c r="F3059">
        <v>0</v>
      </c>
      <c r="G3059">
        <v>3</v>
      </c>
      <c r="H3059">
        <v>0</v>
      </c>
      <c r="I3059" t="s">
        <v>33</v>
      </c>
      <c r="J3059">
        <v>0</v>
      </c>
      <c r="K3059">
        <v>46</v>
      </c>
      <c r="L3059" t="s">
        <v>24</v>
      </c>
      <c r="M3059" t="s">
        <v>29</v>
      </c>
      <c r="N3059" t="s">
        <v>30</v>
      </c>
      <c r="O3059" t="s">
        <v>27</v>
      </c>
      <c r="P3059">
        <v>2.91</v>
      </c>
      <c r="Q3059" s="2" t="b">
        <f>FALSE()</f>
        <v>0</v>
      </c>
      <c r="R3059">
        <v>0</v>
      </c>
    </row>
    <row r="3060" spans="1:18" x14ac:dyDescent="0.25">
      <c r="A3060">
        <v>203059</v>
      </c>
      <c r="B3060">
        <v>52891</v>
      </c>
      <c r="C3060" t="s">
        <v>28</v>
      </c>
      <c r="D3060">
        <v>935.93</v>
      </c>
      <c r="E3060">
        <v>2961</v>
      </c>
      <c r="F3060">
        <v>1</v>
      </c>
      <c r="G3060">
        <v>3</v>
      </c>
      <c r="H3060">
        <v>0</v>
      </c>
      <c r="I3060" t="s">
        <v>19</v>
      </c>
      <c r="J3060">
        <v>0</v>
      </c>
      <c r="K3060">
        <v>51</v>
      </c>
      <c r="L3060" t="s">
        <v>24</v>
      </c>
      <c r="M3060" t="s">
        <v>37</v>
      </c>
      <c r="N3060" t="s">
        <v>22</v>
      </c>
      <c r="O3060" t="s">
        <v>36</v>
      </c>
      <c r="P3060">
        <v>2.77</v>
      </c>
      <c r="Q3060" s="2" t="b">
        <f>FALSE()</f>
        <v>0</v>
      </c>
      <c r="R3060">
        <v>0</v>
      </c>
    </row>
    <row r="3061" spans="1:18" x14ac:dyDescent="0.25">
      <c r="A3061">
        <v>203060</v>
      </c>
      <c r="B3061">
        <v>53499</v>
      </c>
      <c r="C3061" t="s">
        <v>34</v>
      </c>
      <c r="D3061">
        <v>5604.8</v>
      </c>
      <c r="E3061">
        <v>1572</v>
      </c>
      <c r="F3061">
        <v>1</v>
      </c>
      <c r="G3061">
        <v>9</v>
      </c>
      <c r="H3061">
        <v>0</v>
      </c>
      <c r="I3061" t="s">
        <v>33</v>
      </c>
      <c r="J3061">
        <v>1</v>
      </c>
      <c r="K3061">
        <v>20</v>
      </c>
      <c r="L3061" t="s">
        <v>20</v>
      </c>
      <c r="M3061" t="s">
        <v>35</v>
      </c>
      <c r="N3061" t="s">
        <v>30</v>
      </c>
      <c r="O3061" t="s">
        <v>36</v>
      </c>
      <c r="P3061">
        <v>2.71</v>
      </c>
      <c r="Q3061" s="2" t="b">
        <f>FALSE()</f>
        <v>0</v>
      </c>
      <c r="R3061">
        <v>1</v>
      </c>
    </row>
    <row r="3062" spans="1:18" x14ac:dyDescent="0.25">
      <c r="A3062">
        <v>203061</v>
      </c>
      <c r="B3062">
        <v>55046</v>
      </c>
      <c r="C3062" t="s">
        <v>18</v>
      </c>
      <c r="D3062">
        <v>1356.13</v>
      </c>
      <c r="E3062">
        <v>2079</v>
      </c>
      <c r="F3062">
        <v>1</v>
      </c>
      <c r="G3062">
        <v>5</v>
      </c>
      <c r="H3062">
        <v>0</v>
      </c>
      <c r="I3062" t="s">
        <v>33</v>
      </c>
      <c r="J3062">
        <v>0</v>
      </c>
      <c r="K3062">
        <v>46</v>
      </c>
      <c r="L3062" t="s">
        <v>20</v>
      </c>
      <c r="M3062" t="s">
        <v>21</v>
      </c>
      <c r="N3062" t="s">
        <v>26</v>
      </c>
      <c r="O3062" t="s">
        <v>23</v>
      </c>
      <c r="P3062">
        <v>7.1</v>
      </c>
      <c r="Q3062" s="2" t="b">
        <f>FALSE()</f>
        <v>0</v>
      </c>
      <c r="R3062">
        <v>0</v>
      </c>
    </row>
    <row r="3063" spans="1:18" x14ac:dyDescent="0.25">
      <c r="A3063">
        <v>203062</v>
      </c>
      <c r="B3063">
        <v>50552</v>
      </c>
      <c r="C3063" t="s">
        <v>28</v>
      </c>
      <c r="D3063">
        <v>2004.34</v>
      </c>
      <c r="E3063">
        <v>93</v>
      </c>
      <c r="F3063">
        <v>1</v>
      </c>
      <c r="G3063">
        <v>3</v>
      </c>
      <c r="H3063">
        <v>0</v>
      </c>
      <c r="I3063" t="s">
        <v>33</v>
      </c>
      <c r="J3063">
        <v>0</v>
      </c>
      <c r="K3063">
        <v>35</v>
      </c>
      <c r="L3063" t="s">
        <v>24</v>
      </c>
      <c r="M3063" t="s">
        <v>29</v>
      </c>
      <c r="N3063" t="s">
        <v>22</v>
      </c>
      <c r="O3063" t="s">
        <v>23</v>
      </c>
      <c r="P3063">
        <v>4.2699999999999996</v>
      </c>
      <c r="Q3063" s="2" t="b">
        <f>FALSE()</f>
        <v>0</v>
      </c>
      <c r="R3063">
        <v>0</v>
      </c>
    </row>
    <row r="3064" spans="1:18" x14ac:dyDescent="0.25">
      <c r="A3064">
        <v>203063</v>
      </c>
      <c r="B3064">
        <v>55708</v>
      </c>
      <c r="C3064" t="s">
        <v>34</v>
      </c>
      <c r="D3064">
        <v>3543.4</v>
      </c>
      <c r="E3064">
        <v>2233</v>
      </c>
      <c r="F3064">
        <v>2</v>
      </c>
      <c r="G3064">
        <v>3</v>
      </c>
      <c r="H3064">
        <v>1</v>
      </c>
      <c r="I3064" t="s">
        <v>33</v>
      </c>
      <c r="J3064">
        <v>0</v>
      </c>
      <c r="K3064">
        <v>31</v>
      </c>
      <c r="L3064" t="s">
        <v>20</v>
      </c>
      <c r="M3064" t="s">
        <v>35</v>
      </c>
      <c r="N3064" t="s">
        <v>26</v>
      </c>
      <c r="O3064" t="s">
        <v>27</v>
      </c>
      <c r="P3064">
        <v>2.0099999999999998</v>
      </c>
      <c r="Q3064" s="2" t="b">
        <f>FALSE()</f>
        <v>0</v>
      </c>
      <c r="R3064">
        <v>0</v>
      </c>
    </row>
    <row r="3065" spans="1:18" x14ac:dyDescent="0.25">
      <c r="A3065">
        <v>203064</v>
      </c>
      <c r="B3065">
        <v>50828</v>
      </c>
      <c r="C3065" t="s">
        <v>34</v>
      </c>
      <c r="D3065">
        <v>3798.86</v>
      </c>
      <c r="E3065">
        <v>3407</v>
      </c>
      <c r="F3065">
        <v>0</v>
      </c>
      <c r="G3065">
        <v>8</v>
      </c>
      <c r="H3065">
        <v>0</v>
      </c>
      <c r="I3065" t="s">
        <v>33</v>
      </c>
      <c r="J3065">
        <v>1</v>
      </c>
      <c r="K3065">
        <v>46</v>
      </c>
      <c r="L3065" t="s">
        <v>20</v>
      </c>
      <c r="M3065" t="s">
        <v>29</v>
      </c>
      <c r="N3065" t="s">
        <v>22</v>
      </c>
      <c r="O3065" t="s">
        <v>27</v>
      </c>
      <c r="P3065">
        <v>6.1</v>
      </c>
      <c r="Q3065" s="2" t="b">
        <f>FALSE()</f>
        <v>0</v>
      </c>
      <c r="R3065">
        <v>1</v>
      </c>
    </row>
    <row r="3066" spans="1:18" x14ac:dyDescent="0.25">
      <c r="A3066">
        <v>203065</v>
      </c>
      <c r="B3066">
        <v>55741</v>
      </c>
      <c r="C3066" t="s">
        <v>18</v>
      </c>
      <c r="D3066">
        <v>3961.34</v>
      </c>
      <c r="E3066">
        <v>1538</v>
      </c>
      <c r="F3066">
        <v>1</v>
      </c>
      <c r="G3066">
        <v>3</v>
      </c>
      <c r="H3066">
        <v>1</v>
      </c>
      <c r="I3066" t="s">
        <v>33</v>
      </c>
      <c r="J3066">
        <v>0</v>
      </c>
      <c r="K3066">
        <v>29</v>
      </c>
      <c r="L3066" t="s">
        <v>20</v>
      </c>
      <c r="M3066" t="s">
        <v>35</v>
      </c>
      <c r="N3066" t="s">
        <v>26</v>
      </c>
      <c r="O3066" t="s">
        <v>23</v>
      </c>
      <c r="P3066">
        <v>2.19</v>
      </c>
      <c r="Q3066" s="2" t="b">
        <f>FALSE()</f>
        <v>0</v>
      </c>
      <c r="R3066">
        <v>1</v>
      </c>
    </row>
    <row r="3067" spans="1:18" x14ac:dyDescent="0.25">
      <c r="A3067">
        <v>203066</v>
      </c>
      <c r="B3067">
        <v>54757</v>
      </c>
      <c r="C3067" t="s">
        <v>18</v>
      </c>
      <c r="D3067">
        <v>1727.44</v>
      </c>
      <c r="E3067">
        <v>246</v>
      </c>
      <c r="F3067">
        <v>1</v>
      </c>
      <c r="G3067">
        <v>7</v>
      </c>
      <c r="H3067">
        <v>0</v>
      </c>
      <c r="I3067" t="s">
        <v>33</v>
      </c>
      <c r="J3067">
        <v>0</v>
      </c>
      <c r="K3067">
        <v>21</v>
      </c>
      <c r="L3067" t="s">
        <v>20</v>
      </c>
      <c r="M3067" t="s">
        <v>31</v>
      </c>
      <c r="N3067" t="s">
        <v>22</v>
      </c>
      <c r="O3067" t="s">
        <v>36</v>
      </c>
      <c r="P3067">
        <v>2.35</v>
      </c>
      <c r="Q3067" s="2" t="b">
        <f>FALSE()</f>
        <v>0</v>
      </c>
      <c r="R3067">
        <v>1</v>
      </c>
    </row>
    <row r="3068" spans="1:18" x14ac:dyDescent="0.25">
      <c r="A3068">
        <v>203067</v>
      </c>
      <c r="B3068">
        <v>52766</v>
      </c>
      <c r="C3068" t="s">
        <v>34</v>
      </c>
      <c r="D3068">
        <v>2770.02</v>
      </c>
      <c r="E3068">
        <v>98</v>
      </c>
      <c r="F3068">
        <v>0</v>
      </c>
      <c r="G3068">
        <v>6</v>
      </c>
      <c r="H3068">
        <v>0</v>
      </c>
      <c r="I3068" t="s">
        <v>19</v>
      </c>
      <c r="J3068">
        <v>0</v>
      </c>
      <c r="K3068">
        <v>54</v>
      </c>
      <c r="L3068" t="s">
        <v>24</v>
      </c>
      <c r="M3068" t="s">
        <v>25</v>
      </c>
      <c r="N3068" t="s">
        <v>22</v>
      </c>
      <c r="O3068" t="s">
        <v>36</v>
      </c>
      <c r="P3068">
        <v>2.95</v>
      </c>
      <c r="Q3068" s="2" t="b">
        <f>FALSE()</f>
        <v>0</v>
      </c>
      <c r="R3068">
        <v>0</v>
      </c>
    </row>
    <row r="3069" spans="1:18" x14ac:dyDescent="0.25">
      <c r="A3069">
        <v>203068</v>
      </c>
      <c r="B3069">
        <v>53796</v>
      </c>
      <c r="C3069" t="s">
        <v>18</v>
      </c>
      <c r="D3069">
        <v>1924.2</v>
      </c>
      <c r="E3069">
        <v>2476</v>
      </c>
      <c r="F3069">
        <v>1</v>
      </c>
      <c r="G3069">
        <v>5</v>
      </c>
      <c r="H3069">
        <v>0</v>
      </c>
      <c r="I3069" t="s">
        <v>33</v>
      </c>
      <c r="J3069">
        <v>0</v>
      </c>
      <c r="K3069">
        <v>28</v>
      </c>
      <c r="L3069" t="s">
        <v>24</v>
      </c>
      <c r="M3069" t="s">
        <v>21</v>
      </c>
      <c r="N3069" t="s">
        <v>22</v>
      </c>
      <c r="O3069" t="s">
        <v>27</v>
      </c>
      <c r="P3069">
        <v>0.78</v>
      </c>
      <c r="Q3069" s="2" t="b">
        <f>FALSE()</f>
        <v>0</v>
      </c>
      <c r="R3069">
        <v>0</v>
      </c>
    </row>
    <row r="3070" spans="1:18" x14ac:dyDescent="0.25">
      <c r="A3070">
        <v>203069</v>
      </c>
      <c r="B3070">
        <v>50193</v>
      </c>
      <c r="C3070" t="s">
        <v>28</v>
      </c>
      <c r="D3070">
        <v>279.42</v>
      </c>
      <c r="E3070">
        <v>1168</v>
      </c>
      <c r="F3070">
        <v>0</v>
      </c>
      <c r="G3070">
        <v>7</v>
      </c>
      <c r="H3070">
        <v>0</v>
      </c>
      <c r="I3070" t="s">
        <v>33</v>
      </c>
      <c r="J3070">
        <v>0</v>
      </c>
      <c r="K3070">
        <v>57</v>
      </c>
      <c r="L3070" t="s">
        <v>20</v>
      </c>
      <c r="M3070" t="s">
        <v>25</v>
      </c>
      <c r="N3070" t="s">
        <v>30</v>
      </c>
      <c r="O3070" t="s">
        <v>36</v>
      </c>
      <c r="P3070">
        <v>1.52</v>
      </c>
      <c r="Q3070" s="2" t="b">
        <f>FALSE()</f>
        <v>0</v>
      </c>
      <c r="R3070">
        <v>1</v>
      </c>
    </row>
    <row r="3071" spans="1:18" x14ac:dyDescent="0.25">
      <c r="A3071">
        <v>203070</v>
      </c>
      <c r="B3071">
        <v>54212</v>
      </c>
      <c r="C3071" t="s">
        <v>18</v>
      </c>
      <c r="D3071">
        <v>5065.3999999999996</v>
      </c>
      <c r="E3071">
        <v>840</v>
      </c>
      <c r="F3071">
        <v>1</v>
      </c>
      <c r="G3071">
        <v>4</v>
      </c>
      <c r="H3071">
        <v>1</v>
      </c>
      <c r="I3071" t="s">
        <v>33</v>
      </c>
      <c r="J3071">
        <v>0</v>
      </c>
      <c r="K3071">
        <v>21</v>
      </c>
      <c r="L3071" t="s">
        <v>20</v>
      </c>
      <c r="M3071" t="s">
        <v>31</v>
      </c>
      <c r="N3071" t="s">
        <v>26</v>
      </c>
      <c r="O3071" t="s">
        <v>36</v>
      </c>
      <c r="P3071">
        <v>9.44</v>
      </c>
      <c r="Q3071" s="2" t="b">
        <f>FALSE()</f>
        <v>0</v>
      </c>
      <c r="R3071">
        <v>1</v>
      </c>
    </row>
    <row r="3072" spans="1:18" x14ac:dyDescent="0.25">
      <c r="A3072">
        <v>203071</v>
      </c>
      <c r="B3072">
        <v>50273</v>
      </c>
      <c r="C3072" t="s">
        <v>18</v>
      </c>
      <c r="D3072">
        <v>1552.36</v>
      </c>
      <c r="E3072">
        <v>802</v>
      </c>
      <c r="F3072">
        <v>0</v>
      </c>
      <c r="G3072">
        <v>2</v>
      </c>
      <c r="H3072">
        <v>0</v>
      </c>
      <c r="I3072" t="s">
        <v>33</v>
      </c>
      <c r="J3072">
        <v>0</v>
      </c>
      <c r="K3072">
        <v>23</v>
      </c>
      <c r="L3072" t="s">
        <v>24</v>
      </c>
      <c r="M3072" t="s">
        <v>29</v>
      </c>
      <c r="N3072" t="s">
        <v>26</v>
      </c>
      <c r="O3072" t="s">
        <v>36</v>
      </c>
      <c r="P3072">
        <v>1.88</v>
      </c>
      <c r="Q3072" s="2" t="b">
        <f>FALSE()</f>
        <v>0</v>
      </c>
      <c r="R3072">
        <v>0</v>
      </c>
    </row>
    <row r="3073" spans="1:18" x14ac:dyDescent="0.25">
      <c r="A3073">
        <v>203072</v>
      </c>
      <c r="B3073">
        <v>53125</v>
      </c>
      <c r="C3073" t="s">
        <v>28</v>
      </c>
      <c r="D3073">
        <v>1054.78</v>
      </c>
      <c r="E3073">
        <v>3155</v>
      </c>
      <c r="F3073">
        <v>3</v>
      </c>
      <c r="G3073">
        <v>3</v>
      </c>
      <c r="H3073">
        <v>1</v>
      </c>
      <c r="I3073" t="s">
        <v>32</v>
      </c>
      <c r="J3073">
        <v>0</v>
      </c>
      <c r="K3073">
        <v>77</v>
      </c>
      <c r="L3073" t="s">
        <v>24</v>
      </c>
      <c r="M3073" t="s">
        <v>35</v>
      </c>
      <c r="N3073" t="s">
        <v>22</v>
      </c>
      <c r="O3073" t="s">
        <v>27</v>
      </c>
      <c r="P3073">
        <v>0.21</v>
      </c>
      <c r="Q3073" s="2" t="b">
        <f>FALSE()</f>
        <v>0</v>
      </c>
      <c r="R3073">
        <v>1</v>
      </c>
    </row>
    <row r="3074" spans="1:18" x14ac:dyDescent="0.25">
      <c r="A3074">
        <v>203073</v>
      </c>
      <c r="B3074">
        <v>51693</v>
      </c>
      <c r="C3074" t="s">
        <v>34</v>
      </c>
      <c r="D3074">
        <v>1232.76</v>
      </c>
      <c r="E3074">
        <v>1500</v>
      </c>
      <c r="F3074">
        <v>2</v>
      </c>
      <c r="G3074">
        <v>4</v>
      </c>
      <c r="H3074">
        <v>1</v>
      </c>
      <c r="I3074" t="s">
        <v>33</v>
      </c>
      <c r="J3074">
        <v>0</v>
      </c>
      <c r="K3074">
        <v>19</v>
      </c>
      <c r="L3074" t="s">
        <v>24</v>
      </c>
      <c r="M3074" t="s">
        <v>29</v>
      </c>
      <c r="N3074" t="s">
        <v>30</v>
      </c>
      <c r="O3074" t="s">
        <v>27</v>
      </c>
      <c r="P3074">
        <v>1.18</v>
      </c>
      <c r="Q3074" s="2" t="b">
        <f>FALSE()</f>
        <v>0</v>
      </c>
      <c r="R3074">
        <v>0</v>
      </c>
    </row>
    <row r="3075" spans="1:18" x14ac:dyDescent="0.25">
      <c r="A3075">
        <v>203074</v>
      </c>
      <c r="B3075">
        <v>51874</v>
      </c>
      <c r="C3075" t="s">
        <v>34</v>
      </c>
      <c r="D3075">
        <v>2491.34</v>
      </c>
      <c r="E3075">
        <v>2583</v>
      </c>
      <c r="F3075">
        <v>1</v>
      </c>
      <c r="G3075">
        <v>4</v>
      </c>
      <c r="H3075">
        <v>1</v>
      </c>
      <c r="I3075" t="s">
        <v>32</v>
      </c>
      <c r="J3075">
        <v>0</v>
      </c>
      <c r="K3075">
        <v>67</v>
      </c>
      <c r="L3075" t="s">
        <v>24</v>
      </c>
      <c r="M3075" t="s">
        <v>31</v>
      </c>
      <c r="N3075" t="s">
        <v>22</v>
      </c>
      <c r="O3075" t="s">
        <v>27</v>
      </c>
      <c r="P3075">
        <v>1.25</v>
      </c>
      <c r="Q3075" s="2" t="b">
        <f>FALSE()</f>
        <v>0</v>
      </c>
      <c r="R3075">
        <v>0</v>
      </c>
    </row>
    <row r="3076" spans="1:18" x14ac:dyDescent="0.25">
      <c r="A3076">
        <v>203075</v>
      </c>
      <c r="B3076">
        <v>51993</v>
      </c>
      <c r="C3076" t="s">
        <v>18</v>
      </c>
      <c r="D3076">
        <v>4649.3599999999997</v>
      </c>
      <c r="E3076">
        <v>3024</v>
      </c>
      <c r="F3076">
        <v>1</v>
      </c>
      <c r="G3076">
        <v>6</v>
      </c>
      <c r="H3076">
        <v>1</v>
      </c>
      <c r="I3076" t="s">
        <v>32</v>
      </c>
      <c r="J3076">
        <v>0</v>
      </c>
      <c r="K3076">
        <v>46</v>
      </c>
      <c r="L3076" t="s">
        <v>24</v>
      </c>
      <c r="M3076" t="s">
        <v>35</v>
      </c>
      <c r="N3076" t="s">
        <v>22</v>
      </c>
      <c r="O3076" t="s">
        <v>23</v>
      </c>
      <c r="P3076">
        <v>0.32</v>
      </c>
      <c r="Q3076" s="2" t="b">
        <f>FALSE()</f>
        <v>0</v>
      </c>
      <c r="R3076">
        <v>1</v>
      </c>
    </row>
    <row r="3077" spans="1:18" x14ac:dyDescent="0.25">
      <c r="A3077">
        <v>203076</v>
      </c>
      <c r="B3077">
        <v>53843</v>
      </c>
      <c r="C3077" t="s">
        <v>28</v>
      </c>
      <c r="D3077">
        <v>5322.87</v>
      </c>
      <c r="E3077">
        <v>587</v>
      </c>
      <c r="F3077">
        <v>1</v>
      </c>
      <c r="G3077">
        <v>4</v>
      </c>
      <c r="H3077">
        <v>0</v>
      </c>
      <c r="I3077" t="s">
        <v>19</v>
      </c>
      <c r="J3077">
        <v>0</v>
      </c>
      <c r="K3077">
        <v>61</v>
      </c>
      <c r="L3077" t="s">
        <v>24</v>
      </c>
      <c r="M3077" t="s">
        <v>31</v>
      </c>
      <c r="N3077" t="s">
        <v>26</v>
      </c>
      <c r="O3077" t="s">
        <v>27</v>
      </c>
      <c r="P3077">
        <v>3.98</v>
      </c>
      <c r="Q3077" s="2" t="b">
        <f>FALSE()</f>
        <v>0</v>
      </c>
      <c r="R3077">
        <v>1</v>
      </c>
    </row>
    <row r="3078" spans="1:18" x14ac:dyDescent="0.25">
      <c r="A3078">
        <v>203077</v>
      </c>
      <c r="B3078">
        <v>53237</v>
      </c>
      <c r="C3078" t="s">
        <v>28</v>
      </c>
      <c r="D3078">
        <v>1222.93</v>
      </c>
      <c r="E3078">
        <v>190</v>
      </c>
      <c r="F3078">
        <v>1</v>
      </c>
      <c r="G3078">
        <v>6</v>
      </c>
      <c r="H3078">
        <v>0</v>
      </c>
      <c r="I3078" t="s">
        <v>32</v>
      </c>
      <c r="J3078">
        <v>1</v>
      </c>
      <c r="K3078">
        <v>69</v>
      </c>
      <c r="L3078" t="s">
        <v>24</v>
      </c>
      <c r="M3078" t="s">
        <v>25</v>
      </c>
      <c r="N3078" t="s">
        <v>22</v>
      </c>
      <c r="O3078" t="s">
        <v>27</v>
      </c>
      <c r="P3078">
        <v>1.33</v>
      </c>
      <c r="Q3078" s="2" t="b">
        <f>FALSE()</f>
        <v>0</v>
      </c>
      <c r="R3078">
        <v>0</v>
      </c>
    </row>
    <row r="3079" spans="1:18" x14ac:dyDescent="0.25">
      <c r="A3079">
        <v>203078</v>
      </c>
      <c r="B3079">
        <v>51606</v>
      </c>
      <c r="C3079" t="s">
        <v>18</v>
      </c>
      <c r="D3079">
        <v>1493.06</v>
      </c>
      <c r="E3079">
        <v>232</v>
      </c>
      <c r="F3079">
        <v>0</v>
      </c>
      <c r="G3079">
        <v>6</v>
      </c>
      <c r="H3079">
        <v>0</v>
      </c>
      <c r="I3079" t="s">
        <v>19</v>
      </c>
      <c r="J3079">
        <v>0</v>
      </c>
      <c r="K3079">
        <v>44</v>
      </c>
      <c r="L3079" t="s">
        <v>24</v>
      </c>
      <c r="M3079" t="s">
        <v>25</v>
      </c>
      <c r="N3079" t="s">
        <v>30</v>
      </c>
      <c r="O3079" t="s">
        <v>27</v>
      </c>
      <c r="P3079">
        <v>4.1500000000000004</v>
      </c>
      <c r="Q3079" s="2" t="b">
        <f>FALSE()</f>
        <v>0</v>
      </c>
      <c r="R3079">
        <v>0</v>
      </c>
    </row>
    <row r="3080" spans="1:18" x14ac:dyDescent="0.25">
      <c r="A3080">
        <v>203079</v>
      </c>
      <c r="B3080">
        <v>52296</v>
      </c>
      <c r="C3080" t="s">
        <v>18</v>
      </c>
      <c r="D3080">
        <v>5853.43</v>
      </c>
      <c r="E3080">
        <v>2554</v>
      </c>
      <c r="F3080">
        <v>1</v>
      </c>
      <c r="G3080">
        <v>3</v>
      </c>
      <c r="H3080">
        <v>0</v>
      </c>
      <c r="I3080" t="s">
        <v>33</v>
      </c>
      <c r="J3080">
        <v>0</v>
      </c>
      <c r="K3080">
        <v>65</v>
      </c>
      <c r="L3080" t="s">
        <v>24</v>
      </c>
      <c r="M3080" t="s">
        <v>25</v>
      </c>
      <c r="N3080" t="s">
        <v>22</v>
      </c>
      <c r="O3080" t="s">
        <v>36</v>
      </c>
      <c r="P3080">
        <v>3.72</v>
      </c>
      <c r="Q3080" s="2" t="b">
        <f>FALSE()</f>
        <v>0</v>
      </c>
      <c r="R3080">
        <v>1</v>
      </c>
    </row>
    <row r="3081" spans="1:18" x14ac:dyDescent="0.25">
      <c r="A3081">
        <v>203080</v>
      </c>
      <c r="B3081">
        <v>55346</v>
      </c>
      <c r="C3081" t="s">
        <v>34</v>
      </c>
      <c r="D3081">
        <v>2304.88</v>
      </c>
      <c r="E3081">
        <v>3040</v>
      </c>
      <c r="F3081">
        <v>2</v>
      </c>
      <c r="G3081">
        <v>3</v>
      </c>
      <c r="H3081">
        <v>0</v>
      </c>
      <c r="I3081" t="s">
        <v>19</v>
      </c>
      <c r="J3081">
        <v>0</v>
      </c>
      <c r="K3081">
        <v>65</v>
      </c>
      <c r="L3081" t="s">
        <v>24</v>
      </c>
      <c r="M3081" t="s">
        <v>35</v>
      </c>
      <c r="N3081" t="s">
        <v>22</v>
      </c>
      <c r="O3081" t="s">
        <v>36</v>
      </c>
      <c r="P3081">
        <v>5.67</v>
      </c>
      <c r="Q3081" s="2" t="b">
        <f>FALSE()</f>
        <v>0</v>
      </c>
      <c r="R3081">
        <v>0</v>
      </c>
    </row>
    <row r="3082" spans="1:18" x14ac:dyDescent="0.25">
      <c r="A3082">
        <v>203081</v>
      </c>
      <c r="B3082">
        <v>52817</v>
      </c>
      <c r="C3082" t="s">
        <v>18</v>
      </c>
      <c r="D3082">
        <v>1747.86</v>
      </c>
      <c r="E3082">
        <v>3370</v>
      </c>
      <c r="F3082">
        <v>2</v>
      </c>
      <c r="G3082">
        <v>0</v>
      </c>
      <c r="H3082">
        <v>0</v>
      </c>
      <c r="I3082" t="s">
        <v>33</v>
      </c>
      <c r="J3082">
        <v>0</v>
      </c>
      <c r="K3082">
        <v>72</v>
      </c>
      <c r="L3082" t="s">
        <v>24</v>
      </c>
      <c r="M3082" t="s">
        <v>37</v>
      </c>
      <c r="N3082" t="s">
        <v>22</v>
      </c>
      <c r="O3082" t="s">
        <v>36</v>
      </c>
      <c r="P3082">
        <v>0.97</v>
      </c>
      <c r="Q3082" s="2" t="b">
        <f>FALSE()</f>
        <v>0</v>
      </c>
      <c r="R3082">
        <v>0</v>
      </c>
    </row>
    <row r="3083" spans="1:18" x14ac:dyDescent="0.25">
      <c r="A3083">
        <v>203082</v>
      </c>
      <c r="B3083">
        <v>55127</v>
      </c>
      <c r="C3083" t="s">
        <v>34</v>
      </c>
      <c r="D3083">
        <v>1727.75</v>
      </c>
      <c r="E3083">
        <v>3127</v>
      </c>
      <c r="F3083">
        <v>1</v>
      </c>
      <c r="G3083">
        <v>5</v>
      </c>
      <c r="H3083">
        <v>0</v>
      </c>
      <c r="I3083" t="s">
        <v>33</v>
      </c>
      <c r="J3083">
        <v>0</v>
      </c>
      <c r="K3083">
        <v>24</v>
      </c>
      <c r="L3083" t="s">
        <v>20</v>
      </c>
      <c r="M3083" t="s">
        <v>21</v>
      </c>
      <c r="N3083" t="s">
        <v>22</v>
      </c>
      <c r="O3083" t="s">
        <v>36</v>
      </c>
      <c r="P3083">
        <v>0.02</v>
      </c>
      <c r="Q3083" s="2" t="b">
        <f>FALSE()</f>
        <v>0</v>
      </c>
      <c r="R3083">
        <v>0</v>
      </c>
    </row>
    <row r="3084" spans="1:18" x14ac:dyDescent="0.25">
      <c r="A3084">
        <v>203083</v>
      </c>
      <c r="B3084">
        <v>55728</v>
      </c>
      <c r="C3084" t="s">
        <v>34</v>
      </c>
      <c r="D3084">
        <v>1762.27</v>
      </c>
      <c r="E3084">
        <v>2899</v>
      </c>
      <c r="F3084">
        <v>1</v>
      </c>
      <c r="G3084">
        <v>2</v>
      </c>
      <c r="H3084">
        <v>1</v>
      </c>
      <c r="I3084" t="s">
        <v>19</v>
      </c>
      <c r="J3084">
        <v>0</v>
      </c>
      <c r="K3084">
        <v>48</v>
      </c>
      <c r="L3084" t="s">
        <v>24</v>
      </c>
      <c r="M3084" t="s">
        <v>25</v>
      </c>
      <c r="N3084" t="s">
        <v>30</v>
      </c>
      <c r="O3084" t="s">
        <v>36</v>
      </c>
      <c r="P3084">
        <v>3.93</v>
      </c>
      <c r="Q3084" s="2" t="b">
        <f>FALSE()</f>
        <v>0</v>
      </c>
      <c r="R3084">
        <v>0</v>
      </c>
    </row>
    <row r="3085" spans="1:18" x14ac:dyDescent="0.25">
      <c r="A3085">
        <v>203084</v>
      </c>
      <c r="B3085">
        <v>54814</v>
      </c>
      <c r="C3085" t="s">
        <v>34</v>
      </c>
      <c r="D3085">
        <v>779.69</v>
      </c>
      <c r="E3085">
        <v>210</v>
      </c>
      <c r="F3085">
        <v>4</v>
      </c>
      <c r="G3085">
        <v>7</v>
      </c>
      <c r="H3085">
        <v>1</v>
      </c>
      <c r="I3085" t="s">
        <v>33</v>
      </c>
      <c r="J3085">
        <v>0</v>
      </c>
      <c r="K3085">
        <v>70</v>
      </c>
      <c r="L3085" t="s">
        <v>20</v>
      </c>
      <c r="M3085" t="s">
        <v>31</v>
      </c>
      <c r="N3085" t="s">
        <v>22</v>
      </c>
      <c r="O3085" t="s">
        <v>36</v>
      </c>
      <c r="P3085">
        <v>6.86</v>
      </c>
      <c r="Q3085" s="2" t="b">
        <f>FALSE()</f>
        <v>0</v>
      </c>
      <c r="R3085">
        <v>1</v>
      </c>
    </row>
    <row r="3086" spans="1:18" x14ac:dyDescent="0.25">
      <c r="A3086">
        <v>203085</v>
      </c>
      <c r="B3086">
        <v>50128</v>
      </c>
      <c r="C3086" t="s">
        <v>28</v>
      </c>
      <c r="D3086">
        <v>3820.36</v>
      </c>
      <c r="E3086">
        <v>710</v>
      </c>
      <c r="F3086">
        <v>4</v>
      </c>
      <c r="G3086">
        <v>3</v>
      </c>
      <c r="H3086">
        <v>1</v>
      </c>
      <c r="I3086" t="s">
        <v>33</v>
      </c>
      <c r="J3086">
        <v>0</v>
      </c>
      <c r="K3086">
        <v>31</v>
      </c>
      <c r="L3086" t="s">
        <v>24</v>
      </c>
      <c r="M3086" t="s">
        <v>25</v>
      </c>
      <c r="N3086" t="s">
        <v>30</v>
      </c>
      <c r="O3086" t="s">
        <v>27</v>
      </c>
      <c r="P3086">
        <v>1.02</v>
      </c>
      <c r="Q3086" s="2" t="b">
        <f>FALSE()</f>
        <v>0</v>
      </c>
      <c r="R3086">
        <v>1</v>
      </c>
    </row>
    <row r="3087" spans="1:18" x14ac:dyDescent="0.25">
      <c r="A3087">
        <v>203086</v>
      </c>
      <c r="B3087">
        <v>54298</v>
      </c>
      <c r="C3087" t="s">
        <v>28</v>
      </c>
      <c r="D3087">
        <v>1788.73</v>
      </c>
      <c r="E3087">
        <v>2031</v>
      </c>
      <c r="F3087">
        <v>0</v>
      </c>
      <c r="G3087">
        <v>4</v>
      </c>
      <c r="H3087">
        <v>0</v>
      </c>
      <c r="I3087" t="s">
        <v>19</v>
      </c>
      <c r="J3087">
        <v>1</v>
      </c>
      <c r="K3087">
        <v>23</v>
      </c>
      <c r="L3087" t="s">
        <v>20</v>
      </c>
      <c r="M3087" t="s">
        <v>21</v>
      </c>
      <c r="N3087" t="s">
        <v>22</v>
      </c>
      <c r="O3087" t="s">
        <v>27</v>
      </c>
      <c r="P3087">
        <v>0.32</v>
      </c>
      <c r="Q3087" s="2" t="b">
        <f>FALSE()</f>
        <v>0</v>
      </c>
      <c r="R3087">
        <v>0</v>
      </c>
    </row>
    <row r="3088" spans="1:18" x14ac:dyDescent="0.25">
      <c r="A3088">
        <v>203087</v>
      </c>
      <c r="B3088">
        <v>55581</v>
      </c>
      <c r="C3088" t="s">
        <v>18</v>
      </c>
      <c r="D3088">
        <v>2622.85</v>
      </c>
      <c r="E3088">
        <v>2885</v>
      </c>
      <c r="F3088">
        <v>1</v>
      </c>
      <c r="G3088">
        <v>5</v>
      </c>
      <c r="H3088">
        <v>0</v>
      </c>
      <c r="I3088" t="s">
        <v>19</v>
      </c>
      <c r="J3088">
        <v>0</v>
      </c>
      <c r="K3088">
        <v>57</v>
      </c>
      <c r="L3088" t="s">
        <v>24</v>
      </c>
      <c r="M3088" t="s">
        <v>31</v>
      </c>
      <c r="N3088" t="s">
        <v>30</v>
      </c>
      <c r="O3088" t="s">
        <v>36</v>
      </c>
      <c r="P3088">
        <v>4.5999999999999996</v>
      </c>
      <c r="Q3088" s="2" t="b">
        <f>FALSE()</f>
        <v>0</v>
      </c>
      <c r="R3088">
        <v>0</v>
      </c>
    </row>
    <row r="3089" spans="1:18" x14ac:dyDescent="0.25">
      <c r="A3089">
        <v>203088</v>
      </c>
      <c r="B3089">
        <v>51924</v>
      </c>
      <c r="C3089" t="s">
        <v>18</v>
      </c>
      <c r="D3089">
        <v>1926.24</v>
      </c>
      <c r="E3089">
        <v>1254</v>
      </c>
      <c r="F3089">
        <v>0</v>
      </c>
      <c r="G3089">
        <v>1</v>
      </c>
      <c r="H3089">
        <v>0</v>
      </c>
      <c r="I3089" t="s">
        <v>19</v>
      </c>
      <c r="J3089">
        <v>0</v>
      </c>
      <c r="K3089">
        <v>74</v>
      </c>
      <c r="L3089" t="s">
        <v>20</v>
      </c>
      <c r="M3089" t="s">
        <v>21</v>
      </c>
      <c r="N3089" t="s">
        <v>22</v>
      </c>
      <c r="O3089" t="s">
        <v>36</v>
      </c>
      <c r="P3089">
        <v>2.63</v>
      </c>
      <c r="Q3089" s="2" t="b">
        <f>FALSE()</f>
        <v>0</v>
      </c>
      <c r="R3089">
        <v>0</v>
      </c>
    </row>
    <row r="3090" spans="1:18" x14ac:dyDescent="0.25">
      <c r="A3090">
        <v>203089</v>
      </c>
      <c r="B3090">
        <v>54034</v>
      </c>
      <c r="C3090" t="s">
        <v>18</v>
      </c>
      <c r="D3090">
        <v>4307.58</v>
      </c>
      <c r="E3090">
        <v>3555</v>
      </c>
      <c r="F3090">
        <v>1</v>
      </c>
      <c r="G3090">
        <v>4</v>
      </c>
      <c r="H3090">
        <v>0</v>
      </c>
      <c r="I3090" t="s">
        <v>33</v>
      </c>
      <c r="J3090">
        <v>1</v>
      </c>
      <c r="K3090">
        <v>70</v>
      </c>
      <c r="L3090" t="s">
        <v>20</v>
      </c>
      <c r="M3090" t="s">
        <v>29</v>
      </c>
      <c r="N3090" t="s">
        <v>30</v>
      </c>
      <c r="O3090" t="s">
        <v>36</v>
      </c>
      <c r="P3090">
        <v>1.23</v>
      </c>
      <c r="Q3090" s="2" t="b">
        <f>FALSE()</f>
        <v>0</v>
      </c>
      <c r="R3090">
        <v>1</v>
      </c>
    </row>
    <row r="3091" spans="1:18" x14ac:dyDescent="0.25">
      <c r="A3091">
        <v>203090</v>
      </c>
      <c r="B3091">
        <v>51242</v>
      </c>
      <c r="C3091" t="s">
        <v>34</v>
      </c>
      <c r="D3091">
        <v>3863.84</v>
      </c>
      <c r="E3091">
        <v>2914</v>
      </c>
      <c r="F3091">
        <v>2</v>
      </c>
      <c r="G3091">
        <v>3</v>
      </c>
      <c r="H3091">
        <v>1</v>
      </c>
      <c r="I3091" t="s">
        <v>33</v>
      </c>
      <c r="J3091">
        <v>0</v>
      </c>
      <c r="K3091">
        <v>76</v>
      </c>
      <c r="L3091" t="s">
        <v>24</v>
      </c>
      <c r="M3091" t="s">
        <v>35</v>
      </c>
      <c r="N3091" t="s">
        <v>30</v>
      </c>
      <c r="O3091" t="s">
        <v>27</v>
      </c>
      <c r="P3091">
        <v>9.0299999999999994</v>
      </c>
      <c r="Q3091" s="2" t="b">
        <f>FALSE()</f>
        <v>0</v>
      </c>
      <c r="R3091">
        <v>1</v>
      </c>
    </row>
    <row r="3092" spans="1:18" x14ac:dyDescent="0.25">
      <c r="A3092">
        <v>203091</v>
      </c>
      <c r="B3092">
        <v>55226</v>
      </c>
      <c r="C3092" t="s">
        <v>18</v>
      </c>
      <c r="D3092">
        <v>274.3</v>
      </c>
      <c r="E3092">
        <v>2205</v>
      </c>
      <c r="F3092">
        <v>0</v>
      </c>
      <c r="G3092">
        <v>2</v>
      </c>
      <c r="H3092">
        <v>0</v>
      </c>
      <c r="I3092" t="s">
        <v>19</v>
      </c>
      <c r="J3092">
        <v>0</v>
      </c>
      <c r="K3092">
        <v>76</v>
      </c>
      <c r="L3092" t="s">
        <v>24</v>
      </c>
      <c r="M3092" t="s">
        <v>37</v>
      </c>
      <c r="N3092" t="s">
        <v>22</v>
      </c>
      <c r="O3092" t="s">
        <v>36</v>
      </c>
      <c r="P3092">
        <v>0.75</v>
      </c>
      <c r="Q3092" s="2" t="b">
        <f>FALSE()</f>
        <v>0</v>
      </c>
      <c r="R3092">
        <v>0</v>
      </c>
    </row>
    <row r="3093" spans="1:18" x14ac:dyDescent="0.25">
      <c r="A3093">
        <v>203092</v>
      </c>
      <c r="B3093">
        <v>52333</v>
      </c>
      <c r="C3093" t="s">
        <v>18</v>
      </c>
      <c r="D3093">
        <v>4690.3900000000003</v>
      </c>
      <c r="E3093">
        <v>1233</v>
      </c>
      <c r="F3093">
        <v>1</v>
      </c>
      <c r="G3093">
        <v>4</v>
      </c>
      <c r="H3093">
        <v>0</v>
      </c>
      <c r="I3093" t="s">
        <v>33</v>
      </c>
      <c r="J3093">
        <v>1</v>
      </c>
      <c r="K3093">
        <v>34</v>
      </c>
      <c r="L3093" t="s">
        <v>24</v>
      </c>
      <c r="M3093" t="s">
        <v>31</v>
      </c>
      <c r="N3093" t="s">
        <v>22</v>
      </c>
      <c r="O3093" t="s">
        <v>23</v>
      </c>
      <c r="P3093">
        <v>0.66</v>
      </c>
      <c r="Q3093" s="2" t="b">
        <f>FALSE()</f>
        <v>0</v>
      </c>
      <c r="R3093">
        <v>1</v>
      </c>
    </row>
    <row r="3094" spans="1:18" x14ac:dyDescent="0.25">
      <c r="A3094">
        <v>203093</v>
      </c>
      <c r="B3094">
        <v>51935</v>
      </c>
      <c r="C3094" t="s">
        <v>18</v>
      </c>
      <c r="D3094">
        <v>1620.71</v>
      </c>
      <c r="E3094">
        <v>2757</v>
      </c>
      <c r="F3094">
        <v>1</v>
      </c>
      <c r="G3094">
        <v>1</v>
      </c>
      <c r="H3094">
        <v>1</v>
      </c>
      <c r="I3094" t="s">
        <v>19</v>
      </c>
      <c r="J3094">
        <v>1</v>
      </c>
      <c r="K3094">
        <v>23</v>
      </c>
      <c r="L3094" t="s">
        <v>24</v>
      </c>
      <c r="M3094" t="s">
        <v>29</v>
      </c>
      <c r="N3094" t="s">
        <v>26</v>
      </c>
      <c r="O3094" t="s">
        <v>36</v>
      </c>
      <c r="P3094">
        <v>8.19</v>
      </c>
      <c r="Q3094" s="2" t="b">
        <f>FALSE()</f>
        <v>0</v>
      </c>
      <c r="R3094">
        <v>0</v>
      </c>
    </row>
    <row r="3095" spans="1:18" x14ac:dyDescent="0.25">
      <c r="A3095">
        <v>203094</v>
      </c>
      <c r="B3095">
        <v>54853</v>
      </c>
      <c r="C3095" t="s">
        <v>34</v>
      </c>
      <c r="D3095">
        <v>5350.54</v>
      </c>
      <c r="E3095">
        <v>2117</v>
      </c>
      <c r="F3095">
        <v>3</v>
      </c>
      <c r="G3095">
        <v>3</v>
      </c>
      <c r="H3095">
        <v>0</v>
      </c>
      <c r="I3095" t="s">
        <v>33</v>
      </c>
      <c r="J3095">
        <v>1</v>
      </c>
      <c r="K3095">
        <v>26</v>
      </c>
      <c r="L3095" t="s">
        <v>24</v>
      </c>
      <c r="M3095" t="s">
        <v>21</v>
      </c>
      <c r="N3095" t="s">
        <v>22</v>
      </c>
      <c r="O3095" t="s">
        <v>36</v>
      </c>
      <c r="P3095">
        <v>6.87</v>
      </c>
      <c r="Q3095" s="2" t="b">
        <f>FALSE()</f>
        <v>0</v>
      </c>
      <c r="R3095">
        <v>1</v>
      </c>
    </row>
    <row r="3096" spans="1:18" x14ac:dyDescent="0.25">
      <c r="A3096">
        <v>203095</v>
      </c>
      <c r="B3096">
        <v>50036</v>
      </c>
      <c r="C3096" t="s">
        <v>34</v>
      </c>
      <c r="D3096">
        <v>541.37</v>
      </c>
      <c r="E3096">
        <v>2143</v>
      </c>
      <c r="F3096">
        <v>0</v>
      </c>
      <c r="G3096">
        <v>6</v>
      </c>
      <c r="H3096">
        <v>1</v>
      </c>
      <c r="I3096" t="s">
        <v>19</v>
      </c>
      <c r="J3096">
        <v>0</v>
      </c>
      <c r="K3096">
        <v>76</v>
      </c>
      <c r="L3096" t="s">
        <v>38</v>
      </c>
      <c r="M3096" t="s">
        <v>25</v>
      </c>
      <c r="N3096" t="s">
        <v>26</v>
      </c>
      <c r="O3096" t="s">
        <v>36</v>
      </c>
      <c r="P3096">
        <v>2.5099999999999998</v>
      </c>
      <c r="Q3096" s="2" t="b">
        <f>FALSE()</f>
        <v>0</v>
      </c>
      <c r="R3096">
        <v>0</v>
      </c>
    </row>
    <row r="3097" spans="1:18" x14ac:dyDescent="0.25">
      <c r="A3097">
        <v>203096</v>
      </c>
      <c r="B3097">
        <v>55477</v>
      </c>
      <c r="C3097" t="s">
        <v>18</v>
      </c>
      <c r="D3097">
        <v>669.67</v>
      </c>
      <c r="E3097">
        <v>3193</v>
      </c>
      <c r="F3097">
        <v>0</v>
      </c>
      <c r="G3097">
        <v>4</v>
      </c>
      <c r="H3097">
        <v>0</v>
      </c>
      <c r="I3097" t="s">
        <v>32</v>
      </c>
      <c r="J3097">
        <v>0</v>
      </c>
      <c r="K3097">
        <v>72</v>
      </c>
      <c r="L3097" t="s">
        <v>20</v>
      </c>
      <c r="M3097" t="s">
        <v>31</v>
      </c>
      <c r="N3097" t="s">
        <v>26</v>
      </c>
      <c r="O3097" t="s">
        <v>27</v>
      </c>
      <c r="P3097">
        <v>2.2599999999999998</v>
      </c>
      <c r="Q3097" s="2" t="b">
        <f>FALSE()</f>
        <v>0</v>
      </c>
      <c r="R3097">
        <v>0</v>
      </c>
    </row>
    <row r="3098" spans="1:18" x14ac:dyDescent="0.25">
      <c r="A3098">
        <v>203097</v>
      </c>
      <c r="B3098">
        <v>54970</v>
      </c>
      <c r="C3098" t="s">
        <v>34</v>
      </c>
      <c r="D3098">
        <v>280.58999999999997</v>
      </c>
      <c r="E3098">
        <v>3528</v>
      </c>
      <c r="F3098">
        <v>0</v>
      </c>
      <c r="G3098">
        <v>3</v>
      </c>
      <c r="H3098">
        <v>0</v>
      </c>
      <c r="I3098" t="s">
        <v>33</v>
      </c>
      <c r="J3098">
        <v>0</v>
      </c>
      <c r="K3098">
        <v>37</v>
      </c>
      <c r="L3098" t="s">
        <v>24</v>
      </c>
      <c r="M3098" t="s">
        <v>31</v>
      </c>
      <c r="N3098" t="s">
        <v>30</v>
      </c>
      <c r="O3098" t="s">
        <v>36</v>
      </c>
      <c r="P3098">
        <v>1.28</v>
      </c>
      <c r="Q3098" s="2" t="b">
        <f>FALSE()</f>
        <v>0</v>
      </c>
      <c r="R3098">
        <v>0</v>
      </c>
    </row>
    <row r="3099" spans="1:18" x14ac:dyDescent="0.25">
      <c r="A3099">
        <v>203098</v>
      </c>
      <c r="B3099">
        <v>54522</v>
      </c>
      <c r="C3099" t="s">
        <v>34</v>
      </c>
      <c r="D3099">
        <v>645.79999999999995</v>
      </c>
      <c r="E3099">
        <v>2868</v>
      </c>
      <c r="F3099">
        <v>0</v>
      </c>
      <c r="G3099">
        <v>4</v>
      </c>
      <c r="H3099">
        <v>0</v>
      </c>
      <c r="I3099" t="s">
        <v>33</v>
      </c>
      <c r="J3099">
        <v>0</v>
      </c>
      <c r="K3099">
        <v>70</v>
      </c>
      <c r="L3099" t="s">
        <v>20</v>
      </c>
      <c r="M3099" t="s">
        <v>25</v>
      </c>
      <c r="N3099" t="s">
        <v>30</v>
      </c>
      <c r="O3099" t="s">
        <v>23</v>
      </c>
      <c r="P3099">
        <v>22.52</v>
      </c>
      <c r="Q3099" s="2" t="b">
        <f>FALSE()</f>
        <v>0</v>
      </c>
      <c r="R3099">
        <v>0</v>
      </c>
    </row>
    <row r="3100" spans="1:18" x14ac:dyDescent="0.25">
      <c r="A3100">
        <v>203099</v>
      </c>
      <c r="B3100">
        <v>54684</v>
      </c>
      <c r="C3100" t="s">
        <v>18</v>
      </c>
      <c r="D3100">
        <v>1930.48</v>
      </c>
      <c r="E3100">
        <v>3199</v>
      </c>
      <c r="F3100">
        <v>0</v>
      </c>
      <c r="G3100">
        <v>4</v>
      </c>
      <c r="H3100">
        <v>0</v>
      </c>
      <c r="I3100" t="s">
        <v>33</v>
      </c>
      <c r="J3100">
        <v>0</v>
      </c>
      <c r="K3100">
        <v>66</v>
      </c>
      <c r="L3100" t="s">
        <v>24</v>
      </c>
      <c r="M3100" t="s">
        <v>37</v>
      </c>
      <c r="N3100" t="s">
        <v>26</v>
      </c>
      <c r="O3100" t="s">
        <v>27</v>
      </c>
      <c r="P3100">
        <v>2.44</v>
      </c>
      <c r="Q3100" s="2" t="b">
        <f>FALSE()</f>
        <v>0</v>
      </c>
      <c r="R3100">
        <v>0</v>
      </c>
    </row>
    <row r="3101" spans="1:18" x14ac:dyDescent="0.25">
      <c r="A3101">
        <v>203100</v>
      </c>
      <c r="B3101">
        <v>55105</v>
      </c>
      <c r="C3101" t="s">
        <v>18</v>
      </c>
      <c r="D3101">
        <v>4998.91</v>
      </c>
      <c r="E3101">
        <v>224</v>
      </c>
      <c r="F3101">
        <v>1</v>
      </c>
      <c r="G3101">
        <v>3</v>
      </c>
      <c r="H3101">
        <v>1</v>
      </c>
      <c r="I3101" t="s">
        <v>32</v>
      </c>
      <c r="J3101">
        <v>0</v>
      </c>
      <c r="K3101">
        <v>38</v>
      </c>
      <c r="L3101" t="s">
        <v>24</v>
      </c>
      <c r="M3101" t="s">
        <v>25</v>
      </c>
      <c r="N3101" t="s">
        <v>30</v>
      </c>
      <c r="O3101" t="s">
        <v>36</v>
      </c>
      <c r="P3101">
        <v>2.72</v>
      </c>
      <c r="Q3101" s="2" t="b">
        <f>FALSE()</f>
        <v>0</v>
      </c>
      <c r="R3101">
        <v>1</v>
      </c>
    </row>
    <row r="3102" spans="1:18" x14ac:dyDescent="0.25">
      <c r="A3102">
        <v>203101</v>
      </c>
      <c r="B3102">
        <v>54397</v>
      </c>
      <c r="C3102" t="s">
        <v>18</v>
      </c>
      <c r="D3102">
        <v>3705.81</v>
      </c>
      <c r="E3102">
        <v>2695</v>
      </c>
      <c r="F3102">
        <v>1</v>
      </c>
      <c r="G3102">
        <v>3</v>
      </c>
      <c r="H3102">
        <v>0</v>
      </c>
      <c r="I3102" t="s">
        <v>33</v>
      </c>
      <c r="J3102">
        <v>0</v>
      </c>
      <c r="K3102">
        <v>73</v>
      </c>
      <c r="L3102" t="s">
        <v>20</v>
      </c>
      <c r="M3102" t="s">
        <v>21</v>
      </c>
      <c r="N3102" t="s">
        <v>22</v>
      </c>
      <c r="O3102" t="s">
        <v>27</v>
      </c>
      <c r="P3102">
        <v>3.29</v>
      </c>
      <c r="Q3102" s="2" t="b">
        <f>FALSE()</f>
        <v>0</v>
      </c>
      <c r="R3102">
        <v>1</v>
      </c>
    </row>
    <row r="3103" spans="1:18" x14ac:dyDescent="0.25">
      <c r="A3103">
        <v>203102</v>
      </c>
      <c r="B3103">
        <v>52555</v>
      </c>
      <c r="C3103" t="s">
        <v>18</v>
      </c>
      <c r="D3103">
        <v>677.19</v>
      </c>
      <c r="E3103">
        <v>3053</v>
      </c>
      <c r="F3103">
        <v>1</v>
      </c>
      <c r="G3103">
        <v>2</v>
      </c>
      <c r="H3103">
        <v>0</v>
      </c>
      <c r="I3103" t="s">
        <v>33</v>
      </c>
      <c r="J3103">
        <v>0</v>
      </c>
      <c r="K3103">
        <v>38</v>
      </c>
      <c r="L3103" t="s">
        <v>24</v>
      </c>
      <c r="M3103" t="s">
        <v>35</v>
      </c>
      <c r="N3103" t="s">
        <v>30</v>
      </c>
      <c r="O3103" t="s">
        <v>36</v>
      </c>
      <c r="P3103">
        <v>4.6900000000000004</v>
      </c>
      <c r="Q3103" s="2" t="b">
        <f>FALSE()</f>
        <v>0</v>
      </c>
      <c r="R3103">
        <v>0</v>
      </c>
    </row>
    <row r="3104" spans="1:18" x14ac:dyDescent="0.25">
      <c r="A3104">
        <v>203103</v>
      </c>
      <c r="B3104">
        <v>51394</v>
      </c>
      <c r="C3104" t="s">
        <v>34</v>
      </c>
      <c r="D3104">
        <v>6332.45</v>
      </c>
      <c r="E3104">
        <v>2746</v>
      </c>
      <c r="F3104">
        <v>0</v>
      </c>
      <c r="G3104">
        <v>6</v>
      </c>
      <c r="H3104">
        <v>0</v>
      </c>
      <c r="I3104" t="s">
        <v>32</v>
      </c>
      <c r="J3104">
        <v>0</v>
      </c>
      <c r="K3104">
        <v>78</v>
      </c>
      <c r="L3104" t="s">
        <v>20</v>
      </c>
      <c r="M3104" t="s">
        <v>37</v>
      </c>
      <c r="N3104" t="s">
        <v>22</v>
      </c>
      <c r="O3104" t="s">
        <v>27</v>
      </c>
      <c r="P3104">
        <v>3.75</v>
      </c>
      <c r="Q3104" s="2" t="b">
        <f>FALSE()</f>
        <v>0</v>
      </c>
      <c r="R3104">
        <v>1</v>
      </c>
    </row>
    <row r="3105" spans="1:18" x14ac:dyDescent="0.25">
      <c r="A3105">
        <v>203104</v>
      </c>
      <c r="B3105">
        <v>53703</v>
      </c>
      <c r="C3105" t="s">
        <v>28</v>
      </c>
      <c r="D3105">
        <v>787.59</v>
      </c>
      <c r="E3105">
        <v>374</v>
      </c>
      <c r="F3105">
        <v>0</v>
      </c>
      <c r="G3105">
        <v>9</v>
      </c>
      <c r="H3105">
        <v>1</v>
      </c>
      <c r="I3105" t="s">
        <v>19</v>
      </c>
      <c r="J3105">
        <v>0</v>
      </c>
      <c r="K3105">
        <v>60</v>
      </c>
      <c r="L3105" t="s">
        <v>20</v>
      </c>
      <c r="M3105" t="s">
        <v>37</v>
      </c>
      <c r="N3105" t="s">
        <v>30</v>
      </c>
      <c r="O3105" t="s">
        <v>27</v>
      </c>
      <c r="P3105">
        <v>4.71</v>
      </c>
      <c r="Q3105" s="2" t="b">
        <f>FALSE()</f>
        <v>0</v>
      </c>
      <c r="R3105">
        <v>1</v>
      </c>
    </row>
    <row r="3106" spans="1:18" x14ac:dyDescent="0.25">
      <c r="A3106">
        <v>203105</v>
      </c>
      <c r="B3106">
        <v>53032</v>
      </c>
      <c r="C3106" t="s">
        <v>34</v>
      </c>
      <c r="D3106">
        <v>1418.52</v>
      </c>
      <c r="E3106">
        <v>419</v>
      </c>
      <c r="F3106">
        <v>0</v>
      </c>
      <c r="G3106">
        <v>4</v>
      </c>
      <c r="H3106">
        <v>1</v>
      </c>
      <c r="I3106" t="s">
        <v>32</v>
      </c>
      <c r="J3106">
        <v>0</v>
      </c>
      <c r="K3106">
        <v>55</v>
      </c>
      <c r="L3106" t="s">
        <v>24</v>
      </c>
      <c r="M3106" t="s">
        <v>25</v>
      </c>
      <c r="N3106" t="s">
        <v>22</v>
      </c>
      <c r="O3106" t="s">
        <v>36</v>
      </c>
      <c r="P3106">
        <v>1.78</v>
      </c>
      <c r="Q3106" s="2" t="b">
        <f>FALSE()</f>
        <v>0</v>
      </c>
      <c r="R3106">
        <v>0</v>
      </c>
    </row>
    <row r="3107" spans="1:18" x14ac:dyDescent="0.25">
      <c r="A3107">
        <v>203106</v>
      </c>
      <c r="B3107">
        <v>54562</v>
      </c>
      <c r="C3107" t="s">
        <v>18</v>
      </c>
      <c r="D3107">
        <v>2188.35</v>
      </c>
      <c r="E3107">
        <v>2471</v>
      </c>
      <c r="F3107">
        <v>0</v>
      </c>
      <c r="G3107">
        <v>4</v>
      </c>
      <c r="H3107">
        <v>1</v>
      </c>
      <c r="I3107" t="s">
        <v>33</v>
      </c>
      <c r="J3107">
        <v>0</v>
      </c>
      <c r="K3107">
        <v>50</v>
      </c>
      <c r="L3107" t="s">
        <v>24</v>
      </c>
      <c r="M3107" t="s">
        <v>35</v>
      </c>
      <c r="N3107" t="s">
        <v>26</v>
      </c>
      <c r="O3107" t="s">
        <v>36</v>
      </c>
      <c r="P3107">
        <v>1.51</v>
      </c>
      <c r="Q3107" s="2" t="b">
        <f>FALSE()</f>
        <v>0</v>
      </c>
      <c r="R3107">
        <v>0</v>
      </c>
    </row>
    <row r="3108" spans="1:18" x14ac:dyDescent="0.25">
      <c r="A3108">
        <v>203107</v>
      </c>
      <c r="B3108">
        <v>54214</v>
      </c>
      <c r="C3108" t="s">
        <v>34</v>
      </c>
      <c r="D3108">
        <v>2428.2800000000002</v>
      </c>
      <c r="E3108">
        <v>614</v>
      </c>
      <c r="F3108">
        <v>1</v>
      </c>
      <c r="G3108">
        <v>3</v>
      </c>
      <c r="H3108">
        <v>1</v>
      </c>
      <c r="I3108" t="s">
        <v>32</v>
      </c>
      <c r="J3108">
        <v>0</v>
      </c>
      <c r="K3108">
        <v>46</v>
      </c>
      <c r="L3108" t="s">
        <v>24</v>
      </c>
      <c r="M3108" t="s">
        <v>21</v>
      </c>
      <c r="N3108" t="s">
        <v>30</v>
      </c>
      <c r="O3108" t="s">
        <v>27</v>
      </c>
      <c r="P3108">
        <v>5.61</v>
      </c>
      <c r="Q3108" s="2" t="b">
        <f>FALSE()</f>
        <v>0</v>
      </c>
      <c r="R3108">
        <v>0</v>
      </c>
    </row>
    <row r="3109" spans="1:18" x14ac:dyDescent="0.25">
      <c r="A3109">
        <v>203108</v>
      </c>
      <c r="B3109">
        <v>50873</v>
      </c>
      <c r="C3109" t="s">
        <v>34</v>
      </c>
      <c r="D3109">
        <v>1960.12</v>
      </c>
      <c r="E3109">
        <v>1249</v>
      </c>
      <c r="F3109">
        <v>1</v>
      </c>
      <c r="G3109">
        <v>3</v>
      </c>
      <c r="H3109">
        <v>0</v>
      </c>
      <c r="I3109" t="s">
        <v>33</v>
      </c>
      <c r="J3109">
        <v>0</v>
      </c>
      <c r="K3109">
        <v>56</v>
      </c>
      <c r="L3109" t="s">
        <v>20</v>
      </c>
      <c r="M3109" t="s">
        <v>35</v>
      </c>
      <c r="N3109" t="s">
        <v>22</v>
      </c>
      <c r="O3109" t="s">
        <v>27</v>
      </c>
      <c r="P3109">
        <v>2.02</v>
      </c>
      <c r="Q3109" s="2" t="b">
        <f>FALSE()</f>
        <v>0</v>
      </c>
      <c r="R3109">
        <v>0</v>
      </c>
    </row>
    <row r="3110" spans="1:18" x14ac:dyDescent="0.25">
      <c r="A3110">
        <v>203109</v>
      </c>
      <c r="B3110">
        <v>50338</v>
      </c>
      <c r="C3110" t="s">
        <v>18</v>
      </c>
      <c r="D3110">
        <v>1822.04</v>
      </c>
      <c r="E3110">
        <v>3506</v>
      </c>
      <c r="F3110">
        <v>1</v>
      </c>
      <c r="G3110">
        <v>4</v>
      </c>
      <c r="H3110">
        <v>0</v>
      </c>
      <c r="I3110" t="s">
        <v>19</v>
      </c>
      <c r="J3110">
        <v>0</v>
      </c>
      <c r="K3110">
        <v>81</v>
      </c>
      <c r="L3110" t="s">
        <v>24</v>
      </c>
      <c r="M3110" t="s">
        <v>21</v>
      </c>
      <c r="N3110" t="s">
        <v>22</v>
      </c>
      <c r="O3110" t="s">
        <v>27</v>
      </c>
      <c r="P3110">
        <v>0.88</v>
      </c>
      <c r="Q3110" s="2" t="b">
        <f>FALSE()</f>
        <v>0</v>
      </c>
      <c r="R3110">
        <v>0</v>
      </c>
    </row>
    <row r="3111" spans="1:18" x14ac:dyDescent="0.25">
      <c r="A3111">
        <v>203110</v>
      </c>
      <c r="B3111">
        <v>53729</v>
      </c>
      <c r="C3111" t="s">
        <v>18</v>
      </c>
      <c r="D3111">
        <v>2204.27</v>
      </c>
      <c r="E3111">
        <v>3448</v>
      </c>
      <c r="F3111">
        <v>2</v>
      </c>
      <c r="G3111">
        <v>0</v>
      </c>
      <c r="H3111">
        <v>0</v>
      </c>
      <c r="I3111" t="s">
        <v>33</v>
      </c>
      <c r="J3111">
        <v>0</v>
      </c>
      <c r="K3111">
        <v>62</v>
      </c>
      <c r="L3111" t="s">
        <v>20</v>
      </c>
      <c r="M3111" t="s">
        <v>25</v>
      </c>
      <c r="N3111" t="s">
        <v>30</v>
      </c>
      <c r="O3111" t="s">
        <v>27</v>
      </c>
      <c r="P3111">
        <v>0.27</v>
      </c>
      <c r="Q3111" s="2" t="b">
        <f>FALSE()</f>
        <v>0</v>
      </c>
      <c r="R3111">
        <v>0</v>
      </c>
    </row>
    <row r="3112" spans="1:18" x14ac:dyDescent="0.25">
      <c r="A3112">
        <v>203111</v>
      </c>
      <c r="B3112">
        <v>53074</v>
      </c>
      <c r="C3112" t="s">
        <v>34</v>
      </c>
      <c r="D3112">
        <v>1330.77</v>
      </c>
      <c r="E3112">
        <v>132</v>
      </c>
      <c r="F3112">
        <v>0</v>
      </c>
      <c r="G3112">
        <v>3</v>
      </c>
      <c r="H3112">
        <v>0</v>
      </c>
      <c r="I3112" t="s">
        <v>33</v>
      </c>
      <c r="J3112">
        <v>0</v>
      </c>
      <c r="K3112">
        <v>48</v>
      </c>
      <c r="L3112" t="s">
        <v>24</v>
      </c>
      <c r="M3112" t="s">
        <v>31</v>
      </c>
      <c r="N3112" t="s">
        <v>26</v>
      </c>
      <c r="O3112" t="s">
        <v>36</v>
      </c>
      <c r="P3112">
        <v>3.27</v>
      </c>
      <c r="Q3112" s="2" t="b">
        <f>FALSE()</f>
        <v>0</v>
      </c>
      <c r="R3112">
        <v>0</v>
      </c>
    </row>
    <row r="3113" spans="1:18" x14ac:dyDescent="0.25">
      <c r="A3113">
        <v>203112</v>
      </c>
      <c r="B3113">
        <v>53807</v>
      </c>
      <c r="C3113" t="s">
        <v>18</v>
      </c>
      <c r="D3113">
        <v>1019.8</v>
      </c>
      <c r="E3113">
        <v>1831</v>
      </c>
      <c r="F3113">
        <v>1</v>
      </c>
      <c r="G3113">
        <v>2</v>
      </c>
      <c r="H3113">
        <v>1</v>
      </c>
      <c r="I3113" t="s">
        <v>33</v>
      </c>
      <c r="J3113">
        <v>0</v>
      </c>
      <c r="K3113">
        <v>28</v>
      </c>
      <c r="L3113" t="s">
        <v>24</v>
      </c>
      <c r="M3113" t="s">
        <v>35</v>
      </c>
      <c r="N3113" t="s">
        <v>26</v>
      </c>
      <c r="O3113" t="s">
        <v>36</v>
      </c>
      <c r="P3113">
        <v>0.14000000000000001</v>
      </c>
      <c r="Q3113" s="2" t="b">
        <f>FALSE()</f>
        <v>0</v>
      </c>
      <c r="R3113">
        <v>0</v>
      </c>
    </row>
    <row r="3114" spans="1:18" x14ac:dyDescent="0.25">
      <c r="A3114">
        <v>203113</v>
      </c>
      <c r="B3114">
        <v>50645</v>
      </c>
      <c r="C3114" t="s">
        <v>28</v>
      </c>
      <c r="D3114">
        <v>4871.62</v>
      </c>
      <c r="E3114">
        <v>1532</v>
      </c>
      <c r="F3114">
        <v>0</v>
      </c>
      <c r="G3114">
        <v>5</v>
      </c>
      <c r="H3114">
        <v>0</v>
      </c>
      <c r="I3114" t="s">
        <v>19</v>
      </c>
      <c r="J3114">
        <v>0</v>
      </c>
      <c r="K3114">
        <v>49</v>
      </c>
      <c r="L3114" t="s">
        <v>20</v>
      </c>
      <c r="M3114" t="s">
        <v>29</v>
      </c>
      <c r="N3114" t="s">
        <v>30</v>
      </c>
      <c r="O3114" t="s">
        <v>23</v>
      </c>
      <c r="P3114">
        <v>0.99</v>
      </c>
      <c r="Q3114" s="2" t="b">
        <f>FALSE()</f>
        <v>0</v>
      </c>
      <c r="R3114">
        <v>1</v>
      </c>
    </row>
    <row r="3115" spans="1:18" x14ac:dyDescent="0.25">
      <c r="A3115">
        <v>203114</v>
      </c>
      <c r="B3115">
        <v>55765</v>
      </c>
      <c r="C3115" t="s">
        <v>18</v>
      </c>
      <c r="D3115">
        <v>3804.25</v>
      </c>
      <c r="E3115">
        <v>489</v>
      </c>
      <c r="F3115">
        <v>0</v>
      </c>
      <c r="G3115">
        <v>1</v>
      </c>
      <c r="H3115">
        <v>0</v>
      </c>
      <c r="I3115" t="s">
        <v>19</v>
      </c>
      <c r="J3115">
        <v>0</v>
      </c>
      <c r="K3115">
        <v>52</v>
      </c>
      <c r="L3115" t="s">
        <v>20</v>
      </c>
      <c r="M3115" t="s">
        <v>31</v>
      </c>
      <c r="N3115" t="s">
        <v>26</v>
      </c>
      <c r="O3115" t="s">
        <v>36</v>
      </c>
      <c r="P3115">
        <v>5.5</v>
      </c>
      <c r="Q3115" s="2" t="b">
        <f>FALSE()</f>
        <v>0</v>
      </c>
      <c r="R3115">
        <v>1</v>
      </c>
    </row>
    <row r="3116" spans="1:18" x14ac:dyDescent="0.25">
      <c r="A3116">
        <v>203115</v>
      </c>
      <c r="B3116">
        <v>51894</v>
      </c>
      <c r="C3116" t="s">
        <v>18</v>
      </c>
      <c r="D3116">
        <v>821.86</v>
      </c>
      <c r="E3116">
        <v>11</v>
      </c>
      <c r="F3116">
        <v>0</v>
      </c>
      <c r="G3116">
        <v>2</v>
      </c>
      <c r="H3116">
        <v>0</v>
      </c>
      <c r="I3116" t="s">
        <v>19</v>
      </c>
      <c r="J3116">
        <v>0</v>
      </c>
      <c r="K3116">
        <v>79</v>
      </c>
      <c r="L3116" t="s">
        <v>24</v>
      </c>
      <c r="M3116" t="s">
        <v>35</v>
      </c>
      <c r="N3116" t="s">
        <v>26</v>
      </c>
      <c r="O3116" t="s">
        <v>23</v>
      </c>
      <c r="P3116">
        <v>0.76</v>
      </c>
      <c r="Q3116" s="2" t="b">
        <f>FALSE()</f>
        <v>0</v>
      </c>
      <c r="R3116">
        <v>0</v>
      </c>
    </row>
    <row r="3117" spans="1:18" x14ac:dyDescent="0.25">
      <c r="A3117">
        <v>203116</v>
      </c>
      <c r="B3117">
        <v>55174</v>
      </c>
      <c r="C3117" t="s">
        <v>18</v>
      </c>
      <c r="D3117">
        <v>561.79999999999995</v>
      </c>
      <c r="E3117">
        <v>3415</v>
      </c>
      <c r="F3117">
        <v>1</v>
      </c>
      <c r="G3117">
        <v>5</v>
      </c>
      <c r="H3117">
        <v>1</v>
      </c>
      <c r="I3117" t="s">
        <v>33</v>
      </c>
      <c r="J3117">
        <v>0</v>
      </c>
      <c r="K3117">
        <v>57</v>
      </c>
      <c r="L3117" t="s">
        <v>20</v>
      </c>
      <c r="M3117" t="s">
        <v>37</v>
      </c>
      <c r="N3117" t="s">
        <v>30</v>
      </c>
      <c r="O3117" t="s">
        <v>27</v>
      </c>
      <c r="P3117">
        <v>0.93</v>
      </c>
      <c r="Q3117" s="2" t="b">
        <f>FALSE()</f>
        <v>0</v>
      </c>
      <c r="R3117">
        <v>0</v>
      </c>
    </row>
    <row r="3118" spans="1:18" x14ac:dyDescent="0.25">
      <c r="A3118">
        <v>203117</v>
      </c>
      <c r="B3118">
        <v>53013</v>
      </c>
      <c r="C3118" t="s">
        <v>18</v>
      </c>
      <c r="D3118">
        <v>991.52</v>
      </c>
      <c r="E3118">
        <v>892</v>
      </c>
      <c r="F3118">
        <v>3</v>
      </c>
      <c r="G3118">
        <v>4</v>
      </c>
      <c r="H3118">
        <v>0</v>
      </c>
      <c r="I3118" t="s">
        <v>33</v>
      </c>
      <c r="J3118">
        <v>0</v>
      </c>
      <c r="K3118">
        <v>52</v>
      </c>
      <c r="L3118" t="s">
        <v>20</v>
      </c>
      <c r="M3118" t="s">
        <v>35</v>
      </c>
      <c r="N3118" t="s">
        <v>22</v>
      </c>
      <c r="O3118" t="s">
        <v>36</v>
      </c>
      <c r="P3118">
        <v>3.36</v>
      </c>
      <c r="Q3118" s="2" t="b">
        <f>FALSE()</f>
        <v>0</v>
      </c>
      <c r="R3118">
        <v>1</v>
      </c>
    </row>
    <row r="3119" spans="1:18" x14ac:dyDescent="0.25">
      <c r="A3119">
        <v>203118</v>
      </c>
      <c r="B3119">
        <v>50674</v>
      </c>
      <c r="C3119" t="s">
        <v>18</v>
      </c>
      <c r="D3119">
        <v>552.30999999999995</v>
      </c>
      <c r="E3119">
        <v>3445</v>
      </c>
      <c r="F3119">
        <v>1</v>
      </c>
      <c r="G3119">
        <v>5</v>
      </c>
      <c r="H3119">
        <v>1</v>
      </c>
      <c r="I3119" t="s">
        <v>33</v>
      </c>
      <c r="J3119">
        <v>1</v>
      </c>
      <c r="K3119">
        <v>36</v>
      </c>
      <c r="L3119" t="s">
        <v>24</v>
      </c>
      <c r="M3119" t="s">
        <v>31</v>
      </c>
      <c r="N3119" t="s">
        <v>22</v>
      </c>
      <c r="O3119" t="s">
        <v>27</v>
      </c>
      <c r="P3119">
        <v>3.68</v>
      </c>
      <c r="Q3119" s="2" t="b">
        <f>FALSE()</f>
        <v>0</v>
      </c>
      <c r="R3119">
        <v>0</v>
      </c>
    </row>
    <row r="3120" spans="1:18" x14ac:dyDescent="0.25">
      <c r="A3120">
        <v>203119</v>
      </c>
      <c r="B3120">
        <v>51163</v>
      </c>
      <c r="C3120" t="s">
        <v>18</v>
      </c>
      <c r="D3120">
        <v>104.92</v>
      </c>
      <c r="E3120">
        <v>2657</v>
      </c>
      <c r="F3120">
        <v>1</v>
      </c>
      <c r="G3120">
        <v>5</v>
      </c>
      <c r="H3120">
        <v>0</v>
      </c>
      <c r="I3120" t="s">
        <v>32</v>
      </c>
      <c r="J3120">
        <v>0</v>
      </c>
      <c r="K3120">
        <v>38</v>
      </c>
      <c r="L3120" t="s">
        <v>24</v>
      </c>
      <c r="M3120" t="s">
        <v>29</v>
      </c>
      <c r="N3120" t="s">
        <v>30</v>
      </c>
      <c r="O3120" t="s">
        <v>36</v>
      </c>
      <c r="P3120">
        <v>0.89</v>
      </c>
      <c r="Q3120" s="2" t="b">
        <f>FALSE()</f>
        <v>0</v>
      </c>
      <c r="R3120">
        <v>0</v>
      </c>
    </row>
    <row r="3121" spans="1:18" x14ac:dyDescent="0.25">
      <c r="A3121">
        <v>203120</v>
      </c>
      <c r="B3121">
        <v>50057</v>
      </c>
      <c r="C3121" t="s">
        <v>34</v>
      </c>
      <c r="D3121">
        <v>2024.76</v>
      </c>
      <c r="E3121">
        <v>3339</v>
      </c>
      <c r="F3121">
        <v>1</v>
      </c>
      <c r="G3121">
        <v>5</v>
      </c>
      <c r="H3121">
        <v>0</v>
      </c>
      <c r="I3121" t="s">
        <v>33</v>
      </c>
      <c r="J3121">
        <v>1</v>
      </c>
      <c r="K3121">
        <v>45</v>
      </c>
      <c r="L3121" t="s">
        <v>24</v>
      </c>
      <c r="M3121" t="s">
        <v>35</v>
      </c>
      <c r="N3121" t="s">
        <v>30</v>
      </c>
      <c r="O3121" t="s">
        <v>23</v>
      </c>
      <c r="P3121">
        <v>4.3499999999999996</v>
      </c>
      <c r="Q3121" s="2" t="b">
        <f>FALSE()</f>
        <v>0</v>
      </c>
      <c r="R3121">
        <v>0</v>
      </c>
    </row>
    <row r="3122" spans="1:18" x14ac:dyDescent="0.25">
      <c r="A3122">
        <v>203121</v>
      </c>
      <c r="B3122">
        <v>54154</v>
      </c>
      <c r="C3122" t="s">
        <v>28</v>
      </c>
      <c r="D3122">
        <v>970.29</v>
      </c>
      <c r="E3122">
        <v>1676</v>
      </c>
      <c r="F3122">
        <v>0</v>
      </c>
      <c r="G3122">
        <v>4</v>
      </c>
      <c r="H3122">
        <v>1</v>
      </c>
      <c r="I3122" t="s">
        <v>33</v>
      </c>
      <c r="J3122">
        <v>0</v>
      </c>
      <c r="K3122">
        <v>78</v>
      </c>
      <c r="L3122" t="s">
        <v>20</v>
      </c>
      <c r="M3122" t="s">
        <v>25</v>
      </c>
      <c r="N3122" t="s">
        <v>30</v>
      </c>
      <c r="O3122" t="s">
        <v>36</v>
      </c>
      <c r="P3122">
        <v>2.74</v>
      </c>
      <c r="Q3122" s="2" t="b">
        <f>FALSE()</f>
        <v>0</v>
      </c>
      <c r="R3122">
        <v>0</v>
      </c>
    </row>
    <row r="3123" spans="1:18" x14ac:dyDescent="0.25">
      <c r="A3123">
        <v>203122</v>
      </c>
      <c r="B3123">
        <v>53884</v>
      </c>
      <c r="C3123" t="s">
        <v>34</v>
      </c>
      <c r="D3123">
        <v>6497.29</v>
      </c>
      <c r="E3123">
        <v>2909</v>
      </c>
      <c r="F3123">
        <v>2</v>
      </c>
      <c r="G3123">
        <v>8</v>
      </c>
      <c r="H3123">
        <v>0</v>
      </c>
      <c r="I3123" t="s">
        <v>19</v>
      </c>
      <c r="J3123">
        <v>0</v>
      </c>
      <c r="K3123">
        <v>77</v>
      </c>
      <c r="L3123" t="s">
        <v>24</v>
      </c>
      <c r="M3123" t="s">
        <v>35</v>
      </c>
      <c r="N3123" t="s">
        <v>22</v>
      </c>
      <c r="O3123" t="s">
        <v>27</v>
      </c>
      <c r="P3123">
        <v>0.36</v>
      </c>
      <c r="Q3123" s="2" t="b">
        <f>FALSE()</f>
        <v>0</v>
      </c>
      <c r="R3123">
        <v>1</v>
      </c>
    </row>
    <row r="3124" spans="1:18" x14ac:dyDescent="0.25">
      <c r="A3124">
        <v>203123</v>
      </c>
      <c r="B3124">
        <v>54250</v>
      </c>
      <c r="C3124" t="s">
        <v>28</v>
      </c>
      <c r="D3124">
        <v>3499.32</v>
      </c>
      <c r="E3124">
        <v>1560</v>
      </c>
      <c r="F3124">
        <v>1</v>
      </c>
      <c r="G3124">
        <v>1</v>
      </c>
      <c r="H3124">
        <v>1</v>
      </c>
      <c r="I3124" t="s">
        <v>19</v>
      </c>
      <c r="J3124">
        <v>0</v>
      </c>
      <c r="K3124">
        <v>44</v>
      </c>
      <c r="L3124" t="s">
        <v>24</v>
      </c>
      <c r="M3124" t="s">
        <v>37</v>
      </c>
      <c r="N3124" t="s">
        <v>22</v>
      </c>
      <c r="O3124" t="s">
        <v>27</v>
      </c>
      <c r="P3124">
        <v>0.11</v>
      </c>
      <c r="Q3124" s="2" t="b">
        <f>FALSE()</f>
        <v>0</v>
      </c>
      <c r="R3124">
        <v>0</v>
      </c>
    </row>
    <row r="3125" spans="1:18" x14ac:dyDescent="0.25">
      <c r="A3125">
        <v>203124</v>
      </c>
      <c r="B3125">
        <v>52011</v>
      </c>
      <c r="C3125" t="s">
        <v>34</v>
      </c>
      <c r="D3125">
        <v>4014.64</v>
      </c>
      <c r="E3125">
        <v>1492</v>
      </c>
      <c r="F3125">
        <v>2</v>
      </c>
      <c r="G3125">
        <v>5</v>
      </c>
      <c r="H3125">
        <v>1</v>
      </c>
      <c r="I3125" t="s">
        <v>33</v>
      </c>
      <c r="J3125">
        <v>0</v>
      </c>
      <c r="K3125">
        <v>36</v>
      </c>
      <c r="L3125" t="s">
        <v>20</v>
      </c>
      <c r="M3125" t="s">
        <v>25</v>
      </c>
      <c r="N3125" t="s">
        <v>22</v>
      </c>
      <c r="O3125" t="s">
        <v>27</v>
      </c>
      <c r="P3125">
        <v>2.7</v>
      </c>
      <c r="Q3125" s="2" t="b">
        <f>FALSE()</f>
        <v>0</v>
      </c>
      <c r="R3125">
        <v>1</v>
      </c>
    </row>
    <row r="3126" spans="1:18" x14ac:dyDescent="0.25">
      <c r="A3126">
        <v>203125</v>
      </c>
      <c r="B3126">
        <v>52400</v>
      </c>
      <c r="C3126" t="s">
        <v>34</v>
      </c>
      <c r="D3126">
        <v>1675.34</v>
      </c>
      <c r="E3126">
        <v>1670</v>
      </c>
      <c r="F3126">
        <v>0</v>
      </c>
      <c r="G3126">
        <v>5</v>
      </c>
      <c r="H3126">
        <v>0</v>
      </c>
      <c r="I3126" t="s">
        <v>33</v>
      </c>
      <c r="J3126">
        <v>0</v>
      </c>
      <c r="K3126">
        <v>49</v>
      </c>
      <c r="L3126" t="s">
        <v>20</v>
      </c>
      <c r="M3126" t="s">
        <v>31</v>
      </c>
      <c r="N3126" t="s">
        <v>22</v>
      </c>
      <c r="O3126" t="s">
        <v>36</v>
      </c>
      <c r="P3126">
        <v>8.65</v>
      </c>
      <c r="Q3126" s="2" t="b">
        <f>FALSE()</f>
        <v>0</v>
      </c>
      <c r="R3126">
        <v>0</v>
      </c>
    </row>
    <row r="3127" spans="1:18" x14ac:dyDescent="0.25">
      <c r="A3127">
        <v>203126</v>
      </c>
      <c r="B3127">
        <v>51679</v>
      </c>
      <c r="C3127" t="s">
        <v>34</v>
      </c>
      <c r="D3127">
        <v>1810.7</v>
      </c>
      <c r="E3127">
        <v>336</v>
      </c>
      <c r="F3127">
        <v>2</v>
      </c>
      <c r="G3127">
        <v>2</v>
      </c>
      <c r="H3127">
        <v>0</v>
      </c>
      <c r="I3127" t="s">
        <v>19</v>
      </c>
      <c r="J3127">
        <v>0</v>
      </c>
      <c r="K3127">
        <v>68</v>
      </c>
      <c r="L3127" t="s">
        <v>20</v>
      </c>
      <c r="M3127" t="s">
        <v>29</v>
      </c>
      <c r="N3127" t="s">
        <v>22</v>
      </c>
      <c r="O3127" t="s">
        <v>36</v>
      </c>
      <c r="P3127">
        <v>2.62</v>
      </c>
      <c r="Q3127" s="2" t="b">
        <f>FALSE()</f>
        <v>0</v>
      </c>
      <c r="R3127">
        <v>0</v>
      </c>
    </row>
    <row r="3128" spans="1:18" x14ac:dyDescent="0.25">
      <c r="A3128">
        <v>203127</v>
      </c>
      <c r="B3128">
        <v>55916</v>
      </c>
      <c r="C3128" t="s">
        <v>34</v>
      </c>
      <c r="D3128">
        <v>2076.1799999999998</v>
      </c>
      <c r="E3128">
        <v>2764</v>
      </c>
      <c r="F3128">
        <v>1</v>
      </c>
      <c r="G3128">
        <v>7</v>
      </c>
      <c r="H3128">
        <v>1</v>
      </c>
      <c r="I3128" t="s">
        <v>33</v>
      </c>
      <c r="J3128">
        <v>0</v>
      </c>
      <c r="K3128">
        <v>29</v>
      </c>
      <c r="L3128" t="s">
        <v>24</v>
      </c>
      <c r="M3128" t="s">
        <v>35</v>
      </c>
      <c r="N3128" t="s">
        <v>30</v>
      </c>
      <c r="O3128" t="s">
        <v>36</v>
      </c>
      <c r="P3128">
        <v>2.09</v>
      </c>
      <c r="Q3128" s="2" t="b">
        <f>FALSE()</f>
        <v>0</v>
      </c>
      <c r="R3128">
        <v>1</v>
      </c>
    </row>
    <row r="3129" spans="1:18" x14ac:dyDescent="0.25">
      <c r="A3129">
        <v>203128</v>
      </c>
      <c r="B3129">
        <v>50067</v>
      </c>
      <c r="C3129" t="s">
        <v>28</v>
      </c>
      <c r="D3129">
        <v>4500.0200000000004</v>
      </c>
      <c r="E3129">
        <v>3405</v>
      </c>
      <c r="F3129">
        <v>0</v>
      </c>
      <c r="G3129">
        <v>5</v>
      </c>
      <c r="H3129">
        <v>0</v>
      </c>
      <c r="I3129" t="s">
        <v>32</v>
      </c>
      <c r="J3129">
        <v>0</v>
      </c>
      <c r="K3129">
        <v>52</v>
      </c>
      <c r="L3129" t="s">
        <v>20</v>
      </c>
      <c r="M3129" t="s">
        <v>21</v>
      </c>
      <c r="N3129" t="s">
        <v>26</v>
      </c>
      <c r="O3129" t="s">
        <v>23</v>
      </c>
      <c r="P3129">
        <v>0.8</v>
      </c>
      <c r="Q3129" s="2" t="b">
        <f>FALSE()</f>
        <v>0</v>
      </c>
      <c r="R3129">
        <v>1</v>
      </c>
    </row>
    <row r="3130" spans="1:18" x14ac:dyDescent="0.25">
      <c r="A3130">
        <v>203129</v>
      </c>
      <c r="B3130">
        <v>50924</v>
      </c>
      <c r="C3130" t="s">
        <v>18</v>
      </c>
      <c r="D3130">
        <v>1328.28</v>
      </c>
      <c r="E3130">
        <v>1109</v>
      </c>
      <c r="F3130">
        <v>1</v>
      </c>
      <c r="G3130">
        <v>3</v>
      </c>
      <c r="H3130">
        <v>0</v>
      </c>
      <c r="I3130" t="s">
        <v>19</v>
      </c>
      <c r="J3130">
        <v>0</v>
      </c>
      <c r="K3130">
        <v>43</v>
      </c>
      <c r="L3130" t="s">
        <v>24</v>
      </c>
      <c r="M3130" t="s">
        <v>31</v>
      </c>
      <c r="N3130" t="s">
        <v>22</v>
      </c>
      <c r="O3130" t="s">
        <v>27</v>
      </c>
      <c r="P3130">
        <v>2.2999999999999998</v>
      </c>
      <c r="Q3130" s="2" t="b">
        <f>FALSE()</f>
        <v>0</v>
      </c>
      <c r="R3130">
        <v>0</v>
      </c>
    </row>
    <row r="3131" spans="1:18" x14ac:dyDescent="0.25">
      <c r="A3131">
        <v>203130</v>
      </c>
      <c r="B3131">
        <v>50065</v>
      </c>
      <c r="C3131" t="s">
        <v>34</v>
      </c>
      <c r="D3131">
        <v>3292.54</v>
      </c>
      <c r="E3131">
        <v>3234</v>
      </c>
      <c r="F3131">
        <v>1</v>
      </c>
      <c r="G3131">
        <v>4</v>
      </c>
      <c r="H3131">
        <v>0</v>
      </c>
      <c r="I3131" t="s">
        <v>33</v>
      </c>
      <c r="J3131">
        <v>0</v>
      </c>
      <c r="K3131">
        <v>24</v>
      </c>
      <c r="L3131" t="s">
        <v>24</v>
      </c>
      <c r="M3131" t="s">
        <v>21</v>
      </c>
      <c r="N3131" t="s">
        <v>30</v>
      </c>
      <c r="O3131" t="s">
        <v>27</v>
      </c>
      <c r="P3131">
        <v>4.72</v>
      </c>
      <c r="Q3131" s="2" t="b">
        <f>FALSE()</f>
        <v>0</v>
      </c>
      <c r="R3131">
        <v>0</v>
      </c>
    </row>
    <row r="3132" spans="1:18" x14ac:dyDescent="0.25">
      <c r="A3132">
        <v>203131</v>
      </c>
      <c r="B3132">
        <v>55690</v>
      </c>
      <c r="C3132" t="s">
        <v>34</v>
      </c>
      <c r="D3132">
        <v>3046.24</v>
      </c>
      <c r="E3132">
        <v>2623</v>
      </c>
      <c r="F3132">
        <v>3</v>
      </c>
      <c r="G3132">
        <v>3</v>
      </c>
      <c r="H3132">
        <v>0</v>
      </c>
      <c r="I3132" t="s">
        <v>19</v>
      </c>
      <c r="J3132">
        <v>0</v>
      </c>
      <c r="K3132">
        <v>58</v>
      </c>
      <c r="L3132" t="s">
        <v>24</v>
      </c>
      <c r="M3132" t="s">
        <v>21</v>
      </c>
      <c r="N3132" t="s">
        <v>30</v>
      </c>
      <c r="O3132" t="s">
        <v>23</v>
      </c>
      <c r="P3132">
        <v>4.9400000000000004</v>
      </c>
      <c r="Q3132" s="2" t="b">
        <f>FALSE()</f>
        <v>0</v>
      </c>
      <c r="R3132">
        <v>1</v>
      </c>
    </row>
    <row r="3133" spans="1:18" x14ac:dyDescent="0.25">
      <c r="A3133">
        <v>203132</v>
      </c>
      <c r="B3133">
        <v>52211</v>
      </c>
      <c r="C3133" t="s">
        <v>18</v>
      </c>
      <c r="D3133">
        <v>1438.67</v>
      </c>
      <c r="E3133">
        <v>2953</v>
      </c>
      <c r="F3133">
        <v>1</v>
      </c>
      <c r="G3133">
        <v>4</v>
      </c>
      <c r="H3133">
        <v>1</v>
      </c>
      <c r="I3133" t="s">
        <v>33</v>
      </c>
      <c r="J3133">
        <v>0</v>
      </c>
      <c r="K3133">
        <v>58</v>
      </c>
      <c r="L3133" t="s">
        <v>24</v>
      </c>
      <c r="M3133" t="s">
        <v>31</v>
      </c>
      <c r="N3133" t="s">
        <v>30</v>
      </c>
      <c r="O3133" t="s">
        <v>36</v>
      </c>
      <c r="P3133">
        <v>0.05</v>
      </c>
      <c r="Q3133" s="2" t="b">
        <f>FALSE()</f>
        <v>0</v>
      </c>
      <c r="R3133">
        <v>0</v>
      </c>
    </row>
    <row r="3134" spans="1:18" x14ac:dyDescent="0.25">
      <c r="A3134">
        <v>203133</v>
      </c>
      <c r="B3134">
        <v>52438</v>
      </c>
      <c r="C3134" t="s">
        <v>18</v>
      </c>
      <c r="D3134">
        <v>1049.6199999999999</v>
      </c>
      <c r="E3134">
        <v>828</v>
      </c>
      <c r="F3134">
        <v>2</v>
      </c>
      <c r="G3134">
        <v>2</v>
      </c>
      <c r="H3134">
        <v>0</v>
      </c>
      <c r="I3134" t="s">
        <v>19</v>
      </c>
      <c r="J3134">
        <v>1</v>
      </c>
      <c r="K3134">
        <v>83</v>
      </c>
      <c r="L3134" t="s">
        <v>24</v>
      </c>
      <c r="M3134" t="s">
        <v>35</v>
      </c>
      <c r="N3134" t="s">
        <v>22</v>
      </c>
      <c r="O3134" t="s">
        <v>27</v>
      </c>
      <c r="P3134">
        <v>4.7300000000000004</v>
      </c>
      <c r="Q3134" s="2" t="b">
        <f>FALSE()</f>
        <v>0</v>
      </c>
      <c r="R3134">
        <v>0</v>
      </c>
    </row>
    <row r="3135" spans="1:18" x14ac:dyDescent="0.25">
      <c r="A3135">
        <v>203134</v>
      </c>
      <c r="B3135">
        <v>53149</v>
      </c>
      <c r="C3135" t="s">
        <v>34</v>
      </c>
      <c r="D3135">
        <v>3336.66</v>
      </c>
      <c r="E3135">
        <v>2385</v>
      </c>
      <c r="F3135">
        <v>0</v>
      </c>
      <c r="G3135">
        <v>5</v>
      </c>
      <c r="H3135">
        <v>0</v>
      </c>
      <c r="I3135" t="s">
        <v>19</v>
      </c>
      <c r="J3135">
        <v>0</v>
      </c>
      <c r="K3135">
        <v>48</v>
      </c>
      <c r="L3135" t="s">
        <v>20</v>
      </c>
      <c r="M3135" t="s">
        <v>29</v>
      </c>
      <c r="N3135" t="s">
        <v>30</v>
      </c>
      <c r="O3135" t="s">
        <v>36</v>
      </c>
      <c r="P3135">
        <v>6.25</v>
      </c>
      <c r="Q3135" s="2" t="b">
        <f>FALSE()</f>
        <v>0</v>
      </c>
      <c r="R3135">
        <v>0</v>
      </c>
    </row>
    <row r="3136" spans="1:18" x14ac:dyDescent="0.25">
      <c r="A3136">
        <v>203135</v>
      </c>
      <c r="B3136">
        <v>53289</v>
      </c>
      <c r="C3136" t="s">
        <v>28</v>
      </c>
      <c r="D3136">
        <v>1517.24</v>
      </c>
      <c r="E3136">
        <v>1848</v>
      </c>
      <c r="F3136">
        <v>3</v>
      </c>
      <c r="G3136">
        <v>5</v>
      </c>
      <c r="H3136">
        <v>0</v>
      </c>
      <c r="I3136" t="s">
        <v>33</v>
      </c>
      <c r="J3136">
        <v>0</v>
      </c>
      <c r="K3136">
        <v>58</v>
      </c>
      <c r="L3136" t="s">
        <v>20</v>
      </c>
      <c r="M3136" t="s">
        <v>21</v>
      </c>
      <c r="N3136" t="s">
        <v>22</v>
      </c>
      <c r="O3136" t="s">
        <v>27</v>
      </c>
      <c r="P3136">
        <v>0.23</v>
      </c>
      <c r="Q3136" s="2" t="b">
        <f>FALSE()</f>
        <v>0</v>
      </c>
      <c r="R3136">
        <v>1</v>
      </c>
    </row>
    <row r="3137" spans="1:18" x14ac:dyDescent="0.25">
      <c r="A3137">
        <v>203136</v>
      </c>
      <c r="B3137">
        <v>53737</v>
      </c>
      <c r="C3137" t="s">
        <v>34</v>
      </c>
      <c r="D3137">
        <v>1791.07</v>
      </c>
      <c r="E3137">
        <v>1062</v>
      </c>
      <c r="F3137">
        <v>0</v>
      </c>
      <c r="G3137">
        <v>2</v>
      </c>
      <c r="H3137">
        <v>0</v>
      </c>
      <c r="I3137" t="s">
        <v>19</v>
      </c>
      <c r="J3137">
        <v>0</v>
      </c>
      <c r="K3137">
        <v>26</v>
      </c>
      <c r="L3137" t="s">
        <v>20</v>
      </c>
      <c r="M3137" t="s">
        <v>29</v>
      </c>
      <c r="N3137" t="s">
        <v>22</v>
      </c>
      <c r="O3137" t="s">
        <v>36</v>
      </c>
      <c r="P3137">
        <v>0.04</v>
      </c>
      <c r="Q3137" s="2" t="b">
        <f>FALSE()</f>
        <v>0</v>
      </c>
      <c r="R3137">
        <v>0</v>
      </c>
    </row>
    <row r="3138" spans="1:18" x14ac:dyDescent="0.25">
      <c r="A3138">
        <v>203137</v>
      </c>
      <c r="B3138">
        <v>54707</v>
      </c>
      <c r="C3138" t="s">
        <v>34</v>
      </c>
      <c r="D3138">
        <v>956.99</v>
      </c>
      <c r="E3138">
        <v>2970</v>
      </c>
      <c r="F3138">
        <v>2</v>
      </c>
      <c r="G3138">
        <v>3</v>
      </c>
      <c r="H3138">
        <v>0</v>
      </c>
      <c r="I3138" t="s">
        <v>32</v>
      </c>
      <c r="J3138">
        <v>0</v>
      </c>
      <c r="K3138">
        <v>21</v>
      </c>
      <c r="L3138" t="s">
        <v>20</v>
      </c>
      <c r="M3138" t="s">
        <v>21</v>
      </c>
      <c r="N3138" t="s">
        <v>30</v>
      </c>
      <c r="O3138" t="s">
        <v>23</v>
      </c>
      <c r="P3138">
        <v>0.82</v>
      </c>
      <c r="Q3138" s="2" t="b">
        <f>FALSE()</f>
        <v>0</v>
      </c>
      <c r="R3138">
        <v>0</v>
      </c>
    </row>
    <row r="3139" spans="1:18" x14ac:dyDescent="0.25">
      <c r="A3139">
        <v>203138</v>
      </c>
      <c r="B3139">
        <v>55437</v>
      </c>
      <c r="C3139" t="s">
        <v>18</v>
      </c>
      <c r="D3139">
        <v>2654.52</v>
      </c>
      <c r="E3139">
        <v>3614</v>
      </c>
      <c r="F3139">
        <v>0</v>
      </c>
      <c r="G3139">
        <v>5</v>
      </c>
      <c r="H3139">
        <v>0</v>
      </c>
      <c r="I3139" t="s">
        <v>32</v>
      </c>
      <c r="J3139">
        <v>0</v>
      </c>
      <c r="K3139">
        <v>21</v>
      </c>
      <c r="L3139" t="s">
        <v>20</v>
      </c>
      <c r="M3139" t="s">
        <v>37</v>
      </c>
      <c r="N3139" t="s">
        <v>30</v>
      </c>
      <c r="O3139" t="s">
        <v>36</v>
      </c>
      <c r="P3139">
        <v>0.06</v>
      </c>
      <c r="Q3139" s="2" t="b">
        <f>FALSE()</f>
        <v>0</v>
      </c>
      <c r="R3139">
        <v>0</v>
      </c>
    </row>
    <row r="3140" spans="1:18" x14ac:dyDescent="0.25">
      <c r="A3140">
        <v>203139</v>
      </c>
      <c r="B3140">
        <v>54399</v>
      </c>
      <c r="C3140" t="s">
        <v>18</v>
      </c>
      <c r="D3140">
        <v>2024.05</v>
      </c>
      <c r="E3140">
        <v>349</v>
      </c>
      <c r="F3140">
        <v>1</v>
      </c>
      <c r="G3140">
        <v>2</v>
      </c>
      <c r="H3140">
        <v>0</v>
      </c>
      <c r="I3140" t="s">
        <v>33</v>
      </c>
      <c r="J3140">
        <v>1</v>
      </c>
      <c r="K3140">
        <v>35</v>
      </c>
      <c r="L3140" t="s">
        <v>24</v>
      </c>
      <c r="M3140" t="s">
        <v>25</v>
      </c>
      <c r="N3140" t="s">
        <v>30</v>
      </c>
      <c r="O3140" t="s">
        <v>36</v>
      </c>
      <c r="P3140">
        <v>0.67</v>
      </c>
      <c r="Q3140" s="2" t="b">
        <f>FALSE()</f>
        <v>0</v>
      </c>
      <c r="R3140">
        <v>0</v>
      </c>
    </row>
    <row r="3141" spans="1:18" x14ac:dyDescent="0.25">
      <c r="A3141">
        <v>203140</v>
      </c>
      <c r="B3141">
        <v>51675</v>
      </c>
      <c r="C3141" t="s">
        <v>18</v>
      </c>
      <c r="D3141">
        <v>1315.92</v>
      </c>
      <c r="E3141">
        <v>1055</v>
      </c>
      <c r="F3141">
        <v>0</v>
      </c>
      <c r="G3141">
        <v>2</v>
      </c>
      <c r="H3141">
        <v>0</v>
      </c>
      <c r="I3141" t="s">
        <v>33</v>
      </c>
      <c r="J3141">
        <v>0</v>
      </c>
      <c r="K3141">
        <v>81</v>
      </c>
      <c r="L3141" t="s">
        <v>24</v>
      </c>
      <c r="M3141" t="s">
        <v>37</v>
      </c>
      <c r="N3141" t="s">
        <v>30</v>
      </c>
      <c r="O3141" t="s">
        <v>36</v>
      </c>
      <c r="P3141">
        <v>1.58</v>
      </c>
      <c r="Q3141" s="2" t="b">
        <f>FALSE()</f>
        <v>0</v>
      </c>
      <c r="R3141">
        <v>0</v>
      </c>
    </row>
    <row r="3142" spans="1:18" x14ac:dyDescent="0.25">
      <c r="A3142">
        <v>203141</v>
      </c>
      <c r="B3142">
        <v>53646</v>
      </c>
      <c r="C3142" t="s">
        <v>18</v>
      </c>
      <c r="D3142">
        <v>1051.42</v>
      </c>
      <c r="E3142">
        <v>3155</v>
      </c>
      <c r="F3142">
        <v>0</v>
      </c>
      <c r="G3142">
        <v>2</v>
      </c>
      <c r="H3142">
        <v>1</v>
      </c>
      <c r="I3142" t="s">
        <v>32</v>
      </c>
      <c r="J3142">
        <v>0</v>
      </c>
      <c r="K3142">
        <v>67</v>
      </c>
      <c r="L3142" t="s">
        <v>20</v>
      </c>
      <c r="M3142" t="s">
        <v>25</v>
      </c>
      <c r="N3142" t="s">
        <v>30</v>
      </c>
      <c r="O3142" t="s">
        <v>36</v>
      </c>
      <c r="P3142">
        <v>1.47</v>
      </c>
      <c r="Q3142" s="2" t="b">
        <f>FALSE()</f>
        <v>0</v>
      </c>
      <c r="R3142">
        <v>0</v>
      </c>
    </row>
    <row r="3143" spans="1:18" x14ac:dyDescent="0.25">
      <c r="A3143">
        <v>203142</v>
      </c>
      <c r="B3143">
        <v>54665</v>
      </c>
      <c r="C3143" t="s">
        <v>18</v>
      </c>
      <c r="D3143">
        <v>1159.6400000000001</v>
      </c>
      <c r="E3143">
        <v>2378</v>
      </c>
      <c r="F3143">
        <v>3</v>
      </c>
      <c r="G3143">
        <v>4</v>
      </c>
      <c r="H3143">
        <v>0</v>
      </c>
      <c r="I3143" t="s">
        <v>19</v>
      </c>
      <c r="J3143">
        <v>0</v>
      </c>
      <c r="K3143">
        <v>30</v>
      </c>
      <c r="L3143" t="s">
        <v>20</v>
      </c>
      <c r="M3143" t="s">
        <v>29</v>
      </c>
      <c r="N3143" t="s">
        <v>26</v>
      </c>
      <c r="O3143" t="s">
        <v>36</v>
      </c>
      <c r="P3143">
        <v>0.66</v>
      </c>
      <c r="Q3143" s="2" t="b">
        <f>FALSE()</f>
        <v>0</v>
      </c>
      <c r="R3143">
        <v>1</v>
      </c>
    </row>
    <row r="3144" spans="1:18" x14ac:dyDescent="0.25">
      <c r="A3144">
        <v>203143</v>
      </c>
      <c r="B3144">
        <v>52533</v>
      </c>
      <c r="C3144" t="s">
        <v>34</v>
      </c>
      <c r="D3144">
        <v>1007.09</v>
      </c>
      <c r="E3144">
        <v>434</v>
      </c>
      <c r="F3144">
        <v>1</v>
      </c>
      <c r="G3144">
        <v>2</v>
      </c>
      <c r="H3144">
        <v>0</v>
      </c>
      <c r="I3144" t="s">
        <v>33</v>
      </c>
      <c r="J3144">
        <v>0</v>
      </c>
      <c r="K3144">
        <v>57</v>
      </c>
      <c r="L3144" t="s">
        <v>24</v>
      </c>
      <c r="M3144" t="s">
        <v>25</v>
      </c>
      <c r="N3144" t="s">
        <v>30</v>
      </c>
      <c r="O3144" t="s">
        <v>36</v>
      </c>
      <c r="P3144">
        <v>1.72</v>
      </c>
      <c r="Q3144" s="2" t="b">
        <f>FALSE()</f>
        <v>0</v>
      </c>
      <c r="R3144">
        <v>0</v>
      </c>
    </row>
    <row r="3145" spans="1:18" x14ac:dyDescent="0.25">
      <c r="A3145">
        <v>203144</v>
      </c>
      <c r="B3145">
        <v>50016</v>
      </c>
      <c r="C3145" t="s">
        <v>34</v>
      </c>
      <c r="D3145">
        <v>1117.8599999999999</v>
      </c>
      <c r="E3145">
        <v>3564</v>
      </c>
      <c r="F3145">
        <v>1</v>
      </c>
      <c r="G3145">
        <v>3</v>
      </c>
      <c r="H3145">
        <v>0</v>
      </c>
      <c r="I3145" t="s">
        <v>32</v>
      </c>
      <c r="J3145">
        <v>1</v>
      </c>
      <c r="K3145">
        <v>45</v>
      </c>
      <c r="L3145" t="s">
        <v>24</v>
      </c>
      <c r="M3145" t="s">
        <v>21</v>
      </c>
      <c r="N3145" t="s">
        <v>22</v>
      </c>
      <c r="O3145" t="s">
        <v>23</v>
      </c>
      <c r="P3145">
        <v>12.99</v>
      </c>
      <c r="Q3145" s="2" t="b">
        <f>FALSE()</f>
        <v>0</v>
      </c>
      <c r="R3145">
        <v>0</v>
      </c>
    </row>
    <row r="3146" spans="1:18" x14ac:dyDescent="0.25">
      <c r="A3146">
        <v>203145</v>
      </c>
      <c r="B3146">
        <v>53278</v>
      </c>
      <c r="C3146" t="s">
        <v>28</v>
      </c>
      <c r="D3146">
        <v>2505.69</v>
      </c>
      <c r="E3146">
        <v>741</v>
      </c>
      <c r="F3146">
        <v>0</v>
      </c>
      <c r="G3146">
        <v>3</v>
      </c>
      <c r="H3146">
        <v>0</v>
      </c>
      <c r="I3146" t="s">
        <v>33</v>
      </c>
      <c r="J3146">
        <v>0</v>
      </c>
      <c r="K3146">
        <v>24</v>
      </c>
      <c r="L3146" t="s">
        <v>20</v>
      </c>
      <c r="M3146" t="s">
        <v>35</v>
      </c>
      <c r="N3146" t="s">
        <v>26</v>
      </c>
      <c r="O3146" t="s">
        <v>23</v>
      </c>
      <c r="P3146">
        <v>3.39</v>
      </c>
      <c r="Q3146" s="2" t="b">
        <f>FALSE()</f>
        <v>0</v>
      </c>
      <c r="R3146">
        <v>0</v>
      </c>
    </row>
    <row r="3147" spans="1:18" x14ac:dyDescent="0.25">
      <c r="A3147">
        <v>203146</v>
      </c>
      <c r="B3147">
        <v>50137</v>
      </c>
      <c r="C3147" t="s">
        <v>34</v>
      </c>
      <c r="D3147">
        <v>1876.69</v>
      </c>
      <c r="E3147">
        <v>3174</v>
      </c>
      <c r="F3147">
        <v>0</v>
      </c>
      <c r="G3147">
        <v>5</v>
      </c>
      <c r="H3147">
        <v>0</v>
      </c>
      <c r="I3147" t="s">
        <v>33</v>
      </c>
      <c r="J3147">
        <v>0</v>
      </c>
      <c r="K3147">
        <v>22</v>
      </c>
      <c r="L3147" t="s">
        <v>20</v>
      </c>
      <c r="M3147" t="s">
        <v>29</v>
      </c>
      <c r="N3147" t="s">
        <v>30</v>
      </c>
      <c r="O3147" t="s">
        <v>36</v>
      </c>
      <c r="P3147">
        <v>0.56000000000000005</v>
      </c>
      <c r="Q3147" s="2" t="b">
        <f>FALSE()</f>
        <v>0</v>
      </c>
      <c r="R3147">
        <v>0</v>
      </c>
    </row>
    <row r="3148" spans="1:18" x14ac:dyDescent="0.25">
      <c r="A3148">
        <v>203147</v>
      </c>
      <c r="B3148">
        <v>51032</v>
      </c>
      <c r="C3148" t="s">
        <v>34</v>
      </c>
      <c r="D3148">
        <v>4194.2299999999996</v>
      </c>
      <c r="E3148">
        <v>963</v>
      </c>
      <c r="F3148">
        <v>1</v>
      </c>
      <c r="G3148">
        <v>3</v>
      </c>
      <c r="H3148">
        <v>0</v>
      </c>
      <c r="I3148" t="s">
        <v>33</v>
      </c>
      <c r="J3148">
        <v>0</v>
      </c>
      <c r="K3148">
        <v>39</v>
      </c>
      <c r="L3148" t="s">
        <v>20</v>
      </c>
      <c r="M3148" t="s">
        <v>31</v>
      </c>
      <c r="N3148" t="s">
        <v>22</v>
      </c>
      <c r="O3148" t="s">
        <v>27</v>
      </c>
      <c r="P3148">
        <v>1.21</v>
      </c>
      <c r="Q3148" s="2" t="b">
        <f>FALSE()</f>
        <v>0</v>
      </c>
      <c r="R3148">
        <v>1</v>
      </c>
    </row>
    <row r="3149" spans="1:18" x14ac:dyDescent="0.25">
      <c r="A3149">
        <v>203148</v>
      </c>
      <c r="B3149">
        <v>55185</v>
      </c>
      <c r="C3149" t="s">
        <v>18</v>
      </c>
      <c r="D3149">
        <v>2071.31</v>
      </c>
      <c r="E3149">
        <v>1991</v>
      </c>
      <c r="F3149">
        <v>0</v>
      </c>
      <c r="G3149">
        <v>3</v>
      </c>
      <c r="H3149">
        <v>0</v>
      </c>
      <c r="I3149" t="s">
        <v>33</v>
      </c>
      <c r="J3149">
        <v>0</v>
      </c>
      <c r="K3149">
        <v>49</v>
      </c>
      <c r="L3149" t="s">
        <v>20</v>
      </c>
      <c r="M3149" t="s">
        <v>21</v>
      </c>
      <c r="N3149" t="s">
        <v>22</v>
      </c>
      <c r="O3149" t="s">
        <v>27</v>
      </c>
      <c r="P3149">
        <v>2.88</v>
      </c>
      <c r="Q3149" s="2" t="b">
        <f>FALSE()</f>
        <v>0</v>
      </c>
      <c r="R3149">
        <v>0</v>
      </c>
    </row>
    <row r="3150" spans="1:18" x14ac:dyDescent="0.25">
      <c r="A3150">
        <v>203149</v>
      </c>
      <c r="B3150">
        <v>54121</v>
      </c>
      <c r="C3150" t="s">
        <v>18</v>
      </c>
      <c r="D3150">
        <v>5653.16</v>
      </c>
      <c r="E3150">
        <v>2471</v>
      </c>
      <c r="F3150">
        <v>0</v>
      </c>
      <c r="G3150">
        <v>4</v>
      </c>
      <c r="H3150">
        <v>0</v>
      </c>
      <c r="I3150" t="s">
        <v>33</v>
      </c>
      <c r="J3150">
        <v>0</v>
      </c>
      <c r="K3150">
        <v>27</v>
      </c>
      <c r="L3150" t="s">
        <v>24</v>
      </c>
      <c r="M3150" t="s">
        <v>29</v>
      </c>
      <c r="N3150" t="s">
        <v>26</v>
      </c>
      <c r="O3150" t="s">
        <v>23</v>
      </c>
      <c r="P3150">
        <v>3.75</v>
      </c>
      <c r="Q3150" s="2" t="b">
        <f>FALSE()</f>
        <v>0</v>
      </c>
      <c r="R3150">
        <v>1</v>
      </c>
    </row>
    <row r="3151" spans="1:18" x14ac:dyDescent="0.25">
      <c r="A3151">
        <v>203150</v>
      </c>
      <c r="B3151">
        <v>52926</v>
      </c>
      <c r="C3151" t="s">
        <v>18</v>
      </c>
      <c r="D3151">
        <v>4942.58</v>
      </c>
      <c r="E3151">
        <v>1676</v>
      </c>
      <c r="F3151">
        <v>0</v>
      </c>
      <c r="G3151">
        <v>3</v>
      </c>
      <c r="H3151">
        <v>0</v>
      </c>
      <c r="I3151" t="s">
        <v>32</v>
      </c>
      <c r="J3151">
        <v>0</v>
      </c>
      <c r="K3151">
        <v>69</v>
      </c>
      <c r="L3151" t="s">
        <v>24</v>
      </c>
      <c r="M3151" t="s">
        <v>37</v>
      </c>
      <c r="N3151" t="s">
        <v>22</v>
      </c>
      <c r="O3151" t="s">
        <v>36</v>
      </c>
      <c r="P3151">
        <v>1.29</v>
      </c>
      <c r="Q3151" s="2" t="b">
        <f>FALSE()</f>
        <v>0</v>
      </c>
      <c r="R3151">
        <v>1</v>
      </c>
    </row>
    <row r="3152" spans="1:18" x14ac:dyDescent="0.25">
      <c r="A3152">
        <v>203151</v>
      </c>
      <c r="B3152">
        <v>52620</v>
      </c>
      <c r="C3152" t="s">
        <v>28</v>
      </c>
      <c r="D3152">
        <v>579.41</v>
      </c>
      <c r="E3152">
        <v>2134</v>
      </c>
      <c r="F3152">
        <v>1</v>
      </c>
      <c r="G3152">
        <v>4</v>
      </c>
      <c r="H3152">
        <v>0</v>
      </c>
      <c r="I3152" t="s">
        <v>33</v>
      </c>
      <c r="J3152">
        <v>0</v>
      </c>
      <c r="K3152">
        <v>46</v>
      </c>
      <c r="L3152" t="s">
        <v>20</v>
      </c>
      <c r="M3152" t="s">
        <v>31</v>
      </c>
      <c r="N3152" t="s">
        <v>22</v>
      </c>
      <c r="O3152" t="s">
        <v>36</v>
      </c>
      <c r="P3152">
        <v>2.42</v>
      </c>
      <c r="Q3152" s="2" t="b">
        <f>FALSE()</f>
        <v>0</v>
      </c>
      <c r="R3152">
        <v>0</v>
      </c>
    </row>
    <row r="3153" spans="1:18" x14ac:dyDescent="0.25">
      <c r="A3153">
        <v>203152</v>
      </c>
      <c r="B3153">
        <v>52244</v>
      </c>
      <c r="C3153" t="s">
        <v>18</v>
      </c>
      <c r="D3153">
        <v>2880.53</v>
      </c>
      <c r="E3153">
        <v>758</v>
      </c>
      <c r="F3153">
        <v>0</v>
      </c>
      <c r="G3153">
        <v>3</v>
      </c>
      <c r="H3153">
        <v>0</v>
      </c>
      <c r="I3153" t="s">
        <v>32</v>
      </c>
      <c r="J3153">
        <v>0</v>
      </c>
      <c r="K3153">
        <v>81</v>
      </c>
      <c r="L3153" t="s">
        <v>24</v>
      </c>
      <c r="M3153" t="s">
        <v>31</v>
      </c>
      <c r="N3153" t="s">
        <v>26</v>
      </c>
      <c r="O3153" t="s">
        <v>36</v>
      </c>
      <c r="P3153">
        <v>4.67</v>
      </c>
      <c r="Q3153" s="2" t="b">
        <f>FALSE()</f>
        <v>0</v>
      </c>
      <c r="R3153">
        <v>0</v>
      </c>
    </row>
    <row r="3154" spans="1:18" x14ac:dyDescent="0.25">
      <c r="A3154">
        <v>203153</v>
      </c>
      <c r="B3154">
        <v>55589</v>
      </c>
      <c r="C3154" t="s">
        <v>18</v>
      </c>
      <c r="D3154">
        <v>2546.69</v>
      </c>
      <c r="E3154">
        <v>391</v>
      </c>
      <c r="F3154">
        <v>2</v>
      </c>
      <c r="G3154">
        <v>5</v>
      </c>
      <c r="H3154">
        <v>0</v>
      </c>
      <c r="I3154" t="s">
        <v>33</v>
      </c>
      <c r="J3154">
        <v>0</v>
      </c>
      <c r="K3154">
        <v>76</v>
      </c>
      <c r="L3154" t="s">
        <v>20</v>
      </c>
      <c r="M3154" t="s">
        <v>31</v>
      </c>
      <c r="N3154" t="s">
        <v>22</v>
      </c>
      <c r="O3154" t="s">
        <v>23</v>
      </c>
      <c r="P3154">
        <v>0.18</v>
      </c>
      <c r="Q3154" s="2" t="b">
        <f>FALSE()</f>
        <v>0</v>
      </c>
      <c r="R3154">
        <v>0</v>
      </c>
    </row>
    <row r="3155" spans="1:18" x14ac:dyDescent="0.25">
      <c r="A3155">
        <v>203154</v>
      </c>
      <c r="B3155">
        <v>54318</v>
      </c>
      <c r="C3155" t="s">
        <v>18</v>
      </c>
      <c r="D3155">
        <v>1832.95</v>
      </c>
      <c r="E3155">
        <v>1012</v>
      </c>
      <c r="F3155">
        <v>2</v>
      </c>
      <c r="G3155">
        <v>2</v>
      </c>
      <c r="H3155">
        <v>0</v>
      </c>
      <c r="I3155" t="s">
        <v>33</v>
      </c>
      <c r="J3155">
        <v>0</v>
      </c>
      <c r="K3155">
        <v>59</v>
      </c>
      <c r="L3155" t="s">
        <v>20</v>
      </c>
      <c r="M3155" t="s">
        <v>35</v>
      </c>
      <c r="N3155" t="s">
        <v>30</v>
      </c>
      <c r="O3155" t="s">
        <v>27</v>
      </c>
      <c r="P3155">
        <v>0.82</v>
      </c>
      <c r="Q3155" s="2" t="b">
        <f>FALSE()</f>
        <v>0</v>
      </c>
      <c r="R3155">
        <v>0</v>
      </c>
    </row>
    <row r="3156" spans="1:18" x14ac:dyDescent="0.25">
      <c r="A3156">
        <v>203155</v>
      </c>
      <c r="B3156">
        <v>54271</v>
      </c>
      <c r="C3156" t="s">
        <v>34</v>
      </c>
      <c r="D3156">
        <v>4387.1499999999996</v>
      </c>
      <c r="E3156">
        <v>2916</v>
      </c>
      <c r="F3156">
        <v>0</v>
      </c>
      <c r="G3156">
        <v>0</v>
      </c>
      <c r="H3156">
        <v>0</v>
      </c>
      <c r="I3156" t="s">
        <v>33</v>
      </c>
      <c r="J3156">
        <v>0</v>
      </c>
      <c r="K3156">
        <v>31</v>
      </c>
      <c r="L3156" t="s">
        <v>20</v>
      </c>
      <c r="M3156" t="s">
        <v>21</v>
      </c>
      <c r="N3156" t="s">
        <v>22</v>
      </c>
      <c r="O3156" t="s">
        <v>36</v>
      </c>
      <c r="P3156">
        <v>4.8899999999999997</v>
      </c>
      <c r="Q3156" s="2" t="b">
        <f>FALSE()</f>
        <v>0</v>
      </c>
      <c r="R3156">
        <v>1</v>
      </c>
    </row>
    <row r="3157" spans="1:18" x14ac:dyDescent="0.25">
      <c r="A3157">
        <v>203156</v>
      </c>
      <c r="B3157">
        <v>54666</v>
      </c>
      <c r="C3157" t="s">
        <v>18</v>
      </c>
      <c r="D3157">
        <v>2328.81</v>
      </c>
      <c r="E3157">
        <v>2786</v>
      </c>
      <c r="F3157">
        <v>2</v>
      </c>
      <c r="G3157">
        <v>3</v>
      </c>
      <c r="H3157">
        <v>0</v>
      </c>
      <c r="I3157" t="s">
        <v>19</v>
      </c>
      <c r="J3157">
        <v>1</v>
      </c>
      <c r="K3157">
        <v>32</v>
      </c>
      <c r="L3157" t="s">
        <v>20</v>
      </c>
      <c r="M3157" t="s">
        <v>25</v>
      </c>
      <c r="N3157" t="s">
        <v>22</v>
      </c>
      <c r="O3157" t="s">
        <v>27</v>
      </c>
      <c r="P3157">
        <v>5.52</v>
      </c>
      <c r="Q3157" s="2" t="b">
        <f>FALSE()</f>
        <v>0</v>
      </c>
      <c r="R3157">
        <v>0</v>
      </c>
    </row>
    <row r="3158" spans="1:18" x14ac:dyDescent="0.25">
      <c r="A3158">
        <v>203157</v>
      </c>
      <c r="B3158">
        <v>52271</v>
      </c>
      <c r="C3158" t="s">
        <v>18</v>
      </c>
      <c r="D3158">
        <v>1059.72</v>
      </c>
      <c r="E3158">
        <v>2801</v>
      </c>
      <c r="F3158">
        <v>1</v>
      </c>
      <c r="G3158">
        <v>1</v>
      </c>
      <c r="H3158">
        <v>0</v>
      </c>
      <c r="I3158" t="s">
        <v>33</v>
      </c>
      <c r="J3158">
        <v>0</v>
      </c>
      <c r="K3158">
        <v>22</v>
      </c>
      <c r="L3158" t="s">
        <v>24</v>
      </c>
      <c r="M3158" t="s">
        <v>21</v>
      </c>
      <c r="N3158" t="s">
        <v>22</v>
      </c>
      <c r="O3158" t="s">
        <v>27</v>
      </c>
      <c r="P3158">
        <v>1.49</v>
      </c>
      <c r="Q3158" s="2" t="b">
        <f>FALSE()</f>
        <v>0</v>
      </c>
      <c r="R3158">
        <v>0</v>
      </c>
    </row>
    <row r="3159" spans="1:18" x14ac:dyDescent="0.25">
      <c r="A3159">
        <v>203158</v>
      </c>
      <c r="B3159">
        <v>51347</v>
      </c>
      <c r="C3159" t="s">
        <v>34</v>
      </c>
      <c r="D3159">
        <v>1187.2</v>
      </c>
      <c r="E3159">
        <v>473</v>
      </c>
      <c r="F3159">
        <v>1</v>
      </c>
      <c r="G3159">
        <v>2</v>
      </c>
      <c r="H3159">
        <v>0</v>
      </c>
      <c r="I3159" t="s">
        <v>32</v>
      </c>
      <c r="J3159">
        <v>1</v>
      </c>
      <c r="K3159">
        <v>28</v>
      </c>
      <c r="L3159" t="s">
        <v>24</v>
      </c>
      <c r="M3159" t="s">
        <v>21</v>
      </c>
      <c r="N3159" t="s">
        <v>22</v>
      </c>
      <c r="O3159" t="s">
        <v>27</v>
      </c>
      <c r="P3159">
        <v>0.18</v>
      </c>
      <c r="Q3159" s="2" t="b">
        <f>FALSE()</f>
        <v>0</v>
      </c>
      <c r="R3159">
        <v>0</v>
      </c>
    </row>
    <row r="3160" spans="1:18" x14ac:dyDescent="0.25">
      <c r="A3160">
        <v>203159</v>
      </c>
      <c r="B3160">
        <v>54479</v>
      </c>
      <c r="C3160" t="s">
        <v>18</v>
      </c>
      <c r="D3160">
        <v>2942.98</v>
      </c>
      <c r="E3160">
        <v>3408</v>
      </c>
      <c r="F3160">
        <v>1</v>
      </c>
      <c r="G3160">
        <v>4</v>
      </c>
      <c r="H3160">
        <v>0</v>
      </c>
      <c r="I3160" t="s">
        <v>33</v>
      </c>
      <c r="J3160">
        <v>0</v>
      </c>
      <c r="K3160">
        <v>52</v>
      </c>
      <c r="L3160" t="s">
        <v>20</v>
      </c>
      <c r="M3160" t="s">
        <v>29</v>
      </c>
      <c r="N3160" t="s">
        <v>22</v>
      </c>
      <c r="O3160" t="s">
        <v>36</v>
      </c>
      <c r="P3160">
        <v>4.53</v>
      </c>
      <c r="Q3160" s="2" t="b">
        <f>FALSE()</f>
        <v>0</v>
      </c>
      <c r="R3160">
        <v>0</v>
      </c>
    </row>
    <row r="3161" spans="1:18" x14ac:dyDescent="0.25">
      <c r="A3161">
        <v>203160</v>
      </c>
      <c r="B3161">
        <v>51840</v>
      </c>
      <c r="C3161" t="s">
        <v>18</v>
      </c>
      <c r="D3161">
        <v>992.74</v>
      </c>
      <c r="E3161">
        <v>1429</v>
      </c>
      <c r="F3161">
        <v>0</v>
      </c>
      <c r="G3161">
        <v>8</v>
      </c>
      <c r="H3161">
        <v>0</v>
      </c>
      <c r="I3161" t="s">
        <v>33</v>
      </c>
      <c r="J3161">
        <v>1</v>
      </c>
      <c r="K3161">
        <v>83</v>
      </c>
      <c r="L3161" t="s">
        <v>20</v>
      </c>
      <c r="M3161" t="s">
        <v>25</v>
      </c>
      <c r="N3161" t="s">
        <v>30</v>
      </c>
      <c r="O3161" t="s">
        <v>36</v>
      </c>
      <c r="P3161">
        <v>0.98</v>
      </c>
      <c r="Q3161" s="2" t="b">
        <f>FALSE()</f>
        <v>0</v>
      </c>
      <c r="R3161">
        <v>1</v>
      </c>
    </row>
    <row r="3162" spans="1:18" x14ac:dyDescent="0.25">
      <c r="A3162">
        <v>203161</v>
      </c>
      <c r="B3162">
        <v>51922</v>
      </c>
      <c r="C3162" t="s">
        <v>34</v>
      </c>
      <c r="D3162">
        <v>3324.85</v>
      </c>
      <c r="E3162">
        <v>3468</v>
      </c>
      <c r="F3162">
        <v>2</v>
      </c>
      <c r="G3162">
        <v>2</v>
      </c>
      <c r="H3162">
        <v>0</v>
      </c>
      <c r="I3162" t="s">
        <v>19</v>
      </c>
      <c r="J3162">
        <v>1</v>
      </c>
      <c r="K3162">
        <v>22</v>
      </c>
      <c r="L3162" t="s">
        <v>24</v>
      </c>
      <c r="M3162" t="s">
        <v>37</v>
      </c>
      <c r="N3162" t="s">
        <v>30</v>
      </c>
      <c r="O3162" t="s">
        <v>27</v>
      </c>
      <c r="P3162">
        <v>4.79</v>
      </c>
      <c r="Q3162" s="2" t="b">
        <f>FALSE()</f>
        <v>0</v>
      </c>
      <c r="R3162">
        <v>0</v>
      </c>
    </row>
    <row r="3163" spans="1:18" x14ac:dyDescent="0.25">
      <c r="A3163">
        <v>203162</v>
      </c>
      <c r="B3163">
        <v>50917</v>
      </c>
      <c r="C3163" t="s">
        <v>34</v>
      </c>
      <c r="D3163">
        <v>917.38</v>
      </c>
      <c r="E3163">
        <v>3603</v>
      </c>
      <c r="F3163">
        <v>0</v>
      </c>
      <c r="G3163">
        <v>3</v>
      </c>
      <c r="H3163">
        <v>0</v>
      </c>
      <c r="I3163" t="s">
        <v>33</v>
      </c>
      <c r="J3163">
        <v>0</v>
      </c>
      <c r="K3163">
        <v>57</v>
      </c>
      <c r="L3163" t="s">
        <v>20</v>
      </c>
      <c r="M3163" t="s">
        <v>29</v>
      </c>
      <c r="N3163" t="s">
        <v>26</v>
      </c>
      <c r="O3163" t="s">
        <v>27</v>
      </c>
      <c r="P3163">
        <v>7.14</v>
      </c>
      <c r="Q3163" s="2" t="b">
        <f>FALSE()</f>
        <v>0</v>
      </c>
      <c r="R3163">
        <v>0</v>
      </c>
    </row>
    <row r="3164" spans="1:18" x14ac:dyDescent="0.25">
      <c r="A3164">
        <v>203163</v>
      </c>
      <c r="B3164">
        <v>54872</v>
      </c>
      <c r="C3164" t="s">
        <v>18</v>
      </c>
      <c r="D3164">
        <v>2316.19</v>
      </c>
      <c r="E3164">
        <v>2615</v>
      </c>
      <c r="F3164">
        <v>2</v>
      </c>
      <c r="G3164">
        <v>3</v>
      </c>
      <c r="H3164">
        <v>0</v>
      </c>
      <c r="I3164" t="s">
        <v>33</v>
      </c>
      <c r="J3164">
        <v>1</v>
      </c>
      <c r="K3164">
        <v>65</v>
      </c>
      <c r="L3164" t="s">
        <v>24</v>
      </c>
      <c r="M3164" t="s">
        <v>29</v>
      </c>
      <c r="N3164" t="s">
        <v>26</v>
      </c>
      <c r="O3164" t="s">
        <v>36</v>
      </c>
      <c r="P3164">
        <v>1.53</v>
      </c>
      <c r="Q3164" s="2" t="b">
        <f>FALSE()</f>
        <v>0</v>
      </c>
      <c r="R3164">
        <v>0</v>
      </c>
    </row>
    <row r="3165" spans="1:18" x14ac:dyDescent="0.25">
      <c r="A3165">
        <v>203164</v>
      </c>
      <c r="B3165">
        <v>54378</v>
      </c>
      <c r="C3165" t="s">
        <v>18</v>
      </c>
      <c r="D3165">
        <v>905.83</v>
      </c>
      <c r="E3165">
        <v>2568</v>
      </c>
      <c r="F3165">
        <v>3</v>
      </c>
      <c r="G3165">
        <v>3</v>
      </c>
      <c r="H3165">
        <v>0</v>
      </c>
      <c r="I3165" t="s">
        <v>32</v>
      </c>
      <c r="J3165">
        <v>0</v>
      </c>
      <c r="K3165">
        <v>59</v>
      </c>
      <c r="L3165" t="s">
        <v>24</v>
      </c>
      <c r="M3165" t="s">
        <v>31</v>
      </c>
      <c r="N3165" t="s">
        <v>30</v>
      </c>
      <c r="O3165" t="s">
        <v>27</v>
      </c>
      <c r="P3165">
        <v>1.31</v>
      </c>
      <c r="Q3165" s="2" t="b">
        <f>FALSE()</f>
        <v>0</v>
      </c>
      <c r="R3165">
        <v>1</v>
      </c>
    </row>
    <row r="3166" spans="1:18" x14ac:dyDescent="0.25">
      <c r="A3166">
        <v>203165</v>
      </c>
      <c r="B3166">
        <v>53603</v>
      </c>
      <c r="C3166" t="s">
        <v>18</v>
      </c>
      <c r="D3166">
        <v>2962.71</v>
      </c>
      <c r="E3166">
        <v>3310</v>
      </c>
      <c r="F3166">
        <v>0</v>
      </c>
      <c r="G3166">
        <v>5</v>
      </c>
      <c r="H3166">
        <v>0</v>
      </c>
      <c r="I3166" t="s">
        <v>33</v>
      </c>
      <c r="J3166">
        <v>0</v>
      </c>
      <c r="K3166">
        <v>51</v>
      </c>
      <c r="L3166" t="s">
        <v>20</v>
      </c>
      <c r="M3166" t="s">
        <v>37</v>
      </c>
      <c r="N3166" t="s">
        <v>30</v>
      </c>
      <c r="O3166" t="s">
        <v>27</v>
      </c>
      <c r="P3166">
        <v>0.2</v>
      </c>
      <c r="Q3166" s="2" t="b">
        <f>FALSE()</f>
        <v>0</v>
      </c>
      <c r="R3166">
        <v>0</v>
      </c>
    </row>
    <row r="3167" spans="1:18" x14ac:dyDescent="0.25">
      <c r="A3167">
        <v>203166</v>
      </c>
      <c r="B3167">
        <v>53739</v>
      </c>
      <c r="C3167" t="s">
        <v>18</v>
      </c>
      <c r="D3167">
        <v>2613.2600000000002</v>
      </c>
      <c r="E3167">
        <v>1297</v>
      </c>
      <c r="F3167">
        <v>1</v>
      </c>
      <c r="G3167">
        <v>6</v>
      </c>
      <c r="H3167">
        <v>0</v>
      </c>
      <c r="I3167" t="s">
        <v>33</v>
      </c>
      <c r="J3167">
        <v>0</v>
      </c>
      <c r="K3167">
        <v>42</v>
      </c>
      <c r="L3167" t="s">
        <v>20</v>
      </c>
      <c r="M3167" t="s">
        <v>21</v>
      </c>
      <c r="N3167" t="s">
        <v>26</v>
      </c>
      <c r="O3167" t="s">
        <v>36</v>
      </c>
      <c r="P3167">
        <v>0.69</v>
      </c>
      <c r="Q3167" s="2" t="b">
        <f>FALSE()</f>
        <v>0</v>
      </c>
      <c r="R3167">
        <v>0</v>
      </c>
    </row>
    <row r="3168" spans="1:18" x14ac:dyDescent="0.25">
      <c r="A3168">
        <v>203167</v>
      </c>
      <c r="B3168">
        <v>52396</v>
      </c>
      <c r="C3168" t="s">
        <v>34</v>
      </c>
      <c r="D3168">
        <v>4069.31</v>
      </c>
      <c r="E3168">
        <v>1430</v>
      </c>
      <c r="F3168">
        <v>2</v>
      </c>
      <c r="G3168">
        <v>4</v>
      </c>
      <c r="H3168">
        <v>0</v>
      </c>
      <c r="I3168" t="s">
        <v>33</v>
      </c>
      <c r="J3168">
        <v>0</v>
      </c>
      <c r="K3168">
        <v>58</v>
      </c>
      <c r="L3168" t="s">
        <v>20</v>
      </c>
      <c r="M3168" t="s">
        <v>35</v>
      </c>
      <c r="N3168" t="s">
        <v>26</v>
      </c>
      <c r="O3168" t="s">
        <v>36</v>
      </c>
      <c r="P3168">
        <v>0.14000000000000001</v>
      </c>
      <c r="Q3168" s="2" t="b">
        <f>FALSE()</f>
        <v>0</v>
      </c>
      <c r="R3168">
        <v>1</v>
      </c>
    </row>
    <row r="3169" spans="1:18" x14ac:dyDescent="0.25">
      <c r="A3169">
        <v>203168</v>
      </c>
      <c r="B3169">
        <v>55010</v>
      </c>
      <c r="C3169" t="s">
        <v>18</v>
      </c>
      <c r="D3169">
        <v>3523.29</v>
      </c>
      <c r="E3169">
        <v>871</v>
      </c>
      <c r="F3169">
        <v>0</v>
      </c>
      <c r="G3169">
        <v>3</v>
      </c>
      <c r="H3169">
        <v>0</v>
      </c>
      <c r="I3169" t="s">
        <v>33</v>
      </c>
      <c r="J3169">
        <v>0</v>
      </c>
      <c r="K3169">
        <v>60</v>
      </c>
      <c r="L3169" t="s">
        <v>20</v>
      </c>
      <c r="M3169" t="s">
        <v>25</v>
      </c>
      <c r="N3169" t="s">
        <v>22</v>
      </c>
      <c r="O3169" t="s">
        <v>23</v>
      </c>
      <c r="P3169">
        <v>7.48</v>
      </c>
      <c r="Q3169" s="2" t="b">
        <f>FALSE()</f>
        <v>0</v>
      </c>
      <c r="R3169">
        <v>0</v>
      </c>
    </row>
    <row r="3170" spans="1:18" x14ac:dyDescent="0.25">
      <c r="A3170">
        <v>203169</v>
      </c>
      <c r="B3170">
        <v>52324</v>
      </c>
      <c r="C3170" t="s">
        <v>18</v>
      </c>
      <c r="D3170">
        <v>1368.35</v>
      </c>
      <c r="E3170">
        <v>626</v>
      </c>
      <c r="F3170">
        <v>0</v>
      </c>
      <c r="G3170">
        <v>5</v>
      </c>
      <c r="H3170">
        <v>0</v>
      </c>
      <c r="I3170" t="s">
        <v>19</v>
      </c>
      <c r="J3170">
        <v>0</v>
      </c>
      <c r="K3170">
        <v>42</v>
      </c>
      <c r="L3170" t="s">
        <v>24</v>
      </c>
      <c r="M3170" t="s">
        <v>37</v>
      </c>
      <c r="N3170" t="s">
        <v>30</v>
      </c>
      <c r="O3170" t="s">
        <v>27</v>
      </c>
      <c r="P3170">
        <v>0.56999999999999995</v>
      </c>
      <c r="Q3170" s="2" t="b">
        <f>FALSE()</f>
        <v>0</v>
      </c>
      <c r="R3170">
        <v>0</v>
      </c>
    </row>
    <row r="3171" spans="1:18" x14ac:dyDescent="0.25">
      <c r="A3171">
        <v>203170</v>
      </c>
      <c r="B3171">
        <v>52018</v>
      </c>
      <c r="C3171" t="s">
        <v>18</v>
      </c>
      <c r="D3171">
        <v>4554.66</v>
      </c>
      <c r="E3171">
        <v>1893</v>
      </c>
      <c r="F3171">
        <v>2</v>
      </c>
      <c r="G3171">
        <v>7</v>
      </c>
      <c r="H3171">
        <v>0</v>
      </c>
      <c r="I3171" t="s">
        <v>32</v>
      </c>
      <c r="J3171">
        <v>1</v>
      </c>
      <c r="K3171">
        <v>74</v>
      </c>
      <c r="L3171" t="s">
        <v>20</v>
      </c>
      <c r="M3171" t="s">
        <v>29</v>
      </c>
      <c r="N3171" t="s">
        <v>26</v>
      </c>
      <c r="O3171" t="s">
        <v>36</v>
      </c>
      <c r="P3171">
        <v>2.0299999999999998</v>
      </c>
      <c r="Q3171" s="2" t="b">
        <f>FALSE()</f>
        <v>0</v>
      </c>
      <c r="R3171">
        <v>1</v>
      </c>
    </row>
    <row r="3172" spans="1:18" x14ac:dyDescent="0.25">
      <c r="A3172">
        <v>203171</v>
      </c>
      <c r="B3172">
        <v>53145</v>
      </c>
      <c r="C3172" t="s">
        <v>34</v>
      </c>
      <c r="D3172">
        <v>1232.48</v>
      </c>
      <c r="E3172">
        <v>85</v>
      </c>
      <c r="F3172">
        <v>1</v>
      </c>
      <c r="G3172">
        <v>4</v>
      </c>
      <c r="H3172">
        <v>0</v>
      </c>
      <c r="I3172" t="s">
        <v>33</v>
      </c>
      <c r="J3172">
        <v>0</v>
      </c>
      <c r="K3172">
        <v>42</v>
      </c>
      <c r="L3172" t="s">
        <v>24</v>
      </c>
      <c r="M3172" t="s">
        <v>31</v>
      </c>
      <c r="N3172" t="s">
        <v>30</v>
      </c>
      <c r="O3172" t="s">
        <v>23</v>
      </c>
      <c r="P3172">
        <v>3.19</v>
      </c>
      <c r="Q3172" s="2" t="b">
        <f>FALSE()</f>
        <v>0</v>
      </c>
      <c r="R3172">
        <v>0</v>
      </c>
    </row>
    <row r="3173" spans="1:18" x14ac:dyDescent="0.25">
      <c r="A3173">
        <v>203172</v>
      </c>
      <c r="B3173">
        <v>51576</v>
      </c>
      <c r="C3173" t="s">
        <v>18</v>
      </c>
      <c r="D3173">
        <v>536.83000000000004</v>
      </c>
      <c r="E3173">
        <v>1514</v>
      </c>
      <c r="F3173">
        <v>1</v>
      </c>
      <c r="G3173">
        <v>6</v>
      </c>
      <c r="H3173">
        <v>0</v>
      </c>
      <c r="I3173" t="s">
        <v>19</v>
      </c>
      <c r="J3173">
        <v>0</v>
      </c>
      <c r="K3173">
        <v>83</v>
      </c>
      <c r="L3173" t="s">
        <v>20</v>
      </c>
      <c r="M3173" t="s">
        <v>37</v>
      </c>
      <c r="N3173" t="s">
        <v>30</v>
      </c>
      <c r="O3173" t="s">
        <v>36</v>
      </c>
      <c r="P3173">
        <v>0.81</v>
      </c>
      <c r="Q3173" s="2" t="b">
        <f>FALSE()</f>
        <v>0</v>
      </c>
      <c r="R3173">
        <v>0</v>
      </c>
    </row>
    <row r="3174" spans="1:18" x14ac:dyDescent="0.25">
      <c r="A3174">
        <v>203173</v>
      </c>
      <c r="B3174">
        <v>54775</v>
      </c>
      <c r="C3174" t="s">
        <v>34</v>
      </c>
      <c r="D3174">
        <v>5508.2</v>
      </c>
      <c r="E3174">
        <v>2638</v>
      </c>
      <c r="F3174">
        <v>1</v>
      </c>
      <c r="G3174">
        <v>3</v>
      </c>
      <c r="H3174">
        <v>0</v>
      </c>
      <c r="I3174" t="s">
        <v>32</v>
      </c>
      <c r="J3174">
        <v>1</v>
      </c>
      <c r="K3174">
        <v>72</v>
      </c>
      <c r="L3174" t="s">
        <v>24</v>
      </c>
      <c r="M3174" t="s">
        <v>25</v>
      </c>
      <c r="N3174" t="s">
        <v>30</v>
      </c>
      <c r="O3174" t="s">
        <v>27</v>
      </c>
      <c r="P3174">
        <v>1.19</v>
      </c>
      <c r="Q3174" s="2" t="b">
        <f>FALSE()</f>
        <v>0</v>
      </c>
      <c r="R3174">
        <v>1</v>
      </c>
    </row>
    <row r="3175" spans="1:18" x14ac:dyDescent="0.25">
      <c r="A3175">
        <v>203174</v>
      </c>
      <c r="B3175">
        <v>53361</v>
      </c>
      <c r="C3175" t="s">
        <v>18</v>
      </c>
      <c r="D3175">
        <v>3859.83</v>
      </c>
      <c r="E3175">
        <v>3076</v>
      </c>
      <c r="F3175">
        <v>0</v>
      </c>
      <c r="G3175">
        <v>4</v>
      </c>
      <c r="H3175">
        <v>0</v>
      </c>
      <c r="I3175" t="s">
        <v>33</v>
      </c>
      <c r="J3175">
        <v>0</v>
      </c>
      <c r="K3175">
        <v>24</v>
      </c>
      <c r="L3175" t="s">
        <v>20</v>
      </c>
      <c r="M3175" t="s">
        <v>25</v>
      </c>
      <c r="N3175" t="s">
        <v>22</v>
      </c>
      <c r="O3175" t="s">
        <v>23</v>
      </c>
      <c r="P3175">
        <v>3.74</v>
      </c>
      <c r="Q3175" s="2" t="b">
        <f>FALSE()</f>
        <v>0</v>
      </c>
      <c r="R3175">
        <v>1</v>
      </c>
    </row>
    <row r="3176" spans="1:18" x14ac:dyDescent="0.25">
      <c r="A3176">
        <v>203175</v>
      </c>
      <c r="B3176">
        <v>53085</v>
      </c>
      <c r="C3176" t="s">
        <v>18</v>
      </c>
      <c r="D3176">
        <v>579.86</v>
      </c>
      <c r="E3176">
        <v>3543</v>
      </c>
      <c r="F3176">
        <v>4</v>
      </c>
      <c r="G3176">
        <v>5</v>
      </c>
      <c r="H3176">
        <v>0</v>
      </c>
      <c r="I3176" t="s">
        <v>33</v>
      </c>
      <c r="J3176">
        <v>1</v>
      </c>
      <c r="K3176">
        <v>52</v>
      </c>
      <c r="L3176" t="s">
        <v>20</v>
      </c>
      <c r="M3176" t="s">
        <v>21</v>
      </c>
      <c r="N3176" t="s">
        <v>30</v>
      </c>
      <c r="O3176" t="s">
        <v>27</v>
      </c>
      <c r="P3176">
        <v>9.7899999999999991</v>
      </c>
      <c r="Q3176" s="2" t="b">
        <f>FALSE()</f>
        <v>0</v>
      </c>
      <c r="R3176">
        <v>1</v>
      </c>
    </row>
    <row r="3177" spans="1:18" x14ac:dyDescent="0.25">
      <c r="A3177">
        <v>203176</v>
      </c>
      <c r="B3177">
        <v>50538</v>
      </c>
      <c r="C3177" t="s">
        <v>34</v>
      </c>
      <c r="D3177">
        <v>951.87</v>
      </c>
      <c r="E3177">
        <v>1777</v>
      </c>
      <c r="F3177">
        <v>1</v>
      </c>
      <c r="G3177">
        <v>5</v>
      </c>
      <c r="H3177">
        <v>0</v>
      </c>
      <c r="I3177" t="s">
        <v>32</v>
      </c>
      <c r="J3177">
        <v>0</v>
      </c>
      <c r="K3177">
        <v>41</v>
      </c>
      <c r="L3177" t="s">
        <v>24</v>
      </c>
      <c r="M3177" t="s">
        <v>25</v>
      </c>
      <c r="N3177" t="s">
        <v>26</v>
      </c>
      <c r="O3177" t="s">
        <v>27</v>
      </c>
      <c r="P3177">
        <v>3.66</v>
      </c>
      <c r="Q3177" s="2" t="b">
        <f>FALSE()</f>
        <v>0</v>
      </c>
      <c r="R3177">
        <v>0</v>
      </c>
    </row>
    <row r="3178" spans="1:18" x14ac:dyDescent="0.25">
      <c r="A3178">
        <v>203177</v>
      </c>
      <c r="B3178">
        <v>50598</v>
      </c>
      <c r="C3178" t="s">
        <v>18</v>
      </c>
      <c r="D3178">
        <v>3415.07</v>
      </c>
      <c r="E3178">
        <v>1604</v>
      </c>
      <c r="F3178">
        <v>1</v>
      </c>
      <c r="G3178">
        <v>8</v>
      </c>
      <c r="H3178">
        <v>0</v>
      </c>
      <c r="I3178" t="s">
        <v>33</v>
      </c>
      <c r="J3178">
        <v>0</v>
      </c>
      <c r="K3178">
        <v>75</v>
      </c>
      <c r="L3178" t="s">
        <v>24</v>
      </c>
      <c r="M3178" t="s">
        <v>29</v>
      </c>
      <c r="N3178" t="s">
        <v>30</v>
      </c>
      <c r="O3178" t="s">
        <v>23</v>
      </c>
      <c r="P3178">
        <v>1.65</v>
      </c>
      <c r="Q3178" s="2" t="b">
        <f>FALSE()</f>
        <v>0</v>
      </c>
      <c r="R3178">
        <v>1</v>
      </c>
    </row>
    <row r="3179" spans="1:18" x14ac:dyDescent="0.25">
      <c r="A3179">
        <v>203178</v>
      </c>
      <c r="B3179">
        <v>50813</v>
      </c>
      <c r="C3179" t="s">
        <v>34</v>
      </c>
      <c r="D3179">
        <v>771.4</v>
      </c>
      <c r="E3179">
        <v>2626</v>
      </c>
      <c r="F3179">
        <v>1</v>
      </c>
      <c r="G3179">
        <v>0</v>
      </c>
      <c r="H3179">
        <v>1</v>
      </c>
      <c r="I3179" t="s">
        <v>19</v>
      </c>
      <c r="J3179">
        <v>0</v>
      </c>
      <c r="K3179">
        <v>30</v>
      </c>
      <c r="L3179" t="s">
        <v>20</v>
      </c>
      <c r="M3179" t="s">
        <v>21</v>
      </c>
      <c r="N3179" t="s">
        <v>22</v>
      </c>
      <c r="O3179" t="s">
        <v>27</v>
      </c>
      <c r="P3179">
        <v>0.59</v>
      </c>
      <c r="Q3179" s="2" t="b">
        <f>FALSE()</f>
        <v>0</v>
      </c>
      <c r="R3179">
        <v>0</v>
      </c>
    </row>
    <row r="3180" spans="1:18" x14ac:dyDescent="0.25">
      <c r="A3180">
        <v>203179</v>
      </c>
      <c r="B3180">
        <v>53790</v>
      </c>
      <c r="C3180" t="s">
        <v>18</v>
      </c>
      <c r="D3180">
        <v>4593.88</v>
      </c>
      <c r="E3180">
        <v>170</v>
      </c>
      <c r="F3180">
        <v>2</v>
      </c>
      <c r="G3180">
        <v>4</v>
      </c>
      <c r="H3180">
        <v>0</v>
      </c>
      <c r="I3180" t="s">
        <v>33</v>
      </c>
      <c r="J3180">
        <v>0</v>
      </c>
      <c r="K3180">
        <v>18</v>
      </c>
      <c r="L3180" t="s">
        <v>24</v>
      </c>
      <c r="M3180" t="s">
        <v>25</v>
      </c>
      <c r="N3180" t="s">
        <v>30</v>
      </c>
      <c r="O3180" t="s">
        <v>27</v>
      </c>
      <c r="P3180">
        <v>8.16</v>
      </c>
      <c r="Q3180" s="2" t="b">
        <f>FALSE()</f>
        <v>0</v>
      </c>
      <c r="R3180">
        <v>1</v>
      </c>
    </row>
    <row r="3181" spans="1:18" x14ac:dyDescent="0.25">
      <c r="A3181">
        <v>203180</v>
      </c>
      <c r="B3181">
        <v>55603</v>
      </c>
      <c r="C3181" t="s">
        <v>18</v>
      </c>
      <c r="D3181">
        <v>3281.02</v>
      </c>
      <c r="E3181">
        <v>3135</v>
      </c>
      <c r="F3181">
        <v>0</v>
      </c>
      <c r="G3181">
        <v>2</v>
      </c>
      <c r="H3181">
        <v>0</v>
      </c>
      <c r="I3181" t="s">
        <v>33</v>
      </c>
      <c r="J3181">
        <v>0</v>
      </c>
      <c r="K3181">
        <v>30</v>
      </c>
      <c r="L3181" t="s">
        <v>38</v>
      </c>
      <c r="M3181" t="s">
        <v>29</v>
      </c>
      <c r="N3181" t="s">
        <v>26</v>
      </c>
      <c r="O3181" t="s">
        <v>36</v>
      </c>
      <c r="P3181">
        <v>5.83</v>
      </c>
      <c r="Q3181" s="2" t="b">
        <f>FALSE()</f>
        <v>0</v>
      </c>
      <c r="R3181">
        <v>0</v>
      </c>
    </row>
    <row r="3182" spans="1:18" x14ac:dyDescent="0.25">
      <c r="A3182">
        <v>203181</v>
      </c>
      <c r="B3182">
        <v>55900</v>
      </c>
      <c r="C3182" t="s">
        <v>34</v>
      </c>
      <c r="D3182">
        <v>1027.51</v>
      </c>
      <c r="E3182">
        <v>921</v>
      </c>
      <c r="F3182">
        <v>0</v>
      </c>
      <c r="G3182">
        <v>4</v>
      </c>
      <c r="H3182">
        <v>0</v>
      </c>
      <c r="I3182" t="s">
        <v>19</v>
      </c>
      <c r="J3182">
        <v>0</v>
      </c>
      <c r="K3182">
        <v>29</v>
      </c>
      <c r="L3182" t="s">
        <v>20</v>
      </c>
      <c r="M3182" t="s">
        <v>37</v>
      </c>
      <c r="N3182" t="s">
        <v>30</v>
      </c>
      <c r="O3182" t="s">
        <v>27</v>
      </c>
      <c r="P3182">
        <v>1.39</v>
      </c>
      <c r="Q3182" s="2" t="b">
        <f>FALSE()</f>
        <v>0</v>
      </c>
      <c r="R3182">
        <v>0</v>
      </c>
    </row>
    <row r="3183" spans="1:18" x14ac:dyDescent="0.25">
      <c r="A3183">
        <v>203182</v>
      </c>
      <c r="B3183">
        <v>50045</v>
      </c>
      <c r="C3183" t="s">
        <v>18</v>
      </c>
      <c r="D3183">
        <v>406.91</v>
      </c>
      <c r="E3183">
        <v>1964</v>
      </c>
      <c r="F3183">
        <v>1</v>
      </c>
      <c r="G3183">
        <v>4</v>
      </c>
      <c r="H3183">
        <v>0</v>
      </c>
      <c r="I3183" t="s">
        <v>33</v>
      </c>
      <c r="J3183">
        <v>0</v>
      </c>
      <c r="K3183">
        <v>64</v>
      </c>
      <c r="L3183" t="s">
        <v>24</v>
      </c>
      <c r="M3183" t="s">
        <v>29</v>
      </c>
      <c r="N3183" t="s">
        <v>22</v>
      </c>
      <c r="O3183" t="s">
        <v>27</v>
      </c>
      <c r="P3183">
        <v>1.35</v>
      </c>
      <c r="Q3183" s="2" t="b">
        <f>FALSE()</f>
        <v>0</v>
      </c>
      <c r="R3183">
        <v>0</v>
      </c>
    </row>
    <row r="3184" spans="1:18" x14ac:dyDescent="0.25">
      <c r="A3184">
        <v>203183</v>
      </c>
      <c r="B3184">
        <v>50543</v>
      </c>
      <c r="C3184" t="s">
        <v>18</v>
      </c>
      <c r="D3184">
        <v>1538.39</v>
      </c>
      <c r="E3184">
        <v>1904</v>
      </c>
      <c r="F3184">
        <v>1</v>
      </c>
      <c r="G3184">
        <v>3</v>
      </c>
      <c r="H3184">
        <v>0</v>
      </c>
      <c r="I3184" t="s">
        <v>32</v>
      </c>
      <c r="J3184">
        <v>0</v>
      </c>
      <c r="K3184">
        <v>30</v>
      </c>
      <c r="L3184" t="s">
        <v>24</v>
      </c>
      <c r="M3184" t="s">
        <v>25</v>
      </c>
      <c r="N3184" t="s">
        <v>22</v>
      </c>
      <c r="O3184" t="s">
        <v>27</v>
      </c>
      <c r="P3184">
        <v>0.38</v>
      </c>
      <c r="Q3184" s="2" t="b">
        <f>FALSE()</f>
        <v>0</v>
      </c>
      <c r="R3184">
        <v>0</v>
      </c>
    </row>
    <row r="3185" spans="1:18" x14ac:dyDescent="0.25">
      <c r="A3185">
        <v>203184</v>
      </c>
      <c r="B3185">
        <v>55064</v>
      </c>
      <c r="C3185" t="s">
        <v>34</v>
      </c>
      <c r="D3185">
        <v>746.53</v>
      </c>
      <c r="E3185">
        <v>2877</v>
      </c>
      <c r="F3185">
        <v>1</v>
      </c>
      <c r="G3185">
        <v>2</v>
      </c>
      <c r="H3185">
        <v>0</v>
      </c>
      <c r="I3185" t="s">
        <v>33</v>
      </c>
      <c r="J3185">
        <v>1</v>
      </c>
      <c r="K3185">
        <v>34</v>
      </c>
      <c r="L3185" t="s">
        <v>24</v>
      </c>
      <c r="M3185" t="s">
        <v>35</v>
      </c>
      <c r="N3185" t="s">
        <v>22</v>
      </c>
      <c r="O3185" t="s">
        <v>27</v>
      </c>
      <c r="P3185">
        <v>10.17</v>
      </c>
      <c r="Q3185" s="2" t="b">
        <f>FALSE()</f>
        <v>0</v>
      </c>
      <c r="R3185">
        <v>0</v>
      </c>
    </row>
    <row r="3186" spans="1:18" x14ac:dyDescent="0.25">
      <c r="A3186">
        <v>203185</v>
      </c>
      <c r="B3186">
        <v>52686</v>
      </c>
      <c r="C3186" t="s">
        <v>18</v>
      </c>
      <c r="D3186">
        <v>2085.85</v>
      </c>
      <c r="E3186">
        <v>286</v>
      </c>
      <c r="F3186">
        <v>2</v>
      </c>
      <c r="G3186">
        <v>7</v>
      </c>
      <c r="H3186">
        <v>0</v>
      </c>
      <c r="I3186" t="s">
        <v>19</v>
      </c>
      <c r="J3186">
        <v>0</v>
      </c>
      <c r="K3186">
        <v>33</v>
      </c>
      <c r="L3186" t="s">
        <v>20</v>
      </c>
      <c r="M3186" t="s">
        <v>29</v>
      </c>
      <c r="N3186" t="s">
        <v>30</v>
      </c>
      <c r="O3186" t="s">
        <v>27</v>
      </c>
      <c r="P3186">
        <v>1.21</v>
      </c>
      <c r="Q3186" s="2" t="b">
        <f>FALSE()</f>
        <v>0</v>
      </c>
      <c r="R3186">
        <v>1</v>
      </c>
    </row>
    <row r="3187" spans="1:18" x14ac:dyDescent="0.25">
      <c r="A3187">
        <v>203186</v>
      </c>
      <c r="B3187">
        <v>53006</v>
      </c>
      <c r="C3187" t="s">
        <v>18</v>
      </c>
      <c r="D3187">
        <v>4619.7299999999996</v>
      </c>
      <c r="E3187">
        <v>3343</v>
      </c>
      <c r="F3187">
        <v>0</v>
      </c>
      <c r="G3187">
        <v>5</v>
      </c>
      <c r="H3187">
        <v>1</v>
      </c>
      <c r="I3187" t="s">
        <v>19</v>
      </c>
      <c r="J3187">
        <v>0</v>
      </c>
      <c r="K3187">
        <v>46</v>
      </c>
      <c r="L3187" t="s">
        <v>24</v>
      </c>
      <c r="M3187" t="s">
        <v>31</v>
      </c>
      <c r="N3187" t="s">
        <v>22</v>
      </c>
      <c r="O3187" t="s">
        <v>36</v>
      </c>
      <c r="P3187">
        <v>0.24</v>
      </c>
      <c r="Q3187" s="2" t="b">
        <f>FALSE()</f>
        <v>0</v>
      </c>
      <c r="R3187">
        <v>1</v>
      </c>
    </row>
    <row r="3188" spans="1:18" x14ac:dyDescent="0.25">
      <c r="A3188">
        <v>203187</v>
      </c>
      <c r="B3188">
        <v>54792</v>
      </c>
      <c r="C3188" t="s">
        <v>18</v>
      </c>
      <c r="D3188">
        <v>208.19</v>
      </c>
      <c r="E3188">
        <v>1891</v>
      </c>
      <c r="F3188">
        <v>0</v>
      </c>
      <c r="G3188">
        <v>3</v>
      </c>
      <c r="H3188">
        <v>0</v>
      </c>
      <c r="I3188" t="s">
        <v>32</v>
      </c>
      <c r="J3188">
        <v>0</v>
      </c>
      <c r="K3188">
        <v>63</v>
      </c>
      <c r="L3188" t="s">
        <v>20</v>
      </c>
      <c r="M3188" t="s">
        <v>35</v>
      </c>
      <c r="N3188" t="s">
        <v>30</v>
      </c>
      <c r="O3188" t="s">
        <v>36</v>
      </c>
      <c r="P3188">
        <v>2.15</v>
      </c>
      <c r="Q3188" s="2" t="b">
        <f>FALSE()</f>
        <v>0</v>
      </c>
      <c r="R3188">
        <v>0</v>
      </c>
    </row>
    <row r="3189" spans="1:18" x14ac:dyDescent="0.25">
      <c r="A3189">
        <v>203188</v>
      </c>
      <c r="B3189">
        <v>55076</v>
      </c>
      <c r="C3189" t="s">
        <v>34</v>
      </c>
      <c r="D3189">
        <v>1077.1500000000001</v>
      </c>
      <c r="E3189">
        <v>1277</v>
      </c>
      <c r="F3189">
        <v>1</v>
      </c>
      <c r="G3189">
        <v>5</v>
      </c>
      <c r="H3189">
        <v>1</v>
      </c>
      <c r="I3189" t="s">
        <v>33</v>
      </c>
      <c r="J3189">
        <v>1</v>
      </c>
      <c r="K3189">
        <v>33</v>
      </c>
      <c r="L3189" t="s">
        <v>24</v>
      </c>
      <c r="M3189" t="s">
        <v>29</v>
      </c>
      <c r="N3189" t="s">
        <v>30</v>
      </c>
      <c r="O3189" t="s">
        <v>36</v>
      </c>
      <c r="P3189">
        <v>3.67</v>
      </c>
      <c r="Q3189" s="2" t="b">
        <f>FALSE()</f>
        <v>0</v>
      </c>
      <c r="R3189">
        <v>0</v>
      </c>
    </row>
    <row r="3190" spans="1:18" x14ac:dyDescent="0.25">
      <c r="A3190">
        <v>203189</v>
      </c>
      <c r="B3190">
        <v>51781</v>
      </c>
      <c r="C3190" t="s">
        <v>18</v>
      </c>
      <c r="D3190">
        <v>2772.35</v>
      </c>
      <c r="E3190">
        <v>1891</v>
      </c>
      <c r="F3190">
        <v>1</v>
      </c>
      <c r="G3190">
        <v>1</v>
      </c>
      <c r="H3190">
        <v>0</v>
      </c>
      <c r="I3190" t="s">
        <v>33</v>
      </c>
      <c r="J3190">
        <v>1</v>
      </c>
      <c r="K3190">
        <v>49</v>
      </c>
      <c r="L3190" t="s">
        <v>20</v>
      </c>
      <c r="M3190" t="s">
        <v>29</v>
      </c>
      <c r="N3190" t="s">
        <v>30</v>
      </c>
      <c r="O3190" t="s">
        <v>27</v>
      </c>
      <c r="P3190">
        <v>1.6</v>
      </c>
      <c r="Q3190" s="2" t="b">
        <f>FALSE()</f>
        <v>0</v>
      </c>
      <c r="R3190">
        <v>0</v>
      </c>
    </row>
    <row r="3191" spans="1:18" x14ac:dyDescent="0.25">
      <c r="A3191">
        <v>203190</v>
      </c>
      <c r="B3191">
        <v>55529</v>
      </c>
      <c r="C3191" t="s">
        <v>18</v>
      </c>
      <c r="D3191">
        <v>2009.04</v>
      </c>
      <c r="E3191">
        <v>2764</v>
      </c>
      <c r="F3191">
        <v>2</v>
      </c>
      <c r="G3191">
        <v>3</v>
      </c>
      <c r="H3191">
        <v>0</v>
      </c>
      <c r="I3191" t="s">
        <v>33</v>
      </c>
      <c r="J3191">
        <v>0</v>
      </c>
      <c r="K3191">
        <v>25</v>
      </c>
      <c r="L3191" t="s">
        <v>20</v>
      </c>
      <c r="M3191" t="s">
        <v>37</v>
      </c>
      <c r="N3191" t="s">
        <v>22</v>
      </c>
      <c r="O3191" t="s">
        <v>27</v>
      </c>
      <c r="P3191">
        <v>0.38</v>
      </c>
      <c r="Q3191" s="2" t="b">
        <f>FALSE()</f>
        <v>0</v>
      </c>
      <c r="R3191">
        <v>0</v>
      </c>
    </row>
    <row r="3192" spans="1:18" x14ac:dyDescent="0.25">
      <c r="A3192">
        <v>203191</v>
      </c>
      <c r="B3192">
        <v>51940</v>
      </c>
      <c r="C3192" t="s">
        <v>28</v>
      </c>
      <c r="D3192">
        <v>1541.54</v>
      </c>
      <c r="E3192">
        <v>1321</v>
      </c>
      <c r="F3192">
        <v>0</v>
      </c>
      <c r="G3192">
        <v>8</v>
      </c>
      <c r="H3192">
        <v>0</v>
      </c>
      <c r="I3192" t="s">
        <v>19</v>
      </c>
      <c r="J3192">
        <v>0</v>
      </c>
      <c r="K3192">
        <v>27</v>
      </c>
      <c r="L3192" t="s">
        <v>24</v>
      </c>
      <c r="M3192" t="s">
        <v>35</v>
      </c>
      <c r="N3192" t="s">
        <v>22</v>
      </c>
      <c r="O3192" t="s">
        <v>27</v>
      </c>
      <c r="P3192">
        <v>1.71</v>
      </c>
      <c r="Q3192" s="2" t="b">
        <f>FALSE()</f>
        <v>0</v>
      </c>
      <c r="R3192">
        <v>1</v>
      </c>
    </row>
    <row r="3193" spans="1:18" x14ac:dyDescent="0.25">
      <c r="A3193">
        <v>203192</v>
      </c>
      <c r="B3193">
        <v>53783</v>
      </c>
      <c r="C3193" t="s">
        <v>34</v>
      </c>
      <c r="D3193">
        <v>2762.36</v>
      </c>
      <c r="E3193">
        <v>466</v>
      </c>
      <c r="F3193">
        <v>0</v>
      </c>
      <c r="G3193">
        <v>7</v>
      </c>
      <c r="H3193">
        <v>0</v>
      </c>
      <c r="I3193" t="s">
        <v>32</v>
      </c>
      <c r="J3193">
        <v>0</v>
      </c>
      <c r="K3193">
        <v>18</v>
      </c>
      <c r="L3193" t="s">
        <v>24</v>
      </c>
      <c r="M3193" t="s">
        <v>29</v>
      </c>
      <c r="N3193" t="s">
        <v>22</v>
      </c>
      <c r="O3193" t="s">
        <v>23</v>
      </c>
      <c r="P3193">
        <v>0.21</v>
      </c>
      <c r="Q3193" s="2" t="b">
        <f>FALSE()</f>
        <v>0</v>
      </c>
      <c r="R3193">
        <v>1</v>
      </c>
    </row>
    <row r="3194" spans="1:18" x14ac:dyDescent="0.25">
      <c r="A3194">
        <v>203193</v>
      </c>
      <c r="B3194">
        <v>54556</v>
      </c>
      <c r="C3194" t="s">
        <v>28</v>
      </c>
      <c r="D3194">
        <v>6365.54</v>
      </c>
      <c r="E3194">
        <v>2700</v>
      </c>
      <c r="F3194">
        <v>0</v>
      </c>
      <c r="G3194">
        <v>5</v>
      </c>
      <c r="H3194">
        <v>0</v>
      </c>
      <c r="I3194" t="s">
        <v>33</v>
      </c>
      <c r="J3194">
        <v>0</v>
      </c>
      <c r="K3194">
        <v>41</v>
      </c>
      <c r="L3194" t="s">
        <v>20</v>
      </c>
      <c r="M3194" t="s">
        <v>35</v>
      </c>
      <c r="N3194" t="s">
        <v>26</v>
      </c>
      <c r="O3194" t="s">
        <v>23</v>
      </c>
      <c r="P3194">
        <v>2.12</v>
      </c>
      <c r="Q3194" s="2" t="b">
        <f>FALSE()</f>
        <v>0</v>
      </c>
      <c r="R3194">
        <v>1</v>
      </c>
    </row>
    <row r="3195" spans="1:18" x14ac:dyDescent="0.25">
      <c r="A3195">
        <v>203194</v>
      </c>
      <c r="B3195">
        <v>52706</v>
      </c>
      <c r="C3195" t="s">
        <v>34</v>
      </c>
      <c r="D3195">
        <v>4519.3500000000004</v>
      </c>
      <c r="E3195">
        <v>664</v>
      </c>
      <c r="F3195">
        <v>3</v>
      </c>
      <c r="G3195">
        <v>2</v>
      </c>
      <c r="H3195">
        <v>0</v>
      </c>
      <c r="I3195" t="s">
        <v>33</v>
      </c>
      <c r="J3195">
        <v>0</v>
      </c>
      <c r="K3195">
        <v>81</v>
      </c>
      <c r="L3195" t="s">
        <v>20</v>
      </c>
      <c r="M3195" t="s">
        <v>35</v>
      </c>
      <c r="N3195" t="s">
        <v>30</v>
      </c>
      <c r="O3195" t="s">
        <v>36</v>
      </c>
      <c r="P3195">
        <v>6.19</v>
      </c>
      <c r="Q3195" s="2" t="b">
        <f>FALSE()</f>
        <v>0</v>
      </c>
      <c r="R3195">
        <v>1</v>
      </c>
    </row>
    <row r="3196" spans="1:18" x14ac:dyDescent="0.25">
      <c r="A3196">
        <v>203195</v>
      </c>
      <c r="B3196">
        <v>51440</v>
      </c>
      <c r="C3196" t="s">
        <v>34</v>
      </c>
      <c r="D3196">
        <v>6672.37</v>
      </c>
      <c r="E3196">
        <v>2913</v>
      </c>
      <c r="F3196">
        <v>1</v>
      </c>
      <c r="G3196">
        <v>2</v>
      </c>
      <c r="H3196">
        <v>0</v>
      </c>
      <c r="I3196" t="s">
        <v>33</v>
      </c>
      <c r="J3196">
        <v>0</v>
      </c>
      <c r="K3196">
        <v>28</v>
      </c>
      <c r="L3196" t="s">
        <v>20</v>
      </c>
      <c r="M3196" t="s">
        <v>29</v>
      </c>
      <c r="N3196" t="s">
        <v>30</v>
      </c>
      <c r="O3196" t="s">
        <v>27</v>
      </c>
      <c r="P3196">
        <v>3.99</v>
      </c>
      <c r="Q3196" s="2" t="b">
        <f>FALSE()</f>
        <v>0</v>
      </c>
      <c r="R3196">
        <v>1</v>
      </c>
    </row>
    <row r="3197" spans="1:18" x14ac:dyDescent="0.25">
      <c r="A3197">
        <v>203196</v>
      </c>
      <c r="B3197">
        <v>54230</v>
      </c>
      <c r="C3197" t="s">
        <v>34</v>
      </c>
      <c r="D3197">
        <v>665.84</v>
      </c>
      <c r="E3197">
        <v>3525</v>
      </c>
      <c r="F3197">
        <v>1</v>
      </c>
      <c r="G3197">
        <v>6</v>
      </c>
      <c r="H3197">
        <v>1</v>
      </c>
      <c r="I3197" t="s">
        <v>19</v>
      </c>
      <c r="J3197">
        <v>0</v>
      </c>
      <c r="K3197">
        <v>66</v>
      </c>
      <c r="L3197" t="s">
        <v>20</v>
      </c>
      <c r="M3197" t="s">
        <v>25</v>
      </c>
      <c r="N3197" t="s">
        <v>22</v>
      </c>
      <c r="O3197" t="s">
        <v>36</v>
      </c>
      <c r="P3197">
        <v>3.21</v>
      </c>
      <c r="Q3197" s="2" t="b">
        <f>FALSE()</f>
        <v>0</v>
      </c>
      <c r="R3197">
        <v>0</v>
      </c>
    </row>
    <row r="3198" spans="1:18" x14ac:dyDescent="0.25">
      <c r="A3198">
        <v>203197</v>
      </c>
      <c r="B3198">
        <v>51256</v>
      </c>
      <c r="C3198" t="s">
        <v>18</v>
      </c>
      <c r="D3198">
        <v>1094.9100000000001</v>
      </c>
      <c r="E3198">
        <v>1362</v>
      </c>
      <c r="F3198">
        <v>1</v>
      </c>
      <c r="G3198">
        <v>10</v>
      </c>
      <c r="H3198">
        <v>0</v>
      </c>
      <c r="I3198" t="s">
        <v>32</v>
      </c>
      <c r="J3198">
        <v>0</v>
      </c>
      <c r="K3198">
        <v>32</v>
      </c>
      <c r="L3198" t="s">
        <v>24</v>
      </c>
      <c r="M3198" t="s">
        <v>21</v>
      </c>
      <c r="N3198" t="s">
        <v>22</v>
      </c>
      <c r="O3198" t="s">
        <v>27</v>
      </c>
      <c r="P3198">
        <v>1.96</v>
      </c>
      <c r="Q3198" s="2" t="b">
        <f>FALSE()</f>
        <v>0</v>
      </c>
      <c r="R3198">
        <v>1</v>
      </c>
    </row>
    <row r="3199" spans="1:18" x14ac:dyDescent="0.25">
      <c r="A3199">
        <v>203198</v>
      </c>
      <c r="B3199">
        <v>55769</v>
      </c>
      <c r="C3199" t="s">
        <v>28</v>
      </c>
      <c r="D3199">
        <v>1291.1199999999999</v>
      </c>
      <c r="E3199">
        <v>72</v>
      </c>
      <c r="F3199">
        <v>3</v>
      </c>
      <c r="G3199">
        <v>3</v>
      </c>
      <c r="H3199">
        <v>0</v>
      </c>
      <c r="I3199" t="s">
        <v>33</v>
      </c>
      <c r="J3199">
        <v>0</v>
      </c>
      <c r="K3199">
        <v>20</v>
      </c>
      <c r="L3199" t="s">
        <v>24</v>
      </c>
      <c r="M3199" t="s">
        <v>31</v>
      </c>
      <c r="N3199" t="s">
        <v>30</v>
      </c>
      <c r="O3199" t="s">
        <v>27</v>
      </c>
      <c r="P3199">
        <v>1.68</v>
      </c>
      <c r="Q3199" s="2" t="b">
        <f>FALSE()</f>
        <v>0</v>
      </c>
      <c r="R3199">
        <v>1</v>
      </c>
    </row>
    <row r="3200" spans="1:18" x14ac:dyDescent="0.25">
      <c r="A3200">
        <v>203199</v>
      </c>
      <c r="B3200">
        <v>51670</v>
      </c>
      <c r="C3200" t="s">
        <v>28</v>
      </c>
      <c r="D3200">
        <v>3168.84</v>
      </c>
      <c r="E3200">
        <v>2401</v>
      </c>
      <c r="F3200">
        <v>1</v>
      </c>
      <c r="G3200">
        <v>4</v>
      </c>
      <c r="H3200">
        <v>0</v>
      </c>
      <c r="I3200" t="s">
        <v>33</v>
      </c>
      <c r="J3200">
        <v>1</v>
      </c>
      <c r="K3200">
        <v>83</v>
      </c>
      <c r="L3200" t="s">
        <v>24</v>
      </c>
      <c r="M3200" t="s">
        <v>37</v>
      </c>
      <c r="N3200" t="s">
        <v>22</v>
      </c>
      <c r="O3200" t="s">
        <v>36</v>
      </c>
      <c r="P3200">
        <v>0.09</v>
      </c>
      <c r="Q3200" s="2" t="b">
        <f>FALSE()</f>
        <v>0</v>
      </c>
      <c r="R3200">
        <v>0</v>
      </c>
    </row>
    <row r="3201" spans="1:18" x14ac:dyDescent="0.25">
      <c r="A3201">
        <v>203200</v>
      </c>
      <c r="B3201">
        <v>52754</v>
      </c>
      <c r="C3201" t="s">
        <v>34</v>
      </c>
      <c r="D3201">
        <v>2999.95</v>
      </c>
      <c r="E3201">
        <v>3304</v>
      </c>
      <c r="F3201">
        <v>1</v>
      </c>
      <c r="G3201">
        <v>5</v>
      </c>
      <c r="H3201">
        <v>1</v>
      </c>
      <c r="I3201" t="s">
        <v>33</v>
      </c>
      <c r="J3201">
        <v>0</v>
      </c>
      <c r="K3201">
        <v>52</v>
      </c>
      <c r="L3201" t="s">
        <v>20</v>
      </c>
      <c r="M3201" t="s">
        <v>29</v>
      </c>
      <c r="N3201" t="s">
        <v>30</v>
      </c>
      <c r="O3201" t="s">
        <v>27</v>
      </c>
      <c r="P3201">
        <v>0.88</v>
      </c>
      <c r="Q3201" s="2" t="b">
        <f>FALSE()</f>
        <v>0</v>
      </c>
      <c r="R3201">
        <v>0</v>
      </c>
    </row>
    <row r="3202" spans="1:18" x14ac:dyDescent="0.25">
      <c r="A3202">
        <v>203201</v>
      </c>
      <c r="B3202">
        <v>54063</v>
      </c>
      <c r="C3202" t="s">
        <v>18</v>
      </c>
      <c r="D3202">
        <v>3095.4</v>
      </c>
      <c r="E3202">
        <v>1883</v>
      </c>
      <c r="F3202">
        <v>0</v>
      </c>
      <c r="G3202">
        <v>4</v>
      </c>
      <c r="H3202">
        <v>0</v>
      </c>
      <c r="I3202" t="s">
        <v>33</v>
      </c>
      <c r="J3202">
        <v>0</v>
      </c>
      <c r="K3202">
        <v>73</v>
      </c>
      <c r="L3202" t="s">
        <v>20</v>
      </c>
      <c r="M3202" t="s">
        <v>29</v>
      </c>
      <c r="N3202" t="s">
        <v>26</v>
      </c>
      <c r="O3202" t="s">
        <v>36</v>
      </c>
      <c r="P3202">
        <v>1.38</v>
      </c>
      <c r="Q3202" s="2" t="b">
        <f>FALSE()</f>
        <v>0</v>
      </c>
      <c r="R3202">
        <v>0</v>
      </c>
    </row>
    <row r="3203" spans="1:18" x14ac:dyDescent="0.25">
      <c r="A3203">
        <v>203202</v>
      </c>
      <c r="B3203">
        <v>53829</v>
      </c>
      <c r="C3203" t="s">
        <v>34</v>
      </c>
      <c r="D3203">
        <v>1114.4100000000001</v>
      </c>
      <c r="E3203">
        <v>3301</v>
      </c>
      <c r="F3203">
        <v>3</v>
      </c>
      <c r="G3203">
        <v>4</v>
      </c>
      <c r="H3203">
        <v>0</v>
      </c>
      <c r="I3203" t="s">
        <v>33</v>
      </c>
      <c r="J3203">
        <v>0</v>
      </c>
      <c r="K3203">
        <v>71</v>
      </c>
      <c r="L3203" t="s">
        <v>20</v>
      </c>
      <c r="M3203" t="s">
        <v>21</v>
      </c>
      <c r="N3203" t="s">
        <v>26</v>
      </c>
      <c r="O3203" t="s">
        <v>27</v>
      </c>
      <c r="P3203">
        <v>1.79</v>
      </c>
      <c r="Q3203" s="2" t="b">
        <f>FALSE()</f>
        <v>0</v>
      </c>
      <c r="R3203">
        <v>1</v>
      </c>
    </row>
    <row r="3204" spans="1:18" x14ac:dyDescent="0.25">
      <c r="A3204">
        <v>203203</v>
      </c>
      <c r="B3204">
        <v>52856</v>
      </c>
      <c r="C3204" t="s">
        <v>34</v>
      </c>
      <c r="D3204">
        <v>1145.6500000000001</v>
      </c>
      <c r="E3204">
        <v>994</v>
      </c>
      <c r="F3204">
        <v>1</v>
      </c>
      <c r="G3204">
        <v>5</v>
      </c>
      <c r="H3204">
        <v>0</v>
      </c>
      <c r="I3204" t="s">
        <v>33</v>
      </c>
      <c r="J3204">
        <v>1</v>
      </c>
      <c r="K3204">
        <v>73</v>
      </c>
      <c r="L3204" t="s">
        <v>24</v>
      </c>
      <c r="M3204" t="s">
        <v>25</v>
      </c>
      <c r="N3204" t="s">
        <v>30</v>
      </c>
      <c r="O3204" t="s">
        <v>36</v>
      </c>
      <c r="P3204">
        <v>0.86</v>
      </c>
      <c r="Q3204" s="2" t="b">
        <f>FALSE()</f>
        <v>0</v>
      </c>
      <c r="R3204">
        <v>0</v>
      </c>
    </row>
    <row r="3205" spans="1:18" x14ac:dyDescent="0.25">
      <c r="A3205">
        <v>203204</v>
      </c>
      <c r="B3205">
        <v>55249</v>
      </c>
      <c r="C3205" t="s">
        <v>18</v>
      </c>
      <c r="D3205">
        <v>1162.8599999999999</v>
      </c>
      <c r="E3205">
        <v>2356</v>
      </c>
      <c r="F3205">
        <v>1</v>
      </c>
      <c r="G3205">
        <v>8</v>
      </c>
      <c r="H3205">
        <v>0</v>
      </c>
      <c r="I3205" t="s">
        <v>32</v>
      </c>
      <c r="J3205">
        <v>0</v>
      </c>
      <c r="K3205">
        <v>38</v>
      </c>
      <c r="L3205" t="s">
        <v>24</v>
      </c>
      <c r="M3205" t="s">
        <v>25</v>
      </c>
      <c r="N3205" t="s">
        <v>22</v>
      </c>
      <c r="O3205" t="s">
        <v>27</v>
      </c>
      <c r="P3205">
        <v>0.95</v>
      </c>
      <c r="Q3205" s="2" t="b">
        <f>FALSE()</f>
        <v>0</v>
      </c>
      <c r="R3205">
        <v>1</v>
      </c>
    </row>
    <row r="3206" spans="1:18" x14ac:dyDescent="0.25">
      <c r="A3206">
        <v>203205</v>
      </c>
      <c r="B3206">
        <v>54023</v>
      </c>
      <c r="C3206" t="s">
        <v>18</v>
      </c>
      <c r="D3206">
        <v>965.03</v>
      </c>
      <c r="E3206">
        <v>70</v>
      </c>
      <c r="F3206">
        <v>0</v>
      </c>
      <c r="G3206">
        <v>6</v>
      </c>
      <c r="H3206">
        <v>0</v>
      </c>
      <c r="I3206" t="s">
        <v>33</v>
      </c>
      <c r="J3206">
        <v>0</v>
      </c>
      <c r="K3206">
        <v>19</v>
      </c>
      <c r="L3206" t="s">
        <v>24</v>
      </c>
      <c r="M3206" t="s">
        <v>35</v>
      </c>
      <c r="N3206" t="s">
        <v>22</v>
      </c>
      <c r="O3206" t="s">
        <v>23</v>
      </c>
      <c r="P3206">
        <v>6.07</v>
      </c>
      <c r="Q3206" s="2" t="b">
        <f>FALSE()</f>
        <v>0</v>
      </c>
      <c r="R3206">
        <v>0</v>
      </c>
    </row>
    <row r="3207" spans="1:18" x14ac:dyDescent="0.25">
      <c r="A3207">
        <v>203206</v>
      </c>
      <c r="B3207">
        <v>55893</v>
      </c>
      <c r="C3207" t="s">
        <v>18</v>
      </c>
      <c r="D3207">
        <v>5516.2</v>
      </c>
      <c r="E3207">
        <v>1448</v>
      </c>
      <c r="F3207">
        <v>0</v>
      </c>
      <c r="G3207">
        <v>6</v>
      </c>
      <c r="H3207">
        <v>0</v>
      </c>
      <c r="I3207" t="s">
        <v>33</v>
      </c>
      <c r="J3207">
        <v>0</v>
      </c>
      <c r="K3207">
        <v>31</v>
      </c>
      <c r="L3207" t="s">
        <v>20</v>
      </c>
      <c r="M3207" t="s">
        <v>35</v>
      </c>
      <c r="N3207" t="s">
        <v>26</v>
      </c>
      <c r="O3207" t="s">
        <v>27</v>
      </c>
      <c r="P3207">
        <v>5.22</v>
      </c>
      <c r="Q3207" s="2" t="b">
        <f>FALSE()</f>
        <v>0</v>
      </c>
      <c r="R3207">
        <v>1</v>
      </c>
    </row>
    <row r="3208" spans="1:18" x14ac:dyDescent="0.25">
      <c r="A3208">
        <v>203207</v>
      </c>
      <c r="B3208">
        <v>53343</v>
      </c>
      <c r="C3208" t="s">
        <v>18</v>
      </c>
      <c r="D3208">
        <v>1381.46</v>
      </c>
      <c r="E3208">
        <v>3100</v>
      </c>
      <c r="F3208">
        <v>3</v>
      </c>
      <c r="G3208">
        <v>2</v>
      </c>
      <c r="H3208">
        <v>1</v>
      </c>
      <c r="I3208" t="s">
        <v>33</v>
      </c>
      <c r="J3208">
        <v>0</v>
      </c>
      <c r="K3208">
        <v>26</v>
      </c>
      <c r="L3208" t="s">
        <v>24</v>
      </c>
      <c r="M3208" t="s">
        <v>29</v>
      </c>
      <c r="N3208" t="s">
        <v>30</v>
      </c>
      <c r="O3208" t="s">
        <v>27</v>
      </c>
      <c r="P3208">
        <v>2.5499999999999998</v>
      </c>
      <c r="Q3208" s="2" t="b">
        <f>FALSE()</f>
        <v>0</v>
      </c>
      <c r="R3208">
        <v>1</v>
      </c>
    </row>
    <row r="3209" spans="1:18" x14ac:dyDescent="0.25">
      <c r="A3209">
        <v>203208</v>
      </c>
      <c r="B3209">
        <v>50154</v>
      </c>
      <c r="C3209" t="s">
        <v>18</v>
      </c>
      <c r="D3209">
        <v>9616.65</v>
      </c>
      <c r="E3209">
        <v>3232</v>
      </c>
      <c r="F3209">
        <v>0</v>
      </c>
      <c r="G3209">
        <v>1</v>
      </c>
      <c r="H3209">
        <v>0</v>
      </c>
      <c r="I3209" t="s">
        <v>33</v>
      </c>
      <c r="J3209">
        <v>0</v>
      </c>
      <c r="K3209">
        <v>59</v>
      </c>
      <c r="L3209" t="s">
        <v>20</v>
      </c>
      <c r="M3209" t="s">
        <v>35</v>
      </c>
      <c r="N3209" t="s">
        <v>22</v>
      </c>
      <c r="O3209" t="s">
        <v>27</v>
      </c>
      <c r="P3209">
        <v>2.6</v>
      </c>
      <c r="Q3209" s="2" t="b">
        <f>TRUE()</f>
        <v>1</v>
      </c>
      <c r="R3209">
        <v>1</v>
      </c>
    </row>
    <row r="3210" spans="1:18" x14ac:dyDescent="0.25">
      <c r="A3210">
        <v>203209</v>
      </c>
      <c r="B3210">
        <v>55997</v>
      </c>
      <c r="C3210" t="s">
        <v>34</v>
      </c>
      <c r="D3210">
        <v>1955</v>
      </c>
      <c r="E3210">
        <v>3450</v>
      </c>
      <c r="F3210">
        <v>1</v>
      </c>
      <c r="G3210">
        <v>3</v>
      </c>
      <c r="H3210">
        <v>0</v>
      </c>
      <c r="I3210" t="s">
        <v>33</v>
      </c>
      <c r="J3210">
        <v>0</v>
      </c>
      <c r="K3210">
        <v>24</v>
      </c>
      <c r="L3210" t="s">
        <v>24</v>
      </c>
      <c r="M3210" t="s">
        <v>21</v>
      </c>
      <c r="N3210" t="s">
        <v>22</v>
      </c>
      <c r="O3210" t="s">
        <v>36</v>
      </c>
      <c r="P3210">
        <v>8.5399999999999991</v>
      </c>
      <c r="Q3210" s="2" t="b">
        <f>FALSE()</f>
        <v>0</v>
      </c>
      <c r="R3210">
        <v>0</v>
      </c>
    </row>
    <row r="3211" spans="1:18" x14ac:dyDescent="0.25">
      <c r="A3211">
        <v>203210</v>
      </c>
      <c r="B3211">
        <v>50483</v>
      </c>
      <c r="C3211" t="s">
        <v>18</v>
      </c>
      <c r="D3211">
        <v>1043.6199999999999</v>
      </c>
      <c r="E3211">
        <v>2607</v>
      </c>
      <c r="F3211">
        <v>1</v>
      </c>
      <c r="G3211">
        <v>3</v>
      </c>
      <c r="H3211">
        <v>1</v>
      </c>
      <c r="I3211" t="s">
        <v>33</v>
      </c>
      <c r="J3211">
        <v>0</v>
      </c>
      <c r="K3211">
        <v>60</v>
      </c>
      <c r="L3211" t="s">
        <v>24</v>
      </c>
      <c r="M3211" t="s">
        <v>21</v>
      </c>
      <c r="N3211" t="s">
        <v>22</v>
      </c>
      <c r="O3211" t="s">
        <v>23</v>
      </c>
      <c r="P3211">
        <v>6.8</v>
      </c>
      <c r="Q3211" s="2" t="b">
        <f>FALSE()</f>
        <v>0</v>
      </c>
      <c r="R3211">
        <v>0</v>
      </c>
    </row>
    <row r="3212" spans="1:18" x14ac:dyDescent="0.25">
      <c r="A3212">
        <v>203211</v>
      </c>
      <c r="B3212">
        <v>52722</v>
      </c>
      <c r="C3212" t="s">
        <v>18</v>
      </c>
      <c r="D3212">
        <v>3870.77</v>
      </c>
      <c r="E3212">
        <v>2812</v>
      </c>
      <c r="F3212">
        <v>1</v>
      </c>
      <c r="G3212">
        <v>3</v>
      </c>
      <c r="H3212">
        <v>0</v>
      </c>
      <c r="I3212" t="s">
        <v>33</v>
      </c>
      <c r="J3212">
        <v>1</v>
      </c>
      <c r="K3212">
        <v>84</v>
      </c>
      <c r="L3212" t="s">
        <v>24</v>
      </c>
      <c r="M3212" t="s">
        <v>35</v>
      </c>
      <c r="N3212" t="s">
        <v>22</v>
      </c>
      <c r="O3212" t="s">
        <v>27</v>
      </c>
      <c r="P3212">
        <v>5.27</v>
      </c>
      <c r="Q3212" s="2" t="b">
        <f>FALSE()</f>
        <v>0</v>
      </c>
      <c r="R3212">
        <v>1</v>
      </c>
    </row>
    <row r="3213" spans="1:18" x14ac:dyDescent="0.25">
      <c r="A3213">
        <v>203212</v>
      </c>
      <c r="B3213">
        <v>51822</v>
      </c>
      <c r="C3213" t="s">
        <v>34</v>
      </c>
      <c r="D3213">
        <v>1966.69</v>
      </c>
      <c r="E3213">
        <v>681</v>
      </c>
      <c r="F3213">
        <v>0</v>
      </c>
      <c r="G3213">
        <v>3</v>
      </c>
      <c r="H3213">
        <v>0</v>
      </c>
      <c r="I3213" t="s">
        <v>33</v>
      </c>
      <c r="J3213">
        <v>1</v>
      </c>
      <c r="K3213">
        <v>69</v>
      </c>
      <c r="L3213" t="s">
        <v>20</v>
      </c>
      <c r="M3213" t="s">
        <v>29</v>
      </c>
      <c r="N3213" t="s">
        <v>22</v>
      </c>
      <c r="O3213" t="s">
        <v>27</v>
      </c>
      <c r="P3213">
        <v>5.3</v>
      </c>
      <c r="Q3213" s="2" t="b">
        <f>FALSE()</f>
        <v>0</v>
      </c>
      <c r="R3213">
        <v>0</v>
      </c>
    </row>
    <row r="3214" spans="1:18" x14ac:dyDescent="0.25">
      <c r="A3214">
        <v>203213</v>
      </c>
      <c r="B3214">
        <v>52687</v>
      </c>
      <c r="C3214" t="s">
        <v>34</v>
      </c>
      <c r="D3214">
        <v>2023.44</v>
      </c>
      <c r="E3214">
        <v>474</v>
      </c>
      <c r="F3214">
        <v>1</v>
      </c>
      <c r="G3214">
        <v>4</v>
      </c>
      <c r="H3214">
        <v>0</v>
      </c>
      <c r="I3214" t="s">
        <v>19</v>
      </c>
      <c r="J3214">
        <v>0</v>
      </c>
      <c r="K3214">
        <v>79</v>
      </c>
      <c r="L3214" t="s">
        <v>24</v>
      </c>
      <c r="M3214" t="s">
        <v>21</v>
      </c>
      <c r="N3214" t="s">
        <v>30</v>
      </c>
      <c r="O3214" t="s">
        <v>36</v>
      </c>
      <c r="P3214">
        <v>0.57999999999999996</v>
      </c>
      <c r="Q3214" s="2" t="b">
        <f>FALSE()</f>
        <v>0</v>
      </c>
      <c r="R3214">
        <v>0</v>
      </c>
    </row>
    <row r="3215" spans="1:18" x14ac:dyDescent="0.25">
      <c r="A3215">
        <v>203214</v>
      </c>
      <c r="B3215">
        <v>52319</v>
      </c>
      <c r="C3215" t="s">
        <v>18</v>
      </c>
      <c r="D3215">
        <v>2263.6</v>
      </c>
      <c r="E3215">
        <v>922</v>
      </c>
      <c r="F3215">
        <v>1</v>
      </c>
      <c r="G3215">
        <v>4</v>
      </c>
      <c r="H3215">
        <v>0</v>
      </c>
      <c r="I3215" t="s">
        <v>33</v>
      </c>
      <c r="J3215">
        <v>0</v>
      </c>
      <c r="K3215">
        <v>52</v>
      </c>
      <c r="L3215" t="s">
        <v>24</v>
      </c>
      <c r="M3215" t="s">
        <v>35</v>
      </c>
      <c r="N3215" t="s">
        <v>26</v>
      </c>
      <c r="O3215" t="s">
        <v>27</v>
      </c>
      <c r="P3215">
        <v>0.47</v>
      </c>
      <c r="Q3215" s="2" t="b">
        <f>FALSE()</f>
        <v>0</v>
      </c>
      <c r="R3215">
        <v>0</v>
      </c>
    </row>
    <row r="3216" spans="1:18" x14ac:dyDescent="0.25">
      <c r="A3216">
        <v>203215</v>
      </c>
      <c r="B3216">
        <v>51493</v>
      </c>
      <c r="C3216" t="s">
        <v>18</v>
      </c>
      <c r="D3216">
        <v>3599.55</v>
      </c>
      <c r="E3216">
        <v>2708</v>
      </c>
      <c r="F3216">
        <v>2</v>
      </c>
      <c r="G3216">
        <v>4</v>
      </c>
      <c r="H3216">
        <v>0</v>
      </c>
      <c r="I3216" t="s">
        <v>33</v>
      </c>
      <c r="J3216">
        <v>0</v>
      </c>
      <c r="K3216">
        <v>21</v>
      </c>
      <c r="L3216" t="s">
        <v>20</v>
      </c>
      <c r="M3216" t="s">
        <v>21</v>
      </c>
      <c r="N3216" t="s">
        <v>22</v>
      </c>
      <c r="O3216" t="s">
        <v>36</v>
      </c>
      <c r="P3216">
        <v>1.02</v>
      </c>
      <c r="Q3216" s="2" t="b">
        <f>FALSE()</f>
        <v>0</v>
      </c>
      <c r="R3216">
        <v>1</v>
      </c>
    </row>
    <row r="3217" spans="1:18" x14ac:dyDescent="0.25">
      <c r="A3217">
        <v>203216</v>
      </c>
      <c r="B3217">
        <v>50226</v>
      </c>
      <c r="C3217" t="s">
        <v>34</v>
      </c>
      <c r="D3217">
        <v>407.66</v>
      </c>
      <c r="E3217">
        <v>1123</v>
      </c>
      <c r="F3217">
        <v>0</v>
      </c>
      <c r="G3217">
        <v>6</v>
      </c>
      <c r="H3217">
        <v>0</v>
      </c>
      <c r="I3217" t="s">
        <v>33</v>
      </c>
      <c r="J3217">
        <v>0</v>
      </c>
      <c r="K3217">
        <v>51</v>
      </c>
      <c r="L3217" t="s">
        <v>24</v>
      </c>
      <c r="M3217" t="s">
        <v>25</v>
      </c>
      <c r="N3217" t="s">
        <v>22</v>
      </c>
      <c r="O3217" t="s">
        <v>27</v>
      </c>
      <c r="P3217">
        <v>3.56</v>
      </c>
      <c r="Q3217" s="2" t="b">
        <f>FALSE()</f>
        <v>0</v>
      </c>
      <c r="R3217">
        <v>0</v>
      </c>
    </row>
    <row r="3218" spans="1:18" x14ac:dyDescent="0.25">
      <c r="A3218">
        <v>203217</v>
      </c>
      <c r="B3218">
        <v>54977</v>
      </c>
      <c r="C3218" t="s">
        <v>34</v>
      </c>
      <c r="D3218">
        <v>2645.85</v>
      </c>
      <c r="E3218">
        <v>2005</v>
      </c>
      <c r="F3218">
        <v>2</v>
      </c>
      <c r="G3218">
        <v>4</v>
      </c>
      <c r="H3218">
        <v>0</v>
      </c>
      <c r="I3218" t="s">
        <v>32</v>
      </c>
      <c r="J3218">
        <v>0</v>
      </c>
      <c r="K3218">
        <v>76</v>
      </c>
      <c r="L3218" t="s">
        <v>24</v>
      </c>
      <c r="M3218" t="s">
        <v>31</v>
      </c>
      <c r="N3218" t="s">
        <v>26</v>
      </c>
      <c r="O3218" t="s">
        <v>36</v>
      </c>
      <c r="P3218">
        <v>4.7699999999999996</v>
      </c>
      <c r="Q3218" s="2" t="b">
        <f>FALSE()</f>
        <v>0</v>
      </c>
      <c r="R3218">
        <v>0</v>
      </c>
    </row>
    <row r="3219" spans="1:18" x14ac:dyDescent="0.25">
      <c r="A3219">
        <v>203218</v>
      </c>
      <c r="B3219">
        <v>53745</v>
      </c>
      <c r="C3219" t="s">
        <v>34</v>
      </c>
      <c r="D3219">
        <v>1373.77</v>
      </c>
      <c r="E3219">
        <v>769</v>
      </c>
      <c r="F3219">
        <v>0</v>
      </c>
      <c r="G3219">
        <v>4</v>
      </c>
      <c r="H3219">
        <v>0</v>
      </c>
      <c r="I3219" t="s">
        <v>33</v>
      </c>
      <c r="J3219">
        <v>0</v>
      </c>
      <c r="K3219">
        <v>73</v>
      </c>
      <c r="L3219" t="s">
        <v>20</v>
      </c>
      <c r="M3219" t="s">
        <v>35</v>
      </c>
      <c r="N3219" t="s">
        <v>30</v>
      </c>
      <c r="O3219" t="s">
        <v>36</v>
      </c>
      <c r="P3219">
        <v>7.33</v>
      </c>
      <c r="Q3219" s="2" t="b">
        <f>FALSE()</f>
        <v>0</v>
      </c>
      <c r="R3219">
        <v>0</v>
      </c>
    </row>
    <row r="3220" spans="1:18" x14ac:dyDescent="0.25">
      <c r="A3220">
        <v>203219</v>
      </c>
      <c r="B3220">
        <v>51342</v>
      </c>
      <c r="C3220" t="s">
        <v>18</v>
      </c>
      <c r="D3220">
        <v>1237.0999999999999</v>
      </c>
      <c r="E3220">
        <v>126</v>
      </c>
      <c r="F3220">
        <v>0</v>
      </c>
      <c r="G3220">
        <v>5</v>
      </c>
      <c r="H3220">
        <v>0</v>
      </c>
      <c r="I3220" t="s">
        <v>33</v>
      </c>
      <c r="J3220">
        <v>0</v>
      </c>
      <c r="K3220">
        <v>49</v>
      </c>
      <c r="L3220" t="s">
        <v>24</v>
      </c>
      <c r="M3220" t="s">
        <v>37</v>
      </c>
      <c r="N3220" t="s">
        <v>26</v>
      </c>
      <c r="O3220" t="s">
        <v>27</v>
      </c>
      <c r="P3220">
        <v>0.93</v>
      </c>
      <c r="Q3220" s="2" t="b">
        <f>FALSE()</f>
        <v>0</v>
      </c>
      <c r="R3220">
        <v>0</v>
      </c>
    </row>
    <row r="3221" spans="1:18" x14ac:dyDescent="0.25">
      <c r="A3221">
        <v>203220</v>
      </c>
      <c r="B3221">
        <v>53461</v>
      </c>
      <c r="C3221" t="s">
        <v>34</v>
      </c>
      <c r="D3221">
        <v>2257.12</v>
      </c>
      <c r="E3221">
        <v>1</v>
      </c>
      <c r="F3221">
        <v>1</v>
      </c>
      <c r="G3221">
        <v>3</v>
      </c>
      <c r="H3221">
        <v>0</v>
      </c>
      <c r="I3221" t="s">
        <v>33</v>
      </c>
      <c r="J3221">
        <v>1</v>
      </c>
      <c r="K3221">
        <v>36</v>
      </c>
      <c r="L3221" t="s">
        <v>20</v>
      </c>
      <c r="M3221" t="s">
        <v>31</v>
      </c>
      <c r="N3221" t="s">
        <v>26</v>
      </c>
      <c r="O3221" t="s">
        <v>27</v>
      </c>
      <c r="P3221">
        <v>1.77</v>
      </c>
      <c r="Q3221" s="2" t="b">
        <f>FALSE()</f>
        <v>0</v>
      </c>
      <c r="R3221">
        <v>0</v>
      </c>
    </row>
    <row r="3222" spans="1:18" x14ac:dyDescent="0.25">
      <c r="A3222">
        <v>203221</v>
      </c>
      <c r="B3222">
        <v>52682</v>
      </c>
      <c r="C3222" t="s">
        <v>34</v>
      </c>
      <c r="D3222">
        <v>2149.61</v>
      </c>
      <c r="E3222">
        <v>740</v>
      </c>
      <c r="F3222">
        <v>3</v>
      </c>
      <c r="G3222">
        <v>8</v>
      </c>
      <c r="H3222">
        <v>0</v>
      </c>
      <c r="I3222" t="s">
        <v>33</v>
      </c>
      <c r="J3222">
        <v>0</v>
      </c>
      <c r="K3222">
        <v>21</v>
      </c>
      <c r="L3222" t="s">
        <v>20</v>
      </c>
      <c r="M3222" t="s">
        <v>37</v>
      </c>
      <c r="N3222" t="s">
        <v>26</v>
      </c>
      <c r="O3222" t="s">
        <v>27</v>
      </c>
      <c r="P3222">
        <v>3.23</v>
      </c>
      <c r="Q3222" s="2" t="b">
        <f>FALSE()</f>
        <v>0</v>
      </c>
      <c r="R3222">
        <v>1</v>
      </c>
    </row>
    <row r="3223" spans="1:18" x14ac:dyDescent="0.25">
      <c r="A3223">
        <v>203222</v>
      </c>
      <c r="B3223">
        <v>52024</v>
      </c>
      <c r="C3223" t="s">
        <v>18</v>
      </c>
      <c r="D3223">
        <v>278.61</v>
      </c>
      <c r="E3223">
        <v>1009</v>
      </c>
      <c r="F3223">
        <v>0</v>
      </c>
      <c r="G3223">
        <v>5</v>
      </c>
      <c r="H3223">
        <v>1</v>
      </c>
      <c r="I3223" t="s">
        <v>33</v>
      </c>
      <c r="J3223">
        <v>1</v>
      </c>
      <c r="K3223">
        <v>61</v>
      </c>
      <c r="L3223" t="s">
        <v>20</v>
      </c>
      <c r="M3223" t="s">
        <v>29</v>
      </c>
      <c r="N3223" t="s">
        <v>22</v>
      </c>
      <c r="O3223" t="s">
        <v>36</v>
      </c>
      <c r="P3223">
        <v>2.25</v>
      </c>
      <c r="Q3223" s="2" t="b">
        <f>FALSE()</f>
        <v>0</v>
      </c>
      <c r="R3223">
        <v>0</v>
      </c>
    </row>
    <row r="3224" spans="1:18" x14ac:dyDescent="0.25">
      <c r="A3224">
        <v>203223</v>
      </c>
      <c r="B3224">
        <v>54734</v>
      </c>
      <c r="C3224" t="s">
        <v>18</v>
      </c>
      <c r="D3224">
        <v>1937.06</v>
      </c>
      <c r="E3224">
        <v>1737</v>
      </c>
      <c r="F3224">
        <v>1</v>
      </c>
      <c r="G3224">
        <v>4</v>
      </c>
      <c r="H3224">
        <v>0</v>
      </c>
      <c r="I3224" t="s">
        <v>19</v>
      </c>
      <c r="J3224">
        <v>0</v>
      </c>
      <c r="K3224">
        <v>83</v>
      </c>
      <c r="L3224" t="s">
        <v>20</v>
      </c>
      <c r="M3224" t="s">
        <v>35</v>
      </c>
      <c r="N3224" t="s">
        <v>22</v>
      </c>
      <c r="O3224" t="s">
        <v>27</v>
      </c>
      <c r="P3224">
        <v>1.19</v>
      </c>
      <c r="Q3224" s="2" t="b">
        <f>FALSE()</f>
        <v>0</v>
      </c>
      <c r="R3224">
        <v>0</v>
      </c>
    </row>
    <row r="3225" spans="1:18" x14ac:dyDescent="0.25">
      <c r="A3225">
        <v>203224</v>
      </c>
      <c r="B3225">
        <v>51799</v>
      </c>
      <c r="C3225" t="s">
        <v>34</v>
      </c>
      <c r="D3225">
        <v>2400.8200000000002</v>
      </c>
      <c r="E3225">
        <v>1201</v>
      </c>
      <c r="F3225">
        <v>0</v>
      </c>
      <c r="G3225">
        <v>5</v>
      </c>
      <c r="H3225">
        <v>0</v>
      </c>
      <c r="I3225" t="s">
        <v>33</v>
      </c>
      <c r="J3225">
        <v>0</v>
      </c>
      <c r="K3225">
        <v>48</v>
      </c>
      <c r="L3225" t="s">
        <v>20</v>
      </c>
      <c r="M3225" t="s">
        <v>31</v>
      </c>
      <c r="N3225" t="s">
        <v>30</v>
      </c>
      <c r="O3225" t="s">
        <v>27</v>
      </c>
      <c r="P3225">
        <v>0.03</v>
      </c>
      <c r="Q3225" s="2" t="b">
        <f>FALSE()</f>
        <v>0</v>
      </c>
      <c r="R3225">
        <v>0</v>
      </c>
    </row>
    <row r="3226" spans="1:18" x14ac:dyDescent="0.25">
      <c r="A3226">
        <v>203225</v>
      </c>
      <c r="B3226">
        <v>52311</v>
      </c>
      <c r="C3226" t="s">
        <v>18</v>
      </c>
      <c r="D3226">
        <v>748.11</v>
      </c>
      <c r="E3226">
        <v>1073</v>
      </c>
      <c r="F3226">
        <v>2</v>
      </c>
      <c r="G3226">
        <v>3</v>
      </c>
      <c r="H3226">
        <v>0</v>
      </c>
      <c r="I3226" t="s">
        <v>33</v>
      </c>
      <c r="J3226">
        <v>0</v>
      </c>
      <c r="K3226">
        <v>45</v>
      </c>
      <c r="L3226" t="s">
        <v>24</v>
      </c>
      <c r="M3226" t="s">
        <v>21</v>
      </c>
      <c r="N3226" t="s">
        <v>26</v>
      </c>
      <c r="O3226" t="s">
        <v>36</v>
      </c>
      <c r="P3226">
        <v>0.77</v>
      </c>
      <c r="Q3226" s="2" t="b">
        <f>FALSE()</f>
        <v>0</v>
      </c>
      <c r="R3226">
        <v>0</v>
      </c>
    </row>
    <row r="3227" spans="1:18" x14ac:dyDescent="0.25">
      <c r="A3227">
        <v>203226</v>
      </c>
      <c r="B3227">
        <v>53218</v>
      </c>
      <c r="C3227" t="s">
        <v>34</v>
      </c>
      <c r="D3227">
        <v>222.95</v>
      </c>
      <c r="E3227">
        <v>63</v>
      </c>
      <c r="F3227">
        <v>1</v>
      </c>
      <c r="G3227">
        <v>3</v>
      </c>
      <c r="H3227">
        <v>1</v>
      </c>
      <c r="I3227" t="s">
        <v>33</v>
      </c>
      <c r="J3227">
        <v>0</v>
      </c>
      <c r="K3227">
        <v>50</v>
      </c>
      <c r="L3227" t="s">
        <v>20</v>
      </c>
      <c r="M3227" t="s">
        <v>37</v>
      </c>
      <c r="N3227" t="s">
        <v>26</v>
      </c>
      <c r="O3227" t="s">
        <v>36</v>
      </c>
      <c r="P3227">
        <v>2.91</v>
      </c>
      <c r="Q3227" s="2" t="b">
        <f>FALSE()</f>
        <v>0</v>
      </c>
      <c r="R3227">
        <v>0</v>
      </c>
    </row>
    <row r="3228" spans="1:18" x14ac:dyDescent="0.25">
      <c r="A3228">
        <v>203227</v>
      </c>
      <c r="B3228">
        <v>51009</v>
      </c>
      <c r="C3228" t="s">
        <v>18</v>
      </c>
      <c r="D3228">
        <v>6044.14</v>
      </c>
      <c r="E3228">
        <v>1350</v>
      </c>
      <c r="F3228">
        <v>1</v>
      </c>
      <c r="G3228">
        <v>0</v>
      </c>
      <c r="H3228">
        <v>0</v>
      </c>
      <c r="I3228" t="s">
        <v>19</v>
      </c>
      <c r="J3228">
        <v>0</v>
      </c>
      <c r="K3228">
        <v>20</v>
      </c>
      <c r="L3228" t="s">
        <v>24</v>
      </c>
      <c r="M3228" t="s">
        <v>25</v>
      </c>
      <c r="N3228" t="s">
        <v>22</v>
      </c>
      <c r="O3228" t="s">
        <v>36</v>
      </c>
      <c r="P3228">
        <v>1.5</v>
      </c>
      <c r="Q3228" s="2" t="b">
        <f>FALSE()</f>
        <v>0</v>
      </c>
      <c r="R3228">
        <v>1</v>
      </c>
    </row>
    <row r="3229" spans="1:18" x14ac:dyDescent="0.25">
      <c r="A3229">
        <v>203228</v>
      </c>
      <c r="B3229">
        <v>53370</v>
      </c>
      <c r="C3229" t="s">
        <v>28</v>
      </c>
      <c r="D3229">
        <v>1940.08</v>
      </c>
      <c r="E3229">
        <v>2451</v>
      </c>
      <c r="F3229">
        <v>0</v>
      </c>
      <c r="G3229">
        <v>4</v>
      </c>
      <c r="H3229">
        <v>0</v>
      </c>
      <c r="I3229" t="s">
        <v>19</v>
      </c>
      <c r="J3229">
        <v>1</v>
      </c>
      <c r="K3229">
        <v>57</v>
      </c>
      <c r="L3229" t="s">
        <v>24</v>
      </c>
      <c r="M3229" t="s">
        <v>37</v>
      </c>
      <c r="N3229" t="s">
        <v>30</v>
      </c>
      <c r="O3229" t="s">
        <v>27</v>
      </c>
      <c r="P3229">
        <v>2.1</v>
      </c>
      <c r="Q3229" s="2" t="b">
        <f>FALSE()</f>
        <v>0</v>
      </c>
      <c r="R3229">
        <v>0</v>
      </c>
    </row>
    <row r="3230" spans="1:18" x14ac:dyDescent="0.25">
      <c r="A3230">
        <v>203229</v>
      </c>
      <c r="B3230">
        <v>55786</v>
      </c>
      <c r="C3230" t="s">
        <v>18</v>
      </c>
      <c r="D3230">
        <v>2431.02</v>
      </c>
      <c r="E3230">
        <v>2612</v>
      </c>
      <c r="F3230">
        <v>1</v>
      </c>
      <c r="G3230">
        <v>3</v>
      </c>
      <c r="H3230">
        <v>0</v>
      </c>
      <c r="I3230" t="s">
        <v>32</v>
      </c>
      <c r="J3230">
        <v>0</v>
      </c>
      <c r="K3230">
        <v>54</v>
      </c>
      <c r="L3230" t="s">
        <v>20</v>
      </c>
      <c r="M3230" t="s">
        <v>31</v>
      </c>
      <c r="N3230" t="s">
        <v>30</v>
      </c>
      <c r="O3230" t="s">
        <v>23</v>
      </c>
      <c r="P3230">
        <v>2.29</v>
      </c>
      <c r="Q3230" s="2" t="b">
        <f>FALSE()</f>
        <v>0</v>
      </c>
      <c r="R3230">
        <v>0</v>
      </c>
    </row>
    <row r="3231" spans="1:18" x14ac:dyDescent="0.25">
      <c r="A3231">
        <v>203230</v>
      </c>
      <c r="B3231">
        <v>50519</v>
      </c>
      <c r="C3231" t="s">
        <v>18</v>
      </c>
      <c r="D3231">
        <v>2498.4299999999998</v>
      </c>
      <c r="E3231">
        <v>908</v>
      </c>
      <c r="F3231">
        <v>3</v>
      </c>
      <c r="G3231">
        <v>6</v>
      </c>
      <c r="H3231">
        <v>1</v>
      </c>
      <c r="I3231" t="s">
        <v>19</v>
      </c>
      <c r="J3231">
        <v>0</v>
      </c>
      <c r="K3231">
        <v>78</v>
      </c>
      <c r="L3231" t="s">
        <v>24</v>
      </c>
      <c r="M3231" t="s">
        <v>25</v>
      </c>
      <c r="N3231" t="s">
        <v>22</v>
      </c>
      <c r="O3231" t="s">
        <v>27</v>
      </c>
      <c r="P3231">
        <v>5.07</v>
      </c>
      <c r="Q3231" s="2" t="b">
        <f>FALSE()</f>
        <v>0</v>
      </c>
      <c r="R3231">
        <v>1</v>
      </c>
    </row>
    <row r="3232" spans="1:18" x14ac:dyDescent="0.25">
      <c r="A3232">
        <v>203231</v>
      </c>
      <c r="B3232">
        <v>51001</v>
      </c>
      <c r="C3232" t="s">
        <v>18</v>
      </c>
      <c r="D3232">
        <v>3818.29</v>
      </c>
      <c r="E3232">
        <v>2380</v>
      </c>
      <c r="F3232">
        <v>1</v>
      </c>
      <c r="G3232">
        <v>6</v>
      </c>
      <c r="H3232">
        <v>0</v>
      </c>
      <c r="I3232" t="s">
        <v>33</v>
      </c>
      <c r="J3232">
        <v>0</v>
      </c>
      <c r="K3232">
        <v>56</v>
      </c>
      <c r="L3232" t="s">
        <v>20</v>
      </c>
      <c r="M3232" t="s">
        <v>29</v>
      </c>
      <c r="N3232" t="s">
        <v>22</v>
      </c>
      <c r="O3232" t="s">
        <v>27</v>
      </c>
      <c r="P3232">
        <v>0.79</v>
      </c>
      <c r="Q3232" s="2" t="b">
        <f>FALSE()</f>
        <v>0</v>
      </c>
      <c r="R3232">
        <v>1</v>
      </c>
    </row>
    <row r="3233" spans="1:18" x14ac:dyDescent="0.25">
      <c r="A3233">
        <v>203232</v>
      </c>
      <c r="B3233">
        <v>53388</v>
      </c>
      <c r="C3233" t="s">
        <v>18</v>
      </c>
      <c r="D3233">
        <v>454.76</v>
      </c>
      <c r="E3233">
        <v>936</v>
      </c>
      <c r="F3233">
        <v>1</v>
      </c>
      <c r="G3233">
        <v>8</v>
      </c>
      <c r="H3233">
        <v>0</v>
      </c>
      <c r="I3233" t="s">
        <v>19</v>
      </c>
      <c r="J3233">
        <v>0</v>
      </c>
      <c r="K3233">
        <v>25</v>
      </c>
      <c r="L3233" t="s">
        <v>24</v>
      </c>
      <c r="M3233" t="s">
        <v>31</v>
      </c>
      <c r="N3233" t="s">
        <v>30</v>
      </c>
      <c r="O3233" t="s">
        <v>23</v>
      </c>
      <c r="P3233">
        <v>3.16</v>
      </c>
      <c r="Q3233" s="2" t="b">
        <f>FALSE()</f>
        <v>0</v>
      </c>
      <c r="R3233">
        <v>1</v>
      </c>
    </row>
    <row r="3234" spans="1:18" x14ac:dyDescent="0.25">
      <c r="A3234">
        <v>203233</v>
      </c>
      <c r="B3234">
        <v>55244</v>
      </c>
      <c r="C3234" t="s">
        <v>34</v>
      </c>
      <c r="D3234">
        <v>2120.9299999999998</v>
      </c>
      <c r="E3234">
        <v>234</v>
      </c>
      <c r="F3234">
        <v>1</v>
      </c>
      <c r="G3234">
        <v>3</v>
      </c>
      <c r="H3234">
        <v>0</v>
      </c>
      <c r="I3234" t="s">
        <v>19</v>
      </c>
      <c r="J3234">
        <v>0</v>
      </c>
      <c r="K3234">
        <v>52</v>
      </c>
      <c r="L3234" t="s">
        <v>24</v>
      </c>
      <c r="M3234" t="s">
        <v>31</v>
      </c>
      <c r="N3234" t="s">
        <v>22</v>
      </c>
      <c r="O3234" t="s">
        <v>36</v>
      </c>
      <c r="P3234">
        <v>0.08</v>
      </c>
      <c r="Q3234" s="2" t="b">
        <f>FALSE()</f>
        <v>0</v>
      </c>
      <c r="R3234">
        <v>0</v>
      </c>
    </row>
    <row r="3235" spans="1:18" x14ac:dyDescent="0.25">
      <c r="A3235">
        <v>203234</v>
      </c>
      <c r="B3235">
        <v>55645</v>
      </c>
      <c r="C3235" t="s">
        <v>28</v>
      </c>
      <c r="D3235">
        <v>2235.4</v>
      </c>
      <c r="E3235">
        <v>3570</v>
      </c>
      <c r="F3235">
        <v>0</v>
      </c>
      <c r="G3235">
        <v>6</v>
      </c>
      <c r="H3235">
        <v>0</v>
      </c>
      <c r="I3235" t="s">
        <v>33</v>
      </c>
      <c r="J3235">
        <v>1</v>
      </c>
      <c r="K3235">
        <v>39</v>
      </c>
      <c r="L3235" t="s">
        <v>24</v>
      </c>
      <c r="M3235" t="s">
        <v>35</v>
      </c>
      <c r="N3235" t="s">
        <v>22</v>
      </c>
      <c r="O3235" t="s">
        <v>27</v>
      </c>
      <c r="P3235">
        <v>1.38</v>
      </c>
      <c r="Q3235" s="2" t="b">
        <f>FALSE()</f>
        <v>0</v>
      </c>
      <c r="R3235">
        <v>0</v>
      </c>
    </row>
    <row r="3236" spans="1:18" x14ac:dyDescent="0.25">
      <c r="A3236">
        <v>203235</v>
      </c>
      <c r="B3236">
        <v>54588</v>
      </c>
      <c r="C3236" t="s">
        <v>28</v>
      </c>
      <c r="D3236">
        <v>5891.4</v>
      </c>
      <c r="E3236">
        <v>2133</v>
      </c>
      <c r="F3236">
        <v>1</v>
      </c>
      <c r="G3236">
        <v>7</v>
      </c>
      <c r="H3236">
        <v>0</v>
      </c>
      <c r="I3236" t="s">
        <v>19</v>
      </c>
      <c r="J3236">
        <v>0</v>
      </c>
      <c r="K3236">
        <v>25</v>
      </c>
      <c r="L3236" t="s">
        <v>24</v>
      </c>
      <c r="M3236" t="s">
        <v>25</v>
      </c>
      <c r="N3236" t="s">
        <v>22</v>
      </c>
      <c r="O3236" t="s">
        <v>36</v>
      </c>
      <c r="P3236">
        <v>12.42</v>
      </c>
      <c r="Q3236" s="2" t="b">
        <f>FALSE()</f>
        <v>0</v>
      </c>
      <c r="R3236">
        <v>1</v>
      </c>
    </row>
    <row r="3237" spans="1:18" x14ac:dyDescent="0.25">
      <c r="A3237">
        <v>203236</v>
      </c>
      <c r="B3237">
        <v>53054</v>
      </c>
      <c r="C3237" t="s">
        <v>18</v>
      </c>
      <c r="D3237">
        <v>378.17</v>
      </c>
      <c r="E3237">
        <v>3271</v>
      </c>
      <c r="F3237">
        <v>3</v>
      </c>
      <c r="G3237">
        <v>2</v>
      </c>
      <c r="H3237">
        <v>0</v>
      </c>
      <c r="I3237" t="s">
        <v>32</v>
      </c>
      <c r="J3237">
        <v>0</v>
      </c>
      <c r="K3237">
        <v>72</v>
      </c>
      <c r="L3237" t="s">
        <v>20</v>
      </c>
      <c r="M3237" t="s">
        <v>37</v>
      </c>
      <c r="N3237" t="s">
        <v>22</v>
      </c>
      <c r="O3237" t="s">
        <v>27</v>
      </c>
      <c r="P3237">
        <v>0.26</v>
      </c>
      <c r="Q3237" s="2" t="b">
        <f>FALSE()</f>
        <v>0</v>
      </c>
      <c r="R3237">
        <v>1</v>
      </c>
    </row>
    <row r="3238" spans="1:18" x14ac:dyDescent="0.25">
      <c r="A3238">
        <v>203237</v>
      </c>
      <c r="B3238">
        <v>53836</v>
      </c>
      <c r="C3238" t="s">
        <v>18</v>
      </c>
      <c r="D3238">
        <v>2160.79</v>
      </c>
      <c r="E3238">
        <v>2352</v>
      </c>
      <c r="F3238">
        <v>2</v>
      </c>
      <c r="G3238">
        <v>2</v>
      </c>
      <c r="H3238">
        <v>1</v>
      </c>
      <c r="I3238" t="s">
        <v>33</v>
      </c>
      <c r="J3238">
        <v>0</v>
      </c>
      <c r="K3238">
        <v>73</v>
      </c>
      <c r="L3238" t="s">
        <v>24</v>
      </c>
      <c r="M3238" t="s">
        <v>31</v>
      </c>
      <c r="N3238" t="s">
        <v>22</v>
      </c>
      <c r="O3238" t="s">
        <v>36</v>
      </c>
      <c r="P3238">
        <v>0.64</v>
      </c>
      <c r="Q3238" s="2" t="b">
        <f>FALSE()</f>
        <v>0</v>
      </c>
      <c r="R3238">
        <v>0</v>
      </c>
    </row>
    <row r="3239" spans="1:18" x14ac:dyDescent="0.25">
      <c r="A3239">
        <v>203238</v>
      </c>
      <c r="B3239">
        <v>50938</v>
      </c>
      <c r="C3239" t="s">
        <v>18</v>
      </c>
      <c r="D3239">
        <v>2896.28</v>
      </c>
      <c r="E3239">
        <v>1561</v>
      </c>
      <c r="F3239">
        <v>0</v>
      </c>
      <c r="G3239">
        <v>4</v>
      </c>
      <c r="H3239">
        <v>0</v>
      </c>
      <c r="I3239" t="s">
        <v>33</v>
      </c>
      <c r="J3239">
        <v>0</v>
      </c>
      <c r="K3239">
        <v>32</v>
      </c>
      <c r="L3239" t="s">
        <v>24</v>
      </c>
      <c r="M3239" t="s">
        <v>35</v>
      </c>
      <c r="N3239" t="s">
        <v>22</v>
      </c>
      <c r="O3239" t="s">
        <v>27</v>
      </c>
      <c r="P3239">
        <v>2.12</v>
      </c>
      <c r="Q3239" s="2" t="b">
        <f>FALSE()</f>
        <v>0</v>
      </c>
      <c r="R3239">
        <v>0</v>
      </c>
    </row>
    <row r="3240" spans="1:18" x14ac:dyDescent="0.25">
      <c r="A3240">
        <v>203239</v>
      </c>
      <c r="B3240">
        <v>55433</v>
      </c>
      <c r="C3240" t="s">
        <v>18</v>
      </c>
      <c r="D3240">
        <v>9246.58</v>
      </c>
      <c r="E3240">
        <v>559</v>
      </c>
      <c r="F3240">
        <v>1</v>
      </c>
      <c r="G3240">
        <v>6</v>
      </c>
      <c r="H3240">
        <v>1</v>
      </c>
      <c r="I3240" t="s">
        <v>33</v>
      </c>
      <c r="J3240">
        <v>0</v>
      </c>
      <c r="K3240">
        <v>77</v>
      </c>
      <c r="L3240" t="s">
        <v>24</v>
      </c>
      <c r="M3240" t="s">
        <v>25</v>
      </c>
      <c r="N3240" t="s">
        <v>22</v>
      </c>
      <c r="O3240" t="s">
        <v>23</v>
      </c>
      <c r="P3240">
        <v>5.98</v>
      </c>
      <c r="Q3240" s="2" t="b">
        <f>TRUE()</f>
        <v>1</v>
      </c>
      <c r="R3240">
        <v>1</v>
      </c>
    </row>
    <row r="3241" spans="1:18" x14ac:dyDescent="0.25">
      <c r="A3241">
        <v>203240</v>
      </c>
      <c r="B3241">
        <v>52261</v>
      </c>
      <c r="C3241" t="s">
        <v>28</v>
      </c>
      <c r="D3241">
        <v>643.39</v>
      </c>
      <c r="E3241">
        <v>1558</v>
      </c>
      <c r="F3241">
        <v>3</v>
      </c>
      <c r="G3241">
        <v>6</v>
      </c>
      <c r="H3241">
        <v>0</v>
      </c>
      <c r="I3241" t="s">
        <v>33</v>
      </c>
      <c r="J3241">
        <v>0</v>
      </c>
      <c r="K3241">
        <v>72</v>
      </c>
      <c r="L3241" t="s">
        <v>20</v>
      </c>
      <c r="M3241" t="s">
        <v>35</v>
      </c>
      <c r="N3241" t="s">
        <v>22</v>
      </c>
      <c r="O3241" t="s">
        <v>27</v>
      </c>
      <c r="P3241">
        <v>5.22</v>
      </c>
      <c r="Q3241" s="2" t="b">
        <f>FALSE()</f>
        <v>0</v>
      </c>
      <c r="R3241">
        <v>1</v>
      </c>
    </row>
    <row r="3242" spans="1:18" x14ac:dyDescent="0.25">
      <c r="A3242">
        <v>203241</v>
      </c>
      <c r="B3242">
        <v>52308</v>
      </c>
      <c r="C3242" t="s">
        <v>34</v>
      </c>
      <c r="D3242">
        <v>1100.23</v>
      </c>
      <c r="E3242">
        <v>24</v>
      </c>
      <c r="F3242">
        <v>2</v>
      </c>
      <c r="G3242">
        <v>2</v>
      </c>
      <c r="H3242">
        <v>0</v>
      </c>
      <c r="I3242" t="s">
        <v>19</v>
      </c>
      <c r="J3242">
        <v>0</v>
      </c>
      <c r="K3242">
        <v>79</v>
      </c>
      <c r="L3242" t="s">
        <v>24</v>
      </c>
      <c r="M3242" t="s">
        <v>25</v>
      </c>
      <c r="N3242" t="s">
        <v>22</v>
      </c>
      <c r="O3242" t="s">
        <v>36</v>
      </c>
      <c r="P3242">
        <v>1.26</v>
      </c>
      <c r="Q3242" s="2" t="b">
        <f>FALSE()</f>
        <v>0</v>
      </c>
      <c r="R3242">
        <v>0</v>
      </c>
    </row>
    <row r="3243" spans="1:18" x14ac:dyDescent="0.25">
      <c r="A3243">
        <v>203242</v>
      </c>
      <c r="B3243">
        <v>53538</v>
      </c>
      <c r="C3243" t="s">
        <v>28</v>
      </c>
      <c r="D3243">
        <v>3916.58</v>
      </c>
      <c r="E3243">
        <v>951</v>
      </c>
      <c r="F3243">
        <v>1</v>
      </c>
      <c r="G3243">
        <v>6</v>
      </c>
      <c r="H3243">
        <v>0</v>
      </c>
      <c r="I3243" t="s">
        <v>33</v>
      </c>
      <c r="J3243">
        <v>0</v>
      </c>
      <c r="K3243">
        <v>68</v>
      </c>
      <c r="L3243" t="s">
        <v>24</v>
      </c>
      <c r="M3243" t="s">
        <v>37</v>
      </c>
      <c r="N3243" t="s">
        <v>22</v>
      </c>
      <c r="O3243" t="s">
        <v>23</v>
      </c>
      <c r="P3243">
        <v>0.38</v>
      </c>
      <c r="Q3243" s="2" t="b">
        <f>FALSE()</f>
        <v>0</v>
      </c>
      <c r="R3243">
        <v>1</v>
      </c>
    </row>
    <row r="3244" spans="1:18" x14ac:dyDescent="0.25">
      <c r="A3244">
        <v>203243</v>
      </c>
      <c r="B3244">
        <v>55206</v>
      </c>
      <c r="C3244" t="s">
        <v>28</v>
      </c>
      <c r="D3244">
        <v>1159.82</v>
      </c>
      <c r="E3244">
        <v>1455</v>
      </c>
      <c r="F3244">
        <v>1</v>
      </c>
      <c r="G3244">
        <v>2</v>
      </c>
      <c r="H3244">
        <v>0</v>
      </c>
      <c r="I3244" t="s">
        <v>32</v>
      </c>
      <c r="J3244">
        <v>0</v>
      </c>
      <c r="K3244">
        <v>37</v>
      </c>
      <c r="L3244" t="s">
        <v>24</v>
      </c>
      <c r="M3244" t="s">
        <v>37</v>
      </c>
      <c r="N3244" t="s">
        <v>30</v>
      </c>
      <c r="O3244" t="s">
        <v>27</v>
      </c>
      <c r="P3244">
        <v>9.56</v>
      </c>
      <c r="Q3244" s="2" t="b">
        <f>FALSE()</f>
        <v>0</v>
      </c>
      <c r="R3244">
        <v>0</v>
      </c>
    </row>
    <row r="3245" spans="1:18" x14ac:dyDescent="0.25">
      <c r="A3245">
        <v>203244</v>
      </c>
      <c r="B3245">
        <v>50238</v>
      </c>
      <c r="C3245" t="s">
        <v>34</v>
      </c>
      <c r="D3245">
        <v>3735.87</v>
      </c>
      <c r="E3245">
        <v>1730</v>
      </c>
      <c r="F3245">
        <v>3</v>
      </c>
      <c r="G3245">
        <v>3</v>
      </c>
      <c r="H3245">
        <v>1</v>
      </c>
      <c r="I3245" t="s">
        <v>33</v>
      </c>
      <c r="J3245">
        <v>0</v>
      </c>
      <c r="K3245">
        <v>71</v>
      </c>
      <c r="L3245" t="s">
        <v>20</v>
      </c>
      <c r="M3245" t="s">
        <v>31</v>
      </c>
      <c r="N3245" t="s">
        <v>22</v>
      </c>
      <c r="O3245" t="s">
        <v>36</v>
      </c>
      <c r="P3245">
        <v>1.1200000000000001</v>
      </c>
      <c r="Q3245" s="2" t="b">
        <f>FALSE()</f>
        <v>0</v>
      </c>
      <c r="R3245">
        <v>1</v>
      </c>
    </row>
    <row r="3246" spans="1:18" x14ac:dyDescent="0.25">
      <c r="A3246">
        <v>203245</v>
      </c>
      <c r="B3246">
        <v>50420</v>
      </c>
      <c r="C3246" t="s">
        <v>28</v>
      </c>
      <c r="D3246">
        <v>4618.3</v>
      </c>
      <c r="E3246">
        <v>3309</v>
      </c>
      <c r="F3246">
        <v>1</v>
      </c>
      <c r="G3246">
        <v>1</v>
      </c>
      <c r="H3246">
        <v>1</v>
      </c>
      <c r="I3246" t="s">
        <v>33</v>
      </c>
      <c r="J3246">
        <v>1</v>
      </c>
      <c r="K3246">
        <v>48</v>
      </c>
      <c r="L3246" t="s">
        <v>24</v>
      </c>
      <c r="M3246" t="s">
        <v>31</v>
      </c>
      <c r="N3246" t="s">
        <v>22</v>
      </c>
      <c r="O3246" t="s">
        <v>36</v>
      </c>
      <c r="P3246">
        <v>0.84</v>
      </c>
      <c r="Q3246" s="2" t="b">
        <f>FALSE()</f>
        <v>0</v>
      </c>
      <c r="R3246">
        <v>1</v>
      </c>
    </row>
    <row r="3247" spans="1:18" x14ac:dyDescent="0.25">
      <c r="A3247">
        <v>203246</v>
      </c>
      <c r="B3247">
        <v>54613</v>
      </c>
      <c r="C3247" t="s">
        <v>34</v>
      </c>
      <c r="D3247">
        <v>459.31</v>
      </c>
      <c r="E3247">
        <v>2988</v>
      </c>
      <c r="F3247">
        <v>1</v>
      </c>
      <c r="G3247">
        <v>5</v>
      </c>
      <c r="H3247">
        <v>1</v>
      </c>
      <c r="I3247" t="s">
        <v>19</v>
      </c>
      <c r="J3247">
        <v>1</v>
      </c>
      <c r="K3247">
        <v>62</v>
      </c>
      <c r="L3247" t="s">
        <v>24</v>
      </c>
      <c r="M3247" t="s">
        <v>31</v>
      </c>
      <c r="N3247" t="s">
        <v>22</v>
      </c>
      <c r="O3247" t="s">
        <v>36</v>
      </c>
      <c r="P3247">
        <v>3.17</v>
      </c>
      <c r="Q3247" s="2" t="b">
        <f>FALSE()</f>
        <v>0</v>
      </c>
      <c r="R3247">
        <v>0</v>
      </c>
    </row>
    <row r="3248" spans="1:18" x14ac:dyDescent="0.25">
      <c r="A3248">
        <v>203247</v>
      </c>
      <c r="B3248">
        <v>54334</v>
      </c>
      <c r="C3248" t="s">
        <v>18</v>
      </c>
      <c r="D3248">
        <v>3338.24</v>
      </c>
      <c r="E3248">
        <v>2328</v>
      </c>
      <c r="F3248">
        <v>2</v>
      </c>
      <c r="G3248">
        <v>3</v>
      </c>
      <c r="H3248">
        <v>0</v>
      </c>
      <c r="I3248" t="s">
        <v>33</v>
      </c>
      <c r="J3248">
        <v>0</v>
      </c>
      <c r="K3248">
        <v>55</v>
      </c>
      <c r="L3248" t="s">
        <v>20</v>
      </c>
      <c r="M3248" t="s">
        <v>29</v>
      </c>
      <c r="N3248" t="s">
        <v>22</v>
      </c>
      <c r="O3248" t="s">
        <v>23</v>
      </c>
      <c r="P3248">
        <v>0.95</v>
      </c>
      <c r="Q3248" s="2" t="b">
        <f>FALSE()</f>
        <v>0</v>
      </c>
      <c r="R3248">
        <v>0</v>
      </c>
    </row>
    <row r="3249" spans="1:18" x14ac:dyDescent="0.25">
      <c r="A3249">
        <v>203248</v>
      </c>
      <c r="B3249">
        <v>53654</v>
      </c>
      <c r="C3249" t="s">
        <v>18</v>
      </c>
      <c r="D3249">
        <v>1538.22</v>
      </c>
      <c r="E3249">
        <v>114</v>
      </c>
      <c r="F3249">
        <v>0</v>
      </c>
      <c r="G3249">
        <v>5</v>
      </c>
      <c r="H3249">
        <v>0</v>
      </c>
      <c r="I3249" t="s">
        <v>33</v>
      </c>
      <c r="J3249">
        <v>0</v>
      </c>
      <c r="K3249">
        <v>21</v>
      </c>
      <c r="L3249" t="s">
        <v>20</v>
      </c>
      <c r="M3249" t="s">
        <v>25</v>
      </c>
      <c r="N3249" t="s">
        <v>22</v>
      </c>
      <c r="O3249" t="s">
        <v>36</v>
      </c>
      <c r="P3249">
        <v>0.08</v>
      </c>
      <c r="Q3249" s="2" t="b">
        <f>FALSE()</f>
        <v>0</v>
      </c>
      <c r="R3249">
        <v>0</v>
      </c>
    </row>
    <row r="3250" spans="1:18" x14ac:dyDescent="0.25">
      <c r="A3250">
        <v>203249</v>
      </c>
      <c r="B3250">
        <v>55462</v>
      </c>
      <c r="C3250" t="s">
        <v>18</v>
      </c>
      <c r="D3250">
        <v>1635.28</v>
      </c>
      <c r="E3250">
        <v>331</v>
      </c>
      <c r="F3250">
        <v>1</v>
      </c>
      <c r="G3250">
        <v>6</v>
      </c>
      <c r="H3250">
        <v>0</v>
      </c>
      <c r="I3250" t="s">
        <v>32</v>
      </c>
      <c r="J3250">
        <v>0</v>
      </c>
      <c r="K3250">
        <v>22</v>
      </c>
      <c r="L3250" t="s">
        <v>24</v>
      </c>
      <c r="M3250" t="s">
        <v>37</v>
      </c>
      <c r="N3250" t="s">
        <v>30</v>
      </c>
      <c r="O3250" t="s">
        <v>27</v>
      </c>
      <c r="P3250">
        <v>7.21</v>
      </c>
      <c r="Q3250" s="2" t="b">
        <f>FALSE()</f>
        <v>0</v>
      </c>
      <c r="R3250">
        <v>0</v>
      </c>
    </row>
    <row r="3251" spans="1:18" x14ac:dyDescent="0.25">
      <c r="A3251">
        <v>203250</v>
      </c>
      <c r="B3251">
        <v>55180</v>
      </c>
      <c r="C3251" t="s">
        <v>18</v>
      </c>
      <c r="D3251">
        <v>3253.05</v>
      </c>
      <c r="E3251">
        <v>1377</v>
      </c>
      <c r="F3251">
        <v>0</v>
      </c>
      <c r="G3251">
        <v>5</v>
      </c>
      <c r="H3251">
        <v>0</v>
      </c>
      <c r="I3251" t="s">
        <v>19</v>
      </c>
      <c r="J3251">
        <v>0</v>
      </c>
      <c r="K3251">
        <v>57</v>
      </c>
      <c r="L3251" t="s">
        <v>24</v>
      </c>
      <c r="M3251" t="s">
        <v>35</v>
      </c>
      <c r="N3251" t="s">
        <v>22</v>
      </c>
      <c r="O3251" t="s">
        <v>23</v>
      </c>
      <c r="P3251">
        <v>3.98</v>
      </c>
      <c r="Q3251" s="2" t="b">
        <f>FALSE()</f>
        <v>0</v>
      </c>
      <c r="R3251">
        <v>0</v>
      </c>
    </row>
    <row r="3252" spans="1:18" x14ac:dyDescent="0.25">
      <c r="A3252">
        <v>203251</v>
      </c>
      <c r="B3252">
        <v>55439</v>
      </c>
      <c r="C3252" t="s">
        <v>18</v>
      </c>
      <c r="D3252">
        <v>536.09</v>
      </c>
      <c r="E3252">
        <v>3299</v>
      </c>
      <c r="F3252">
        <v>1</v>
      </c>
      <c r="G3252">
        <v>2</v>
      </c>
      <c r="H3252">
        <v>0</v>
      </c>
      <c r="I3252" t="s">
        <v>33</v>
      </c>
      <c r="J3252">
        <v>0</v>
      </c>
      <c r="K3252">
        <v>71</v>
      </c>
      <c r="L3252" t="s">
        <v>20</v>
      </c>
      <c r="M3252" t="s">
        <v>21</v>
      </c>
      <c r="N3252" t="s">
        <v>22</v>
      </c>
      <c r="O3252" t="s">
        <v>23</v>
      </c>
      <c r="P3252">
        <v>0.56000000000000005</v>
      </c>
      <c r="Q3252" s="2" t="b">
        <f>FALSE()</f>
        <v>0</v>
      </c>
      <c r="R3252">
        <v>0</v>
      </c>
    </row>
    <row r="3253" spans="1:18" x14ac:dyDescent="0.25">
      <c r="A3253">
        <v>203252</v>
      </c>
      <c r="B3253">
        <v>54800</v>
      </c>
      <c r="C3253" t="s">
        <v>18</v>
      </c>
      <c r="D3253">
        <v>3200.21</v>
      </c>
      <c r="E3253">
        <v>138</v>
      </c>
      <c r="F3253">
        <v>0</v>
      </c>
      <c r="G3253">
        <v>4</v>
      </c>
      <c r="H3253">
        <v>1</v>
      </c>
      <c r="I3253" t="s">
        <v>33</v>
      </c>
      <c r="J3253">
        <v>0</v>
      </c>
      <c r="K3253">
        <v>36</v>
      </c>
      <c r="L3253" t="s">
        <v>24</v>
      </c>
      <c r="M3253" t="s">
        <v>31</v>
      </c>
      <c r="N3253" t="s">
        <v>26</v>
      </c>
      <c r="O3253" t="s">
        <v>23</v>
      </c>
      <c r="P3253">
        <v>3.83</v>
      </c>
      <c r="Q3253" s="2" t="b">
        <f>FALSE()</f>
        <v>0</v>
      </c>
      <c r="R3253">
        <v>0</v>
      </c>
    </row>
    <row r="3254" spans="1:18" x14ac:dyDescent="0.25">
      <c r="A3254">
        <v>203253</v>
      </c>
      <c r="B3254">
        <v>54997</v>
      </c>
      <c r="C3254" t="s">
        <v>18</v>
      </c>
      <c r="D3254">
        <v>3673.3</v>
      </c>
      <c r="E3254">
        <v>3422</v>
      </c>
      <c r="F3254">
        <v>0</v>
      </c>
      <c r="G3254">
        <v>1</v>
      </c>
      <c r="H3254">
        <v>1</v>
      </c>
      <c r="I3254" t="s">
        <v>33</v>
      </c>
      <c r="J3254">
        <v>1</v>
      </c>
      <c r="K3254">
        <v>61</v>
      </c>
      <c r="L3254" t="s">
        <v>20</v>
      </c>
      <c r="M3254" t="s">
        <v>21</v>
      </c>
      <c r="N3254" t="s">
        <v>22</v>
      </c>
      <c r="O3254" t="s">
        <v>36</v>
      </c>
      <c r="P3254">
        <v>7.22</v>
      </c>
      <c r="Q3254" s="2" t="b">
        <f>FALSE()</f>
        <v>0</v>
      </c>
      <c r="R3254">
        <v>1</v>
      </c>
    </row>
    <row r="3255" spans="1:18" x14ac:dyDescent="0.25">
      <c r="A3255">
        <v>203254</v>
      </c>
      <c r="B3255">
        <v>50611</v>
      </c>
      <c r="C3255" t="s">
        <v>18</v>
      </c>
      <c r="D3255">
        <v>2406.0500000000002</v>
      </c>
      <c r="E3255">
        <v>3425</v>
      </c>
      <c r="F3255">
        <v>0</v>
      </c>
      <c r="G3255">
        <v>2</v>
      </c>
      <c r="H3255">
        <v>0</v>
      </c>
      <c r="I3255" t="s">
        <v>33</v>
      </c>
      <c r="J3255">
        <v>1</v>
      </c>
      <c r="K3255">
        <v>18</v>
      </c>
      <c r="L3255" t="s">
        <v>24</v>
      </c>
      <c r="M3255" t="s">
        <v>25</v>
      </c>
      <c r="N3255" t="s">
        <v>22</v>
      </c>
      <c r="O3255" t="s">
        <v>36</v>
      </c>
      <c r="P3255">
        <v>0.2</v>
      </c>
      <c r="Q3255" s="2" t="b">
        <f>FALSE()</f>
        <v>0</v>
      </c>
      <c r="R3255">
        <v>0</v>
      </c>
    </row>
    <row r="3256" spans="1:18" x14ac:dyDescent="0.25">
      <c r="A3256">
        <v>203255</v>
      </c>
      <c r="B3256">
        <v>53932</v>
      </c>
      <c r="C3256" t="s">
        <v>34</v>
      </c>
      <c r="D3256">
        <v>3500.57</v>
      </c>
      <c r="E3256">
        <v>3159</v>
      </c>
      <c r="F3256">
        <v>1</v>
      </c>
      <c r="G3256">
        <v>4</v>
      </c>
      <c r="H3256">
        <v>0</v>
      </c>
      <c r="I3256" t="s">
        <v>33</v>
      </c>
      <c r="J3256">
        <v>1</v>
      </c>
      <c r="K3256">
        <v>39</v>
      </c>
      <c r="L3256" t="s">
        <v>20</v>
      </c>
      <c r="M3256" t="s">
        <v>31</v>
      </c>
      <c r="N3256" t="s">
        <v>22</v>
      </c>
      <c r="O3256" t="s">
        <v>27</v>
      </c>
      <c r="P3256">
        <v>3.87</v>
      </c>
      <c r="Q3256" s="2" t="b">
        <f>FALSE()</f>
        <v>0</v>
      </c>
      <c r="R3256">
        <v>0</v>
      </c>
    </row>
    <row r="3257" spans="1:18" x14ac:dyDescent="0.25">
      <c r="A3257">
        <v>203256</v>
      </c>
      <c r="B3257">
        <v>50622</v>
      </c>
      <c r="C3257" t="s">
        <v>18</v>
      </c>
      <c r="D3257">
        <v>1593.94</v>
      </c>
      <c r="E3257">
        <v>301</v>
      </c>
      <c r="F3257">
        <v>3</v>
      </c>
      <c r="G3257">
        <v>8</v>
      </c>
      <c r="H3257">
        <v>0</v>
      </c>
      <c r="I3257" t="s">
        <v>33</v>
      </c>
      <c r="J3257">
        <v>0</v>
      </c>
      <c r="K3257">
        <v>56</v>
      </c>
      <c r="L3257" t="s">
        <v>24</v>
      </c>
      <c r="M3257" t="s">
        <v>37</v>
      </c>
      <c r="N3257" t="s">
        <v>22</v>
      </c>
      <c r="O3257" t="s">
        <v>36</v>
      </c>
      <c r="P3257">
        <v>3.81</v>
      </c>
      <c r="Q3257" s="2" t="b">
        <f>FALSE()</f>
        <v>0</v>
      </c>
      <c r="R3257">
        <v>1</v>
      </c>
    </row>
    <row r="3258" spans="1:18" x14ac:dyDescent="0.25">
      <c r="A3258">
        <v>203257</v>
      </c>
      <c r="B3258">
        <v>55937</v>
      </c>
      <c r="C3258" t="s">
        <v>28</v>
      </c>
      <c r="D3258">
        <v>3208.37</v>
      </c>
      <c r="E3258">
        <v>231</v>
      </c>
      <c r="F3258">
        <v>2</v>
      </c>
      <c r="G3258">
        <v>5</v>
      </c>
      <c r="H3258">
        <v>1</v>
      </c>
      <c r="I3258" t="s">
        <v>33</v>
      </c>
      <c r="J3258">
        <v>0</v>
      </c>
      <c r="K3258">
        <v>53</v>
      </c>
      <c r="L3258" t="s">
        <v>24</v>
      </c>
      <c r="M3258" t="s">
        <v>25</v>
      </c>
      <c r="N3258" t="s">
        <v>22</v>
      </c>
      <c r="O3258" t="s">
        <v>36</v>
      </c>
      <c r="P3258">
        <v>1.22</v>
      </c>
      <c r="Q3258" s="2" t="b">
        <f>FALSE()</f>
        <v>0</v>
      </c>
      <c r="R3258">
        <v>0</v>
      </c>
    </row>
    <row r="3259" spans="1:18" x14ac:dyDescent="0.25">
      <c r="A3259">
        <v>203258</v>
      </c>
      <c r="B3259">
        <v>51834</v>
      </c>
      <c r="C3259" t="s">
        <v>28</v>
      </c>
      <c r="D3259">
        <v>597.4</v>
      </c>
      <c r="E3259">
        <v>819</v>
      </c>
      <c r="F3259">
        <v>0</v>
      </c>
      <c r="G3259">
        <v>5</v>
      </c>
      <c r="H3259">
        <v>0</v>
      </c>
      <c r="I3259" t="s">
        <v>33</v>
      </c>
      <c r="J3259">
        <v>0</v>
      </c>
      <c r="K3259">
        <v>36</v>
      </c>
      <c r="L3259" t="s">
        <v>24</v>
      </c>
      <c r="M3259" t="s">
        <v>25</v>
      </c>
      <c r="N3259" t="s">
        <v>22</v>
      </c>
      <c r="O3259" t="s">
        <v>36</v>
      </c>
      <c r="P3259">
        <v>0.17</v>
      </c>
      <c r="Q3259" s="2" t="b">
        <f>FALSE()</f>
        <v>0</v>
      </c>
      <c r="R3259">
        <v>0</v>
      </c>
    </row>
    <row r="3260" spans="1:18" x14ac:dyDescent="0.25">
      <c r="A3260">
        <v>203259</v>
      </c>
      <c r="B3260">
        <v>53136</v>
      </c>
      <c r="C3260" t="s">
        <v>34</v>
      </c>
      <c r="D3260">
        <v>1075.06</v>
      </c>
      <c r="E3260">
        <v>1066</v>
      </c>
      <c r="F3260">
        <v>0</v>
      </c>
      <c r="G3260">
        <v>0</v>
      </c>
      <c r="H3260">
        <v>0</v>
      </c>
      <c r="I3260" t="s">
        <v>32</v>
      </c>
      <c r="J3260">
        <v>0</v>
      </c>
      <c r="K3260">
        <v>73</v>
      </c>
      <c r="L3260" t="s">
        <v>24</v>
      </c>
      <c r="M3260" t="s">
        <v>35</v>
      </c>
      <c r="N3260" t="s">
        <v>22</v>
      </c>
      <c r="O3260" t="s">
        <v>36</v>
      </c>
      <c r="P3260">
        <v>11.16</v>
      </c>
      <c r="Q3260" s="2" t="b">
        <f>FALSE()</f>
        <v>0</v>
      </c>
      <c r="R3260">
        <v>0</v>
      </c>
    </row>
    <row r="3261" spans="1:18" x14ac:dyDescent="0.25">
      <c r="A3261">
        <v>203260</v>
      </c>
      <c r="B3261">
        <v>53638</v>
      </c>
      <c r="C3261" t="s">
        <v>34</v>
      </c>
      <c r="D3261">
        <v>1863.63</v>
      </c>
      <c r="E3261">
        <v>2471</v>
      </c>
      <c r="F3261">
        <v>1</v>
      </c>
      <c r="G3261">
        <v>0</v>
      </c>
      <c r="H3261">
        <v>0</v>
      </c>
      <c r="I3261" t="s">
        <v>33</v>
      </c>
      <c r="J3261">
        <v>0</v>
      </c>
      <c r="K3261">
        <v>41</v>
      </c>
      <c r="L3261" t="s">
        <v>20</v>
      </c>
      <c r="M3261" t="s">
        <v>35</v>
      </c>
      <c r="N3261" t="s">
        <v>30</v>
      </c>
      <c r="O3261" t="s">
        <v>36</v>
      </c>
      <c r="P3261">
        <v>1.84</v>
      </c>
      <c r="Q3261" s="2" t="b">
        <f>FALSE()</f>
        <v>0</v>
      </c>
      <c r="R3261">
        <v>0</v>
      </c>
    </row>
    <row r="3262" spans="1:18" x14ac:dyDescent="0.25">
      <c r="A3262">
        <v>203261</v>
      </c>
      <c r="B3262">
        <v>50062</v>
      </c>
      <c r="C3262" t="s">
        <v>18</v>
      </c>
      <c r="D3262">
        <v>953.49</v>
      </c>
      <c r="E3262">
        <v>3052</v>
      </c>
      <c r="F3262">
        <v>0</v>
      </c>
      <c r="G3262">
        <v>4</v>
      </c>
      <c r="H3262">
        <v>0</v>
      </c>
      <c r="I3262" t="s">
        <v>33</v>
      </c>
      <c r="J3262">
        <v>0</v>
      </c>
      <c r="K3262">
        <v>27</v>
      </c>
      <c r="L3262" t="s">
        <v>20</v>
      </c>
      <c r="M3262" t="s">
        <v>29</v>
      </c>
      <c r="N3262" t="s">
        <v>22</v>
      </c>
      <c r="O3262" t="s">
        <v>27</v>
      </c>
      <c r="P3262">
        <v>0.15</v>
      </c>
      <c r="Q3262" s="2" t="b">
        <f>FALSE()</f>
        <v>0</v>
      </c>
      <c r="R3262">
        <v>0</v>
      </c>
    </row>
    <row r="3263" spans="1:18" x14ac:dyDescent="0.25">
      <c r="A3263">
        <v>203262</v>
      </c>
      <c r="B3263">
        <v>55355</v>
      </c>
      <c r="C3263" t="s">
        <v>18</v>
      </c>
      <c r="D3263">
        <v>2305.37</v>
      </c>
      <c r="E3263">
        <v>2907</v>
      </c>
      <c r="F3263">
        <v>1</v>
      </c>
      <c r="G3263">
        <v>5</v>
      </c>
      <c r="H3263">
        <v>0</v>
      </c>
      <c r="I3263" t="s">
        <v>32</v>
      </c>
      <c r="J3263">
        <v>1</v>
      </c>
      <c r="K3263">
        <v>72</v>
      </c>
      <c r="L3263" t="s">
        <v>24</v>
      </c>
      <c r="M3263" t="s">
        <v>25</v>
      </c>
      <c r="N3263" t="s">
        <v>22</v>
      </c>
      <c r="O3263" t="s">
        <v>23</v>
      </c>
      <c r="P3263">
        <v>10.95</v>
      </c>
      <c r="Q3263" s="2" t="b">
        <f>FALSE()</f>
        <v>0</v>
      </c>
      <c r="R3263">
        <v>0</v>
      </c>
    </row>
    <row r="3264" spans="1:18" x14ac:dyDescent="0.25">
      <c r="A3264">
        <v>203263</v>
      </c>
      <c r="B3264">
        <v>53243</v>
      </c>
      <c r="C3264" t="s">
        <v>18</v>
      </c>
      <c r="D3264">
        <v>703.58</v>
      </c>
      <c r="E3264">
        <v>3183</v>
      </c>
      <c r="F3264">
        <v>1</v>
      </c>
      <c r="G3264">
        <v>5</v>
      </c>
      <c r="H3264">
        <v>0</v>
      </c>
      <c r="I3264" t="s">
        <v>19</v>
      </c>
      <c r="J3264">
        <v>0</v>
      </c>
      <c r="K3264">
        <v>62</v>
      </c>
      <c r="L3264" t="s">
        <v>24</v>
      </c>
      <c r="M3264" t="s">
        <v>31</v>
      </c>
      <c r="N3264" t="s">
        <v>26</v>
      </c>
      <c r="O3264" t="s">
        <v>27</v>
      </c>
      <c r="P3264">
        <v>3.27</v>
      </c>
      <c r="Q3264" s="2" t="b">
        <f>FALSE()</f>
        <v>0</v>
      </c>
      <c r="R3264">
        <v>0</v>
      </c>
    </row>
    <row r="3265" spans="1:18" x14ac:dyDescent="0.25">
      <c r="A3265">
        <v>203264</v>
      </c>
      <c r="B3265">
        <v>55865</v>
      </c>
      <c r="C3265" t="s">
        <v>34</v>
      </c>
      <c r="D3265">
        <v>3363.64</v>
      </c>
      <c r="E3265">
        <v>186</v>
      </c>
      <c r="F3265">
        <v>1</v>
      </c>
      <c r="G3265">
        <v>2</v>
      </c>
      <c r="H3265">
        <v>0</v>
      </c>
      <c r="I3265" t="s">
        <v>33</v>
      </c>
      <c r="J3265">
        <v>0</v>
      </c>
      <c r="K3265">
        <v>78</v>
      </c>
      <c r="L3265" t="s">
        <v>24</v>
      </c>
      <c r="M3265" t="s">
        <v>21</v>
      </c>
      <c r="N3265" t="s">
        <v>26</v>
      </c>
      <c r="O3265" t="s">
        <v>23</v>
      </c>
      <c r="P3265">
        <v>1.69</v>
      </c>
      <c r="Q3265" s="2" t="b">
        <f>FALSE()</f>
        <v>0</v>
      </c>
      <c r="R3265">
        <v>0</v>
      </c>
    </row>
    <row r="3266" spans="1:18" x14ac:dyDescent="0.25">
      <c r="A3266">
        <v>203265</v>
      </c>
      <c r="B3266">
        <v>54132</v>
      </c>
      <c r="C3266" t="s">
        <v>34</v>
      </c>
      <c r="D3266">
        <v>1792.8</v>
      </c>
      <c r="E3266">
        <v>2799</v>
      </c>
      <c r="F3266">
        <v>0</v>
      </c>
      <c r="G3266">
        <v>2</v>
      </c>
      <c r="H3266">
        <v>0</v>
      </c>
      <c r="I3266" t="s">
        <v>19</v>
      </c>
      <c r="J3266">
        <v>0</v>
      </c>
      <c r="K3266">
        <v>40</v>
      </c>
      <c r="L3266" t="s">
        <v>38</v>
      </c>
      <c r="M3266" t="s">
        <v>31</v>
      </c>
      <c r="N3266" t="s">
        <v>22</v>
      </c>
      <c r="O3266" t="s">
        <v>27</v>
      </c>
      <c r="P3266">
        <v>6.4</v>
      </c>
      <c r="Q3266" s="2" t="b">
        <f>FALSE()</f>
        <v>0</v>
      </c>
      <c r="R3266">
        <v>0</v>
      </c>
    </row>
    <row r="3267" spans="1:18" x14ac:dyDescent="0.25">
      <c r="A3267">
        <v>203266</v>
      </c>
      <c r="B3267">
        <v>51033</v>
      </c>
      <c r="C3267" t="s">
        <v>18</v>
      </c>
      <c r="D3267">
        <v>2039.92</v>
      </c>
      <c r="E3267">
        <v>857</v>
      </c>
      <c r="F3267">
        <v>2</v>
      </c>
      <c r="G3267">
        <v>3</v>
      </c>
      <c r="H3267">
        <v>0</v>
      </c>
      <c r="I3267" t="s">
        <v>19</v>
      </c>
      <c r="J3267">
        <v>0</v>
      </c>
      <c r="K3267">
        <v>44</v>
      </c>
      <c r="L3267" t="s">
        <v>20</v>
      </c>
      <c r="M3267" t="s">
        <v>29</v>
      </c>
      <c r="N3267" t="s">
        <v>26</v>
      </c>
      <c r="O3267" t="s">
        <v>27</v>
      </c>
      <c r="P3267">
        <v>10.24</v>
      </c>
      <c r="Q3267" s="2" t="b">
        <f>FALSE()</f>
        <v>0</v>
      </c>
      <c r="R3267">
        <v>0</v>
      </c>
    </row>
    <row r="3268" spans="1:18" x14ac:dyDescent="0.25">
      <c r="A3268">
        <v>203267</v>
      </c>
      <c r="B3268">
        <v>52228</v>
      </c>
      <c r="C3268" t="s">
        <v>18</v>
      </c>
      <c r="D3268">
        <v>2140.6999999999998</v>
      </c>
      <c r="E3268">
        <v>1046</v>
      </c>
      <c r="F3268">
        <v>0</v>
      </c>
      <c r="G3268">
        <v>5</v>
      </c>
      <c r="H3268">
        <v>0</v>
      </c>
      <c r="I3268" t="s">
        <v>33</v>
      </c>
      <c r="J3268">
        <v>0</v>
      </c>
      <c r="K3268">
        <v>64</v>
      </c>
      <c r="L3268" t="s">
        <v>20</v>
      </c>
      <c r="M3268" t="s">
        <v>35</v>
      </c>
      <c r="N3268" t="s">
        <v>30</v>
      </c>
      <c r="O3268" t="s">
        <v>23</v>
      </c>
      <c r="P3268">
        <v>2.87</v>
      </c>
      <c r="Q3268" s="2" t="b">
        <f>FALSE()</f>
        <v>0</v>
      </c>
      <c r="R3268">
        <v>0</v>
      </c>
    </row>
    <row r="3269" spans="1:18" x14ac:dyDescent="0.25">
      <c r="A3269">
        <v>203268</v>
      </c>
      <c r="B3269">
        <v>54110</v>
      </c>
      <c r="C3269" t="s">
        <v>18</v>
      </c>
      <c r="D3269">
        <v>500.76</v>
      </c>
      <c r="E3269">
        <v>840</v>
      </c>
      <c r="F3269">
        <v>0</v>
      </c>
      <c r="G3269">
        <v>5</v>
      </c>
      <c r="H3269">
        <v>0</v>
      </c>
      <c r="I3269" t="s">
        <v>19</v>
      </c>
      <c r="J3269">
        <v>1</v>
      </c>
      <c r="K3269">
        <v>36</v>
      </c>
      <c r="L3269" t="s">
        <v>20</v>
      </c>
      <c r="M3269" t="s">
        <v>25</v>
      </c>
      <c r="N3269" t="s">
        <v>30</v>
      </c>
      <c r="O3269" t="s">
        <v>23</v>
      </c>
      <c r="P3269">
        <v>1.86</v>
      </c>
      <c r="Q3269" s="2" t="b">
        <f>FALSE()</f>
        <v>0</v>
      </c>
      <c r="R3269">
        <v>0</v>
      </c>
    </row>
    <row r="3270" spans="1:18" x14ac:dyDescent="0.25">
      <c r="A3270">
        <v>203269</v>
      </c>
      <c r="B3270">
        <v>51006</v>
      </c>
      <c r="C3270" t="s">
        <v>34</v>
      </c>
      <c r="D3270">
        <v>7360.46</v>
      </c>
      <c r="E3270">
        <v>882</v>
      </c>
      <c r="F3270">
        <v>0</v>
      </c>
      <c r="G3270">
        <v>6</v>
      </c>
      <c r="H3270">
        <v>0</v>
      </c>
      <c r="I3270" t="s">
        <v>32</v>
      </c>
      <c r="J3270">
        <v>0</v>
      </c>
      <c r="K3270">
        <v>55</v>
      </c>
      <c r="L3270" t="s">
        <v>20</v>
      </c>
      <c r="M3270" t="s">
        <v>29</v>
      </c>
      <c r="N3270" t="s">
        <v>22</v>
      </c>
      <c r="O3270" t="s">
        <v>23</v>
      </c>
      <c r="P3270">
        <v>3.42</v>
      </c>
      <c r="Q3270" s="2" t="b">
        <f>TRUE()</f>
        <v>1</v>
      </c>
      <c r="R3270">
        <v>1</v>
      </c>
    </row>
    <row r="3271" spans="1:18" x14ac:dyDescent="0.25">
      <c r="A3271">
        <v>203270</v>
      </c>
      <c r="B3271">
        <v>51731</v>
      </c>
      <c r="C3271" t="s">
        <v>18</v>
      </c>
      <c r="D3271">
        <v>1788.77</v>
      </c>
      <c r="E3271">
        <v>1347</v>
      </c>
      <c r="F3271">
        <v>0</v>
      </c>
      <c r="G3271">
        <v>4</v>
      </c>
      <c r="H3271">
        <v>0</v>
      </c>
      <c r="I3271" t="s">
        <v>19</v>
      </c>
      <c r="J3271">
        <v>0</v>
      </c>
      <c r="K3271">
        <v>61</v>
      </c>
      <c r="L3271" t="s">
        <v>20</v>
      </c>
      <c r="M3271" t="s">
        <v>29</v>
      </c>
      <c r="N3271" t="s">
        <v>22</v>
      </c>
      <c r="O3271" t="s">
        <v>27</v>
      </c>
      <c r="P3271">
        <v>6.44</v>
      </c>
      <c r="Q3271" s="2" t="b">
        <f>FALSE()</f>
        <v>0</v>
      </c>
      <c r="R3271">
        <v>0</v>
      </c>
    </row>
    <row r="3272" spans="1:18" x14ac:dyDescent="0.25">
      <c r="A3272">
        <v>203271</v>
      </c>
      <c r="B3272">
        <v>54996</v>
      </c>
      <c r="C3272" t="s">
        <v>34</v>
      </c>
      <c r="D3272">
        <v>3502.9</v>
      </c>
      <c r="E3272">
        <v>3406</v>
      </c>
      <c r="F3272">
        <v>1</v>
      </c>
      <c r="G3272">
        <v>2</v>
      </c>
      <c r="H3272">
        <v>0</v>
      </c>
      <c r="I3272" t="s">
        <v>33</v>
      </c>
      <c r="J3272">
        <v>0</v>
      </c>
      <c r="K3272">
        <v>70</v>
      </c>
      <c r="L3272" t="s">
        <v>20</v>
      </c>
      <c r="M3272" t="s">
        <v>31</v>
      </c>
      <c r="N3272" t="s">
        <v>30</v>
      </c>
      <c r="O3272" t="s">
        <v>36</v>
      </c>
      <c r="P3272">
        <v>3.13</v>
      </c>
      <c r="Q3272" s="2" t="b">
        <f>FALSE()</f>
        <v>0</v>
      </c>
      <c r="R3272">
        <v>0</v>
      </c>
    </row>
    <row r="3273" spans="1:18" x14ac:dyDescent="0.25">
      <c r="A3273">
        <v>203272</v>
      </c>
      <c r="B3273">
        <v>55818</v>
      </c>
      <c r="C3273" t="s">
        <v>18</v>
      </c>
      <c r="D3273">
        <v>4134.12</v>
      </c>
      <c r="E3273">
        <v>3409</v>
      </c>
      <c r="F3273">
        <v>1</v>
      </c>
      <c r="G3273">
        <v>3</v>
      </c>
      <c r="H3273">
        <v>0</v>
      </c>
      <c r="I3273" t="s">
        <v>33</v>
      </c>
      <c r="J3273">
        <v>1</v>
      </c>
      <c r="K3273">
        <v>20</v>
      </c>
      <c r="L3273" t="s">
        <v>24</v>
      </c>
      <c r="M3273" t="s">
        <v>35</v>
      </c>
      <c r="N3273" t="s">
        <v>22</v>
      </c>
      <c r="O3273" t="s">
        <v>27</v>
      </c>
      <c r="P3273">
        <v>7.37</v>
      </c>
      <c r="Q3273" s="2" t="b">
        <f>FALSE()</f>
        <v>0</v>
      </c>
      <c r="R3273">
        <v>1</v>
      </c>
    </row>
    <row r="3274" spans="1:18" x14ac:dyDescent="0.25">
      <c r="A3274">
        <v>203273</v>
      </c>
      <c r="B3274">
        <v>52117</v>
      </c>
      <c r="C3274" t="s">
        <v>18</v>
      </c>
      <c r="D3274">
        <v>2600.92</v>
      </c>
      <c r="E3274">
        <v>1753</v>
      </c>
      <c r="F3274">
        <v>0</v>
      </c>
      <c r="G3274">
        <v>6</v>
      </c>
      <c r="H3274">
        <v>0</v>
      </c>
      <c r="I3274" t="s">
        <v>32</v>
      </c>
      <c r="J3274">
        <v>0</v>
      </c>
      <c r="K3274">
        <v>24</v>
      </c>
      <c r="L3274" t="s">
        <v>20</v>
      </c>
      <c r="M3274" t="s">
        <v>25</v>
      </c>
      <c r="N3274" t="s">
        <v>30</v>
      </c>
      <c r="O3274" t="s">
        <v>36</v>
      </c>
      <c r="P3274">
        <v>3.31</v>
      </c>
      <c r="Q3274" s="2" t="b">
        <f>FALSE()</f>
        <v>0</v>
      </c>
      <c r="R3274">
        <v>0</v>
      </c>
    </row>
    <row r="3275" spans="1:18" x14ac:dyDescent="0.25">
      <c r="A3275">
        <v>203274</v>
      </c>
      <c r="B3275">
        <v>55396</v>
      </c>
      <c r="C3275" t="s">
        <v>34</v>
      </c>
      <c r="D3275">
        <v>664.91</v>
      </c>
      <c r="E3275">
        <v>890</v>
      </c>
      <c r="F3275">
        <v>0</v>
      </c>
      <c r="G3275">
        <v>4</v>
      </c>
      <c r="H3275">
        <v>0</v>
      </c>
      <c r="I3275" t="s">
        <v>33</v>
      </c>
      <c r="J3275">
        <v>0</v>
      </c>
      <c r="K3275">
        <v>53</v>
      </c>
      <c r="L3275" t="s">
        <v>20</v>
      </c>
      <c r="M3275" t="s">
        <v>21</v>
      </c>
      <c r="N3275" t="s">
        <v>22</v>
      </c>
      <c r="O3275" t="s">
        <v>27</v>
      </c>
      <c r="P3275">
        <v>1.46</v>
      </c>
      <c r="Q3275" s="2" t="b">
        <f>FALSE()</f>
        <v>0</v>
      </c>
      <c r="R3275">
        <v>0</v>
      </c>
    </row>
    <row r="3276" spans="1:18" x14ac:dyDescent="0.25">
      <c r="A3276">
        <v>203275</v>
      </c>
      <c r="B3276">
        <v>54106</v>
      </c>
      <c r="C3276" t="s">
        <v>34</v>
      </c>
      <c r="D3276">
        <v>600.38</v>
      </c>
      <c r="E3276">
        <v>1839</v>
      </c>
      <c r="F3276">
        <v>1</v>
      </c>
      <c r="G3276">
        <v>3</v>
      </c>
      <c r="H3276">
        <v>0</v>
      </c>
      <c r="I3276" t="s">
        <v>19</v>
      </c>
      <c r="J3276">
        <v>0</v>
      </c>
      <c r="K3276">
        <v>29</v>
      </c>
      <c r="L3276" t="s">
        <v>20</v>
      </c>
      <c r="M3276" t="s">
        <v>35</v>
      </c>
      <c r="N3276" t="s">
        <v>30</v>
      </c>
      <c r="O3276" t="s">
        <v>23</v>
      </c>
      <c r="P3276">
        <v>0.72</v>
      </c>
      <c r="Q3276" s="2" t="b">
        <f>FALSE()</f>
        <v>0</v>
      </c>
      <c r="R3276">
        <v>0</v>
      </c>
    </row>
    <row r="3277" spans="1:18" x14ac:dyDescent="0.25">
      <c r="A3277">
        <v>203276</v>
      </c>
      <c r="B3277">
        <v>50004</v>
      </c>
      <c r="C3277" t="s">
        <v>34</v>
      </c>
      <c r="D3277">
        <v>2181.09</v>
      </c>
      <c r="E3277">
        <v>71</v>
      </c>
      <c r="F3277">
        <v>4</v>
      </c>
      <c r="G3277">
        <v>7</v>
      </c>
      <c r="H3277">
        <v>0</v>
      </c>
      <c r="I3277" t="s">
        <v>33</v>
      </c>
      <c r="J3277">
        <v>1</v>
      </c>
      <c r="K3277">
        <v>21</v>
      </c>
      <c r="L3277" t="s">
        <v>24</v>
      </c>
      <c r="M3277" t="s">
        <v>35</v>
      </c>
      <c r="N3277" t="s">
        <v>26</v>
      </c>
      <c r="O3277" t="s">
        <v>36</v>
      </c>
      <c r="P3277">
        <v>13.54</v>
      </c>
      <c r="Q3277" s="2" t="b">
        <f>FALSE()</f>
        <v>0</v>
      </c>
      <c r="R3277">
        <v>1</v>
      </c>
    </row>
    <row r="3278" spans="1:18" x14ac:dyDescent="0.25">
      <c r="A3278">
        <v>203277</v>
      </c>
      <c r="B3278">
        <v>54142</v>
      </c>
      <c r="C3278" t="s">
        <v>34</v>
      </c>
      <c r="D3278">
        <v>2754.54</v>
      </c>
      <c r="E3278">
        <v>1089</v>
      </c>
      <c r="F3278">
        <v>0</v>
      </c>
      <c r="G3278">
        <v>3</v>
      </c>
      <c r="H3278">
        <v>0</v>
      </c>
      <c r="I3278" t="s">
        <v>19</v>
      </c>
      <c r="J3278">
        <v>0</v>
      </c>
      <c r="K3278">
        <v>29</v>
      </c>
      <c r="L3278" t="s">
        <v>20</v>
      </c>
      <c r="M3278" t="s">
        <v>37</v>
      </c>
      <c r="N3278" t="s">
        <v>30</v>
      </c>
      <c r="O3278" t="s">
        <v>27</v>
      </c>
      <c r="P3278">
        <v>3.12</v>
      </c>
      <c r="Q3278" s="2" t="b">
        <f>FALSE()</f>
        <v>0</v>
      </c>
      <c r="R3278">
        <v>0</v>
      </c>
    </row>
    <row r="3279" spans="1:18" x14ac:dyDescent="0.25">
      <c r="A3279">
        <v>203278</v>
      </c>
      <c r="B3279">
        <v>50136</v>
      </c>
      <c r="C3279" t="s">
        <v>18</v>
      </c>
      <c r="D3279">
        <v>2211.4299999999998</v>
      </c>
      <c r="E3279">
        <v>796</v>
      </c>
      <c r="F3279">
        <v>1</v>
      </c>
      <c r="G3279">
        <v>3</v>
      </c>
      <c r="H3279">
        <v>0</v>
      </c>
      <c r="I3279" t="s">
        <v>33</v>
      </c>
      <c r="J3279">
        <v>0</v>
      </c>
      <c r="K3279">
        <v>69</v>
      </c>
      <c r="L3279" t="s">
        <v>24</v>
      </c>
      <c r="M3279" t="s">
        <v>25</v>
      </c>
      <c r="N3279" t="s">
        <v>22</v>
      </c>
      <c r="O3279" t="s">
        <v>36</v>
      </c>
      <c r="P3279">
        <v>1.37</v>
      </c>
      <c r="Q3279" s="2" t="b">
        <f>FALSE()</f>
        <v>0</v>
      </c>
      <c r="R3279">
        <v>0</v>
      </c>
    </row>
    <row r="3280" spans="1:18" x14ac:dyDescent="0.25">
      <c r="A3280">
        <v>203279</v>
      </c>
      <c r="B3280">
        <v>54614</v>
      </c>
      <c r="C3280" t="s">
        <v>18</v>
      </c>
      <c r="D3280">
        <v>3187.37</v>
      </c>
      <c r="E3280">
        <v>2169</v>
      </c>
      <c r="F3280">
        <v>1</v>
      </c>
      <c r="G3280">
        <v>2</v>
      </c>
      <c r="H3280">
        <v>1</v>
      </c>
      <c r="I3280" t="s">
        <v>19</v>
      </c>
      <c r="J3280">
        <v>0</v>
      </c>
      <c r="K3280">
        <v>74</v>
      </c>
      <c r="L3280" t="s">
        <v>20</v>
      </c>
      <c r="M3280" t="s">
        <v>31</v>
      </c>
      <c r="N3280" t="s">
        <v>30</v>
      </c>
      <c r="O3280" t="s">
        <v>23</v>
      </c>
      <c r="P3280">
        <v>2.87</v>
      </c>
      <c r="Q3280" s="2" t="b">
        <f>FALSE()</f>
        <v>0</v>
      </c>
      <c r="R3280">
        <v>0</v>
      </c>
    </row>
    <row r="3281" spans="1:18" x14ac:dyDescent="0.25">
      <c r="A3281">
        <v>203280</v>
      </c>
      <c r="B3281">
        <v>51613</v>
      </c>
      <c r="C3281" t="s">
        <v>18</v>
      </c>
      <c r="D3281">
        <v>1152.6199999999999</v>
      </c>
      <c r="E3281">
        <v>822</v>
      </c>
      <c r="F3281">
        <v>0</v>
      </c>
      <c r="G3281">
        <v>2</v>
      </c>
      <c r="H3281">
        <v>0</v>
      </c>
      <c r="I3281" t="s">
        <v>32</v>
      </c>
      <c r="J3281">
        <v>0</v>
      </c>
      <c r="K3281">
        <v>52</v>
      </c>
      <c r="L3281" t="s">
        <v>24</v>
      </c>
      <c r="M3281" t="s">
        <v>31</v>
      </c>
      <c r="N3281" t="s">
        <v>22</v>
      </c>
      <c r="O3281" t="s">
        <v>27</v>
      </c>
      <c r="P3281">
        <v>0.33</v>
      </c>
      <c r="Q3281" s="2" t="b">
        <f>FALSE()</f>
        <v>0</v>
      </c>
      <c r="R3281">
        <v>0</v>
      </c>
    </row>
    <row r="3282" spans="1:18" x14ac:dyDescent="0.25">
      <c r="A3282">
        <v>203281</v>
      </c>
      <c r="B3282">
        <v>51496</v>
      </c>
      <c r="C3282" t="s">
        <v>34</v>
      </c>
      <c r="D3282">
        <v>2004.23</v>
      </c>
      <c r="E3282">
        <v>1097</v>
      </c>
      <c r="F3282">
        <v>1</v>
      </c>
      <c r="G3282">
        <v>3</v>
      </c>
      <c r="H3282">
        <v>0</v>
      </c>
      <c r="I3282" t="s">
        <v>33</v>
      </c>
      <c r="J3282">
        <v>0</v>
      </c>
      <c r="K3282">
        <v>18</v>
      </c>
      <c r="L3282" t="s">
        <v>24</v>
      </c>
      <c r="M3282" t="s">
        <v>25</v>
      </c>
      <c r="N3282" t="s">
        <v>26</v>
      </c>
      <c r="O3282" t="s">
        <v>27</v>
      </c>
      <c r="P3282">
        <v>1.84</v>
      </c>
      <c r="Q3282" s="2" t="b">
        <f>FALSE()</f>
        <v>0</v>
      </c>
      <c r="R3282">
        <v>0</v>
      </c>
    </row>
    <row r="3283" spans="1:18" x14ac:dyDescent="0.25">
      <c r="A3283">
        <v>203282</v>
      </c>
      <c r="B3283">
        <v>51581</v>
      </c>
      <c r="C3283" t="s">
        <v>18</v>
      </c>
      <c r="D3283">
        <v>2755.58</v>
      </c>
      <c r="E3283">
        <v>3017</v>
      </c>
      <c r="F3283">
        <v>0</v>
      </c>
      <c r="G3283">
        <v>1</v>
      </c>
      <c r="H3283">
        <v>0</v>
      </c>
      <c r="I3283" t="s">
        <v>19</v>
      </c>
      <c r="J3283">
        <v>0</v>
      </c>
      <c r="K3283">
        <v>21</v>
      </c>
      <c r="L3283" t="s">
        <v>24</v>
      </c>
      <c r="M3283" t="s">
        <v>35</v>
      </c>
      <c r="N3283" t="s">
        <v>30</v>
      </c>
      <c r="O3283" t="s">
        <v>36</v>
      </c>
      <c r="P3283">
        <v>0.52</v>
      </c>
      <c r="Q3283" s="2" t="b">
        <f>FALSE()</f>
        <v>0</v>
      </c>
      <c r="R3283">
        <v>0</v>
      </c>
    </row>
    <row r="3284" spans="1:18" x14ac:dyDescent="0.25">
      <c r="A3284">
        <v>203283</v>
      </c>
      <c r="B3284">
        <v>51019</v>
      </c>
      <c r="C3284" t="s">
        <v>28</v>
      </c>
      <c r="D3284">
        <v>1116.92</v>
      </c>
      <c r="E3284">
        <v>1467</v>
      </c>
      <c r="F3284">
        <v>3</v>
      </c>
      <c r="G3284">
        <v>5</v>
      </c>
      <c r="H3284">
        <v>0</v>
      </c>
      <c r="I3284" t="s">
        <v>33</v>
      </c>
      <c r="J3284">
        <v>0</v>
      </c>
      <c r="K3284">
        <v>75</v>
      </c>
      <c r="L3284" t="s">
        <v>24</v>
      </c>
      <c r="M3284" t="s">
        <v>31</v>
      </c>
      <c r="N3284" t="s">
        <v>22</v>
      </c>
      <c r="O3284" t="s">
        <v>27</v>
      </c>
      <c r="P3284">
        <v>2.85</v>
      </c>
      <c r="Q3284" s="2" t="b">
        <f>FALSE()</f>
        <v>0</v>
      </c>
      <c r="R3284">
        <v>1</v>
      </c>
    </row>
    <row r="3285" spans="1:18" x14ac:dyDescent="0.25">
      <c r="A3285">
        <v>203284</v>
      </c>
      <c r="B3285">
        <v>52048</v>
      </c>
      <c r="C3285" t="s">
        <v>18</v>
      </c>
      <c r="D3285">
        <v>1783.61</v>
      </c>
      <c r="E3285">
        <v>2811</v>
      </c>
      <c r="F3285">
        <v>1</v>
      </c>
      <c r="G3285">
        <v>3</v>
      </c>
      <c r="H3285">
        <v>0</v>
      </c>
      <c r="I3285" t="s">
        <v>32</v>
      </c>
      <c r="J3285">
        <v>0</v>
      </c>
      <c r="K3285">
        <v>62</v>
      </c>
      <c r="L3285" t="s">
        <v>20</v>
      </c>
      <c r="M3285" t="s">
        <v>31</v>
      </c>
      <c r="N3285" t="s">
        <v>26</v>
      </c>
      <c r="O3285" t="s">
        <v>23</v>
      </c>
      <c r="P3285">
        <v>0.12</v>
      </c>
      <c r="Q3285" s="2" t="b">
        <f>FALSE()</f>
        <v>0</v>
      </c>
      <c r="R3285">
        <v>0</v>
      </c>
    </row>
    <row r="3286" spans="1:18" x14ac:dyDescent="0.25">
      <c r="A3286">
        <v>203285</v>
      </c>
      <c r="B3286">
        <v>54408</v>
      </c>
      <c r="C3286" t="s">
        <v>34</v>
      </c>
      <c r="D3286">
        <v>1412.43</v>
      </c>
      <c r="E3286">
        <v>1077</v>
      </c>
      <c r="F3286">
        <v>1</v>
      </c>
      <c r="G3286">
        <v>2</v>
      </c>
      <c r="H3286">
        <v>0</v>
      </c>
      <c r="I3286" t="s">
        <v>33</v>
      </c>
      <c r="J3286">
        <v>0</v>
      </c>
      <c r="K3286">
        <v>40</v>
      </c>
      <c r="L3286" t="s">
        <v>24</v>
      </c>
      <c r="M3286" t="s">
        <v>21</v>
      </c>
      <c r="N3286" t="s">
        <v>22</v>
      </c>
      <c r="O3286" t="s">
        <v>27</v>
      </c>
      <c r="P3286">
        <v>1.76</v>
      </c>
      <c r="Q3286" s="2" t="b">
        <f>FALSE()</f>
        <v>0</v>
      </c>
      <c r="R3286">
        <v>0</v>
      </c>
    </row>
    <row r="3287" spans="1:18" x14ac:dyDescent="0.25">
      <c r="A3287">
        <v>203286</v>
      </c>
      <c r="B3287">
        <v>52430</v>
      </c>
      <c r="C3287" t="s">
        <v>18</v>
      </c>
      <c r="D3287">
        <v>8526.86</v>
      </c>
      <c r="E3287">
        <v>1818</v>
      </c>
      <c r="F3287">
        <v>0</v>
      </c>
      <c r="G3287">
        <v>6</v>
      </c>
      <c r="H3287">
        <v>1</v>
      </c>
      <c r="I3287" t="s">
        <v>33</v>
      </c>
      <c r="J3287">
        <v>0</v>
      </c>
      <c r="K3287">
        <v>44</v>
      </c>
      <c r="L3287" t="s">
        <v>20</v>
      </c>
      <c r="M3287" t="s">
        <v>37</v>
      </c>
      <c r="N3287" t="s">
        <v>30</v>
      </c>
      <c r="O3287" t="s">
        <v>36</v>
      </c>
      <c r="P3287">
        <v>1.45</v>
      </c>
      <c r="Q3287" s="2" t="b">
        <f>TRUE()</f>
        <v>1</v>
      </c>
      <c r="R3287">
        <v>1</v>
      </c>
    </row>
    <row r="3288" spans="1:18" x14ac:dyDescent="0.25">
      <c r="A3288">
        <v>203287</v>
      </c>
      <c r="B3288">
        <v>50467</v>
      </c>
      <c r="C3288" t="s">
        <v>34</v>
      </c>
      <c r="D3288">
        <v>2009.63</v>
      </c>
      <c r="E3288">
        <v>452</v>
      </c>
      <c r="F3288">
        <v>0</v>
      </c>
      <c r="G3288">
        <v>3</v>
      </c>
      <c r="H3288">
        <v>0</v>
      </c>
      <c r="I3288" t="s">
        <v>33</v>
      </c>
      <c r="J3288">
        <v>0</v>
      </c>
      <c r="K3288">
        <v>68</v>
      </c>
      <c r="L3288" t="s">
        <v>20</v>
      </c>
      <c r="M3288" t="s">
        <v>31</v>
      </c>
      <c r="N3288" t="s">
        <v>30</v>
      </c>
      <c r="O3288" t="s">
        <v>23</v>
      </c>
      <c r="P3288">
        <v>7.61</v>
      </c>
      <c r="Q3288" s="2" t="b">
        <f>FALSE()</f>
        <v>0</v>
      </c>
      <c r="R3288">
        <v>0</v>
      </c>
    </row>
    <row r="3289" spans="1:18" x14ac:dyDescent="0.25">
      <c r="A3289">
        <v>203288</v>
      </c>
      <c r="B3289">
        <v>50761</v>
      </c>
      <c r="C3289" t="s">
        <v>18</v>
      </c>
      <c r="D3289">
        <v>1187.19</v>
      </c>
      <c r="E3289">
        <v>2553</v>
      </c>
      <c r="F3289">
        <v>1</v>
      </c>
      <c r="G3289">
        <v>9</v>
      </c>
      <c r="H3289">
        <v>0</v>
      </c>
      <c r="I3289" t="s">
        <v>19</v>
      </c>
      <c r="J3289">
        <v>0</v>
      </c>
      <c r="K3289">
        <v>41</v>
      </c>
      <c r="L3289" t="s">
        <v>20</v>
      </c>
      <c r="M3289" t="s">
        <v>31</v>
      </c>
      <c r="N3289" t="s">
        <v>30</v>
      </c>
      <c r="O3289" t="s">
        <v>27</v>
      </c>
      <c r="P3289">
        <v>2.04</v>
      </c>
      <c r="Q3289" s="2" t="b">
        <f>FALSE()</f>
        <v>0</v>
      </c>
      <c r="R3289">
        <v>1</v>
      </c>
    </row>
    <row r="3290" spans="1:18" x14ac:dyDescent="0.25">
      <c r="A3290">
        <v>203289</v>
      </c>
      <c r="B3290">
        <v>55365</v>
      </c>
      <c r="C3290" t="s">
        <v>18</v>
      </c>
      <c r="D3290">
        <v>1556.48</v>
      </c>
      <c r="E3290">
        <v>1056</v>
      </c>
      <c r="F3290">
        <v>2</v>
      </c>
      <c r="G3290">
        <v>8</v>
      </c>
      <c r="H3290">
        <v>0</v>
      </c>
      <c r="I3290" t="s">
        <v>32</v>
      </c>
      <c r="J3290">
        <v>0</v>
      </c>
      <c r="K3290">
        <v>24</v>
      </c>
      <c r="L3290" t="s">
        <v>24</v>
      </c>
      <c r="M3290" t="s">
        <v>31</v>
      </c>
      <c r="N3290" t="s">
        <v>22</v>
      </c>
      <c r="O3290" t="s">
        <v>23</v>
      </c>
      <c r="P3290">
        <v>2.14</v>
      </c>
      <c r="Q3290" s="2" t="b">
        <f>FALSE()</f>
        <v>0</v>
      </c>
      <c r="R3290">
        <v>1</v>
      </c>
    </row>
    <row r="3291" spans="1:18" x14ac:dyDescent="0.25">
      <c r="A3291">
        <v>203290</v>
      </c>
      <c r="B3291">
        <v>50149</v>
      </c>
      <c r="C3291" t="s">
        <v>18</v>
      </c>
      <c r="D3291">
        <v>1937.78</v>
      </c>
      <c r="E3291">
        <v>826</v>
      </c>
      <c r="F3291">
        <v>0</v>
      </c>
      <c r="G3291">
        <v>5</v>
      </c>
      <c r="H3291">
        <v>0</v>
      </c>
      <c r="I3291" t="s">
        <v>32</v>
      </c>
      <c r="J3291">
        <v>0</v>
      </c>
      <c r="K3291">
        <v>56</v>
      </c>
      <c r="L3291" t="s">
        <v>24</v>
      </c>
      <c r="M3291" t="s">
        <v>29</v>
      </c>
      <c r="N3291" t="s">
        <v>26</v>
      </c>
      <c r="O3291" t="s">
        <v>36</v>
      </c>
      <c r="P3291">
        <v>1.1599999999999999</v>
      </c>
      <c r="Q3291" s="2" t="b">
        <f>FALSE()</f>
        <v>0</v>
      </c>
      <c r="R3291">
        <v>0</v>
      </c>
    </row>
    <row r="3292" spans="1:18" x14ac:dyDescent="0.25">
      <c r="A3292">
        <v>203291</v>
      </c>
      <c r="B3292">
        <v>51823</v>
      </c>
      <c r="C3292" t="s">
        <v>34</v>
      </c>
      <c r="D3292">
        <v>1351.07</v>
      </c>
      <c r="E3292">
        <v>2288</v>
      </c>
      <c r="F3292">
        <v>0</v>
      </c>
      <c r="G3292">
        <v>2</v>
      </c>
      <c r="H3292">
        <v>0</v>
      </c>
      <c r="I3292" t="s">
        <v>33</v>
      </c>
      <c r="J3292">
        <v>0</v>
      </c>
      <c r="K3292">
        <v>34</v>
      </c>
      <c r="L3292" t="s">
        <v>20</v>
      </c>
      <c r="M3292" t="s">
        <v>31</v>
      </c>
      <c r="N3292" t="s">
        <v>22</v>
      </c>
      <c r="O3292" t="s">
        <v>36</v>
      </c>
      <c r="P3292">
        <v>0.78</v>
      </c>
      <c r="Q3292" s="2" t="b">
        <f>FALSE()</f>
        <v>0</v>
      </c>
      <c r="R3292">
        <v>0</v>
      </c>
    </row>
    <row r="3293" spans="1:18" x14ac:dyDescent="0.25">
      <c r="A3293">
        <v>203292</v>
      </c>
      <c r="B3293">
        <v>52848</v>
      </c>
      <c r="C3293" t="s">
        <v>18</v>
      </c>
      <c r="D3293">
        <v>1131.49</v>
      </c>
      <c r="E3293">
        <v>1340</v>
      </c>
      <c r="F3293">
        <v>1</v>
      </c>
      <c r="G3293">
        <v>4</v>
      </c>
      <c r="H3293">
        <v>1</v>
      </c>
      <c r="I3293" t="s">
        <v>33</v>
      </c>
      <c r="J3293">
        <v>1</v>
      </c>
      <c r="K3293">
        <v>46</v>
      </c>
      <c r="L3293" t="s">
        <v>20</v>
      </c>
      <c r="M3293" t="s">
        <v>31</v>
      </c>
      <c r="N3293" t="s">
        <v>22</v>
      </c>
      <c r="O3293" t="s">
        <v>27</v>
      </c>
      <c r="P3293">
        <v>5.35</v>
      </c>
      <c r="Q3293" s="2" t="b">
        <f>FALSE()</f>
        <v>0</v>
      </c>
      <c r="R3293">
        <v>0</v>
      </c>
    </row>
    <row r="3294" spans="1:18" x14ac:dyDescent="0.25">
      <c r="A3294">
        <v>203293</v>
      </c>
      <c r="B3294">
        <v>50595</v>
      </c>
      <c r="C3294" t="s">
        <v>28</v>
      </c>
      <c r="D3294">
        <v>904.99</v>
      </c>
      <c r="E3294">
        <v>1918</v>
      </c>
      <c r="F3294">
        <v>1</v>
      </c>
      <c r="G3294">
        <v>2</v>
      </c>
      <c r="H3294">
        <v>0</v>
      </c>
      <c r="I3294" t="s">
        <v>19</v>
      </c>
      <c r="J3294">
        <v>0</v>
      </c>
      <c r="K3294">
        <v>25</v>
      </c>
      <c r="L3294" t="s">
        <v>24</v>
      </c>
      <c r="M3294" t="s">
        <v>25</v>
      </c>
      <c r="N3294" t="s">
        <v>22</v>
      </c>
      <c r="O3294" t="s">
        <v>27</v>
      </c>
      <c r="P3294">
        <v>3.64</v>
      </c>
      <c r="Q3294" s="2" t="b">
        <f>FALSE()</f>
        <v>0</v>
      </c>
      <c r="R3294">
        <v>0</v>
      </c>
    </row>
    <row r="3295" spans="1:18" x14ac:dyDescent="0.25">
      <c r="A3295">
        <v>203294</v>
      </c>
      <c r="B3295">
        <v>50907</v>
      </c>
      <c r="C3295" t="s">
        <v>34</v>
      </c>
      <c r="D3295">
        <v>3379.73</v>
      </c>
      <c r="E3295">
        <v>1638</v>
      </c>
      <c r="F3295">
        <v>0</v>
      </c>
      <c r="G3295">
        <v>6</v>
      </c>
      <c r="H3295">
        <v>0</v>
      </c>
      <c r="I3295" t="s">
        <v>33</v>
      </c>
      <c r="J3295">
        <v>0</v>
      </c>
      <c r="K3295">
        <v>35</v>
      </c>
      <c r="L3295" t="s">
        <v>24</v>
      </c>
      <c r="M3295" t="s">
        <v>37</v>
      </c>
      <c r="N3295" t="s">
        <v>26</v>
      </c>
      <c r="O3295" t="s">
        <v>27</v>
      </c>
      <c r="P3295">
        <v>4.8499999999999996</v>
      </c>
      <c r="Q3295" s="2" t="b">
        <f>FALSE()</f>
        <v>0</v>
      </c>
      <c r="R3295">
        <v>0</v>
      </c>
    </row>
    <row r="3296" spans="1:18" x14ac:dyDescent="0.25">
      <c r="A3296">
        <v>203295</v>
      </c>
      <c r="B3296">
        <v>53745</v>
      </c>
      <c r="C3296" t="s">
        <v>18</v>
      </c>
      <c r="D3296">
        <v>2860.95</v>
      </c>
      <c r="E3296">
        <v>1936</v>
      </c>
      <c r="F3296">
        <v>0</v>
      </c>
      <c r="G3296">
        <v>4</v>
      </c>
      <c r="H3296">
        <v>0</v>
      </c>
      <c r="I3296" t="s">
        <v>32</v>
      </c>
      <c r="J3296">
        <v>1</v>
      </c>
      <c r="K3296">
        <v>22</v>
      </c>
      <c r="L3296" t="s">
        <v>20</v>
      </c>
      <c r="M3296" t="s">
        <v>21</v>
      </c>
      <c r="N3296" t="s">
        <v>30</v>
      </c>
      <c r="O3296" t="s">
        <v>36</v>
      </c>
      <c r="P3296">
        <v>9.11</v>
      </c>
      <c r="Q3296" s="2" t="b">
        <f>FALSE()</f>
        <v>0</v>
      </c>
      <c r="R3296">
        <v>0</v>
      </c>
    </row>
    <row r="3297" spans="1:18" x14ac:dyDescent="0.25">
      <c r="A3297">
        <v>203296</v>
      </c>
      <c r="B3297">
        <v>50349</v>
      </c>
      <c r="C3297" t="s">
        <v>28</v>
      </c>
      <c r="D3297">
        <v>2297.29</v>
      </c>
      <c r="E3297">
        <v>1719</v>
      </c>
      <c r="F3297">
        <v>0</v>
      </c>
      <c r="G3297">
        <v>7</v>
      </c>
      <c r="H3297">
        <v>0</v>
      </c>
      <c r="I3297" t="s">
        <v>33</v>
      </c>
      <c r="J3297">
        <v>1</v>
      </c>
      <c r="K3297">
        <v>27</v>
      </c>
      <c r="L3297" t="s">
        <v>24</v>
      </c>
      <c r="M3297" t="s">
        <v>25</v>
      </c>
      <c r="N3297" t="s">
        <v>30</v>
      </c>
      <c r="O3297" t="s">
        <v>23</v>
      </c>
      <c r="P3297">
        <v>5.31</v>
      </c>
      <c r="Q3297" s="2" t="b">
        <f>FALSE()</f>
        <v>0</v>
      </c>
      <c r="R3297">
        <v>1</v>
      </c>
    </row>
    <row r="3298" spans="1:18" x14ac:dyDescent="0.25">
      <c r="A3298">
        <v>203297</v>
      </c>
      <c r="B3298">
        <v>51514</v>
      </c>
      <c r="C3298" t="s">
        <v>34</v>
      </c>
      <c r="D3298">
        <v>5299.36</v>
      </c>
      <c r="E3298">
        <v>662</v>
      </c>
      <c r="F3298">
        <v>3</v>
      </c>
      <c r="G3298">
        <v>4</v>
      </c>
      <c r="H3298">
        <v>0</v>
      </c>
      <c r="I3298" t="s">
        <v>33</v>
      </c>
      <c r="J3298">
        <v>0</v>
      </c>
      <c r="K3298">
        <v>44</v>
      </c>
      <c r="L3298" t="s">
        <v>20</v>
      </c>
      <c r="M3298" t="s">
        <v>37</v>
      </c>
      <c r="N3298" t="s">
        <v>22</v>
      </c>
      <c r="O3298" t="s">
        <v>23</v>
      </c>
      <c r="P3298">
        <v>0.65</v>
      </c>
      <c r="Q3298" s="2" t="b">
        <f>FALSE()</f>
        <v>0</v>
      </c>
      <c r="R3298">
        <v>1</v>
      </c>
    </row>
    <row r="3299" spans="1:18" x14ac:dyDescent="0.25">
      <c r="A3299">
        <v>203298</v>
      </c>
      <c r="B3299">
        <v>55161</v>
      </c>
      <c r="C3299" t="s">
        <v>34</v>
      </c>
      <c r="D3299">
        <v>2481.44</v>
      </c>
      <c r="E3299">
        <v>1134</v>
      </c>
      <c r="F3299">
        <v>0</v>
      </c>
      <c r="G3299">
        <v>2</v>
      </c>
      <c r="H3299">
        <v>0</v>
      </c>
      <c r="I3299" t="s">
        <v>32</v>
      </c>
      <c r="J3299">
        <v>0</v>
      </c>
      <c r="K3299">
        <v>49</v>
      </c>
      <c r="L3299" t="s">
        <v>24</v>
      </c>
      <c r="M3299" t="s">
        <v>35</v>
      </c>
      <c r="N3299" t="s">
        <v>30</v>
      </c>
      <c r="O3299" t="s">
        <v>27</v>
      </c>
      <c r="P3299">
        <v>0.51</v>
      </c>
      <c r="Q3299" s="2" t="b">
        <f>FALSE()</f>
        <v>0</v>
      </c>
      <c r="R3299">
        <v>0</v>
      </c>
    </row>
    <row r="3300" spans="1:18" x14ac:dyDescent="0.25">
      <c r="A3300">
        <v>203299</v>
      </c>
      <c r="B3300">
        <v>53610</v>
      </c>
      <c r="C3300" t="s">
        <v>18</v>
      </c>
      <c r="D3300">
        <v>3191.11</v>
      </c>
      <c r="E3300">
        <v>2731</v>
      </c>
      <c r="F3300">
        <v>0</v>
      </c>
      <c r="G3300">
        <v>3</v>
      </c>
      <c r="H3300">
        <v>1</v>
      </c>
      <c r="I3300" t="s">
        <v>33</v>
      </c>
      <c r="J3300">
        <v>0</v>
      </c>
      <c r="K3300">
        <v>44</v>
      </c>
      <c r="L3300" t="s">
        <v>20</v>
      </c>
      <c r="M3300" t="s">
        <v>31</v>
      </c>
      <c r="N3300" t="s">
        <v>26</v>
      </c>
      <c r="O3300" t="s">
        <v>27</v>
      </c>
      <c r="P3300">
        <v>0.4</v>
      </c>
      <c r="Q3300" s="2" t="b">
        <f>FALSE()</f>
        <v>0</v>
      </c>
      <c r="R3300">
        <v>0</v>
      </c>
    </row>
    <row r="3301" spans="1:18" x14ac:dyDescent="0.25">
      <c r="A3301">
        <v>203300</v>
      </c>
      <c r="B3301">
        <v>51716</v>
      </c>
      <c r="C3301" t="s">
        <v>34</v>
      </c>
      <c r="D3301">
        <v>3612.46</v>
      </c>
      <c r="E3301">
        <v>652</v>
      </c>
      <c r="F3301">
        <v>3</v>
      </c>
      <c r="G3301">
        <v>4</v>
      </c>
      <c r="H3301">
        <v>0</v>
      </c>
      <c r="I3301" t="s">
        <v>32</v>
      </c>
      <c r="J3301">
        <v>0</v>
      </c>
      <c r="K3301">
        <v>69</v>
      </c>
      <c r="L3301" t="s">
        <v>24</v>
      </c>
      <c r="M3301" t="s">
        <v>29</v>
      </c>
      <c r="N3301" t="s">
        <v>30</v>
      </c>
      <c r="O3301" t="s">
        <v>23</v>
      </c>
      <c r="P3301">
        <v>6.27</v>
      </c>
      <c r="Q3301" s="2" t="b">
        <f>FALSE()</f>
        <v>0</v>
      </c>
      <c r="R3301">
        <v>1</v>
      </c>
    </row>
    <row r="3302" spans="1:18" x14ac:dyDescent="0.25">
      <c r="A3302">
        <v>203301</v>
      </c>
      <c r="B3302">
        <v>55360</v>
      </c>
      <c r="C3302" t="s">
        <v>18</v>
      </c>
      <c r="D3302">
        <v>1385.48</v>
      </c>
      <c r="E3302">
        <v>3255</v>
      </c>
      <c r="F3302">
        <v>0</v>
      </c>
      <c r="G3302">
        <v>5</v>
      </c>
      <c r="H3302">
        <v>0</v>
      </c>
      <c r="I3302" t="s">
        <v>32</v>
      </c>
      <c r="J3302">
        <v>1</v>
      </c>
      <c r="K3302">
        <v>78</v>
      </c>
      <c r="L3302" t="s">
        <v>20</v>
      </c>
      <c r="M3302" t="s">
        <v>35</v>
      </c>
      <c r="N3302" t="s">
        <v>26</v>
      </c>
      <c r="O3302" t="s">
        <v>27</v>
      </c>
      <c r="P3302">
        <v>10.19</v>
      </c>
      <c r="Q3302" s="2" t="b">
        <f>FALSE()</f>
        <v>0</v>
      </c>
      <c r="R3302">
        <v>0</v>
      </c>
    </row>
    <row r="3303" spans="1:18" x14ac:dyDescent="0.25">
      <c r="A3303">
        <v>203302</v>
      </c>
      <c r="B3303">
        <v>52202</v>
      </c>
      <c r="C3303" t="s">
        <v>18</v>
      </c>
      <c r="D3303">
        <v>5027.0200000000004</v>
      </c>
      <c r="E3303">
        <v>3345</v>
      </c>
      <c r="F3303">
        <v>2</v>
      </c>
      <c r="G3303">
        <v>3</v>
      </c>
      <c r="H3303">
        <v>0</v>
      </c>
      <c r="I3303" t="s">
        <v>33</v>
      </c>
      <c r="J3303">
        <v>0</v>
      </c>
      <c r="K3303">
        <v>44</v>
      </c>
      <c r="L3303" t="s">
        <v>20</v>
      </c>
      <c r="M3303" t="s">
        <v>21</v>
      </c>
      <c r="N3303" t="s">
        <v>22</v>
      </c>
      <c r="O3303" t="s">
        <v>27</v>
      </c>
      <c r="P3303">
        <v>0.05</v>
      </c>
      <c r="Q3303" s="2" t="b">
        <f>FALSE()</f>
        <v>0</v>
      </c>
      <c r="R3303">
        <v>1</v>
      </c>
    </row>
    <row r="3304" spans="1:18" x14ac:dyDescent="0.25">
      <c r="A3304">
        <v>203303</v>
      </c>
      <c r="B3304">
        <v>51828</v>
      </c>
      <c r="C3304" t="s">
        <v>34</v>
      </c>
      <c r="D3304">
        <v>1640.47</v>
      </c>
      <c r="E3304">
        <v>1436</v>
      </c>
      <c r="F3304">
        <v>1</v>
      </c>
      <c r="G3304">
        <v>7</v>
      </c>
      <c r="H3304">
        <v>0</v>
      </c>
      <c r="I3304" t="s">
        <v>32</v>
      </c>
      <c r="J3304">
        <v>0</v>
      </c>
      <c r="K3304">
        <v>32</v>
      </c>
      <c r="L3304" t="s">
        <v>24</v>
      </c>
      <c r="M3304" t="s">
        <v>25</v>
      </c>
      <c r="N3304" t="s">
        <v>22</v>
      </c>
      <c r="O3304" t="s">
        <v>23</v>
      </c>
      <c r="P3304">
        <v>6.63</v>
      </c>
      <c r="Q3304" s="2" t="b">
        <f>FALSE()</f>
        <v>0</v>
      </c>
      <c r="R3304">
        <v>1</v>
      </c>
    </row>
    <row r="3305" spans="1:18" x14ac:dyDescent="0.25">
      <c r="A3305">
        <v>203304</v>
      </c>
      <c r="B3305">
        <v>51182</v>
      </c>
      <c r="C3305" t="s">
        <v>18</v>
      </c>
      <c r="D3305">
        <v>1915.68</v>
      </c>
      <c r="E3305">
        <v>791</v>
      </c>
      <c r="F3305">
        <v>1</v>
      </c>
      <c r="G3305">
        <v>2</v>
      </c>
      <c r="H3305">
        <v>0</v>
      </c>
      <c r="I3305" t="s">
        <v>19</v>
      </c>
      <c r="J3305">
        <v>0</v>
      </c>
      <c r="K3305">
        <v>73</v>
      </c>
      <c r="L3305" t="s">
        <v>20</v>
      </c>
      <c r="M3305" t="s">
        <v>31</v>
      </c>
      <c r="N3305" t="s">
        <v>30</v>
      </c>
      <c r="O3305" t="s">
        <v>36</v>
      </c>
      <c r="P3305">
        <v>0.47</v>
      </c>
      <c r="Q3305" s="2" t="b">
        <f>FALSE()</f>
        <v>0</v>
      </c>
      <c r="R3305">
        <v>0</v>
      </c>
    </row>
    <row r="3306" spans="1:18" x14ac:dyDescent="0.25">
      <c r="A3306">
        <v>203305</v>
      </c>
      <c r="B3306">
        <v>51756</v>
      </c>
      <c r="C3306" t="s">
        <v>18</v>
      </c>
      <c r="D3306">
        <v>397.97</v>
      </c>
      <c r="E3306">
        <v>2189</v>
      </c>
      <c r="F3306">
        <v>0</v>
      </c>
      <c r="G3306">
        <v>1</v>
      </c>
      <c r="H3306">
        <v>0</v>
      </c>
      <c r="I3306" t="s">
        <v>33</v>
      </c>
      <c r="J3306">
        <v>0</v>
      </c>
      <c r="K3306">
        <v>67</v>
      </c>
      <c r="L3306" t="s">
        <v>24</v>
      </c>
      <c r="M3306" t="s">
        <v>31</v>
      </c>
      <c r="N3306" t="s">
        <v>26</v>
      </c>
      <c r="O3306" t="s">
        <v>36</v>
      </c>
      <c r="P3306">
        <v>12.49</v>
      </c>
      <c r="Q3306" s="2" t="b">
        <f>FALSE()</f>
        <v>0</v>
      </c>
      <c r="R3306">
        <v>0</v>
      </c>
    </row>
    <row r="3307" spans="1:18" x14ac:dyDescent="0.25">
      <c r="A3307">
        <v>203306</v>
      </c>
      <c r="B3307">
        <v>54861</v>
      </c>
      <c r="C3307" t="s">
        <v>34</v>
      </c>
      <c r="D3307">
        <v>718.01</v>
      </c>
      <c r="E3307">
        <v>1320</v>
      </c>
      <c r="F3307">
        <v>1</v>
      </c>
      <c r="G3307">
        <v>5</v>
      </c>
      <c r="H3307">
        <v>0</v>
      </c>
      <c r="I3307" t="s">
        <v>19</v>
      </c>
      <c r="J3307">
        <v>0</v>
      </c>
      <c r="K3307">
        <v>56</v>
      </c>
      <c r="L3307" t="s">
        <v>24</v>
      </c>
      <c r="M3307" t="s">
        <v>21</v>
      </c>
      <c r="N3307" t="s">
        <v>22</v>
      </c>
      <c r="O3307" t="s">
        <v>36</v>
      </c>
      <c r="P3307">
        <v>1.44</v>
      </c>
      <c r="Q3307" s="2" t="b">
        <f>FALSE()</f>
        <v>0</v>
      </c>
      <c r="R3307">
        <v>0</v>
      </c>
    </row>
    <row r="3308" spans="1:18" x14ac:dyDescent="0.25">
      <c r="A3308">
        <v>203307</v>
      </c>
      <c r="B3308">
        <v>51782</v>
      </c>
      <c r="C3308" t="s">
        <v>18</v>
      </c>
      <c r="D3308">
        <v>2173.06</v>
      </c>
      <c r="E3308">
        <v>1203</v>
      </c>
      <c r="F3308">
        <v>0</v>
      </c>
      <c r="G3308">
        <v>6</v>
      </c>
      <c r="H3308">
        <v>1</v>
      </c>
      <c r="I3308" t="s">
        <v>33</v>
      </c>
      <c r="J3308">
        <v>0</v>
      </c>
      <c r="K3308">
        <v>73</v>
      </c>
      <c r="L3308" t="s">
        <v>24</v>
      </c>
      <c r="M3308" t="s">
        <v>21</v>
      </c>
      <c r="N3308" t="s">
        <v>22</v>
      </c>
      <c r="O3308" t="s">
        <v>36</v>
      </c>
      <c r="P3308">
        <v>7.53</v>
      </c>
      <c r="Q3308" s="2" t="b">
        <f>FALSE()</f>
        <v>0</v>
      </c>
      <c r="R3308">
        <v>0</v>
      </c>
    </row>
    <row r="3309" spans="1:18" x14ac:dyDescent="0.25">
      <c r="A3309">
        <v>203308</v>
      </c>
      <c r="B3309">
        <v>53234</v>
      </c>
      <c r="C3309" t="s">
        <v>28</v>
      </c>
      <c r="D3309">
        <v>1571.51</v>
      </c>
      <c r="E3309">
        <v>655</v>
      </c>
      <c r="F3309">
        <v>0</v>
      </c>
      <c r="G3309">
        <v>4</v>
      </c>
      <c r="H3309">
        <v>0</v>
      </c>
      <c r="I3309" t="s">
        <v>32</v>
      </c>
      <c r="J3309">
        <v>0</v>
      </c>
      <c r="K3309">
        <v>80</v>
      </c>
      <c r="L3309" t="s">
        <v>20</v>
      </c>
      <c r="M3309" t="s">
        <v>29</v>
      </c>
      <c r="N3309" t="s">
        <v>30</v>
      </c>
      <c r="O3309" t="s">
        <v>27</v>
      </c>
      <c r="P3309">
        <v>1.45</v>
      </c>
      <c r="Q3309" s="2" t="b">
        <f>FALSE()</f>
        <v>0</v>
      </c>
      <c r="R3309">
        <v>0</v>
      </c>
    </row>
    <row r="3310" spans="1:18" x14ac:dyDescent="0.25">
      <c r="A3310">
        <v>203309</v>
      </c>
      <c r="B3310">
        <v>51032</v>
      </c>
      <c r="C3310" t="s">
        <v>28</v>
      </c>
      <c r="D3310">
        <v>1634.34</v>
      </c>
      <c r="E3310">
        <v>2108</v>
      </c>
      <c r="F3310">
        <v>1</v>
      </c>
      <c r="G3310">
        <v>5</v>
      </c>
      <c r="H3310">
        <v>1</v>
      </c>
      <c r="I3310" t="s">
        <v>19</v>
      </c>
      <c r="J3310">
        <v>0</v>
      </c>
      <c r="K3310">
        <v>23</v>
      </c>
      <c r="L3310" t="s">
        <v>20</v>
      </c>
      <c r="M3310" t="s">
        <v>31</v>
      </c>
      <c r="N3310" t="s">
        <v>22</v>
      </c>
      <c r="O3310" t="s">
        <v>27</v>
      </c>
      <c r="P3310">
        <v>0.25</v>
      </c>
      <c r="Q3310" s="2" t="b">
        <f>FALSE()</f>
        <v>0</v>
      </c>
      <c r="R3310">
        <v>0</v>
      </c>
    </row>
    <row r="3311" spans="1:18" x14ac:dyDescent="0.25">
      <c r="A3311">
        <v>203310</v>
      </c>
      <c r="B3311">
        <v>54977</v>
      </c>
      <c r="C3311" t="s">
        <v>28</v>
      </c>
      <c r="D3311">
        <v>6567.98</v>
      </c>
      <c r="E3311">
        <v>240</v>
      </c>
      <c r="F3311">
        <v>1</v>
      </c>
      <c r="G3311">
        <v>7</v>
      </c>
      <c r="H3311">
        <v>0</v>
      </c>
      <c r="I3311" t="s">
        <v>19</v>
      </c>
      <c r="J3311">
        <v>0</v>
      </c>
      <c r="K3311">
        <v>72</v>
      </c>
      <c r="L3311" t="s">
        <v>24</v>
      </c>
      <c r="M3311" t="s">
        <v>31</v>
      </c>
      <c r="N3311" t="s">
        <v>26</v>
      </c>
      <c r="O3311" t="s">
        <v>27</v>
      </c>
      <c r="P3311">
        <v>2.78</v>
      </c>
      <c r="Q3311" s="2" t="b">
        <f>FALSE()</f>
        <v>0</v>
      </c>
      <c r="R3311">
        <v>1</v>
      </c>
    </row>
    <row r="3312" spans="1:18" x14ac:dyDescent="0.25">
      <c r="A3312">
        <v>203311</v>
      </c>
      <c r="B3312">
        <v>52556</v>
      </c>
      <c r="C3312" t="s">
        <v>18</v>
      </c>
      <c r="D3312">
        <v>1535.89</v>
      </c>
      <c r="E3312">
        <v>2400</v>
      </c>
      <c r="F3312">
        <v>0</v>
      </c>
      <c r="G3312">
        <v>1</v>
      </c>
      <c r="H3312">
        <v>1</v>
      </c>
      <c r="I3312" t="s">
        <v>33</v>
      </c>
      <c r="J3312">
        <v>0</v>
      </c>
      <c r="K3312">
        <v>41</v>
      </c>
      <c r="L3312" t="s">
        <v>20</v>
      </c>
      <c r="M3312" t="s">
        <v>21</v>
      </c>
      <c r="N3312" t="s">
        <v>30</v>
      </c>
      <c r="O3312" t="s">
        <v>36</v>
      </c>
      <c r="P3312">
        <v>0.94</v>
      </c>
      <c r="Q3312" s="2" t="b">
        <f>FALSE()</f>
        <v>0</v>
      </c>
      <c r="R3312">
        <v>0</v>
      </c>
    </row>
    <row r="3313" spans="1:18" x14ac:dyDescent="0.25">
      <c r="A3313">
        <v>203312</v>
      </c>
      <c r="B3313">
        <v>51935</v>
      </c>
      <c r="C3313" t="s">
        <v>18</v>
      </c>
      <c r="D3313">
        <v>1190.8800000000001</v>
      </c>
      <c r="E3313">
        <v>1379</v>
      </c>
      <c r="F3313">
        <v>1</v>
      </c>
      <c r="G3313">
        <v>2</v>
      </c>
      <c r="H3313">
        <v>0</v>
      </c>
      <c r="I3313" t="s">
        <v>19</v>
      </c>
      <c r="J3313">
        <v>0</v>
      </c>
      <c r="K3313">
        <v>84</v>
      </c>
      <c r="L3313" t="s">
        <v>24</v>
      </c>
      <c r="M3313" t="s">
        <v>31</v>
      </c>
      <c r="N3313" t="s">
        <v>26</v>
      </c>
      <c r="O3313" t="s">
        <v>27</v>
      </c>
      <c r="P3313">
        <v>1.26</v>
      </c>
      <c r="Q3313" s="2" t="b">
        <f>FALSE()</f>
        <v>0</v>
      </c>
      <c r="R3313">
        <v>0</v>
      </c>
    </row>
    <row r="3314" spans="1:18" x14ac:dyDescent="0.25">
      <c r="A3314">
        <v>203313</v>
      </c>
      <c r="B3314">
        <v>51707</v>
      </c>
      <c r="C3314" t="s">
        <v>18</v>
      </c>
      <c r="D3314">
        <v>5246.13</v>
      </c>
      <c r="E3314">
        <v>186</v>
      </c>
      <c r="F3314">
        <v>3</v>
      </c>
      <c r="G3314">
        <v>6</v>
      </c>
      <c r="H3314">
        <v>0</v>
      </c>
      <c r="I3314" t="s">
        <v>33</v>
      </c>
      <c r="J3314">
        <v>1</v>
      </c>
      <c r="K3314">
        <v>74</v>
      </c>
      <c r="L3314" t="s">
        <v>38</v>
      </c>
      <c r="M3314" t="s">
        <v>21</v>
      </c>
      <c r="N3314" t="s">
        <v>22</v>
      </c>
      <c r="O3314" t="s">
        <v>36</v>
      </c>
      <c r="P3314">
        <v>2.2999999999999998</v>
      </c>
      <c r="Q3314" s="2" t="b">
        <f>FALSE()</f>
        <v>0</v>
      </c>
      <c r="R3314">
        <v>1</v>
      </c>
    </row>
    <row r="3315" spans="1:18" x14ac:dyDescent="0.25">
      <c r="A3315">
        <v>203314</v>
      </c>
      <c r="B3315">
        <v>51202</v>
      </c>
      <c r="C3315" t="s">
        <v>18</v>
      </c>
      <c r="D3315">
        <v>2503.73</v>
      </c>
      <c r="E3315">
        <v>1605</v>
      </c>
      <c r="F3315">
        <v>2</v>
      </c>
      <c r="G3315">
        <v>2</v>
      </c>
      <c r="H3315">
        <v>1</v>
      </c>
      <c r="I3315" t="s">
        <v>33</v>
      </c>
      <c r="J3315">
        <v>1</v>
      </c>
      <c r="K3315">
        <v>64</v>
      </c>
      <c r="L3315" t="s">
        <v>20</v>
      </c>
      <c r="M3315" t="s">
        <v>35</v>
      </c>
      <c r="N3315" t="s">
        <v>22</v>
      </c>
      <c r="O3315" t="s">
        <v>23</v>
      </c>
      <c r="P3315">
        <v>2.56</v>
      </c>
      <c r="Q3315" s="2" t="b">
        <f>FALSE()</f>
        <v>0</v>
      </c>
      <c r="R3315">
        <v>0</v>
      </c>
    </row>
    <row r="3316" spans="1:18" x14ac:dyDescent="0.25">
      <c r="A3316">
        <v>203315</v>
      </c>
      <c r="B3316">
        <v>51415</v>
      </c>
      <c r="C3316" t="s">
        <v>18</v>
      </c>
      <c r="D3316">
        <v>2939.91</v>
      </c>
      <c r="E3316">
        <v>3135</v>
      </c>
      <c r="F3316">
        <v>1</v>
      </c>
      <c r="G3316">
        <v>11</v>
      </c>
      <c r="H3316">
        <v>0</v>
      </c>
      <c r="I3316" t="s">
        <v>33</v>
      </c>
      <c r="J3316">
        <v>0</v>
      </c>
      <c r="K3316">
        <v>32</v>
      </c>
      <c r="L3316" t="s">
        <v>20</v>
      </c>
      <c r="M3316" t="s">
        <v>31</v>
      </c>
      <c r="N3316" t="s">
        <v>30</v>
      </c>
      <c r="O3316" t="s">
        <v>27</v>
      </c>
      <c r="P3316">
        <v>1.59</v>
      </c>
      <c r="Q3316" s="2" t="b">
        <f>FALSE()</f>
        <v>0</v>
      </c>
      <c r="R3316">
        <v>1</v>
      </c>
    </row>
    <row r="3317" spans="1:18" x14ac:dyDescent="0.25">
      <c r="A3317">
        <v>203316</v>
      </c>
      <c r="B3317">
        <v>50924</v>
      </c>
      <c r="C3317" t="s">
        <v>18</v>
      </c>
      <c r="D3317">
        <v>3636.91</v>
      </c>
      <c r="E3317">
        <v>2133</v>
      </c>
      <c r="F3317">
        <v>1</v>
      </c>
      <c r="G3317">
        <v>2</v>
      </c>
      <c r="H3317">
        <v>1</v>
      </c>
      <c r="I3317" t="s">
        <v>33</v>
      </c>
      <c r="J3317">
        <v>0</v>
      </c>
      <c r="K3317">
        <v>27</v>
      </c>
      <c r="L3317" t="s">
        <v>20</v>
      </c>
      <c r="M3317" t="s">
        <v>21</v>
      </c>
      <c r="N3317" t="s">
        <v>30</v>
      </c>
      <c r="O3317" t="s">
        <v>27</v>
      </c>
      <c r="P3317">
        <v>1.94</v>
      </c>
      <c r="Q3317" s="2" t="b">
        <f>FALSE()</f>
        <v>0</v>
      </c>
      <c r="R3317">
        <v>1</v>
      </c>
    </row>
    <row r="3318" spans="1:18" x14ac:dyDescent="0.25">
      <c r="A3318">
        <v>203317</v>
      </c>
      <c r="B3318">
        <v>53936</v>
      </c>
      <c r="C3318" t="s">
        <v>18</v>
      </c>
      <c r="D3318">
        <v>2432.69</v>
      </c>
      <c r="E3318">
        <v>2315</v>
      </c>
      <c r="F3318">
        <v>0</v>
      </c>
      <c r="G3318">
        <v>3</v>
      </c>
      <c r="H3318">
        <v>0</v>
      </c>
      <c r="I3318" t="s">
        <v>32</v>
      </c>
      <c r="J3318">
        <v>1</v>
      </c>
      <c r="K3318">
        <v>71</v>
      </c>
      <c r="L3318" t="s">
        <v>20</v>
      </c>
      <c r="M3318" t="s">
        <v>37</v>
      </c>
      <c r="N3318" t="s">
        <v>22</v>
      </c>
      <c r="O3318" t="s">
        <v>36</v>
      </c>
      <c r="P3318">
        <v>0.59</v>
      </c>
      <c r="Q3318" s="2" t="b">
        <f>FALSE()</f>
        <v>0</v>
      </c>
      <c r="R3318">
        <v>0</v>
      </c>
    </row>
    <row r="3319" spans="1:18" x14ac:dyDescent="0.25">
      <c r="A3319">
        <v>203318</v>
      </c>
      <c r="B3319">
        <v>51727</v>
      </c>
      <c r="C3319" t="s">
        <v>34</v>
      </c>
      <c r="D3319">
        <v>1806.58</v>
      </c>
      <c r="E3319">
        <v>1240</v>
      </c>
      <c r="F3319">
        <v>1</v>
      </c>
      <c r="G3319">
        <v>3</v>
      </c>
      <c r="H3319">
        <v>0</v>
      </c>
      <c r="I3319" t="s">
        <v>32</v>
      </c>
      <c r="J3319">
        <v>0</v>
      </c>
      <c r="K3319">
        <v>62</v>
      </c>
      <c r="L3319" t="s">
        <v>20</v>
      </c>
      <c r="M3319" t="s">
        <v>29</v>
      </c>
      <c r="N3319" t="s">
        <v>30</v>
      </c>
      <c r="O3319" t="s">
        <v>23</v>
      </c>
      <c r="P3319">
        <v>3.75</v>
      </c>
      <c r="Q3319" s="2" t="b">
        <f>FALSE()</f>
        <v>0</v>
      </c>
      <c r="R3319">
        <v>0</v>
      </c>
    </row>
    <row r="3320" spans="1:18" x14ac:dyDescent="0.25">
      <c r="A3320">
        <v>203319</v>
      </c>
      <c r="B3320">
        <v>53010</v>
      </c>
      <c r="C3320" t="s">
        <v>34</v>
      </c>
      <c r="D3320">
        <v>1138.79</v>
      </c>
      <c r="E3320">
        <v>2562</v>
      </c>
      <c r="F3320">
        <v>0</v>
      </c>
      <c r="G3320">
        <v>7</v>
      </c>
      <c r="H3320">
        <v>0</v>
      </c>
      <c r="I3320" t="s">
        <v>19</v>
      </c>
      <c r="J3320">
        <v>0</v>
      </c>
      <c r="K3320">
        <v>46</v>
      </c>
      <c r="L3320" t="s">
        <v>24</v>
      </c>
      <c r="M3320" t="s">
        <v>25</v>
      </c>
      <c r="N3320" t="s">
        <v>22</v>
      </c>
      <c r="O3320" t="s">
        <v>36</v>
      </c>
      <c r="P3320">
        <v>0.44</v>
      </c>
      <c r="Q3320" s="2" t="b">
        <f>FALSE()</f>
        <v>0</v>
      </c>
      <c r="R3320">
        <v>1</v>
      </c>
    </row>
    <row r="3321" spans="1:18" x14ac:dyDescent="0.25">
      <c r="A3321">
        <v>203320</v>
      </c>
      <c r="B3321">
        <v>51567</v>
      </c>
      <c r="C3321" t="s">
        <v>18</v>
      </c>
      <c r="D3321">
        <v>1292.22</v>
      </c>
      <c r="E3321">
        <v>766</v>
      </c>
      <c r="F3321">
        <v>1</v>
      </c>
      <c r="G3321">
        <v>5</v>
      </c>
      <c r="H3321">
        <v>0</v>
      </c>
      <c r="I3321" t="s">
        <v>33</v>
      </c>
      <c r="J3321">
        <v>0</v>
      </c>
      <c r="K3321">
        <v>83</v>
      </c>
      <c r="L3321" t="s">
        <v>24</v>
      </c>
      <c r="M3321" t="s">
        <v>29</v>
      </c>
      <c r="N3321" t="s">
        <v>22</v>
      </c>
      <c r="O3321" t="s">
        <v>27</v>
      </c>
      <c r="P3321">
        <v>0.72</v>
      </c>
      <c r="Q3321" s="2" t="b">
        <f>FALSE()</f>
        <v>0</v>
      </c>
      <c r="R3321">
        <v>0</v>
      </c>
    </row>
    <row r="3322" spans="1:18" x14ac:dyDescent="0.25">
      <c r="A3322">
        <v>203321</v>
      </c>
      <c r="B3322">
        <v>53521</v>
      </c>
      <c r="C3322" t="s">
        <v>28</v>
      </c>
      <c r="D3322">
        <v>472.36</v>
      </c>
      <c r="E3322">
        <v>2800</v>
      </c>
      <c r="F3322">
        <v>0</v>
      </c>
      <c r="G3322">
        <v>2</v>
      </c>
      <c r="H3322">
        <v>0</v>
      </c>
      <c r="I3322" t="s">
        <v>33</v>
      </c>
      <c r="J3322">
        <v>0</v>
      </c>
      <c r="K3322">
        <v>35</v>
      </c>
      <c r="L3322" t="s">
        <v>20</v>
      </c>
      <c r="M3322" t="s">
        <v>29</v>
      </c>
      <c r="N3322" t="s">
        <v>22</v>
      </c>
      <c r="O3322" t="s">
        <v>23</v>
      </c>
      <c r="P3322">
        <v>4.04</v>
      </c>
      <c r="Q3322" s="2" t="b">
        <f>FALSE()</f>
        <v>0</v>
      </c>
      <c r="R3322">
        <v>0</v>
      </c>
    </row>
    <row r="3323" spans="1:18" x14ac:dyDescent="0.25">
      <c r="A3323">
        <v>203322</v>
      </c>
      <c r="B3323">
        <v>54152</v>
      </c>
      <c r="C3323" t="s">
        <v>18</v>
      </c>
      <c r="D3323">
        <v>4082.34</v>
      </c>
      <c r="E3323">
        <v>3337</v>
      </c>
      <c r="F3323">
        <v>1</v>
      </c>
      <c r="G3323">
        <v>5</v>
      </c>
      <c r="H3323">
        <v>0</v>
      </c>
      <c r="I3323" t="s">
        <v>32</v>
      </c>
      <c r="J3323">
        <v>0</v>
      </c>
      <c r="K3323">
        <v>55</v>
      </c>
      <c r="L3323" t="s">
        <v>24</v>
      </c>
      <c r="M3323" t="s">
        <v>25</v>
      </c>
      <c r="N3323" t="s">
        <v>22</v>
      </c>
      <c r="O3323" t="s">
        <v>23</v>
      </c>
      <c r="P3323">
        <v>3.81</v>
      </c>
      <c r="Q3323" s="2" t="b">
        <f>FALSE()</f>
        <v>0</v>
      </c>
      <c r="R3323">
        <v>1</v>
      </c>
    </row>
    <row r="3324" spans="1:18" x14ac:dyDescent="0.25">
      <c r="A3324">
        <v>203323</v>
      </c>
      <c r="B3324">
        <v>54905</v>
      </c>
      <c r="C3324" t="s">
        <v>28</v>
      </c>
      <c r="D3324">
        <v>904.74</v>
      </c>
      <c r="E3324">
        <v>1942</v>
      </c>
      <c r="F3324">
        <v>1</v>
      </c>
      <c r="G3324">
        <v>2</v>
      </c>
      <c r="H3324">
        <v>0</v>
      </c>
      <c r="I3324" t="s">
        <v>33</v>
      </c>
      <c r="J3324">
        <v>0</v>
      </c>
      <c r="K3324">
        <v>38</v>
      </c>
      <c r="L3324" t="s">
        <v>24</v>
      </c>
      <c r="M3324" t="s">
        <v>25</v>
      </c>
      <c r="N3324" t="s">
        <v>22</v>
      </c>
      <c r="O3324" t="s">
        <v>23</v>
      </c>
      <c r="P3324">
        <v>1.17</v>
      </c>
      <c r="Q3324" s="2" t="b">
        <f>FALSE()</f>
        <v>0</v>
      </c>
      <c r="R3324">
        <v>0</v>
      </c>
    </row>
    <row r="3325" spans="1:18" x14ac:dyDescent="0.25">
      <c r="A3325">
        <v>203324</v>
      </c>
      <c r="B3325">
        <v>53886</v>
      </c>
      <c r="C3325" t="s">
        <v>18</v>
      </c>
      <c r="D3325">
        <v>2447.81</v>
      </c>
      <c r="E3325">
        <v>2200</v>
      </c>
      <c r="F3325">
        <v>1</v>
      </c>
      <c r="G3325">
        <v>3</v>
      </c>
      <c r="H3325">
        <v>0</v>
      </c>
      <c r="I3325" t="s">
        <v>33</v>
      </c>
      <c r="J3325">
        <v>0</v>
      </c>
      <c r="K3325">
        <v>23</v>
      </c>
      <c r="L3325" t="s">
        <v>20</v>
      </c>
      <c r="M3325" t="s">
        <v>37</v>
      </c>
      <c r="N3325" t="s">
        <v>30</v>
      </c>
      <c r="O3325" t="s">
        <v>36</v>
      </c>
      <c r="P3325">
        <v>0.13</v>
      </c>
      <c r="Q3325" s="2" t="b">
        <f>FALSE()</f>
        <v>0</v>
      </c>
      <c r="R3325">
        <v>0</v>
      </c>
    </row>
    <row r="3326" spans="1:18" x14ac:dyDescent="0.25">
      <c r="A3326">
        <v>203325</v>
      </c>
      <c r="B3326">
        <v>54289</v>
      </c>
      <c r="C3326" t="s">
        <v>34</v>
      </c>
      <c r="D3326">
        <v>1199.43</v>
      </c>
      <c r="E3326">
        <v>2705</v>
      </c>
      <c r="F3326">
        <v>0</v>
      </c>
      <c r="G3326">
        <v>3</v>
      </c>
      <c r="H3326">
        <v>0</v>
      </c>
      <c r="I3326" t="s">
        <v>33</v>
      </c>
      <c r="J3326">
        <v>0</v>
      </c>
      <c r="K3326">
        <v>74</v>
      </c>
      <c r="L3326" t="s">
        <v>20</v>
      </c>
      <c r="M3326" t="s">
        <v>29</v>
      </c>
      <c r="N3326" t="s">
        <v>30</v>
      </c>
      <c r="O3326" t="s">
        <v>27</v>
      </c>
      <c r="P3326">
        <v>1.65</v>
      </c>
      <c r="Q3326" s="2" t="b">
        <f>FALSE()</f>
        <v>0</v>
      </c>
      <c r="R3326">
        <v>0</v>
      </c>
    </row>
    <row r="3327" spans="1:18" x14ac:dyDescent="0.25">
      <c r="A3327">
        <v>203326</v>
      </c>
      <c r="B3327">
        <v>52629</v>
      </c>
      <c r="C3327" t="s">
        <v>34</v>
      </c>
      <c r="D3327">
        <v>1444.6</v>
      </c>
      <c r="E3327">
        <v>2856</v>
      </c>
      <c r="F3327">
        <v>2</v>
      </c>
      <c r="G3327">
        <v>5</v>
      </c>
      <c r="H3327">
        <v>0</v>
      </c>
      <c r="I3327" t="s">
        <v>19</v>
      </c>
      <c r="J3327">
        <v>0</v>
      </c>
      <c r="K3327">
        <v>53</v>
      </c>
      <c r="L3327" t="s">
        <v>24</v>
      </c>
      <c r="M3327" t="s">
        <v>31</v>
      </c>
      <c r="N3327" t="s">
        <v>30</v>
      </c>
      <c r="O3327" t="s">
        <v>36</v>
      </c>
      <c r="P3327">
        <v>3.91</v>
      </c>
      <c r="Q3327" s="2" t="b">
        <f>FALSE()</f>
        <v>0</v>
      </c>
      <c r="R3327">
        <v>0</v>
      </c>
    </row>
    <row r="3328" spans="1:18" x14ac:dyDescent="0.25">
      <c r="A3328">
        <v>203327</v>
      </c>
      <c r="B3328">
        <v>51923</v>
      </c>
      <c r="C3328" t="s">
        <v>18</v>
      </c>
      <c r="D3328">
        <v>3752.67</v>
      </c>
      <c r="E3328">
        <v>2088</v>
      </c>
      <c r="F3328">
        <v>0</v>
      </c>
      <c r="G3328">
        <v>6</v>
      </c>
      <c r="H3328">
        <v>0</v>
      </c>
      <c r="I3328" t="s">
        <v>19</v>
      </c>
      <c r="J3328">
        <v>0</v>
      </c>
      <c r="K3328">
        <v>48</v>
      </c>
      <c r="L3328" t="s">
        <v>20</v>
      </c>
      <c r="M3328" t="s">
        <v>21</v>
      </c>
      <c r="N3328" t="s">
        <v>22</v>
      </c>
      <c r="O3328" t="s">
        <v>27</v>
      </c>
      <c r="P3328">
        <v>5.29</v>
      </c>
      <c r="Q3328" s="2" t="b">
        <f>FALSE()</f>
        <v>0</v>
      </c>
      <c r="R3328">
        <v>1</v>
      </c>
    </row>
    <row r="3329" spans="1:18" x14ac:dyDescent="0.25">
      <c r="A3329">
        <v>203328</v>
      </c>
      <c r="B3329">
        <v>51766</v>
      </c>
      <c r="C3329" t="s">
        <v>18</v>
      </c>
      <c r="D3329">
        <v>2554.4899999999998</v>
      </c>
      <c r="E3329">
        <v>3123</v>
      </c>
      <c r="F3329">
        <v>3</v>
      </c>
      <c r="G3329">
        <v>3</v>
      </c>
      <c r="H3329">
        <v>0</v>
      </c>
      <c r="I3329" t="s">
        <v>33</v>
      </c>
      <c r="J3329">
        <v>0</v>
      </c>
      <c r="K3329">
        <v>83</v>
      </c>
      <c r="L3329" t="s">
        <v>20</v>
      </c>
      <c r="M3329" t="s">
        <v>25</v>
      </c>
      <c r="N3329" t="s">
        <v>22</v>
      </c>
      <c r="O3329" t="s">
        <v>27</v>
      </c>
      <c r="P3329">
        <v>3.14</v>
      </c>
      <c r="Q3329" s="2" t="b">
        <f>FALSE()</f>
        <v>0</v>
      </c>
      <c r="R3329">
        <v>1</v>
      </c>
    </row>
    <row r="3330" spans="1:18" x14ac:dyDescent="0.25">
      <c r="A3330">
        <v>203329</v>
      </c>
      <c r="B3330">
        <v>51066</v>
      </c>
      <c r="C3330" t="s">
        <v>18</v>
      </c>
      <c r="D3330">
        <v>1418.12</v>
      </c>
      <c r="E3330">
        <v>1398</v>
      </c>
      <c r="F3330">
        <v>2</v>
      </c>
      <c r="G3330">
        <v>6</v>
      </c>
      <c r="H3330">
        <v>1</v>
      </c>
      <c r="I3330" t="s">
        <v>32</v>
      </c>
      <c r="J3330">
        <v>0</v>
      </c>
      <c r="K3330">
        <v>63</v>
      </c>
      <c r="L3330" t="s">
        <v>24</v>
      </c>
      <c r="M3330" t="s">
        <v>29</v>
      </c>
      <c r="N3330" t="s">
        <v>22</v>
      </c>
      <c r="O3330" t="s">
        <v>36</v>
      </c>
      <c r="P3330">
        <v>7.2</v>
      </c>
      <c r="Q3330" s="2" t="b">
        <f>FALSE()</f>
        <v>0</v>
      </c>
      <c r="R3330">
        <v>0</v>
      </c>
    </row>
    <row r="3331" spans="1:18" x14ac:dyDescent="0.25">
      <c r="A3331">
        <v>203330</v>
      </c>
      <c r="B3331">
        <v>50770</v>
      </c>
      <c r="C3331" t="s">
        <v>34</v>
      </c>
      <c r="D3331">
        <v>5469.44</v>
      </c>
      <c r="E3331">
        <v>2029</v>
      </c>
      <c r="F3331">
        <v>2</v>
      </c>
      <c r="G3331">
        <v>2</v>
      </c>
      <c r="H3331">
        <v>0</v>
      </c>
      <c r="I3331" t="s">
        <v>19</v>
      </c>
      <c r="J3331">
        <v>0</v>
      </c>
      <c r="K3331">
        <v>29</v>
      </c>
      <c r="L3331" t="s">
        <v>24</v>
      </c>
      <c r="M3331" t="s">
        <v>25</v>
      </c>
      <c r="N3331" t="s">
        <v>22</v>
      </c>
      <c r="O3331" t="s">
        <v>27</v>
      </c>
      <c r="P3331">
        <v>0.64</v>
      </c>
      <c r="Q3331" s="2" t="b">
        <f>FALSE()</f>
        <v>0</v>
      </c>
      <c r="R3331">
        <v>1</v>
      </c>
    </row>
    <row r="3332" spans="1:18" x14ac:dyDescent="0.25">
      <c r="A3332">
        <v>203331</v>
      </c>
      <c r="B3332">
        <v>51368</v>
      </c>
      <c r="C3332" t="s">
        <v>18</v>
      </c>
      <c r="D3332">
        <v>1889.09</v>
      </c>
      <c r="E3332">
        <v>2767</v>
      </c>
      <c r="F3332">
        <v>0</v>
      </c>
      <c r="G3332">
        <v>4</v>
      </c>
      <c r="H3332">
        <v>0</v>
      </c>
      <c r="I3332" t="s">
        <v>19</v>
      </c>
      <c r="J3332">
        <v>0</v>
      </c>
      <c r="K3332">
        <v>44</v>
      </c>
      <c r="L3332" t="s">
        <v>24</v>
      </c>
      <c r="M3332" t="s">
        <v>31</v>
      </c>
      <c r="N3332" t="s">
        <v>22</v>
      </c>
      <c r="O3332" t="s">
        <v>23</v>
      </c>
      <c r="P3332">
        <v>4.99</v>
      </c>
      <c r="Q3332" s="2" t="b">
        <f>FALSE()</f>
        <v>0</v>
      </c>
      <c r="R3332">
        <v>0</v>
      </c>
    </row>
    <row r="3333" spans="1:18" x14ac:dyDescent="0.25">
      <c r="A3333">
        <v>203332</v>
      </c>
      <c r="B3333">
        <v>55875</v>
      </c>
      <c r="C3333" t="s">
        <v>18</v>
      </c>
      <c r="D3333">
        <v>1905.19</v>
      </c>
      <c r="E3333">
        <v>2065</v>
      </c>
      <c r="F3333">
        <v>2</v>
      </c>
      <c r="G3333">
        <v>2</v>
      </c>
      <c r="H3333">
        <v>1</v>
      </c>
      <c r="I3333" t="s">
        <v>19</v>
      </c>
      <c r="J3333">
        <v>0</v>
      </c>
      <c r="K3333">
        <v>21</v>
      </c>
      <c r="L3333" t="s">
        <v>20</v>
      </c>
      <c r="M3333" t="s">
        <v>25</v>
      </c>
      <c r="N3333" t="s">
        <v>22</v>
      </c>
      <c r="O3333" t="s">
        <v>36</v>
      </c>
      <c r="P3333">
        <v>1.36</v>
      </c>
      <c r="Q3333" s="2" t="b">
        <f>FALSE()</f>
        <v>0</v>
      </c>
      <c r="R3333">
        <v>0</v>
      </c>
    </row>
    <row r="3334" spans="1:18" x14ac:dyDescent="0.25">
      <c r="A3334">
        <v>203333</v>
      </c>
      <c r="B3334">
        <v>53134</v>
      </c>
      <c r="C3334" t="s">
        <v>18</v>
      </c>
      <c r="D3334">
        <v>1335.07</v>
      </c>
      <c r="E3334">
        <v>2436</v>
      </c>
      <c r="F3334">
        <v>1</v>
      </c>
      <c r="G3334">
        <v>3</v>
      </c>
      <c r="H3334">
        <v>0</v>
      </c>
      <c r="I3334" t="s">
        <v>32</v>
      </c>
      <c r="J3334">
        <v>1</v>
      </c>
      <c r="K3334">
        <v>67</v>
      </c>
      <c r="L3334" t="s">
        <v>24</v>
      </c>
      <c r="M3334" t="s">
        <v>29</v>
      </c>
      <c r="N3334" t="s">
        <v>22</v>
      </c>
      <c r="O3334" t="s">
        <v>23</v>
      </c>
      <c r="P3334">
        <v>10.119999999999999</v>
      </c>
      <c r="Q3334" s="2" t="b">
        <f>FALSE()</f>
        <v>0</v>
      </c>
      <c r="R3334">
        <v>0</v>
      </c>
    </row>
    <row r="3335" spans="1:18" x14ac:dyDescent="0.25">
      <c r="A3335">
        <v>203334</v>
      </c>
      <c r="B3335">
        <v>51294</v>
      </c>
      <c r="C3335" t="s">
        <v>34</v>
      </c>
      <c r="D3335">
        <v>3993.78</v>
      </c>
      <c r="E3335">
        <v>1689</v>
      </c>
      <c r="F3335">
        <v>1</v>
      </c>
      <c r="G3335">
        <v>3</v>
      </c>
      <c r="H3335">
        <v>0</v>
      </c>
      <c r="I3335" t="s">
        <v>33</v>
      </c>
      <c r="J3335">
        <v>1</v>
      </c>
      <c r="K3335">
        <v>21</v>
      </c>
      <c r="L3335" t="s">
        <v>20</v>
      </c>
      <c r="M3335" t="s">
        <v>21</v>
      </c>
      <c r="N3335" t="s">
        <v>26</v>
      </c>
      <c r="O3335" t="s">
        <v>27</v>
      </c>
      <c r="P3335">
        <v>0.38</v>
      </c>
      <c r="Q3335" s="2" t="b">
        <f>FALSE()</f>
        <v>0</v>
      </c>
      <c r="R3335">
        <v>1</v>
      </c>
    </row>
    <row r="3336" spans="1:18" x14ac:dyDescent="0.25">
      <c r="A3336">
        <v>203335</v>
      </c>
      <c r="B3336">
        <v>50455</v>
      </c>
      <c r="C3336" t="s">
        <v>18</v>
      </c>
      <c r="D3336">
        <v>2151.21</v>
      </c>
      <c r="E3336">
        <v>2703</v>
      </c>
      <c r="F3336">
        <v>1</v>
      </c>
      <c r="G3336">
        <v>9</v>
      </c>
      <c r="H3336">
        <v>1</v>
      </c>
      <c r="I3336" t="s">
        <v>33</v>
      </c>
      <c r="J3336">
        <v>1</v>
      </c>
      <c r="K3336">
        <v>23</v>
      </c>
      <c r="L3336" t="s">
        <v>20</v>
      </c>
      <c r="M3336" t="s">
        <v>29</v>
      </c>
      <c r="N3336" t="s">
        <v>30</v>
      </c>
      <c r="O3336" t="s">
        <v>36</v>
      </c>
      <c r="P3336">
        <v>2.97</v>
      </c>
      <c r="Q3336" s="2" t="b">
        <f>FALSE()</f>
        <v>0</v>
      </c>
      <c r="R3336">
        <v>1</v>
      </c>
    </row>
    <row r="3337" spans="1:18" x14ac:dyDescent="0.25">
      <c r="A3337">
        <v>203336</v>
      </c>
      <c r="B3337">
        <v>53833</v>
      </c>
      <c r="C3337" t="s">
        <v>34</v>
      </c>
      <c r="D3337">
        <v>1819.89</v>
      </c>
      <c r="E3337">
        <v>491</v>
      </c>
      <c r="F3337">
        <v>0</v>
      </c>
      <c r="G3337">
        <v>5</v>
      </c>
      <c r="H3337">
        <v>1</v>
      </c>
      <c r="I3337" t="s">
        <v>19</v>
      </c>
      <c r="J3337">
        <v>1</v>
      </c>
      <c r="K3337">
        <v>21</v>
      </c>
      <c r="L3337" t="s">
        <v>24</v>
      </c>
      <c r="M3337" t="s">
        <v>31</v>
      </c>
      <c r="N3337" t="s">
        <v>30</v>
      </c>
      <c r="O3337" t="s">
        <v>23</v>
      </c>
      <c r="P3337">
        <v>3.27</v>
      </c>
      <c r="Q3337" s="2" t="b">
        <f>FALSE()</f>
        <v>0</v>
      </c>
      <c r="R3337">
        <v>0</v>
      </c>
    </row>
    <row r="3338" spans="1:18" x14ac:dyDescent="0.25">
      <c r="A3338">
        <v>203337</v>
      </c>
      <c r="B3338">
        <v>55655</v>
      </c>
      <c r="C3338" t="s">
        <v>18</v>
      </c>
      <c r="D3338">
        <v>1098.06</v>
      </c>
      <c r="E3338">
        <v>503</v>
      </c>
      <c r="F3338">
        <v>0</v>
      </c>
      <c r="G3338">
        <v>3</v>
      </c>
      <c r="H3338">
        <v>1</v>
      </c>
      <c r="I3338" t="s">
        <v>32</v>
      </c>
      <c r="J3338">
        <v>0</v>
      </c>
      <c r="K3338">
        <v>30</v>
      </c>
      <c r="L3338" t="s">
        <v>20</v>
      </c>
      <c r="M3338" t="s">
        <v>35</v>
      </c>
      <c r="N3338" t="s">
        <v>30</v>
      </c>
      <c r="O3338" t="s">
        <v>36</v>
      </c>
      <c r="P3338">
        <v>0.13</v>
      </c>
      <c r="Q3338" s="2" t="b">
        <f>FALSE()</f>
        <v>0</v>
      </c>
      <c r="R3338">
        <v>0</v>
      </c>
    </row>
    <row r="3339" spans="1:18" x14ac:dyDescent="0.25">
      <c r="A3339">
        <v>203338</v>
      </c>
      <c r="B3339">
        <v>54794</v>
      </c>
      <c r="C3339" t="s">
        <v>34</v>
      </c>
      <c r="D3339">
        <v>2333.62</v>
      </c>
      <c r="E3339">
        <v>716</v>
      </c>
      <c r="F3339">
        <v>3</v>
      </c>
      <c r="G3339">
        <v>2</v>
      </c>
      <c r="H3339">
        <v>1</v>
      </c>
      <c r="I3339" t="s">
        <v>33</v>
      </c>
      <c r="J3339">
        <v>0</v>
      </c>
      <c r="K3339">
        <v>32</v>
      </c>
      <c r="L3339" t="s">
        <v>20</v>
      </c>
      <c r="M3339" t="s">
        <v>35</v>
      </c>
      <c r="N3339" t="s">
        <v>22</v>
      </c>
      <c r="O3339" t="s">
        <v>27</v>
      </c>
      <c r="P3339">
        <v>4.6500000000000004</v>
      </c>
      <c r="Q3339" s="2" t="b">
        <f>FALSE()</f>
        <v>0</v>
      </c>
      <c r="R3339">
        <v>1</v>
      </c>
    </row>
    <row r="3340" spans="1:18" x14ac:dyDescent="0.25">
      <c r="A3340">
        <v>203339</v>
      </c>
      <c r="B3340">
        <v>50102</v>
      </c>
      <c r="C3340" t="s">
        <v>18</v>
      </c>
      <c r="D3340">
        <v>882.5</v>
      </c>
      <c r="E3340">
        <v>2986</v>
      </c>
      <c r="F3340">
        <v>1</v>
      </c>
      <c r="G3340">
        <v>6</v>
      </c>
      <c r="H3340">
        <v>0</v>
      </c>
      <c r="I3340" t="s">
        <v>32</v>
      </c>
      <c r="J3340">
        <v>0</v>
      </c>
      <c r="K3340">
        <v>23</v>
      </c>
      <c r="L3340" t="s">
        <v>20</v>
      </c>
      <c r="M3340" t="s">
        <v>25</v>
      </c>
      <c r="N3340" t="s">
        <v>30</v>
      </c>
      <c r="O3340" t="s">
        <v>36</v>
      </c>
      <c r="P3340">
        <v>6.45</v>
      </c>
      <c r="Q3340" s="2" t="b">
        <f>FALSE()</f>
        <v>0</v>
      </c>
      <c r="R3340">
        <v>0</v>
      </c>
    </row>
    <row r="3341" spans="1:18" x14ac:dyDescent="0.25">
      <c r="A3341">
        <v>203340</v>
      </c>
      <c r="B3341">
        <v>50714</v>
      </c>
      <c r="C3341" t="s">
        <v>34</v>
      </c>
      <c r="D3341">
        <v>2010.45</v>
      </c>
      <c r="E3341">
        <v>392</v>
      </c>
      <c r="F3341">
        <v>3</v>
      </c>
      <c r="G3341">
        <v>4</v>
      </c>
      <c r="H3341">
        <v>0</v>
      </c>
      <c r="I3341" t="s">
        <v>33</v>
      </c>
      <c r="J3341">
        <v>0</v>
      </c>
      <c r="K3341">
        <v>55</v>
      </c>
      <c r="L3341" t="s">
        <v>38</v>
      </c>
      <c r="M3341" t="s">
        <v>21</v>
      </c>
      <c r="N3341" t="s">
        <v>26</v>
      </c>
      <c r="O3341" t="s">
        <v>36</v>
      </c>
      <c r="P3341">
        <v>5.83</v>
      </c>
      <c r="Q3341" s="2" t="b">
        <f>FALSE()</f>
        <v>0</v>
      </c>
      <c r="R3341">
        <v>1</v>
      </c>
    </row>
    <row r="3342" spans="1:18" x14ac:dyDescent="0.25">
      <c r="A3342">
        <v>203341</v>
      </c>
      <c r="B3342">
        <v>50453</v>
      </c>
      <c r="C3342" t="s">
        <v>18</v>
      </c>
      <c r="D3342">
        <v>5140.7</v>
      </c>
      <c r="E3342">
        <v>3088</v>
      </c>
      <c r="F3342">
        <v>1</v>
      </c>
      <c r="G3342">
        <v>6</v>
      </c>
      <c r="H3342">
        <v>1</v>
      </c>
      <c r="I3342" t="s">
        <v>33</v>
      </c>
      <c r="J3342">
        <v>0</v>
      </c>
      <c r="K3342">
        <v>27</v>
      </c>
      <c r="L3342" t="s">
        <v>24</v>
      </c>
      <c r="M3342" t="s">
        <v>35</v>
      </c>
      <c r="N3342" t="s">
        <v>26</v>
      </c>
      <c r="O3342" t="s">
        <v>27</v>
      </c>
      <c r="P3342">
        <v>0.55000000000000004</v>
      </c>
      <c r="Q3342" s="2" t="b">
        <f>FALSE()</f>
        <v>0</v>
      </c>
      <c r="R3342">
        <v>1</v>
      </c>
    </row>
    <row r="3343" spans="1:18" x14ac:dyDescent="0.25">
      <c r="A3343">
        <v>203342</v>
      </c>
      <c r="B3343">
        <v>50493</v>
      </c>
      <c r="C3343" t="s">
        <v>28</v>
      </c>
      <c r="D3343">
        <v>3335.52</v>
      </c>
      <c r="E3343">
        <v>1699</v>
      </c>
      <c r="F3343">
        <v>2</v>
      </c>
      <c r="G3343">
        <v>6</v>
      </c>
      <c r="H3343">
        <v>0</v>
      </c>
      <c r="I3343" t="s">
        <v>33</v>
      </c>
      <c r="J3343">
        <v>0</v>
      </c>
      <c r="K3343">
        <v>63</v>
      </c>
      <c r="L3343" t="s">
        <v>20</v>
      </c>
      <c r="M3343" t="s">
        <v>37</v>
      </c>
      <c r="N3343" t="s">
        <v>22</v>
      </c>
      <c r="O3343" t="s">
        <v>27</v>
      </c>
      <c r="P3343">
        <v>0.47</v>
      </c>
      <c r="Q3343" s="2" t="b">
        <f>FALSE()</f>
        <v>0</v>
      </c>
      <c r="R3343">
        <v>0</v>
      </c>
    </row>
    <row r="3344" spans="1:18" x14ac:dyDescent="0.25">
      <c r="A3344">
        <v>203343</v>
      </c>
      <c r="B3344">
        <v>53246</v>
      </c>
      <c r="C3344" t="s">
        <v>34</v>
      </c>
      <c r="D3344">
        <v>4931.83</v>
      </c>
      <c r="E3344">
        <v>2501</v>
      </c>
      <c r="F3344">
        <v>4</v>
      </c>
      <c r="G3344">
        <v>4</v>
      </c>
      <c r="H3344">
        <v>0</v>
      </c>
      <c r="I3344" t="s">
        <v>33</v>
      </c>
      <c r="J3344">
        <v>0</v>
      </c>
      <c r="K3344">
        <v>80</v>
      </c>
      <c r="L3344" t="s">
        <v>20</v>
      </c>
      <c r="M3344" t="s">
        <v>29</v>
      </c>
      <c r="N3344" t="s">
        <v>22</v>
      </c>
      <c r="O3344" t="s">
        <v>36</v>
      </c>
      <c r="P3344">
        <v>0.1</v>
      </c>
      <c r="Q3344" s="2" t="b">
        <f>FALSE()</f>
        <v>0</v>
      </c>
      <c r="R3344">
        <v>1</v>
      </c>
    </row>
    <row r="3345" spans="1:18" x14ac:dyDescent="0.25">
      <c r="A3345">
        <v>203344</v>
      </c>
      <c r="B3345">
        <v>51342</v>
      </c>
      <c r="C3345" t="s">
        <v>18</v>
      </c>
      <c r="D3345">
        <v>2014.05</v>
      </c>
      <c r="E3345">
        <v>1791</v>
      </c>
      <c r="F3345">
        <v>0</v>
      </c>
      <c r="G3345">
        <v>4</v>
      </c>
      <c r="H3345">
        <v>1</v>
      </c>
      <c r="I3345" t="s">
        <v>33</v>
      </c>
      <c r="J3345">
        <v>0</v>
      </c>
      <c r="K3345">
        <v>44</v>
      </c>
      <c r="L3345" t="s">
        <v>20</v>
      </c>
      <c r="M3345" t="s">
        <v>21</v>
      </c>
      <c r="N3345" t="s">
        <v>22</v>
      </c>
      <c r="O3345" t="s">
        <v>36</v>
      </c>
      <c r="P3345">
        <v>0.9</v>
      </c>
      <c r="Q3345" s="2" t="b">
        <f>FALSE()</f>
        <v>0</v>
      </c>
      <c r="R3345">
        <v>0</v>
      </c>
    </row>
    <row r="3346" spans="1:18" x14ac:dyDescent="0.25">
      <c r="A3346">
        <v>203345</v>
      </c>
      <c r="B3346">
        <v>53260</v>
      </c>
      <c r="C3346" t="s">
        <v>34</v>
      </c>
      <c r="D3346">
        <v>2630.3</v>
      </c>
      <c r="E3346">
        <v>1507</v>
      </c>
      <c r="F3346">
        <v>1</v>
      </c>
      <c r="G3346">
        <v>5</v>
      </c>
      <c r="H3346">
        <v>0</v>
      </c>
      <c r="I3346" t="s">
        <v>32</v>
      </c>
      <c r="J3346">
        <v>0</v>
      </c>
      <c r="K3346">
        <v>63</v>
      </c>
      <c r="L3346" t="s">
        <v>24</v>
      </c>
      <c r="M3346" t="s">
        <v>37</v>
      </c>
      <c r="N3346" t="s">
        <v>22</v>
      </c>
      <c r="O3346" t="s">
        <v>36</v>
      </c>
      <c r="P3346">
        <v>0.42</v>
      </c>
      <c r="Q3346" s="2" t="b">
        <f>FALSE()</f>
        <v>0</v>
      </c>
      <c r="R3346">
        <v>0</v>
      </c>
    </row>
    <row r="3347" spans="1:18" x14ac:dyDescent="0.25">
      <c r="A3347">
        <v>203346</v>
      </c>
      <c r="B3347">
        <v>55218</v>
      </c>
      <c r="C3347" t="s">
        <v>34</v>
      </c>
      <c r="D3347">
        <v>623.36</v>
      </c>
      <c r="E3347">
        <v>2700</v>
      </c>
      <c r="F3347">
        <v>0</v>
      </c>
      <c r="G3347">
        <v>7</v>
      </c>
      <c r="H3347">
        <v>0</v>
      </c>
      <c r="I3347" t="s">
        <v>33</v>
      </c>
      <c r="J3347">
        <v>0</v>
      </c>
      <c r="K3347">
        <v>68</v>
      </c>
      <c r="L3347" t="s">
        <v>24</v>
      </c>
      <c r="M3347" t="s">
        <v>31</v>
      </c>
      <c r="N3347" t="s">
        <v>22</v>
      </c>
      <c r="O3347" t="s">
        <v>27</v>
      </c>
      <c r="P3347">
        <v>0.27</v>
      </c>
      <c r="Q3347" s="2" t="b">
        <f>FALSE()</f>
        <v>0</v>
      </c>
      <c r="R3347">
        <v>1</v>
      </c>
    </row>
    <row r="3348" spans="1:18" x14ac:dyDescent="0.25">
      <c r="A3348">
        <v>203347</v>
      </c>
      <c r="B3348">
        <v>50245</v>
      </c>
      <c r="C3348" t="s">
        <v>28</v>
      </c>
      <c r="D3348">
        <v>1559.8</v>
      </c>
      <c r="E3348">
        <v>2610</v>
      </c>
      <c r="F3348">
        <v>1</v>
      </c>
      <c r="G3348">
        <v>8</v>
      </c>
      <c r="H3348">
        <v>0</v>
      </c>
      <c r="I3348" t="s">
        <v>19</v>
      </c>
      <c r="J3348">
        <v>1</v>
      </c>
      <c r="K3348">
        <v>61</v>
      </c>
      <c r="L3348" t="s">
        <v>20</v>
      </c>
      <c r="M3348" t="s">
        <v>31</v>
      </c>
      <c r="N3348" t="s">
        <v>30</v>
      </c>
      <c r="O3348" t="s">
        <v>23</v>
      </c>
      <c r="P3348">
        <v>0.51</v>
      </c>
      <c r="Q3348" s="2" t="b">
        <f>FALSE()</f>
        <v>0</v>
      </c>
      <c r="R3348">
        <v>1</v>
      </c>
    </row>
    <row r="3349" spans="1:18" x14ac:dyDescent="0.25">
      <c r="A3349">
        <v>203348</v>
      </c>
      <c r="B3349">
        <v>50814</v>
      </c>
      <c r="C3349" t="s">
        <v>18</v>
      </c>
      <c r="D3349">
        <v>442.13</v>
      </c>
      <c r="E3349">
        <v>3325</v>
      </c>
      <c r="F3349">
        <v>0</v>
      </c>
      <c r="G3349">
        <v>6</v>
      </c>
      <c r="H3349">
        <v>0</v>
      </c>
      <c r="I3349" t="s">
        <v>33</v>
      </c>
      <c r="J3349">
        <v>1</v>
      </c>
      <c r="K3349">
        <v>52</v>
      </c>
      <c r="L3349" t="s">
        <v>24</v>
      </c>
      <c r="M3349" t="s">
        <v>21</v>
      </c>
      <c r="N3349" t="s">
        <v>22</v>
      </c>
      <c r="O3349" t="s">
        <v>23</v>
      </c>
      <c r="P3349">
        <v>0.18</v>
      </c>
      <c r="Q3349" s="2" t="b">
        <f>FALSE()</f>
        <v>0</v>
      </c>
      <c r="R3349">
        <v>0</v>
      </c>
    </row>
    <row r="3350" spans="1:18" x14ac:dyDescent="0.25">
      <c r="A3350">
        <v>203349</v>
      </c>
      <c r="B3350">
        <v>51432</v>
      </c>
      <c r="C3350" t="s">
        <v>34</v>
      </c>
      <c r="D3350">
        <v>2149.8200000000002</v>
      </c>
      <c r="E3350">
        <v>2525</v>
      </c>
      <c r="F3350">
        <v>1</v>
      </c>
      <c r="G3350">
        <v>5</v>
      </c>
      <c r="H3350">
        <v>0</v>
      </c>
      <c r="I3350" t="s">
        <v>33</v>
      </c>
      <c r="J3350">
        <v>0</v>
      </c>
      <c r="K3350">
        <v>80</v>
      </c>
      <c r="L3350" t="s">
        <v>20</v>
      </c>
      <c r="M3350" t="s">
        <v>31</v>
      </c>
      <c r="N3350" t="s">
        <v>22</v>
      </c>
      <c r="O3350" t="s">
        <v>36</v>
      </c>
      <c r="P3350">
        <v>1.3</v>
      </c>
      <c r="Q3350" s="2" t="b">
        <f>FALSE()</f>
        <v>0</v>
      </c>
      <c r="R3350">
        <v>0</v>
      </c>
    </row>
    <row r="3351" spans="1:18" x14ac:dyDescent="0.25">
      <c r="A3351">
        <v>203350</v>
      </c>
      <c r="B3351">
        <v>55755</v>
      </c>
      <c r="C3351" t="s">
        <v>18</v>
      </c>
      <c r="D3351">
        <v>1789.98</v>
      </c>
      <c r="E3351">
        <v>990</v>
      </c>
      <c r="F3351">
        <v>1</v>
      </c>
      <c r="G3351">
        <v>5</v>
      </c>
      <c r="H3351">
        <v>1</v>
      </c>
      <c r="I3351" t="s">
        <v>33</v>
      </c>
      <c r="J3351">
        <v>0</v>
      </c>
      <c r="K3351">
        <v>22</v>
      </c>
      <c r="L3351" t="s">
        <v>20</v>
      </c>
      <c r="M3351" t="s">
        <v>35</v>
      </c>
      <c r="N3351" t="s">
        <v>30</v>
      </c>
      <c r="O3351" t="s">
        <v>27</v>
      </c>
      <c r="P3351">
        <v>4.6100000000000003</v>
      </c>
      <c r="Q3351" s="2" t="b">
        <f>FALSE()</f>
        <v>0</v>
      </c>
      <c r="R3351">
        <v>0</v>
      </c>
    </row>
    <row r="3352" spans="1:18" x14ac:dyDescent="0.25">
      <c r="A3352">
        <v>203351</v>
      </c>
      <c r="B3352">
        <v>54260</v>
      </c>
      <c r="C3352" t="s">
        <v>18</v>
      </c>
      <c r="D3352">
        <v>1510.95</v>
      </c>
      <c r="E3352">
        <v>2696</v>
      </c>
      <c r="F3352">
        <v>0</v>
      </c>
      <c r="G3352">
        <v>3</v>
      </c>
      <c r="H3352">
        <v>0</v>
      </c>
      <c r="I3352" t="s">
        <v>19</v>
      </c>
      <c r="J3352">
        <v>0</v>
      </c>
      <c r="K3352">
        <v>67</v>
      </c>
      <c r="L3352" t="s">
        <v>20</v>
      </c>
      <c r="M3352" t="s">
        <v>37</v>
      </c>
      <c r="N3352" t="s">
        <v>30</v>
      </c>
      <c r="O3352" t="s">
        <v>23</v>
      </c>
      <c r="P3352">
        <v>8.0500000000000007</v>
      </c>
      <c r="Q3352" s="2" t="b">
        <f>FALSE()</f>
        <v>0</v>
      </c>
      <c r="R3352">
        <v>0</v>
      </c>
    </row>
    <row r="3353" spans="1:18" x14ac:dyDescent="0.25">
      <c r="A3353">
        <v>203352</v>
      </c>
      <c r="B3353">
        <v>52369</v>
      </c>
      <c r="C3353" t="s">
        <v>18</v>
      </c>
      <c r="D3353">
        <v>1751.43</v>
      </c>
      <c r="E3353">
        <v>3489</v>
      </c>
      <c r="F3353">
        <v>1</v>
      </c>
      <c r="G3353">
        <v>2</v>
      </c>
      <c r="H3353">
        <v>1</v>
      </c>
      <c r="I3353" t="s">
        <v>33</v>
      </c>
      <c r="J3353">
        <v>0</v>
      </c>
      <c r="K3353">
        <v>22</v>
      </c>
      <c r="L3353" t="s">
        <v>20</v>
      </c>
      <c r="M3353" t="s">
        <v>31</v>
      </c>
      <c r="N3353" t="s">
        <v>30</v>
      </c>
      <c r="O3353" t="s">
        <v>36</v>
      </c>
      <c r="P3353">
        <v>2.74</v>
      </c>
      <c r="Q3353" s="2" t="b">
        <f>FALSE()</f>
        <v>0</v>
      </c>
      <c r="R3353">
        <v>0</v>
      </c>
    </row>
    <row r="3354" spans="1:18" x14ac:dyDescent="0.25">
      <c r="A3354">
        <v>203353</v>
      </c>
      <c r="B3354">
        <v>52682</v>
      </c>
      <c r="C3354" t="s">
        <v>34</v>
      </c>
      <c r="D3354">
        <v>2465.5500000000002</v>
      </c>
      <c r="E3354">
        <v>418</v>
      </c>
      <c r="F3354">
        <v>1</v>
      </c>
      <c r="G3354">
        <v>3</v>
      </c>
      <c r="H3354">
        <v>1</v>
      </c>
      <c r="I3354" t="s">
        <v>33</v>
      </c>
      <c r="J3354">
        <v>0</v>
      </c>
      <c r="K3354">
        <v>24</v>
      </c>
      <c r="L3354" t="s">
        <v>20</v>
      </c>
      <c r="M3354" t="s">
        <v>37</v>
      </c>
      <c r="N3354" t="s">
        <v>26</v>
      </c>
      <c r="O3354" t="s">
        <v>36</v>
      </c>
      <c r="P3354">
        <v>0.41</v>
      </c>
      <c r="Q3354" s="2" t="b">
        <f>FALSE()</f>
        <v>0</v>
      </c>
      <c r="R3354">
        <v>0</v>
      </c>
    </row>
    <row r="3355" spans="1:18" x14ac:dyDescent="0.25">
      <c r="A3355">
        <v>203354</v>
      </c>
      <c r="B3355">
        <v>53655</v>
      </c>
      <c r="C3355" t="s">
        <v>18</v>
      </c>
      <c r="D3355">
        <v>2791.27</v>
      </c>
      <c r="E3355">
        <v>1132</v>
      </c>
      <c r="F3355">
        <v>2</v>
      </c>
      <c r="G3355">
        <v>5</v>
      </c>
      <c r="H3355">
        <v>1</v>
      </c>
      <c r="I3355" t="s">
        <v>19</v>
      </c>
      <c r="J3355">
        <v>1</v>
      </c>
      <c r="K3355">
        <v>64</v>
      </c>
      <c r="L3355" t="s">
        <v>24</v>
      </c>
      <c r="M3355" t="s">
        <v>35</v>
      </c>
      <c r="N3355" t="s">
        <v>30</v>
      </c>
      <c r="O3355" t="s">
        <v>23</v>
      </c>
      <c r="P3355">
        <v>1.3</v>
      </c>
      <c r="Q3355" s="2" t="b">
        <f>FALSE()</f>
        <v>0</v>
      </c>
      <c r="R3355">
        <v>0</v>
      </c>
    </row>
    <row r="3356" spans="1:18" x14ac:dyDescent="0.25">
      <c r="A3356">
        <v>203355</v>
      </c>
      <c r="B3356">
        <v>54188</v>
      </c>
      <c r="C3356" t="s">
        <v>18</v>
      </c>
      <c r="D3356">
        <v>876.71</v>
      </c>
      <c r="E3356">
        <v>248</v>
      </c>
      <c r="F3356">
        <v>1</v>
      </c>
      <c r="G3356">
        <v>2</v>
      </c>
      <c r="H3356">
        <v>0</v>
      </c>
      <c r="I3356" t="s">
        <v>33</v>
      </c>
      <c r="J3356">
        <v>0</v>
      </c>
      <c r="K3356">
        <v>28</v>
      </c>
      <c r="L3356" t="s">
        <v>20</v>
      </c>
      <c r="M3356" t="s">
        <v>37</v>
      </c>
      <c r="N3356" t="s">
        <v>22</v>
      </c>
      <c r="O3356" t="s">
        <v>36</v>
      </c>
      <c r="P3356">
        <v>6.49</v>
      </c>
      <c r="Q3356" s="2" t="b">
        <f>FALSE()</f>
        <v>0</v>
      </c>
      <c r="R3356">
        <v>0</v>
      </c>
    </row>
    <row r="3357" spans="1:18" x14ac:dyDescent="0.25">
      <c r="A3357">
        <v>203356</v>
      </c>
      <c r="B3357">
        <v>54038</v>
      </c>
      <c r="C3357" t="s">
        <v>28</v>
      </c>
      <c r="D3357">
        <v>1199.78</v>
      </c>
      <c r="E3357">
        <v>1102</v>
      </c>
      <c r="F3357">
        <v>1</v>
      </c>
      <c r="G3357">
        <v>2</v>
      </c>
      <c r="H3357">
        <v>0</v>
      </c>
      <c r="I3357" t="s">
        <v>32</v>
      </c>
      <c r="J3357">
        <v>0</v>
      </c>
      <c r="K3357">
        <v>53</v>
      </c>
      <c r="L3357" t="s">
        <v>24</v>
      </c>
      <c r="M3357" t="s">
        <v>25</v>
      </c>
      <c r="N3357" t="s">
        <v>26</v>
      </c>
      <c r="O3357" t="s">
        <v>27</v>
      </c>
      <c r="P3357">
        <v>2.86</v>
      </c>
      <c r="Q3357" s="2" t="b">
        <f>FALSE()</f>
        <v>0</v>
      </c>
      <c r="R3357">
        <v>0</v>
      </c>
    </row>
    <row r="3358" spans="1:18" x14ac:dyDescent="0.25">
      <c r="A3358">
        <v>203357</v>
      </c>
      <c r="B3358">
        <v>52705</v>
      </c>
      <c r="C3358" t="s">
        <v>34</v>
      </c>
      <c r="D3358">
        <v>2546.7800000000002</v>
      </c>
      <c r="E3358">
        <v>1168</v>
      </c>
      <c r="F3358">
        <v>0</v>
      </c>
      <c r="G3358">
        <v>2</v>
      </c>
      <c r="H3358">
        <v>1</v>
      </c>
      <c r="I3358" t="s">
        <v>19</v>
      </c>
      <c r="J3358">
        <v>0</v>
      </c>
      <c r="K3358">
        <v>47</v>
      </c>
      <c r="L3358" t="s">
        <v>24</v>
      </c>
      <c r="M3358" t="s">
        <v>25</v>
      </c>
      <c r="N3358" t="s">
        <v>22</v>
      </c>
      <c r="O3358" t="s">
        <v>27</v>
      </c>
      <c r="P3358">
        <v>10.63</v>
      </c>
      <c r="Q3358" s="2" t="b">
        <f>FALSE()</f>
        <v>0</v>
      </c>
      <c r="R3358">
        <v>0</v>
      </c>
    </row>
    <row r="3359" spans="1:18" x14ac:dyDescent="0.25">
      <c r="A3359">
        <v>203358</v>
      </c>
      <c r="B3359">
        <v>51853</v>
      </c>
      <c r="C3359" t="s">
        <v>18</v>
      </c>
      <c r="D3359">
        <v>5168.51</v>
      </c>
      <c r="E3359">
        <v>2776</v>
      </c>
      <c r="F3359">
        <v>1</v>
      </c>
      <c r="G3359">
        <v>2</v>
      </c>
      <c r="H3359">
        <v>0</v>
      </c>
      <c r="I3359" t="s">
        <v>33</v>
      </c>
      <c r="J3359">
        <v>0</v>
      </c>
      <c r="K3359">
        <v>58</v>
      </c>
      <c r="L3359" t="s">
        <v>24</v>
      </c>
      <c r="M3359" t="s">
        <v>21</v>
      </c>
      <c r="N3359" t="s">
        <v>22</v>
      </c>
      <c r="O3359" t="s">
        <v>36</v>
      </c>
      <c r="P3359">
        <v>3.27</v>
      </c>
      <c r="Q3359" s="2" t="b">
        <f>FALSE()</f>
        <v>0</v>
      </c>
      <c r="R3359">
        <v>1</v>
      </c>
    </row>
    <row r="3360" spans="1:18" x14ac:dyDescent="0.25">
      <c r="A3360">
        <v>203359</v>
      </c>
      <c r="B3360">
        <v>52368</v>
      </c>
      <c r="C3360" t="s">
        <v>34</v>
      </c>
      <c r="D3360">
        <v>3401.67</v>
      </c>
      <c r="E3360">
        <v>2254</v>
      </c>
      <c r="F3360">
        <v>4</v>
      </c>
      <c r="G3360">
        <v>2</v>
      </c>
      <c r="H3360">
        <v>1</v>
      </c>
      <c r="I3360" t="s">
        <v>19</v>
      </c>
      <c r="J3360">
        <v>0</v>
      </c>
      <c r="K3360">
        <v>27</v>
      </c>
      <c r="L3360" t="s">
        <v>24</v>
      </c>
      <c r="M3360" t="s">
        <v>35</v>
      </c>
      <c r="N3360" t="s">
        <v>22</v>
      </c>
      <c r="O3360" t="s">
        <v>27</v>
      </c>
      <c r="P3360">
        <v>10.9</v>
      </c>
      <c r="Q3360" s="2" t="b">
        <f>FALSE()</f>
        <v>0</v>
      </c>
      <c r="R3360">
        <v>1</v>
      </c>
    </row>
    <row r="3361" spans="1:18" x14ac:dyDescent="0.25">
      <c r="A3361">
        <v>203360</v>
      </c>
      <c r="B3361">
        <v>54748</v>
      </c>
      <c r="C3361" t="s">
        <v>28</v>
      </c>
      <c r="D3361">
        <v>1210.72</v>
      </c>
      <c r="E3361">
        <v>1672</v>
      </c>
      <c r="F3361">
        <v>0</v>
      </c>
      <c r="G3361">
        <v>5</v>
      </c>
      <c r="H3361">
        <v>1</v>
      </c>
      <c r="I3361" t="s">
        <v>33</v>
      </c>
      <c r="J3361">
        <v>0</v>
      </c>
      <c r="K3361">
        <v>28</v>
      </c>
      <c r="L3361" t="s">
        <v>20</v>
      </c>
      <c r="M3361" t="s">
        <v>29</v>
      </c>
      <c r="N3361" t="s">
        <v>22</v>
      </c>
      <c r="O3361" t="s">
        <v>27</v>
      </c>
      <c r="P3361">
        <v>0.05</v>
      </c>
      <c r="Q3361" s="2" t="b">
        <f>FALSE()</f>
        <v>0</v>
      </c>
      <c r="R3361">
        <v>0</v>
      </c>
    </row>
    <row r="3362" spans="1:18" x14ac:dyDescent="0.25">
      <c r="A3362">
        <v>203361</v>
      </c>
      <c r="B3362">
        <v>54104</v>
      </c>
      <c r="C3362" t="s">
        <v>18</v>
      </c>
      <c r="D3362">
        <v>1255.92</v>
      </c>
      <c r="E3362">
        <v>3413</v>
      </c>
      <c r="F3362">
        <v>2</v>
      </c>
      <c r="G3362">
        <v>3</v>
      </c>
      <c r="H3362">
        <v>0</v>
      </c>
      <c r="I3362" t="s">
        <v>33</v>
      </c>
      <c r="J3362">
        <v>1</v>
      </c>
      <c r="K3362">
        <v>27</v>
      </c>
      <c r="L3362" t="s">
        <v>20</v>
      </c>
      <c r="M3362" t="s">
        <v>25</v>
      </c>
      <c r="N3362" t="s">
        <v>26</v>
      </c>
      <c r="O3362" t="s">
        <v>27</v>
      </c>
      <c r="P3362">
        <v>7.54</v>
      </c>
      <c r="Q3362" s="2" t="b">
        <f>FALSE()</f>
        <v>0</v>
      </c>
      <c r="R3362">
        <v>0</v>
      </c>
    </row>
    <row r="3363" spans="1:18" x14ac:dyDescent="0.25">
      <c r="A3363">
        <v>203362</v>
      </c>
      <c r="B3363">
        <v>54241</v>
      </c>
      <c r="C3363" t="s">
        <v>18</v>
      </c>
      <c r="D3363">
        <v>1561.86</v>
      </c>
      <c r="E3363">
        <v>2327</v>
      </c>
      <c r="F3363">
        <v>2</v>
      </c>
      <c r="G3363">
        <v>8</v>
      </c>
      <c r="H3363">
        <v>1</v>
      </c>
      <c r="I3363" t="s">
        <v>33</v>
      </c>
      <c r="J3363">
        <v>0</v>
      </c>
      <c r="K3363">
        <v>50</v>
      </c>
      <c r="L3363" t="s">
        <v>24</v>
      </c>
      <c r="M3363" t="s">
        <v>35</v>
      </c>
      <c r="N3363" t="s">
        <v>30</v>
      </c>
      <c r="O3363" t="s">
        <v>36</v>
      </c>
      <c r="P3363">
        <v>0.75</v>
      </c>
      <c r="Q3363" s="2" t="b">
        <f>FALSE()</f>
        <v>0</v>
      </c>
      <c r="R3363">
        <v>1</v>
      </c>
    </row>
    <row r="3364" spans="1:18" x14ac:dyDescent="0.25">
      <c r="A3364">
        <v>203363</v>
      </c>
      <c r="B3364">
        <v>52718</v>
      </c>
      <c r="C3364" t="s">
        <v>18</v>
      </c>
      <c r="D3364">
        <v>1282.81</v>
      </c>
      <c r="E3364">
        <v>3129</v>
      </c>
      <c r="F3364">
        <v>2</v>
      </c>
      <c r="G3364">
        <v>2</v>
      </c>
      <c r="H3364">
        <v>0</v>
      </c>
      <c r="I3364" t="s">
        <v>33</v>
      </c>
      <c r="J3364">
        <v>0</v>
      </c>
      <c r="K3364">
        <v>19</v>
      </c>
      <c r="L3364" t="s">
        <v>20</v>
      </c>
      <c r="M3364" t="s">
        <v>29</v>
      </c>
      <c r="N3364" t="s">
        <v>26</v>
      </c>
      <c r="O3364" t="s">
        <v>36</v>
      </c>
      <c r="P3364">
        <v>9.56</v>
      </c>
      <c r="Q3364" s="2" t="b">
        <f>FALSE()</f>
        <v>0</v>
      </c>
      <c r="R3364">
        <v>0</v>
      </c>
    </row>
    <row r="3365" spans="1:18" x14ac:dyDescent="0.25">
      <c r="A3365">
        <v>203364</v>
      </c>
      <c r="B3365">
        <v>53191</v>
      </c>
      <c r="C3365" t="s">
        <v>34</v>
      </c>
      <c r="D3365">
        <v>2137.04</v>
      </c>
      <c r="E3365">
        <v>1539</v>
      </c>
      <c r="F3365">
        <v>0</v>
      </c>
      <c r="G3365">
        <v>2</v>
      </c>
      <c r="H3365">
        <v>0</v>
      </c>
      <c r="I3365" t="s">
        <v>19</v>
      </c>
      <c r="J3365">
        <v>0</v>
      </c>
      <c r="K3365">
        <v>64</v>
      </c>
      <c r="L3365" t="s">
        <v>20</v>
      </c>
      <c r="M3365" t="s">
        <v>35</v>
      </c>
      <c r="N3365" t="s">
        <v>22</v>
      </c>
      <c r="O3365" t="s">
        <v>27</v>
      </c>
      <c r="P3365">
        <v>3.76</v>
      </c>
      <c r="Q3365" s="2" t="b">
        <f>FALSE()</f>
        <v>0</v>
      </c>
      <c r="R3365">
        <v>0</v>
      </c>
    </row>
    <row r="3366" spans="1:18" x14ac:dyDescent="0.25">
      <c r="A3366">
        <v>203365</v>
      </c>
      <c r="B3366">
        <v>55663</v>
      </c>
      <c r="C3366" t="s">
        <v>34</v>
      </c>
      <c r="D3366">
        <v>2219.0500000000002</v>
      </c>
      <c r="E3366">
        <v>973</v>
      </c>
      <c r="F3366">
        <v>1</v>
      </c>
      <c r="G3366">
        <v>7</v>
      </c>
      <c r="H3366">
        <v>0</v>
      </c>
      <c r="I3366" t="s">
        <v>19</v>
      </c>
      <c r="J3366">
        <v>0</v>
      </c>
      <c r="K3366">
        <v>43</v>
      </c>
      <c r="L3366" t="s">
        <v>24</v>
      </c>
      <c r="M3366" t="s">
        <v>25</v>
      </c>
      <c r="N3366" t="s">
        <v>30</v>
      </c>
      <c r="O3366" t="s">
        <v>36</v>
      </c>
      <c r="P3366">
        <v>1.46</v>
      </c>
      <c r="Q3366" s="2" t="b">
        <f>FALSE()</f>
        <v>0</v>
      </c>
      <c r="R3366">
        <v>1</v>
      </c>
    </row>
    <row r="3367" spans="1:18" x14ac:dyDescent="0.25">
      <c r="A3367">
        <v>203366</v>
      </c>
      <c r="B3367">
        <v>50194</v>
      </c>
      <c r="C3367" t="s">
        <v>28</v>
      </c>
      <c r="D3367">
        <v>2879.51</v>
      </c>
      <c r="E3367">
        <v>2938</v>
      </c>
      <c r="F3367">
        <v>0</v>
      </c>
      <c r="G3367">
        <v>4</v>
      </c>
      <c r="H3367">
        <v>0</v>
      </c>
      <c r="I3367" t="s">
        <v>33</v>
      </c>
      <c r="J3367">
        <v>0</v>
      </c>
      <c r="K3367">
        <v>79</v>
      </c>
      <c r="L3367" t="s">
        <v>24</v>
      </c>
      <c r="M3367" t="s">
        <v>35</v>
      </c>
      <c r="N3367" t="s">
        <v>22</v>
      </c>
      <c r="O3367" t="s">
        <v>27</v>
      </c>
      <c r="P3367">
        <v>3.94</v>
      </c>
      <c r="Q3367" s="2" t="b">
        <f>FALSE()</f>
        <v>0</v>
      </c>
      <c r="R3367">
        <v>0</v>
      </c>
    </row>
    <row r="3368" spans="1:18" x14ac:dyDescent="0.25">
      <c r="A3368">
        <v>203367</v>
      </c>
      <c r="B3368">
        <v>51651</v>
      </c>
      <c r="C3368" t="s">
        <v>34</v>
      </c>
      <c r="D3368">
        <v>1143.8599999999999</v>
      </c>
      <c r="E3368">
        <v>2020</v>
      </c>
      <c r="F3368">
        <v>1</v>
      </c>
      <c r="G3368">
        <v>7</v>
      </c>
      <c r="H3368">
        <v>0</v>
      </c>
      <c r="I3368" t="s">
        <v>19</v>
      </c>
      <c r="J3368">
        <v>1</v>
      </c>
      <c r="K3368">
        <v>57</v>
      </c>
      <c r="L3368" t="s">
        <v>20</v>
      </c>
      <c r="M3368" t="s">
        <v>35</v>
      </c>
      <c r="N3368" t="s">
        <v>26</v>
      </c>
      <c r="O3368" t="s">
        <v>27</v>
      </c>
      <c r="P3368">
        <v>3.42</v>
      </c>
      <c r="Q3368" s="2" t="b">
        <f>FALSE()</f>
        <v>0</v>
      </c>
      <c r="R3368">
        <v>1</v>
      </c>
    </row>
    <row r="3369" spans="1:18" x14ac:dyDescent="0.25">
      <c r="A3369">
        <v>203368</v>
      </c>
      <c r="B3369">
        <v>55344</v>
      </c>
      <c r="C3369" t="s">
        <v>18</v>
      </c>
      <c r="D3369">
        <v>2281.33</v>
      </c>
      <c r="E3369">
        <v>2942</v>
      </c>
      <c r="F3369">
        <v>0</v>
      </c>
      <c r="G3369">
        <v>3</v>
      </c>
      <c r="H3369">
        <v>1</v>
      </c>
      <c r="I3369" t="s">
        <v>33</v>
      </c>
      <c r="J3369">
        <v>0</v>
      </c>
      <c r="K3369">
        <v>52</v>
      </c>
      <c r="L3369" t="s">
        <v>24</v>
      </c>
      <c r="M3369" t="s">
        <v>21</v>
      </c>
      <c r="N3369" t="s">
        <v>22</v>
      </c>
      <c r="O3369" t="s">
        <v>23</v>
      </c>
      <c r="P3369">
        <v>1.08</v>
      </c>
      <c r="Q3369" s="2" t="b">
        <f>FALSE()</f>
        <v>0</v>
      </c>
      <c r="R3369">
        <v>0</v>
      </c>
    </row>
    <row r="3370" spans="1:18" x14ac:dyDescent="0.25">
      <c r="A3370">
        <v>203369</v>
      </c>
      <c r="B3370">
        <v>52620</v>
      </c>
      <c r="C3370" t="s">
        <v>34</v>
      </c>
      <c r="D3370">
        <v>566.66</v>
      </c>
      <c r="E3370">
        <v>462</v>
      </c>
      <c r="F3370">
        <v>2</v>
      </c>
      <c r="G3370">
        <v>6</v>
      </c>
      <c r="H3370">
        <v>0</v>
      </c>
      <c r="I3370" t="s">
        <v>32</v>
      </c>
      <c r="J3370">
        <v>0</v>
      </c>
      <c r="K3370">
        <v>70</v>
      </c>
      <c r="L3370" t="s">
        <v>20</v>
      </c>
      <c r="M3370" t="s">
        <v>21</v>
      </c>
      <c r="N3370" t="s">
        <v>22</v>
      </c>
      <c r="O3370" t="s">
        <v>36</v>
      </c>
      <c r="P3370">
        <v>0.28999999999999998</v>
      </c>
      <c r="Q3370" s="2" t="b">
        <f>FALSE()</f>
        <v>0</v>
      </c>
      <c r="R3370">
        <v>0</v>
      </c>
    </row>
    <row r="3371" spans="1:18" x14ac:dyDescent="0.25">
      <c r="A3371">
        <v>203370</v>
      </c>
      <c r="B3371">
        <v>55962</v>
      </c>
      <c r="C3371" t="s">
        <v>34</v>
      </c>
      <c r="D3371">
        <v>4153.75</v>
      </c>
      <c r="E3371">
        <v>1318</v>
      </c>
      <c r="F3371">
        <v>1</v>
      </c>
      <c r="G3371">
        <v>3</v>
      </c>
      <c r="H3371">
        <v>0</v>
      </c>
      <c r="I3371" t="s">
        <v>33</v>
      </c>
      <c r="J3371">
        <v>0</v>
      </c>
      <c r="K3371">
        <v>22</v>
      </c>
      <c r="L3371" t="s">
        <v>20</v>
      </c>
      <c r="M3371" t="s">
        <v>37</v>
      </c>
      <c r="N3371" t="s">
        <v>26</v>
      </c>
      <c r="O3371" t="s">
        <v>23</v>
      </c>
      <c r="P3371">
        <v>1.31</v>
      </c>
      <c r="Q3371" s="2" t="b">
        <f>FALSE()</f>
        <v>0</v>
      </c>
      <c r="R3371">
        <v>1</v>
      </c>
    </row>
    <row r="3372" spans="1:18" x14ac:dyDescent="0.25">
      <c r="A3372">
        <v>203371</v>
      </c>
      <c r="B3372">
        <v>53637</v>
      </c>
      <c r="C3372" t="s">
        <v>34</v>
      </c>
      <c r="D3372">
        <v>2921.46</v>
      </c>
      <c r="E3372">
        <v>2617</v>
      </c>
      <c r="F3372">
        <v>1</v>
      </c>
      <c r="G3372">
        <v>9</v>
      </c>
      <c r="H3372">
        <v>0</v>
      </c>
      <c r="I3372" t="s">
        <v>33</v>
      </c>
      <c r="J3372">
        <v>0</v>
      </c>
      <c r="K3372">
        <v>41</v>
      </c>
      <c r="L3372" t="s">
        <v>24</v>
      </c>
      <c r="M3372" t="s">
        <v>25</v>
      </c>
      <c r="N3372" t="s">
        <v>30</v>
      </c>
      <c r="O3372" t="s">
        <v>36</v>
      </c>
      <c r="P3372">
        <v>2.04</v>
      </c>
      <c r="Q3372" s="2" t="b">
        <f>FALSE()</f>
        <v>0</v>
      </c>
      <c r="R3372">
        <v>1</v>
      </c>
    </row>
    <row r="3373" spans="1:18" x14ac:dyDescent="0.25">
      <c r="A3373">
        <v>203372</v>
      </c>
      <c r="B3373">
        <v>55657</v>
      </c>
      <c r="C3373" t="s">
        <v>34</v>
      </c>
      <c r="D3373">
        <v>3352.97</v>
      </c>
      <c r="E3373">
        <v>1784</v>
      </c>
      <c r="F3373">
        <v>4</v>
      </c>
      <c r="G3373">
        <v>4</v>
      </c>
      <c r="H3373">
        <v>0</v>
      </c>
      <c r="I3373" t="s">
        <v>19</v>
      </c>
      <c r="J3373">
        <v>0</v>
      </c>
      <c r="K3373">
        <v>51</v>
      </c>
      <c r="L3373" t="s">
        <v>24</v>
      </c>
      <c r="M3373" t="s">
        <v>25</v>
      </c>
      <c r="N3373" t="s">
        <v>22</v>
      </c>
      <c r="O3373" t="s">
        <v>36</v>
      </c>
      <c r="P3373">
        <v>0.14000000000000001</v>
      </c>
      <c r="Q3373" s="2" t="b">
        <f>FALSE()</f>
        <v>0</v>
      </c>
      <c r="R3373">
        <v>1</v>
      </c>
    </row>
    <row r="3374" spans="1:18" x14ac:dyDescent="0.25">
      <c r="A3374">
        <v>203373</v>
      </c>
      <c r="B3374">
        <v>51719</v>
      </c>
      <c r="C3374" t="s">
        <v>28</v>
      </c>
      <c r="D3374">
        <v>2675.49</v>
      </c>
      <c r="E3374">
        <v>1610</v>
      </c>
      <c r="F3374">
        <v>2</v>
      </c>
      <c r="G3374">
        <v>4</v>
      </c>
      <c r="H3374">
        <v>0</v>
      </c>
      <c r="I3374" t="s">
        <v>33</v>
      </c>
      <c r="J3374">
        <v>0</v>
      </c>
      <c r="K3374">
        <v>21</v>
      </c>
      <c r="L3374" t="s">
        <v>20</v>
      </c>
      <c r="M3374" t="s">
        <v>25</v>
      </c>
      <c r="N3374" t="s">
        <v>30</v>
      </c>
      <c r="O3374" t="s">
        <v>36</v>
      </c>
      <c r="P3374">
        <v>0.85</v>
      </c>
      <c r="Q3374" s="2" t="b">
        <f>FALSE()</f>
        <v>0</v>
      </c>
      <c r="R3374">
        <v>0</v>
      </c>
    </row>
    <row r="3375" spans="1:18" x14ac:dyDescent="0.25">
      <c r="A3375">
        <v>203374</v>
      </c>
      <c r="B3375">
        <v>50676</v>
      </c>
      <c r="C3375" t="s">
        <v>18</v>
      </c>
      <c r="D3375">
        <v>2117.5100000000002</v>
      </c>
      <c r="E3375">
        <v>2628</v>
      </c>
      <c r="F3375">
        <v>1</v>
      </c>
      <c r="G3375">
        <v>5</v>
      </c>
      <c r="H3375">
        <v>0</v>
      </c>
      <c r="I3375" t="s">
        <v>33</v>
      </c>
      <c r="J3375">
        <v>0</v>
      </c>
      <c r="K3375">
        <v>74</v>
      </c>
      <c r="L3375" t="s">
        <v>20</v>
      </c>
      <c r="M3375" t="s">
        <v>31</v>
      </c>
      <c r="N3375" t="s">
        <v>22</v>
      </c>
      <c r="O3375" t="s">
        <v>23</v>
      </c>
      <c r="P3375">
        <v>8.82</v>
      </c>
      <c r="Q3375" s="2" t="b">
        <f>FALSE()</f>
        <v>0</v>
      </c>
      <c r="R3375">
        <v>0</v>
      </c>
    </row>
    <row r="3376" spans="1:18" x14ac:dyDescent="0.25">
      <c r="A3376">
        <v>203375</v>
      </c>
      <c r="B3376">
        <v>52954</v>
      </c>
      <c r="C3376" t="s">
        <v>18</v>
      </c>
      <c r="D3376">
        <v>2573.6999999999998</v>
      </c>
      <c r="E3376">
        <v>3439</v>
      </c>
      <c r="F3376">
        <v>0</v>
      </c>
      <c r="G3376">
        <v>3</v>
      </c>
      <c r="H3376">
        <v>1</v>
      </c>
      <c r="I3376" t="s">
        <v>19</v>
      </c>
      <c r="J3376">
        <v>0</v>
      </c>
      <c r="K3376">
        <v>21</v>
      </c>
      <c r="L3376" t="s">
        <v>20</v>
      </c>
      <c r="M3376" t="s">
        <v>35</v>
      </c>
      <c r="N3376" t="s">
        <v>30</v>
      </c>
      <c r="O3376" t="s">
        <v>36</v>
      </c>
      <c r="P3376">
        <v>5.5</v>
      </c>
      <c r="Q3376" s="2" t="b">
        <f>FALSE()</f>
        <v>0</v>
      </c>
      <c r="R3376">
        <v>0</v>
      </c>
    </row>
    <row r="3377" spans="1:18" x14ac:dyDescent="0.25">
      <c r="A3377">
        <v>203376</v>
      </c>
      <c r="B3377">
        <v>51829</v>
      </c>
      <c r="C3377" t="s">
        <v>28</v>
      </c>
      <c r="D3377">
        <v>4685.3599999999997</v>
      </c>
      <c r="E3377">
        <v>1889</v>
      </c>
      <c r="F3377">
        <v>2</v>
      </c>
      <c r="G3377">
        <v>4</v>
      </c>
      <c r="H3377">
        <v>0</v>
      </c>
      <c r="I3377" t="s">
        <v>33</v>
      </c>
      <c r="J3377">
        <v>0</v>
      </c>
      <c r="K3377">
        <v>30</v>
      </c>
      <c r="L3377" t="s">
        <v>24</v>
      </c>
      <c r="M3377" t="s">
        <v>31</v>
      </c>
      <c r="N3377" t="s">
        <v>26</v>
      </c>
      <c r="O3377" t="s">
        <v>23</v>
      </c>
      <c r="P3377">
        <v>0.04</v>
      </c>
      <c r="Q3377" s="2" t="b">
        <f>FALSE()</f>
        <v>0</v>
      </c>
      <c r="R3377">
        <v>1</v>
      </c>
    </row>
    <row r="3378" spans="1:18" x14ac:dyDescent="0.25">
      <c r="A3378">
        <v>203377</v>
      </c>
      <c r="B3378">
        <v>55817</v>
      </c>
      <c r="C3378" t="s">
        <v>18</v>
      </c>
      <c r="D3378">
        <v>4484.13</v>
      </c>
      <c r="E3378">
        <v>2732</v>
      </c>
      <c r="F3378">
        <v>0</v>
      </c>
      <c r="G3378">
        <v>1</v>
      </c>
      <c r="H3378">
        <v>0</v>
      </c>
      <c r="I3378" t="s">
        <v>33</v>
      </c>
      <c r="J3378">
        <v>0</v>
      </c>
      <c r="K3378">
        <v>19</v>
      </c>
      <c r="L3378" t="s">
        <v>24</v>
      </c>
      <c r="M3378" t="s">
        <v>29</v>
      </c>
      <c r="N3378" t="s">
        <v>22</v>
      </c>
      <c r="O3378" t="s">
        <v>27</v>
      </c>
      <c r="P3378">
        <v>6.16</v>
      </c>
      <c r="Q3378" s="2" t="b">
        <f>FALSE()</f>
        <v>0</v>
      </c>
      <c r="R3378">
        <v>1</v>
      </c>
    </row>
    <row r="3379" spans="1:18" x14ac:dyDescent="0.25">
      <c r="A3379">
        <v>203378</v>
      </c>
      <c r="B3379">
        <v>54579</v>
      </c>
      <c r="C3379" t="s">
        <v>18</v>
      </c>
      <c r="D3379">
        <v>2521.63</v>
      </c>
      <c r="E3379">
        <v>1695</v>
      </c>
      <c r="F3379">
        <v>1</v>
      </c>
      <c r="G3379">
        <v>6</v>
      </c>
      <c r="H3379">
        <v>0</v>
      </c>
      <c r="I3379" t="s">
        <v>33</v>
      </c>
      <c r="J3379">
        <v>0</v>
      </c>
      <c r="K3379">
        <v>63</v>
      </c>
      <c r="L3379" t="s">
        <v>20</v>
      </c>
      <c r="M3379" t="s">
        <v>25</v>
      </c>
      <c r="N3379" t="s">
        <v>22</v>
      </c>
      <c r="O3379" t="s">
        <v>27</v>
      </c>
      <c r="P3379">
        <v>1.1599999999999999</v>
      </c>
      <c r="Q3379" s="2" t="b">
        <f>FALSE()</f>
        <v>0</v>
      </c>
      <c r="R3379">
        <v>0</v>
      </c>
    </row>
    <row r="3380" spans="1:18" x14ac:dyDescent="0.25">
      <c r="A3380">
        <v>203379</v>
      </c>
      <c r="B3380">
        <v>52115</v>
      </c>
      <c r="C3380" t="s">
        <v>18</v>
      </c>
      <c r="D3380">
        <v>2833.09</v>
      </c>
      <c r="E3380">
        <v>782</v>
      </c>
      <c r="F3380">
        <v>2</v>
      </c>
      <c r="G3380">
        <v>4</v>
      </c>
      <c r="H3380">
        <v>0</v>
      </c>
      <c r="I3380" t="s">
        <v>32</v>
      </c>
      <c r="J3380">
        <v>0</v>
      </c>
      <c r="K3380">
        <v>33</v>
      </c>
      <c r="L3380" t="s">
        <v>20</v>
      </c>
      <c r="M3380" t="s">
        <v>25</v>
      </c>
      <c r="N3380" t="s">
        <v>26</v>
      </c>
      <c r="O3380" t="s">
        <v>36</v>
      </c>
      <c r="P3380">
        <v>0.03</v>
      </c>
      <c r="Q3380" s="2" t="b">
        <f>FALSE()</f>
        <v>0</v>
      </c>
      <c r="R3380">
        <v>0</v>
      </c>
    </row>
    <row r="3381" spans="1:18" x14ac:dyDescent="0.25">
      <c r="A3381">
        <v>203380</v>
      </c>
      <c r="B3381">
        <v>51561</v>
      </c>
      <c r="C3381" t="s">
        <v>34</v>
      </c>
      <c r="D3381">
        <v>3736.64</v>
      </c>
      <c r="E3381">
        <v>2069</v>
      </c>
      <c r="F3381">
        <v>2</v>
      </c>
      <c r="G3381">
        <v>2</v>
      </c>
      <c r="H3381">
        <v>1</v>
      </c>
      <c r="I3381" t="s">
        <v>33</v>
      </c>
      <c r="J3381">
        <v>0</v>
      </c>
      <c r="K3381">
        <v>22</v>
      </c>
      <c r="L3381" t="s">
        <v>24</v>
      </c>
      <c r="M3381" t="s">
        <v>31</v>
      </c>
      <c r="N3381" t="s">
        <v>26</v>
      </c>
      <c r="O3381" t="s">
        <v>36</v>
      </c>
      <c r="P3381">
        <v>12.42</v>
      </c>
      <c r="Q3381" s="2" t="b">
        <f>FALSE()</f>
        <v>0</v>
      </c>
      <c r="R3381">
        <v>1</v>
      </c>
    </row>
    <row r="3382" spans="1:18" x14ac:dyDescent="0.25">
      <c r="A3382">
        <v>203381</v>
      </c>
      <c r="B3382">
        <v>53834</v>
      </c>
      <c r="C3382" t="s">
        <v>34</v>
      </c>
      <c r="D3382">
        <v>1495.09</v>
      </c>
      <c r="E3382">
        <v>1491</v>
      </c>
      <c r="F3382">
        <v>1</v>
      </c>
      <c r="G3382">
        <v>3</v>
      </c>
      <c r="H3382">
        <v>0</v>
      </c>
      <c r="I3382" t="s">
        <v>32</v>
      </c>
      <c r="J3382">
        <v>0</v>
      </c>
      <c r="K3382">
        <v>28</v>
      </c>
      <c r="L3382" t="s">
        <v>24</v>
      </c>
      <c r="M3382" t="s">
        <v>35</v>
      </c>
      <c r="N3382" t="s">
        <v>26</v>
      </c>
      <c r="O3382" t="s">
        <v>27</v>
      </c>
      <c r="P3382">
        <v>1.56</v>
      </c>
      <c r="Q3382" s="2" t="b">
        <f>FALSE()</f>
        <v>0</v>
      </c>
      <c r="R3382">
        <v>0</v>
      </c>
    </row>
    <row r="3383" spans="1:18" x14ac:dyDescent="0.25">
      <c r="A3383">
        <v>203382</v>
      </c>
      <c r="B3383">
        <v>50993</v>
      </c>
      <c r="C3383" t="s">
        <v>34</v>
      </c>
      <c r="D3383">
        <v>1239.45</v>
      </c>
      <c r="E3383">
        <v>862</v>
      </c>
      <c r="F3383">
        <v>0</v>
      </c>
      <c r="G3383">
        <v>3</v>
      </c>
      <c r="H3383">
        <v>1</v>
      </c>
      <c r="I3383" t="s">
        <v>19</v>
      </c>
      <c r="J3383">
        <v>0</v>
      </c>
      <c r="K3383">
        <v>49</v>
      </c>
      <c r="L3383" t="s">
        <v>24</v>
      </c>
      <c r="M3383" t="s">
        <v>21</v>
      </c>
      <c r="N3383" t="s">
        <v>30</v>
      </c>
      <c r="O3383" t="s">
        <v>36</v>
      </c>
      <c r="P3383">
        <v>9.5299999999999994</v>
      </c>
      <c r="Q3383" s="2" t="b">
        <f>FALSE()</f>
        <v>0</v>
      </c>
      <c r="R3383">
        <v>0</v>
      </c>
    </row>
    <row r="3384" spans="1:18" x14ac:dyDescent="0.25">
      <c r="A3384">
        <v>203383</v>
      </c>
      <c r="B3384">
        <v>51350</v>
      </c>
      <c r="C3384" t="s">
        <v>34</v>
      </c>
      <c r="D3384">
        <v>8661.93</v>
      </c>
      <c r="E3384">
        <v>2005</v>
      </c>
      <c r="F3384">
        <v>1</v>
      </c>
      <c r="G3384">
        <v>0</v>
      </c>
      <c r="H3384">
        <v>0</v>
      </c>
      <c r="I3384" t="s">
        <v>33</v>
      </c>
      <c r="J3384">
        <v>0</v>
      </c>
      <c r="K3384">
        <v>51</v>
      </c>
      <c r="L3384" t="s">
        <v>24</v>
      </c>
      <c r="M3384" t="s">
        <v>21</v>
      </c>
      <c r="N3384" t="s">
        <v>22</v>
      </c>
      <c r="O3384" t="s">
        <v>23</v>
      </c>
      <c r="P3384">
        <v>0.12</v>
      </c>
      <c r="Q3384" s="2" t="b">
        <f>TRUE()</f>
        <v>1</v>
      </c>
      <c r="R3384">
        <v>1</v>
      </c>
    </row>
    <row r="3385" spans="1:18" x14ac:dyDescent="0.25">
      <c r="A3385">
        <v>203384</v>
      </c>
      <c r="B3385">
        <v>53016</v>
      </c>
      <c r="C3385" t="s">
        <v>18</v>
      </c>
      <c r="D3385">
        <v>1636.25</v>
      </c>
      <c r="E3385">
        <v>507</v>
      </c>
      <c r="F3385">
        <v>2</v>
      </c>
      <c r="G3385">
        <v>4</v>
      </c>
      <c r="H3385">
        <v>0</v>
      </c>
      <c r="I3385" t="s">
        <v>19</v>
      </c>
      <c r="J3385">
        <v>0</v>
      </c>
      <c r="K3385">
        <v>32</v>
      </c>
      <c r="L3385" t="s">
        <v>24</v>
      </c>
      <c r="M3385" t="s">
        <v>31</v>
      </c>
      <c r="N3385" t="s">
        <v>22</v>
      </c>
      <c r="O3385" t="s">
        <v>27</v>
      </c>
      <c r="P3385">
        <v>5.0999999999999996</v>
      </c>
      <c r="Q3385" s="2" t="b">
        <f>FALSE()</f>
        <v>0</v>
      </c>
      <c r="R3385">
        <v>0</v>
      </c>
    </row>
    <row r="3386" spans="1:18" x14ac:dyDescent="0.25">
      <c r="A3386">
        <v>203385</v>
      </c>
      <c r="B3386">
        <v>53437</v>
      </c>
      <c r="C3386" t="s">
        <v>28</v>
      </c>
      <c r="D3386">
        <v>195.86</v>
      </c>
      <c r="E3386">
        <v>3568</v>
      </c>
      <c r="F3386">
        <v>0</v>
      </c>
      <c r="G3386">
        <v>6</v>
      </c>
      <c r="H3386">
        <v>0</v>
      </c>
      <c r="I3386" t="s">
        <v>32</v>
      </c>
      <c r="J3386">
        <v>1</v>
      </c>
      <c r="K3386">
        <v>18</v>
      </c>
      <c r="L3386" t="s">
        <v>24</v>
      </c>
      <c r="M3386" t="s">
        <v>31</v>
      </c>
      <c r="N3386" t="s">
        <v>30</v>
      </c>
      <c r="O3386" t="s">
        <v>23</v>
      </c>
      <c r="P3386">
        <v>0.89</v>
      </c>
      <c r="Q3386" s="2" t="b">
        <f>FALSE()</f>
        <v>0</v>
      </c>
      <c r="R3386">
        <v>0</v>
      </c>
    </row>
    <row r="3387" spans="1:18" x14ac:dyDescent="0.25">
      <c r="A3387">
        <v>203386</v>
      </c>
      <c r="B3387">
        <v>53865</v>
      </c>
      <c r="C3387" t="s">
        <v>18</v>
      </c>
      <c r="D3387">
        <v>2843.29</v>
      </c>
      <c r="E3387">
        <v>2996</v>
      </c>
      <c r="F3387">
        <v>0</v>
      </c>
      <c r="G3387">
        <v>7</v>
      </c>
      <c r="H3387">
        <v>0</v>
      </c>
      <c r="I3387" t="s">
        <v>33</v>
      </c>
      <c r="J3387">
        <v>0</v>
      </c>
      <c r="K3387">
        <v>81</v>
      </c>
      <c r="L3387" t="s">
        <v>24</v>
      </c>
      <c r="M3387" t="s">
        <v>25</v>
      </c>
      <c r="N3387" t="s">
        <v>30</v>
      </c>
      <c r="O3387" t="s">
        <v>27</v>
      </c>
      <c r="P3387">
        <v>1.28</v>
      </c>
      <c r="Q3387" s="2" t="b">
        <f>FALSE()</f>
        <v>0</v>
      </c>
      <c r="R3387">
        <v>1</v>
      </c>
    </row>
    <row r="3388" spans="1:18" x14ac:dyDescent="0.25">
      <c r="A3388">
        <v>203387</v>
      </c>
      <c r="B3388">
        <v>54423</v>
      </c>
      <c r="C3388" t="s">
        <v>34</v>
      </c>
      <c r="D3388">
        <v>789.52</v>
      </c>
      <c r="E3388">
        <v>817</v>
      </c>
      <c r="F3388">
        <v>4</v>
      </c>
      <c r="G3388">
        <v>3</v>
      </c>
      <c r="H3388">
        <v>1</v>
      </c>
      <c r="I3388" t="s">
        <v>19</v>
      </c>
      <c r="J3388">
        <v>0</v>
      </c>
      <c r="K3388">
        <v>42</v>
      </c>
      <c r="L3388" t="s">
        <v>24</v>
      </c>
      <c r="M3388" t="s">
        <v>21</v>
      </c>
      <c r="N3388" t="s">
        <v>26</v>
      </c>
      <c r="O3388" t="s">
        <v>27</v>
      </c>
      <c r="P3388">
        <v>1.1000000000000001</v>
      </c>
      <c r="Q3388" s="2" t="b">
        <f>FALSE()</f>
        <v>0</v>
      </c>
      <c r="R3388">
        <v>1</v>
      </c>
    </row>
    <row r="3389" spans="1:18" x14ac:dyDescent="0.25">
      <c r="A3389">
        <v>203388</v>
      </c>
      <c r="B3389">
        <v>54733</v>
      </c>
      <c r="C3389" t="s">
        <v>18</v>
      </c>
      <c r="D3389">
        <v>2547.63</v>
      </c>
      <c r="E3389">
        <v>2413</v>
      </c>
      <c r="F3389">
        <v>0</v>
      </c>
      <c r="G3389">
        <v>6</v>
      </c>
      <c r="H3389">
        <v>1</v>
      </c>
      <c r="I3389" t="s">
        <v>19</v>
      </c>
      <c r="J3389">
        <v>0</v>
      </c>
      <c r="K3389">
        <v>62</v>
      </c>
      <c r="L3389" t="s">
        <v>24</v>
      </c>
      <c r="M3389" t="s">
        <v>25</v>
      </c>
      <c r="N3389" t="s">
        <v>26</v>
      </c>
      <c r="O3389" t="s">
        <v>27</v>
      </c>
      <c r="P3389">
        <v>0.81</v>
      </c>
      <c r="Q3389" s="2" t="b">
        <f>FALSE()</f>
        <v>0</v>
      </c>
      <c r="R3389">
        <v>0</v>
      </c>
    </row>
    <row r="3390" spans="1:18" x14ac:dyDescent="0.25">
      <c r="A3390">
        <v>203389</v>
      </c>
      <c r="B3390">
        <v>52971</v>
      </c>
      <c r="C3390" t="s">
        <v>18</v>
      </c>
      <c r="D3390">
        <v>2400.71</v>
      </c>
      <c r="E3390">
        <v>3016</v>
      </c>
      <c r="F3390">
        <v>1</v>
      </c>
      <c r="G3390">
        <v>5</v>
      </c>
      <c r="H3390">
        <v>0</v>
      </c>
      <c r="I3390" t="s">
        <v>19</v>
      </c>
      <c r="J3390">
        <v>0</v>
      </c>
      <c r="K3390">
        <v>60</v>
      </c>
      <c r="L3390" t="s">
        <v>24</v>
      </c>
      <c r="M3390" t="s">
        <v>35</v>
      </c>
      <c r="N3390" t="s">
        <v>22</v>
      </c>
      <c r="O3390" t="s">
        <v>36</v>
      </c>
      <c r="P3390">
        <v>2.98</v>
      </c>
      <c r="Q3390" s="2" t="b">
        <f>FALSE()</f>
        <v>0</v>
      </c>
      <c r="R3390">
        <v>0</v>
      </c>
    </row>
    <row r="3391" spans="1:18" x14ac:dyDescent="0.25">
      <c r="A3391">
        <v>203390</v>
      </c>
      <c r="B3391">
        <v>50712</v>
      </c>
      <c r="C3391" t="s">
        <v>18</v>
      </c>
      <c r="D3391">
        <v>1417.71</v>
      </c>
      <c r="E3391">
        <v>3541</v>
      </c>
      <c r="F3391">
        <v>2</v>
      </c>
      <c r="G3391">
        <v>6</v>
      </c>
      <c r="H3391">
        <v>0</v>
      </c>
      <c r="I3391" t="s">
        <v>33</v>
      </c>
      <c r="J3391">
        <v>1</v>
      </c>
      <c r="K3391">
        <v>43</v>
      </c>
      <c r="L3391" t="s">
        <v>24</v>
      </c>
      <c r="M3391" t="s">
        <v>29</v>
      </c>
      <c r="N3391" t="s">
        <v>30</v>
      </c>
      <c r="O3391" t="s">
        <v>27</v>
      </c>
      <c r="P3391">
        <v>5.29</v>
      </c>
      <c r="Q3391" s="2" t="b">
        <f>FALSE()</f>
        <v>0</v>
      </c>
      <c r="R3391">
        <v>0</v>
      </c>
    </row>
    <row r="3392" spans="1:18" x14ac:dyDescent="0.25">
      <c r="A3392">
        <v>203391</v>
      </c>
      <c r="B3392">
        <v>52465</v>
      </c>
      <c r="C3392" t="s">
        <v>18</v>
      </c>
      <c r="D3392">
        <v>4264.6499999999996</v>
      </c>
      <c r="E3392">
        <v>2989</v>
      </c>
      <c r="F3392">
        <v>4</v>
      </c>
      <c r="G3392">
        <v>3</v>
      </c>
      <c r="H3392">
        <v>0</v>
      </c>
      <c r="I3392" t="s">
        <v>19</v>
      </c>
      <c r="J3392">
        <v>0</v>
      </c>
      <c r="K3392">
        <v>23</v>
      </c>
      <c r="L3392" t="s">
        <v>20</v>
      </c>
      <c r="M3392" t="s">
        <v>29</v>
      </c>
      <c r="N3392" t="s">
        <v>30</v>
      </c>
      <c r="O3392" t="s">
        <v>23</v>
      </c>
      <c r="P3392">
        <v>10.8</v>
      </c>
      <c r="Q3392" s="2" t="b">
        <f>FALSE()</f>
        <v>0</v>
      </c>
      <c r="R3392">
        <v>1</v>
      </c>
    </row>
    <row r="3393" spans="1:18" x14ac:dyDescent="0.25">
      <c r="A3393">
        <v>203392</v>
      </c>
      <c r="B3393">
        <v>53626</v>
      </c>
      <c r="C3393" t="s">
        <v>18</v>
      </c>
      <c r="D3393">
        <v>2691.53</v>
      </c>
      <c r="E3393">
        <v>1006</v>
      </c>
      <c r="F3393">
        <v>0</v>
      </c>
      <c r="G3393">
        <v>4</v>
      </c>
      <c r="H3393">
        <v>0</v>
      </c>
      <c r="I3393" t="s">
        <v>19</v>
      </c>
      <c r="J3393">
        <v>0</v>
      </c>
      <c r="K3393">
        <v>27</v>
      </c>
      <c r="L3393" t="s">
        <v>20</v>
      </c>
      <c r="M3393" t="s">
        <v>29</v>
      </c>
      <c r="N3393" t="s">
        <v>22</v>
      </c>
      <c r="O3393" t="s">
        <v>23</v>
      </c>
      <c r="P3393">
        <v>5.71</v>
      </c>
      <c r="Q3393" s="2" t="b">
        <f>FALSE()</f>
        <v>0</v>
      </c>
      <c r="R3393">
        <v>0</v>
      </c>
    </row>
    <row r="3394" spans="1:18" x14ac:dyDescent="0.25">
      <c r="A3394">
        <v>203393</v>
      </c>
      <c r="B3394">
        <v>50193</v>
      </c>
      <c r="C3394" t="s">
        <v>28</v>
      </c>
      <c r="D3394">
        <v>223.44</v>
      </c>
      <c r="E3394">
        <v>1039</v>
      </c>
      <c r="F3394">
        <v>1</v>
      </c>
      <c r="G3394">
        <v>3</v>
      </c>
      <c r="H3394">
        <v>0</v>
      </c>
      <c r="I3394" t="s">
        <v>19</v>
      </c>
      <c r="J3394">
        <v>1</v>
      </c>
      <c r="K3394">
        <v>52</v>
      </c>
      <c r="L3394" t="s">
        <v>24</v>
      </c>
      <c r="M3394" t="s">
        <v>37</v>
      </c>
      <c r="N3394" t="s">
        <v>30</v>
      </c>
      <c r="O3394" t="s">
        <v>36</v>
      </c>
      <c r="P3394">
        <v>1.28</v>
      </c>
      <c r="Q3394" s="2" t="b">
        <f>FALSE()</f>
        <v>0</v>
      </c>
      <c r="R3394">
        <v>0</v>
      </c>
    </row>
    <row r="3395" spans="1:18" x14ac:dyDescent="0.25">
      <c r="A3395">
        <v>203394</v>
      </c>
      <c r="B3395">
        <v>50770</v>
      </c>
      <c r="C3395" t="s">
        <v>34</v>
      </c>
      <c r="D3395">
        <v>2793.59</v>
      </c>
      <c r="E3395">
        <v>3356</v>
      </c>
      <c r="F3395">
        <v>1</v>
      </c>
      <c r="G3395">
        <v>2</v>
      </c>
      <c r="H3395">
        <v>0</v>
      </c>
      <c r="I3395" t="s">
        <v>32</v>
      </c>
      <c r="J3395">
        <v>0</v>
      </c>
      <c r="K3395">
        <v>58</v>
      </c>
      <c r="L3395" t="s">
        <v>20</v>
      </c>
      <c r="M3395" t="s">
        <v>29</v>
      </c>
      <c r="N3395" t="s">
        <v>30</v>
      </c>
      <c r="O3395" t="s">
        <v>27</v>
      </c>
      <c r="P3395">
        <v>3.04</v>
      </c>
      <c r="Q3395" s="2" t="b">
        <f>FALSE()</f>
        <v>0</v>
      </c>
      <c r="R3395">
        <v>0</v>
      </c>
    </row>
    <row r="3396" spans="1:18" x14ac:dyDescent="0.25">
      <c r="A3396">
        <v>203395</v>
      </c>
      <c r="B3396">
        <v>53844</v>
      </c>
      <c r="C3396" t="s">
        <v>18</v>
      </c>
      <c r="D3396">
        <v>1459.42</v>
      </c>
      <c r="E3396">
        <v>1557</v>
      </c>
      <c r="F3396">
        <v>0</v>
      </c>
      <c r="G3396">
        <v>6</v>
      </c>
      <c r="H3396">
        <v>0</v>
      </c>
      <c r="I3396" t="s">
        <v>33</v>
      </c>
      <c r="J3396">
        <v>0</v>
      </c>
      <c r="K3396">
        <v>24</v>
      </c>
      <c r="L3396" t="s">
        <v>20</v>
      </c>
      <c r="M3396" t="s">
        <v>37</v>
      </c>
      <c r="N3396" t="s">
        <v>30</v>
      </c>
      <c r="O3396" t="s">
        <v>27</v>
      </c>
      <c r="P3396">
        <v>0.01</v>
      </c>
      <c r="Q3396" s="2" t="b">
        <f>FALSE()</f>
        <v>0</v>
      </c>
      <c r="R3396">
        <v>0</v>
      </c>
    </row>
    <row r="3397" spans="1:18" x14ac:dyDescent="0.25">
      <c r="A3397">
        <v>203396</v>
      </c>
      <c r="B3397">
        <v>53174</v>
      </c>
      <c r="C3397" t="s">
        <v>34</v>
      </c>
      <c r="D3397">
        <v>1511.07</v>
      </c>
      <c r="E3397">
        <v>1386</v>
      </c>
      <c r="F3397">
        <v>2</v>
      </c>
      <c r="G3397">
        <v>4</v>
      </c>
      <c r="H3397">
        <v>0</v>
      </c>
      <c r="I3397" t="s">
        <v>19</v>
      </c>
      <c r="J3397">
        <v>1</v>
      </c>
      <c r="K3397">
        <v>58</v>
      </c>
      <c r="L3397" t="s">
        <v>20</v>
      </c>
      <c r="M3397" t="s">
        <v>21</v>
      </c>
      <c r="N3397" t="s">
        <v>22</v>
      </c>
      <c r="O3397" t="s">
        <v>23</v>
      </c>
      <c r="P3397">
        <v>3.56</v>
      </c>
      <c r="Q3397" s="2" t="b">
        <f>FALSE()</f>
        <v>0</v>
      </c>
      <c r="R3397">
        <v>0</v>
      </c>
    </row>
    <row r="3398" spans="1:18" x14ac:dyDescent="0.25">
      <c r="A3398">
        <v>203397</v>
      </c>
      <c r="B3398">
        <v>53331</v>
      </c>
      <c r="C3398" t="s">
        <v>18</v>
      </c>
      <c r="D3398">
        <v>934.15</v>
      </c>
      <c r="E3398">
        <v>1116</v>
      </c>
      <c r="F3398">
        <v>1</v>
      </c>
      <c r="G3398">
        <v>4</v>
      </c>
      <c r="H3398">
        <v>0</v>
      </c>
      <c r="I3398" t="s">
        <v>33</v>
      </c>
      <c r="J3398">
        <v>0</v>
      </c>
      <c r="K3398">
        <v>48</v>
      </c>
      <c r="L3398" t="s">
        <v>24</v>
      </c>
      <c r="M3398" t="s">
        <v>21</v>
      </c>
      <c r="N3398" t="s">
        <v>22</v>
      </c>
      <c r="O3398" t="s">
        <v>36</v>
      </c>
      <c r="P3398">
        <v>3.95</v>
      </c>
      <c r="Q3398" s="2" t="b">
        <f>FALSE()</f>
        <v>0</v>
      </c>
      <c r="R3398">
        <v>0</v>
      </c>
    </row>
    <row r="3399" spans="1:18" x14ac:dyDescent="0.25">
      <c r="A3399">
        <v>203398</v>
      </c>
      <c r="B3399">
        <v>55916</v>
      </c>
      <c r="C3399" t="s">
        <v>28</v>
      </c>
      <c r="D3399">
        <v>276.32</v>
      </c>
      <c r="E3399">
        <v>3196</v>
      </c>
      <c r="F3399">
        <v>1</v>
      </c>
      <c r="G3399">
        <v>4</v>
      </c>
      <c r="H3399">
        <v>0</v>
      </c>
      <c r="I3399" t="s">
        <v>33</v>
      </c>
      <c r="J3399">
        <v>0</v>
      </c>
      <c r="K3399">
        <v>39</v>
      </c>
      <c r="L3399" t="s">
        <v>24</v>
      </c>
      <c r="M3399" t="s">
        <v>37</v>
      </c>
      <c r="N3399" t="s">
        <v>22</v>
      </c>
      <c r="O3399" t="s">
        <v>27</v>
      </c>
      <c r="P3399">
        <v>2.16</v>
      </c>
      <c r="Q3399" s="2" t="b">
        <f>FALSE()</f>
        <v>0</v>
      </c>
      <c r="R3399">
        <v>0</v>
      </c>
    </row>
    <row r="3400" spans="1:18" x14ac:dyDescent="0.25">
      <c r="A3400">
        <v>203399</v>
      </c>
      <c r="B3400">
        <v>54987</v>
      </c>
      <c r="C3400" t="s">
        <v>28</v>
      </c>
      <c r="D3400">
        <v>6175.32</v>
      </c>
      <c r="E3400">
        <v>2017</v>
      </c>
      <c r="F3400">
        <v>1</v>
      </c>
      <c r="G3400">
        <v>1</v>
      </c>
      <c r="H3400">
        <v>0</v>
      </c>
      <c r="I3400" t="s">
        <v>33</v>
      </c>
      <c r="J3400">
        <v>0</v>
      </c>
      <c r="K3400">
        <v>35</v>
      </c>
      <c r="L3400" t="s">
        <v>20</v>
      </c>
      <c r="M3400" t="s">
        <v>37</v>
      </c>
      <c r="N3400" t="s">
        <v>30</v>
      </c>
      <c r="O3400" t="s">
        <v>23</v>
      </c>
      <c r="P3400">
        <v>4.87</v>
      </c>
      <c r="Q3400" s="2" t="b">
        <f>FALSE()</f>
        <v>0</v>
      </c>
      <c r="R3400">
        <v>1</v>
      </c>
    </row>
    <row r="3401" spans="1:18" x14ac:dyDescent="0.25">
      <c r="A3401">
        <v>203400</v>
      </c>
      <c r="B3401">
        <v>55041</v>
      </c>
      <c r="C3401" t="s">
        <v>18</v>
      </c>
      <c r="D3401">
        <v>4632.93</v>
      </c>
      <c r="E3401">
        <v>1602</v>
      </c>
      <c r="F3401">
        <v>1</v>
      </c>
      <c r="G3401">
        <v>3</v>
      </c>
      <c r="H3401">
        <v>1</v>
      </c>
      <c r="I3401" t="s">
        <v>32</v>
      </c>
      <c r="J3401">
        <v>0</v>
      </c>
      <c r="K3401">
        <v>27</v>
      </c>
      <c r="L3401" t="s">
        <v>24</v>
      </c>
      <c r="M3401" t="s">
        <v>35</v>
      </c>
      <c r="N3401" t="s">
        <v>22</v>
      </c>
      <c r="O3401" t="s">
        <v>36</v>
      </c>
      <c r="P3401">
        <v>6.92</v>
      </c>
      <c r="Q3401" s="2" t="b">
        <f>FALSE()</f>
        <v>0</v>
      </c>
      <c r="R3401">
        <v>1</v>
      </c>
    </row>
    <row r="3402" spans="1:18" x14ac:dyDescent="0.25">
      <c r="A3402">
        <v>203401</v>
      </c>
      <c r="B3402">
        <v>52879</v>
      </c>
      <c r="C3402" t="s">
        <v>18</v>
      </c>
      <c r="D3402">
        <v>2843.87</v>
      </c>
      <c r="E3402">
        <v>2759</v>
      </c>
      <c r="F3402">
        <v>1</v>
      </c>
      <c r="G3402">
        <v>4</v>
      </c>
      <c r="H3402">
        <v>0</v>
      </c>
      <c r="I3402" t="s">
        <v>33</v>
      </c>
      <c r="J3402">
        <v>0</v>
      </c>
      <c r="K3402">
        <v>50</v>
      </c>
      <c r="L3402" t="s">
        <v>38</v>
      </c>
      <c r="M3402" t="s">
        <v>37</v>
      </c>
      <c r="N3402" t="s">
        <v>22</v>
      </c>
      <c r="O3402" t="s">
        <v>27</v>
      </c>
      <c r="P3402">
        <v>7.87</v>
      </c>
      <c r="Q3402" s="2" t="b">
        <f>FALSE()</f>
        <v>0</v>
      </c>
      <c r="R3402">
        <v>0</v>
      </c>
    </row>
    <row r="3403" spans="1:18" x14ac:dyDescent="0.25">
      <c r="A3403">
        <v>203402</v>
      </c>
      <c r="B3403">
        <v>53678</v>
      </c>
      <c r="C3403" t="s">
        <v>18</v>
      </c>
      <c r="D3403">
        <v>1210.02</v>
      </c>
      <c r="E3403">
        <v>2058</v>
      </c>
      <c r="F3403">
        <v>1</v>
      </c>
      <c r="G3403">
        <v>7</v>
      </c>
      <c r="H3403">
        <v>0</v>
      </c>
      <c r="I3403" t="s">
        <v>19</v>
      </c>
      <c r="J3403">
        <v>0</v>
      </c>
      <c r="K3403">
        <v>46</v>
      </c>
      <c r="L3403" t="s">
        <v>24</v>
      </c>
      <c r="M3403" t="s">
        <v>35</v>
      </c>
      <c r="N3403" t="s">
        <v>22</v>
      </c>
      <c r="O3403" t="s">
        <v>36</v>
      </c>
      <c r="P3403">
        <v>3.13</v>
      </c>
      <c r="Q3403" s="2" t="b">
        <f>FALSE()</f>
        <v>0</v>
      </c>
      <c r="R3403">
        <v>1</v>
      </c>
    </row>
    <row r="3404" spans="1:18" x14ac:dyDescent="0.25">
      <c r="A3404">
        <v>203403</v>
      </c>
      <c r="B3404">
        <v>51564</v>
      </c>
      <c r="C3404" t="s">
        <v>18</v>
      </c>
      <c r="D3404">
        <v>596.66</v>
      </c>
      <c r="E3404">
        <v>302</v>
      </c>
      <c r="F3404">
        <v>2</v>
      </c>
      <c r="G3404">
        <v>4</v>
      </c>
      <c r="H3404">
        <v>0</v>
      </c>
      <c r="I3404" t="s">
        <v>19</v>
      </c>
      <c r="J3404">
        <v>0</v>
      </c>
      <c r="K3404">
        <v>79</v>
      </c>
      <c r="L3404" t="s">
        <v>24</v>
      </c>
      <c r="M3404" t="s">
        <v>29</v>
      </c>
      <c r="N3404" t="s">
        <v>22</v>
      </c>
      <c r="O3404" t="s">
        <v>27</v>
      </c>
      <c r="P3404">
        <v>3.47</v>
      </c>
      <c r="Q3404" s="2" t="b">
        <f>FALSE()</f>
        <v>0</v>
      </c>
      <c r="R3404">
        <v>0</v>
      </c>
    </row>
    <row r="3405" spans="1:18" x14ac:dyDescent="0.25">
      <c r="A3405">
        <v>203404</v>
      </c>
      <c r="B3405">
        <v>54038</v>
      </c>
      <c r="C3405" t="s">
        <v>18</v>
      </c>
      <c r="D3405">
        <v>1508.09</v>
      </c>
      <c r="E3405">
        <v>2405</v>
      </c>
      <c r="F3405">
        <v>2</v>
      </c>
      <c r="G3405">
        <v>5</v>
      </c>
      <c r="H3405">
        <v>0</v>
      </c>
      <c r="I3405" t="s">
        <v>33</v>
      </c>
      <c r="J3405">
        <v>0</v>
      </c>
      <c r="K3405">
        <v>70</v>
      </c>
      <c r="L3405" t="s">
        <v>24</v>
      </c>
      <c r="M3405" t="s">
        <v>21</v>
      </c>
      <c r="N3405" t="s">
        <v>30</v>
      </c>
      <c r="O3405" t="s">
        <v>27</v>
      </c>
      <c r="P3405">
        <v>1.42</v>
      </c>
      <c r="Q3405" s="2" t="b">
        <f>FALSE()</f>
        <v>0</v>
      </c>
      <c r="R3405">
        <v>0</v>
      </c>
    </row>
    <row r="3406" spans="1:18" x14ac:dyDescent="0.25">
      <c r="A3406">
        <v>203405</v>
      </c>
      <c r="B3406">
        <v>54925</v>
      </c>
      <c r="C3406" t="s">
        <v>18</v>
      </c>
      <c r="D3406">
        <v>9460.92</v>
      </c>
      <c r="E3406">
        <v>2078</v>
      </c>
      <c r="F3406">
        <v>1</v>
      </c>
      <c r="G3406">
        <v>7</v>
      </c>
      <c r="H3406">
        <v>0</v>
      </c>
      <c r="I3406" t="s">
        <v>19</v>
      </c>
      <c r="J3406">
        <v>0</v>
      </c>
      <c r="K3406">
        <v>75</v>
      </c>
      <c r="L3406" t="s">
        <v>20</v>
      </c>
      <c r="M3406" t="s">
        <v>29</v>
      </c>
      <c r="N3406" t="s">
        <v>30</v>
      </c>
      <c r="O3406" t="s">
        <v>27</v>
      </c>
      <c r="P3406">
        <v>0.47</v>
      </c>
      <c r="Q3406" s="2" t="b">
        <f>TRUE()</f>
        <v>1</v>
      </c>
      <c r="R3406">
        <v>1</v>
      </c>
    </row>
    <row r="3407" spans="1:18" x14ac:dyDescent="0.25">
      <c r="A3407">
        <v>203406</v>
      </c>
      <c r="B3407">
        <v>50781</v>
      </c>
      <c r="C3407" t="s">
        <v>34</v>
      </c>
      <c r="D3407">
        <v>1652.93</v>
      </c>
      <c r="E3407">
        <v>2977</v>
      </c>
      <c r="F3407">
        <v>2</v>
      </c>
      <c r="G3407">
        <v>3</v>
      </c>
      <c r="H3407">
        <v>0</v>
      </c>
      <c r="I3407" t="s">
        <v>33</v>
      </c>
      <c r="J3407">
        <v>0</v>
      </c>
      <c r="K3407">
        <v>38</v>
      </c>
      <c r="L3407" t="s">
        <v>20</v>
      </c>
      <c r="M3407" t="s">
        <v>29</v>
      </c>
      <c r="N3407" t="s">
        <v>30</v>
      </c>
      <c r="O3407" t="s">
        <v>36</v>
      </c>
      <c r="P3407">
        <v>1.45</v>
      </c>
      <c r="Q3407" s="2" t="b">
        <f>FALSE()</f>
        <v>0</v>
      </c>
      <c r="R3407">
        <v>0</v>
      </c>
    </row>
    <row r="3408" spans="1:18" x14ac:dyDescent="0.25">
      <c r="A3408">
        <v>203407</v>
      </c>
      <c r="B3408">
        <v>54184</v>
      </c>
      <c r="C3408" t="s">
        <v>18</v>
      </c>
      <c r="D3408">
        <v>1581.07</v>
      </c>
      <c r="E3408">
        <v>65</v>
      </c>
      <c r="F3408">
        <v>0</v>
      </c>
      <c r="G3408">
        <v>5</v>
      </c>
      <c r="H3408">
        <v>1</v>
      </c>
      <c r="I3408" t="s">
        <v>33</v>
      </c>
      <c r="J3408">
        <v>0</v>
      </c>
      <c r="K3408">
        <v>70</v>
      </c>
      <c r="L3408" t="s">
        <v>24</v>
      </c>
      <c r="M3408" t="s">
        <v>21</v>
      </c>
      <c r="N3408" t="s">
        <v>30</v>
      </c>
      <c r="O3408" t="s">
        <v>36</v>
      </c>
      <c r="P3408">
        <v>2.76</v>
      </c>
      <c r="Q3408" s="2" t="b">
        <f>FALSE()</f>
        <v>0</v>
      </c>
      <c r="R3408">
        <v>0</v>
      </c>
    </row>
    <row r="3409" spans="1:18" x14ac:dyDescent="0.25">
      <c r="A3409">
        <v>203408</v>
      </c>
      <c r="B3409">
        <v>54078</v>
      </c>
      <c r="C3409" t="s">
        <v>28</v>
      </c>
      <c r="D3409">
        <v>7673.72</v>
      </c>
      <c r="E3409">
        <v>1939</v>
      </c>
      <c r="F3409">
        <v>2</v>
      </c>
      <c r="G3409">
        <v>3</v>
      </c>
      <c r="H3409">
        <v>0</v>
      </c>
      <c r="I3409" t="s">
        <v>33</v>
      </c>
      <c r="J3409">
        <v>1</v>
      </c>
      <c r="K3409">
        <v>30</v>
      </c>
      <c r="L3409" t="s">
        <v>24</v>
      </c>
      <c r="M3409" t="s">
        <v>21</v>
      </c>
      <c r="N3409" t="s">
        <v>30</v>
      </c>
      <c r="O3409" t="s">
        <v>36</v>
      </c>
      <c r="P3409">
        <v>4</v>
      </c>
      <c r="Q3409" s="2" t="b">
        <f>TRUE()</f>
        <v>1</v>
      </c>
      <c r="R3409">
        <v>1</v>
      </c>
    </row>
    <row r="3410" spans="1:18" x14ac:dyDescent="0.25">
      <c r="A3410">
        <v>203409</v>
      </c>
      <c r="B3410">
        <v>54356</v>
      </c>
      <c r="C3410" t="s">
        <v>34</v>
      </c>
      <c r="D3410">
        <v>5243.92</v>
      </c>
      <c r="E3410">
        <v>2225</v>
      </c>
      <c r="F3410">
        <v>2</v>
      </c>
      <c r="G3410">
        <v>5</v>
      </c>
      <c r="H3410">
        <v>0</v>
      </c>
      <c r="I3410" t="s">
        <v>32</v>
      </c>
      <c r="J3410">
        <v>0</v>
      </c>
      <c r="K3410">
        <v>46</v>
      </c>
      <c r="L3410" t="s">
        <v>20</v>
      </c>
      <c r="M3410" t="s">
        <v>35</v>
      </c>
      <c r="N3410" t="s">
        <v>22</v>
      </c>
      <c r="O3410" t="s">
        <v>27</v>
      </c>
      <c r="P3410">
        <v>0.54</v>
      </c>
      <c r="Q3410" s="2" t="b">
        <f>FALSE()</f>
        <v>0</v>
      </c>
      <c r="R3410">
        <v>1</v>
      </c>
    </row>
    <row r="3411" spans="1:18" x14ac:dyDescent="0.25">
      <c r="A3411">
        <v>203410</v>
      </c>
      <c r="B3411">
        <v>52106</v>
      </c>
      <c r="C3411" t="s">
        <v>28</v>
      </c>
      <c r="D3411">
        <v>3354.9</v>
      </c>
      <c r="E3411">
        <v>2704</v>
      </c>
      <c r="F3411">
        <v>1</v>
      </c>
      <c r="G3411">
        <v>0</v>
      </c>
      <c r="H3411">
        <v>1</v>
      </c>
      <c r="I3411" t="s">
        <v>19</v>
      </c>
      <c r="J3411">
        <v>1</v>
      </c>
      <c r="K3411">
        <v>43</v>
      </c>
      <c r="L3411" t="s">
        <v>20</v>
      </c>
      <c r="M3411" t="s">
        <v>35</v>
      </c>
      <c r="N3411" t="s">
        <v>30</v>
      </c>
      <c r="O3411" t="s">
        <v>36</v>
      </c>
      <c r="P3411">
        <v>2.0099999999999998</v>
      </c>
      <c r="Q3411" s="2" t="b">
        <f>FALSE()</f>
        <v>0</v>
      </c>
      <c r="R3411">
        <v>0</v>
      </c>
    </row>
    <row r="3412" spans="1:18" x14ac:dyDescent="0.25">
      <c r="A3412">
        <v>203411</v>
      </c>
      <c r="B3412">
        <v>52782</v>
      </c>
      <c r="C3412" t="s">
        <v>34</v>
      </c>
      <c r="D3412">
        <v>1840.79</v>
      </c>
      <c r="E3412">
        <v>2677</v>
      </c>
      <c r="F3412">
        <v>1</v>
      </c>
      <c r="G3412">
        <v>3</v>
      </c>
      <c r="H3412">
        <v>0</v>
      </c>
      <c r="I3412" t="s">
        <v>33</v>
      </c>
      <c r="J3412">
        <v>1</v>
      </c>
      <c r="K3412">
        <v>37</v>
      </c>
      <c r="L3412" t="s">
        <v>20</v>
      </c>
      <c r="M3412" t="s">
        <v>29</v>
      </c>
      <c r="N3412" t="s">
        <v>22</v>
      </c>
      <c r="O3412" t="s">
        <v>27</v>
      </c>
      <c r="P3412">
        <v>1.97</v>
      </c>
      <c r="Q3412" s="2" t="b">
        <f>FALSE()</f>
        <v>0</v>
      </c>
      <c r="R3412">
        <v>0</v>
      </c>
    </row>
    <row r="3413" spans="1:18" x14ac:dyDescent="0.25">
      <c r="A3413">
        <v>203412</v>
      </c>
      <c r="B3413">
        <v>52089</v>
      </c>
      <c r="C3413" t="s">
        <v>18</v>
      </c>
      <c r="D3413">
        <v>4802.83</v>
      </c>
      <c r="E3413">
        <v>922</v>
      </c>
      <c r="F3413">
        <v>1</v>
      </c>
      <c r="G3413">
        <v>0</v>
      </c>
      <c r="H3413">
        <v>0</v>
      </c>
      <c r="I3413" t="s">
        <v>19</v>
      </c>
      <c r="J3413">
        <v>0</v>
      </c>
      <c r="K3413">
        <v>36</v>
      </c>
      <c r="L3413" t="s">
        <v>20</v>
      </c>
      <c r="M3413" t="s">
        <v>25</v>
      </c>
      <c r="N3413" t="s">
        <v>22</v>
      </c>
      <c r="O3413" t="s">
        <v>36</v>
      </c>
      <c r="P3413">
        <v>6.17</v>
      </c>
      <c r="Q3413" s="2" t="b">
        <f>FALSE()</f>
        <v>0</v>
      </c>
      <c r="R3413">
        <v>1</v>
      </c>
    </row>
    <row r="3414" spans="1:18" x14ac:dyDescent="0.25">
      <c r="A3414">
        <v>203413</v>
      </c>
      <c r="B3414">
        <v>50659</v>
      </c>
      <c r="C3414" t="s">
        <v>34</v>
      </c>
      <c r="D3414">
        <v>675.85</v>
      </c>
      <c r="E3414">
        <v>3241</v>
      </c>
      <c r="F3414">
        <v>0</v>
      </c>
      <c r="G3414">
        <v>3</v>
      </c>
      <c r="H3414">
        <v>0</v>
      </c>
      <c r="I3414" t="s">
        <v>19</v>
      </c>
      <c r="J3414">
        <v>0</v>
      </c>
      <c r="K3414">
        <v>38</v>
      </c>
      <c r="L3414" t="s">
        <v>20</v>
      </c>
      <c r="M3414" t="s">
        <v>31</v>
      </c>
      <c r="N3414" t="s">
        <v>30</v>
      </c>
      <c r="O3414" t="s">
        <v>23</v>
      </c>
      <c r="P3414">
        <v>6.51</v>
      </c>
      <c r="Q3414" s="2" t="b">
        <f>FALSE()</f>
        <v>0</v>
      </c>
      <c r="R3414">
        <v>0</v>
      </c>
    </row>
    <row r="3415" spans="1:18" x14ac:dyDescent="0.25">
      <c r="A3415">
        <v>203414</v>
      </c>
      <c r="B3415">
        <v>52954</v>
      </c>
      <c r="C3415" t="s">
        <v>18</v>
      </c>
      <c r="D3415">
        <v>1386.34</v>
      </c>
      <c r="E3415">
        <v>2060</v>
      </c>
      <c r="F3415">
        <v>1</v>
      </c>
      <c r="G3415">
        <v>4</v>
      </c>
      <c r="H3415">
        <v>1</v>
      </c>
      <c r="I3415" t="s">
        <v>33</v>
      </c>
      <c r="J3415">
        <v>0</v>
      </c>
      <c r="K3415">
        <v>57</v>
      </c>
      <c r="L3415" t="s">
        <v>24</v>
      </c>
      <c r="M3415" t="s">
        <v>31</v>
      </c>
      <c r="N3415" t="s">
        <v>22</v>
      </c>
      <c r="O3415" t="s">
        <v>36</v>
      </c>
      <c r="P3415">
        <v>1.03</v>
      </c>
      <c r="Q3415" s="2" t="b">
        <f>FALSE()</f>
        <v>0</v>
      </c>
      <c r="R3415">
        <v>0</v>
      </c>
    </row>
    <row r="3416" spans="1:18" x14ac:dyDescent="0.25">
      <c r="A3416">
        <v>203415</v>
      </c>
      <c r="B3416">
        <v>54280</v>
      </c>
      <c r="C3416" t="s">
        <v>28</v>
      </c>
      <c r="D3416">
        <v>2766.24</v>
      </c>
      <c r="E3416">
        <v>1124</v>
      </c>
      <c r="F3416">
        <v>0</v>
      </c>
      <c r="G3416">
        <v>3</v>
      </c>
      <c r="H3416">
        <v>1</v>
      </c>
      <c r="I3416" t="s">
        <v>19</v>
      </c>
      <c r="J3416">
        <v>0</v>
      </c>
      <c r="K3416">
        <v>43</v>
      </c>
      <c r="L3416" t="s">
        <v>24</v>
      </c>
      <c r="M3416" t="s">
        <v>31</v>
      </c>
      <c r="N3416" t="s">
        <v>26</v>
      </c>
      <c r="O3416" t="s">
        <v>27</v>
      </c>
      <c r="P3416">
        <v>0.09</v>
      </c>
      <c r="Q3416" s="2" t="b">
        <f>FALSE()</f>
        <v>0</v>
      </c>
      <c r="R3416">
        <v>0</v>
      </c>
    </row>
    <row r="3417" spans="1:18" x14ac:dyDescent="0.25">
      <c r="A3417">
        <v>203416</v>
      </c>
      <c r="B3417">
        <v>52809</v>
      </c>
      <c r="C3417" t="s">
        <v>18</v>
      </c>
      <c r="D3417">
        <v>440.92</v>
      </c>
      <c r="E3417">
        <v>43</v>
      </c>
      <c r="F3417">
        <v>1</v>
      </c>
      <c r="G3417">
        <v>5</v>
      </c>
      <c r="H3417">
        <v>1</v>
      </c>
      <c r="I3417" t="s">
        <v>33</v>
      </c>
      <c r="J3417">
        <v>0</v>
      </c>
      <c r="K3417">
        <v>79</v>
      </c>
      <c r="L3417" t="s">
        <v>20</v>
      </c>
      <c r="M3417" t="s">
        <v>35</v>
      </c>
      <c r="N3417" t="s">
        <v>22</v>
      </c>
      <c r="O3417" t="s">
        <v>23</v>
      </c>
      <c r="P3417">
        <v>2.58</v>
      </c>
      <c r="Q3417" s="2" t="b">
        <f>FALSE()</f>
        <v>0</v>
      </c>
      <c r="R3417">
        <v>0</v>
      </c>
    </row>
    <row r="3418" spans="1:18" x14ac:dyDescent="0.25">
      <c r="A3418">
        <v>203417</v>
      </c>
      <c r="B3418">
        <v>51019</v>
      </c>
      <c r="C3418" t="s">
        <v>28</v>
      </c>
      <c r="D3418">
        <v>2452.89</v>
      </c>
      <c r="E3418">
        <v>1130</v>
      </c>
      <c r="F3418">
        <v>2</v>
      </c>
      <c r="G3418">
        <v>3</v>
      </c>
      <c r="H3418">
        <v>0</v>
      </c>
      <c r="I3418" t="s">
        <v>33</v>
      </c>
      <c r="J3418">
        <v>0</v>
      </c>
      <c r="K3418">
        <v>64</v>
      </c>
      <c r="L3418" t="s">
        <v>20</v>
      </c>
      <c r="M3418" t="s">
        <v>35</v>
      </c>
      <c r="N3418" t="s">
        <v>22</v>
      </c>
      <c r="O3418" t="s">
        <v>27</v>
      </c>
      <c r="P3418">
        <v>1.06</v>
      </c>
      <c r="Q3418" s="2" t="b">
        <f>FALSE()</f>
        <v>0</v>
      </c>
      <c r="R3418">
        <v>0</v>
      </c>
    </row>
    <row r="3419" spans="1:18" x14ac:dyDescent="0.25">
      <c r="A3419">
        <v>203418</v>
      </c>
      <c r="B3419">
        <v>54279</v>
      </c>
      <c r="C3419" t="s">
        <v>34</v>
      </c>
      <c r="D3419">
        <v>3083.11</v>
      </c>
      <c r="E3419">
        <v>2664</v>
      </c>
      <c r="F3419">
        <v>2</v>
      </c>
      <c r="G3419">
        <v>6</v>
      </c>
      <c r="H3419">
        <v>0</v>
      </c>
      <c r="I3419" t="s">
        <v>33</v>
      </c>
      <c r="J3419">
        <v>1</v>
      </c>
      <c r="K3419">
        <v>74</v>
      </c>
      <c r="L3419" t="s">
        <v>20</v>
      </c>
      <c r="M3419" t="s">
        <v>29</v>
      </c>
      <c r="N3419" t="s">
        <v>30</v>
      </c>
      <c r="O3419" t="s">
        <v>27</v>
      </c>
      <c r="P3419">
        <v>0.78</v>
      </c>
      <c r="Q3419" s="2" t="b">
        <f>FALSE()</f>
        <v>0</v>
      </c>
      <c r="R3419">
        <v>0</v>
      </c>
    </row>
    <row r="3420" spans="1:18" x14ac:dyDescent="0.25">
      <c r="A3420">
        <v>203419</v>
      </c>
      <c r="B3420">
        <v>54151</v>
      </c>
      <c r="C3420" t="s">
        <v>18</v>
      </c>
      <c r="D3420">
        <v>1032.02</v>
      </c>
      <c r="E3420">
        <v>3496</v>
      </c>
      <c r="F3420">
        <v>2</v>
      </c>
      <c r="G3420">
        <v>3</v>
      </c>
      <c r="H3420">
        <v>0</v>
      </c>
      <c r="I3420" t="s">
        <v>33</v>
      </c>
      <c r="J3420">
        <v>0</v>
      </c>
      <c r="K3420">
        <v>72</v>
      </c>
      <c r="L3420" t="s">
        <v>20</v>
      </c>
      <c r="M3420" t="s">
        <v>37</v>
      </c>
      <c r="N3420" t="s">
        <v>26</v>
      </c>
      <c r="O3420" t="s">
        <v>36</v>
      </c>
      <c r="P3420">
        <v>0.6</v>
      </c>
      <c r="Q3420" s="2" t="b">
        <f>FALSE()</f>
        <v>0</v>
      </c>
      <c r="R3420">
        <v>0</v>
      </c>
    </row>
    <row r="3421" spans="1:18" x14ac:dyDescent="0.25">
      <c r="A3421">
        <v>203420</v>
      </c>
      <c r="B3421">
        <v>52635</v>
      </c>
      <c r="C3421" t="s">
        <v>18</v>
      </c>
      <c r="D3421">
        <v>2768.03</v>
      </c>
      <c r="E3421">
        <v>2317</v>
      </c>
      <c r="F3421">
        <v>1</v>
      </c>
      <c r="G3421">
        <v>5</v>
      </c>
      <c r="H3421">
        <v>0</v>
      </c>
      <c r="I3421" t="s">
        <v>33</v>
      </c>
      <c r="J3421">
        <v>0</v>
      </c>
      <c r="K3421">
        <v>56</v>
      </c>
      <c r="L3421" t="s">
        <v>20</v>
      </c>
      <c r="M3421" t="s">
        <v>21</v>
      </c>
      <c r="N3421" t="s">
        <v>30</v>
      </c>
      <c r="O3421" t="s">
        <v>23</v>
      </c>
      <c r="P3421">
        <v>6.95</v>
      </c>
      <c r="Q3421" s="2" t="b">
        <f>FALSE()</f>
        <v>0</v>
      </c>
      <c r="R3421">
        <v>0</v>
      </c>
    </row>
    <row r="3422" spans="1:18" x14ac:dyDescent="0.25">
      <c r="A3422">
        <v>203421</v>
      </c>
      <c r="B3422">
        <v>55336</v>
      </c>
      <c r="C3422" t="s">
        <v>28</v>
      </c>
      <c r="D3422">
        <v>1690.39</v>
      </c>
      <c r="E3422">
        <v>3535</v>
      </c>
      <c r="F3422">
        <v>1</v>
      </c>
      <c r="G3422">
        <v>3</v>
      </c>
      <c r="H3422">
        <v>0</v>
      </c>
      <c r="I3422" t="s">
        <v>33</v>
      </c>
      <c r="J3422">
        <v>0</v>
      </c>
      <c r="K3422">
        <v>21</v>
      </c>
      <c r="L3422" t="s">
        <v>20</v>
      </c>
      <c r="M3422" t="s">
        <v>37</v>
      </c>
      <c r="N3422" t="s">
        <v>22</v>
      </c>
      <c r="O3422" t="s">
        <v>27</v>
      </c>
      <c r="P3422">
        <v>0.82</v>
      </c>
      <c r="Q3422" s="2" t="b">
        <f>FALSE()</f>
        <v>0</v>
      </c>
      <c r="R3422">
        <v>0</v>
      </c>
    </row>
    <row r="3423" spans="1:18" x14ac:dyDescent="0.25">
      <c r="A3423">
        <v>203422</v>
      </c>
      <c r="B3423">
        <v>55442</v>
      </c>
      <c r="C3423" t="s">
        <v>28</v>
      </c>
      <c r="D3423">
        <v>1883.31</v>
      </c>
      <c r="E3423">
        <v>3417</v>
      </c>
      <c r="F3423">
        <v>2</v>
      </c>
      <c r="G3423">
        <v>2</v>
      </c>
      <c r="H3423">
        <v>1</v>
      </c>
      <c r="I3423" t="s">
        <v>32</v>
      </c>
      <c r="J3423">
        <v>0</v>
      </c>
      <c r="K3423">
        <v>60</v>
      </c>
      <c r="L3423" t="s">
        <v>20</v>
      </c>
      <c r="M3423" t="s">
        <v>35</v>
      </c>
      <c r="N3423" t="s">
        <v>30</v>
      </c>
      <c r="O3423" t="s">
        <v>36</v>
      </c>
      <c r="P3423">
        <v>0.28999999999999998</v>
      </c>
      <c r="Q3423" s="2" t="b">
        <f>FALSE()</f>
        <v>0</v>
      </c>
      <c r="R3423">
        <v>0</v>
      </c>
    </row>
    <row r="3424" spans="1:18" x14ac:dyDescent="0.25">
      <c r="A3424">
        <v>203423</v>
      </c>
      <c r="B3424">
        <v>53876</v>
      </c>
      <c r="C3424" t="s">
        <v>34</v>
      </c>
      <c r="D3424">
        <v>4836.75</v>
      </c>
      <c r="E3424">
        <v>2175</v>
      </c>
      <c r="F3424">
        <v>1</v>
      </c>
      <c r="G3424">
        <v>2</v>
      </c>
      <c r="H3424">
        <v>1</v>
      </c>
      <c r="I3424" t="s">
        <v>19</v>
      </c>
      <c r="J3424">
        <v>1</v>
      </c>
      <c r="K3424">
        <v>67</v>
      </c>
      <c r="L3424" t="s">
        <v>20</v>
      </c>
      <c r="M3424" t="s">
        <v>35</v>
      </c>
      <c r="N3424" t="s">
        <v>22</v>
      </c>
      <c r="O3424" t="s">
        <v>36</v>
      </c>
      <c r="P3424">
        <v>2.67</v>
      </c>
      <c r="Q3424" s="2" t="b">
        <f>FALSE()</f>
        <v>0</v>
      </c>
      <c r="R3424">
        <v>1</v>
      </c>
    </row>
    <row r="3425" spans="1:18" x14ac:dyDescent="0.25">
      <c r="A3425">
        <v>203424</v>
      </c>
      <c r="B3425">
        <v>53823</v>
      </c>
      <c r="C3425" t="s">
        <v>18</v>
      </c>
      <c r="D3425">
        <v>1883.73</v>
      </c>
      <c r="E3425">
        <v>1141</v>
      </c>
      <c r="F3425">
        <v>0</v>
      </c>
      <c r="G3425">
        <v>4</v>
      </c>
      <c r="H3425">
        <v>0</v>
      </c>
      <c r="I3425" t="s">
        <v>32</v>
      </c>
      <c r="J3425">
        <v>0</v>
      </c>
      <c r="K3425">
        <v>23</v>
      </c>
      <c r="L3425" t="s">
        <v>20</v>
      </c>
      <c r="M3425" t="s">
        <v>25</v>
      </c>
      <c r="N3425" t="s">
        <v>22</v>
      </c>
      <c r="O3425" t="s">
        <v>27</v>
      </c>
      <c r="P3425">
        <v>1.08</v>
      </c>
      <c r="Q3425" s="2" t="b">
        <f>FALSE()</f>
        <v>0</v>
      </c>
      <c r="R3425">
        <v>0</v>
      </c>
    </row>
    <row r="3426" spans="1:18" x14ac:dyDescent="0.25">
      <c r="A3426">
        <v>203425</v>
      </c>
      <c r="B3426">
        <v>52483</v>
      </c>
      <c r="C3426" t="s">
        <v>28</v>
      </c>
      <c r="D3426">
        <v>2913.72</v>
      </c>
      <c r="E3426">
        <v>1707</v>
      </c>
      <c r="F3426">
        <v>1</v>
      </c>
      <c r="G3426">
        <v>3</v>
      </c>
      <c r="H3426">
        <v>0</v>
      </c>
      <c r="I3426" t="s">
        <v>33</v>
      </c>
      <c r="J3426">
        <v>0</v>
      </c>
      <c r="K3426">
        <v>43</v>
      </c>
      <c r="L3426" t="s">
        <v>20</v>
      </c>
      <c r="M3426" t="s">
        <v>29</v>
      </c>
      <c r="N3426" t="s">
        <v>30</v>
      </c>
      <c r="O3426" t="s">
        <v>36</v>
      </c>
      <c r="P3426">
        <v>0.43</v>
      </c>
      <c r="Q3426" s="2" t="b">
        <f>FALSE()</f>
        <v>0</v>
      </c>
      <c r="R3426">
        <v>0</v>
      </c>
    </row>
    <row r="3427" spans="1:18" x14ac:dyDescent="0.25">
      <c r="A3427">
        <v>203426</v>
      </c>
      <c r="B3427">
        <v>53457</v>
      </c>
      <c r="C3427" t="s">
        <v>28</v>
      </c>
      <c r="D3427">
        <v>7274.02</v>
      </c>
      <c r="E3427">
        <v>3395</v>
      </c>
      <c r="F3427">
        <v>1</v>
      </c>
      <c r="G3427">
        <v>3</v>
      </c>
      <c r="H3427">
        <v>0</v>
      </c>
      <c r="I3427" t="s">
        <v>33</v>
      </c>
      <c r="J3427">
        <v>0</v>
      </c>
      <c r="K3427">
        <v>28</v>
      </c>
      <c r="L3427" t="s">
        <v>24</v>
      </c>
      <c r="M3427" t="s">
        <v>29</v>
      </c>
      <c r="N3427" t="s">
        <v>30</v>
      </c>
      <c r="O3427" t="s">
        <v>27</v>
      </c>
      <c r="P3427">
        <v>3.55</v>
      </c>
      <c r="Q3427" s="2" t="b">
        <f>TRUE()</f>
        <v>1</v>
      </c>
      <c r="R3427">
        <v>1</v>
      </c>
    </row>
    <row r="3428" spans="1:18" x14ac:dyDescent="0.25">
      <c r="A3428">
        <v>203427</v>
      </c>
      <c r="B3428">
        <v>54777</v>
      </c>
      <c r="C3428" t="s">
        <v>28</v>
      </c>
      <c r="D3428">
        <v>641.25</v>
      </c>
      <c r="E3428">
        <v>581</v>
      </c>
      <c r="F3428">
        <v>1</v>
      </c>
      <c r="G3428">
        <v>5</v>
      </c>
      <c r="H3428">
        <v>0</v>
      </c>
      <c r="I3428" t="s">
        <v>19</v>
      </c>
      <c r="J3428">
        <v>0</v>
      </c>
      <c r="K3428">
        <v>19</v>
      </c>
      <c r="L3428" t="s">
        <v>20</v>
      </c>
      <c r="M3428" t="s">
        <v>35</v>
      </c>
      <c r="N3428" t="s">
        <v>26</v>
      </c>
      <c r="O3428" t="s">
        <v>27</v>
      </c>
      <c r="P3428">
        <v>1.53</v>
      </c>
      <c r="Q3428" s="2" t="b">
        <f>FALSE()</f>
        <v>0</v>
      </c>
      <c r="R3428">
        <v>0</v>
      </c>
    </row>
    <row r="3429" spans="1:18" x14ac:dyDescent="0.25">
      <c r="A3429">
        <v>203428</v>
      </c>
      <c r="B3429">
        <v>52151</v>
      </c>
      <c r="C3429" t="s">
        <v>28</v>
      </c>
      <c r="D3429">
        <v>3156.33</v>
      </c>
      <c r="E3429">
        <v>1290</v>
      </c>
      <c r="F3429">
        <v>2</v>
      </c>
      <c r="G3429">
        <v>5</v>
      </c>
      <c r="H3429">
        <v>0</v>
      </c>
      <c r="I3429" t="s">
        <v>32</v>
      </c>
      <c r="J3429">
        <v>0</v>
      </c>
      <c r="K3429">
        <v>72</v>
      </c>
      <c r="L3429" t="s">
        <v>24</v>
      </c>
      <c r="M3429" t="s">
        <v>25</v>
      </c>
      <c r="N3429" t="s">
        <v>22</v>
      </c>
      <c r="O3429" t="s">
        <v>36</v>
      </c>
      <c r="P3429">
        <v>2.2799999999999998</v>
      </c>
      <c r="Q3429" s="2" t="b">
        <f>FALSE()</f>
        <v>0</v>
      </c>
      <c r="R3429">
        <v>0</v>
      </c>
    </row>
    <row r="3430" spans="1:18" x14ac:dyDescent="0.25">
      <c r="A3430">
        <v>203429</v>
      </c>
      <c r="B3430">
        <v>54418</v>
      </c>
      <c r="C3430" t="s">
        <v>18</v>
      </c>
      <c r="D3430">
        <v>1459.56</v>
      </c>
      <c r="E3430">
        <v>2851</v>
      </c>
      <c r="F3430">
        <v>3</v>
      </c>
      <c r="G3430">
        <v>2</v>
      </c>
      <c r="H3430">
        <v>1</v>
      </c>
      <c r="I3430" t="s">
        <v>33</v>
      </c>
      <c r="J3430">
        <v>0</v>
      </c>
      <c r="K3430">
        <v>54</v>
      </c>
      <c r="L3430" t="s">
        <v>20</v>
      </c>
      <c r="M3430" t="s">
        <v>25</v>
      </c>
      <c r="N3430" t="s">
        <v>22</v>
      </c>
      <c r="O3430" t="s">
        <v>27</v>
      </c>
      <c r="P3430">
        <v>3.23</v>
      </c>
      <c r="Q3430" s="2" t="b">
        <f>FALSE()</f>
        <v>0</v>
      </c>
      <c r="R3430">
        <v>1</v>
      </c>
    </row>
    <row r="3431" spans="1:18" x14ac:dyDescent="0.25">
      <c r="A3431">
        <v>203430</v>
      </c>
      <c r="B3431">
        <v>50175</v>
      </c>
      <c r="C3431" t="s">
        <v>34</v>
      </c>
      <c r="D3431">
        <v>1044.24</v>
      </c>
      <c r="E3431">
        <v>2020</v>
      </c>
      <c r="F3431">
        <v>1</v>
      </c>
      <c r="G3431">
        <v>3</v>
      </c>
      <c r="H3431">
        <v>0</v>
      </c>
      <c r="I3431" t="s">
        <v>19</v>
      </c>
      <c r="J3431">
        <v>0</v>
      </c>
      <c r="K3431">
        <v>58</v>
      </c>
      <c r="L3431" t="s">
        <v>24</v>
      </c>
      <c r="M3431" t="s">
        <v>35</v>
      </c>
      <c r="N3431" t="s">
        <v>26</v>
      </c>
      <c r="O3431" t="s">
        <v>36</v>
      </c>
      <c r="P3431">
        <v>2.6</v>
      </c>
      <c r="Q3431" s="2" t="b">
        <f>FALSE()</f>
        <v>0</v>
      </c>
      <c r="R3431">
        <v>0</v>
      </c>
    </row>
    <row r="3432" spans="1:18" x14ac:dyDescent="0.25">
      <c r="A3432">
        <v>203431</v>
      </c>
      <c r="B3432">
        <v>53444</v>
      </c>
      <c r="C3432" t="s">
        <v>28</v>
      </c>
      <c r="D3432">
        <v>1475.86</v>
      </c>
      <c r="E3432">
        <v>1893</v>
      </c>
      <c r="F3432">
        <v>0</v>
      </c>
      <c r="G3432">
        <v>9</v>
      </c>
      <c r="H3432">
        <v>1</v>
      </c>
      <c r="I3432" t="s">
        <v>33</v>
      </c>
      <c r="J3432">
        <v>0</v>
      </c>
      <c r="K3432">
        <v>41</v>
      </c>
      <c r="L3432" t="s">
        <v>24</v>
      </c>
      <c r="M3432" t="s">
        <v>37</v>
      </c>
      <c r="N3432" t="s">
        <v>30</v>
      </c>
      <c r="O3432" t="s">
        <v>27</v>
      </c>
      <c r="P3432">
        <v>10.24</v>
      </c>
      <c r="Q3432" s="2" t="b">
        <f>FALSE()</f>
        <v>0</v>
      </c>
      <c r="R3432">
        <v>1</v>
      </c>
    </row>
    <row r="3433" spans="1:18" x14ac:dyDescent="0.25">
      <c r="A3433">
        <v>203432</v>
      </c>
      <c r="B3433">
        <v>50359</v>
      </c>
      <c r="C3433" t="s">
        <v>28</v>
      </c>
      <c r="D3433">
        <v>980.41</v>
      </c>
      <c r="E3433">
        <v>1236</v>
      </c>
      <c r="F3433">
        <v>1</v>
      </c>
      <c r="G3433">
        <v>6</v>
      </c>
      <c r="H3433">
        <v>0</v>
      </c>
      <c r="I3433" t="s">
        <v>33</v>
      </c>
      <c r="J3433">
        <v>0</v>
      </c>
      <c r="K3433">
        <v>74</v>
      </c>
      <c r="L3433" t="s">
        <v>20</v>
      </c>
      <c r="M3433" t="s">
        <v>25</v>
      </c>
      <c r="N3433" t="s">
        <v>22</v>
      </c>
      <c r="O3433" t="s">
        <v>36</v>
      </c>
      <c r="P3433">
        <v>0.67</v>
      </c>
      <c r="Q3433" s="2" t="b">
        <f>FALSE()</f>
        <v>0</v>
      </c>
      <c r="R3433">
        <v>0</v>
      </c>
    </row>
    <row r="3434" spans="1:18" x14ac:dyDescent="0.25">
      <c r="A3434">
        <v>203433</v>
      </c>
      <c r="B3434">
        <v>53423</v>
      </c>
      <c r="C3434" t="s">
        <v>18</v>
      </c>
      <c r="D3434">
        <v>3410.48</v>
      </c>
      <c r="E3434">
        <v>3107</v>
      </c>
      <c r="F3434">
        <v>2</v>
      </c>
      <c r="G3434">
        <v>5</v>
      </c>
      <c r="H3434">
        <v>0</v>
      </c>
      <c r="I3434" t="s">
        <v>19</v>
      </c>
      <c r="J3434">
        <v>0</v>
      </c>
      <c r="K3434">
        <v>57</v>
      </c>
      <c r="L3434" t="s">
        <v>24</v>
      </c>
      <c r="M3434" t="s">
        <v>21</v>
      </c>
      <c r="N3434" t="s">
        <v>30</v>
      </c>
      <c r="O3434" t="s">
        <v>36</v>
      </c>
      <c r="P3434">
        <v>5.43</v>
      </c>
      <c r="Q3434" s="2" t="b">
        <f>FALSE()</f>
        <v>0</v>
      </c>
      <c r="R3434">
        <v>0</v>
      </c>
    </row>
    <row r="3435" spans="1:18" x14ac:dyDescent="0.25">
      <c r="A3435">
        <v>203434</v>
      </c>
      <c r="B3435">
        <v>53550</v>
      </c>
      <c r="C3435" t="s">
        <v>34</v>
      </c>
      <c r="D3435">
        <v>2164.13</v>
      </c>
      <c r="E3435">
        <v>3131</v>
      </c>
      <c r="F3435">
        <v>4</v>
      </c>
      <c r="G3435">
        <v>5</v>
      </c>
      <c r="H3435">
        <v>1</v>
      </c>
      <c r="I3435" t="s">
        <v>33</v>
      </c>
      <c r="J3435">
        <v>0</v>
      </c>
      <c r="K3435">
        <v>69</v>
      </c>
      <c r="L3435" t="s">
        <v>24</v>
      </c>
      <c r="M3435" t="s">
        <v>25</v>
      </c>
      <c r="N3435" t="s">
        <v>22</v>
      </c>
      <c r="O3435" t="s">
        <v>27</v>
      </c>
      <c r="P3435">
        <v>4.2</v>
      </c>
      <c r="Q3435" s="2" t="b">
        <f>FALSE()</f>
        <v>0</v>
      </c>
      <c r="R3435">
        <v>1</v>
      </c>
    </row>
    <row r="3436" spans="1:18" x14ac:dyDescent="0.25">
      <c r="A3436">
        <v>203435</v>
      </c>
      <c r="B3436">
        <v>52568</v>
      </c>
      <c r="C3436" t="s">
        <v>34</v>
      </c>
      <c r="D3436">
        <v>3820.01</v>
      </c>
      <c r="E3436">
        <v>1444</v>
      </c>
      <c r="F3436">
        <v>2</v>
      </c>
      <c r="G3436">
        <v>3</v>
      </c>
      <c r="H3436">
        <v>0</v>
      </c>
      <c r="I3436" t="s">
        <v>32</v>
      </c>
      <c r="J3436">
        <v>0</v>
      </c>
      <c r="K3436">
        <v>57</v>
      </c>
      <c r="L3436" t="s">
        <v>20</v>
      </c>
      <c r="M3436" t="s">
        <v>29</v>
      </c>
      <c r="N3436" t="s">
        <v>30</v>
      </c>
      <c r="O3436" t="s">
        <v>36</v>
      </c>
      <c r="P3436">
        <v>1.8</v>
      </c>
      <c r="Q3436" s="2" t="b">
        <f>FALSE()</f>
        <v>0</v>
      </c>
      <c r="R3436">
        <v>1</v>
      </c>
    </row>
    <row r="3437" spans="1:18" x14ac:dyDescent="0.25">
      <c r="A3437">
        <v>203436</v>
      </c>
      <c r="B3437">
        <v>55540</v>
      </c>
      <c r="C3437" t="s">
        <v>18</v>
      </c>
      <c r="D3437">
        <v>3426.33</v>
      </c>
      <c r="E3437">
        <v>795</v>
      </c>
      <c r="F3437">
        <v>1</v>
      </c>
      <c r="G3437">
        <v>3</v>
      </c>
      <c r="H3437">
        <v>1</v>
      </c>
      <c r="I3437" t="s">
        <v>33</v>
      </c>
      <c r="J3437">
        <v>0</v>
      </c>
      <c r="K3437">
        <v>75</v>
      </c>
      <c r="L3437" t="s">
        <v>24</v>
      </c>
      <c r="M3437" t="s">
        <v>35</v>
      </c>
      <c r="N3437" t="s">
        <v>22</v>
      </c>
      <c r="O3437" t="s">
        <v>36</v>
      </c>
      <c r="P3437">
        <v>2.13</v>
      </c>
      <c r="Q3437" s="2" t="b">
        <f>FALSE()</f>
        <v>0</v>
      </c>
      <c r="R3437">
        <v>0</v>
      </c>
    </row>
    <row r="3438" spans="1:18" x14ac:dyDescent="0.25">
      <c r="A3438">
        <v>203437</v>
      </c>
      <c r="B3438">
        <v>50921</v>
      </c>
      <c r="C3438" t="s">
        <v>18</v>
      </c>
      <c r="D3438">
        <v>3175.64</v>
      </c>
      <c r="E3438">
        <v>2473</v>
      </c>
      <c r="F3438">
        <v>3</v>
      </c>
      <c r="G3438">
        <v>2</v>
      </c>
      <c r="H3438">
        <v>0</v>
      </c>
      <c r="I3438" t="s">
        <v>19</v>
      </c>
      <c r="J3438">
        <v>0</v>
      </c>
      <c r="K3438">
        <v>82</v>
      </c>
      <c r="L3438" t="s">
        <v>24</v>
      </c>
      <c r="M3438" t="s">
        <v>21</v>
      </c>
      <c r="N3438" t="s">
        <v>22</v>
      </c>
      <c r="O3438" t="s">
        <v>36</v>
      </c>
      <c r="P3438">
        <v>2.54</v>
      </c>
      <c r="Q3438" s="2" t="b">
        <f>FALSE()</f>
        <v>0</v>
      </c>
      <c r="R3438">
        <v>1</v>
      </c>
    </row>
    <row r="3439" spans="1:18" x14ac:dyDescent="0.25">
      <c r="A3439">
        <v>203438</v>
      </c>
      <c r="B3439">
        <v>52432</v>
      </c>
      <c r="C3439" t="s">
        <v>34</v>
      </c>
      <c r="D3439">
        <v>1779.78</v>
      </c>
      <c r="E3439">
        <v>2908</v>
      </c>
      <c r="F3439">
        <v>2</v>
      </c>
      <c r="G3439">
        <v>6</v>
      </c>
      <c r="H3439">
        <v>1</v>
      </c>
      <c r="I3439" t="s">
        <v>33</v>
      </c>
      <c r="J3439">
        <v>0</v>
      </c>
      <c r="K3439">
        <v>41</v>
      </c>
      <c r="L3439" t="s">
        <v>24</v>
      </c>
      <c r="M3439" t="s">
        <v>25</v>
      </c>
      <c r="N3439" t="s">
        <v>30</v>
      </c>
      <c r="O3439" t="s">
        <v>23</v>
      </c>
      <c r="P3439">
        <v>3.71</v>
      </c>
      <c r="Q3439" s="2" t="b">
        <f>FALSE()</f>
        <v>0</v>
      </c>
      <c r="R3439">
        <v>0</v>
      </c>
    </row>
    <row r="3440" spans="1:18" x14ac:dyDescent="0.25">
      <c r="A3440">
        <v>203439</v>
      </c>
      <c r="B3440">
        <v>54988</v>
      </c>
      <c r="C3440" t="s">
        <v>18</v>
      </c>
      <c r="D3440">
        <v>4445.99</v>
      </c>
      <c r="E3440">
        <v>3351</v>
      </c>
      <c r="F3440">
        <v>0</v>
      </c>
      <c r="G3440">
        <v>1</v>
      </c>
      <c r="H3440">
        <v>0</v>
      </c>
      <c r="I3440" t="s">
        <v>19</v>
      </c>
      <c r="J3440">
        <v>0</v>
      </c>
      <c r="K3440">
        <v>55</v>
      </c>
      <c r="L3440" t="s">
        <v>24</v>
      </c>
      <c r="M3440" t="s">
        <v>35</v>
      </c>
      <c r="N3440" t="s">
        <v>22</v>
      </c>
      <c r="O3440" t="s">
        <v>36</v>
      </c>
      <c r="P3440">
        <v>0.15</v>
      </c>
      <c r="Q3440" s="2" t="b">
        <f>FALSE()</f>
        <v>0</v>
      </c>
      <c r="R3440">
        <v>1</v>
      </c>
    </row>
    <row r="3441" spans="1:18" x14ac:dyDescent="0.25">
      <c r="A3441">
        <v>203440</v>
      </c>
      <c r="B3441">
        <v>50457</v>
      </c>
      <c r="C3441" t="s">
        <v>34</v>
      </c>
      <c r="D3441">
        <v>6095.64</v>
      </c>
      <c r="E3441">
        <v>327</v>
      </c>
      <c r="F3441">
        <v>0</v>
      </c>
      <c r="G3441">
        <v>6</v>
      </c>
      <c r="H3441">
        <v>0</v>
      </c>
      <c r="I3441" t="s">
        <v>19</v>
      </c>
      <c r="J3441">
        <v>1</v>
      </c>
      <c r="K3441">
        <v>24</v>
      </c>
      <c r="L3441" t="s">
        <v>20</v>
      </c>
      <c r="M3441" t="s">
        <v>37</v>
      </c>
      <c r="N3441" t="s">
        <v>22</v>
      </c>
      <c r="O3441" t="s">
        <v>23</v>
      </c>
      <c r="P3441">
        <v>0.46</v>
      </c>
      <c r="Q3441" s="2" t="b">
        <f>FALSE()</f>
        <v>0</v>
      </c>
      <c r="R3441">
        <v>1</v>
      </c>
    </row>
    <row r="3442" spans="1:18" x14ac:dyDescent="0.25">
      <c r="A3442">
        <v>203441</v>
      </c>
      <c r="B3442">
        <v>50258</v>
      </c>
      <c r="C3442" t="s">
        <v>18</v>
      </c>
      <c r="D3442">
        <v>4093</v>
      </c>
      <c r="E3442">
        <v>2757</v>
      </c>
      <c r="F3442">
        <v>1</v>
      </c>
      <c r="G3442">
        <v>3</v>
      </c>
      <c r="H3442">
        <v>0</v>
      </c>
      <c r="I3442" t="s">
        <v>32</v>
      </c>
      <c r="J3442">
        <v>0</v>
      </c>
      <c r="K3442">
        <v>83</v>
      </c>
      <c r="L3442" t="s">
        <v>20</v>
      </c>
      <c r="M3442" t="s">
        <v>21</v>
      </c>
      <c r="N3442" t="s">
        <v>30</v>
      </c>
      <c r="O3442" t="s">
        <v>36</v>
      </c>
      <c r="P3442">
        <v>11.89</v>
      </c>
      <c r="Q3442" s="2" t="b">
        <f>FALSE()</f>
        <v>0</v>
      </c>
      <c r="R3442">
        <v>1</v>
      </c>
    </row>
    <row r="3443" spans="1:18" x14ac:dyDescent="0.25">
      <c r="A3443">
        <v>203442</v>
      </c>
      <c r="B3443">
        <v>53122</v>
      </c>
      <c r="C3443" t="s">
        <v>18</v>
      </c>
      <c r="D3443">
        <v>3812.26</v>
      </c>
      <c r="E3443">
        <v>445</v>
      </c>
      <c r="F3443">
        <v>2</v>
      </c>
      <c r="G3443">
        <v>6</v>
      </c>
      <c r="H3443">
        <v>0</v>
      </c>
      <c r="I3443" t="s">
        <v>19</v>
      </c>
      <c r="J3443">
        <v>0</v>
      </c>
      <c r="K3443">
        <v>76</v>
      </c>
      <c r="L3443" t="s">
        <v>24</v>
      </c>
      <c r="M3443" t="s">
        <v>35</v>
      </c>
      <c r="N3443" t="s">
        <v>30</v>
      </c>
      <c r="O3443" t="s">
        <v>27</v>
      </c>
      <c r="P3443">
        <v>5.63</v>
      </c>
      <c r="Q3443" s="2" t="b">
        <f>FALSE()</f>
        <v>0</v>
      </c>
      <c r="R3443">
        <v>1</v>
      </c>
    </row>
    <row r="3444" spans="1:18" x14ac:dyDescent="0.25">
      <c r="A3444">
        <v>203443</v>
      </c>
      <c r="B3444">
        <v>55580</v>
      </c>
      <c r="C3444" t="s">
        <v>28</v>
      </c>
      <c r="D3444">
        <v>3794.84</v>
      </c>
      <c r="E3444">
        <v>2033</v>
      </c>
      <c r="F3444">
        <v>2</v>
      </c>
      <c r="G3444">
        <v>5</v>
      </c>
      <c r="H3444">
        <v>0</v>
      </c>
      <c r="I3444" t="s">
        <v>32</v>
      </c>
      <c r="J3444">
        <v>0</v>
      </c>
      <c r="K3444">
        <v>27</v>
      </c>
      <c r="L3444" t="s">
        <v>20</v>
      </c>
      <c r="M3444" t="s">
        <v>21</v>
      </c>
      <c r="N3444" t="s">
        <v>22</v>
      </c>
      <c r="O3444" t="s">
        <v>36</v>
      </c>
      <c r="P3444">
        <v>0.56000000000000005</v>
      </c>
      <c r="Q3444" s="2" t="b">
        <f>FALSE()</f>
        <v>0</v>
      </c>
      <c r="R3444">
        <v>1</v>
      </c>
    </row>
    <row r="3445" spans="1:18" x14ac:dyDescent="0.25">
      <c r="A3445">
        <v>203444</v>
      </c>
      <c r="B3445">
        <v>54021</v>
      </c>
      <c r="C3445" t="s">
        <v>18</v>
      </c>
      <c r="D3445">
        <v>1838.98</v>
      </c>
      <c r="E3445">
        <v>3021</v>
      </c>
      <c r="F3445">
        <v>1</v>
      </c>
      <c r="G3445">
        <v>5</v>
      </c>
      <c r="H3445">
        <v>0</v>
      </c>
      <c r="I3445" t="s">
        <v>19</v>
      </c>
      <c r="J3445">
        <v>0</v>
      </c>
      <c r="K3445">
        <v>83</v>
      </c>
      <c r="L3445" t="s">
        <v>24</v>
      </c>
      <c r="M3445" t="s">
        <v>31</v>
      </c>
      <c r="N3445" t="s">
        <v>22</v>
      </c>
      <c r="O3445" t="s">
        <v>27</v>
      </c>
      <c r="P3445">
        <v>11.82</v>
      </c>
      <c r="Q3445" s="2" t="b">
        <f>FALSE()</f>
        <v>0</v>
      </c>
      <c r="R3445">
        <v>0</v>
      </c>
    </row>
    <row r="3446" spans="1:18" x14ac:dyDescent="0.25">
      <c r="A3446">
        <v>203445</v>
      </c>
      <c r="B3446">
        <v>52501</v>
      </c>
      <c r="C3446" t="s">
        <v>34</v>
      </c>
      <c r="D3446">
        <v>1998.13</v>
      </c>
      <c r="E3446">
        <v>2854</v>
      </c>
      <c r="F3446">
        <v>2</v>
      </c>
      <c r="G3446">
        <v>2</v>
      </c>
      <c r="H3446">
        <v>0</v>
      </c>
      <c r="I3446" t="s">
        <v>33</v>
      </c>
      <c r="J3446">
        <v>1</v>
      </c>
      <c r="K3446">
        <v>23</v>
      </c>
      <c r="L3446" t="s">
        <v>24</v>
      </c>
      <c r="M3446" t="s">
        <v>37</v>
      </c>
      <c r="N3446" t="s">
        <v>30</v>
      </c>
      <c r="O3446" t="s">
        <v>23</v>
      </c>
      <c r="P3446">
        <v>3.71</v>
      </c>
      <c r="Q3446" s="2" t="b">
        <f>FALSE()</f>
        <v>0</v>
      </c>
      <c r="R3446">
        <v>0</v>
      </c>
    </row>
    <row r="3447" spans="1:18" x14ac:dyDescent="0.25">
      <c r="A3447">
        <v>203446</v>
      </c>
      <c r="B3447">
        <v>52100</v>
      </c>
      <c r="C3447" t="s">
        <v>18</v>
      </c>
      <c r="D3447">
        <v>1861.97</v>
      </c>
      <c r="E3447">
        <v>1198</v>
      </c>
      <c r="F3447">
        <v>3</v>
      </c>
      <c r="G3447">
        <v>6</v>
      </c>
      <c r="H3447">
        <v>1</v>
      </c>
      <c r="I3447" t="s">
        <v>33</v>
      </c>
      <c r="J3447">
        <v>0</v>
      </c>
      <c r="K3447">
        <v>20</v>
      </c>
      <c r="L3447" t="s">
        <v>20</v>
      </c>
      <c r="M3447" t="s">
        <v>35</v>
      </c>
      <c r="N3447" t="s">
        <v>22</v>
      </c>
      <c r="O3447" t="s">
        <v>36</v>
      </c>
      <c r="P3447">
        <v>5.82</v>
      </c>
      <c r="Q3447" s="2" t="b">
        <f>FALSE()</f>
        <v>0</v>
      </c>
      <c r="R3447">
        <v>1</v>
      </c>
    </row>
    <row r="3448" spans="1:18" x14ac:dyDescent="0.25">
      <c r="A3448">
        <v>203447</v>
      </c>
      <c r="B3448">
        <v>52819</v>
      </c>
      <c r="C3448" t="s">
        <v>34</v>
      </c>
      <c r="D3448">
        <v>3552.79</v>
      </c>
      <c r="E3448">
        <v>849</v>
      </c>
      <c r="F3448">
        <v>1</v>
      </c>
      <c r="G3448">
        <v>2</v>
      </c>
      <c r="H3448">
        <v>0</v>
      </c>
      <c r="I3448" t="s">
        <v>33</v>
      </c>
      <c r="J3448">
        <v>0</v>
      </c>
      <c r="K3448">
        <v>61</v>
      </c>
      <c r="L3448" t="s">
        <v>20</v>
      </c>
      <c r="M3448" t="s">
        <v>37</v>
      </c>
      <c r="N3448" t="s">
        <v>22</v>
      </c>
      <c r="O3448" t="s">
        <v>23</v>
      </c>
      <c r="P3448">
        <v>1.33</v>
      </c>
      <c r="Q3448" s="2" t="b">
        <f>FALSE()</f>
        <v>0</v>
      </c>
      <c r="R3448">
        <v>0</v>
      </c>
    </row>
    <row r="3449" spans="1:18" x14ac:dyDescent="0.25">
      <c r="A3449">
        <v>203448</v>
      </c>
      <c r="B3449">
        <v>53870</v>
      </c>
      <c r="C3449" t="s">
        <v>18</v>
      </c>
      <c r="D3449">
        <v>852.51</v>
      </c>
      <c r="E3449">
        <v>238</v>
      </c>
      <c r="F3449">
        <v>3</v>
      </c>
      <c r="G3449">
        <v>6</v>
      </c>
      <c r="H3449">
        <v>0</v>
      </c>
      <c r="I3449" t="s">
        <v>33</v>
      </c>
      <c r="J3449">
        <v>0</v>
      </c>
      <c r="K3449">
        <v>28</v>
      </c>
      <c r="L3449" t="s">
        <v>20</v>
      </c>
      <c r="M3449" t="s">
        <v>35</v>
      </c>
      <c r="N3449" t="s">
        <v>26</v>
      </c>
      <c r="O3449" t="s">
        <v>36</v>
      </c>
      <c r="P3449">
        <v>0.71</v>
      </c>
      <c r="Q3449" s="2" t="b">
        <f>FALSE()</f>
        <v>0</v>
      </c>
      <c r="R3449">
        <v>1</v>
      </c>
    </row>
    <row r="3450" spans="1:18" x14ac:dyDescent="0.25">
      <c r="A3450">
        <v>203449</v>
      </c>
      <c r="B3450">
        <v>50897</v>
      </c>
      <c r="C3450" t="s">
        <v>18</v>
      </c>
      <c r="D3450">
        <v>1857.78</v>
      </c>
      <c r="E3450">
        <v>1047</v>
      </c>
      <c r="F3450">
        <v>2</v>
      </c>
      <c r="G3450">
        <v>3</v>
      </c>
      <c r="H3450">
        <v>0</v>
      </c>
      <c r="I3450" t="s">
        <v>32</v>
      </c>
      <c r="J3450">
        <v>0</v>
      </c>
      <c r="K3450">
        <v>65</v>
      </c>
      <c r="L3450" t="s">
        <v>20</v>
      </c>
      <c r="M3450" t="s">
        <v>31</v>
      </c>
      <c r="N3450" t="s">
        <v>30</v>
      </c>
      <c r="O3450" t="s">
        <v>27</v>
      </c>
      <c r="P3450">
        <v>0.48</v>
      </c>
      <c r="Q3450" s="2" t="b">
        <f>FALSE()</f>
        <v>0</v>
      </c>
      <c r="R3450">
        <v>0</v>
      </c>
    </row>
    <row r="3451" spans="1:18" x14ac:dyDescent="0.25">
      <c r="A3451">
        <v>203450</v>
      </c>
      <c r="B3451">
        <v>54447</v>
      </c>
      <c r="C3451" t="s">
        <v>34</v>
      </c>
      <c r="D3451">
        <v>2924.31</v>
      </c>
      <c r="E3451">
        <v>812</v>
      </c>
      <c r="F3451">
        <v>1</v>
      </c>
      <c r="G3451">
        <v>2</v>
      </c>
      <c r="H3451">
        <v>1</v>
      </c>
      <c r="I3451" t="s">
        <v>33</v>
      </c>
      <c r="J3451">
        <v>0</v>
      </c>
      <c r="K3451">
        <v>42</v>
      </c>
      <c r="L3451" t="s">
        <v>20</v>
      </c>
      <c r="M3451" t="s">
        <v>25</v>
      </c>
      <c r="N3451" t="s">
        <v>30</v>
      </c>
      <c r="O3451" t="s">
        <v>27</v>
      </c>
      <c r="P3451">
        <v>4.2</v>
      </c>
      <c r="Q3451" s="2" t="b">
        <f>FALSE()</f>
        <v>0</v>
      </c>
      <c r="R3451">
        <v>0</v>
      </c>
    </row>
    <row r="3452" spans="1:18" x14ac:dyDescent="0.25">
      <c r="A3452">
        <v>203451</v>
      </c>
      <c r="B3452">
        <v>54715</v>
      </c>
      <c r="C3452" t="s">
        <v>34</v>
      </c>
      <c r="D3452">
        <v>2128.31</v>
      </c>
      <c r="E3452">
        <v>2936</v>
      </c>
      <c r="F3452">
        <v>3</v>
      </c>
      <c r="G3452">
        <v>2</v>
      </c>
      <c r="H3452">
        <v>0</v>
      </c>
      <c r="I3452" t="s">
        <v>33</v>
      </c>
      <c r="J3452">
        <v>0</v>
      </c>
      <c r="K3452">
        <v>31</v>
      </c>
      <c r="L3452" t="s">
        <v>24</v>
      </c>
      <c r="M3452" t="s">
        <v>21</v>
      </c>
      <c r="N3452" t="s">
        <v>30</v>
      </c>
      <c r="O3452" t="s">
        <v>36</v>
      </c>
      <c r="P3452">
        <v>6.67</v>
      </c>
      <c r="Q3452" s="2" t="b">
        <f>FALSE()</f>
        <v>0</v>
      </c>
      <c r="R3452">
        <v>1</v>
      </c>
    </row>
    <row r="3453" spans="1:18" x14ac:dyDescent="0.25">
      <c r="A3453">
        <v>203452</v>
      </c>
      <c r="B3453">
        <v>54659</v>
      </c>
      <c r="C3453" t="s">
        <v>34</v>
      </c>
      <c r="D3453">
        <v>2627.14</v>
      </c>
      <c r="E3453">
        <v>1496</v>
      </c>
      <c r="F3453">
        <v>1</v>
      </c>
      <c r="G3453">
        <v>6</v>
      </c>
      <c r="H3453">
        <v>0</v>
      </c>
      <c r="I3453" t="s">
        <v>32</v>
      </c>
      <c r="J3453">
        <v>0</v>
      </c>
      <c r="K3453">
        <v>58</v>
      </c>
      <c r="L3453" t="s">
        <v>24</v>
      </c>
      <c r="M3453" t="s">
        <v>35</v>
      </c>
      <c r="N3453" t="s">
        <v>22</v>
      </c>
      <c r="O3453" t="s">
        <v>27</v>
      </c>
      <c r="P3453">
        <v>0.98</v>
      </c>
      <c r="Q3453" s="2" t="b">
        <f>FALSE()</f>
        <v>0</v>
      </c>
      <c r="R3453">
        <v>0</v>
      </c>
    </row>
    <row r="3454" spans="1:18" x14ac:dyDescent="0.25">
      <c r="A3454">
        <v>203453</v>
      </c>
      <c r="B3454">
        <v>52037</v>
      </c>
      <c r="C3454" t="s">
        <v>18</v>
      </c>
      <c r="D3454">
        <v>2525.6</v>
      </c>
      <c r="E3454">
        <v>366</v>
      </c>
      <c r="F3454">
        <v>2</v>
      </c>
      <c r="G3454">
        <v>4</v>
      </c>
      <c r="H3454">
        <v>0</v>
      </c>
      <c r="I3454" t="s">
        <v>33</v>
      </c>
      <c r="J3454">
        <v>0</v>
      </c>
      <c r="K3454">
        <v>28</v>
      </c>
      <c r="L3454" t="s">
        <v>24</v>
      </c>
      <c r="M3454" t="s">
        <v>37</v>
      </c>
      <c r="N3454" t="s">
        <v>26</v>
      </c>
      <c r="O3454" t="s">
        <v>27</v>
      </c>
      <c r="P3454">
        <v>0.92</v>
      </c>
      <c r="Q3454" s="2" t="b">
        <f>FALSE()</f>
        <v>0</v>
      </c>
      <c r="R3454">
        <v>0</v>
      </c>
    </row>
    <row r="3455" spans="1:18" x14ac:dyDescent="0.25">
      <c r="A3455">
        <v>203454</v>
      </c>
      <c r="B3455">
        <v>51720</v>
      </c>
      <c r="C3455" t="s">
        <v>34</v>
      </c>
      <c r="D3455">
        <v>3137</v>
      </c>
      <c r="E3455">
        <v>2514</v>
      </c>
      <c r="F3455">
        <v>2</v>
      </c>
      <c r="G3455">
        <v>6</v>
      </c>
      <c r="H3455">
        <v>1</v>
      </c>
      <c r="I3455" t="s">
        <v>19</v>
      </c>
      <c r="J3455">
        <v>0</v>
      </c>
      <c r="K3455">
        <v>25</v>
      </c>
      <c r="L3455" t="s">
        <v>24</v>
      </c>
      <c r="M3455" t="s">
        <v>35</v>
      </c>
      <c r="N3455" t="s">
        <v>22</v>
      </c>
      <c r="O3455" t="s">
        <v>27</v>
      </c>
      <c r="P3455">
        <v>3.23</v>
      </c>
      <c r="Q3455" s="2" t="b">
        <f>FALSE()</f>
        <v>0</v>
      </c>
      <c r="R3455">
        <v>0</v>
      </c>
    </row>
    <row r="3456" spans="1:18" x14ac:dyDescent="0.25">
      <c r="A3456">
        <v>203455</v>
      </c>
      <c r="B3456">
        <v>54602</v>
      </c>
      <c r="C3456" t="s">
        <v>18</v>
      </c>
      <c r="D3456">
        <v>2708.51</v>
      </c>
      <c r="E3456">
        <v>651</v>
      </c>
      <c r="F3456">
        <v>1</v>
      </c>
      <c r="G3456">
        <v>5</v>
      </c>
      <c r="H3456">
        <v>0</v>
      </c>
      <c r="I3456" t="s">
        <v>19</v>
      </c>
      <c r="J3456">
        <v>0</v>
      </c>
      <c r="K3456">
        <v>40</v>
      </c>
      <c r="L3456" t="s">
        <v>24</v>
      </c>
      <c r="M3456" t="s">
        <v>35</v>
      </c>
      <c r="N3456" t="s">
        <v>22</v>
      </c>
      <c r="O3456" t="s">
        <v>36</v>
      </c>
      <c r="P3456">
        <v>0.27</v>
      </c>
      <c r="Q3456" s="2" t="b">
        <f>FALSE()</f>
        <v>0</v>
      </c>
      <c r="R3456">
        <v>0</v>
      </c>
    </row>
    <row r="3457" spans="1:18" x14ac:dyDescent="0.25">
      <c r="A3457">
        <v>203456</v>
      </c>
      <c r="B3457">
        <v>50863</v>
      </c>
      <c r="C3457" t="s">
        <v>18</v>
      </c>
      <c r="D3457">
        <v>3476.64</v>
      </c>
      <c r="E3457">
        <v>3165</v>
      </c>
      <c r="F3457">
        <v>0</v>
      </c>
      <c r="G3457">
        <v>3</v>
      </c>
      <c r="H3457">
        <v>1</v>
      </c>
      <c r="I3457" t="s">
        <v>33</v>
      </c>
      <c r="J3457">
        <v>0</v>
      </c>
      <c r="K3457">
        <v>25</v>
      </c>
      <c r="L3457" t="s">
        <v>24</v>
      </c>
      <c r="M3457" t="s">
        <v>21</v>
      </c>
      <c r="N3457" t="s">
        <v>30</v>
      </c>
      <c r="O3457" t="s">
        <v>27</v>
      </c>
      <c r="P3457">
        <v>4.3600000000000003</v>
      </c>
      <c r="Q3457" s="2" t="b">
        <f>FALSE()</f>
        <v>0</v>
      </c>
      <c r="R3457">
        <v>0</v>
      </c>
    </row>
    <row r="3458" spans="1:18" x14ac:dyDescent="0.25">
      <c r="A3458">
        <v>203457</v>
      </c>
      <c r="B3458">
        <v>50110</v>
      </c>
      <c r="C3458" t="s">
        <v>18</v>
      </c>
      <c r="D3458">
        <v>1562</v>
      </c>
      <c r="E3458">
        <v>2428</v>
      </c>
      <c r="F3458">
        <v>0</v>
      </c>
      <c r="G3458">
        <v>5</v>
      </c>
      <c r="H3458">
        <v>1</v>
      </c>
      <c r="I3458" t="s">
        <v>19</v>
      </c>
      <c r="J3458">
        <v>0</v>
      </c>
      <c r="K3458">
        <v>66</v>
      </c>
      <c r="L3458" t="s">
        <v>38</v>
      </c>
      <c r="M3458" t="s">
        <v>37</v>
      </c>
      <c r="N3458" t="s">
        <v>22</v>
      </c>
      <c r="O3458" t="s">
        <v>36</v>
      </c>
      <c r="P3458">
        <v>2.27</v>
      </c>
      <c r="Q3458" s="2" t="b">
        <f>FALSE()</f>
        <v>0</v>
      </c>
      <c r="R3458">
        <v>0</v>
      </c>
    </row>
    <row r="3459" spans="1:18" x14ac:dyDescent="0.25">
      <c r="A3459">
        <v>203458</v>
      </c>
      <c r="B3459">
        <v>50343</v>
      </c>
      <c r="C3459" t="s">
        <v>28</v>
      </c>
      <c r="D3459">
        <v>107.66</v>
      </c>
      <c r="E3459">
        <v>1013</v>
      </c>
      <c r="F3459">
        <v>3</v>
      </c>
      <c r="G3459">
        <v>2</v>
      </c>
      <c r="H3459">
        <v>0</v>
      </c>
      <c r="I3459" t="s">
        <v>33</v>
      </c>
      <c r="J3459">
        <v>1</v>
      </c>
      <c r="K3459">
        <v>47</v>
      </c>
      <c r="L3459" t="s">
        <v>24</v>
      </c>
      <c r="M3459" t="s">
        <v>37</v>
      </c>
      <c r="N3459" t="s">
        <v>22</v>
      </c>
      <c r="O3459" t="s">
        <v>27</v>
      </c>
      <c r="P3459">
        <v>0.57999999999999996</v>
      </c>
      <c r="Q3459" s="2" t="b">
        <f>FALSE()</f>
        <v>0</v>
      </c>
      <c r="R3459">
        <v>1</v>
      </c>
    </row>
    <row r="3460" spans="1:18" x14ac:dyDescent="0.25">
      <c r="A3460">
        <v>203459</v>
      </c>
      <c r="B3460">
        <v>51528</v>
      </c>
      <c r="C3460" t="s">
        <v>18</v>
      </c>
      <c r="D3460">
        <v>2366.39</v>
      </c>
      <c r="E3460">
        <v>3505</v>
      </c>
      <c r="F3460">
        <v>5</v>
      </c>
      <c r="G3460">
        <v>3</v>
      </c>
      <c r="H3460">
        <v>0</v>
      </c>
      <c r="I3460" t="s">
        <v>33</v>
      </c>
      <c r="J3460">
        <v>1</v>
      </c>
      <c r="K3460">
        <v>32</v>
      </c>
      <c r="L3460" t="s">
        <v>20</v>
      </c>
      <c r="M3460" t="s">
        <v>29</v>
      </c>
      <c r="N3460" t="s">
        <v>22</v>
      </c>
      <c r="O3460" t="s">
        <v>36</v>
      </c>
      <c r="P3460">
        <v>0.24</v>
      </c>
      <c r="Q3460" s="2" t="b">
        <f>FALSE()</f>
        <v>0</v>
      </c>
      <c r="R3460">
        <v>1</v>
      </c>
    </row>
    <row r="3461" spans="1:18" x14ac:dyDescent="0.25">
      <c r="A3461">
        <v>203460</v>
      </c>
      <c r="B3461">
        <v>51123</v>
      </c>
      <c r="C3461" t="s">
        <v>34</v>
      </c>
      <c r="D3461">
        <v>209.66</v>
      </c>
      <c r="E3461">
        <v>2010</v>
      </c>
      <c r="F3461">
        <v>0</v>
      </c>
      <c r="G3461">
        <v>5</v>
      </c>
      <c r="H3461">
        <v>0</v>
      </c>
      <c r="I3461" t="s">
        <v>19</v>
      </c>
      <c r="J3461">
        <v>0</v>
      </c>
      <c r="K3461">
        <v>25</v>
      </c>
      <c r="L3461" t="s">
        <v>24</v>
      </c>
      <c r="M3461" t="s">
        <v>35</v>
      </c>
      <c r="N3461" t="s">
        <v>22</v>
      </c>
      <c r="O3461" t="s">
        <v>27</v>
      </c>
      <c r="P3461">
        <v>4.59</v>
      </c>
      <c r="Q3461" s="2" t="b">
        <f>FALSE()</f>
        <v>0</v>
      </c>
      <c r="R3461">
        <v>0</v>
      </c>
    </row>
    <row r="3462" spans="1:18" x14ac:dyDescent="0.25">
      <c r="A3462">
        <v>203461</v>
      </c>
      <c r="B3462">
        <v>54051</v>
      </c>
      <c r="C3462" t="s">
        <v>18</v>
      </c>
      <c r="D3462">
        <v>6549.58</v>
      </c>
      <c r="E3462">
        <v>98</v>
      </c>
      <c r="F3462">
        <v>2</v>
      </c>
      <c r="G3462">
        <v>3</v>
      </c>
      <c r="H3462">
        <v>0</v>
      </c>
      <c r="I3462" t="s">
        <v>19</v>
      </c>
      <c r="J3462">
        <v>0</v>
      </c>
      <c r="K3462">
        <v>54</v>
      </c>
      <c r="L3462" t="s">
        <v>20</v>
      </c>
      <c r="M3462" t="s">
        <v>25</v>
      </c>
      <c r="N3462" t="s">
        <v>26</v>
      </c>
      <c r="O3462" t="s">
        <v>23</v>
      </c>
      <c r="P3462">
        <v>8.1199999999999992</v>
      </c>
      <c r="Q3462" s="2" t="b">
        <f>FALSE()</f>
        <v>0</v>
      </c>
      <c r="R3462">
        <v>1</v>
      </c>
    </row>
    <row r="3463" spans="1:18" x14ac:dyDescent="0.25">
      <c r="A3463">
        <v>203462</v>
      </c>
      <c r="B3463">
        <v>51406</v>
      </c>
      <c r="C3463" t="s">
        <v>18</v>
      </c>
      <c r="D3463">
        <v>961.53</v>
      </c>
      <c r="E3463">
        <v>3022</v>
      </c>
      <c r="F3463">
        <v>1</v>
      </c>
      <c r="G3463">
        <v>2</v>
      </c>
      <c r="H3463">
        <v>0</v>
      </c>
      <c r="I3463" t="s">
        <v>33</v>
      </c>
      <c r="J3463">
        <v>0</v>
      </c>
      <c r="K3463">
        <v>77</v>
      </c>
      <c r="L3463" t="s">
        <v>24</v>
      </c>
      <c r="M3463" t="s">
        <v>35</v>
      </c>
      <c r="N3463" t="s">
        <v>22</v>
      </c>
      <c r="O3463" t="s">
        <v>27</v>
      </c>
      <c r="P3463">
        <v>0.28000000000000003</v>
      </c>
      <c r="Q3463" s="2" t="b">
        <f>FALSE()</f>
        <v>0</v>
      </c>
      <c r="R3463">
        <v>0</v>
      </c>
    </row>
    <row r="3464" spans="1:18" x14ac:dyDescent="0.25">
      <c r="A3464">
        <v>203463</v>
      </c>
      <c r="B3464">
        <v>54088</v>
      </c>
      <c r="C3464" t="s">
        <v>18</v>
      </c>
      <c r="D3464">
        <v>4760.1400000000003</v>
      </c>
      <c r="E3464">
        <v>485</v>
      </c>
      <c r="F3464">
        <v>1</v>
      </c>
      <c r="G3464">
        <v>1</v>
      </c>
      <c r="H3464">
        <v>0</v>
      </c>
      <c r="I3464" t="s">
        <v>32</v>
      </c>
      <c r="J3464">
        <v>0</v>
      </c>
      <c r="K3464">
        <v>39</v>
      </c>
      <c r="L3464" t="s">
        <v>24</v>
      </c>
      <c r="M3464" t="s">
        <v>25</v>
      </c>
      <c r="N3464" t="s">
        <v>30</v>
      </c>
      <c r="O3464" t="s">
        <v>36</v>
      </c>
      <c r="P3464">
        <v>4.4000000000000004</v>
      </c>
      <c r="Q3464" s="2" t="b">
        <f>FALSE()</f>
        <v>0</v>
      </c>
      <c r="R3464">
        <v>1</v>
      </c>
    </row>
    <row r="3465" spans="1:18" x14ac:dyDescent="0.25">
      <c r="A3465">
        <v>203464</v>
      </c>
      <c r="B3465">
        <v>55555</v>
      </c>
      <c r="C3465" t="s">
        <v>34</v>
      </c>
      <c r="D3465">
        <v>2362.42</v>
      </c>
      <c r="E3465">
        <v>2486</v>
      </c>
      <c r="F3465">
        <v>1</v>
      </c>
      <c r="G3465">
        <v>5</v>
      </c>
      <c r="H3465">
        <v>0</v>
      </c>
      <c r="I3465" t="s">
        <v>33</v>
      </c>
      <c r="J3465">
        <v>0</v>
      </c>
      <c r="K3465">
        <v>47</v>
      </c>
      <c r="L3465" t="s">
        <v>20</v>
      </c>
      <c r="M3465" t="s">
        <v>37</v>
      </c>
      <c r="N3465" t="s">
        <v>22</v>
      </c>
      <c r="O3465" t="s">
        <v>36</v>
      </c>
      <c r="P3465">
        <v>0.2</v>
      </c>
      <c r="Q3465" s="2" t="b">
        <f>FALSE()</f>
        <v>0</v>
      </c>
      <c r="R3465">
        <v>0</v>
      </c>
    </row>
    <row r="3466" spans="1:18" x14ac:dyDescent="0.25">
      <c r="A3466">
        <v>203465</v>
      </c>
      <c r="B3466">
        <v>52781</v>
      </c>
      <c r="C3466" t="s">
        <v>28</v>
      </c>
      <c r="D3466">
        <v>1710.7</v>
      </c>
      <c r="E3466">
        <v>1110</v>
      </c>
      <c r="F3466">
        <v>1</v>
      </c>
      <c r="G3466">
        <v>2</v>
      </c>
      <c r="H3466">
        <v>0</v>
      </c>
      <c r="I3466" t="s">
        <v>33</v>
      </c>
      <c r="J3466">
        <v>0</v>
      </c>
      <c r="K3466">
        <v>65</v>
      </c>
      <c r="L3466" t="s">
        <v>24</v>
      </c>
      <c r="M3466" t="s">
        <v>21</v>
      </c>
      <c r="N3466" t="s">
        <v>22</v>
      </c>
      <c r="O3466" t="s">
        <v>27</v>
      </c>
      <c r="P3466">
        <v>4.42</v>
      </c>
      <c r="Q3466" s="2" t="b">
        <f>FALSE()</f>
        <v>0</v>
      </c>
      <c r="R3466">
        <v>0</v>
      </c>
    </row>
    <row r="3467" spans="1:18" x14ac:dyDescent="0.25">
      <c r="A3467">
        <v>203466</v>
      </c>
      <c r="B3467">
        <v>50056</v>
      </c>
      <c r="C3467" t="s">
        <v>18</v>
      </c>
      <c r="D3467">
        <v>1807.08</v>
      </c>
      <c r="E3467">
        <v>1632</v>
      </c>
      <c r="F3467">
        <v>0</v>
      </c>
      <c r="G3467">
        <v>6</v>
      </c>
      <c r="H3467">
        <v>0</v>
      </c>
      <c r="I3467" t="s">
        <v>33</v>
      </c>
      <c r="J3467">
        <v>0</v>
      </c>
      <c r="K3467">
        <v>64</v>
      </c>
      <c r="L3467" t="s">
        <v>20</v>
      </c>
      <c r="M3467" t="s">
        <v>21</v>
      </c>
      <c r="N3467" t="s">
        <v>26</v>
      </c>
      <c r="O3467" t="s">
        <v>27</v>
      </c>
      <c r="P3467">
        <v>1.1000000000000001</v>
      </c>
      <c r="Q3467" s="2" t="b">
        <f>FALSE()</f>
        <v>0</v>
      </c>
      <c r="R3467">
        <v>0</v>
      </c>
    </row>
    <row r="3468" spans="1:18" x14ac:dyDescent="0.25">
      <c r="A3468">
        <v>203467</v>
      </c>
      <c r="B3468">
        <v>50732</v>
      </c>
      <c r="C3468" t="s">
        <v>34</v>
      </c>
      <c r="D3468">
        <v>3138.33</v>
      </c>
      <c r="E3468">
        <v>3242</v>
      </c>
      <c r="F3468">
        <v>0</v>
      </c>
      <c r="G3468">
        <v>4</v>
      </c>
      <c r="H3468">
        <v>1</v>
      </c>
      <c r="I3468" t="s">
        <v>33</v>
      </c>
      <c r="J3468">
        <v>0</v>
      </c>
      <c r="K3468">
        <v>83</v>
      </c>
      <c r="L3468" t="s">
        <v>24</v>
      </c>
      <c r="M3468" t="s">
        <v>29</v>
      </c>
      <c r="N3468" t="s">
        <v>26</v>
      </c>
      <c r="O3468" t="s">
        <v>36</v>
      </c>
      <c r="P3468">
        <v>2.82</v>
      </c>
      <c r="Q3468" s="2" t="b">
        <f>FALSE()</f>
        <v>0</v>
      </c>
      <c r="R3468">
        <v>0</v>
      </c>
    </row>
    <row r="3469" spans="1:18" x14ac:dyDescent="0.25">
      <c r="A3469">
        <v>203468</v>
      </c>
      <c r="B3469">
        <v>53959</v>
      </c>
      <c r="C3469" t="s">
        <v>18</v>
      </c>
      <c r="D3469">
        <v>585.99</v>
      </c>
      <c r="E3469">
        <v>697</v>
      </c>
      <c r="F3469">
        <v>0</v>
      </c>
      <c r="G3469">
        <v>2</v>
      </c>
      <c r="H3469">
        <v>0</v>
      </c>
      <c r="I3469" t="s">
        <v>19</v>
      </c>
      <c r="J3469">
        <v>0</v>
      </c>
      <c r="K3469">
        <v>67</v>
      </c>
      <c r="L3469" t="s">
        <v>20</v>
      </c>
      <c r="M3469" t="s">
        <v>25</v>
      </c>
      <c r="N3469" t="s">
        <v>22</v>
      </c>
      <c r="O3469" t="s">
        <v>36</v>
      </c>
      <c r="P3469">
        <v>6.14</v>
      </c>
      <c r="Q3469" s="2" t="b">
        <f>FALSE()</f>
        <v>0</v>
      </c>
      <c r="R3469">
        <v>0</v>
      </c>
    </row>
    <row r="3470" spans="1:18" x14ac:dyDescent="0.25">
      <c r="A3470">
        <v>203469</v>
      </c>
      <c r="B3470">
        <v>52948</v>
      </c>
      <c r="C3470" t="s">
        <v>18</v>
      </c>
      <c r="D3470">
        <v>2447.6999999999998</v>
      </c>
      <c r="E3470">
        <v>895</v>
      </c>
      <c r="F3470">
        <v>6</v>
      </c>
      <c r="G3470">
        <v>7</v>
      </c>
      <c r="H3470">
        <v>1</v>
      </c>
      <c r="I3470" t="s">
        <v>33</v>
      </c>
      <c r="J3470">
        <v>0</v>
      </c>
      <c r="K3470">
        <v>27</v>
      </c>
      <c r="L3470" t="s">
        <v>24</v>
      </c>
      <c r="M3470" t="s">
        <v>37</v>
      </c>
      <c r="N3470" t="s">
        <v>30</v>
      </c>
      <c r="O3470" t="s">
        <v>36</v>
      </c>
      <c r="P3470">
        <v>1.44</v>
      </c>
      <c r="Q3470" s="2" t="b">
        <f>FALSE()</f>
        <v>0</v>
      </c>
      <c r="R3470">
        <v>1</v>
      </c>
    </row>
    <row r="3471" spans="1:18" x14ac:dyDescent="0.25">
      <c r="A3471">
        <v>203470</v>
      </c>
      <c r="B3471">
        <v>51861</v>
      </c>
      <c r="C3471" t="s">
        <v>34</v>
      </c>
      <c r="D3471">
        <v>1130.27</v>
      </c>
      <c r="E3471">
        <v>834</v>
      </c>
      <c r="F3471">
        <v>2</v>
      </c>
      <c r="G3471">
        <v>4</v>
      </c>
      <c r="H3471">
        <v>0</v>
      </c>
      <c r="I3471" t="s">
        <v>33</v>
      </c>
      <c r="J3471">
        <v>1</v>
      </c>
      <c r="K3471">
        <v>26</v>
      </c>
      <c r="L3471" t="s">
        <v>24</v>
      </c>
      <c r="M3471" t="s">
        <v>21</v>
      </c>
      <c r="N3471" t="s">
        <v>26</v>
      </c>
      <c r="O3471" t="s">
        <v>23</v>
      </c>
      <c r="P3471">
        <v>12.26</v>
      </c>
      <c r="Q3471" s="2" t="b">
        <f>FALSE()</f>
        <v>0</v>
      </c>
      <c r="R3471">
        <v>0</v>
      </c>
    </row>
    <row r="3472" spans="1:18" x14ac:dyDescent="0.25">
      <c r="A3472">
        <v>203471</v>
      </c>
      <c r="B3472">
        <v>51387</v>
      </c>
      <c r="C3472" t="s">
        <v>18</v>
      </c>
      <c r="D3472">
        <v>1993.96</v>
      </c>
      <c r="E3472">
        <v>1381</v>
      </c>
      <c r="F3472">
        <v>2</v>
      </c>
      <c r="G3472">
        <v>3</v>
      </c>
      <c r="H3472">
        <v>0</v>
      </c>
      <c r="I3472" t="s">
        <v>33</v>
      </c>
      <c r="J3472">
        <v>0</v>
      </c>
      <c r="K3472">
        <v>52</v>
      </c>
      <c r="L3472" t="s">
        <v>20</v>
      </c>
      <c r="M3472" t="s">
        <v>37</v>
      </c>
      <c r="N3472" t="s">
        <v>22</v>
      </c>
      <c r="O3472" t="s">
        <v>36</v>
      </c>
      <c r="P3472">
        <v>0.06</v>
      </c>
      <c r="Q3472" s="2" t="b">
        <f>FALSE()</f>
        <v>0</v>
      </c>
      <c r="R3472">
        <v>0</v>
      </c>
    </row>
    <row r="3473" spans="1:18" x14ac:dyDescent="0.25">
      <c r="A3473">
        <v>203472</v>
      </c>
      <c r="B3473">
        <v>50511</v>
      </c>
      <c r="C3473" t="s">
        <v>34</v>
      </c>
      <c r="D3473">
        <v>2694.5</v>
      </c>
      <c r="E3473">
        <v>1252</v>
      </c>
      <c r="F3473">
        <v>1</v>
      </c>
      <c r="G3473">
        <v>4</v>
      </c>
      <c r="H3473">
        <v>0</v>
      </c>
      <c r="I3473" t="s">
        <v>33</v>
      </c>
      <c r="J3473">
        <v>0</v>
      </c>
      <c r="K3473">
        <v>58</v>
      </c>
      <c r="L3473" t="s">
        <v>20</v>
      </c>
      <c r="M3473" t="s">
        <v>31</v>
      </c>
      <c r="N3473" t="s">
        <v>26</v>
      </c>
      <c r="O3473" t="s">
        <v>36</v>
      </c>
      <c r="P3473">
        <v>6.53</v>
      </c>
      <c r="Q3473" s="2" t="b">
        <f>FALSE()</f>
        <v>0</v>
      </c>
      <c r="R3473">
        <v>0</v>
      </c>
    </row>
    <row r="3474" spans="1:18" x14ac:dyDescent="0.25">
      <c r="A3474">
        <v>203473</v>
      </c>
      <c r="B3474">
        <v>50391</v>
      </c>
      <c r="C3474" t="s">
        <v>34</v>
      </c>
      <c r="D3474">
        <v>934.19</v>
      </c>
      <c r="E3474">
        <v>139</v>
      </c>
      <c r="F3474">
        <v>2</v>
      </c>
      <c r="G3474">
        <v>3</v>
      </c>
      <c r="H3474">
        <v>0</v>
      </c>
      <c r="I3474" t="s">
        <v>33</v>
      </c>
      <c r="J3474">
        <v>0</v>
      </c>
      <c r="K3474">
        <v>23</v>
      </c>
      <c r="L3474" t="s">
        <v>20</v>
      </c>
      <c r="M3474" t="s">
        <v>29</v>
      </c>
      <c r="N3474" t="s">
        <v>22</v>
      </c>
      <c r="O3474" t="s">
        <v>27</v>
      </c>
      <c r="P3474">
        <v>4.67</v>
      </c>
      <c r="Q3474" s="2" t="b">
        <f>FALSE()</f>
        <v>0</v>
      </c>
      <c r="R3474">
        <v>0</v>
      </c>
    </row>
    <row r="3475" spans="1:18" x14ac:dyDescent="0.25">
      <c r="A3475">
        <v>203474</v>
      </c>
      <c r="B3475">
        <v>55999</v>
      </c>
      <c r="C3475" t="s">
        <v>34</v>
      </c>
      <c r="D3475">
        <v>970.45</v>
      </c>
      <c r="E3475">
        <v>2864</v>
      </c>
      <c r="F3475">
        <v>1</v>
      </c>
      <c r="G3475">
        <v>2</v>
      </c>
      <c r="H3475">
        <v>0</v>
      </c>
      <c r="I3475" t="s">
        <v>33</v>
      </c>
      <c r="J3475">
        <v>0</v>
      </c>
      <c r="K3475">
        <v>21</v>
      </c>
      <c r="L3475" t="s">
        <v>24</v>
      </c>
      <c r="M3475" t="s">
        <v>37</v>
      </c>
      <c r="N3475" t="s">
        <v>30</v>
      </c>
      <c r="O3475" t="s">
        <v>27</v>
      </c>
      <c r="P3475">
        <v>3.92</v>
      </c>
      <c r="Q3475" s="2" t="b">
        <f>FALSE()</f>
        <v>0</v>
      </c>
      <c r="R3475">
        <v>0</v>
      </c>
    </row>
    <row r="3476" spans="1:18" x14ac:dyDescent="0.25">
      <c r="A3476">
        <v>203475</v>
      </c>
      <c r="B3476">
        <v>54981</v>
      </c>
      <c r="C3476" t="s">
        <v>18</v>
      </c>
      <c r="D3476">
        <v>1971.29</v>
      </c>
      <c r="E3476">
        <v>1794</v>
      </c>
      <c r="F3476">
        <v>2</v>
      </c>
      <c r="G3476">
        <v>4</v>
      </c>
      <c r="H3476">
        <v>0</v>
      </c>
      <c r="I3476" t="s">
        <v>33</v>
      </c>
      <c r="J3476">
        <v>0</v>
      </c>
      <c r="K3476">
        <v>52</v>
      </c>
      <c r="L3476" t="s">
        <v>20</v>
      </c>
      <c r="M3476" t="s">
        <v>35</v>
      </c>
      <c r="N3476" t="s">
        <v>22</v>
      </c>
      <c r="O3476" t="s">
        <v>36</v>
      </c>
      <c r="P3476">
        <v>3.73</v>
      </c>
      <c r="Q3476" s="2" t="b">
        <f>FALSE()</f>
        <v>0</v>
      </c>
      <c r="R3476">
        <v>0</v>
      </c>
    </row>
    <row r="3477" spans="1:18" x14ac:dyDescent="0.25">
      <c r="A3477">
        <v>203476</v>
      </c>
      <c r="B3477">
        <v>52248</v>
      </c>
      <c r="C3477" t="s">
        <v>18</v>
      </c>
      <c r="D3477">
        <v>1983.86</v>
      </c>
      <c r="E3477">
        <v>1813</v>
      </c>
      <c r="F3477">
        <v>1</v>
      </c>
      <c r="G3477">
        <v>4</v>
      </c>
      <c r="H3477">
        <v>0</v>
      </c>
      <c r="I3477" t="s">
        <v>33</v>
      </c>
      <c r="J3477">
        <v>0</v>
      </c>
      <c r="K3477">
        <v>20</v>
      </c>
      <c r="L3477" t="s">
        <v>20</v>
      </c>
      <c r="M3477" t="s">
        <v>35</v>
      </c>
      <c r="N3477" t="s">
        <v>22</v>
      </c>
      <c r="O3477" t="s">
        <v>36</v>
      </c>
      <c r="P3477">
        <v>6.99</v>
      </c>
      <c r="Q3477" s="2" t="b">
        <f>FALSE()</f>
        <v>0</v>
      </c>
      <c r="R3477">
        <v>0</v>
      </c>
    </row>
    <row r="3478" spans="1:18" x14ac:dyDescent="0.25">
      <c r="A3478">
        <v>203477</v>
      </c>
      <c r="B3478">
        <v>52678</v>
      </c>
      <c r="C3478" t="s">
        <v>34</v>
      </c>
      <c r="D3478">
        <v>3821.05</v>
      </c>
      <c r="E3478">
        <v>1235</v>
      </c>
      <c r="F3478">
        <v>1</v>
      </c>
      <c r="G3478">
        <v>4</v>
      </c>
      <c r="H3478">
        <v>0</v>
      </c>
      <c r="I3478" t="s">
        <v>33</v>
      </c>
      <c r="J3478">
        <v>0</v>
      </c>
      <c r="K3478">
        <v>83</v>
      </c>
      <c r="L3478" t="s">
        <v>20</v>
      </c>
      <c r="M3478" t="s">
        <v>29</v>
      </c>
      <c r="N3478" t="s">
        <v>30</v>
      </c>
      <c r="O3478" t="s">
        <v>23</v>
      </c>
      <c r="P3478">
        <v>7.13</v>
      </c>
      <c r="Q3478" s="2" t="b">
        <f>FALSE()</f>
        <v>0</v>
      </c>
      <c r="R3478">
        <v>1</v>
      </c>
    </row>
    <row r="3479" spans="1:18" x14ac:dyDescent="0.25">
      <c r="A3479">
        <v>203478</v>
      </c>
      <c r="B3479">
        <v>53840</v>
      </c>
      <c r="C3479" t="s">
        <v>28</v>
      </c>
      <c r="D3479">
        <v>1610.55</v>
      </c>
      <c r="E3479">
        <v>1539</v>
      </c>
      <c r="F3479">
        <v>1</v>
      </c>
      <c r="G3479">
        <v>4</v>
      </c>
      <c r="H3479">
        <v>0</v>
      </c>
      <c r="I3479" t="s">
        <v>33</v>
      </c>
      <c r="J3479">
        <v>0</v>
      </c>
      <c r="K3479">
        <v>49</v>
      </c>
      <c r="L3479" t="s">
        <v>24</v>
      </c>
      <c r="M3479" t="s">
        <v>21</v>
      </c>
      <c r="N3479" t="s">
        <v>30</v>
      </c>
      <c r="O3479" t="s">
        <v>36</v>
      </c>
      <c r="P3479">
        <v>1.43</v>
      </c>
      <c r="Q3479" s="2" t="b">
        <f>FALSE()</f>
        <v>0</v>
      </c>
      <c r="R3479">
        <v>0</v>
      </c>
    </row>
    <row r="3480" spans="1:18" x14ac:dyDescent="0.25">
      <c r="A3480">
        <v>203479</v>
      </c>
      <c r="B3480">
        <v>53536</v>
      </c>
      <c r="C3480" t="s">
        <v>34</v>
      </c>
      <c r="D3480">
        <v>2757.85</v>
      </c>
      <c r="E3480">
        <v>3161</v>
      </c>
      <c r="F3480">
        <v>0</v>
      </c>
      <c r="G3480">
        <v>2</v>
      </c>
      <c r="H3480">
        <v>0</v>
      </c>
      <c r="I3480" t="s">
        <v>19</v>
      </c>
      <c r="J3480">
        <v>0</v>
      </c>
      <c r="K3480">
        <v>82</v>
      </c>
      <c r="L3480" t="s">
        <v>20</v>
      </c>
      <c r="M3480" t="s">
        <v>29</v>
      </c>
      <c r="N3480" t="s">
        <v>30</v>
      </c>
      <c r="O3480" t="s">
        <v>23</v>
      </c>
      <c r="P3480">
        <v>4.71</v>
      </c>
      <c r="Q3480" s="2" t="b">
        <f>FALSE()</f>
        <v>0</v>
      </c>
      <c r="R3480">
        <v>0</v>
      </c>
    </row>
    <row r="3481" spans="1:18" x14ac:dyDescent="0.25">
      <c r="A3481">
        <v>203480</v>
      </c>
      <c r="B3481">
        <v>52895</v>
      </c>
      <c r="C3481" t="s">
        <v>18</v>
      </c>
      <c r="D3481">
        <v>2751.5</v>
      </c>
      <c r="E3481">
        <v>2100</v>
      </c>
      <c r="F3481">
        <v>0</v>
      </c>
      <c r="G3481">
        <v>2</v>
      </c>
      <c r="H3481">
        <v>0</v>
      </c>
      <c r="I3481" t="s">
        <v>33</v>
      </c>
      <c r="J3481">
        <v>0</v>
      </c>
      <c r="K3481">
        <v>42</v>
      </c>
      <c r="L3481" t="s">
        <v>24</v>
      </c>
      <c r="M3481" t="s">
        <v>35</v>
      </c>
      <c r="N3481" t="s">
        <v>26</v>
      </c>
      <c r="O3481" t="s">
        <v>23</v>
      </c>
      <c r="P3481">
        <v>1.18</v>
      </c>
      <c r="Q3481" s="2" t="b">
        <f>FALSE()</f>
        <v>0</v>
      </c>
      <c r="R3481">
        <v>0</v>
      </c>
    </row>
    <row r="3482" spans="1:18" x14ac:dyDescent="0.25">
      <c r="A3482">
        <v>203481</v>
      </c>
      <c r="B3482">
        <v>55299</v>
      </c>
      <c r="C3482" t="s">
        <v>18</v>
      </c>
      <c r="D3482">
        <v>346.91</v>
      </c>
      <c r="E3482">
        <v>2470</v>
      </c>
      <c r="F3482">
        <v>0</v>
      </c>
      <c r="G3482">
        <v>3</v>
      </c>
      <c r="H3482">
        <v>1</v>
      </c>
      <c r="I3482" t="s">
        <v>19</v>
      </c>
      <c r="J3482">
        <v>0</v>
      </c>
      <c r="K3482">
        <v>66</v>
      </c>
      <c r="L3482" t="s">
        <v>24</v>
      </c>
      <c r="M3482" t="s">
        <v>25</v>
      </c>
      <c r="N3482" t="s">
        <v>30</v>
      </c>
      <c r="O3482" t="s">
        <v>36</v>
      </c>
      <c r="P3482">
        <v>1.06</v>
      </c>
      <c r="Q3482" s="2" t="b">
        <f>FALSE()</f>
        <v>0</v>
      </c>
      <c r="R3482">
        <v>0</v>
      </c>
    </row>
    <row r="3483" spans="1:18" x14ac:dyDescent="0.25">
      <c r="A3483">
        <v>203482</v>
      </c>
      <c r="B3483">
        <v>54599</v>
      </c>
      <c r="C3483" t="s">
        <v>18</v>
      </c>
      <c r="D3483">
        <v>1677.88</v>
      </c>
      <c r="E3483">
        <v>2474</v>
      </c>
      <c r="F3483">
        <v>2</v>
      </c>
      <c r="G3483">
        <v>3</v>
      </c>
      <c r="H3483">
        <v>0</v>
      </c>
      <c r="I3483" t="s">
        <v>33</v>
      </c>
      <c r="J3483">
        <v>0</v>
      </c>
      <c r="K3483">
        <v>75</v>
      </c>
      <c r="L3483" t="s">
        <v>20</v>
      </c>
      <c r="M3483" t="s">
        <v>35</v>
      </c>
      <c r="N3483" t="s">
        <v>30</v>
      </c>
      <c r="O3483" t="s">
        <v>36</v>
      </c>
      <c r="P3483">
        <v>2.4</v>
      </c>
      <c r="Q3483" s="2" t="b">
        <f>FALSE()</f>
        <v>0</v>
      </c>
      <c r="R3483">
        <v>0</v>
      </c>
    </row>
    <row r="3484" spans="1:18" x14ac:dyDescent="0.25">
      <c r="A3484">
        <v>203483</v>
      </c>
      <c r="B3484">
        <v>53061</v>
      </c>
      <c r="C3484" t="s">
        <v>28</v>
      </c>
      <c r="D3484">
        <v>2117.7199999999998</v>
      </c>
      <c r="E3484">
        <v>949</v>
      </c>
      <c r="F3484">
        <v>1</v>
      </c>
      <c r="G3484">
        <v>3</v>
      </c>
      <c r="H3484">
        <v>0</v>
      </c>
      <c r="I3484" t="s">
        <v>33</v>
      </c>
      <c r="J3484">
        <v>0</v>
      </c>
      <c r="K3484">
        <v>39</v>
      </c>
      <c r="L3484" t="s">
        <v>24</v>
      </c>
      <c r="M3484" t="s">
        <v>21</v>
      </c>
      <c r="N3484" t="s">
        <v>22</v>
      </c>
      <c r="O3484" t="s">
        <v>27</v>
      </c>
      <c r="P3484">
        <v>5.97</v>
      </c>
      <c r="Q3484" s="2" t="b">
        <f>FALSE()</f>
        <v>0</v>
      </c>
      <c r="R3484">
        <v>0</v>
      </c>
    </row>
    <row r="3485" spans="1:18" x14ac:dyDescent="0.25">
      <c r="A3485">
        <v>203484</v>
      </c>
      <c r="B3485">
        <v>51753</v>
      </c>
      <c r="C3485" t="s">
        <v>18</v>
      </c>
      <c r="D3485">
        <v>945.33</v>
      </c>
      <c r="E3485">
        <v>256</v>
      </c>
      <c r="F3485">
        <v>0</v>
      </c>
      <c r="G3485">
        <v>4</v>
      </c>
      <c r="H3485">
        <v>0</v>
      </c>
      <c r="I3485" t="s">
        <v>32</v>
      </c>
      <c r="J3485">
        <v>0</v>
      </c>
      <c r="K3485">
        <v>78</v>
      </c>
      <c r="L3485" t="s">
        <v>20</v>
      </c>
      <c r="M3485" t="s">
        <v>37</v>
      </c>
      <c r="N3485" t="s">
        <v>22</v>
      </c>
      <c r="O3485" t="s">
        <v>27</v>
      </c>
      <c r="P3485">
        <v>3.18</v>
      </c>
      <c r="Q3485" s="2" t="b">
        <f>FALSE()</f>
        <v>0</v>
      </c>
      <c r="R3485">
        <v>0</v>
      </c>
    </row>
    <row r="3486" spans="1:18" x14ac:dyDescent="0.25">
      <c r="A3486">
        <v>203485</v>
      </c>
      <c r="B3486">
        <v>53343</v>
      </c>
      <c r="C3486" t="s">
        <v>34</v>
      </c>
      <c r="D3486">
        <v>7496.12</v>
      </c>
      <c r="E3486">
        <v>18</v>
      </c>
      <c r="F3486">
        <v>3</v>
      </c>
      <c r="G3486">
        <v>4</v>
      </c>
      <c r="H3486">
        <v>0</v>
      </c>
      <c r="I3486" t="s">
        <v>19</v>
      </c>
      <c r="J3486">
        <v>1</v>
      </c>
      <c r="K3486">
        <v>83</v>
      </c>
      <c r="L3486" t="s">
        <v>24</v>
      </c>
      <c r="M3486" t="s">
        <v>31</v>
      </c>
      <c r="N3486" t="s">
        <v>22</v>
      </c>
      <c r="O3486" t="s">
        <v>27</v>
      </c>
      <c r="P3486">
        <v>0.83</v>
      </c>
      <c r="Q3486" s="2" t="b">
        <f>TRUE()</f>
        <v>1</v>
      </c>
      <c r="R3486">
        <v>1</v>
      </c>
    </row>
    <row r="3487" spans="1:18" x14ac:dyDescent="0.25">
      <c r="A3487">
        <v>203486</v>
      </c>
      <c r="B3487">
        <v>50777</v>
      </c>
      <c r="C3487" t="s">
        <v>18</v>
      </c>
      <c r="D3487">
        <v>4634.49</v>
      </c>
      <c r="E3487">
        <v>70</v>
      </c>
      <c r="F3487">
        <v>0</v>
      </c>
      <c r="G3487">
        <v>4</v>
      </c>
      <c r="H3487">
        <v>1</v>
      </c>
      <c r="I3487" t="s">
        <v>33</v>
      </c>
      <c r="J3487">
        <v>0</v>
      </c>
      <c r="K3487">
        <v>74</v>
      </c>
      <c r="L3487" t="s">
        <v>20</v>
      </c>
      <c r="M3487" t="s">
        <v>25</v>
      </c>
      <c r="N3487" t="s">
        <v>30</v>
      </c>
      <c r="O3487" t="s">
        <v>23</v>
      </c>
      <c r="P3487">
        <v>3.23</v>
      </c>
      <c r="Q3487" s="2" t="b">
        <f>FALSE()</f>
        <v>0</v>
      </c>
      <c r="R3487">
        <v>1</v>
      </c>
    </row>
    <row r="3488" spans="1:18" x14ac:dyDescent="0.25">
      <c r="A3488">
        <v>203487</v>
      </c>
      <c r="B3488">
        <v>51512</v>
      </c>
      <c r="C3488" t="s">
        <v>34</v>
      </c>
      <c r="D3488">
        <v>1216.29</v>
      </c>
      <c r="E3488">
        <v>2877</v>
      </c>
      <c r="F3488">
        <v>2</v>
      </c>
      <c r="G3488">
        <v>1</v>
      </c>
      <c r="H3488">
        <v>0</v>
      </c>
      <c r="I3488" t="s">
        <v>33</v>
      </c>
      <c r="J3488">
        <v>0</v>
      </c>
      <c r="K3488">
        <v>28</v>
      </c>
      <c r="L3488" t="s">
        <v>20</v>
      </c>
      <c r="M3488" t="s">
        <v>37</v>
      </c>
      <c r="N3488" t="s">
        <v>26</v>
      </c>
      <c r="O3488" t="s">
        <v>36</v>
      </c>
      <c r="P3488">
        <v>1.08</v>
      </c>
      <c r="Q3488" s="2" t="b">
        <f>FALSE()</f>
        <v>0</v>
      </c>
      <c r="R3488">
        <v>0</v>
      </c>
    </row>
    <row r="3489" spans="1:18" x14ac:dyDescent="0.25">
      <c r="A3489">
        <v>203488</v>
      </c>
      <c r="B3489">
        <v>55847</v>
      </c>
      <c r="C3489" t="s">
        <v>18</v>
      </c>
      <c r="D3489">
        <v>2789.27</v>
      </c>
      <c r="E3489">
        <v>2954</v>
      </c>
      <c r="F3489">
        <v>1</v>
      </c>
      <c r="G3489">
        <v>5</v>
      </c>
      <c r="H3489">
        <v>0</v>
      </c>
      <c r="I3489" t="s">
        <v>19</v>
      </c>
      <c r="J3489">
        <v>1</v>
      </c>
      <c r="K3489">
        <v>78</v>
      </c>
      <c r="L3489" t="s">
        <v>20</v>
      </c>
      <c r="M3489" t="s">
        <v>31</v>
      </c>
      <c r="N3489" t="s">
        <v>22</v>
      </c>
      <c r="O3489" t="s">
        <v>27</v>
      </c>
      <c r="P3489">
        <v>0.56999999999999995</v>
      </c>
      <c r="Q3489" s="2" t="b">
        <f>FALSE()</f>
        <v>0</v>
      </c>
      <c r="R3489">
        <v>0</v>
      </c>
    </row>
    <row r="3490" spans="1:18" x14ac:dyDescent="0.25">
      <c r="A3490">
        <v>203489</v>
      </c>
      <c r="B3490">
        <v>55197</v>
      </c>
      <c r="C3490" t="s">
        <v>18</v>
      </c>
      <c r="D3490">
        <v>2663.89</v>
      </c>
      <c r="E3490">
        <v>2682</v>
      </c>
      <c r="F3490">
        <v>2</v>
      </c>
      <c r="G3490">
        <v>3</v>
      </c>
      <c r="H3490">
        <v>0</v>
      </c>
      <c r="I3490" t="s">
        <v>33</v>
      </c>
      <c r="J3490">
        <v>0</v>
      </c>
      <c r="K3490">
        <v>67</v>
      </c>
      <c r="L3490" t="s">
        <v>24</v>
      </c>
      <c r="M3490" t="s">
        <v>21</v>
      </c>
      <c r="N3490" t="s">
        <v>30</v>
      </c>
      <c r="O3490" t="s">
        <v>27</v>
      </c>
      <c r="P3490">
        <v>1.54</v>
      </c>
      <c r="Q3490" s="2" t="b">
        <f>FALSE()</f>
        <v>0</v>
      </c>
      <c r="R3490">
        <v>0</v>
      </c>
    </row>
    <row r="3491" spans="1:18" x14ac:dyDescent="0.25">
      <c r="A3491">
        <v>203490</v>
      </c>
      <c r="B3491">
        <v>52765</v>
      </c>
      <c r="C3491" t="s">
        <v>34</v>
      </c>
      <c r="D3491">
        <v>1415.05</v>
      </c>
      <c r="E3491">
        <v>1070</v>
      </c>
      <c r="F3491">
        <v>1</v>
      </c>
      <c r="G3491">
        <v>5</v>
      </c>
      <c r="H3491">
        <v>0</v>
      </c>
      <c r="I3491" t="s">
        <v>19</v>
      </c>
      <c r="J3491">
        <v>0</v>
      </c>
      <c r="K3491">
        <v>18</v>
      </c>
      <c r="L3491" t="s">
        <v>20</v>
      </c>
      <c r="M3491" t="s">
        <v>31</v>
      </c>
      <c r="N3491" t="s">
        <v>22</v>
      </c>
      <c r="O3491" t="s">
        <v>27</v>
      </c>
      <c r="P3491">
        <v>3.53</v>
      </c>
      <c r="Q3491" s="2" t="b">
        <f>FALSE()</f>
        <v>0</v>
      </c>
      <c r="R3491">
        <v>0</v>
      </c>
    </row>
    <row r="3492" spans="1:18" x14ac:dyDescent="0.25">
      <c r="A3492">
        <v>203491</v>
      </c>
      <c r="B3492">
        <v>51812</v>
      </c>
      <c r="C3492" t="s">
        <v>34</v>
      </c>
      <c r="D3492">
        <v>3495.74</v>
      </c>
      <c r="E3492">
        <v>1147</v>
      </c>
      <c r="F3492">
        <v>1</v>
      </c>
      <c r="G3492">
        <v>3</v>
      </c>
      <c r="H3492">
        <v>1</v>
      </c>
      <c r="I3492" t="s">
        <v>33</v>
      </c>
      <c r="J3492">
        <v>0</v>
      </c>
      <c r="K3492">
        <v>71</v>
      </c>
      <c r="L3492" t="s">
        <v>20</v>
      </c>
      <c r="M3492" t="s">
        <v>25</v>
      </c>
      <c r="N3492" t="s">
        <v>30</v>
      </c>
      <c r="O3492" t="s">
        <v>36</v>
      </c>
      <c r="P3492">
        <v>1.73</v>
      </c>
      <c r="Q3492" s="2" t="b">
        <f>FALSE()</f>
        <v>0</v>
      </c>
      <c r="R3492">
        <v>0</v>
      </c>
    </row>
    <row r="3493" spans="1:18" x14ac:dyDescent="0.25">
      <c r="A3493">
        <v>203492</v>
      </c>
      <c r="B3493">
        <v>55703</v>
      </c>
      <c r="C3493" t="s">
        <v>18</v>
      </c>
      <c r="D3493">
        <v>4898.54</v>
      </c>
      <c r="E3493">
        <v>1633</v>
      </c>
      <c r="F3493">
        <v>2</v>
      </c>
      <c r="G3493">
        <v>2</v>
      </c>
      <c r="H3493">
        <v>0</v>
      </c>
      <c r="I3493" t="s">
        <v>19</v>
      </c>
      <c r="J3493">
        <v>0</v>
      </c>
      <c r="K3493">
        <v>18</v>
      </c>
      <c r="L3493" t="s">
        <v>20</v>
      </c>
      <c r="M3493" t="s">
        <v>37</v>
      </c>
      <c r="N3493" t="s">
        <v>22</v>
      </c>
      <c r="O3493" t="s">
        <v>27</v>
      </c>
      <c r="P3493">
        <v>1.0900000000000001</v>
      </c>
      <c r="Q3493" s="2" t="b">
        <f>FALSE()</f>
        <v>0</v>
      </c>
      <c r="R3493">
        <v>1</v>
      </c>
    </row>
    <row r="3494" spans="1:18" x14ac:dyDescent="0.25">
      <c r="A3494">
        <v>203493</v>
      </c>
      <c r="B3494">
        <v>51203</v>
      </c>
      <c r="C3494" t="s">
        <v>18</v>
      </c>
      <c r="D3494">
        <v>2603.59</v>
      </c>
      <c r="E3494">
        <v>3215</v>
      </c>
      <c r="F3494">
        <v>2</v>
      </c>
      <c r="G3494">
        <v>8</v>
      </c>
      <c r="H3494">
        <v>0</v>
      </c>
      <c r="I3494" t="s">
        <v>19</v>
      </c>
      <c r="J3494">
        <v>0</v>
      </c>
      <c r="K3494">
        <v>81</v>
      </c>
      <c r="L3494" t="s">
        <v>24</v>
      </c>
      <c r="M3494" t="s">
        <v>31</v>
      </c>
      <c r="N3494" t="s">
        <v>30</v>
      </c>
      <c r="O3494" t="s">
        <v>27</v>
      </c>
      <c r="P3494">
        <v>0.81</v>
      </c>
      <c r="Q3494" s="2" t="b">
        <f>FALSE()</f>
        <v>0</v>
      </c>
      <c r="R3494">
        <v>1</v>
      </c>
    </row>
    <row r="3495" spans="1:18" x14ac:dyDescent="0.25">
      <c r="A3495">
        <v>203494</v>
      </c>
      <c r="B3495">
        <v>53951</v>
      </c>
      <c r="C3495" t="s">
        <v>18</v>
      </c>
      <c r="D3495">
        <v>4209.26</v>
      </c>
      <c r="E3495">
        <v>3052</v>
      </c>
      <c r="F3495">
        <v>0</v>
      </c>
      <c r="G3495">
        <v>7</v>
      </c>
      <c r="H3495">
        <v>1</v>
      </c>
      <c r="I3495" t="s">
        <v>19</v>
      </c>
      <c r="J3495">
        <v>0</v>
      </c>
      <c r="K3495">
        <v>37</v>
      </c>
      <c r="L3495" t="s">
        <v>20</v>
      </c>
      <c r="M3495" t="s">
        <v>21</v>
      </c>
      <c r="N3495" t="s">
        <v>22</v>
      </c>
      <c r="O3495" t="s">
        <v>36</v>
      </c>
      <c r="P3495">
        <v>2.08</v>
      </c>
      <c r="Q3495" s="2" t="b">
        <f>FALSE()</f>
        <v>0</v>
      </c>
      <c r="R3495">
        <v>1</v>
      </c>
    </row>
    <row r="3496" spans="1:18" x14ac:dyDescent="0.25">
      <c r="A3496">
        <v>203495</v>
      </c>
      <c r="B3496">
        <v>51533</v>
      </c>
      <c r="C3496" t="s">
        <v>18</v>
      </c>
      <c r="D3496">
        <v>1625.38</v>
      </c>
      <c r="E3496">
        <v>1794</v>
      </c>
      <c r="F3496">
        <v>1</v>
      </c>
      <c r="G3496">
        <v>4</v>
      </c>
      <c r="H3496">
        <v>0</v>
      </c>
      <c r="I3496" t="s">
        <v>19</v>
      </c>
      <c r="J3496">
        <v>0</v>
      </c>
      <c r="K3496">
        <v>34</v>
      </c>
      <c r="L3496" t="s">
        <v>24</v>
      </c>
      <c r="M3496" t="s">
        <v>29</v>
      </c>
      <c r="N3496" t="s">
        <v>22</v>
      </c>
      <c r="O3496" t="s">
        <v>36</v>
      </c>
      <c r="P3496">
        <v>4.1100000000000003</v>
      </c>
      <c r="Q3496" s="2" t="b">
        <f>FALSE()</f>
        <v>0</v>
      </c>
      <c r="R3496">
        <v>0</v>
      </c>
    </row>
    <row r="3497" spans="1:18" x14ac:dyDescent="0.25">
      <c r="A3497">
        <v>203496</v>
      </c>
      <c r="B3497">
        <v>53743</v>
      </c>
      <c r="C3497" t="s">
        <v>28</v>
      </c>
      <c r="D3497">
        <v>6451.3</v>
      </c>
      <c r="E3497">
        <v>3315</v>
      </c>
      <c r="F3497">
        <v>1</v>
      </c>
      <c r="G3497">
        <v>1</v>
      </c>
      <c r="H3497">
        <v>0</v>
      </c>
      <c r="I3497" t="s">
        <v>33</v>
      </c>
      <c r="J3497">
        <v>0</v>
      </c>
      <c r="K3497">
        <v>33</v>
      </c>
      <c r="L3497" t="s">
        <v>20</v>
      </c>
      <c r="M3497" t="s">
        <v>37</v>
      </c>
      <c r="N3497" t="s">
        <v>22</v>
      </c>
      <c r="O3497" t="s">
        <v>23</v>
      </c>
      <c r="P3497">
        <v>0.52</v>
      </c>
      <c r="Q3497" s="2" t="b">
        <f>FALSE()</f>
        <v>0</v>
      </c>
      <c r="R3497">
        <v>1</v>
      </c>
    </row>
    <row r="3498" spans="1:18" x14ac:dyDescent="0.25">
      <c r="A3498">
        <v>203497</v>
      </c>
      <c r="B3498">
        <v>55907</v>
      </c>
      <c r="C3498" t="s">
        <v>28</v>
      </c>
      <c r="D3498">
        <v>2858.6</v>
      </c>
      <c r="E3498">
        <v>210</v>
      </c>
      <c r="F3498">
        <v>1</v>
      </c>
      <c r="G3498">
        <v>6</v>
      </c>
      <c r="H3498">
        <v>0</v>
      </c>
      <c r="I3498" t="s">
        <v>19</v>
      </c>
      <c r="J3498">
        <v>0</v>
      </c>
      <c r="K3498">
        <v>46</v>
      </c>
      <c r="L3498" t="s">
        <v>24</v>
      </c>
      <c r="M3498" t="s">
        <v>35</v>
      </c>
      <c r="N3498" t="s">
        <v>22</v>
      </c>
      <c r="O3498" t="s">
        <v>27</v>
      </c>
      <c r="P3498">
        <v>2.15</v>
      </c>
      <c r="Q3498" s="2" t="b">
        <f>FALSE()</f>
        <v>0</v>
      </c>
      <c r="R3498">
        <v>0</v>
      </c>
    </row>
    <row r="3499" spans="1:18" x14ac:dyDescent="0.25">
      <c r="A3499">
        <v>203498</v>
      </c>
      <c r="B3499">
        <v>55591</v>
      </c>
      <c r="C3499" t="s">
        <v>18</v>
      </c>
      <c r="D3499">
        <v>604.92999999999995</v>
      </c>
      <c r="E3499">
        <v>2396</v>
      </c>
      <c r="F3499">
        <v>1</v>
      </c>
      <c r="G3499">
        <v>6</v>
      </c>
      <c r="H3499">
        <v>0</v>
      </c>
      <c r="I3499" t="s">
        <v>33</v>
      </c>
      <c r="J3499">
        <v>0</v>
      </c>
      <c r="K3499">
        <v>61</v>
      </c>
      <c r="L3499" t="s">
        <v>24</v>
      </c>
      <c r="M3499" t="s">
        <v>31</v>
      </c>
      <c r="N3499" t="s">
        <v>22</v>
      </c>
      <c r="O3499" t="s">
        <v>27</v>
      </c>
      <c r="P3499">
        <v>0.82</v>
      </c>
      <c r="Q3499" s="2" t="b">
        <f>FALSE()</f>
        <v>0</v>
      </c>
      <c r="R3499">
        <v>0</v>
      </c>
    </row>
    <row r="3500" spans="1:18" x14ac:dyDescent="0.25">
      <c r="A3500">
        <v>203499</v>
      </c>
      <c r="B3500">
        <v>51259</v>
      </c>
      <c r="C3500" t="s">
        <v>34</v>
      </c>
      <c r="D3500">
        <v>2440.94</v>
      </c>
      <c r="E3500">
        <v>2782</v>
      </c>
      <c r="F3500">
        <v>0</v>
      </c>
      <c r="G3500">
        <v>1</v>
      </c>
      <c r="H3500">
        <v>0</v>
      </c>
      <c r="I3500" t="s">
        <v>32</v>
      </c>
      <c r="J3500">
        <v>0</v>
      </c>
      <c r="K3500">
        <v>31</v>
      </c>
      <c r="L3500" t="s">
        <v>24</v>
      </c>
      <c r="M3500" t="s">
        <v>25</v>
      </c>
      <c r="N3500" t="s">
        <v>26</v>
      </c>
      <c r="O3500" t="s">
        <v>23</v>
      </c>
      <c r="P3500">
        <v>0.61</v>
      </c>
      <c r="Q3500" s="2" t="b">
        <f>FALSE()</f>
        <v>0</v>
      </c>
      <c r="R3500">
        <v>0</v>
      </c>
    </row>
    <row r="3501" spans="1:18" x14ac:dyDescent="0.25">
      <c r="A3501">
        <v>203500</v>
      </c>
      <c r="B3501">
        <v>52384</v>
      </c>
      <c r="C3501" t="s">
        <v>18</v>
      </c>
      <c r="D3501">
        <v>5008.37</v>
      </c>
      <c r="E3501">
        <v>3018</v>
      </c>
      <c r="F3501">
        <v>1</v>
      </c>
      <c r="G3501">
        <v>4</v>
      </c>
      <c r="H3501">
        <v>0</v>
      </c>
      <c r="I3501" t="s">
        <v>33</v>
      </c>
      <c r="J3501">
        <v>0</v>
      </c>
      <c r="K3501">
        <v>36</v>
      </c>
      <c r="L3501" t="s">
        <v>20</v>
      </c>
      <c r="M3501" t="s">
        <v>25</v>
      </c>
      <c r="N3501" t="s">
        <v>22</v>
      </c>
      <c r="O3501" t="s">
        <v>27</v>
      </c>
      <c r="P3501">
        <v>2.76</v>
      </c>
      <c r="Q3501" s="2" t="b">
        <f>FALSE()</f>
        <v>0</v>
      </c>
      <c r="R3501">
        <v>1</v>
      </c>
    </row>
    <row r="3502" spans="1:18" x14ac:dyDescent="0.25">
      <c r="A3502">
        <v>203501</v>
      </c>
      <c r="B3502">
        <v>54534</v>
      </c>
      <c r="C3502" t="s">
        <v>18</v>
      </c>
      <c r="D3502">
        <v>2185.63</v>
      </c>
      <c r="E3502">
        <v>2758</v>
      </c>
      <c r="F3502">
        <v>1</v>
      </c>
      <c r="G3502">
        <v>3</v>
      </c>
      <c r="H3502">
        <v>0</v>
      </c>
      <c r="I3502" t="s">
        <v>19</v>
      </c>
      <c r="J3502">
        <v>0</v>
      </c>
      <c r="K3502">
        <v>40</v>
      </c>
      <c r="L3502" t="s">
        <v>20</v>
      </c>
      <c r="M3502" t="s">
        <v>31</v>
      </c>
      <c r="N3502" t="s">
        <v>22</v>
      </c>
      <c r="O3502" t="s">
        <v>36</v>
      </c>
      <c r="P3502">
        <v>1.58</v>
      </c>
      <c r="Q3502" s="2" t="b">
        <f>FALSE()</f>
        <v>0</v>
      </c>
      <c r="R3502">
        <v>0</v>
      </c>
    </row>
    <row r="3503" spans="1:18" x14ac:dyDescent="0.25">
      <c r="A3503">
        <v>203502</v>
      </c>
      <c r="B3503">
        <v>52819</v>
      </c>
      <c r="C3503" t="s">
        <v>18</v>
      </c>
      <c r="D3503">
        <v>1745.48</v>
      </c>
      <c r="E3503">
        <v>3050</v>
      </c>
      <c r="F3503">
        <v>1</v>
      </c>
      <c r="G3503">
        <v>2</v>
      </c>
      <c r="H3503">
        <v>0</v>
      </c>
      <c r="I3503" t="s">
        <v>19</v>
      </c>
      <c r="J3503">
        <v>0</v>
      </c>
      <c r="K3503">
        <v>34</v>
      </c>
      <c r="L3503" t="s">
        <v>20</v>
      </c>
      <c r="M3503" t="s">
        <v>29</v>
      </c>
      <c r="N3503" t="s">
        <v>26</v>
      </c>
      <c r="O3503" t="s">
        <v>27</v>
      </c>
      <c r="P3503">
        <v>1.02</v>
      </c>
      <c r="Q3503" s="2" t="b">
        <f>FALSE()</f>
        <v>0</v>
      </c>
      <c r="R3503">
        <v>0</v>
      </c>
    </row>
    <row r="3504" spans="1:18" x14ac:dyDescent="0.25">
      <c r="A3504">
        <v>203503</v>
      </c>
      <c r="B3504">
        <v>51572</v>
      </c>
      <c r="C3504" t="s">
        <v>34</v>
      </c>
      <c r="D3504">
        <v>3112.48</v>
      </c>
      <c r="E3504">
        <v>1875</v>
      </c>
      <c r="F3504">
        <v>2</v>
      </c>
      <c r="G3504">
        <v>5</v>
      </c>
      <c r="H3504">
        <v>0</v>
      </c>
      <c r="I3504" t="s">
        <v>33</v>
      </c>
      <c r="J3504">
        <v>0</v>
      </c>
      <c r="K3504">
        <v>23</v>
      </c>
      <c r="L3504" t="s">
        <v>24</v>
      </c>
      <c r="M3504" t="s">
        <v>29</v>
      </c>
      <c r="N3504" t="s">
        <v>22</v>
      </c>
      <c r="O3504" t="s">
        <v>36</v>
      </c>
      <c r="P3504">
        <v>0.28000000000000003</v>
      </c>
      <c r="Q3504" s="2" t="b">
        <f>FALSE()</f>
        <v>0</v>
      </c>
      <c r="R3504">
        <v>0</v>
      </c>
    </row>
    <row r="3505" spans="1:18" x14ac:dyDescent="0.25">
      <c r="A3505">
        <v>203504</v>
      </c>
      <c r="B3505">
        <v>52174</v>
      </c>
      <c r="C3505" t="s">
        <v>28</v>
      </c>
      <c r="D3505">
        <v>828.86</v>
      </c>
      <c r="E3505">
        <v>3447</v>
      </c>
      <c r="F3505">
        <v>1</v>
      </c>
      <c r="G3505">
        <v>7</v>
      </c>
      <c r="H3505">
        <v>0</v>
      </c>
      <c r="I3505" t="s">
        <v>33</v>
      </c>
      <c r="J3505">
        <v>0</v>
      </c>
      <c r="K3505">
        <v>34</v>
      </c>
      <c r="L3505" t="s">
        <v>20</v>
      </c>
      <c r="M3505" t="s">
        <v>21</v>
      </c>
      <c r="N3505" t="s">
        <v>26</v>
      </c>
      <c r="O3505" t="s">
        <v>36</v>
      </c>
      <c r="P3505">
        <v>3.57</v>
      </c>
      <c r="Q3505" s="2" t="b">
        <f>FALSE()</f>
        <v>0</v>
      </c>
      <c r="R3505">
        <v>1</v>
      </c>
    </row>
    <row r="3506" spans="1:18" x14ac:dyDescent="0.25">
      <c r="A3506">
        <v>203505</v>
      </c>
      <c r="B3506">
        <v>51612</v>
      </c>
      <c r="C3506" t="s">
        <v>18</v>
      </c>
      <c r="D3506">
        <v>4891.13</v>
      </c>
      <c r="E3506">
        <v>1176</v>
      </c>
      <c r="F3506">
        <v>0</v>
      </c>
      <c r="G3506">
        <v>3</v>
      </c>
      <c r="H3506">
        <v>0</v>
      </c>
      <c r="I3506" t="s">
        <v>19</v>
      </c>
      <c r="J3506">
        <v>0</v>
      </c>
      <c r="K3506">
        <v>45</v>
      </c>
      <c r="L3506" t="s">
        <v>24</v>
      </c>
      <c r="M3506" t="s">
        <v>35</v>
      </c>
      <c r="N3506" t="s">
        <v>22</v>
      </c>
      <c r="O3506" t="s">
        <v>27</v>
      </c>
      <c r="P3506">
        <v>1.29</v>
      </c>
      <c r="Q3506" s="2" t="b">
        <f>FALSE()</f>
        <v>0</v>
      </c>
      <c r="R3506">
        <v>1</v>
      </c>
    </row>
    <row r="3507" spans="1:18" x14ac:dyDescent="0.25">
      <c r="A3507">
        <v>203506</v>
      </c>
      <c r="B3507">
        <v>50316</v>
      </c>
      <c r="C3507" t="s">
        <v>34</v>
      </c>
      <c r="D3507">
        <v>3055.44</v>
      </c>
      <c r="E3507">
        <v>1191</v>
      </c>
      <c r="F3507">
        <v>4</v>
      </c>
      <c r="G3507">
        <v>6</v>
      </c>
      <c r="H3507">
        <v>0</v>
      </c>
      <c r="I3507" t="s">
        <v>33</v>
      </c>
      <c r="J3507">
        <v>0</v>
      </c>
      <c r="K3507">
        <v>59</v>
      </c>
      <c r="L3507" t="s">
        <v>24</v>
      </c>
      <c r="M3507" t="s">
        <v>21</v>
      </c>
      <c r="N3507" t="s">
        <v>22</v>
      </c>
      <c r="O3507" t="s">
        <v>27</v>
      </c>
      <c r="P3507">
        <v>2.29</v>
      </c>
      <c r="Q3507" s="2" t="b">
        <f>FALSE()</f>
        <v>0</v>
      </c>
      <c r="R3507">
        <v>1</v>
      </c>
    </row>
    <row r="3508" spans="1:18" x14ac:dyDescent="0.25">
      <c r="A3508">
        <v>203507</v>
      </c>
      <c r="B3508">
        <v>51684</v>
      </c>
      <c r="C3508" t="s">
        <v>34</v>
      </c>
      <c r="D3508">
        <v>2057.06</v>
      </c>
      <c r="E3508">
        <v>3446</v>
      </c>
      <c r="F3508">
        <v>0</v>
      </c>
      <c r="G3508">
        <v>5</v>
      </c>
      <c r="H3508">
        <v>0</v>
      </c>
      <c r="I3508" t="s">
        <v>33</v>
      </c>
      <c r="J3508">
        <v>1</v>
      </c>
      <c r="K3508">
        <v>67</v>
      </c>
      <c r="L3508" t="s">
        <v>24</v>
      </c>
      <c r="M3508" t="s">
        <v>21</v>
      </c>
      <c r="N3508" t="s">
        <v>30</v>
      </c>
      <c r="O3508" t="s">
        <v>36</v>
      </c>
      <c r="P3508">
        <v>1.28</v>
      </c>
      <c r="Q3508" s="2" t="b">
        <f>FALSE()</f>
        <v>0</v>
      </c>
      <c r="R3508">
        <v>0</v>
      </c>
    </row>
    <row r="3509" spans="1:18" x14ac:dyDescent="0.25">
      <c r="A3509">
        <v>203508</v>
      </c>
      <c r="B3509">
        <v>52243</v>
      </c>
      <c r="C3509" t="s">
        <v>18</v>
      </c>
      <c r="D3509">
        <v>1666.17</v>
      </c>
      <c r="E3509">
        <v>2437</v>
      </c>
      <c r="F3509">
        <v>0</v>
      </c>
      <c r="G3509">
        <v>3</v>
      </c>
      <c r="H3509">
        <v>0</v>
      </c>
      <c r="I3509" t="s">
        <v>19</v>
      </c>
      <c r="J3509">
        <v>0</v>
      </c>
      <c r="K3509">
        <v>60</v>
      </c>
      <c r="L3509" t="s">
        <v>20</v>
      </c>
      <c r="M3509" t="s">
        <v>21</v>
      </c>
      <c r="N3509" t="s">
        <v>30</v>
      </c>
      <c r="O3509" t="s">
        <v>23</v>
      </c>
      <c r="P3509">
        <v>1.07</v>
      </c>
      <c r="Q3509" s="2" t="b">
        <f>FALSE()</f>
        <v>0</v>
      </c>
      <c r="R3509">
        <v>0</v>
      </c>
    </row>
    <row r="3510" spans="1:18" x14ac:dyDescent="0.25">
      <c r="A3510">
        <v>203509</v>
      </c>
      <c r="B3510">
        <v>51301</v>
      </c>
      <c r="C3510" t="s">
        <v>34</v>
      </c>
      <c r="D3510">
        <v>1179.1600000000001</v>
      </c>
      <c r="E3510">
        <v>1722</v>
      </c>
      <c r="F3510">
        <v>1</v>
      </c>
      <c r="G3510">
        <v>4</v>
      </c>
      <c r="H3510">
        <v>0</v>
      </c>
      <c r="I3510" t="s">
        <v>19</v>
      </c>
      <c r="J3510">
        <v>0</v>
      </c>
      <c r="K3510">
        <v>78</v>
      </c>
      <c r="L3510" t="s">
        <v>24</v>
      </c>
      <c r="M3510" t="s">
        <v>31</v>
      </c>
      <c r="N3510" t="s">
        <v>30</v>
      </c>
      <c r="O3510" t="s">
        <v>36</v>
      </c>
      <c r="P3510">
        <v>3.75</v>
      </c>
      <c r="Q3510" s="2" t="b">
        <f>FALSE()</f>
        <v>0</v>
      </c>
      <c r="R3510">
        <v>0</v>
      </c>
    </row>
    <row r="3511" spans="1:18" x14ac:dyDescent="0.25">
      <c r="A3511">
        <v>203510</v>
      </c>
      <c r="B3511">
        <v>53823</v>
      </c>
      <c r="C3511" t="s">
        <v>18</v>
      </c>
      <c r="D3511">
        <v>1930.07</v>
      </c>
      <c r="E3511">
        <v>2841</v>
      </c>
      <c r="F3511">
        <v>2</v>
      </c>
      <c r="G3511">
        <v>5</v>
      </c>
      <c r="H3511">
        <v>1</v>
      </c>
      <c r="I3511" t="s">
        <v>32</v>
      </c>
      <c r="J3511">
        <v>0</v>
      </c>
      <c r="K3511">
        <v>67</v>
      </c>
      <c r="L3511" t="s">
        <v>20</v>
      </c>
      <c r="M3511" t="s">
        <v>31</v>
      </c>
      <c r="N3511" t="s">
        <v>22</v>
      </c>
      <c r="O3511" t="s">
        <v>27</v>
      </c>
      <c r="P3511">
        <v>2.31</v>
      </c>
      <c r="Q3511" s="2" t="b">
        <f>FALSE()</f>
        <v>0</v>
      </c>
      <c r="R3511">
        <v>0</v>
      </c>
    </row>
    <row r="3512" spans="1:18" x14ac:dyDescent="0.25">
      <c r="A3512">
        <v>203511</v>
      </c>
      <c r="B3512">
        <v>50737</v>
      </c>
      <c r="C3512" t="s">
        <v>18</v>
      </c>
      <c r="D3512">
        <v>1056.5999999999999</v>
      </c>
      <c r="E3512">
        <v>1628</v>
      </c>
      <c r="F3512">
        <v>0</v>
      </c>
      <c r="G3512">
        <v>4</v>
      </c>
      <c r="H3512">
        <v>1</v>
      </c>
      <c r="I3512" t="s">
        <v>33</v>
      </c>
      <c r="J3512">
        <v>0</v>
      </c>
      <c r="K3512">
        <v>44</v>
      </c>
      <c r="L3512" t="s">
        <v>20</v>
      </c>
      <c r="M3512" t="s">
        <v>29</v>
      </c>
      <c r="N3512" t="s">
        <v>22</v>
      </c>
      <c r="O3512" t="s">
        <v>36</v>
      </c>
      <c r="P3512">
        <v>2.63</v>
      </c>
      <c r="Q3512" s="2" t="b">
        <f>FALSE()</f>
        <v>0</v>
      </c>
      <c r="R3512">
        <v>0</v>
      </c>
    </row>
    <row r="3513" spans="1:18" x14ac:dyDescent="0.25">
      <c r="A3513">
        <v>203512</v>
      </c>
      <c r="B3513">
        <v>53448</v>
      </c>
      <c r="C3513" t="s">
        <v>18</v>
      </c>
      <c r="D3513">
        <v>5660.45</v>
      </c>
      <c r="E3513">
        <v>260</v>
      </c>
      <c r="F3513">
        <v>1</v>
      </c>
      <c r="G3513">
        <v>4</v>
      </c>
      <c r="H3513">
        <v>0</v>
      </c>
      <c r="I3513" t="s">
        <v>33</v>
      </c>
      <c r="J3513">
        <v>1</v>
      </c>
      <c r="K3513">
        <v>59</v>
      </c>
      <c r="L3513" t="s">
        <v>20</v>
      </c>
      <c r="M3513" t="s">
        <v>35</v>
      </c>
      <c r="N3513" t="s">
        <v>22</v>
      </c>
      <c r="O3513" t="s">
        <v>36</v>
      </c>
      <c r="P3513">
        <v>4.41</v>
      </c>
      <c r="Q3513" s="2" t="b">
        <f>FALSE()</f>
        <v>0</v>
      </c>
      <c r="R3513">
        <v>1</v>
      </c>
    </row>
    <row r="3514" spans="1:18" x14ac:dyDescent="0.25">
      <c r="A3514">
        <v>203513</v>
      </c>
      <c r="B3514">
        <v>52516</v>
      </c>
      <c r="C3514" t="s">
        <v>28</v>
      </c>
      <c r="D3514">
        <v>1814.4</v>
      </c>
      <c r="E3514">
        <v>1074</v>
      </c>
      <c r="F3514">
        <v>0</v>
      </c>
      <c r="G3514">
        <v>4</v>
      </c>
      <c r="H3514">
        <v>0</v>
      </c>
      <c r="I3514" t="s">
        <v>32</v>
      </c>
      <c r="J3514">
        <v>0</v>
      </c>
      <c r="K3514">
        <v>66</v>
      </c>
      <c r="L3514" t="s">
        <v>24</v>
      </c>
      <c r="M3514" t="s">
        <v>31</v>
      </c>
      <c r="N3514" t="s">
        <v>22</v>
      </c>
      <c r="O3514" t="s">
        <v>36</v>
      </c>
      <c r="P3514">
        <v>0.43</v>
      </c>
      <c r="Q3514" s="2" t="b">
        <f>FALSE()</f>
        <v>0</v>
      </c>
      <c r="R3514">
        <v>0</v>
      </c>
    </row>
    <row r="3515" spans="1:18" x14ac:dyDescent="0.25">
      <c r="A3515">
        <v>203514</v>
      </c>
      <c r="B3515">
        <v>53823</v>
      </c>
      <c r="C3515" t="s">
        <v>18</v>
      </c>
      <c r="D3515">
        <v>1303.3</v>
      </c>
      <c r="E3515">
        <v>706</v>
      </c>
      <c r="F3515">
        <v>0</v>
      </c>
      <c r="G3515">
        <v>5</v>
      </c>
      <c r="H3515">
        <v>0</v>
      </c>
      <c r="I3515" t="s">
        <v>32</v>
      </c>
      <c r="J3515">
        <v>0</v>
      </c>
      <c r="K3515">
        <v>61</v>
      </c>
      <c r="L3515" t="s">
        <v>24</v>
      </c>
      <c r="M3515" t="s">
        <v>21</v>
      </c>
      <c r="N3515" t="s">
        <v>30</v>
      </c>
      <c r="O3515" t="s">
        <v>36</v>
      </c>
      <c r="P3515">
        <v>6.13</v>
      </c>
      <c r="Q3515" s="2" t="b">
        <f>FALSE()</f>
        <v>0</v>
      </c>
      <c r="R3515">
        <v>0</v>
      </c>
    </row>
    <row r="3516" spans="1:18" x14ac:dyDescent="0.25">
      <c r="A3516">
        <v>203515</v>
      </c>
      <c r="B3516">
        <v>52667</v>
      </c>
      <c r="C3516" t="s">
        <v>18</v>
      </c>
      <c r="D3516">
        <v>4991.76</v>
      </c>
      <c r="E3516">
        <v>981</v>
      </c>
      <c r="F3516">
        <v>0</v>
      </c>
      <c r="G3516">
        <v>2</v>
      </c>
      <c r="H3516">
        <v>1</v>
      </c>
      <c r="I3516" t="s">
        <v>33</v>
      </c>
      <c r="J3516">
        <v>0</v>
      </c>
      <c r="K3516">
        <v>40</v>
      </c>
      <c r="L3516" t="s">
        <v>20</v>
      </c>
      <c r="M3516" t="s">
        <v>37</v>
      </c>
      <c r="N3516" t="s">
        <v>22</v>
      </c>
      <c r="O3516" t="s">
        <v>23</v>
      </c>
      <c r="P3516">
        <v>8.8699999999999992</v>
      </c>
      <c r="Q3516" s="2" t="b">
        <f>FALSE()</f>
        <v>0</v>
      </c>
      <c r="R3516">
        <v>1</v>
      </c>
    </row>
    <row r="3517" spans="1:18" x14ac:dyDescent="0.25">
      <c r="A3517">
        <v>203516</v>
      </c>
      <c r="B3517">
        <v>54047</v>
      </c>
      <c r="C3517" t="s">
        <v>18</v>
      </c>
      <c r="D3517">
        <v>3088.57</v>
      </c>
      <c r="E3517">
        <v>2483</v>
      </c>
      <c r="F3517">
        <v>1</v>
      </c>
      <c r="G3517">
        <v>2</v>
      </c>
      <c r="H3517">
        <v>0</v>
      </c>
      <c r="I3517" t="s">
        <v>33</v>
      </c>
      <c r="J3517">
        <v>0</v>
      </c>
      <c r="K3517">
        <v>51</v>
      </c>
      <c r="L3517" t="s">
        <v>24</v>
      </c>
      <c r="M3517" t="s">
        <v>25</v>
      </c>
      <c r="N3517" t="s">
        <v>22</v>
      </c>
      <c r="O3517" t="s">
        <v>36</v>
      </c>
      <c r="P3517">
        <v>4.82</v>
      </c>
      <c r="Q3517" s="2" t="b">
        <f>FALSE()</f>
        <v>0</v>
      </c>
      <c r="R3517">
        <v>0</v>
      </c>
    </row>
    <row r="3518" spans="1:18" x14ac:dyDescent="0.25">
      <c r="A3518">
        <v>203517</v>
      </c>
      <c r="B3518">
        <v>51977</v>
      </c>
      <c r="C3518" t="s">
        <v>18</v>
      </c>
      <c r="D3518">
        <v>5215.92</v>
      </c>
      <c r="E3518">
        <v>1635</v>
      </c>
      <c r="F3518">
        <v>0</v>
      </c>
      <c r="G3518">
        <v>7</v>
      </c>
      <c r="H3518">
        <v>0</v>
      </c>
      <c r="I3518" t="s">
        <v>33</v>
      </c>
      <c r="J3518">
        <v>0</v>
      </c>
      <c r="K3518">
        <v>57</v>
      </c>
      <c r="L3518" t="s">
        <v>20</v>
      </c>
      <c r="M3518" t="s">
        <v>29</v>
      </c>
      <c r="N3518" t="s">
        <v>22</v>
      </c>
      <c r="O3518" t="s">
        <v>36</v>
      </c>
      <c r="P3518">
        <v>1.4</v>
      </c>
      <c r="Q3518" s="2" t="b">
        <f>FALSE()</f>
        <v>0</v>
      </c>
      <c r="R3518">
        <v>1</v>
      </c>
    </row>
    <row r="3519" spans="1:18" x14ac:dyDescent="0.25">
      <c r="A3519">
        <v>203518</v>
      </c>
      <c r="B3519">
        <v>50608</v>
      </c>
      <c r="C3519" t="s">
        <v>34</v>
      </c>
      <c r="D3519">
        <v>1642.28</v>
      </c>
      <c r="E3519">
        <v>2642</v>
      </c>
      <c r="F3519">
        <v>3</v>
      </c>
      <c r="G3519">
        <v>2</v>
      </c>
      <c r="H3519">
        <v>0</v>
      </c>
      <c r="I3519" t="s">
        <v>33</v>
      </c>
      <c r="J3519">
        <v>0</v>
      </c>
      <c r="K3519">
        <v>47</v>
      </c>
      <c r="L3519" t="s">
        <v>24</v>
      </c>
      <c r="M3519" t="s">
        <v>29</v>
      </c>
      <c r="N3519" t="s">
        <v>22</v>
      </c>
      <c r="O3519" t="s">
        <v>27</v>
      </c>
      <c r="P3519">
        <v>0.32</v>
      </c>
      <c r="Q3519" s="2" t="b">
        <f>FALSE()</f>
        <v>0</v>
      </c>
      <c r="R3519">
        <v>1</v>
      </c>
    </row>
    <row r="3520" spans="1:18" x14ac:dyDescent="0.25">
      <c r="A3520">
        <v>203519</v>
      </c>
      <c r="B3520">
        <v>51163</v>
      </c>
      <c r="C3520" t="s">
        <v>34</v>
      </c>
      <c r="D3520">
        <v>3923.23</v>
      </c>
      <c r="E3520">
        <v>2561</v>
      </c>
      <c r="F3520">
        <v>3</v>
      </c>
      <c r="G3520">
        <v>5</v>
      </c>
      <c r="H3520">
        <v>0</v>
      </c>
      <c r="I3520" t="s">
        <v>33</v>
      </c>
      <c r="J3520">
        <v>1</v>
      </c>
      <c r="K3520">
        <v>24</v>
      </c>
      <c r="L3520" t="s">
        <v>24</v>
      </c>
      <c r="M3520" t="s">
        <v>21</v>
      </c>
      <c r="N3520" t="s">
        <v>30</v>
      </c>
      <c r="O3520" t="s">
        <v>27</v>
      </c>
      <c r="P3520">
        <v>0.42</v>
      </c>
      <c r="Q3520" s="2" t="b">
        <f>FALSE()</f>
        <v>0</v>
      </c>
      <c r="R3520">
        <v>1</v>
      </c>
    </row>
    <row r="3521" spans="1:18" x14ac:dyDescent="0.25">
      <c r="A3521">
        <v>203520</v>
      </c>
      <c r="B3521">
        <v>53080</v>
      </c>
      <c r="C3521" t="s">
        <v>34</v>
      </c>
      <c r="D3521">
        <v>382.83</v>
      </c>
      <c r="E3521">
        <v>323</v>
      </c>
      <c r="F3521">
        <v>0</v>
      </c>
      <c r="G3521">
        <v>5</v>
      </c>
      <c r="H3521">
        <v>0</v>
      </c>
      <c r="I3521" t="s">
        <v>33</v>
      </c>
      <c r="J3521">
        <v>1</v>
      </c>
      <c r="K3521">
        <v>78</v>
      </c>
      <c r="L3521" t="s">
        <v>24</v>
      </c>
      <c r="M3521" t="s">
        <v>37</v>
      </c>
      <c r="N3521" t="s">
        <v>30</v>
      </c>
      <c r="O3521" t="s">
        <v>27</v>
      </c>
      <c r="P3521">
        <v>1.25</v>
      </c>
      <c r="Q3521" s="2" t="b">
        <f>FALSE()</f>
        <v>0</v>
      </c>
      <c r="R3521">
        <v>0</v>
      </c>
    </row>
    <row r="3522" spans="1:18" x14ac:dyDescent="0.25">
      <c r="A3522">
        <v>203521</v>
      </c>
      <c r="B3522">
        <v>54709</v>
      </c>
      <c r="C3522" t="s">
        <v>34</v>
      </c>
      <c r="D3522">
        <v>2177.9299999999998</v>
      </c>
      <c r="E3522">
        <v>1483</v>
      </c>
      <c r="F3522">
        <v>0</v>
      </c>
      <c r="G3522">
        <v>3</v>
      </c>
      <c r="H3522">
        <v>0</v>
      </c>
      <c r="I3522" t="s">
        <v>32</v>
      </c>
      <c r="J3522">
        <v>0</v>
      </c>
      <c r="K3522">
        <v>70</v>
      </c>
      <c r="L3522" t="s">
        <v>20</v>
      </c>
      <c r="M3522" t="s">
        <v>25</v>
      </c>
      <c r="N3522" t="s">
        <v>30</v>
      </c>
      <c r="O3522" t="s">
        <v>27</v>
      </c>
      <c r="P3522">
        <v>2.95</v>
      </c>
      <c r="Q3522" s="2" t="b">
        <f>FALSE()</f>
        <v>0</v>
      </c>
      <c r="R3522">
        <v>0</v>
      </c>
    </row>
    <row r="3523" spans="1:18" x14ac:dyDescent="0.25">
      <c r="A3523">
        <v>203522</v>
      </c>
      <c r="B3523">
        <v>54908</v>
      </c>
      <c r="C3523" t="s">
        <v>18</v>
      </c>
      <c r="D3523">
        <v>3102.23</v>
      </c>
      <c r="E3523">
        <v>728</v>
      </c>
      <c r="F3523">
        <v>0</v>
      </c>
      <c r="G3523">
        <v>8</v>
      </c>
      <c r="H3523">
        <v>0</v>
      </c>
      <c r="I3523" t="s">
        <v>33</v>
      </c>
      <c r="J3523">
        <v>0</v>
      </c>
      <c r="K3523">
        <v>25</v>
      </c>
      <c r="L3523" t="s">
        <v>24</v>
      </c>
      <c r="M3523" t="s">
        <v>31</v>
      </c>
      <c r="N3523" t="s">
        <v>26</v>
      </c>
      <c r="O3523" t="s">
        <v>27</v>
      </c>
      <c r="P3523">
        <v>4.76</v>
      </c>
      <c r="Q3523" s="2" t="b">
        <f>FALSE()</f>
        <v>0</v>
      </c>
      <c r="R3523">
        <v>1</v>
      </c>
    </row>
    <row r="3524" spans="1:18" x14ac:dyDescent="0.25">
      <c r="A3524">
        <v>203523</v>
      </c>
      <c r="B3524">
        <v>52336</v>
      </c>
      <c r="C3524" t="s">
        <v>28</v>
      </c>
      <c r="D3524">
        <v>1943.56</v>
      </c>
      <c r="E3524">
        <v>3034</v>
      </c>
      <c r="F3524">
        <v>1</v>
      </c>
      <c r="G3524">
        <v>1</v>
      </c>
      <c r="H3524">
        <v>1</v>
      </c>
      <c r="I3524" t="s">
        <v>33</v>
      </c>
      <c r="J3524">
        <v>0</v>
      </c>
      <c r="K3524">
        <v>61</v>
      </c>
      <c r="L3524" t="s">
        <v>20</v>
      </c>
      <c r="M3524" t="s">
        <v>37</v>
      </c>
      <c r="N3524" t="s">
        <v>22</v>
      </c>
      <c r="O3524" t="s">
        <v>27</v>
      </c>
      <c r="P3524">
        <v>16.91</v>
      </c>
      <c r="Q3524" s="2" t="b">
        <f>FALSE()</f>
        <v>0</v>
      </c>
      <c r="R3524">
        <v>0</v>
      </c>
    </row>
    <row r="3525" spans="1:18" x14ac:dyDescent="0.25">
      <c r="A3525">
        <v>203524</v>
      </c>
      <c r="B3525">
        <v>50642</v>
      </c>
      <c r="C3525" t="s">
        <v>18</v>
      </c>
      <c r="D3525">
        <v>884.27</v>
      </c>
      <c r="E3525">
        <v>2298</v>
      </c>
      <c r="F3525">
        <v>3</v>
      </c>
      <c r="G3525">
        <v>3</v>
      </c>
      <c r="H3525">
        <v>0</v>
      </c>
      <c r="I3525" t="s">
        <v>33</v>
      </c>
      <c r="J3525">
        <v>0</v>
      </c>
      <c r="K3525">
        <v>77</v>
      </c>
      <c r="L3525" t="s">
        <v>24</v>
      </c>
      <c r="M3525" t="s">
        <v>25</v>
      </c>
      <c r="N3525" t="s">
        <v>26</v>
      </c>
      <c r="O3525" t="s">
        <v>36</v>
      </c>
      <c r="P3525">
        <v>6.41</v>
      </c>
      <c r="Q3525" s="2" t="b">
        <f>FALSE()</f>
        <v>0</v>
      </c>
      <c r="R3525">
        <v>1</v>
      </c>
    </row>
    <row r="3526" spans="1:18" x14ac:dyDescent="0.25">
      <c r="A3526">
        <v>203525</v>
      </c>
      <c r="B3526">
        <v>51498</v>
      </c>
      <c r="C3526" t="s">
        <v>34</v>
      </c>
      <c r="D3526">
        <v>3431.22</v>
      </c>
      <c r="E3526">
        <v>3611</v>
      </c>
      <c r="F3526">
        <v>0</v>
      </c>
      <c r="G3526">
        <v>4</v>
      </c>
      <c r="H3526">
        <v>0</v>
      </c>
      <c r="I3526" t="s">
        <v>19</v>
      </c>
      <c r="J3526">
        <v>0</v>
      </c>
      <c r="K3526">
        <v>68</v>
      </c>
      <c r="L3526" t="s">
        <v>20</v>
      </c>
      <c r="M3526" t="s">
        <v>21</v>
      </c>
      <c r="N3526" t="s">
        <v>22</v>
      </c>
      <c r="O3526" t="s">
        <v>23</v>
      </c>
      <c r="P3526">
        <v>0.27</v>
      </c>
      <c r="Q3526" s="2" t="b">
        <f>FALSE()</f>
        <v>0</v>
      </c>
      <c r="R3526">
        <v>0</v>
      </c>
    </row>
    <row r="3527" spans="1:18" x14ac:dyDescent="0.25">
      <c r="A3527">
        <v>203526</v>
      </c>
      <c r="B3527">
        <v>55637</v>
      </c>
      <c r="C3527" t="s">
        <v>18</v>
      </c>
      <c r="D3527">
        <v>4192.7700000000004</v>
      </c>
      <c r="E3527">
        <v>3052</v>
      </c>
      <c r="F3527">
        <v>0</v>
      </c>
      <c r="G3527">
        <v>1</v>
      </c>
      <c r="H3527">
        <v>0</v>
      </c>
      <c r="I3527" t="s">
        <v>33</v>
      </c>
      <c r="J3527">
        <v>0</v>
      </c>
      <c r="K3527">
        <v>59</v>
      </c>
      <c r="L3527" t="s">
        <v>24</v>
      </c>
      <c r="M3527" t="s">
        <v>25</v>
      </c>
      <c r="N3527" t="s">
        <v>22</v>
      </c>
      <c r="O3527" t="s">
        <v>36</v>
      </c>
      <c r="P3527">
        <v>0.49</v>
      </c>
      <c r="Q3527" s="2" t="b">
        <f>FALSE()</f>
        <v>0</v>
      </c>
      <c r="R3527">
        <v>1</v>
      </c>
    </row>
    <row r="3528" spans="1:18" x14ac:dyDescent="0.25">
      <c r="A3528">
        <v>203527</v>
      </c>
      <c r="B3528">
        <v>54061</v>
      </c>
      <c r="C3528" t="s">
        <v>18</v>
      </c>
      <c r="D3528">
        <v>1341.55</v>
      </c>
      <c r="E3528">
        <v>1272</v>
      </c>
      <c r="F3528">
        <v>1</v>
      </c>
      <c r="G3528">
        <v>5</v>
      </c>
      <c r="H3528">
        <v>0</v>
      </c>
      <c r="I3528" t="s">
        <v>33</v>
      </c>
      <c r="J3528">
        <v>0</v>
      </c>
      <c r="K3528">
        <v>40</v>
      </c>
      <c r="L3528" t="s">
        <v>20</v>
      </c>
      <c r="M3528" t="s">
        <v>29</v>
      </c>
      <c r="N3528" t="s">
        <v>22</v>
      </c>
      <c r="O3528" t="s">
        <v>27</v>
      </c>
      <c r="P3528">
        <v>1.9</v>
      </c>
      <c r="Q3528" s="2" t="b">
        <f>FALSE()</f>
        <v>0</v>
      </c>
      <c r="R3528">
        <v>0</v>
      </c>
    </row>
    <row r="3529" spans="1:18" x14ac:dyDescent="0.25">
      <c r="A3529">
        <v>203528</v>
      </c>
      <c r="B3529">
        <v>53510</v>
      </c>
      <c r="C3529" t="s">
        <v>18</v>
      </c>
      <c r="D3529">
        <v>3515.15</v>
      </c>
      <c r="E3529">
        <v>628</v>
      </c>
      <c r="F3529">
        <v>2</v>
      </c>
      <c r="G3529">
        <v>1</v>
      </c>
      <c r="H3529">
        <v>0</v>
      </c>
      <c r="I3529" t="s">
        <v>33</v>
      </c>
      <c r="J3529">
        <v>0</v>
      </c>
      <c r="K3529">
        <v>71</v>
      </c>
      <c r="L3529" t="s">
        <v>20</v>
      </c>
      <c r="M3529" t="s">
        <v>31</v>
      </c>
      <c r="N3529" t="s">
        <v>30</v>
      </c>
      <c r="O3529" t="s">
        <v>23</v>
      </c>
      <c r="P3529">
        <v>2.94</v>
      </c>
      <c r="Q3529" s="2" t="b">
        <f>FALSE()</f>
        <v>0</v>
      </c>
      <c r="R3529">
        <v>0</v>
      </c>
    </row>
    <row r="3530" spans="1:18" x14ac:dyDescent="0.25">
      <c r="A3530">
        <v>203529</v>
      </c>
      <c r="B3530">
        <v>52190</v>
      </c>
      <c r="C3530" t="s">
        <v>34</v>
      </c>
      <c r="D3530">
        <v>3819.07</v>
      </c>
      <c r="E3530">
        <v>3326</v>
      </c>
      <c r="F3530">
        <v>1</v>
      </c>
      <c r="G3530">
        <v>5</v>
      </c>
      <c r="H3530">
        <v>1</v>
      </c>
      <c r="I3530" t="s">
        <v>33</v>
      </c>
      <c r="J3530">
        <v>0</v>
      </c>
      <c r="K3530">
        <v>84</v>
      </c>
      <c r="L3530" t="s">
        <v>24</v>
      </c>
      <c r="M3530" t="s">
        <v>35</v>
      </c>
      <c r="N3530" t="s">
        <v>30</v>
      </c>
      <c r="O3530" t="s">
        <v>36</v>
      </c>
      <c r="P3530">
        <v>10.66</v>
      </c>
      <c r="Q3530" s="2" t="b">
        <f>FALSE()</f>
        <v>0</v>
      </c>
      <c r="R3530">
        <v>1</v>
      </c>
    </row>
    <row r="3531" spans="1:18" x14ac:dyDescent="0.25">
      <c r="A3531">
        <v>203530</v>
      </c>
      <c r="B3531">
        <v>55867</v>
      </c>
      <c r="C3531" t="s">
        <v>28</v>
      </c>
      <c r="D3531">
        <v>1702.64</v>
      </c>
      <c r="E3531">
        <v>363</v>
      </c>
      <c r="F3531">
        <v>1</v>
      </c>
      <c r="G3531">
        <v>8</v>
      </c>
      <c r="H3531">
        <v>0</v>
      </c>
      <c r="I3531" t="s">
        <v>33</v>
      </c>
      <c r="J3531">
        <v>0</v>
      </c>
      <c r="K3531">
        <v>83</v>
      </c>
      <c r="L3531" t="s">
        <v>24</v>
      </c>
      <c r="M3531" t="s">
        <v>37</v>
      </c>
      <c r="N3531" t="s">
        <v>22</v>
      </c>
      <c r="O3531" t="s">
        <v>36</v>
      </c>
      <c r="P3531">
        <v>2.89</v>
      </c>
      <c r="Q3531" s="2" t="b">
        <f>FALSE()</f>
        <v>0</v>
      </c>
      <c r="R3531">
        <v>1</v>
      </c>
    </row>
    <row r="3532" spans="1:18" x14ac:dyDescent="0.25">
      <c r="A3532">
        <v>203531</v>
      </c>
      <c r="B3532">
        <v>50893</v>
      </c>
      <c r="C3532" t="s">
        <v>34</v>
      </c>
      <c r="D3532">
        <v>521.25</v>
      </c>
      <c r="E3532">
        <v>3391</v>
      </c>
      <c r="F3532">
        <v>2</v>
      </c>
      <c r="G3532">
        <v>3</v>
      </c>
      <c r="H3532">
        <v>1</v>
      </c>
      <c r="I3532" t="s">
        <v>33</v>
      </c>
      <c r="J3532">
        <v>1</v>
      </c>
      <c r="K3532">
        <v>30</v>
      </c>
      <c r="L3532" t="s">
        <v>20</v>
      </c>
      <c r="M3532" t="s">
        <v>37</v>
      </c>
      <c r="N3532" t="s">
        <v>30</v>
      </c>
      <c r="O3532" t="s">
        <v>27</v>
      </c>
      <c r="P3532">
        <v>3.7</v>
      </c>
      <c r="Q3532" s="2" t="b">
        <f>FALSE()</f>
        <v>0</v>
      </c>
      <c r="R3532">
        <v>0</v>
      </c>
    </row>
    <row r="3533" spans="1:18" x14ac:dyDescent="0.25">
      <c r="A3533">
        <v>203532</v>
      </c>
      <c r="B3533">
        <v>52848</v>
      </c>
      <c r="C3533" t="s">
        <v>18</v>
      </c>
      <c r="D3533">
        <v>1060.9100000000001</v>
      </c>
      <c r="E3533">
        <v>2770</v>
      </c>
      <c r="F3533">
        <v>3</v>
      </c>
      <c r="G3533">
        <v>1</v>
      </c>
      <c r="H3533">
        <v>0</v>
      </c>
      <c r="I3533" t="s">
        <v>32</v>
      </c>
      <c r="J3533">
        <v>0</v>
      </c>
      <c r="K3533">
        <v>53</v>
      </c>
      <c r="L3533" t="s">
        <v>24</v>
      </c>
      <c r="M3533" t="s">
        <v>35</v>
      </c>
      <c r="N3533" t="s">
        <v>26</v>
      </c>
      <c r="O3533" t="s">
        <v>36</v>
      </c>
      <c r="P3533">
        <v>1.65</v>
      </c>
      <c r="Q3533" s="2" t="b">
        <f>FALSE()</f>
        <v>0</v>
      </c>
      <c r="R3533">
        <v>1</v>
      </c>
    </row>
    <row r="3534" spans="1:18" x14ac:dyDescent="0.25">
      <c r="A3534">
        <v>203533</v>
      </c>
      <c r="B3534">
        <v>54431</v>
      </c>
      <c r="C3534" t="s">
        <v>34</v>
      </c>
      <c r="D3534">
        <v>1423.64</v>
      </c>
      <c r="E3534">
        <v>1063</v>
      </c>
      <c r="F3534">
        <v>3</v>
      </c>
      <c r="G3534">
        <v>7</v>
      </c>
      <c r="H3534">
        <v>0</v>
      </c>
      <c r="I3534" t="s">
        <v>33</v>
      </c>
      <c r="J3534">
        <v>0</v>
      </c>
      <c r="K3534">
        <v>83</v>
      </c>
      <c r="L3534" t="s">
        <v>20</v>
      </c>
      <c r="M3534" t="s">
        <v>21</v>
      </c>
      <c r="N3534" t="s">
        <v>30</v>
      </c>
      <c r="O3534" t="s">
        <v>36</v>
      </c>
      <c r="P3534">
        <v>0.06</v>
      </c>
      <c r="Q3534" s="2" t="b">
        <f>FALSE()</f>
        <v>0</v>
      </c>
      <c r="R3534">
        <v>1</v>
      </c>
    </row>
    <row r="3535" spans="1:18" x14ac:dyDescent="0.25">
      <c r="A3535">
        <v>203534</v>
      </c>
      <c r="B3535">
        <v>52934</v>
      </c>
      <c r="C3535" t="s">
        <v>34</v>
      </c>
      <c r="D3535">
        <v>1585.98</v>
      </c>
      <c r="E3535">
        <v>2155</v>
      </c>
      <c r="F3535">
        <v>2</v>
      </c>
      <c r="G3535">
        <v>4</v>
      </c>
      <c r="H3535">
        <v>0</v>
      </c>
      <c r="I3535" t="s">
        <v>19</v>
      </c>
      <c r="J3535">
        <v>0</v>
      </c>
      <c r="K3535">
        <v>27</v>
      </c>
      <c r="L3535" t="s">
        <v>20</v>
      </c>
      <c r="M3535" t="s">
        <v>35</v>
      </c>
      <c r="N3535" t="s">
        <v>30</v>
      </c>
      <c r="O3535" t="s">
        <v>27</v>
      </c>
      <c r="P3535">
        <v>0.13</v>
      </c>
      <c r="Q3535" s="2" t="b">
        <f>FALSE()</f>
        <v>0</v>
      </c>
      <c r="R3535">
        <v>0</v>
      </c>
    </row>
    <row r="3536" spans="1:18" x14ac:dyDescent="0.25">
      <c r="A3536">
        <v>203535</v>
      </c>
      <c r="B3536">
        <v>55691</v>
      </c>
      <c r="C3536" t="s">
        <v>34</v>
      </c>
      <c r="D3536">
        <v>2306.17</v>
      </c>
      <c r="E3536">
        <v>991</v>
      </c>
      <c r="F3536">
        <v>2</v>
      </c>
      <c r="G3536">
        <v>9</v>
      </c>
      <c r="H3536">
        <v>0</v>
      </c>
      <c r="I3536" t="s">
        <v>33</v>
      </c>
      <c r="J3536">
        <v>0</v>
      </c>
      <c r="K3536">
        <v>51</v>
      </c>
      <c r="L3536" t="s">
        <v>24</v>
      </c>
      <c r="M3536" t="s">
        <v>29</v>
      </c>
      <c r="N3536" t="s">
        <v>22</v>
      </c>
      <c r="O3536" t="s">
        <v>27</v>
      </c>
      <c r="P3536">
        <v>2.2599999999999998</v>
      </c>
      <c r="Q3536" s="2" t="b">
        <f>FALSE()</f>
        <v>0</v>
      </c>
      <c r="R3536">
        <v>1</v>
      </c>
    </row>
    <row r="3537" spans="1:18" x14ac:dyDescent="0.25">
      <c r="A3537">
        <v>203536</v>
      </c>
      <c r="B3537">
        <v>53741</v>
      </c>
      <c r="C3537" t="s">
        <v>34</v>
      </c>
      <c r="D3537">
        <v>614.27</v>
      </c>
      <c r="E3537">
        <v>2489</v>
      </c>
      <c r="F3537">
        <v>0</v>
      </c>
      <c r="G3537">
        <v>3</v>
      </c>
      <c r="H3537">
        <v>0</v>
      </c>
      <c r="I3537" t="s">
        <v>33</v>
      </c>
      <c r="J3537">
        <v>0</v>
      </c>
      <c r="K3537">
        <v>22</v>
      </c>
      <c r="L3537" t="s">
        <v>24</v>
      </c>
      <c r="M3537" t="s">
        <v>35</v>
      </c>
      <c r="N3537" t="s">
        <v>22</v>
      </c>
      <c r="O3537" t="s">
        <v>36</v>
      </c>
      <c r="P3537">
        <v>3.5</v>
      </c>
      <c r="Q3537" s="2" t="b">
        <f>FALSE()</f>
        <v>0</v>
      </c>
      <c r="R3537">
        <v>0</v>
      </c>
    </row>
    <row r="3538" spans="1:18" x14ac:dyDescent="0.25">
      <c r="A3538">
        <v>203537</v>
      </c>
      <c r="B3538">
        <v>50440</v>
      </c>
      <c r="C3538" t="s">
        <v>28</v>
      </c>
      <c r="D3538">
        <v>666.85</v>
      </c>
      <c r="E3538">
        <v>827</v>
      </c>
      <c r="F3538">
        <v>1</v>
      </c>
      <c r="G3538">
        <v>4</v>
      </c>
      <c r="H3538">
        <v>1</v>
      </c>
      <c r="I3538" t="s">
        <v>33</v>
      </c>
      <c r="J3538">
        <v>0</v>
      </c>
      <c r="K3538">
        <v>25</v>
      </c>
      <c r="L3538" t="s">
        <v>24</v>
      </c>
      <c r="M3538" t="s">
        <v>25</v>
      </c>
      <c r="N3538" t="s">
        <v>26</v>
      </c>
      <c r="O3538" t="s">
        <v>27</v>
      </c>
      <c r="P3538">
        <v>0.45</v>
      </c>
      <c r="Q3538" s="2" t="b">
        <f>FALSE()</f>
        <v>0</v>
      </c>
      <c r="R3538">
        <v>0</v>
      </c>
    </row>
    <row r="3539" spans="1:18" x14ac:dyDescent="0.25">
      <c r="A3539">
        <v>203538</v>
      </c>
      <c r="B3539">
        <v>54887</v>
      </c>
      <c r="C3539" t="s">
        <v>18</v>
      </c>
      <c r="D3539">
        <v>4208.8999999999996</v>
      </c>
      <c r="E3539">
        <v>2523</v>
      </c>
      <c r="F3539">
        <v>2</v>
      </c>
      <c r="G3539">
        <v>4</v>
      </c>
      <c r="H3539">
        <v>0</v>
      </c>
      <c r="I3539" t="s">
        <v>19</v>
      </c>
      <c r="J3539">
        <v>1</v>
      </c>
      <c r="K3539">
        <v>33</v>
      </c>
      <c r="L3539" t="s">
        <v>24</v>
      </c>
      <c r="M3539" t="s">
        <v>35</v>
      </c>
      <c r="N3539" t="s">
        <v>22</v>
      </c>
      <c r="O3539" t="s">
        <v>23</v>
      </c>
      <c r="P3539">
        <v>1.29</v>
      </c>
      <c r="Q3539" s="2" t="b">
        <f>FALSE()</f>
        <v>0</v>
      </c>
      <c r="R3539">
        <v>1</v>
      </c>
    </row>
    <row r="3540" spans="1:18" x14ac:dyDescent="0.25">
      <c r="A3540">
        <v>203539</v>
      </c>
      <c r="B3540">
        <v>52958</v>
      </c>
      <c r="C3540" t="s">
        <v>18</v>
      </c>
      <c r="D3540">
        <v>789.83</v>
      </c>
      <c r="E3540">
        <v>1533</v>
      </c>
      <c r="F3540">
        <v>0</v>
      </c>
      <c r="G3540">
        <v>1</v>
      </c>
      <c r="H3540">
        <v>0</v>
      </c>
      <c r="I3540" t="s">
        <v>33</v>
      </c>
      <c r="J3540">
        <v>1</v>
      </c>
      <c r="K3540">
        <v>20</v>
      </c>
      <c r="L3540" t="s">
        <v>24</v>
      </c>
      <c r="M3540" t="s">
        <v>31</v>
      </c>
      <c r="N3540" t="s">
        <v>22</v>
      </c>
      <c r="O3540" t="s">
        <v>27</v>
      </c>
      <c r="P3540">
        <v>5.77</v>
      </c>
      <c r="Q3540" s="2" t="b">
        <f>FALSE()</f>
        <v>0</v>
      </c>
      <c r="R3540">
        <v>0</v>
      </c>
    </row>
    <row r="3541" spans="1:18" x14ac:dyDescent="0.25">
      <c r="A3541">
        <v>203540</v>
      </c>
      <c r="B3541">
        <v>52810</v>
      </c>
      <c r="C3541" t="s">
        <v>18</v>
      </c>
      <c r="D3541">
        <v>1572.27</v>
      </c>
      <c r="E3541">
        <v>1724</v>
      </c>
      <c r="F3541">
        <v>1</v>
      </c>
      <c r="G3541">
        <v>4</v>
      </c>
      <c r="H3541">
        <v>0</v>
      </c>
      <c r="I3541" t="s">
        <v>33</v>
      </c>
      <c r="J3541">
        <v>0</v>
      </c>
      <c r="K3541">
        <v>81</v>
      </c>
      <c r="L3541" t="s">
        <v>24</v>
      </c>
      <c r="M3541" t="s">
        <v>35</v>
      </c>
      <c r="N3541" t="s">
        <v>22</v>
      </c>
      <c r="O3541" t="s">
        <v>27</v>
      </c>
      <c r="P3541">
        <v>11.78</v>
      </c>
      <c r="Q3541" s="2" t="b">
        <f>FALSE()</f>
        <v>0</v>
      </c>
      <c r="R3541">
        <v>0</v>
      </c>
    </row>
    <row r="3542" spans="1:18" x14ac:dyDescent="0.25">
      <c r="A3542">
        <v>203541</v>
      </c>
      <c r="B3542">
        <v>55302</v>
      </c>
      <c r="C3542" t="s">
        <v>34</v>
      </c>
      <c r="D3542">
        <v>3157.8</v>
      </c>
      <c r="E3542">
        <v>1689</v>
      </c>
      <c r="F3542">
        <v>3</v>
      </c>
      <c r="G3542">
        <v>2</v>
      </c>
      <c r="H3542">
        <v>0</v>
      </c>
      <c r="I3542" t="s">
        <v>32</v>
      </c>
      <c r="J3542">
        <v>0</v>
      </c>
      <c r="K3542">
        <v>71</v>
      </c>
      <c r="L3542" t="s">
        <v>20</v>
      </c>
      <c r="M3542" t="s">
        <v>21</v>
      </c>
      <c r="N3542" t="s">
        <v>30</v>
      </c>
      <c r="O3542" t="s">
        <v>23</v>
      </c>
      <c r="P3542">
        <v>3.16</v>
      </c>
      <c r="Q3542" s="2" t="b">
        <f>FALSE()</f>
        <v>0</v>
      </c>
      <c r="R3542">
        <v>1</v>
      </c>
    </row>
    <row r="3543" spans="1:18" x14ac:dyDescent="0.25">
      <c r="A3543">
        <v>203542</v>
      </c>
      <c r="B3543">
        <v>50979</v>
      </c>
      <c r="C3543" t="s">
        <v>18</v>
      </c>
      <c r="D3543">
        <v>3951.27</v>
      </c>
      <c r="E3543">
        <v>1515</v>
      </c>
      <c r="F3543">
        <v>1</v>
      </c>
      <c r="G3543">
        <v>4</v>
      </c>
      <c r="H3543">
        <v>0</v>
      </c>
      <c r="I3543" t="s">
        <v>32</v>
      </c>
      <c r="J3543">
        <v>0</v>
      </c>
      <c r="K3543">
        <v>37</v>
      </c>
      <c r="L3543" t="s">
        <v>24</v>
      </c>
      <c r="M3543" t="s">
        <v>25</v>
      </c>
      <c r="N3543" t="s">
        <v>22</v>
      </c>
      <c r="O3543" t="s">
        <v>36</v>
      </c>
      <c r="P3543">
        <v>1.1000000000000001</v>
      </c>
      <c r="Q3543" s="2" t="b">
        <f>FALSE()</f>
        <v>0</v>
      </c>
      <c r="R3543">
        <v>1</v>
      </c>
    </row>
    <row r="3544" spans="1:18" x14ac:dyDescent="0.25">
      <c r="A3544">
        <v>203543</v>
      </c>
      <c r="B3544">
        <v>54957</v>
      </c>
      <c r="C3544" t="s">
        <v>28</v>
      </c>
      <c r="D3544">
        <v>1951.04</v>
      </c>
      <c r="E3544">
        <v>3350</v>
      </c>
      <c r="F3544">
        <v>1</v>
      </c>
      <c r="G3544">
        <v>1</v>
      </c>
      <c r="H3544">
        <v>1</v>
      </c>
      <c r="I3544" t="s">
        <v>19</v>
      </c>
      <c r="J3544">
        <v>0</v>
      </c>
      <c r="K3544">
        <v>64</v>
      </c>
      <c r="L3544" t="s">
        <v>24</v>
      </c>
      <c r="M3544" t="s">
        <v>21</v>
      </c>
      <c r="N3544" t="s">
        <v>22</v>
      </c>
      <c r="O3544" t="s">
        <v>36</v>
      </c>
      <c r="P3544">
        <v>2.35</v>
      </c>
      <c r="Q3544" s="2" t="b">
        <f>FALSE()</f>
        <v>0</v>
      </c>
      <c r="R3544">
        <v>0</v>
      </c>
    </row>
    <row r="3545" spans="1:18" x14ac:dyDescent="0.25">
      <c r="A3545">
        <v>203544</v>
      </c>
      <c r="B3545">
        <v>54854</v>
      </c>
      <c r="C3545" t="s">
        <v>28</v>
      </c>
      <c r="D3545">
        <v>5136.59</v>
      </c>
      <c r="E3545">
        <v>1610</v>
      </c>
      <c r="F3545">
        <v>1</v>
      </c>
      <c r="G3545">
        <v>8</v>
      </c>
      <c r="H3545">
        <v>1</v>
      </c>
      <c r="I3545" t="s">
        <v>32</v>
      </c>
      <c r="J3545">
        <v>0</v>
      </c>
      <c r="K3545">
        <v>57</v>
      </c>
      <c r="L3545" t="s">
        <v>24</v>
      </c>
      <c r="M3545" t="s">
        <v>29</v>
      </c>
      <c r="N3545" t="s">
        <v>30</v>
      </c>
      <c r="O3545" t="s">
        <v>27</v>
      </c>
      <c r="P3545">
        <v>3.48</v>
      </c>
      <c r="Q3545" s="2" t="b">
        <f>FALSE()</f>
        <v>0</v>
      </c>
      <c r="R3545">
        <v>1</v>
      </c>
    </row>
    <row r="3546" spans="1:18" x14ac:dyDescent="0.25">
      <c r="A3546">
        <v>203545</v>
      </c>
      <c r="B3546">
        <v>54077</v>
      </c>
      <c r="C3546" t="s">
        <v>34</v>
      </c>
      <c r="D3546">
        <v>2269.1999999999998</v>
      </c>
      <c r="E3546">
        <v>2480</v>
      </c>
      <c r="F3546">
        <v>2</v>
      </c>
      <c r="G3546">
        <v>1</v>
      </c>
      <c r="H3546">
        <v>0</v>
      </c>
      <c r="I3546" t="s">
        <v>33</v>
      </c>
      <c r="J3546">
        <v>0</v>
      </c>
      <c r="K3546">
        <v>40</v>
      </c>
      <c r="L3546" t="s">
        <v>20</v>
      </c>
      <c r="M3546" t="s">
        <v>21</v>
      </c>
      <c r="N3546" t="s">
        <v>30</v>
      </c>
      <c r="O3546" t="s">
        <v>27</v>
      </c>
      <c r="P3546">
        <v>0.55000000000000004</v>
      </c>
      <c r="Q3546" s="2" t="b">
        <f>FALSE()</f>
        <v>0</v>
      </c>
      <c r="R3546">
        <v>0</v>
      </c>
    </row>
    <row r="3547" spans="1:18" x14ac:dyDescent="0.25">
      <c r="A3547">
        <v>203546</v>
      </c>
      <c r="B3547">
        <v>51379</v>
      </c>
      <c r="C3547" t="s">
        <v>28</v>
      </c>
      <c r="D3547">
        <v>952.02</v>
      </c>
      <c r="E3547">
        <v>978</v>
      </c>
      <c r="F3547">
        <v>2</v>
      </c>
      <c r="G3547">
        <v>4</v>
      </c>
      <c r="H3547">
        <v>0</v>
      </c>
      <c r="I3547" t="s">
        <v>33</v>
      </c>
      <c r="J3547">
        <v>1</v>
      </c>
      <c r="K3547">
        <v>72</v>
      </c>
      <c r="L3547" t="s">
        <v>24</v>
      </c>
      <c r="M3547" t="s">
        <v>25</v>
      </c>
      <c r="N3547" t="s">
        <v>22</v>
      </c>
      <c r="O3547" t="s">
        <v>36</v>
      </c>
      <c r="P3547">
        <v>2.27</v>
      </c>
      <c r="Q3547" s="2" t="b">
        <f>FALSE()</f>
        <v>0</v>
      </c>
      <c r="R3547">
        <v>0</v>
      </c>
    </row>
    <row r="3548" spans="1:18" x14ac:dyDescent="0.25">
      <c r="A3548">
        <v>203547</v>
      </c>
      <c r="B3548">
        <v>53500</v>
      </c>
      <c r="C3548" t="s">
        <v>18</v>
      </c>
      <c r="D3548">
        <v>6097.34</v>
      </c>
      <c r="E3548">
        <v>3053</v>
      </c>
      <c r="F3548">
        <v>0</v>
      </c>
      <c r="G3548">
        <v>1</v>
      </c>
      <c r="H3548">
        <v>0</v>
      </c>
      <c r="I3548" t="s">
        <v>33</v>
      </c>
      <c r="J3548">
        <v>0</v>
      </c>
      <c r="K3548">
        <v>43</v>
      </c>
      <c r="L3548" t="s">
        <v>24</v>
      </c>
      <c r="M3548" t="s">
        <v>37</v>
      </c>
      <c r="N3548" t="s">
        <v>26</v>
      </c>
      <c r="O3548" t="s">
        <v>27</v>
      </c>
      <c r="P3548">
        <v>0.32</v>
      </c>
      <c r="Q3548" s="2" t="b">
        <f>FALSE()</f>
        <v>0</v>
      </c>
      <c r="R3548">
        <v>1</v>
      </c>
    </row>
    <row r="3549" spans="1:18" x14ac:dyDescent="0.25">
      <c r="A3549">
        <v>203548</v>
      </c>
      <c r="B3549">
        <v>52158</v>
      </c>
      <c r="C3549" t="s">
        <v>28</v>
      </c>
      <c r="D3549">
        <v>4137.83</v>
      </c>
      <c r="E3549">
        <v>79</v>
      </c>
      <c r="F3549">
        <v>1</v>
      </c>
      <c r="G3549">
        <v>5</v>
      </c>
      <c r="H3549">
        <v>0</v>
      </c>
      <c r="I3549" t="s">
        <v>19</v>
      </c>
      <c r="J3549">
        <v>1</v>
      </c>
      <c r="K3549">
        <v>64</v>
      </c>
      <c r="L3549" t="s">
        <v>24</v>
      </c>
      <c r="M3549" t="s">
        <v>37</v>
      </c>
      <c r="N3549" t="s">
        <v>22</v>
      </c>
      <c r="O3549" t="s">
        <v>36</v>
      </c>
      <c r="P3549">
        <v>6.97</v>
      </c>
      <c r="Q3549" s="2" t="b">
        <f>FALSE()</f>
        <v>0</v>
      </c>
      <c r="R3549">
        <v>1</v>
      </c>
    </row>
    <row r="3550" spans="1:18" x14ac:dyDescent="0.25">
      <c r="A3550">
        <v>203549</v>
      </c>
      <c r="B3550">
        <v>50098</v>
      </c>
      <c r="C3550" t="s">
        <v>28</v>
      </c>
      <c r="D3550">
        <v>2932.32</v>
      </c>
      <c r="E3550">
        <v>3423</v>
      </c>
      <c r="F3550">
        <v>1</v>
      </c>
      <c r="G3550">
        <v>5</v>
      </c>
      <c r="H3550">
        <v>0</v>
      </c>
      <c r="I3550" t="s">
        <v>32</v>
      </c>
      <c r="J3550">
        <v>0</v>
      </c>
      <c r="K3550">
        <v>18</v>
      </c>
      <c r="L3550" t="s">
        <v>20</v>
      </c>
      <c r="M3550" t="s">
        <v>37</v>
      </c>
      <c r="N3550" t="s">
        <v>26</v>
      </c>
      <c r="O3550" t="s">
        <v>23</v>
      </c>
      <c r="P3550">
        <v>2.37</v>
      </c>
      <c r="Q3550" s="2" t="b">
        <f>FALSE()</f>
        <v>0</v>
      </c>
      <c r="R3550">
        <v>0</v>
      </c>
    </row>
    <row r="3551" spans="1:18" x14ac:dyDescent="0.25">
      <c r="A3551">
        <v>203550</v>
      </c>
      <c r="B3551">
        <v>50558</v>
      </c>
      <c r="C3551" t="s">
        <v>18</v>
      </c>
      <c r="D3551">
        <v>2199.8200000000002</v>
      </c>
      <c r="E3551">
        <v>2112</v>
      </c>
      <c r="F3551">
        <v>3</v>
      </c>
      <c r="G3551">
        <v>0</v>
      </c>
      <c r="H3551">
        <v>0</v>
      </c>
      <c r="I3551" t="s">
        <v>33</v>
      </c>
      <c r="J3551">
        <v>0</v>
      </c>
      <c r="K3551">
        <v>29</v>
      </c>
      <c r="L3551" t="s">
        <v>20</v>
      </c>
      <c r="M3551" t="s">
        <v>37</v>
      </c>
      <c r="N3551" t="s">
        <v>30</v>
      </c>
      <c r="O3551" t="s">
        <v>23</v>
      </c>
      <c r="P3551">
        <v>6.15</v>
      </c>
      <c r="Q3551" s="2" t="b">
        <f>FALSE()</f>
        <v>0</v>
      </c>
      <c r="R3551">
        <v>1</v>
      </c>
    </row>
    <row r="3552" spans="1:18" x14ac:dyDescent="0.25">
      <c r="A3552">
        <v>203551</v>
      </c>
      <c r="B3552">
        <v>54710</v>
      </c>
      <c r="C3552" t="s">
        <v>34</v>
      </c>
      <c r="D3552">
        <v>2633.8</v>
      </c>
      <c r="E3552">
        <v>628</v>
      </c>
      <c r="F3552">
        <v>0</v>
      </c>
      <c r="G3552">
        <v>7</v>
      </c>
      <c r="H3552">
        <v>0</v>
      </c>
      <c r="I3552" t="s">
        <v>32</v>
      </c>
      <c r="J3552">
        <v>0</v>
      </c>
      <c r="K3552">
        <v>22</v>
      </c>
      <c r="L3552" t="s">
        <v>20</v>
      </c>
      <c r="M3552" t="s">
        <v>29</v>
      </c>
      <c r="N3552" t="s">
        <v>22</v>
      </c>
      <c r="O3552" t="s">
        <v>36</v>
      </c>
      <c r="P3552">
        <v>2.17</v>
      </c>
      <c r="Q3552" s="2" t="b">
        <f>FALSE()</f>
        <v>0</v>
      </c>
      <c r="R3552">
        <v>1</v>
      </c>
    </row>
    <row r="3553" spans="1:18" x14ac:dyDescent="0.25">
      <c r="A3553">
        <v>203552</v>
      </c>
      <c r="B3553">
        <v>50896</v>
      </c>
      <c r="C3553" t="s">
        <v>34</v>
      </c>
      <c r="D3553">
        <v>5442.83</v>
      </c>
      <c r="E3553">
        <v>493</v>
      </c>
      <c r="F3553">
        <v>2</v>
      </c>
      <c r="G3553">
        <v>3</v>
      </c>
      <c r="H3553">
        <v>0</v>
      </c>
      <c r="I3553" t="s">
        <v>33</v>
      </c>
      <c r="J3553">
        <v>0</v>
      </c>
      <c r="K3553">
        <v>43</v>
      </c>
      <c r="L3553" t="s">
        <v>20</v>
      </c>
      <c r="M3553" t="s">
        <v>31</v>
      </c>
      <c r="N3553" t="s">
        <v>22</v>
      </c>
      <c r="O3553" t="s">
        <v>36</v>
      </c>
      <c r="P3553">
        <v>2.5099999999999998</v>
      </c>
      <c r="Q3553" s="2" t="b">
        <f>FALSE()</f>
        <v>0</v>
      </c>
      <c r="R3553">
        <v>1</v>
      </c>
    </row>
    <row r="3554" spans="1:18" x14ac:dyDescent="0.25">
      <c r="A3554">
        <v>203553</v>
      </c>
      <c r="B3554">
        <v>53964</v>
      </c>
      <c r="C3554" t="s">
        <v>18</v>
      </c>
      <c r="D3554">
        <v>3114.56</v>
      </c>
      <c r="E3554">
        <v>1059</v>
      </c>
      <c r="F3554">
        <v>1</v>
      </c>
      <c r="G3554">
        <v>3</v>
      </c>
      <c r="H3554">
        <v>0</v>
      </c>
      <c r="I3554" t="s">
        <v>19</v>
      </c>
      <c r="J3554">
        <v>0</v>
      </c>
      <c r="K3554">
        <v>65</v>
      </c>
      <c r="L3554" t="s">
        <v>24</v>
      </c>
      <c r="M3554" t="s">
        <v>31</v>
      </c>
      <c r="N3554" t="s">
        <v>30</v>
      </c>
      <c r="O3554" t="s">
        <v>23</v>
      </c>
      <c r="P3554">
        <v>0.97</v>
      </c>
      <c r="Q3554" s="2" t="b">
        <f>FALSE()</f>
        <v>0</v>
      </c>
      <c r="R3554">
        <v>0</v>
      </c>
    </row>
    <row r="3555" spans="1:18" x14ac:dyDescent="0.25">
      <c r="A3555">
        <v>203554</v>
      </c>
      <c r="B3555">
        <v>52043</v>
      </c>
      <c r="C3555" t="s">
        <v>18</v>
      </c>
      <c r="D3555">
        <v>1270.6400000000001</v>
      </c>
      <c r="E3555">
        <v>2976</v>
      </c>
      <c r="F3555">
        <v>0</v>
      </c>
      <c r="G3555">
        <v>4</v>
      </c>
      <c r="H3555">
        <v>0</v>
      </c>
      <c r="I3555" t="s">
        <v>32</v>
      </c>
      <c r="J3555">
        <v>0</v>
      </c>
      <c r="K3555">
        <v>66</v>
      </c>
      <c r="L3555" t="s">
        <v>20</v>
      </c>
      <c r="M3555" t="s">
        <v>21</v>
      </c>
      <c r="N3555" t="s">
        <v>22</v>
      </c>
      <c r="O3555" t="s">
        <v>36</v>
      </c>
      <c r="P3555">
        <v>1.81</v>
      </c>
      <c r="Q3555" s="2" t="b">
        <f>FALSE()</f>
        <v>0</v>
      </c>
      <c r="R3555">
        <v>0</v>
      </c>
    </row>
    <row r="3556" spans="1:18" x14ac:dyDescent="0.25">
      <c r="A3556">
        <v>203555</v>
      </c>
      <c r="B3556">
        <v>52848</v>
      </c>
      <c r="C3556" t="s">
        <v>34</v>
      </c>
      <c r="D3556">
        <v>2583.71</v>
      </c>
      <c r="E3556">
        <v>172</v>
      </c>
      <c r="F3556">
        <v>1</v>
      </c>
      <c r="G3556">
        <v>5</v>
      </c>
      <c r="H3556">
        <v>0</v>
      </c>
      <c r="I3556" t="s">
        <v>33</v>
      </c>
      <c r="J3556">
        <v>1</v>
      </c>
      <c r="K3556">
        <v>56</v>
      </c>
      <c r="L3556" t="s">
        <v>20</v>
      </c>
      <c r="M3556" t="s">
        <v>31</v>
      </c>
      <c r="N3556" t="s">
        <v>30</v>
      </c>
      <c r="O3556" t="s">
        <v>27</v>
      </c>
      <c r="P3556">
        <v>1.36</v>
      </c>
      <c r="Q3556" s="2" t="b">
        <f>FALSE()</f>
        <v>0</v>
      </c>
      <c r="R3556">
        <v>0</v>
      </c>
    </row>
    <row r="3557" spans="1:18" x14ac:dyDescent="0.25">
      <c r="A3557">
        <v>203556</v>
      </c>
      <c r="B3557">
        <v>51624</v>
      </c>
      <c r="C3557" t="s">
        <v>18</v>
      </c>
      <c r="D3557">
        <v>2107.06</v>
      </c>
      <c r="E3557">
        <v>3222</v>
      </c>
      <c r="F3557">
        <v>0</v>
      </c>
      <c r="G3557">
        <v>4</v>
      </c>
      <c r="H3557">
        <v>0</v>
      </c>
      <c r="I3557" t="s">
        <v>33</v>
      </c>
      <c r="J3557">
        <v>0</v>
      </c>
      <c r="K3557">
        <v>68</v>
      </c>
      <c r="L3557" t="s">
        <v>38</v>
      </c>
      <c r="M3557" t="s">
        <v>35</v>
      </c>
      <c r="N3557" t="s">
        <v>22</v>
      </c>
      <c r="O3557" t="s">
        <v>23</v>
      </c>
      <c r="P3557">
        <v>7.5</v>
      </c>
      <c r="Q3557" s="2" t="b">
        <f>FALSE()</f>
        <v>0</v>
      </c>
      <c r="R3557">
        <v>0</v>
      </c>
    </row>
    <row r="3558" spans="1:18" x14ac:dyDescent="0.25">
      <c r="A3558">
        <v>203557</v>
      </c>
      <c r="B3558">
        <v>50314</v>
      </c>
      <c r="C3558" t="s">
        <v>18</v>
      </c>
      <c r="D3558">
        <v>666.71</v>
      </c>
      <c r="E3558">
        <v>1531</v>
      </c>
      <c r="F3558">
        <v>2</v>
      </c>
      <c r="G3558">
        <v>5</v>
      </c>
      <c r="H3558">
        <v>0</v>
      </c>
      <c r="I3558" t="s">
        <v>33</v>
      </c>
      <c r="J3558">
        <v>0</v>
      </c>
      <c r="K3558">
        <v>61</v>
      </c>
      <c r="L3558" t="s">
        <v>24</v>
      </c>
      <c r="M3558" t="s">
        <v>29</v>
      </c>
      <c r="N3558" t="s">
        <v>22</v>
      </c>
      <c r="O3558" t="s">
        <v>27</v>
      </c>
      <c r="P3558">
        <v>7.81</v>
      </c>
      <c r="Q3558" s="2" t="b">
        <f>FALSE()</f>
        <v>0</v>
      </c>
      <c r="R3558">
        <v>0</v>
      </c>
    </row>
    <row r="3559" spans="1:18" x14ac:dyDescent="0.25">
      <c r="A3559">
        <v>203558</v>
      </c>
      <c r="B3559">
        <v>55069</v>
      </c>
      <c r="C3559" t="s">
        <v>18</v>
      </c>
      <c r="D3559">
        <v>2333.42</v>
      </c>
      <c r="E3559">
        <v>3525</v>
      </c>
      <c r="F3559">
        <v>1</v>
      </c>
      <c r="G3559">
        <v>3</v>
      </c>
      <c r="H3559">
        <v>1</v>
      </c>
      <c r="I3559" t="s">
        <v>33</v>
      </c>
      <c r="J3559">
        <v>0</v>
      </c>
      <c r="K3559">
        <v>68</v>
      </c>
      <c r="L3559" t="s">
        <v>24</v>
      </c>
      <c r="M3559" t="s">
        <v>31</v>
      </c>
      <c r="N3559" t="s">
        <v>30</v>
      </c>
      <c r="O3559" t="s">
        <v>23</v>
      </c>
      <c r="P3559">
        <v>6.55</v>
      </c>
      <c r="Q3559" s="2" t="b">
        <f>FALSE()</f>
        <v>0</v>
      </c>
      <c r="R3559">
        <v>0</v>
      </c>
    </row>
    <row r="3560" spans="1:18" x14ac:dyDescent="0.25">
      <c r="A3560">
        <v>203559</v>
      </c>
      <c r="B3560">
        <v>51762</v>
      </c>
      <c r="C3560" t="s">
        <v>18</v>
      </c>
      <c r="D3560">
        <v>1366.34</v>
      </c>
      <c r="E3560">
        <v>3536</v>
      </c>
      <c r="F3560">
        <v>0</v>
      </c>
      <c r="G3560">
        <v>5</v>
      </c>
      <c r="H3560">
        <v>0</v>
      </c>
      <c r="I3560" t="s">
        <v>33</v>
      </c>
      <c r="J3560">
        <v>0</v>
      </c>
      <c r="K3560">
        <v>44</v>
      </c>
      <c r="L3560" t="s">
        <v>24</v>
      </c>
      <c r="M3560" t="s">
        <v>21</v>
      </c>
      <c r="N3560" t="s">
        <v>30</v>
      </c>
      <c r="O3560" t="s">
        <v>27</v>
      </c>
      <c r="P3560">
        <v>4.18</v>
      </c>
      <c r="Q3560" s="2" t="b">
        <f>FALSE()</f>
        <v>0</v>
      </c>
      <c r="R3560">
        <v>0</v>
      </c>
    </row>
    <row r="3561" spans="1:18" x14ac:dyDescent="0.25">
      <c r="A3561">
        <v>203560</v>
      </c>
      <c r="B3561">
        <v>51167</v>
      </c>
      <c r="C3561" t="s">
        <v>18</v>
      </c>
      <c r="D3561">
        <v>1928.69</v>
      </c>
      <c r="E3561">
        <v>2562</v>
      </c>
      <c r="F3561">
        <v>1</v>
      </c>
      <c r="G3561">
        <v>4</v>
      </c>
      <c r="H3561">
        <v>0</v>
      </c>
      <c r="I3561" t="s">
        <v>33</v>
      </c>
      <c r="J3561">
        <v>0</v>
      </c>
      <c r="K3561">
        <v>51</v>
      </c>
      <c r="L3561" t="s">
        <v>20</v>
      </c>
      <c r="M3561" t="s">
        <v>37</v>
      </c>
      <c r="N3561" t="s">
        <v>30</v>
      </c>
      <c r="O3561" t="s">
        <v>36</v>
      </c>
      <c r="P3561">
        <v>1.1599999999999999</v>
      </c>
      <c r="Q3561" s="2" t="b">
        <f>FALSE()</f>
        <v>0</v>
      </c>
      <c r="R3561">
        <v>0</v>
      </c>
    </row>
    <row r="3562" spans="1:18" x14ac:dyDescent="0.25">
      <c r="A3562">
        <v>203561</v>
      </c>
      <c r="B3562">
        <v>50800</v>
      </c>
      <c r="C3562" t="s">
        <v>34</v>
      </c>
      <c r="D3562">
        <v>1469.96</v>
      </c>
      <c r="E3562">
        <v>2044</v>
      </c>
      <c r="F3562">
        <v>0</v>
      </c>
      <c r="G3562">
        <v>4</v>
      </c>
      <c r="H3562">
        <v>1</v>
      </c>
      <c r="I3562" t="s">
        <v>33</v>
      </c>
      <c r="J3562">
        <v>0</v>
      </c>
      <c r="K3562">
        <v>58</v>
      </c>
      <c r="L3562" t="s">
        <v>24</v>
      </c>
      <c r="M3562" t="s">
        <v>29</v>
      </c>
      <c r="N3562" t="s">
        <v>22</v>
      </c>
      <c r="O3562" t="s">
        <v>36</v>
      </c>
      <c r="P3562">
        <v>4.3499999999999996</v>
      </c>
      <c r="Q3562" s="2" t="b">
        <f>FALSE()</f>
        <v>0</v>
      </c>
      <c r="R3562">
        <v>0</v>
      </c>
    </row>
    <row r="3563" spans="1:18" x14ac:dyDescent="0.25">
      <c r="A3563">
        <v>203562</v>
      </c>
      <c r="B3563">
        <v>55295</v>
      </c>
      <c r="C3563" t="s">
        <v>28</v>
      </c>
      <c r="D3563">
        <v>1101.98</v>
      </c>
      <c r="E3563">
        <v>3607</v>
      </c>
      <c r="F3563">
        <v>1</v>
      </c>
      <c r="G3563">
        <v>4</v>
      </c>
      <c r="H3563">
        <v>1</v>
      </c>
      <c r="I3563" t="s">
        <v>19</v>
      </c>
      <c r="J3563">
        <v>0</v>
      </c>
      <c r="K3563">
        <v>67</v>
      </c>
      <c r="L3563" t="s">
        <v>24</v>
      </c>
      <c r="M3563" t="s">
        <v>31</v>
      </c>
      <c r="N3563" t="s">
        <v>22</v>
      </c>
      <c r="O3563" t="s">
        <v>27</v>
      </c>
      <c r="P3563">
        <v>4.72</v>
      </c>
      <c r="Q3563" s="2" t="b">
        <f>FALSE()</f>
        <v>0</v>
      </c>
      <c r="R3563">
        <v>0</v>
      </c>
    </row>
    <row r="3564" spans="1:18" x14ac:dyDescent="0.25">
      <c r="A3564">
        <v>203563</v>
      </c>
      <c r="B3564">
        <v>55056</v>
      </c>
      <c r="C3564" t="s">
        <v>18</v>
      </c>
      <c r="D3564">
        <v>563.24</v>
      </c>
      <c r="E3564">
        <v>3208</v>
      </c>
      <c r="F3564">
        <v>1</v>
      </c>
      <c r="G3564">
        <v>3</v>
      </c>
      <c r="H3564">
        <v>0</v>
      </c>
      <c r="I3564" t="s">
        <v>33</v>
      </c>
      <c r="J3564">
        <v>0</v>
      </c>
      <c r="K3564">
        <v>54</v>
      </c>
      <c r="L3564" t="s">
        <v>20</v>
      </c>
      <c r="M3564" t="s">
        <v>31</v>
      </c>
      <c r="N3564" t="s">
        <v>22</v>
      </c>
      <c r="O3564" t="s">
        <v>27</v>
      </c>
      <c r="P3564">
        <v>0.48</v>
      </c>
      <c r="Q3564" s="2" t="b">
        <f>FALSE()</f>
        <v>0</v>
      </c>
      <c r="R3564">
        <v>0</v>
      </c>
    </row>
    <row r="3565" spans="1:18" x14ac:dyDescent="0.25">
      <c r="A3565">
        <v>203564</v>
      </c>
      <c r="B3565">
        <v>50681</v>
      </c>
      <c r="C3565" t="s">
        <v>18</v>
      </c>
      <c r="D3565">
        <v>841.99</v>
      </c>
      <c r="E3565">
        <v>1426</v>
      </c>
      <c r="F3565">
        <v>0</v>
      </c>
      <c r="G3565">
        <v>3</v>
      </c>
      <c r="H3565">
        <v>1</v>
      </c>
      <c r="I3565" t="s">
        <v>33</v>
      </c>
      <c r="J3565">
        <v>0</v>
      </c>
      <c r="K3565">
        <v>58</v>
      </c>
      <c r="L3565" t="s">
        <v>24</v>
      </c>
      <c r="M3565" t="s">
        <v>35</v>
      </c>
      <c r="N3565" t="s">
        <v>30</v>
      </c>
      <c r="O3565" t="s">
        <v>36</v>
      </c>
      <c r="P3565">
        <v>3.43</v>
      </c>
      <c r="Q3565" s="2" t="b">
        <f>FALSE()</f>
        <v>0</v>
      </c>
      <c r="R3565">
        <v>0</v>
      </c>
    </row>
    <row r="3566" spans="1:18" x14ac:dyDescent="0.25">
      <c r="A3566">
        <v>203565</v>
      </c>
      <c r="B3566">
        <v>51068</v>
      </c>
      <c r="C3566" t="s">
        <v>34</v>
      </c>
      <c r="D3566">
        <v>5931.16</v>
      </c>
      <c r="E3566">
        <v>767</v>
      </c>
      <c r="F3566">
        <v>1</v>
      </c>
      <c r="G3566">
        <v>5</v>
      </c>
      <c r="H3566">
        <v>0</v>
      </c>
      <c r="I3566" t="s">
        <v>33</v>
      </c>
      <c r="J3566">
        <v>0</v>
      </c>
      <c r="K3566">
        <v>19</v>
      </c>
      <c r="L3566" t="s">
        <v>24</v>
      </c>
      <c r="M3566" t="s">
        <v>29</v>
      </c>
      <c r="N3566" t="s">
        <v>26</v>
      </c>
      <c r="O3566" t="s">
        <v>23</v>
      </c>
      <c r="P3566">
        <v>3.06</v>
      </c>
      <c r="Q3566" s="2" t="b">
        <f>FALSE()</f>
        <v>0</v>
      </c>
      <c r="R3566">
        <v>1</v>
      </c>
    </row>
    <row r="3567" spans="1:18" x14ac:dyDescent="0.25">
      <c r="A3567">
        <v>203566</v>
      </c>
      <c r="B3567">
        <v>53103</v>
      </c>
      <c r="C3567" t="s">
        <v>18</v>
      </c>
      <c r="D3567">
        <v>629.77</v>
      </c>
      <c r="E3567">
        <v>1743</v>
      </c>
      <c r="F3567">
        <v>0</v>
      </c>
      <c r="G3567">
        <v>3</v>
      </c>
      <c r="H3567">
        <v>0</v>
      </c>
      <c r="I3567" t="s">
        <v>33</v>
      </c>
      <c r="J3567">
        <v>0</v>
      </c>
      <c r="K3567">
        <v>55</v>
      </c>
      <c r="L3567" t="s">
        <v>24</v>
      </c>
      <c r="M3567" t="s">
        <v>25</v>
      </c>
      <c r="N3567" t="s">
        <v>30</v>
      </c>
      <c r="O3567" t="s">
        <v>23</v>
      </c>
      <c r="P3567">
        <v>5.84</v>
      </c>
      <c r="Q3567" s="2" t="b">
        <f>FALSE()</f>
        <v>0</v>
      </c>
      <c r="R3567">
        <v>0</v>
      </c>
    </row>
    <row r="3568" spans="1:18" x14ac:dyDescent="0.25">
      <c r="A3568">
        <v>203567</v>
      </c>
      <c r="B3568">
        <v>55797</v>
      </c>
      <c r="C3568" t="s">
        <v>28</v>
      </c>
      <c r="D3568">
        <v>2659.71</v>
      </c>
      <c r="E3568">
        <v>1927</v>
      </c>
      <c r="F3568">
        <v>2</v>
      </c>
      <c r="G3568">
        <v>3</v>
      </c>
      <c r="H3568">
        <v>0</v>
      </c>
      <c r="I3568" t="s">
        <v>19</v>
      </c>
      <c r="J3568">
        <v>0</v>
      </c>
      <c r="K3568">
        <v>63</v>
      </c>
      <c r="L3568" t="s">
        <v>24</v>
      </c>
      <c r="M3568" t="s">
        <v>37</v>
      </c>
      <c r="N3568" t="s">
        <v>30</v>
      </c>
      <c r="O3568" t="s">
        <v>23</v>
      </c>
      <c r="P3568">
        <v>2.97</v>
      </c>
      <c r="Q3568" s="2" t="b">
        <f>FALSE()</f>
        <v>0</v>
      </c>
      <c r="R3568">
        <v>0</v>
      </c>
    </row>
    <row r="3569" spans="1:18" x14ac:dyDescent="0.25">
      <c r="A3569">
        <v>203568</v>
      </c>
      <c r="B3569">
        <v>53471</v>
      </c>
      <c r="C3569" t="s">
        <v>28</v>
      </c>
      <c r="D3569">
        <v>1747.73</v>
      </c>
      <c r="E3569">
        <v>629</v>
      </c>
      <c r="F3569">
        <v>2</v>
      </c>
      <c r="G3569">
        <v>2</v>
      </c>
      <c r="H3569">
        <v>1</v>
      </c>
      <c r="I3569" t="s">
        <v>33</v>
      </c>
      <c r="J3569">
        <v>0</v>
      </c>
      <c r="K3569">
        <v>23</v>
      </c>
      <c r="L3569" t="s">
        <v>20</v>
      </c>
      <c r="M3569" t="s">
        <v>37</v>
      </c>
      <c r="N3569" t="s">
        <v>30</v>
      </c>
      <c r="O3569" t="s">
        <v>23</v>
      </c>
      <c r="P3569">
        <v>6.39</v>
      </c>
      <c r="Q3569" s="2" t="b">
        <f>FALSE()</f>
        <v>0</v>
      </c>
      <c r="R3569">
        <v>0</v>
      </c>
    </row>
    <row r="3570" spans="1:18" x14ac:dyDescent="0.25">
      <c r="A3570">
        <v>203569</v>
      </c>
      <c r="B3570">
        <v>51535</v>
      </c>
      <c r="C3570" t="s">
        <v>18</v>
      </c>
      <c r="D3570">
        <v>1012.9</v>
      </c>
      <c r="E3570">
        <v>1337</v>
      </c>
      <c r="F3570">
        <v>3</v>
      </c>
      <c r="G3570">
        <v>5</v>
      </c>
      <c r="H3570">
        <v>0</v>
      </c>
      <c r="I3570" t="s">
        <v>33</v>
      </c>
      <c r="J3570">
        <v>0</v>
      </c>
      <c r="K3570">
        <v>72</v>
      </c>
      <c r="L3570" t="s">
        <v>24</v>
      </c>
      <c r="M3570" t="s">
        <v>31</v>
      </c>
      <c r="N3570" t="s">
        <v>22</v>
      </c>
      <c r="O3570" t="s">
        <v>36</v>
      </c>
      <c r="P3570">
        <v>1.55</v>
      </c>
      <c r="Q3570" s="2" t="b">
        <f>FALSE()</f>
        <v>0</v>
      </c>
      <c r="R3570">
        <v>1</v>
      </c>
    </row>
    <row r="3571" spans="1:18" x14ac:dyDescent="0.25">
      <c r="A3571">
        <v>203570</v>
      </c>
      <c r="B3571">
        <v>54680</v>
      </c>
      <c r="C3571" t="s">
        <v>28</v>
      </c>
      <c r="D3571">
        <v>2770.07</v>
      </c>
      <c r="E3571">
        <v>2756</v>
      </c>
      <c r="F3571">
        <v>1</v>
      </c>
      <c r="G3571">
        <v>7</v>
      </c>
      <c r="H3571">
        <v>0</v>
      </c>
      <c r="I3571" t="s">
        <v>19</v>
      </c>
      <c r="J3571">
        <v>0</v>
      </c>
      <c r="K3571">
        <v>19</v>
      </c>
      <c r="L3571" t="s">
        <v>24</v>
      </c>
      <c r="M3571" t="s">
        <v>29</v>
      </c>
      <c r="N3571" t="s">
        <v>30</v>
      </c>
      <c r="O3571" t="s">
        <v>36</v>
      </c>
      <c r="P3571">
        <v>0.78</v>
      </c>
      <c r="Q3571" s="2" t="b">
        <f>FALSE()</f>
        <v>0</v>
      </c>
      <c r="R3571">
        <v>1</v>
      </c>
    </row>
    <row r="3572" spans="1:18" x14ac:dyDescent="0.25">
      <c r="A3572">
        <v>203571</v>
      </c>
      <c r="B3572">
        <v>53120</v>
      </c>
      <c r="C3572" t="s">
        <v>34</v>
      </c>
      <c r="D3572">
        <v>6214.03</v>
      </c>
      <c r="E3572">
        <v>3518</v>
      </c>
      <c r="F3572">
        <v>0</v>
      </c>
      <c r="G3572">
        <v>2</v>
      </c>
      <c r="H3572">
        <v>0</v>
      </c>
      <c r="I3572" t="s">
        <v>33</v>
      </c>
      <c r="J3572">
        <v>1</v>
      </c>
      <c r="K3572">
        <v>47</v>
      </c>
      <c r="L3572" t="s">
        <v>20</v>
      </c>
      <c r="M3572" t="s">
        <v>25</v>
      </c>
      <c r="N3572" t="s">
        <v>22</v>
      </c>
      <c r="O3572" t="s">
        <v>27</v>
      </c>
      <c r="P3572">
        <v>1.65</v>
      </c>
      <c r="Q3572" s="2" t="b">
        <f>FALSE()</f>
        <v>0</v>
      </c>
      <c r="R3572">
        <v>1</v>
      </c>
    </row>
    <row r="3573" spans="1:18" x14ac:dyDescent="0.25">
      <c r="A3573">
        <v>203572</v>
      </c>
      <c r="B3573">
        <v>55652</v>
      </c>
      <c r="C3573" t="s">
        <v>34</v>
      </c>
      <c r="D3573">
        <v>2516.91</v>
      </c>
      <c r="E3573">
        <v>3453</v>
      </c>
      <c r="F3573">
        <v>1</v>
      </c>
      <c r="G3573">
        <v>1</v>
      </c>
      <c r="H3573">
        <v>1</v>
      </c>
      <c r="I3573" t="s">
        <v>33</v>
      </c>
      <c r="J3573">
        <v>0</v>
      </c>
      <c r="K3573">
        <v>20</v>
      </c>
      <c r="L3573" t="s">
        <v>24</v>
      </c>
      <c r="M3573" t="s">
        <v>35</v>
      </c>
      <c r="N3573" t="s">
        <v>30</v>
      </c>
      <c r="O3573" t="s">
        <v>27</v>
      </c>
      <c r="P3573">
        <v>4.4800000000000004</v>
      </c>
      <c r="Q3573" s="2" t="b">
        <f>FALSE()</f>
        <v>0</v>
      </c>
      <c r="R3573">
        <v>0</v>
      </c>
    </row>
    <row r="3574" spans="1:18" x14ac:dyDescent="0.25">
      <c r="A3574">
        <v>203573</v>
      </c>
      <c r="B3574">
        <v>52249</v>
      </c>
      <c r="C3574" t="s">
        <v>28</v>
      </c>
      <c r="D3574">
        <v>975.38</v>
      </c>
      <c r="E3574">
        <v>15</v>
      </c>
      <c r="F3574">
        <v>2</v>
      </c>
      <c r="G3574">
        <v>5</v>
      </c>
      <c r="H3574">
        <v>0</v>
      </c>
      <c r="I3574" t="s">
        <v>32</v>
      </c>
      <c r="J3574">
        <v>0</v>
      </c>
      <c r="K3574">
        <v>62</v>
      </c>
      <c r="L3574" t="s">
        <v>20</v>
      </c>
      <c r="M3574" t="s">
        <v>31</v>
      </c>
      <c r="N3574" t="s">
        <v>22</v>
      </c>
      <c r="O3574" t="s">
        <v>23</v>
      </c>
      <c r="P3574">
        <v>0.86</v>
      </c>
      <c r="Q3574" s="2" t="b">
        <f>FALSE()</f>
        <v>0</v>
      </c>
      <c r="R3574">
        <v>0</v>
      </c>
    </row>
    <row r="3575" spans="1:18" x14ac:dyDescent="0.25">
      <c r="A3575">
        <v>203574</v>
      </c>
      <c r="B3575">
        <v>54437</v>
      </c>
      <c r="C3575" t="s">
        <v>18</v>
      </c>
      <c r="D3575">
        <v>2631.19</v>
      </c>
      <c r="E3575">
        <v>1284</v>
      </c>
      <c r="F3575">
        <v>0</v>
      </c>
      <c r="G3575">
        <v>5</v>
      </c>
      <c r="H3575">
        <v>1</v>
      </c>
      <c r="I3575" t="s">
        <v>19</v>
      </c>
      <c r="J3575">
        <v>0</v>
      </c>
      <c r="K3575">
        <v>74</v>
      </c>
      <c r="L3575" t="s">
        <v>20</v>
      </c>
      <c r="M3575" t="s">
        <v>31</v>
      </c>
      <c r="N3575" t="s">
        <v>26</v>
      </c>
      <c r="O3575" t="s">
        <v>23</v>
      </c>
      <c r="P3575">
        <v>3.98</v>
      </c>
      <c r="Q3575" s="2" t="b">
        <f>FALSE()</f>
        <v>0</v>
      </c>
      <c r="R3575">
        <v>0</v>
      </c>
    </row>
    <row r="3576" spans="1:18" x14ac:dyDescent="0.25">
      <c r="A3576">
        <v>203575</v>
      </c>
      <c r="B3576">
        <v>55051</v>
      </c>
      <c r="C3576" t="s">
        <v>18</v>
      </c>
      <c r="D3576">
        <v>1860.13</v>
      </c>
      <c r="E3576">
        <v>1422</v>
      </c>
      <c r="F3576">
        <v>0</v>
      </c>
      <c r="G3576">
        <v>5</v>
      </c>
      <c r="H3576">
        <v>0</v>
      </c>
      <c r="I3576" t="s">
        <v>33</v>
      </c>
      <c r="J3576">
        <v>0</v>
      </c>
      <c r="K3576">
        <v>68</v>
      </c>
      <c r="L3576" t="s">
        <v>24</v>
      </c>
      <c r="M3576" t="s">
        <v>35</v>
      </c>
      <c r="N3576" t="s">
        <v>22</v>
      </c>
      <c r="O3576" t="s">
        <v>36</v>
      </c>
      <c r="P3576">
        <v>0.48</v>
      </c>
      <c r="Q3576" s="2" t="b">
        <f>FALSE()</f>
        <v>0</v>
      </c>
      <c r="R3576">
        <v>0</v>
      </c>
    </row>
    <row r="3577" spans="1:18" x14ac:dyDescent="0.25">
      <c r="A3577">
        <v>203576</v>
      </c>
      <c r="B3577">
        <v>52947</v>
      </c>
      <c r="C3577" t="s">
        <v>28</v>
      </c>
      <c r="D3577">
        <v>473.26</v>
      </c>
      <c r="E3577">
        <v>3313</v>
      </c>
      <c r="F3577">
        <v>1</v>
      </c>
      <c r="G3577">
        <v>9</v>
      </c>
      <c r="H3577">
        <v>1</v>
      </c>
      <c r="I3577" t="s">
        <v>19</v>
      </c>
      <c r="J3577">
        <v>1</v>
      </c>
      <c r="K3577">
        <v>48</v>
      </c>
      <c r="L3577" t="s">
        <v>24</v>
      </c>
      <c r="M3577" t="s">
        <v>31</v>
      </c>
      <c r="N3577" t="s">
        <v>22</v>
      </c>
      <c r="O3577" t="s">
        <v>27</v>
      </c>
      <c r="P3577">
        <v>0.11</v>
      </c>
      <c r="Q3577" s="2" t="b">
        <f>FALSE()</f>
        <v>0</v>
      </c>
      <c r="R3577">
        <v>1</v>
      </c>
    </row>
    <row r="3578" spans="1:18" x14ac:dyDescent="0.25">
      <c r="A3578">
        <v>203577</v>
      </c>
      <c r="B3578">
        <v>54638</v>
      </c>
      <c r="C3578" t="s">
        <v>18</v>
      </c>
      <c r="D3578">
        <v>1127.1400000000001</v>
      </c>
      <c r="E3578">
        <v>2272</v>
      </c>
      <c r="F3578">
        <v>2</v>
      </c>
      <c r="G3578">
        <v>5</v>
      </c>
      <c r="H3578">
        <v>0</v>
      </c>
      <c r="I3578" t="s">
        <v>33</v>
      </c>
      <c r="J3578">
        <v>0</v>
      </c>
      <c r="K3578">
        <v>30</v>
      </c>
      <c r="L3578" t="s">
        <v>20</v>
      </c>
      <c r="M3578" t="s">
        <v>29</v>
      </c>
      <c r="N3578" t="s">
        <v>22</v>
      </c>
      <c r="O3578" t="s">
        <v>36</v>
      </c>
      <c r="P3578">
        <v>6.01</v>
      </c>
      <c r="Q3578" s="2" t="b">
        <f>FALSE()</f>
        <v>0</v>
      </c>
      <c r="R3578">
        <v>0</v>
      </c>
    </row>
    <row r="3579" spans="1:18" x14ac:dyDescent="0.25">
      <c r="A3579">
        <v>203578</v>
      </c>
      <c r="B3579">
        <v>52511</v>
      </c>
      <c r="C3579" t="s">
        <v>34</v>
      </c>
      <c r="D3579">
        <v>3279.44</v>
      </c>
      <c r="E3579">
        <v>763</v>
      </c>
      <c r="F3579">
        <v>1</v>
      </c>
      <c r="G3579">
        <v>5</v>
      </c>
      <c r="H3579">
        <v>0</v>
      </c>
      <c r="I3579" t="s">
        <v>19</v>
      </c>
      <c r="J3579">
        <v>0</v>
      </c>
      <c r="K3579">
        <v>69</v>
      </c>
      <c r="L3579" t="s">
        <v>24</v>
      </c>
      <c r="M3579" t="s">
        <v>21</v>
      </c>
      <c r="N3579" t="s">
        <v>30</v>
      </c>
      <c r="O3579" t="s">
        <v>27</v>
      </c>
      <c r="P3579">
        <v>0.02</v>
      </c>
      <c r="Q3579" s="2" t="b">
        <f>FALSE()</f>
        <v>0</v>
      </c>
      <c r="R3579">
        <v>0</v>
      </c>
    </row>
    <row r="3580" spans="1:18" x14ac:dyDescent="0.25">
      <c r="A3580">
        <v>203579</v>
      </c>
      <c r="B3580">
        <v>55540</v>
      </c>
      <c r="C3580" t="s">
        <v>18</v>
      </c>
      <c r="D3580">
        <v>1377.83</v>
      </c>
      <c r="E3580">
        <v>997</v>
      </c>
      <c r="F3580">
        <v>1</v>
      </c>
      <c r="G3580">
        <v>4</v>
      </c>
      <c r="H3580">
        <v>0</v>
      </c>
      <c r="I3580" t="s">
        <v>33</v>
      </c>
      <c r="J3580">
        <v>0</v>
      </c>
      <c r="K3580">
        <v>39</v>
      </c>
      <c r="L3580" t="s">
        <v>20</v>
      </c>
      <c r="M3580" t="s">
        <v>37</v>
      </c>
      <c r="N3580" t="s">
        <v>22</v>
      </c>
      <c r="O3580" t="s">
        <v>36</v>
      </c>
      <c r="P3580">
        <v>2.21</v>
      </c>
      <c r="Q3580" s="2" t="b">
        <f>FALSE()</f>
        <v>0</v>
      </c>
      <c r="R3580">
        <v>0</v>
      </c>
    </row>
    <row r="3581" spans="1:18" x14ac:dyDescent="0.25">
      <c r="A3581">
        <v>203580</v>
      </c>
      <c r="B3581">
        <v>54549</v>
      </c>
      <c r="C3581" t="s">
        <v>18</v>
      </c>
      <c r="D3581">
        <v>2617.02</v>
      </c>
      <c r="E3581">
        <v>2484</v>
      </c>
      <c r="F3581">
        <v>0</v>
      </c>
      <c r="G3581">
        <v>6</v>
      </c>
      <c r="H3581">
        <v>0</v>
      </c>
      <c r="I3581" t="s">
        <v>19</v>
      </c>
      <c r="J3581">
        <v>0</v>
      </c>
      <c r="K3581">
        <v>55</v>
      </c>
      <c r="L3581" t="s">
        <v>24</v>
      </c>
      <c r="M3581" t="s">
        <v>37</v>
      </c>
      <c r="N3581" t="s">
        <v>30</v>
      </c>
      <c r="O3581" t="s">
        <v>27</v>
      </c>
      <c r="P3581">
        <v>1.38</v>
      </c>
      <c r="Q3581" s="2" t="b">
        <f>FALSE()</f>
        <v>0</v>
      </c>
      <c r="R3581">
        <v>0</v>
      </c>
    </row>
    <row r="3582" spans="1:18" x14ac:dyDescent="0.25">
      <c r="A3582">
        <v>203581</v>
      </c>
      <c r="B3582">
        <v>53590</v>
      </c>
      <c r="C3582" t="s">
        <v>18</v>
      </c>
      <c r="D3582">
        <v>561.03</v>
      </c>
      <c r="E3582">
        <v>1617</v>
      </c>
      <c r="F3582">
        <v>0</v>
      </c>
      <c r="G3582">
        <v>5</v>
      </c>
      <c r="H3582">
        <v>1</v>
      </c>
      <c r="I3582" t="s">
        <v>33</v>
      </c>
      <c r="J3582">
        <v>0</v>
      </c>
      <c r="K3582">
        <v>77</v>
      </c>
      <c r="L3582" t="s">
        <v>24</v>
      </c>
      <c r="M3582" t="s">
        <v>25</v>
      </c>
      <c r="N3582" t="s">
        <v>22</v>
      </c>
      <c r="O3582" t="s">
        <v>23</v>
      </c>
      <c r="P3582">
        <v>13.24</v>
      </c>
      <c r="Q3582" s="2" t="b">
        <f>FALSE()</f>
        <v>0</v>
      </c>
      <c r="R3582">
        <v>0</v>
      </c>
    </row>
    <row r="3583" spans="1:18" x14ac:dyDescent="0.25">
      <c r="A3583">
        <v>203582</v>
      </c>
      <c r="B3583">
        <v>51463</v>
      </c>
      <c r="C3583" t="s">
        <v>34</v>
      </c>
      <c r="D3583">
        <v>682.03</v>
      </c>
      <c r="E3583">
        <v>3274</v>
      </c>
      <c r="F3583">
        <v>3</v>
      </c>
      <c r="G3583">
        <v>6</v>
      </c>
      <c r="H3583">
        <v>1</v>
      </c>
      <c r="I3583" t="s">
        <v>33</v>
      </c>
      <c r="J3583">
        <v>0</v>
      </c>
      <c r="K3583">
        <v>18</v>
      </c>
      <c r="L3583" t="s">
        <v>20</v>
      </c>
      <c r="M3583" t="s">
        <v>35</v>
      </c>
      <c r="N3583" t="s">
        <v>22</v>
      </c>
      <c r="O3583" t="s">
        <v>36</v>
      </c>
      <c r="P3583">
        <v>4.0199999999999996</v>
      </c>
      <c r="Q3583" s="2" t="b">
        <f>FALSE()</f>
        <v>0</v>
      </c>
      <c r="R3583">
        <v>1</v>
      </c>
    </row>
    <row r="3584" spans="1:18" x14ac:dyDescent="0.25">
      <c r="A3584">
        <v>203583</v>
      </c>
      <c r="B3584">
        <v>52227</v>
      </c>
      <c r="C3584" t="s">
        <v>18</v>
      </c>
      <c r="D3584">
        <v>5770.92</v>
      </c>
      <c r="E3584">
        <v>449</v>
      </c>
      <c r="F3584">
        <v>0</v>
      </c>
      <c r="G3584">
        <v>3</v>
      </c>
      <c r="H3584">
        <v>0</v>
      </c>
      <c r="I3584" t="s">
        <v>33</v>
      </c>
      <c r="J3584">
        <v>0</v>
      </c>
      <c r="K3584">
        <v>63</v>
      </c>
      <c r="L3584" t="s">
        <v>24</v>
      </c>
      <c r="M3584" t="s">
        <v>21</v>
      </c>
      <c r="N3584" t="s">
        <v>22</v>
      </c>
      <c r="O3584" t="s">
        <v>36</v>
      </c>
      <c r="P3584">
        <v>1.97</v>
      </c>
      <c r="Q3584" s="2" t="b">
        <f>FALSE()</f>
        <v>0</v>
      </c>
      <c r="R3584">
        <v>1</v>
      </c>
    </row>
    <row r="3585" spans="1:18" x14ac:dyDescent="0.25">
      <c r="A3585">
        <v>203584</v>
      </c>
      <c r="B3585">
        <v>50159</v>
      </c>
      <c r="C3585" t="s">
        <v>18</v>
      </c>
      <c r="D3585">
        <v>3287.46</v>
      </c>
      <c r="E3585">
        <v>1486</v>
      </c>
      <c r="F3585">
        <v>1</v>
      </c>
      <c r="G3585">
        <v>4</v>
      </c>
      <c r="H3585">
        <v>0</v>
      </c>
      <c r="I3585" t="s">
        <v>33</v>
      </c>
      <c r="J3585">
        <v>0</v>
      </c>
      <c r="K3585">
        <v>34</v>
      </c>
      <c r="L3585" t="s">
        <v>20</v>
      </c>
      <c r="M3585" t="s">
        <v>21</v>
      </c>
      <c r="N3585" t="s">
        <v>30</v>
      </c>
      <c r="O3585" t="s">
        <v>36</v>
      </c>
      <c r="P3585">
        <v>1.94</v>
      </c>
      <c r="Q3585" s="2" t="b">
        <f>FALSE()</f>
        <v>0</v>
      </c>
      <c r="R3585">
        <v>0</v>
      </c>
    </row>
    <row r="3586" spans="1:18" x14ac:dyDescent="0.25">
      <c r="A3586">
        <v>203585</v>
      </c>
      <c r="B3586">
        <v>53273</v>
      </c>
      <c r="C3586" t="s">
        <v>28</v>
      </c>
      <c r="D3586">
        <v>2655.96</v>
      </c>
      <c r="E3586">
        <v>656</v>
      </c>
      <c r="F3586">
        <v>1</v>
      </c>
      <c r="G3586">
        <v>8</v>
      </c>
      <c r="H3586">
        <v>1</v>
      </c>
      <c r="I3586" t="s">
        <v>33</v>
      </c>
      <c r="J3586">
        <v>0</v>
      </c>
      <c r="K3586">
        <v>60</v>
      </c>
      <c r="L3586" t="s">
        <v>24</v>
      </c>
      <c r="M3586" t="s">
        <v>37</v>
      </c>
      <c r="N3586" t="s">
        <v>30</v>
      </c>
      <c r="O3586" t="s">
        <v>36</v>
      </c>
      <c r="P3586">
        <v>0.48</v>
      </c>
      <c r="Q3586" s="2" t="b">
        <f>FALSE()</f>
        <v>0</v>
      </c>
      <c r="R3586">
        <v>1</v>
      </c>
    </row>
    <row r="3587" spans="1:18" x14ac:dyDescent="0.25">
      <c r="A3587">
        <v>203586</v>
      </c>
      <c r="B3587">
        <v>52743</v>
      </c>
      <c r="C3587" t="s">
        <v>34</v>
      </c>
      <c r="D3587">
        <v>2995.8</v>
      </c>
      <c r="E3587">
        <v>3531</v>
      </c>
      <c r="F3587">
        <v>1</v>
      </c>
      <c r="G3587">
        <v>3</v>
      </c>
      <c r="H3587">
        <v>1</v>
      </c>
      <c r="I3587" t="s">
        <v>33</v>
      </c>
      <c r="J3587">
        <v>1</v>
      </c>
      <c r="K3587">
        <v>56</v>
      </c>
      <c r="L3587" t="s">
        <v>24</v>
      </c>
      <c r="M3587" t="s">
        <v>37</v>
      </c>
      <c r="N3587" t="s">
        <v>30</v>
      </c>
      <c r="O3587" t="s">
        <v>27</v>
      </c>
      <c r="P3587">
        <v>9.85</v>
      </c>
      <c r="Q3587" s="2" t="b">
        <f>FALSE()</f>
        <v>0</v>
      </c>
      <c r="R3587">
        <v>0</v>
      </c>
    </row>
    <row r="3588" spans="1:18" x14ac:dyDescent="0.25">
      <c r="A3588">
        <v>203587</v>
      </c>
      <c r="B3588">
        <v>50790</v>
      </c>
      <c r="C3588" t="s">
        <v>28</v>
      </c>
      <c r="D3588">
        <v>3680.97</v>
      </c>
      <c r="E3588">
        <v>735</v>
      </c>
      <c r="F3588">
        <v>2</v>
      </c>
      <c r="G3588">
        <v>3</v>
      </c>
      <c r="H3588">
        <v>0</v>
      </c>
      <c r="I3588" t="s">
        <v>33</v>
      </c>
      <c r="J3588">
        <v>1</v>
      </c>
      <c r="K3588">
        <v>38</v>
      </c>
      <c r="L3588" t="s">
        <v>24</v>
      </c>
      <c r="M3588" t="s">
        <v>31</v>
      </c>
      <c r="N3588" t="s">
        <v>26</v>
      </c>
      <c r="O3588" t="s">
        <v>27</v>
      </c>
      <c r="P3588">
        <v>1.35</v>
      </c>
      <c r="Q3588" s="2" t="b">
        <f>FALSE()</f>
        <v>0</v>
      </c>
      <c r="R3588">
        <v>1</v>
      </c>
    </row>
    <row r="3589" spans="1:18" x14ac:dyDescent="0.25">
      <c r="A3589">
        <v>203588</v>
      </c>
      <c r="B3589">
        <v>50905</v>
      </c>
      <c r="C3589" t="s">
        <v>18</v>
      </c>
      <c r="D3589">
        <v>3058.63</v>
      </c>
      <c r="E3589">
        <v>2614</v>
      </c>
      <c r="F3589">
        <v>1</v>
      </c>
      <c r="G3589">
        <v>4</v>
      </c>
      <c r="H3589">
        <v>0</v>
      </c>
      <c r="I3589" t="s">
        <v>33</v>
      </c>
      <c r="J3589">
        <v>0</v>
      </c>
      <c r="K3589">
        <v>20</v>
      </c>
      <c r="L3589" t="s">
        <v>20</v>
      </c>
      <c r="M3589" t="s">
        <v>37</v>
      </c>
      <c r="N3589" t="s">
        <v>22</v>
      </c>
      <c r="O3589" t="s">
        <v>27</v>
      </c>
      <c r="P3589">
        <v>2.17</v>
      </c>
      <c r="Q3589" s="2" t="b">
        <f>FALSE()</f>
        <v>0</v>
      </c>
      <c r="R3589">
        <v>0</v>
      </c>
    </row>
    <row r="3590" spans="1:18" x14ac:dyDescent="0.25">
      <c r="A3590">
        <v>203589</v>
      </c>
      <c r="B3590">
        <v>55361</v>
      </c>
      <c r="C3590" t="s">
        <v>18</v>
      </c>
      <c r="D3590">
        <v>1911.97</v>
      </c>
      <c r="E3590">
        <v>3565</v>
      </c>
      <c r="F3590">
        <v>0</v>
      </c>
      <c r="G3590">
        <v>6</v>
      </c>
      <c r="H3590">
        <v>0</v>
      </c>
      <c r="I3590" t="s">
        <v>19</v>
      </c>
      <c r="J3590">
        <v>0</v>
      </c>
      <c r="K3590">
        <v>66</v>
      </c>
      <c r="L3590" t="s">
        <v>24</v>
      </c>
      <c r="M3590" t="s">
        <v>35</v>
      </c>
      <c r="N3590" t="s">
        <v>30</v>
      </c>
      <c r="O3590" t="s">
        <v>23</v>
      </c>
      <c r="P3590">
        <v>4.42</v>
      </c>
      <c r="Q3590" s="2" t="b">
        <f>FALSE()</f>
        <v>0</v>
      </c>
      <c r="R3590">
        <v>0</v>
      </c>
    </row>
    <row r="3591" spans="1:18" x14ac:dyDescent="0.25">
      <c r="A3591">
        <v>203590</v>
      </c>
      <c r="B3591">
        <v>51638</v>
      </c>
      <c r="C3591" t="s">
        <v>34</v>
      </c>
      <c r="D3591">
        <v>2451.63</v>
      </c>
      <c r="E3591">
        <v>1442</v>
      </c>
      <c r="F3591">
        <v>2</v>
      </c>
      <c r="G3591">
        <v>9</v>
      </c>
      <c r="H3591">
        <v>0</v>
      </c>
      <c r="I3591" t="s">
        <v>19</v>
      </c>
      <c r="J3591">
        <v>0</v>
      </c>
      <c r="K3591">
        <v>27</v>
      </c>
      <c r="L3591" t="s">
        <v>24</v>
      </c>
      <c r="M3591" t="s">
        <v>35</v>
      </c>
      <c r="N3591" t="s">
        <v>30</v>
      </c>
      <c r="O3591" t="s">
        <v>27</v>
      </c>
      <c r="P3591">
        <v>0.35</v>
      </c>
      <c r="Q3591" s="2" t="b">
        <f>FALSE()</f>
        <v>0</v>
      </c>
      <c r="R3591">
        <v>1</v>
      </c>
    </row>
    <row r="3592" spans="1:18" x14ac:dyDescent="0.25">
      <c r="A3592">
        <v>203591</v>
      </c>
      <c r="B3592">
        <v>55131</v>
      </c>
      <c r="C3592" t="s">
        <v>34</v>
      </c>
      <c r="D3592">
        <v>284.41000000000003</v>
      </c>
      <c r="E3592">
        <v>3552</v>
      </c>
      <c r="F3592">
        <v>1</v>
      </c>
      <c r="G3592">
        <v>3</v>
      </c>
      <c r="H3592">
        <v>0</v>
      </c>
      <c r="I3592" t="s">
        <v>19</v>
      </c>
      <c r="J3592">
        <v>0</v>
      </c>
      <c r="K3592">
        <v>31</v>
      </c>
      <c r="L3592" t="s">
        <v>20</v>
      </c>
      <c r="M3592" t="s">
        <v>21</v>
      </c>
      <c r="N3592" t="s">
        <v>30</v>
      </c>
      <c r="O3592" t="s">
        <v>27</v>
      </c>
      <c r="P3592">
        <v>12.22</v>
      </c>
      <c r="Q3592" s="2" t="b">
        <f>FALSE()</f>
        <v>0</v>
      </c>
      <c r="R3592">
        <v>0</v>
      </c>
    </row>
    <row r="3593" spans="1:18" x14ac:dyDescent="0.25">
      <c r="A3593">
        <v>203592</v>
      </c>
      <c r="B3593">
        <v>54343</v>
      </c>
      <c r="C3593" t="s">
        <v>18</v>
      </c>
      <c r="D3593">
        <v>3238.29</v>
      </c>
      <c r="E3593">
        <v>615</v>
      </c>
      <c r="F3593">
        <v>0</v>
      </c>
      <c r="G3593">
        <v>3</v>
      </c>
      <c r="H3593">
        <v>0</v>
      </c>
      <c r="I3593" t="s">
        <v>33</v>
      </c>
      <c r="J3593">
        <v>0</v>
      </c>
      <c r="K3593">
        <v>82</v>
      </c>
      <c r="L3593" t="s">
        <v>24</v>
      </c>
      <c r="M3593" t="s">
        <v>21</v>
      </c>
      <c r="N3593" t="s">
        <v>22</v>
      </c>
      <c r="O3593" t="s">
        <v>27</v>
      </c>
      <c r="P3593">
        <v>2.89</v>
      </c>
      <c r="Q3593" s="2" t="b">
        <f>FALSE()</f>
        <v>0</v>
      </c>
      <c r="R3593">
        <v>0</v>
      </c>
    </row>
    <row r="3594" spans="1:18" x14ac:dyDescent="0.25">
      <c r="A3594">
        <v>203593</v>
      </c>
      <c r="B3594">
        <v>51471</v>
      </c>
      <c r="C3594" t="s">
        <v>18</v>
      </c>
      <c r="D3594">
        <v>868.75</v>
      </c>
      <c r="E3594">
        <v>1347</v>
      </c>
      <c r="F3594">
        <v>1</v>
      </c>
      <c r="G3594">
        <v>7</v>
      </c>
      <c r="H3594">
        <v>1</v>
      </c>
      <c r="I3594" t="s">
        <v>33</v>
      </c>
      <c r="J3594">
        <v>0</v>
      </c>
      <c r="K3594">
        <v>21</v>
      </c>
      <c r="L3594" t="s">
        <v>20</v>
      </c>
      <c r="M3594" t="s">
        <v>37</v>
      </c>
      <c r="N3594" t="s">
        <v>22</v>
      </c>
      <c r="O3594" t="s">
        <v>36</v>
      </c>
      <c r="P3594">
        <v>5.96</v>
      </c>
      <c r="Q3594" s="2" t="b">
        <f>FALSE()</f>
        <v>0</v>
      </c>
      <c r="R3594">
        <v>1</v>
      </c>
    </row>
    <row r="3595" spans="1:18" x14ac:dyDescent="0.25">
      <c r="A3595">
        <v>203594</v>
      </c>
      <c r="B3595">
        <v>50570</v>
      </c>
      <c r="C3595" t="s">
        <v>34</v>
      </c>
      <c r="D3595">
        <v>2721.83</v>
      </c>
      <c r="E3595">
        <v>2761</v>
      </c>
      <c r="F3595">
        <v>0</v>
      </c>
      <c r="G3595">
        <v>3</v>
      </c>
      <c r="H3595">
        <v>0</v>
      </c>
      <c r="I3595" t="s">
        <v>33</v>
      </c>
      <c r="J3595">
        <v>0</v>
      </c>
      <c r="K3595">
        <v>83</v>
      </c>
      <c r="L3595" t="s">
        <v>24</v>
      </c>
      <c r="M3595" t="s">
        <v>35</v>
      </c>
      <c r="N3595" t="s">
        <v>22</v>
      </c>
      <c r="O3595" t="s">
        <v>36</v>
      </c>
      <c r="P3595">
        <v>0.45</v>
      </c>
      <c r="Q3595" s="2" t="b">
        <f>FALSE()</f>
        <v>0</v>
      </c>
      <c r="R3595">
        <v>0</v>
      </c>
    </row>
    <row r="3596" spans="1:18" x14ac:dyDescent="0.25">
      <c r="A3596">
        <v>203595</v>
      </c>
      <c r="B3596">
        <v>54958</v>
      </c>
      <c r="C3596" t="s">
        <v>18</v>
      </c>
      <c r="D3596">
        <v>2783.44</v>
      </c>
      <c r="E3596">
        <v>1183</v>
      </c>
      <c r="F3596">
        <v>2</v>
      </c>
      <c r="G3596">
        <v>3</v>
      </c>
      <c r="H3596">
        <v>0</v>
      </c>
      <c r="I3596" t="s">
        <v>33</v>
      </c>
      <c r="J3596">
        <v>0</v>
      </c>
      <c r="K3596">
        <v>31</v>
      </c>
      <c r="L3596" t="s">
        <v>20</v>
      </c>
      <c r="M3596" t="s">
        <v>35</v>
      </c>
      <c r="N3596" t="s">
        <v>22</v>
      </c>
      <c r="O3596" t="s">
        <v>23</v>
      </c>
      <c r="P3596">
        <v>0.75</v>
      </c>
      <c r="Q3596" s="2" t="b">
        <f>FALSE()</f>
        <v>0</v>
      </c>
      <c r="R3596">
        <v>0</v>
      </c>
    </row>
    <row r="3597" spans="1:18" x14ac:dyDescent="0.25">
      <c r="A3597">
        <v>203596</v>
      </c>
      <c r="B3597">
        <v>50035</v>
      </c>
      <c r="C3597" t="s">
        <v>18</v>
      </c>
      <c r="D3597">
        <v>2177.5100000000002</v>
      </c>
      <c r="E3597">
        <v>1372</v>
      </c>
      <c r="F3597">
        <v>1</v>
      </c>
      <c r="G3597">
        <v>8</v>
      </c>
      <c r="H3597">
        <v>0</v>
      </c>
      <c r="I3597" t="s">
        <v>33</v>
      </c>
      <c r="J3597">
        <v>0</v>
      </c>
      <c r="K3597">
        <v>41</v>
      </c>
      <c r="L3597" t="s">
        <v>20</v>
      </c>
      <c r="M3597" t="s">
        <v>37</v>
      </c>
      <c r="N3597" t="s">
        <v>30</v>
      </c>
      <c r="O3597" t="s">
        <v>27</v>
      </c>
      <c r="P3597">
        <v>0.25</v>
      </c>
      <c r="Q3597" s="2" t="b">
        <f>FALSE()</f>
        <v>0</v>
      </c>
      <c r="R3597">
        <v>1</v>
      </c>
    </row>
    <row r="3598" spans="1:18" x14ac:dyDescent="0.25">
      <c r="A3598">
        <v>203597</v>
      </c>
      <c r="B3598">
        <v>55182</v>
      </c>
      <c r="C3598" t="s">
        <v>34</v>
      </c>
      <c r="D3598">
        <v>1526.21</v>
      </c>
      <c r="E3598">
        <v>2654</v>
      </c>
      <c r="F3598">
        <v>0</v>
      </c>
      <c r="G3598">
        <v>5</v>
      </c>
      <c r="H3598">
        <v>0</v>
      </c>
      <c r="I3598" t="s">
        <v>33</v>
      </c>
      <c r="J3598">
        <v>0</v>
      </c>
      <c r="K3598">
        <v>30</v>
      </c>
      <c r="L3598" t="s">
        <v>24</v>
      </c>
      <c r="M3598" t="s">
        <v>25</v>
      </c>
      <c r="N3598" t="s">
        <v>22</v>
      </c>
      <c r="O3598" t="s">
        <v>27</v>
      </c>
      <c r="P3598">
        <v>4.49</v>
      </c>
      <c r="Q3598" s="2" t="b">
        <f>FALSE()</f>
        <v>0</v>
      </c>
      <c r="R3598">
        <v>0</v>
      </c>
    </row>
    <row r="3599" spans="1:18" x14ac:dyDescent="0.25">
      <c r="A3599">
        <v>203598</v>
      </c>
      <c r="B3599">
        <v>52901</v>
      </c>
      <c r="C3599" t="s">
        <v>34</v>
      </c>
      <c r="D3599">
        <v>3598.66</v>
      </c>
      <c r="E3599">
        <v>280</v>
      </c>
      <c r="F3599">
        <v>2</v>
      </c>
      <c r="G3599">
        <v>8</v>
      </c>
      <c r="H3599">
        <v>0</v>
      </c>
      <c r="I3599" t="s">
        <v>33</v>
      </c>
      <c r="J3599">
        <v>0</v>
      </c>
      <c r="K3599">
        <v>55</v>
      </c>
      <c r="L3599" t="s">
        <v>20</v>
      </c>
      <c r="M3599" t="s">
        <v>29</v>
      </c>
      <c r="N3599" t="s">
        <v>22</v>
      </c>
      <c r="O3599" t="s">
        <v>36</v>
      </c>
      <c r="P3599">
        <v>0.7</v>
      </c>
      <c r="Q3599" s="2" t="b">
        <f>FALSE()</f>
        <v>0</v>
      </c>
      <c r="R3599">
        <v>1</v>
      </c>
    </row>
    <row r="3600" spans="1:18" x14ac:dyDescent="0.25">
      <c r="A3600">
        <v>203599</v>
      </c>
      <c r="B3600">
        <v>53450</v>
      </c>
      <c r="C3600" t="s">
        <v>18</v>
      </c>
      <c r="D3600">
        <v>1033.23</v>
      </c>
      <c r="E3600">
        <v>1991</v>
      </c>
      <c r="F3600">
        <v>0</v>
      </c>
      <c r="G3600">
        <v>3</v>
      </c>
      <c r="H3600">
        <v>1</v>
      </c>
      <c r="I3600" t="s">
        <v>32</v>
      </c>
      <c r="J3600">
        <v>0</v>
      </c>
      <c r="K3600">
        <v>38</v>
      </c>
      <c r="L3600" t="s">
        <v>20</v>
      </c>
      <c r="M3600" t="s">
        <v>35</v>
      </c>
      <c r="N3600" t="s">
        <v>22</v>
      </c>
      <c r="O3600" t="s">
        <v>23</v>
      </c>
      <c r="P3600">
        <v>0.26</v>
      </c>
      <c r="Q3600" s="2" t="b">
        <f>FALSE()</f>
        <v>0</v>
      </c>
      <c r="R3600">
        <v>0</v>
      </c>
    </row>
    <row r="3601" spans="1:18" x14ac:dyDescent="0.25">
      <c r="A3601">
        <v>203600</v>
      </c>
      <c r="B3601">
        <v>55423</v>
      </c>
      <c r="C3601" t="s">
        <v>34</v>
      </c>
      <c r="D3601">
        <v>4046.19</v>
      </c>
      <c r="E3601">
        <v>497</v>
      </c>
      <c r="F3601">
        <v>2</v>
      </c>
      <c r="G3601">
        <v>3</v>
      </c>
      <c r="H3601">
        <v>0</v>
      </c>
      <c r="I3601" t="s">
        <v>33</v>
      </c>
      <c r="J3601">
        <v>0</v>
      </c>
      <c r="K3601">
        <v>69</v>
      </c>
      <c r="L3601" t="s">
        <v>20</v>
      </c>
      <c r="M3601" t="s">
        <v>37</v>
      </c>
      <c r="N3601" t="s">
        <v>26</v>
      </c>
      <c r="O3601" t="s">
        <v>27</v>
      </c>
      <c r="P3601">
        <v>0.02</v>
      </c>
      <c r="Q3601" s="2" t="b">
        <f>FALSE()</f>
        <v>0</v>
      </c>
      <c r="R3601">
        <v>1</v>
      </c>
    </row>
    <row r="3602" spans="1:18" x14ac:dyDescent="0.25">
      <c r="A3602">
        <v>203601</v>
      </c>
      <c r="B3602">
        <v>54134</v>
      </c>
      <c r="C3602" t="s">
        <v>18</v>
      </c>
      <c r="D3602">
        <v>3247.91</v>
      </c>
      <c r="E3602">
        <v>1446</v>
      </c>
      <c r="F3602">
        <v>0</v>
      </c>
      <c r="G3602">
        <v>2</v>
      </c>
      <c r="H3602">
        <v>0</v>
      </c>
      <c r="I3602" t="s">
        <v>33</v>
      </c>
      <c r="J3602">
        <v>0</v>
      </c>
      <c r="K3602">
        <v>67</v>
      </c>
      <c r="L3602" t="s">
        <v>24</v>
      </c>
      <c r="M3602" t="s">
        <v>25</v>
      </c>
      <c r="N3602" t="s">
        <v>22</v>
      </c>
      <c r="O3602" t="s">
        <v>36</v>
      </c>
      <c r="P3602">
        <v>0.38</v>
      </c>
      <c r="Q3602" s="2" t="b">
        <f>FALSE()</f>
        <v>0</v>
      </c>
      <c r="R3602">
        <v>0</v>
      </c>
    </row>
    <row r="3603" spans="1:18" x14ac:dyDescent="0.25">
      <c r="A3603">
        <v>203602</v>
      </c>
      <c r="B3603">
        <v>53471</v>
      </c>
      <c r="C3603" t="s">
        <v>28</v>
      </c>
      <c r="D3603">
        <v>757.02</v>
      </c>
      <c r="E3603">
        <v>1898</v>
      </c>
      <c r="F3603">
        <v>1</v>
      </c>
      <c r="G3603">
        <v>6</v>
      </c>
      <c r="H3603">
        <v>1</v>
      </c>
      <c r="I3603" t="s">
        <v>33</v>
      </c>
      <c r="J3603">
        <v>0</v>
      </c>
      <c r="K3603">
        <v>24</v>
      </c>
      <c r="L3603" t="s">
        <v>24</v>
      </c>
      <c r="M3603" t="s">
        <v>25</v>
      </c>
      <c r="N3603" t="s">
        <v>22</v>
      </c>
      <c r="O3603" t="s">
        <v>27</v>
      </c>
      <c r="P3603">
        <v>2.42</v>
      </c>
      <c r="Q3603" s="2" t="b">
        <f>FALSE()</f>
        <v>0</v>
      </c>
      <c r="R3603">
        <v>0</v>
      </c>
    </row>
    <row r="3604" spans="1:18" x14ac:dyDescent="0.25">
      <c r="A3604">
        <v>203603</v>
      </c>
      <c r="B3604">
        <v>51881</v>
      </c>
      <c r="C3604" t="s">
        <v>34</v>
      </c>
      <c r="D3604">
        <v>3135.34</v>
      </c>
      <c r="E3604">
        <v>2006</v>
      </c>
      <c r="F3604">
        <v>0</v>
      </c>
      <c r="G3604">
        <v>3</v>
      </c>
      <c r="H3604">
        <v>0</v>
      </c>
      <c r="I3604" t="s">
        <v>33</v>
      </c>
      <c r="J3604">
        <v>0</v>
      </c>
      <c r="K3604">
        <v>25</v>
      </c>
      <c r="L3604" t="s">
        <v>24</v>
      </c>
      <c r="M3604" t="s">
        <v>31</v>
      </c>
      <c r="N3604" t="s">
        <v>22</v>
      </c>
      <c r="O3604" t="s">
        <v>36</v>
      </c>
      <c r="P3604">
        <v>3.16</v>
      </c>
      <c r="Q3604" s="2" t="b">
        <f>FALSE()</f>
        <v>0</v>
      </c>
      <c r="R3604">
        <v>0</v>
      </c>
    </row>
    <row r="3605" spans="1:18" x14ac:dyDescent="0.25">
      <c r="A3605">
        <v>203604</v>
      </c>
      <c r="B3605">
        <v>55172</v>
      </c>
      <c r="C3605" t="s">
        <v>18</v>
      </c>
      <c r="D3605">
        <v>3889.98</v>
      </c>
      <c r="E3605">
        <v>1260</v>
      </c>
      <c r="F3605">
        <v>0</v>
      </c>
      <c r="G3605">
        <v>7</v>
      </c>
      <c r="H3605">
        <v>1</v>
      </c>
      <c r="I3605" t="s">
        <v>33</v>
      </c>
      <c r="J3605">
        <v>0</v>
      </c>
      <c r="K3605">
        <v>51</v>
      </c>
      <c r="L3605" t="s">
        <v>20</v>
      </c>
      <c r="M3605" t="s">
        <v>37</v>
      </c>
      <c r="N3605" t="s">
        <v>30</v>
      </c>
      <c r="O3605" t="s">
        <v>36</v>
      </c>
      <c r="P3605">
        <v>0.65</v>
      </c>
      <c r="Q3605" s="2" t="b">
        <f>FALSE()</f>
        <v>0</v>
      </c>
      <c r="R3605">
        <v>1</v>
      </c>
    </row>
    <row r="3606" spans="1:18" x14ac:dyDescent="0.25">
      <c r="A3606">
        <v>203605</v>
      </c>
      <c r="B3606">
        <v>55632</v>
      </c>
      <c r="C3606" t="s">
        <v>34</v>
      </c>
      <c r="D3606">
        <v>1431.74</v>
      </c>
      <c r="E3606">
        <v>2175</v>
      </c>
      <c r="F3606">
        <v>0</v>
      </c>
      <c r="G3606">
        <v>5</v>
      </c>
      <c r="H3606">
        <v>0</v>
      </c>
      <c r="I3606" t="s">
        <v>33</v>
      </c>
      <c r="J3606">
        <v>0</v>
      </c>
      <c r="K3606">
        <v>48</v>
      </c>
      <c r="L3606" t="s">
        <v>24</v>
      </c>
      <c r="M3606" t="s">
        <v>31</v>
      </c>
      <c r="N3606" t="s">
        <v>22</v>
      </c>
      <c r="O3606" t="s">
        <v>36</v>
      </c>
      <c r="P3606">
        <v>0.8</v>
      </c>
      <c r="Q3606" s="2" t="b">
        <f>FALSE()</f>
        <v>0</v>
      </c>
      <c r="R3606">
        <v>0</v>
      </c>
    </row>
    <row r="3607" spans="1:18" x14ac:dyDescent="0.25">
      <c r="A3607">
        <v>203606</v>
      </c>
      <c r="B3607">
        <v>50785</v>
      </c>
      <c r="C3607" t="s">
        <v>34</v>
      </c>
      <c r="D3607">
        <v>4223.97</v>
      </c>
      <c r="E3607">
        <v>89</v>
      </c>
      <c r="F3607">
        <v>2</v>
      </c>
      <c r="G3607">
        <v>3</v>
      </c>
      <c r="H3607">
        <v>0</v>
      </c>
      <c r="I3607" t="s">
        <v>33</v>
      </c>
      <c r="J3607">
        <v>0</v>
      </c>
      <c r="K3607">
        <v>34</v>
      </c>
      <c r="L3607" t="s">
        <v>20</v>
      </c>
      <c r="M3607" t="s">
        <v>35</v>
      </c>
      <c r="N3607" t="s">
        <v>30</v>
      </c>
      <c r="O3607" t="s">
        <v>27</v>
      </c>
      <c r="P3607">
        <v>0.25</v>
      </c>
      <c r="Q3607" s="2" t="b">
        <f>FALSE()</f>
        <v>0</v>
      </c>
      <c r="R3607">
        <v>1</v>
      </c>
    </row>
    <row r="3608" spans="1:18" x14ac:dyDescent="0.25">
      <c r="A3608">
        <v>203607</v>
      </c>
      <c r="B3608">
        <v>53749</v>
      </c>
      <c r="C3608" t="s">
        <v>18</v>
      </c>
      <c r="D3608">
        <v>1051.01</v>
      </c>
      <c r="E3608">
        <v>1678</v>
      </c>
      <c r="F3608">
        <v>2</v>
      </c>
      <c r="G3608">
        <v>4</v>
      </c>
      <c r="H3608">
        <v>1</v>
      </c>
      <c r="I3608" t="s">
        <v>33</v>
      </c>
      <c r="J3608">
        <v>0</v>
      </c>
      <c r="K3608">
        <v>74</v>
      </c>
      <c r="L3608" t="s">
        <v>20</v>
      </c>
      <c r="M3608" t="s">
        <v>29</v>
      </c>
      <c r="N3608" t="s">
        <v>30</v>
      </c>
      <c r="O3608" t="s">
        <v>27</v>
      </c>
      <c r="P3608">
        <v>3.59</v>
      </c>
      <c r="Q3608" s="2" t="b">
        <f>FALSE()</f>
        <v>0</v>
      </c>
      <c r="R3608">
        <v>0</v>
      </c>
    </row>
    <row r="3609" spans="1:18" x14ac:dyDescent="0.25">
      <c r="A3609">
        <v>203608</v>
      </c>
      <c r="B3609">
        <v>55865</v>
      </c>
      <c r="C3609" t="s">
        <v>34</v>
      </c>
      <c r="D3609">
        <v>2089.83</v>
      </c>
      <c r="E3609">
        <v>2676</v>
      </c>
      <c r="F3609">
        <v>1</v>
      </c>
      <c r="G3609">
        <v>2</v>
      </c>
      <c r="H3609">
        <v>0</v>
      </c>
      <c r="I3609" t="s">
        <v>33</v>
      </c>
      <c r="J3609">
        <v>0</v>
      </c>
      <c r="K3609">
        <v>62</v>
      </c>
      <c r="L3609" t="s">
        <v>24</v>
      </c>
      <c r="M3609" t="s">
        <v>31</v>
      </c>
      <c r="N3609" t="s">
        <v>26</v>
      </c>
      <c r="O3609" t="s">
        <v>27</v>
      </c>
      <c r="P3609">
        <v>0.46</v>
      </c>
      <c r="Q3609" s="2" t="b">
        <f>FALSE()</f>
        <v>0</v>
      </c>
      <c r="R3609">
        <v>0</v>
      </c>
    </row>
    <row r="3610" spans="1:18" x14ac:dyDescent="0.25">
      <c r="A3610">
        <v>203609</v>
      </c>
      <c r="B3610">
        <v>55166</v>
      </c>
      <c r="C3610" t="s">
        <v>18</v>
      </c>
      <c r="D3610">
        <v>2052.67</v>
      </c>
      <c r="E3610">
        <v>2405</v>
      </c>
      <c r="F3610">
        <v>0</v>
      </c>
      <c r="G3610">
        <v>5</v>
      </c>
      <c r="H3610">
        <v>1</v>
      </c>
      <c r="I3610" t="s">
        <v>33</v>
      </c>
      <c r="J3610">
        <v>0</v>
      </c>
      <c r="K3610">
        <v>33</v>
      </c>
      <c r="L3610" t="s">
        <v>20</v>
      </c>
      <c r="M3610" t="s">
        <v>25</v>
      </c>
      <c r="N3610" t="s">
        <v>22</v>
      </c>
      <c r="O3610" t="s">
        <v>27</v>
      </c>
      <c r="P3610">
        <v>0.37</v>
      </c>
      <c r="Q3610" s="2" t="b">
        <f>FALSE()</f>
        <v>0</v>
      </c>
      <c r="R3610">
        <v>0</v>
      </c>
    </row>
    <row r="3611" spans="1:18" x14ac:dyDescent="0.25">
      <c r="A3611">
        <v>203610</v>
      </c>
      <c r="B3611">
        <v>51846</v>
      </c>
      <c r="C3611" t="s">
        <v>18</v>
      </c>
      <c r="D3611">
        <v>1397.94</v>
      </c>
      <c r="E3611">
        <v>3349</v>
      </c>
      <c r="F3611">
        <v>3</v>
      </c>
      <c r="G3611">
        <v>7</v>
      </c>
      <c r="H3611">
        <v>1</v>
      </c>
      <c r="I3611" t="s">
        <v>33</v>
      </c>
      <c r="J3611">
        <v>0</v>
      </c>
      <c r="K3611">
        <v>80</v>
      </c>
      <c r="L3611" t="s">
        <v>24</v>
      </c>
      <c r="M3611" t="s">
        <v>35</v>
      </c>
      <c r="N3611" t="s">
        <v>22</v>
      </c>
      <c r="O3611" t="s">
        <v>36</v>
      </c>
      <c r="P3611">
        <v>0.25</v>
      </c>
      <c r="Q3611" s="2" t="b">
        <f>FALSE()</f>
        <v>0</v>
      </c>
      <c r="R3611">
        <v>1</v>
      </c>
    </row>
    <row r="3612" spans="1:18" x14ac:dyDescent="0.25">
      <c r="A3612">
        <v>203611</v>
      </c>
      <c r="B3612">
        <v>50577</v>
      </c>
      <c r="C3612" t="s">
        <v>18</v>
      </c>
      <c r="D3612">
        <v>5956.67</v>
      </c>
      <c r="E3612">
        <v>876</v>
      </c>
      <c r="F3612">
        <v>4</v>
      </c>
      <c r="G3612">
        <v>3</v>
      </c>
      <c r="H3612">
        <v>0</v>
      </c>
      <c r="I3612" t="s">
        <v>33</v>
      </c>
      <c r="J3612">
        <v>1</v>
      </c>
      <c r="K3612">
        <v>27</v>
      </c>
      <c r="L3612" t="s">
        <v>24</v>
      </c>
      <c r="M3612" t="s">
        <v>29</v>
      </c>
      <c r="N3612" t="s">
        <v>22</v>
      </c>
      <c r="O3612" t="s">
        <v>27</v>
      </c>
      <c r="P3612">
        <v>0.12</v>
      </c>
      <c r="Q3612" s="2" t="b">
        <f>FALSE()</f>
        <v>0</v>
      </c>
      <c r="R3612">
        <v>1</v>
      </c>
    </row>
    <row r="3613" spans="1:18" x14ac:dyDescent="0.25">
      <c r="A3613">
        <v>203612</v>
      </c>
      <c r="B3613">
        <v>50164</v>
      </c>
      <c r="C3613" t="s">
        <v>34</v>
      </c>
      <c r="D3613">
        <v>2723.39</v>
      </c>
      <c r="E3613">
        <v>1399</v>
      </c>
      <c r="F3613">
        <v>2</v>
      </c>
      <c r="G3613">
        <v>3</v>
      </c>
      <c r="H3613">
        <v>0</v>
      </c>
      <c r="I3613" t="s">
        <v>33</v>
      </c>
      <c r="J3613">
        <v>0</v>
      </c>
      <c r="K3613">
        <v>74</v>
      </c>
      <c r="L3613" t="s">
        <v>20</v>
      </c>
      <c r="M3613" t="s">
        <v>35</v>
      </c>
      <c r="N3613" t="s">
        <v>22</v>
      </c>
      <c r="O3613" t="s">
        <v>36</v>
      </c>
      <c r="P3613">
        <v>11.49</v>
      </c>
      <c r="Q3613" s="2" t="b">
        <f>FALSE()</f>
        <v>0</v>
      </c>
      <c r="R3613">
        <v>0</v>
      </c>
    </row>
    <row r="3614" spans="1:18" x14ac:dyDescent="0.25">
      <c r="A3614">
        <v>203613</v>
      </c>
      <c r="B3614">
        <v>54947</v>
      </c>
      <c r="C3614" t="s">
        <v>18</v>
      </c>
      <c r="D3614">
        <v>4375.4799999999996</v>
      </c>
      <c r="E3614">
        <v>185</v>
      </c>
      <c r="F3614">
        <v>1</v>
      </c>
      <c r="G3614">
        <v>4</v>
      </c>
      <c r="H3614">
        <v>0</v>
      </c>
      <c r="I3614" t="s">
        <v>33</v>
      </c>
      <c r="J3614">
        <v>0</v>
      </c>
      <c r="K3614">
        <v>32</v>
      </c>
      <c r="L3614" t="s">
        <v>24</v>
      </c>
      <c r="M3614" t="s">
        <v>25</v>
      </c>
      <c r="N3614" t="s">
        <v>30</v>
      </c>
      <c r="O3614" t="s">
        <v>36</v>
      </c>
      <c r="P3614">
        <v>0.6</v>
      </c>
      <c r="Q3614" s="2" t="b">
        <f>FALSE()</f>
        <v>0</v>
      </c>
      <c r="R3614">
        <v>1</v>
      </c>
    </row>
    <row r="3615" spans="1:18" x14ac:dyDescent="0.25">
      <c r="A3615">
        <v>203614</v>
      </c>
      <c r="B3615">
        <v>55789</v>
      </c>
      <c r="C3615" t="s">
        <v>18</v>
      </c>
      <c r="D3615">
        <v>1393.67</v>
      </c>
      <c r="E3615">
        <v>2122</v>
      </c>
      <c r="F3615">
        <v>1</v>
      </c>
      <c r="G3615">
        <v>3</v>
      </c>
      <c r="H3615">
        <v>1</v>
      </c>
      <c r="I3615" t="s">
        <v>19</v>
      </c>
      <c r="J3615">
        <v>0</v>
      </c>
      <c r="K3615">
        <v>46</v>
      </c>
      <c r="L3615" t="s">
        <v>20</v>
      </c>
      <c r="M3615" t="s">
        <v>25</v>
      </c>
      <c r="N3615" t="s">
        <v>30</v>
      </c>
      <c r="O3615" t="s">
        <v>36</v>
      </c>
      <c r="P3615">
        <v>2.39</v>
      </c>
      <c r="Q3615" s="2" t="b">
        <f>FALSE()</f>
        <v>0</v>
      </c>
      <c r="R3615">
        <v>0</v>
      </c>
    </row>
    <row r="3616" spans="1:18" x14ac:dyDescent="0.25">
      <c r="A3616">
        <v>203615</v>
      </c>
      <c r="B3616">
        <v>50367</v>
      </c>
      <c r="C3616" t="s">
        <v>34</v>
      </c>
      <c r="D3616">
        <v>3143.19</v>
      </c>
      <c r="E3616">
        <v>1074</v>
      </c>
      <c r="F3616">
        <v>1</v>
      </c>
      <c r="G3616">
        <v>3</v>
      </c>
      <c r="H3616">
        <v>1</v>
      </c>
      <c r="I3616" t="s">
        <v>19</v>
      </c>
      <c r="J3616">
        <v>0</v>
      </c>
      <c r="K3616">
        <v>59</v>
      </c>
      <c r="L3616" t="s">
        <v>20</v>
      </c>
      <c r="M3616" t="s">
        <v>25</v>
      </c>
      <c r="N3616" t="s">
        <v>30</v>
      </c>
      <c r="O3616" t="s">
        <v>36</v>
      </c>
      <c r="P3616">
        <v>0.94</v>
      </c>
      <c r="Q3616" s="2" t="b">
        <f>FALSE()</f>
        <v>0</v>
      </c>
      <c r="R3616">
        <v>0</v>
      </c>
    </row>
    <row r="3617" spans="1:18" x14ac:dyDescent="0.25">
      <c r="A3617">
        <v>203616</v>
      </c>
      <c r="B3617">
        <v>53345</v>
      </c>
      <c r="C3617" t="s">
        <v>34</v>
      </c>
      <c r="D3617">
        <v>205.67</v>
      </c>
      <c r="E3617">
        <v>2912</v>
      </c>
      <c r="F3617">
        <v>1</v>
      </c>
      <c r="G3617">
        <v>5</v>
      </c>
      <c r="H3617">
        <v>0</v>
      </c>
      <c r="I3617" t="s">
        <v>33</v>
      </c>
      <c r="J3617">
        <v>0</v>
      </c>
      <c r="K3617">
        <v>25</v>
      </c>
      <c r="L3617" t="s">
        <v>20</v>
      </c>
      <c r="M3617" t="s">
        <v>37</v>
      </c>
      <c r="N3617" t="s">
        <v>22</v>
      </c>
      <c r="O3617" t="s">
        <v>36</v>
      </c>
      <c r="P3617">
        <v>3.02</v>
      </c>
      <c r="Q3617" s="2" t="b">
        <f>FALSE()</f>
        <v>0</v>
      </c>
      <c r="R3617">
        <v>0</v>
      </c>
    </row>
    <row r="3618" spans="1:18" x14ac:dyDescent="0.25">
      <c r="A3618">
        <v>203617</v>
      </c>
      <c r="B3618">
        <v>55883</v>
      </c>
      <c r="C3618" t="s">
        <v>34</v>
      </c>
      <c r="D3618">
        <v>3256.44</v>
      </c>
      <c r="E3618">
        <v>2300</v>
      </c>
      <c r="F3618">
        <v>1</v>
      </c>
      <c r="G3618">
        <v>5</v>
      </c>
      <c r="H3618">
        <v>0</v>
      </c>
      <c r="I3618" t="s">
        <v>33</v>
      </c>
      <c r="J3618">
        <v>0</v>
      </c>
      <c r="K3618">
        <v>50</v>
      </c>
      <c r="L3618" t="s">
        <v>20</v>
      </c>
      <c r="M3618" t="s">
        <v>29</v>
      </c>
      <c r="N3618" t="s">
        <v>30</v>
      </c>
      <c r="O3618" t="s">
        <v>23</v>
      </c>
      <c r="P3618">
        <v>0.95</v>
      </c>
      <c r="Q3618" s="2" t="b">
        <f>FALSE()</f>
        <v>0</v>
      </c>
      <c r="R3618">
        <v>0</v>
      </c>
    </row>
    <row r="3619" spans="1:18" x14ac:dyDescent="0.25">
      <c r="A3619">
        <v>203618</v>
      </c>
      <c r="B3619">
        <v>51248</v>
      </c>
      <c r="C3619" t="s">
        <v>34</v>
      </c>
      <c r="D3619">
        <v>2349.3200000000002</v>
      </c>
      <c r="E3619">
        <v>2394</v>
      </c>
      <c r="F3619">
        <v>1</v>
      </c>
      <c r="G3619">
        <v>0</v>
      </c>
      <c r="H3619">
        <v>1</v>
      </c>
      <c r="I3619" t="s">
        <v>33</v>
      </c>
      <c r="J3619">
        <v>1</v>
      </c>
      <c r="K3619">
        <v>69</v>
      </c>
      <c r="L3619" t="s">
        <v>24</v>
      </c>
      <c r="M3619" t="s">
        <v>35</v>
      </c>
      <c r="N3619" t="s">
        <v>26</v>
      </c>
      <c r="O3619" t="s">
        <v>36</v>
      </c>
      <c r="P3619">
        <v>7.83</v>
      </c>
      <c r="Q3619" s="2" t="b">
        <f>FALSE()</f>
        <v>0</v>
      </c>
      <c r="R3619">
        <v>0</v>
      </c>
    </row>
    <row r="3620" spans="1:18" x14ac:dyDescent="0.25">
      <c r="A3620">
        <v>203619</v>
      </c>
      <c r="B3620">
        <v>53561</v>
      </c>
      <c r="C3620" t="s">
        <v>18</v>
      </c>
      <c r="D3620">
        <v>4309.1000000000004</v>
      </c>
      <c r="E3620">
        <v>3279</v>
      </c>
      <c r="F3620">
        <v>1</v>
      </c>
      <c r="G3620">
        <v>4</v>
      </c>
      <c r="H3620">
        <v>0</v>
      </c>
      <c r="I3620" t="s">
        <v>32</v>
      </c>
      <c r="J3620">
        <v>0</v>
      </c>
      <c r="K3620">
        <v>19</v>
      </c>
      <c r="L3620" t="s">
        <v>24</v>
      </c>
      <c r="M3620" t="s">
        <v>21</v>
      </c>
      <c r="N3620" t="s">
        <v>22</v>
      </c>
      <c r="O3620" t="s">
        <v>36</v>
      </c>
      <c r="P3620">
        <v>0.88</v>
      </c>
      <c r="Q3620" s="2" t="b">
        <f>FALSE()</f>
        <v>0</v>
      </c>
      <c r="R3620">
        <v>1</v>
      </c>
    </row>
    <row r="3621" spans="1:18" x14ac:dyDescent="0.25">
      <c r="A3621">
        <v>203620</v>
      </c>
      <c r="B3621">
        <v>50479</v>
      </c>
      <c r="C3621" t="s">
        <v>18</v>
      </c>
      <c r="D3621">
        <v>3256.02</v>
      </c>
      <c r="E3621">
        <v>480</v>
      </c>
      <c r="F3621">
        <v>1</v>
      </c>
      <c r="G3621">
        <v>6</v>
      </c>
      <c r="H3621">
        <v>1</v>
      </c>
      <c r="I3621" t="s">
        <v>33</v>
      </c>
      <c r="J3621">
        <v>0</v>
      </c>
      <c r="K3621">
        <v>67</v>
      </c>
      <c r="L3621" t="s">
        <v>24</v>
      </c>
      <c r="M3621" t="s">
        <v>31</v>
      </c>
      <c r="N3621" t="s">
        <v>30</v>
      </c>
      <c r="O3621" t="s">
        <v>36</v>
      </c>
      <c r="P3621">
        <v>0.94</v>
      </c>
      <c r="Q3621" s="2" t="b">
        <f>FALSE()</f>
        <v>0</v>
      </c>
      <c r="R3621">
        <v>0</v>
      </c>
    </row>
    <row r="3622" spans="1:18" x14ac:dyDescent="0.25">
      <c r="A3622">
        <v>203621</v>
      </c>
      <c r="B3622">
        <v>55238</v>
      </c>
      <c r="C3622" t="s">
        <v>28</v>
      </c>
      <c r="D3622">
        <v>1147.33</v>
      </c>
      <c r="E3622">
        <v>2465</v>
      </c>
      <c r="F3622">
        <v>0</v>
      </c>
      <c r="G3622">
        <v>3</v>
      </c>
      <c r="H3622">
        <v>0</v>
      </c>
      <c r="I3622" t="s">
        <v>19</v>
      </c>
      <c r="J3622">
        <v>0</v>
      </c>
      <c r="K3622">
        <v>72</v>
      </c>
      <c r="L3622" t="s">
        <v>24</v>
      </c>
      <c r="M3622" t="s">
        <v>31</v>
      </c>
      <c r="N3622" t="s">
        <v>30</v>
      </c>
      <c r="O3622" t="s">
        <v>36</v>
      </c>
      <c r="P3622">
        <v>3.47</v>
      </c>
      <c r="Q3622" s="2" t="b">
        <f>FALSE()</f>
        <v>0</v>
      </c>
      <c r="R3622">
        <v>0</v>
      </c>
    </row>
    <row r="3623" spans="1:18" x14ac:dyDescent="0.25">
      <c r="A3623">
        <v>203622</v>
      </c>
      <c r="B3623">
        <v>53696</v>
      </c>
      <c r="C3623" t="s">
        <v>18</v>
      </c>
      <c r="D3623">
        <v>692.76</v>
      </c>
      <c r="E3623">
        <v>717</v>
      </c>
      <c r="F3623">
        <v>3</v>
      </c>
      <c r="G3623">
        <v>6</v>
      </c>
      <c r="H3623">
        <v>1</v>
      </c>
      <c r="I3623" t="s">
        <v>33</v>
      </c>
      <c r="J3623">
        <v>0</v>
      </c>
      <c r="K3623">
        <v>40</v>
      </c>
      <c r="L3623" t="s">
        <v>20</v>
      </c>
      <c r="M3623" t="s">
        <v>31</v>
      </c>
      <c r="N3623" t="s">
        <v>30</v>
      </c>
      <c r="O3623" t="s">
        <v>36</v>
      </c>
      <c r="P3623">
        <v>2.29</v>
      </c>
      <c r="Q3623" s="2" t="b">
        <f>FALSE()</f>
        <v>0</v>
      </c>
      <c r="R3623">
        <v>1</v>
      </c>
    </row>
    <row r="3624" spans="1:18" x14ac:dyDescent="0.25">
      <c r="A3624">
        <v>203623</v>
      </c>
      <c r="B3624">
        <v>54051</v>
      </c>
      <c r="C3624" t="s">
        <v>18</v>
      </c>
      <c r="D3624">
        <v>1774.52</v>
      </c>
      <c r="E3624">
        <v>2274</v>
      </c>
      <c r="F3624">
        <v>1</v>
      </c>
      <c r="G3624">
        <v>1</v>
      </c>
      <c r="H3624">
        <v>1</v>
      </c>
      <c r="I3624" t="s">
        <v>32</v>
      </c>
      <c r="J3624">
        <v>0</v>
      </c>
      <c r="K3624">
        <v>69</v>
      </c>
      <c r="L3624" t="s">
        <v>24</v>
      </c>
      <c r="M3624" t="s">
        <v>29</v>
      </c>
      <c r="N3624" t="s">
        <v>30</v>
      </c>
      <c r="O3624" t="s">
        <v>23</v>
      </c>
      <c r="P3624">
        <v>1.03</v>
      </c>
      <c r="Q3624" s="2" t="b">
        <f>FALSE()</f>
        <v>0</v>
      </c>
      <c r="R3624">
        <v>0</v>
      </c>
    </row>
    <row r="3625" spans="1:18" x14ac:dyDescent="0.25">
      <c r="A3625">
        <v>203624</v>
      </c>
      <c r="B3625">
        <v>53151</v>
      </c>
      <c r="C3625" t="s">
        <v>28</v>
      </c>
      <c r="D3625">
        <v>2716.28</v>
      </c>
      <c r="E3625">
        <v>2526</v>
      </c>
      <c r="F3625">
        <v>0</v>
      </c>
      <c r="G3625">
        <v>2</v>
      </c>
      <c r="H3625">
        <v>0</v>
      </c>
      <c r="I3625" t="s">
        <v>19</v>
      </c>
      <c r="J3625">
        <v>0</v>
      </c>
      <c r="K3625">
        <v>43</v>
      </c>
      <c r="L3625" t="s">
        <v>38</v>
      </c>
      <c r="M3625" t="s">
        <v>35</v>
      </c>
      <c r="N3625" t="s">
        <v>22</v>
      </c>
      <c r="O3625" t="s">
        <v>36</v>
      </c>
      <c r="P3625">
        <v>6.12</v>
      </c>
      <c r="Q3625" s="2" t="b">
        <f>FALSE()</f>
        <v>0</v>
      </c>
      <c r="R3625">
        <v>0</v>
      </c>
    </row>
    <row r="3626" spans="1:18" x14ac:dyDescent="0.25">
      <c r="A3626">
        <v>203625</v>
      </c>
      <c r="B3626">
        <v>51336</v>
      </c>
      <c r="C3626" t="s">
        <v>18</v>
      </c>
      <c r="D3626">
        <v>3843.1</v>
      </c>
      <c r="E3626">
        <v>1543</v>
      </c>
      <c r="F3626">
        <v>2</v>
      </c>
      <c r="G3626">
        <v>2</v>
      </c>
      <c r="H3626">
        <v>0</v>
      </c>
      <c r="I3626" t="s">
        <v>19</v>
      </c>
      <c r="J3626">
        <v>0</v>
      </c>
      <c r="K3626">
        <v>78</v>
      </c>
      <c r="L3626" t="s">
        <v>24</v>
      </c>
      <c r="M3626" t="s">
        <v>25</v>
      </c>
      <c r="N3626" t="s">
        <v>22</v>
      </c>
      <c r="O3626" t="s">
        <v>23</v>
      </c>
      <c r="P3626">
        <v>0.34</v>
      </c>
      <c r="Q3626" s="2" t="b">
        <f>FALSE()</f>
        <v>0</v>
      </c>
      <c r="R3626">
        <v>1</v>
      </c>
    </row>
    <row r="3627" spans="1:18" x14ac:dyDescent="0.25">
      <c r="A3627">
        <v>203626</v>
      </c>
      <c r="B3627">
        <v>54785</v>
      </c>
      <c r="C3627" t="s">
        <v>18</v>
      </c>
      <c r="D3627">
        <v>4127.0200000000004</v>
      </c>
      <c r="E3627">
        <v>978</v>
      </c>
      <c r="F3627">
        <v>1</v>
      </c>
      <c r="G3627">
        <v>3</v>
      </c>
      <c r="H3627">
        <v>0</v>
      </c>
      <c r="I3627" t="s">
        <v>33</v>
      </c>
      <c r="J3627">
        <v>0</v>
      </c>
      <c r="K3627">
        <v>68</v>
      </c>
      <c r="L3627" t="s">
        <v>20</v>
      </c>
      <c r="M3627" t="s">
        <v>31</v>
      </c>
      <c r="N3627" t="s">
        <v>22</v>
      </c>
      <c r="O3627" t="s">
        <v>27</v>
      </c>
      <c r="P3627">
        <v>1.81</v>
      </c>
      <c r="Q3627" s="2" t="b">
        <f>FALSE()</f>
        <v>0</v>
      </c>
      <c r="R3627">
        <v>1</v>
      </c>
    </row>
    <row r="3628" spans="1:18" x14ac:dyDescent="0.25">
      <c r="A3628">
        <v>203627</v>
      </c>
      <c r="B3628">
        <v>54247</v>
      </c>
      <c r="C3628" t="s">
        <v>18</v>
      </c>
      <c r="D3628">
        <v>3308.37</v>
      </c>
      <c r="E3628">
        <v>1553</v>
      </c>
      <c r="F3628">
        <v>0</v>
      </c>
      <c r="G3628">
        <v>6</v>
      </c>
      <c r="H3628">
        <v>1</v>
      </c>
      <c r="I3628" t="s">
        <v>33</v>
      </c>
      <c r="J3628">
        <v>1</v>
      </c>
      <c r="K3628">
        <v>19</v>
      </c>
      <c r="L3628" t="s">
        <v>24</v>
      </c>
      <c r="M3628" t="s">
        <v>21</v>
      </c>
      <c r="N3628" t="s">
        <v>30</v>
      </c>
      <c r="O3628" t="s">
        <v>23</v>
      </c>
      <c r="P3628">
        <v>0.13</v>
      </c>
      <c r="Q3628" s="2" t="b">
        <f>FALSE()</f>
        <v>0</v>
      </c>
      <c r="R3628">
        <v>0</v>
      </c>
    </row>
    <row r="3629" spans="1:18" x14ac:dyDescent="0.25">
      <c r="A3629">
        <v>203628</v>
      </c>
      <c r="B3629">
        <v>52573</v>
      </c>
      <c r="C3629" t="s">
        <v>18</v>
      </c>
      <c r="D3629">
        <v>2212.9899999999998</v>
      </c>
      <c r="E3629">
        <v>3629</v>
      </c>
      <c r="F3629">
        <v>2</v>
      </c>
      <c r="G3629">
        <v>6</v>
      </c>
      <c r="H3629">
        <v>0</v>
      </c>
      <c r="I3629" t="s">
        <v>32</v>
      </c>
      <c r="J3629">
        <v>0</v>
      </c>
      <c r="K3629">
        <v>67</v>
      </c>
      <c r="L3629" t="s">
        <v>20</v>
      </c>
      <c r="M3629" t="s">
        <v>21</v>
      </c>
      <c r="N3629" t="s">
        <v>30</v>
      </c>
      <c r="O3629" t="s">
        <v>36</v>
      </c>
      <c r="P3629">
        <v>11.13</v>
      </c>
      <c r="Q3629" s="2" t="b">
        <f>FALSE()</f>
        <v>0</v>
      </c>
      <c r="R3629">
        <v>0</v>
      </c>
    </row>
    <row r="3630" spans="1:18" x14ac:dyDescent="0.25">
      <c r="A3630">
        <v>203629</v>
      </c>
      <c r="B3630">
        <v>53112</v>
      </c>
      <c r="C3630" t="s">
        <v>34</v>
      </c>
      <c r="D3630">
        <v>3490.33</v>
      </c>
      <c r="E3630">
        <v>2867</v>
      </c>
      <c r="F3630">
        <v>1</v>
      </c>
      <c r="G3630">
        <v>4</v>
      </c>
      <c r="H3630">
        <v>0</v>
      </c>
      <c r="I3630" t="s">
        <v>33</v>
      </c>
      <c r="J3630">
        <v>1</v>
      </c>
      <c r="K3630">
        <v>68</v>
      </c>
      <c r="L3630" t="s">
        <v>24</v>
      </c>
      <c r="M3630" t="s">
        <v>35</v>
      </c>
      <c r="N3630" t="s">
        <v>30</v>
      </c>
      <c r="O3630" t="s">
        <v>27</v>
      </c>
      <c r="P3630">
        <v>1.92</v>
      </c>
      <c r="Q3630" s="2" t="b">
        <f>FALSE()</f>
        <v>0</v>
      </c>
      <c r="R3630">
        <v>0</v>
      </c>
    </row>
    <row r="3631" spans="1:18" x14ac:dyDescent="0.25">
      <c r="A3631">
        <v>203630</v>
      </c>
      <c r="B3631">
        <v>54213</v>
      </c>
      <c r="C3631" t="s">
        <v>18</v>
      </c>
      <c r="D3631">
        <v>1561.17</v>
      </c>
      <c r="E3631">
        <v>144</v>
      </c>
      <c r="F3631">
        <v>1</v>
      </c>
      <c r="G3631">
        <v>4</v>
      </c>
      <c r="H3631">
        <v>0</v>
      </c>
      <c r="I3631" t="s">
        <v>19</v>
      </c>
      <c r="J3631">
        <v>0</v>
      </c>
      <c r="K3631">
        <v>43</v>
      </c>
      <c r="L3631" t="s">
        <v>20</v>
      </c>
      <c r="M3631" t="s">
        <v>31</v>
      </c>
      <c r="N3631" t="s">
        <v>30</v>
      </c>
      <c r="O3631" t="s">
        <v>27</v>
      </c>
      <c r="P3631">
        <v>5.39</v>
      </c>
      <c r="Q3631" s="2" t="b">
        <f>FALSE()</f>
        <v>0</v>
      </c>
      <c r="R3631">
        <v>0</v>
      </c>
    </row>
    <row r="3632" spans="1:18" x14ac:dyDescent="0.25">
      <c r="A3632">
        <v>203631</v>
      </c>
      <c r="B3632">
        <v>53025</v>
      </c>
      <c r="C3632" t="s">
        <v>18</v>
      </c>
      <c r="D3632">
        <v>679.54</v>
      </c>
      <c r="E3632">
        <v>2728</v>
      </c>
      <c r="F3632">
        <v>0</v>
      </c>
      <c r="G3632">
        <v>2</v>
      </c>
      <c r="H3632">
        <v>0</v>
      </c>
      <c r="I3632" t="s">
        <v>33</v>
      </c>
      <c r="J3632">
        <v>0</v>
      </c>
      <c r="K3632">
        <v>31</v>
      </c>
      <c r="L3632" t="s">
        <v>20</v>
      </c>
      <c r="M3632" t="s">
        <v>29</v>
      </c>
      <c r="N3632" t="s">
        <v>26</v>
      </c>
      <c r="O3632" t="s">
        <v>23</v>
      </c>
      <c r="P3632">
        <v>0.81</v>
      </c>
      <c r="Q3632" s="2" t="b">
        <f>FALSE()</f>
        <v>0</v>
      </c>
      <c r="R3632">
        <v>0</v>
      </c>
    </row>
    <row r="3633" spans="1:18" x14ac:dyDescent="0.25">
      <c r="A3633">
        <v>203632</v>
      </c>
      <c r="B3633">
        <v>55216</v>
      </c>
      <c r="C3633" t="s">
        <v>34</v>
      </c>
      <c r="D3633">
        <v>4102.18</v>
      </c>
      <c r="E3633">
        <v>1635</v>
      </c>
      <c r="F3633">
        <v>0</v>
      </c>
      <c r="G3633">
        <v>6</v>
      </c>
      <c r="H3633">
        <v>1</v>
      </c>
      <c r="I3633" t="s">
        <v>33</v>
      </c>
      <c r="J3633">
        <v>0</v>
      </c>
      <c r="K3633">
        <v>21</v>
      </c>
      <c r="L3633" t="s">
        <v>20</v>
      </c>
      <c r="M3633" t="s">
        <v>31</v>
      </c>
      <c r="N3633" t="s">
        <v>26</v>
      </c>
      <c r="O3633" t="s">
        <v>27</v>
      </c>
      <c r="P3633">
        <v>0.33</v>
      </c>
      <c r="Q3633" s="2" t="b">
        <f>FALSE()</f>
        <v>0</v>
      </c>
      <c r="R3633">
        <v>1</v>
      </c>
    </row>
    <row r="3634" spans="1:18" x14ac:dyDescent="0.25">
      <c r="A3634">
        <v>203633</v>
      </c>
      <c r="B3634">
        <v>51784</v>
      </c>
      <c r="C3634" t="s">
        <v>34</v>
      </c>
      <c r="D3634">
        <v>1482.05</v>
      </c>
      <c r="E3634">
        <v>3616</v>
      </c>
      <c r="F3634">
        <v>0</v>
      </c>
      <c r="G3634">
        <v>3</v>
      </c>
      <c r="H3634">
        <v>0</v>
      </c>
      <c r="I3634" t="s">
        <v>33</v>
      </c>
      <c r="J3634">
        <v>0</v>
      </c>
      <c r="K3634">
        <v>53</v>
      </c>
      <c r="L3634" t="s">
        <v>24</v>
      </c>
      <c r="M3634" t="s">
        <v>37</v>
      </c>
      <c r="N3634" t="s">
        <v>22</v>
      </c>
      <c r="O3634" t="s">
        <v>27</v>
      </c>
      <c r="P3634">
        <v>6.35</v>
      </c>
      <c r="Q3634" s="2" t="b">
        <f>FALSE()</f>
        <v>0</v>
      </c>
      <c r="R3634">
        <v>0</v>
      </c>
    </row>
    <row r="3635" spans="1:18" x14ac:dyDescent="0.25">
      <c r="A3635">
        <v>203634</v>
      </c>
      <c r="B3635">
        <v>54520</v>
      </c>
      <c r="C3635" t="s">
        <v>18</v>
      </c>
      <c r="D3635">
        <v>939.03</v>
      </c>
      <c r="E3635">
        <v>511</v>
      </c>
      <c r="F3635">
        <v>2</v>
      </c>
      <c r="G3635">
        <v>5</v>
      </c>
      <c r="H3635">
        <v>0</v>
      </c>
      <c r="I3635" t="s">
        <v>33</v>
      </c>
      <c r="J3635">
        <v>0</v>
      </c>
      <c r="K3635">
        <v>70</v>
      </c>
      <c r="L3635" t="s">
        <v>20</v>
      </c>
      <c r="M3635" t="s">
        <v>29</v>
      </c>
      <c r="N3635" t="s">
        <v>22</v>
      </c>
      <c r="O3635" t="s">
        <v>27</v>
      </c>
      <c r="P3635">
        <v>2.98</v>
      </c>
      <c r="Q3635" s="2" t="b">
        <f>FALSE()</f>
        <v>0</v>
      </c>
      <c r="R3635">
        <v>0</v>
      </c>
    </row>
    <row r="3636" spans="1:18" x14ac:dyDescent="0.25">
      <c r="A3636">
        <v>203635</v>
      </c>
      <c r="B3636">
        <v>54097</v>
      </c>
      <c r="C3636" t="s">
        <v>18</v>
      </c>
      <c r="D3636">
        <v>1821.42</v>
      </c>
      <c r="E3636">
        <v>821</v>
      </c>
      <c r="F3636">
        <v>2</v>
      </c>
      <c r="G3636">
        <v>3</v>
      </c>
      <c r="H3636">
        <v>1</v>
      </c>
      <c r="I3636" t="s">
        <v>32</v>
      </c>
      <c r="J3636">
        <v>1</v>
      </c>
      <c r="K3636">
        <v>43</v>
      </c>
      <c r="L3636" t="s">
        <v>24</v>
      </c>
      <c r="M3636" t="s">
        <v>25</v>
      </c>
      <c r="N3636" t="s">
        <v>30</v>
      </c>
      <c r="O3636" t="s">
        <v>23</v>
      </c>
      <c r="P3636">
        <v>3.83</v>
      </c>
      <c r="Q3636" s="2" t="b">
        <f>FALSE()</f>
        <v>0</v>
      </c>
      <c r="R3636">
        <v>0</v>
      </c>
    </row>
    <row r="3637" spans="1:18" x14ac:dyDescent="0.25">
      <c r="A3637">
        <v>203636</v>
      </c>
      <c r="B3637">
        <v>55987</v>
      </c>
      <c r="C3637" t="s">
        <v>34</v>
      </c>
      <c r="D3637">
        <v>1714.09</v>
      </c>
      <c r="E3637">
        <v>1541</v>
      </c>
      <c r="F3637">
        <v>1</v>
      </c>
      <c r="G3637">
        <v>5</v>
      </c>
      <c r="H3637">
        <v>0</v>
      </c>
      <c r="I3637" t="s">
        <v>32</v>
      </c>
      <c r="J3637">
        <v>0</v>
      </c>
      <c r="K3637">
        <v>46</v>
      </c>
      <c r="L3637" t="s">
        <v>24</v>
      </c>
      <c r="M3637" t="s">
        <v>21</v>
      </c>
      <c r="N3637" t="s">
        <v>22</v>
      </c>
      <c r="O3637" t="s">
        <v>27</v>
      </c>
      <c r="P3637">
        <v>0.62</v>
      </c>
      <c r="Q3637" s="2" t="b">
        <f>FALSE()</f>
        <v>0</v>
      </c>
      <c r="R3637">
        <v>0</v>
      </c>
    </row>
    <row r="3638" spans="1:18" x14ac:dyDescent="0.25">
      <c r="A3638">
        <v>203637</v>
      </c>
      <c r="B3638">
        <v>51713</v>
      </c>
      <c r="C3638" t="s">
        <v>18</v>
      </c>
      <c r="D3638">
        <v>3499</v>
      </c>
      <c r="E3638">
        <v>3183</v>
      </c>
      <c r="F3638">
        <v>1</v>
      </c>
      <c r="G3638">
        <v>2</v>
      </c>
      <c r="H3638">
        <v>0</v>
      </c>
      <c r="I3638" t="s">
        <v>33</v>
      </c>
      <c r="J3638">
        <v>0</v>
      </c>
      <c r="K3638">
        <v>63</v>
      </c>
      <c r="L3638" t="s">
        <v>20</v>
      </c>
      <c r="M3638" t="s">
        <v>31</v>
      </c>
      <c r="N3638" t="s">
        <v>30</v>
      </c>
      <c r="O3638" t="s">
        <v>36</v>
      </c>
      <c r="P3638">
        <v>0.98</v>
      </c>
      <c r="Q3638" s="2" t="b">
        <f>FALSE()</f>
        <v>0</v>
      </c>
      <c r="R3638">
        <v>0</v>
      </c>
    </row>
    <row r="3639" spans="1:18" x14ac:dyDescent="0.25">
      <c r="A3639">
        <v>203638</v>
      </c>
      <c r="B3639">
        <v>52790</v>
      </c>
      <c r="C3639" t="s">
        <v>18</v>
      </c>
      <c r="D3639">
        <v>2856.4</v>
      </c>
      <c r="E3639">
        <v>1525</v>
      </c>
      <c r="F3639">
        <v>0</v>
      </c>
      <c r="G3639">
        <v>4</v>
      </c>
      <c r="H3639">
        <v>1</v>
      </c>
      <c r="I3639" t="s">
        <v>19</v>
      </c>
      <c r="J3639">
        <v>0</v>
      </c>
      <c r="K3639">
        <v>49</v>
      </c>
      <c r="L3639" t="s">
        <v>20</v>
      </c>
      <c r="M3639" t="s">
        <v>25</v>
      </c>
      <c r="N3639" t="s">
        <v>22</v>
      </c>
      <c r="O3639" t="s">
        <v>36</v>
      </c>
      <c r="P3639">
        <v>4.49</v>
      </c>
      <c r="Q3639" s="2" t="b">
        <f>FALSE()</f>
        <v>0</v>
      </c>
      <c r="R3639">
        <v>0</v>
      </c>
    </row>
    <row r="3640" spans="1:18" x14ac:dyDescent="0.25">
      <c r="A3640">
        <v>203639</v>
      </c>
      <c r="B3640">
        <v>52025</v>
      </c>
      <c r="C3640" t="s">
        <v>18</v>
      </c>
      <c r="D3640">
        <v>2021.91</v>
      </c>
      <c r="E3640">
        <v>2491</v>
      </c>
      <c r="F3640">
        <v>1</v>
      </c>
      <c r="G3640">
        <v>4</v>
      </c>
      <c r="H3640">
        <v>1</v>
      </c>
      <c r="I3640" t="s">
        <v>33</v>
      </c>
      <c r="J3640">
        <v>0</v>
      </c>
      <c r="K3640">
        <v>36</v>
      </c>
      <c r="L3640" t="s">
        <v>24</v>
      </c>
      <c r="M3640" t="s">
        <v>37</v>
      </c>
      <c r="N3640" t="s">
        <v>22</v>
      </c>
      <c r="O3640" t="s">
        <v>27</v>
      </c>
      <c r="P3640">
        <v>9.19</v>
      </c>
      <c r="Q3640" s="2" t="b">
        <f>FALSE()</f>
        <v>0</v>
      </c>
      <c r="R3640">
        <v>0</v>
      </c>
    </row>
    <row r="3641" spans="1:18" x14ac:dyDescent="0.25">
      <c r="A3641">
        <v>203640</v>
      </c>
      <c r="B3641">
        <v>50754</v>
      </c>
      <c r="C3641" t="s">
        <v>18</v>
      </c>
      <c r="D3641">
        <v>2109.59</v>
      </c>
      <c r="E3641">
        <v>2562</v>
      </c>
      <c r="F3641">
        <v>0</v>
      </c>
      <c r="G3641">
        <v>4</v>
      </c>
      <c r="H3641">
        <v>1</v>
      </c>
      <c r="I3641" t="s">
        <v>19</v>
      </c>
      <c r="J3641">
        <v>1</v>
      </c>
      <c r="K3641">
        <v>18</v>
      </c>
      <c r="L3641" t="s">
        <v>20</v>
      </c>
      <c r="M3641" t="s">
        <v>31</v>
      </c>
      <c r="N3641" t="s">
        <v>22</v>
      </c>
      <c r="O3641" t="s">
        <v>27</v>
      </c>
      <c r="P3641">
        <v>4.5199999999999996</v>
      </c>
      <c r="Q3641" s="2" t="b">
        <f>FALSE()</f>
        <v>0</v>
      </c>
      <c r="R3641">
        <v>0</v>
      </c>
    </row>
    <row r="3642" spans="1:18" x14ac:dyDescent="0.25">
      <c r="A3642">
        <v>203641</v>
      </c>
      <c r="B3642">
        <v>55445</v>
      </c>
      <c r="C3642" t="s">
        <v>34</v>
      </c>
      <c r="D3642">
        <v>1006.83</v>
      </c>
      <c r="E3642">
        <v>2098</v>
      </c>
      <c r="F3642">
        <v>0</v>
      </c>
      <c r="G3642">
        <v>2</v>
      </c>
      <c r="H3642">
        <v>1</v>
      </c>
      <c r="I3642" t="s">
        <v>33</v>
      </c>
      <c r="J3642">
        <v>0</v>
      </c>
      <c r="K3642">
        <v>80</v>
      </c>
      <c r="L3642" t="s">
        <v>24</v>
      </c>
      <c r="M3642" t="s">
        <v>35</v>
      </c>
      <c r="N3642" t="s">
        <v>22</v>
      </c>
      <c r="O3642" t="s">
        <v>27</v>
      </c>
      <c r="P3642">
        <v>4.17</v>
      </c>
      <c r="Q3642" s="2" t="b">
        <f>FALSE()</f>
        <v>0</v>
      </c>
      <c r="R3642">
        <v>0</v>
      </c>
    </row>
    <row r="3643" spans="1:18" x14ac:dyDescent="0.25">
      <c r="A3643">
        <v>203642</v>
      </c>
      <c r="B3643">
        <v>53810</v>
      </c>
      <c r="C3643" t="s">
        <v>34</v>
      </c>
      <c r="D3643">
        <v>9826.74</v>
      </c>
      <c r="E3643">
        <v>970</v>
      </c>
      <c r="F3643">
        <v>0</v>
      </c>
      <c r="G3643">
        <v>4</v>
      </c>
      <c r="H3643">
        <v>1</v>
      </c>
      <c r="I3643" t="s">
        <v>33</v>
      </c>
      <c r="J3643">
        <v>0</v>
      </c>
      <c r="K3643">
        <v>33</v>
      </c>
      <c r="L3643" t="s">
        <v>20</v>
      </c>
      <c r="M3643" t="s">
        <v>29</v>
      </c>
      <c r="N3643" t="s">
        <v>22</v>
      </c>
      <c r="O3643" t="s">
        <v>36</v>
      </c>
      <c r="P3643">
        <v>3.4</v>
      </c>
      <c r="Q3643" s="2" t="b">
        <f>TRUE()</f>
        <v>1</v>
      </c>
      <c r="R3643">
        <v>1</v>
      </c>
    </row>
    <row r="3644" spans="1:18" x14ac:dyDescent="0.25">
      <c r="A3644">
        <v>203643</v>
      </c>
      <c r="B3644">
        <v>54282</v>
      </c>
      <c r="C3644" t="s">
        <v>18</v>
      </c>
      <c r="D3644">
        <v>736.28</v>
      </c>
      <c r="E3644">
        <v>119</v>
      </c>
      <c r="F3644">
        <v>1</v>
      </c>
      <c r="G3644">
        <v>2</v>
      </c>
      <c r="H3644">
        <v>0</v>
      </c>
      <c r="I3644" t="s">
        <v>33</v>
      </c>
      <c r="J3644">
        <v>0</v>
      </c>
      <c r="K3644">
        <v>21</v>
      </c>
      <c r="L3644" t="s">
        <v>24</v>
      </c>
      <c r="M3644" t="s">
        <v>25</v>
      </c>
      <c r="N3644" t="s">
        <v>22</v>
      </c>
      <c r="O3644" t="s">
        <v>36</v>
      </c>
      <c r="P3644">
        <v>5.39</v>
      </c>
      <c r="Q3644" s="2" t="b">
        <f>FALSE()</f>
        <v>0</v>
      </c>
      <c r="R3644">
        <v>0</v>
      </c>
    </row>
    <row r="3645" spans="1:18" x14ac:dyDescent="0.25">
      <c r="A3645">
        <v>203644</v>
      </c>
      <c r="B3645">
        <v>55308</v>
      </c>
      <c r="C3645" t="s">
        <v>18</v>
      </c>
      <c r="D3645">
        <v>2997.75</v>
      </c>
      <c r="E3645">
        <v>2122</v>
      </c>
      <c r="F3645">
        <v>3</v>
      </c>
      <c r="G3645">
        <v>2</v>
      </c>
      <c r="H3645">
        <v>1</v>
      </c>
      <c r="I3645" t="s">
        <v>19</v>
      </c>
      <c r="J3645">
        <v>0</v>
      </c>
      <c r="K3645">
        <v>36</v>
      </c>
      <c r="L3645" t="s">
        <v>24</v>
      </c>
      <c r="M3645" t="s">
        <v>35</v>
      </c>
      <c r="N3645" t="s">
        <v>26</v>
      </c>
      <c r="O3645" t="s">
        <v>23</v>
      </c>
      <c r="P3645">
        <v>7.88</v>
      </c>
      <c r="Q3645" s="2" t="b">
        <f>FALSE()</f>
        <v>0</v>
      </c>
      <c r="R3645">
        <v>1</v>
      </c>
    </row>
    <row r="3646" spans="1:18" x14ac:dyDescent="0.25">
      <c r="A3646">
        <v>203645</v>
      </c>
      <c r="B3646">
        <v>52049</v>
      </c>
      <c r="C3646" t="s">
        <v>34</v>
      </c>
      <c r="D3646">
        <v>2901.78</v>
      </c>
      <c r="E3646">
        <v>473</v>
      </c>
      <c r="F3646">
        <v>3</v>
      </c>
      <c r="G3646">
        <v>1</v>
      </c>
      <c r="H3646">
        <v>0</v>
      </c>
      <c r="I3646" t="s">
        <v>33</v>
      </c>
      <c r="J3646">
        <v>1</v>
      </c>
      <c r="K3646">
        <v>27</v>
      </c>
      <c r="L3646" t="s">
        <v>20</v>
      </c>
      <c r="M3646" t="s">
        <v>35</v>
      </c>
      <c r="N3646" t="s">
        <v>22</v>
      </c>
      <c r="O3646" t="s">
        <v>36</v>
      </c>
      <c r="P3646">
        <v>6.6</v>
      </c>
      <c r="Q3646" s="2" t="b">
        <f>FALSE()</f>
        <v>0</v>
      </c>
      <c r="R3646">
        <v>1</v>
      </c>
    </row>
    <row r="3647" spans="1:18" x14ac:dyDescent="0.25">
      <c r="A3647">
        <v>203646</v>
      </c>
      <c r="B3647">
        <v>52295</v>
      </c>
      <c r="C3647" t="s">
        <v>18</v>
      </c>
      <c r="D3647">
        <v>4307.3100000000004</v>
      </c>
      <c r="E3647">
        <v>2773</v>
      </c>
      <c r="F3647">
        <v>0</v>
      </c>
      <c r="G3647">
        <v>5</v>
      </c>
      <c r="H3647">
        <v>0</v>
      </c>
      <c r="I3647" t="s">
        <v>19</v>
      </c>
      <c r="J3647">
        <v>1</v>
      </c>
      <c r="K3647">
        <v>82</v>
      </c>
      <c r="L3647" t="s">
        <v>20</v>
      </c>
      <c r="M3647" t="s">
        <v>21</v>
      </c>
      <c r="N3647" t="s">
        <v>22</v>
      </c>
      <c r="O3647" t="s">
        <v>36</v>
      </c>
      <c r="P3647">
        <v>1.97</v>
      </c>
      <c r="Q3647" s="2" t="b">
        <f>FALSE()</f>
        <v>0</v>
      </c>
      <c r="R3647">
        <v>1</v>
      </c>
    </row>
    <row r="3648" spans="1:18" x14ac:dyDescent="0.25">
      <c r="A3648">
        <v>203647</v>
      </c>
      <c r="B3648">
        <v>53354</v>
      </c>
      <c r="C3648" t="s">
        <v>34</v>
      </c>
      <c r="D3648">
        <v>1500.93</v>
      </c>
      <c r="E3648">
        <v>103</v>
      </c>
      <c r="F3648">
        <v>0</v>
      </c>
      <c r="G3648">
        <v>5</v>
      </c>
      <c r="H3648">
        <v>0</v>
      </c>
      <c r="I3648" t="s">
        <v>19</v>
      </c>
      <c r="J3648">
        <v>0</v>
      </c>
      <c r="K3648">
        <v>65</v>
      </c>
      <c r="L3648" t="s">
        <v>24</v>
      </c>
      <c r="M3648" t="s">
        <v>31</v>
      </c>
      <c r="N3648" t="s">
        <v>22</v>
      </c>
      <c r="O3648" t="s">
        <v>36</v>
      </c>
      <c r="P3648">
        <v>5.75</v>
      </c>
      <c r="Q3648" s="2" t="b">
        <f>FALSE()</f>
        <v>0</v>
      </c>
      <c r="R3648">
        <v>0</v>
      </c>
    </row>
    <row r="3649" spans="1:18" x14ac:dyDescent="0.25">
      <c r="A3649">
        <v>203648</v>
      </c>
      <c r="B3649">
        <v>55026</v>
      </c>
      <c r="C3649" t="s">
        <v>28</v>
      </c>
      <c r="D3649">
        <v>2097.2600000000002</v>
      </c>
      <c r="E3649">
        <v>3321</v>
      </c>
      <c r="F3649">
        <v>1</v>
      </c>
      <c r="G3649">
        <v>3</v>
      </c>
      <c r="H3649">
        <v>0</v>
      </c>
      <c r="I3649" t="s">
        <v>19</v>
      </c>
      <c r="J3649">
        <v>0</v>
      </c>
      <c r="K3649">
        <v>76</v>
      </c>
      <c r="L3649" t="s">
        <v>24</v>
      </c>
      <c r="M3649" t="s">
        <v>29</v>
      </c>
      <c r="N3649" t="s">
        <v>26</v>
      </c>
      <c r="O3649" t="s">
        <v>36</v>
      </c>
      <c r="P3649">
        <v>1.77</v>
      </c>
      <c r="Q3649" s="2" t="b">
        <f>FALSE()</f>
        <v>0</v>
      </c>
      <c r="R3649">
        <v>0</v>
      </c>
    </row>
    <row r="3650" spans="1:18" x14ac:dyDescent="0.25">
      <c r="A3650">
        <v>203649</v>
      </c>
      <c r="B3650">
        <v>50060</v>
      </c>
      <c r="C3650" t="s">
        <v>18</v>
      </c>
      <c r="D3650">
        <v>984.74</v>
      </c>
      <c r="E3650">
        <v>3635</v>
      </c>
      <c r="F3650">
        <v>0</v>
      </c>
      <c r="G3650">
        <v>4</v>
      </c>
      <c r="H3650">
        <v>0</v>
      </c>
      <c r="I3650" t="s">
        <v>19</v>
      </c>
      <c r="J3650">
        <v>0</v>
      </c>
      <c r="K3650">
        <v>32</v>
      </c>
      <c r="L3650" t="s">
        <v>20</v>
      </c>
      <c r="M3650" t="s">
        <v>29</v>
      </c>
      <c r="N3650" t="s">
        <v>22</v>
      </c>
      <c r="O3650" t="s">
        <v>23</v>
      </c>
      <c r="P3650">
        <v>1.84</v>
      </c>
      <c r="Q3650" s="2" t="b">
        <f>FALSE()</f>
        <v>0</v>
      </c>
      <c r="R3650">
        <v>0</v>
      </c>
    </row>
    <row r="3651" spans="1:18" x14ac:dyDescent="0.25">
      <c r="A3651">
        <v>203650</v>
      </c>
      <c r="B3651">
        <v>55100</v>
      </c>
      <c r="C3651" t="s">
        <v>28</v>
      </c>
      <c r="D3651">
        <v>1257.7</v>
      </c>
      <c r="E3651">
        <v>606</v>
      </c>
      <c r="F3651">
        <v>1</v>
      </c>
      <c r="G3651">
        <v>3</v>
      </c>
      <c r="H3651">
        <v>1</v>
      </c>
      <c r="I3651" t="s">
        <v>33</v>
      </c>
      <c r="J3651">
        <v>0</v>
      </c>
      <c r="K3651">
        <v>67</v>
      </c>
      <c r="L3651" t="s">
        <v>24</v>
      </c>
      <c r="M3651" t="s">
        <v>25</v>
      </c>
      <c r="N3651" t="s">
        <v>22</v>
      </c>
      <c r="O3651" t="s">
        <v>36</v>
      </c>
      <c r="P3651">
        <v>0.92</v>
      </c>
      <c r="Q3651" s="2" t="b">
        <f>FALSE()</f>
        <v>0</v>
      </c>
      <c r="R3651">
        <v>0</v>
      </c>
    </row>
    <row r="3652" spans="1:18" x14ac:dyDescent="0.25">
      <c r="A3652">
        <v>203651</v>
      </c>
      <c r="B3652">
        <v>51088</v>
      </c>
      <c r="C3652" t="s">
        <v>34</v>
      </c>
      <c r="D3652">
        <v>3114.78</v>
      </c>
      <c r="E3652">
        <v>3584</v>
      </c>
      <c r="F3652">
        <v>1</v>
      </c>
      <c r="G3652">
        <v>3</v>
      </c>
      <c r="H3652">
        <v>0</v>
      </c>
      <c r="I3652" t="s">
        <v>33</v>
      </c>
      <c r="J3652">
        <v>0</v>
      </c>
      <c r="K3652">
        <v>81</v>
      </c>
      <c r="L3652" t="s">
        <v>24</v>
      </c>
      <c r="M3652" t="s">
        <v>25</v>
      </c>
      <c r="N3652" t="s">
        <v>22</v>
      </c>
      <c r="O3652" t="s">
        <v>27</v>
      </c>
      <c r="P3652">
        <v>2.92</v>
      </c>
      <c r="Q3652" s="2" t="b">
        <f>FALSE()</f>
        <v>0</v>
      </c>
      <c r="R3652">
        <v>0</v>
      </c>
    </row>
    <row r="3653" spans="1:18" x14ac:dyDescent="0.25">
      <c r="A3653">
        <v>203652</v>
      </c>
      <c r="B3653">
        <v>53141</v>
      </c>
      <c r="C3653" t="s">
        <v>18</v>
      </c>
      <c r="D3653">
        <v>1453.39</v>
      </c>
      <c r="E3653">
        <v>485</v>
      </c>
      <c r="F3653">
        <v>1</v>
      </c>
      <c r="G3653">
        <v>6</v>
      </c>
      <c r="H3653">
        <v>1</v>
      </c>
      <c r="I3653" t="s">
        <v>33</v>
      </c>
      <c r="J3653">
        <v>0</v>
      </c>
      <c r="K3653">
        <v>33</v>
      </c>
      <c r="L3653" t="s">
        <v>20</v>
      </c>
      <c r="M3653" t="s">
        <v>21</v>
      </c>
      <c r="N3653" t="s">
        <v>22</v>
      </c>
      <c r="O3653" t="s">
        <v>23</v>
      </c>
      <c r="P3653">
        <v>1.83</v>
      </c>
      <c r="Q3653" s="2" t="b">
        <f>FALSE()</f>
        <v>0</v>
      </c>
      <c r="R3653">
        <v>0</v>
      </c>
    </row>
    <row r="3654" spans="1:18" x14ac:dyDescent="0.25">
      <c r="A3654">
        <v>203653</v>
      </c>
      <c r="B3654">
        <v>50442</v>
      </c>
      <c r="C3654" t="s">
        <v>18</v>
      </c>
      <c r="D3654">
        <v>1808.63</v>
      </c>
      <c r="E3654">
        <v>3557</v>
      </c>
      <c r="F3654">
        <v>0</v>
      </c>
      <c r="G3654">
        <v>5</v>
      </c>
      <c r="H3654">
        <v>0</v>
      </c>
      <c r="I3654" t="s">
        <v>19</v>
      </c>
      <c r="J3654">
        <v>0</v>
      </c>
      <c r="K3654">
        <v>82</v>
      </c>
      <c r="L3654" t="s">
        <v>24</v>
      </c>
      <c r="M3654" t="s">
        <v>25</v>
      </c>
      <c r="N3654" t="s">
        <v>30</v>
      </c>
      <c r="O3654" t="s">
        <v>36</v>
      </c>
      <c r="P3654">
        <v>1.32</v>
      </c>
      <c r="Q3654" s="2" t="b">
        <f>FALSE()</f>
        <v>0</v>
      </c>
      <c r="R3654">
        <v>0</v>
      </c>
    </row>
    <row r="3655" spans="1:18" x14ac:dyDescent="0.25">
      <c r="A3655">
        <v>203654</v>
      </c>
      <c r="B3655">
        <v>51135</v>
      </c>
      <c r="C3655" t="s">
        <v>34</v>
      </c>
      <c r="D3655">
        <v>7547.02</v>
      </c>
      <c r="E3655">
        <v>320</v>
      </c>
      <c r="F3655">
        <v>1</v>
      </c>
      <c r="G3655">
        <v>4</v>
      </c>
      <c r="H3655">
        <v>0</v>
      </c>
      <c r="I3655" t="s">
        <v>33</v>
      </c>
      <c r="J3655">
        <v>0</v>
      </c>
      <c r="K3655">
        <v>54</v>
      </c>
      <c r="L3655" t="s">
        <v>24</v>
      </c>
      <c r="M3655" t="s">
        <v>29</v>
      </c>
      <c r="N3655" t="s">
        <v>30</v>
      </c>
      <c r="O3655" t="s">
        <v>36</v>
      </c>
      <c r="P3655">
        <v>3.27</v>
      </c>
      <c r="Q3655" s="2" t="b">
        <f>TRUE()</f>
        <v>1</v>
      </c>
      <c r="R3655">
        <v>1</v>
      </c>
    </row>
    <row r="3656" spans="1:18" x14ac:dyDescent="0.25">
      <c r="A3656">
        <v>203655</v>
      </c>
      <c r="B3656">
        <v>54918</v>
      </c>
      <c r="C3656" t="s">
        <v>18</v>
      </c>
      <c r="D3656">
        <v>4831.79</v>
      </c>
      <c r="E3656">
        <v>1930</v>
      </c>
      <c r="F3656">
        <v>2</v>
      </c>
      <c r="G3656">
        <v>3</v>
      </c>
      <c r="H3656">
        <v>0</v>
      </c>
      <c r="I3656" t="s">
        <v>32</v>
      </c>
      <c r="J3656">
        <v>0</v>
      </c>
      <c r="K3656">
        <v>36</v>
      </c>
      <c r="L3656" t="s">
        <v>20</v>
      </c>
      <c r="M3656" t="s">
        <v>25</v>
      </c>
      <c r="N3656" t="s">
        <v>26</v>
      </c>
      <c r="O3656" t="s">
        <v>36</v>
      </c>
      <c r="P3656">
        <v>2.21</v>
      </c>
      <c r="Q3656" s="2" t="b">
        <f>FALSE()</f>
        <v>0</v>
      </c>
      <c r="R3656">
        <v>1</v>
      </c>
    </row>
    <row r="3657" spans="1:18" x14ac:dyDescent="0.25">
      <c r="A3657">
        <v>203656</v>
      </c>
      <c r="B3657">
        <v>51497</v>
      </c>
      <c r="C3657" t="s">
        <v>18</v>
      </c>
      <c r="D3657">
        <v>900.35</v>
      </c>
      <c r="E3657">
        <v>1054</v>
      </c>
      <c r="F3657">
        <v>1</v>
      </c>
      <c r="G3657">
        <v>2</v>
      </c>
      <c r="H3657">
        <v>0</v>
      </c>
      <c r="I3657" t="s">
        <v>32</v>
      </c>
      <c r="J3657">
        <v>0</v>
      </c>
      <c r="K3657">
        <v>55</v>
      </c>
      <c r="L3657" t="s">
        <v>24</v>
      </c>
      <c r="M3657" t="s">
        <v>31</v>
      </c>
      <c r="N3657" t="s">
        <v>30</v>
      </c>
      <c r="O3657" t="s">
        <v>36</v>
      </c>
      <c r="P3657">
        <v>1.76</v>
      </c>
      <c r="Q3657" s="2" t="b">
        <f>FALSE()</f>
        <v>0</v>
      </c>
      <c r="R3657">
        <v>0</v>
      </c>
    </row>
    <row r="3658" spans="1:18" x14ac:dyDescent="0.25">
      <c r="A3658">
        <v>203657</v>
      </c>
      <c r="B3658">
        <v>52401</v>
      </c>
      <c r="C3658" t="s">
        <v>18</v>
      </c>
      <c r="D3658">
        <v>2057.5500000000002</v>
      </c>
      <c r="E3658">
        <v>821</v>
      </c>
      <c r="F3658">
        <v>0</v>
      </c>
      <c r="G3658">
        <v>5</v>
      </c>
      <c r="H3658">
        <v>0</v>
      </c>
      <c r="I3658" t="s">
        <v>33</v>
      </c>
      <c r="J3658">
        <v>1</v>
      </c>
      <c r="K3658">
        <v>51</v>
      </c>
      <c r="L3658" t="s">
        <v>20</v>
      </c>
      <c r="M3658" t="s">
        <v>21</v>
      </c>
      <c r="N3658" t="s">
        <v>30</v>
      </c>
      <c r="O3658" t="s">
        <v>36</v>
      </c>
      <c r="P3658">
        <v>1.23</v>
      </c>
      <c r="Q3658" s="2" t="b">
        <f>FALSE()</f>
        <v>0</v>
      </c>
      <c r="R3658">
        <v>0</v>
      </c>
    </row>
    <row r="3659" spans="1:18" x14ac:dyDescent="0.25">
      <c r="A3659">
        <v>203658</v>
      </c>
      <c r="B3659">
        <v>52146</v>
      </c>
      <c r="C3659" t="s">
        <v>34</v>
      </c>
      <c r="D3659">
        <v>3463.02</v>
      </c>
      <c r="E3659">
        <v>18</v>
      </c>
      <c r="F3659">
        <v>1</v>
      </c>
      <c r="G3659">
        <v>1</v>
      </c>
      <c r="H3659">
        <v>0</v>
      </c>
      <c r="I3659" t="s">
        <v>19</v>
      </c>
      <c r="J3659">
        <v>1</v>
      </c>
      <c r="K3659">
        <v>62</v>
      </c>
      <c r="L3659" t="s">
        <v>20</v>
      </c>
      <c r="M3659" t="s">
        <v>31</v>
      </c>
      <c r="N3659" t="s">
        <v>22</v>
      </c>
      <c r="O3659" t="s">
        <v>23</v>
      </c>
      <c r="P3659">
        <v>6.86</v>
      </c>
      <c r="Q3659" s="2" t="b">
        <f>FALSE()</f>
        <v>0</v>
      </c>
      <c r="R3659">
        <v>0</v>
      </c>
    </row>
    <row r="3660" spans="1:18" x14ac:dyDescent="0.25">
      <c r="A3660">
        <v>203659</v>
      </c>
      <c r="B3660">
        <v>52331</v>
      </c>
      <c r="C3660" t="s">
        <v>18</v>
      </c>
      <c r="D3660">
        <v>280.97000000000003</v>
      </c>
      <c r="E3660">
        <v>2543</v>
      </c>
      <c r="F3660">
        <v>1</v>
      </c>
      <c r="G3660">
        <v>6</v>
      </c>
      <c r="H3660">
        <v>1</v>
      </c>
      <c r="I3660" t="s">
        <v>33</v>
      </c>
      <c r="J3660">
        <v>0</v>
      </c>
      <c r="K3660">
        <v>64</v>
      </c>
      <c r="L3660" t="s">
        <v>24</v>
      </c>
      <c r="M3660" t="s">
        <v>29</v>
      </c>
      <c r="N3660" t="s">
        <v>26</v>
      </c>
      <c r="O3660" t="s">
        <v>27</v>
      </c>
      <c r="P3660">
        <v>0.82</v>
      </c>
      <c r="Q3660" s="2" t="b">
        <f>FALSE()</f>
        <v>0</v>
      </c>
      <c r="R3660">
        <v>0</v>
      </c>
    </row>
    <row r="3661" spans="1:18" x14ac:dyDescent="0.25">
      <c r="A3661">
        <v>203660</v>
      </c>
      <c r="B3661">
        <v>52391</v>
      </c>
      <c r="C3661" t="s">
        <v>18</v>
      </c>
      <c r="D3661">
        <v>1331.2</v>
      </c>
      <c r="E3661">
        <v>2905</v>
      </c>
      <c r="F3661">
        <v>1</v>
      </c>
      <c r="G3661">
        <v>3</v>
      </c>
      <c r="H3661">
        <v>1</v>
      </c>
      <c r="I3661" t="s">
        <v>19</v>
      </c>
      <c r="J3661">
        <v>0</v>
      </c>
      <c r="K3661">
        <v>19</v>
      </c>
      <c r="L3661" t="s">
        <v>20</v>
      </c>
      <c r="M3661" t="s">
        <v>25</v>
      </c>
      <c r="N3661" t="s">
        <v>22</v>
      </c>
      <c r="O3661" t="s">
        <v>27</v>
      </c>
      <c r="P3661">
        <v>4.57</v>
      </c>
      <c r="Q3661" s="2" t="b">
        <f>FALSE()</f>
        <v>0</v>
      </c>
      <c r="R3661">
        <v>0</v>
      </c>
    </row>
    <row r="3662" spans="1:18" x14ac:dyDescent="0.25">
      <c r="A3662">
        <v>203661</v>
      </c>
      <c r="B3662">
        <v>51497</v>
      </c>
      <c r="C3662" t="s">
        <v>18</v>
      </c>
      <c r="D3662">
        <v>2948.52</v>
      </c>
      <c r="E3662">
        <v>779</v>
      </c>
      <c r="F3662">
        <v>0</v>
      </c>
      <c r="G3662">
        <v>5</v>
      </c>
      <c r="H3662">
        <v>0</v>
      </c>
      <c r="I3662" t="s">
        <v>33</v>
      </c>
      <c r="J3662">
        <v>0</v>
      </c>
      <c r="K3662">
        <v>41</v>
      </c>
      <c r="L3662" t="s">
        <v>20</v>
      </c>
      <c r="M3662" t="s">
        <v>29</v>
      </c>
      <c r="N3662" t="s">
        <v>30</v>
      </c>
      <c r="O3662" t="s">
        <v>23</v>
      </c>
      <c r="P3662">
        <v>3.27</v>
      </c>
      <c r="Q3662" s="2" t="b">
        <f>FALSE()</f>
        <v>0</v>
      </c>
      <c r="R3662">
        <v>0</v>
      </c>
    </row>
    <row r="3663" spans="1:18" x14ac:dyDescent="0.25">
      <c r="A3663">
        <v>203662</v>
      </c>
      <c r="B3663">
        <v>51540</v>
      </c>
      <c r="C3663" t="s">
        <v>18</v>
      </c>
      <c r="D3663">
        <v>2929.85</v>
      </c>
      <c r="E3663">
        <v>2147</v>
      </c>
      <c r="F3663">
        <v>0</v>
      </c>
      <c r="G3663">
        <v>7</v>
      </c>
      <c r="H3663">
        <v>0</v>
      </c>
      <c r="I3663" t="s">
        <v>32</v>
      </c>
      <c r="J3663">
        <v>0</v>
      </c>
      <c r="K3663">
        <v>43</v>
      </c>
      <c r="L3663" t="s">
        <v>20</v>
      </c>
      <c r="M3663" t="s">
        <v>25</v>
      </c>
      <c r="N3663" t="s">
        <v>22</v>
      </c>
      <c r="O3663" t="s">
        <v>36</v>
      </c>
      <c r="P3663">
        <v>4.3899999999999997</v>
      </c>
      <c r="Q3663" s="2" t="b">
        <f>FALSE()</f>
        <v>0</v>
      </c>
      <c r="R3663">
        <v>1</v>
      </c>
    </row>
    <row r="3664" spans="1:18" x14ac:dyDescent="0.25">
      <c r="A3664">
        <v>203663</v>
      </c>
      <c r="B3664">
        <v>54434</v>
      </c>
      <c r="C3664" t="s">
        <v>34</v>
      </c>
      <c r="D3664">
        <v>5489.24</v>
      </c>
      <c r="E3664">
        <v>214</v>
      </c>
      <c r="F3664">
        <v>1</v>
      </c>
      <c r="G3664">
        <v>5</v>
      </c>
      <c r="H3664">
        <v>0</v>
      </c>
      <c r="I3664" t="s">
        <v>19</v>
      </c>
      <c r="J3664">
        <v>0</v>
      </c>
      <c r="K3664">
        <v>46</v>
      </c>
      <c r="L3664" t="s">
        <v>24</v>
      </c>
      <c r="M3664" t="s">
        <v>29</v>
      </c>
      <c r="N3664" t="s">
        <v>26</v>
      </c>
      <c r="O3664" t="s">
        <v>23</v>
      </c>
      <c r="P3664">
        <v>0.88</v>
      </c>
      <c r="Q3664" s="2" t="b">
        <f>FALSE()</f>
        <v>0</v>
      </c>
      <c r="R3664">
        <v>1</v>
      </c>
    </row>
    <row r="3665" spans="1:18" x14ac:dyDescent="0.25">
      <c r="A3665">
        <v>203664</v>
      </c>
      <c r="B3665">
        <v>54411</v>
      </c>
      <c r="C3665" t="s">
        <v>18</v>
      </c>
      <c r="D3665">
        <v>1826.36</v>
      </c>
      <c r="E3665">
        <v>1993</v>
      </c>
      <c r="F3665">
        <v>2</v>
      </c>
      <c r="G3665">
        <v>2</v>
      </c>
      <c r="H3665">
        <v>1</v>
      </c>
      <c r="I3665" t="s">
        <v>32</v>
      </c>
      <c r="J3665">
        <v>0</v>
      </c>
      <c r="K3665">
        <v>68</v>
      </c>
      <c r="L3665" t="s">
        <v>24</v>
      </c>
      <c r="M3665" t="s">
        <v>21</v>
      </c>
      <c r="N3665" t="s">
        <v>22</v>
      </c>
      <c r="O3665" t="s">
        <v>23</v>
      </c>
      <c r="P3665">
        <v>0.05</v>
      </c>
      <c r="Q3665" s="2" t="b">
        <f>FALSE()</f>
        <v>0</v>
      </c>
      <c r="R3665">
        <v>0</v>
      </c>
    </row>
    <row r="3666" spans="1:18" x14ac:dyDescent="0.25">
      <c r="A3666">
        <v>203665</v>
      </c>
      <c r="B3666">
        <v>50676</v>
      </c>
      <c r="C3666" t="s">
        <v>18</v>
      </c>
      <c r="D3666">
        <v>1231.75</v>
      </c>
      <c r="E3666">
        <v>2206</v>
      </c>
      <c r="F3666">
        <v>1</v>
      </c>
      <c r="G3666">
        <v>5</v>
      </c>
      <c r="H3666">
        <v>0</v>
      </c>
      <c r="I3666" t="s">
        <v>33</v>
      </c>
      <c r="J3666">
        <v>0</v>
      </c>
      <c r="K3666">
        <v>68</v>
      </c>
      <c r="L3666" t="s">
        <v>24</v>
      </c>
      <c r="M3666" t="s">
        <v>35</v>
      </c>
      <c r="N3666" t="s">
        <v>26</v>
      </c>
      <c r="O3666" t="s">
        <v>36</v>
      </c>
      <c r="P3666">
        <v>0.18</v>
      </c>
      <c r="Q3666" s="2" t="b">
        <f>FALSE()</f>
        <v>0</v>
      </c>
      <c r="R3666">
        <v>0</v>
      </c>
    </row>
    <row r="3667" spans="1:18" x14ac:dyDescent="0.25">
      <c r="A3667">
        <v>203666</v>
      </c>
      <c r="B3667">
        <v>50550</v>
      </c>
      <c r="C3667" t="s">
        <v>28</v>
      </c>
      <c r="D3667">
        <v>2696.1</v>
      </c>
      <c r="E3667">
        <v>1003</v>
      </c>
      <c r="F3667">
        <v>2</v>
      </c>
      <c r="G3667">
        <v>4</v>
      </c>
      <c r="H3667">
        <v>0</v>
      </c>
      <c r="I3667" t="s">
        <v>19</v>
      </c>
      <c r="J3667">
        <v>1</v>
      </c>
      <c r="K3667">
        <v>38</v>
      </c>
      <c r="L3667" t="s">
        <v>24</v>
      </c>
      <c r="M3667" t="s">
        <v>31</v>
      </c>
      <c r="N3667" t="s">
        <v>22</v>
      </c>
      <c r="O3667" t="s">
        <v>27</v>
      </c>
      <c r="P3667">
        <v>0.06</v>
      </c>
      <c r="Q3667" s="2" t="b">
        <f>FALSE()</f>
        <v>0</v>
      </c>
      <c r="R3667">
        <v>0</v>
      </c>
    </row>
    <row r="3668" spans="1:18" x14ac:dyDescent="0.25">
      <c r="A3668">
        <v>203667</v>
      </c>
      <c r="B3668">
        <v>51222</v>
      </c>
      <c r="C3668" t="s">
        <v>34</v>
      </c>
      <c r="D3668">
        <v>1720.9</v>
      </c>
      <c r="E3668">
        <v>367</v>
      </c>
      <c r="F3668">
        <v>0</v>
      </c>
      <c r="G3668">
        <v>4</v>
      </c>
      <c r="H3668">
        <v>1</v>
      </c>
      <c r="I3668" t="s">
        <v>19</v>
      </c>
      <c r="J3668">
        <v>0</v>
      </c>
      <c r="K3668">
        <v>53</v>
      </c>
      <c r="L3668" t="s">
        <v>20</v>
      </c>
      <c r="M3668" t="s">
        <v>21</v>
      </c>
      <c r="N3668" t="s">
        <v>26</v>
      </c>
      <c r="O3668" t="s">
        <v>36</v>
      </c>
      <c r="P3668">
        <v>0.39</v>
      </c>
      <c r="Q3668" s="2" t="b">
        <f>FALSE()</f>
        <v>0</v>
      </c>
      <c r="R3668">
        <v>0</v>
      </c>
    </row>
    <row r="3669" spans="1:18" x14ac:dyDescent="0.25">
      <c r="A3669">
        <v>203668</v>
      </c>
      <c r="B3669">
        <v>53579</v>
      </c>
      <c r="C3669" t="s">
        <v>18</v>
      </c>
      <c r="D3669">
        <v>3059.73</v>
      </c>
      <c r="E3669">
        <v>1843</v>
      </c>
      <c r="F3669">
        <v>1</v>
      </c>
      <c r="G3669">
        <v>4</v>
      </c>
      <c r="H3669">
        <v>0</v>
      </c>
      <c r="I3669" t="s">
        <v>33</v>
      </c>
      <c r="J3669">
        <v>0</v>
      </c>
      <c r="K3669">
        <v>32</v>
      </c>
      <c r="L3669" t="s">
        <v>20</v>
      </c>
      <c r="M3669" t="s">
        <v>35</v>
      </c>
      <c r="N3669" t="s">
        <v>30</v>
      </c>
      <c r="O3669" t="s">
        <v>36</v>
      </c>
      <c r="P3669">
        <v>2.44</v>
      </c>
      <c r="Q3669" s="2" t="b">
        <f>FALSE()</f>
        <v>0</v>
      </c>
      <c r="R3669">
        <v>0</v>
      </c>
    </row>
    <row r="3670" spans="1:18" x14ac:dyDescent="0.25">
      <c r="A3670">
        <v>203669</v>
      </c>
      <c r="B3670">
        <v>53332</v>
      </c>
      <c r="C3670" t="s">
        <v>34</v>
      </c>
      <c r="D3670">
        <v>2776.86</v>
      </c>
      <c r="E3670">
        <v>2171</v>
      </c>
      <c r="F3670">
        <v>0</v>
      </c>
      <c r="G3670">
        <v>3</v>
      </c>
      <c r="H3670">
        <v>0</v>
      </c>
      <c r="I3670" t="s">
        <v>33</v>
      </c>
      <c r="J3670">
        <v>0</v>
      </c>
      <c r="K3670">
        <v>62</v>
      </c>
      <c r="L3670" t="s">
        <v>24</v>
      </c>
      <c r="M3670" t="s">
        <v>25</v>
      </c>
      <c r="N3670" t="s">
        <v>26</v>
      </c>
      <c r="O3670" t="s">
        <v>23</v>
      </c>
      <c r="P3670">
        <v>1.25</v>
      </c>
      <c r="Q3670" s="2" t="b">
        <f>FALSE()</f>
        <v>0</v>
      </c>
      <c r="R3670">
        <v>0</v>
      </c>
    </row>
    <row r="3671" spans="1:18" x14ac:dyDescent="0.25">
      <c r="A3671">
        <v>203670</v>
      </c>
      <c r="B3671">
        <v>51650</v>
      </c>
      <c r="C3671" t="s">
        <v>18</v>
      </c>
      <c r="D3671">
        <v>1353.91</v>
      </c>
      <c r="E3671">
        <v>1520</v>
      </c>
      <c r="F3671">
        <v>2</v>
      </c>
      <c r="G3671">
        <v>5</v>
      </c>
      <c r="H3671">
        <v>0</v>
      </c>
      <c r="I3671" t="s">
        <v>33</v>
      </c>
      <c r="J3671">
        <v>0</v>
      </c>
      <c r="K3671">
        <v>70</v>
      </c>
      <c r="L3671" t="s">
        <v>24</v>
      </c>
      <c r="M3671" t="s">
        <v>31</v>
      </c>
      <c r="N3671" t="s">
        <v>22</v>
      </c>
      <c r="O3671" t="s">
        <v>36</v>
      </c>
      <c r="P3671">
        <v>6.62</v>
      </c>
      <c r="Q3671" s="2" t="b">
        <f>FALSE()</f>
        <v>0</v>
      </c>
      <c r="R3671">
        <v>0</v>
      </c>
    </row>
    <row r="3672" spans="1:18" x14ac:dyDescent="0.25">
      <c r="A3672">
        <v>203671</v>
      </c>
      <c r="B3672">
        <v>55139</v>
      </c>
      <c r="C3672" t="s">
        <v>28</v>
      </c>
      <c r="D3672">
        <v>1524.96</v>
      </c>
      <c r="E3672">
        <v>3616</v>
      </c>
      <c r="F3672">
        <v>0</v>
      </c>
      <c r="G3672">
        <v>3</v>
      </c>
      <c r="H3672">
        <v>0</v>
      </c>
      <c r="I3672" t="s">
        <v>33</v>
      </c>
      <c r="J3672">
        <v>0</v>
      </c>
      <c r="K3672">
        <v>83</v>
      </c>
      <c r="L3672" t="s">
        <v>20</v>
      </c>
      <c r="M3672" t="s">
        <v>31</v>
      </c>
      <c r="N3672" t="s">
        <v>30</v>
      </c>
      <c r="O3672" t="s">
        <v>27</v>
      </c>
      <c r="P3672">
        <v>1.41</v>
      </c>
      <c r="Q3672" s="2" t="b">
        <f>FALSE()</f>
        <v>0</v>
      </c>
      <c r="R3672">
        <v>0</v>
      </c>
    </row>
    <row r="3673" spans="1:18" x14ac:dyDescent="0.25">
      <c r="A3673">
        <v>203672</v>
      </c>
      <c r="B3673">
        <v>54826</v>
      </c>
      <c r="C3673" t="s">
        <v>18</v>
      </c>
      <c r="D3673">
        <v>2437.96</v>
      </c>
      <c r="E3673">
        <v>2084</v>
      </c>
      <c r="F3673">
        <v>1</v>
      </c>
      <c r="G3673">
        <v>1</v>
      </c>
      <c r="H3673">
        <v>1</v>
      </c>
      <c r="I3673" t="s">
        <v>19</v>
      </c>
      <c r="J3673">
        <v>0</v>
      </c>
      <c r="K3673">
        <v>35</v>
      </c>
      <c r="L3673" t="s">
        <v>20</v>
      </c>
      <c r="M3673" t="s">
        <v>35</v>
      </c>
      <c r="N3673" t="s">
        <v>30</v>
      </c>
      <c r="O3673" t="s">
        <v>27</v>
      </c>
      <c r="P3673">
        <v>0.43</v>
      </c>
      <c r="Q3673" s="2" t="b">
        <f>FALSE()</f>
        <v>0</v>
      </c>
      <c r="R3673">
        <v>0</v>
      </c>
    </row>
    <row r="3674" spans="1:18" x14ac:dyDescent="0.25">
      <c r="A3674">
        <v>203673</v>
      </c>
      <c r="B3674">
        <v>51677</v>
      </c>
      <c r="C3674" t="s">
        <v>18</v>
      </c>
      <c r="D3674">
        <v>2806.11</v>
      </c>
      <c r="E3674">
        <v>2358</v>
      </c>
      <c r="F3674">
        <v>0</v>
      </c>
      <c r="G3674">
        <v>2</v>
      </c>
      <c r="H3674">
        <v>0</v>
      </c>
      <c r="I3674" t="s">
        <v>19</v>
      </c>
      <c r="J3674">
        <v>1</v>
      </c>
      <c r="K3674">
        <v>23</v>
      </c>
      <c r="L3674" t="s">
        <v>20</v>
      </c>
      <c r="M3674" t="s">
        <v>21</v>
      </c>
      <c r="N3674" t="s">
        <v>30</v>
      </c>
      <c r="O3674" t="s">
        <v>23</v>
      </c>
      <c r="P3674">
        <v>5.62</v>
      </c>
      <c r="Q3674" s="2" t="b">
        <f>FALSE()</f>
        <v>0</v>
      </c>
      <c r="R3674">
        <v>0</v>
      </c>
    </row>
    <row r="3675" spans="1:18" x14ac:dyDescent="0.25">
      <c r="A3675">
        <v>203674</v>
      </c>
      <c r="B3675">
        <v>50305</v>
      </c>
      <c r="C3675" t="s">
        <v>28</v>
      </c>
      <c r="D3675">
        <v>1796.11</v>
      </c>
      <c r="E3675">
        <v>3089</v>
      </c>
      <c r="F3675">
        <v>1</v>
      </c>
      <c r="G3675">
        <v>3</v>
      </c>
      <c r="H3675">
        <v>1</v>
      </c>
      <c r="I3675" t="s">
        <v>19</v>
      </c>
      <c r="J3675">
        <v>0</v>
      </c>
      <c r="K3675">
        <v>52</v>
      </c>
      <c r="L3675" t="s">
        <v>38</v>
      </c>
      <c r="M3675" t="s">
        <v>31</v>
      </c>
      <c r="N3675" t="s">
        <v>26</v>
      </c>
      <c r="O3675" t="s">
        <v>36</v>
      </c>
      <c r="P3675">
        <v>1.42</v>
      </c>
      <c r="Q3675" s="2" t="b">
        <f>FALSE()</f>
        <v>0</v>
      </c>
      <c r="R3675">
        <v>0</v>
      </c>
    </row>
    <row r="3676" spans="1:18" x14ac:dyDescent="0.25">
      <c r="A3676">
        <v>203675</v>
      </c>
      <c r="B3676">
        <v>50053</v>
      </c>
      <c r="C3676" t="s">
        <v>18</v>
      </c>
      <c r="D3676">
        <v>509.03</v>
      </c>
      <c r="E3676">
        <v>3413</v>
      </c>
      <c r="F3676">
        <v>0</v>
      </c>
      <c r="G3676">
        <v>8</v>
      </c>
      <c r="H3676">
        <v>1</v>
      </c>
      <c r="I3676" t="s">
        <v>33</v>
      </c>
      <c r="J3676">
        <v>0</v>
      </c>
      <c r="K3676">
        <v>25</v>
      </c>
      <c r="L3676" t="s">
        <v>20</v>
      </c>
      <c r="M3676" t="s">
        <v>25</v>
      </c>
      <c r="N3676" t="s">
        <v>30</v>
      </c>
      <c r="O3676" t="s">
        <v>36</v>
      </c>
      <c r="P3676">
        <v>1.42</v>
      </c>
      <c r="Q3676" s="2" t="b">
        <f>FALSE()</f>
        <v>0</v>
      </c>
      <c r="R3676">
        <v>1</v>
      </c>
    </row>
    <row r="3677" spans="1:18" x14ac:dyDescent="0.25">
      <c r="A3677">
        <v>203676</v>
      </c>
      <c r="B3677">
        <v>54270</v>
      </c>
      <c r="C3677" t="s">
        <v>18</v>
      </c>
      <c r="D3677">
        <v>3119.06</v>
      </c>
      <c r="E3677">
        <v>1712</v>
      </c>
      <c r="F3677">
        <v>0</v>
      </c>
      <c r="G3677">
        <v>3</v>
      </c>
      <c r="H3677">
        <v>1</v>
      </c>
      <c r="I3677" t="s">
        <v>33</v>
      </c>
      <c r="J3677">
        <v>0</v>
      </c>
      <c r="K3677">
        <v>56</v>
      </c>
      <c r="L3677" t="s">
        <v>20</v>
      </c>
      <c r="M3677" t="s">
        <v>21</v>
      </c>
      <c r="N3677" t="s">
        <v>22</v>
      </c>
      <c r="O3677" t="s">
        <v>36</v>
      </c>
      <c r="P3677">
        <v>5.44</v>
      </c>
      <c r="Q3677" s="2" t="b">
        <f>FALSE()</f>
        <v>0</v>
      </c>
      <c r="R3677">
        <v>0</v>
      </c>
    </row>
    <row r="3678" spans="1:18" x14ac:dyDescent="0.25">
      <c r="A3678">
        <v>203677</v>
      </c>
      <c r="B3678">
        <v>51027</v>
      </c>
      <c r="C3678" t="s">
        <v>34</v>
      </c>
      <c r="D3678">
        <v>3521.44</v>
      </c>
      <c r="E3678">
        <v>2336</v>
      </c>
      <c r="F3678">
        <v>0</v>
      </c>
      <c r="G3678">
        <v>1</v>
      </c>
      <c r="H3678">
        <v>0</v>
      </c>
      <c r="I3678" t="s">
        <v>19</v>
      </c>
      <c r="J3678">
        <v>0</v>
      </c>
      <c r="K3678">
        <v>84</v>
      </c>
      <c r="L3678" t="s">
        <v>20</v>
      </c>
      <c r="M3678" t="s">
        <v>25</v>
      </c>
      <c r="N3678" t="s">
        <v>30</v>
      </c>
      <c r="O3678" t="s">
        <v>27</v>
      </c>
      <c r="P3678">
        <v>0.14000000000000001</v>
      </c>
      <c r="Q3678" s="2" t="b">
        <f>FALSE()</f>
        <v>0</v>
      </c>
      <c r="R3678">
        <v>0</v>
      </c>
    </row>
    <row r="3679" spans="1:18" x14ac:dyDescent="0.25">
      <c r="A3679">
        <v>203678</v>
      </c>
      <c r="B3679">
        <v>53874</v>
      </c>
      <c r="C3679" t="s">
        <v>34</v>
      </c>
      <c r="D3679">
        <v>1365.56</v>
      </c>
      <c r="E3679">
        <v>3415</v>
      </c>
      <c r="F3679">
        <v>1</v>
      </c>
      <c r="G3679">
        <v>1</v>
      </c>
      <c r="H3679">
        <v>0</v>
      </c>
      <c r="I3679" t="s">
        <v>33</v>
      </c>
      <c r="J3679">
        <v>1</v>
      </c>
      <c r="K3679">
        <v>42</v>
      </c>
      <c r="L3679" t="s">
        <v>20</v>
      </c>
      <c r="M3679" t="s">
        <v>29</v>
      </c>
      <c r="N3679" t="s">
        <v>30</v>
      </c>
      <c r="O3679" t="s">
        <v>27</v>
      </c>
      <c r="P3679">
        <v>0.1</v>
      </c>
      <c r="Q3679" s="2" t="b">
        <f>FALSE()</f>
        <v>0</v>
      </c>
      <c r="R3679">
        <v>0</v>
      </c>
    </row>
    <row r="3680" spans="1:18" x14ac:dyDescent="0.25">
      <c r="A3680">
        <v>203679</v>
      </c>
      <c r="B3680">
        <v>54782</v>
      </c>
      <c r="C3680" t="s">
        <v>18</v>
      </c>
      <c r="D3680">
        <v>5283.08</v>
      </c>
      <c r="E3680">
        <v>2780</v>
      </c>
      <c r="F3680">
        <v>1</v>
      </c>
      <c r="G3680">
        <v>3</v>
      </c>
      <c r="H3680">
        <v>0</v>
      </c>
      <c r="I3680" t="s">
        <v>33</v>
      </c>
      <c r="J3680">
        <v>0</v>
      </c>
      <c r="K3680">
        <v>29</v>
      </c>
      <c r="L3680" t="s">
        <v>24</v>
      </c>
      <c r="M3680" t="s">
        <v>35</v>
      </c>
      <c r="N3680" t="s">
        <v>22</v>
      </c>
      <c r="O3680" t="s">
        <v>27</v>
      </c>
      <c r="P3680">
        <v>6.88</v>
      </c>
      <c r="Q3680" s="2" t="b">
        <f>FALSE()</f>
        <v>0</v>
      </c>
      <c r="R3680">
        <v>1</v>
      </c>
    </row>
    <row r="3681" spans="1:18" x14ac:dyDescent="0.25">
      <c r="A3681">
        <v>203680</v>
      </c>
      <c r="B3681">
        <v>51246</v>
      </c>
      <c r="C3681" t="s">
        <v>18</v>
      </c>
      <c r="D3681">
        <v>1538.35</v>
      </c>
      <c r="E3681">
        <v>1776</v>
      </c>
      <c r="F3681">
        <v>2</v>
      </c>
      <c r="G3681">
        <v>1</v>
      </c>
      <c r="H3681">
        <v>0</v>
      </c>
      <c r="I3681" t="s">
        <v>33</v>
      </c>
      <c r="J3681">
        <v>0</v>
      </c>
      <c r="K3681">
        <v>45</v>
      </c>
      <c r="L3681" t="s">
        <v>24</v>
      </c>
      <c r="M3681" t="s">
        <v>21</v>
      </c>
      <c r="N3681" t="s">
        <v>26</v>
      </c>
      <c r="O3681" t="s">
        <v>23</v>
      </c>
      <c r="P3681">
        <v>7.45</v>
      </c>
      <c r="Q3681" s="2" t="b">
        <f>FALSE()</f>
        <v>0</v>
      </c>
      <c r="R3681">
        <v>0</v>
      </c>
    </row>
    <row r="3682" spans="1:18" x14ac:dyDescent="0.25">
      <c r="A3682">
        <v>203681</v>
      </c>
      <c r="B3682">
        <v>53231</v>
      </c>
      <c r="C3682" t="s">
        <v>18</v>
      </c>
      <c r="D3682">
        <v>4546.3500000000004</v>
      </c>
      <c r="E3682">
        <v>338</v>
      </c>
      <c r="F3682">
        <v>0</v>
      </c>
      <c r="G3682">
        <v>6</v>
      </c>
      <c r="H3682">
        <v>0</v>
      </c>
      <c r="I3682" t="s">
        <v>19</v>
      </c>
      <c r="J3682">
        <v>0</v>
      </c>
      <c r="K3682">
        <v>44</v>
      </c>
      <c r="L3682" t="s">
        <v>20</v>
      </c>
      <c r="M3682" t="s">
        <v>31</v>
      </c>
      <c r="N3682" t="s">
        <v>22</v>
      </c>
      <c r="O3682" t="s">
        <v>27</v>
      </c>
      <c r="P3682">
        <v>8.61</v>
      </c>
      <c r="Q3682" s="2" t="b">
        <f>FALSE()</f>
        <v>0</v>
      </c>
      <c r="R3682">
        <v>1</v>
      </c>
    </row>
    <row r="3683" spans="1:18" x14ac:dyDescent="0.25">
      <c r="A3683">
        <v>203682</v>
      </c>
      <c r="B3683">
        <v>50691</v>
      </c>
      <c r="C3683" t="s">
        <v>34</v>
      </c>
      <c r="D3683">
        <v>1945.08</v>
      </c>
      <c r="E3683">
        <v>2979</v>
      </c>
      <c r="F3683">
        <v>3</v>
      </c>
      <c r="G3683">
        <v>4</v>
      </c>
      <c r="H3683">
        <v>0</v>
      </c>
      <c r="I3683" t="s">
        <v>32</v>
      </c>
      <c r="J3683">
        <v>0</v>
      </c>
      <c r="K3683">
        <v>47</v>
      </c>
      <c r="L3683" t="s">
        <v>24</v>
      </c>
      <c r="M3683" t="s">
        <v>25</v>
      </c>
      <c r="N3683" t="s">
        <v>22</v>
      </c>
      <c r="O3683" t="s">
        <v>36</v>
      </c>
      <c r="P3683">
        <v>6.68</v>
      </c>
      <c r="Q3683" s="2" t="b">
        <f>FALSE()</f>
        <v>0</v>
      </c>
      <c r="R3683">
        <v>1</v>
      </c>
    </row>
    <row r="3684" spans="1:18" x14ac:dyDescent="0.25">
      <c r="A3684">
        <v>203683</v>
      </c>
      <c r="B3684">
        <v>55746</v>
      </c>
      <c r="C3684" t="s">
        <v>34</v>
      </c>
      <c r="D3684">
        <v>1621.44</v>
      </c>
      <c r="E3684">
        <v>489</v>
      </c>
      <c r="F3684">
        <v>2</v>
      </c>
      <c r="G3684">
        <v>3</v>
      </c>
      <c r="H3684">
        <v>0</v>
      </c>
      <c r="I3684" t="s">
        <v>32</v>
      </c>
      <c r="J3684">
        <v>0</v>
      </c>
      <c r="K3684">
        <v>21</v>
      </c>
      <c r="L3684" t="s">
        <v>24</v>
      </c>
      <c r="M3684" t="s">
        <v>29</v>
      </c>
      <c r="N3684" t="s">
        <v>22</v>
      </c>
      <c r="O3684" t="s">
        <v>27</v>
      </c>
      <c r="P3684">
        <v>0.96</v>
      </c>
      <c r="Q3684" s="2" t="b">
        <f>FALSE()</f>
        <v>0</v>
      </c>
      <c r="R3684">
        <v>0</v>
      </c>
    </row>
    <row r="3685" spans="1:18" x14ac:dyDescent="0.25">
      <c r="A3685">
        <v>203684</v>
      </c>
      <c r="B3685">
        <v>51215</v>
      </c>
      <c r="C3685" t="s">
        <v>18</v>
      </c>
      <c r="D3685">
        <v>1141.23</v>
      </c>
      <c r="E3685">
        <v>845</v>
      </c>
      <c r="F3685">
        <v>1</v>
      </c>
      <c r="G3685">
        <v>4</v>
      </c>
      <c r="H3685">
        <v>1</v>
      </c>
      <c r="I3685" t="s">
        <v>33</v>
      </c>
      <c r="J3685">
        <v>0</v>
      </c>
      <c r="K3685">
        <v>53</v>
      </c>
      <c r="L3685" t="s">
        <v>20</v>
      </c>
      <c r="M3685" t="s">
        <v>25</v>
      </c>
      <c r="N3685" t="s">
        <v>22</v>
      </c>
      <c r="O3685" t="s">
        <v>27</v>
      </c>
      <c r="P3685">
        <v>9.18</v>
      </c>
      <c r="Q3685" s="2" t="b">
        <f>FALSE()</f>
        <v>0</v>
      </c>
      <c r="R3685">
        <v>0</v>
      </c>
    </row>
    <row r="3686" spans="1:18" x14ac:dyDescent="0.25">
      <c r="A3686">
        <v>203685</v>
      </c>
      <c r="B3686">
        <v>55668</v>
      </c>
      <c r="C3686" t="s">
        <v>34</v>
      </c>
      <c r="D3686">
        <v>2473.84</v>
      </c>
      <c r="E3686">
        <v>1237</v>
      </c>
      <c r="F3686">
        <v>0</v>
      </c>
      <c r="G3686">
        <v>3</v>
      </c>
      <c r="H3686">
        <v>0</v>
      </c>
      <c r="I3686" t="s">
        <v>19</v>
      </c>
      <c r="J3686">
        <v>0</v>
      </c>
      <c r="K3686">
        <v>20</v>
      </c>
      <c r="L3686" t="s">
        <v>24</v>
      </c>
      <c r="M3686" t="s">
        <v>25</v>
      </c>
      <c r="N3686" t="s">
        <v>22</v>
      </c>
      <c r="O3686" t="s">
        <v>27</v>
      </c>
      <c r="P3686">
        <v>3.02</v>
      </c>
      <c r="Q3686" s="2" t="b">
        <f>FALSE()</f>
        <v>0</v>
      </c>
      <c r="R3686">
        <v>0</v>
      </c>
    </row>
    <row r="3687" spans="1:18" x14ac:dyDescent="0.25">
      <c r="A3687">
        <v>203686</v>
      </c>
      <c r="B3687">
        <v>50570</v>
      </c>
      <c r="C3687" t="s">
        <v>18</v>
      </c>
      <c r="D3687">
        <v>2198.15</v>
      </c>
      <c r="E3687">
        <v>624</v>
      </c>
      <c r="F3687">
        <v>0</v>
      </c>
      <c r="G3687">
        <v>1</v>
      </c>
      <c r="H3687">
        <v>0</v>
      </c>
      <c r="I3687" t="s">
        <v>33</v>
      </c>
      <c r="J3687">
        <v>0</v>
      </c>
      <c r="K3687">
        <v>76</v>
      </c>
      <c r="L3687" t="s">
        <v>20</v>
      </c>
      <c r="M3687" t="s">
        <v>37</v>
      </c>
      <c r="N3687" t="s">
        <v>30</v>
      </c>
      <c r="O3687" t="s">
        <v>27</v>
      </c>
      <c r="P3687">
        <v>3.07</v>
      </c>
      <c r="Q3687" s="2" t="b">
        <f>FALSE()</f>
        <v>0</v>
      </c>
      <c r="R3687">
        <v>0</v>
      </c>
    </row>
    <row r="3688" spans="1:18" x14ac:dyDescent="0.25">
      <c r="A3688">
        <v>203687</v>
      </c>
      <c r="B3688">
        <v>54713</v>
      </c>
      <c r="C3688" t="s">
        <v>18</v>
      </c>
      <c r="D3688">
        <v>1259.32</v>
      </c>
      <c r="E3688">
        <v>1732</v>
      </c>
      <c r="F3688">
        <v>3</v>
      </c>
      <c r="G3688">
        <v>3</v>
      </c>
      <c r="H3688">
        <v>1</v>
      </c>
      <c r="I3688" t="s">
        <v>33</v>
      </c>
      <c r="J3688">
        <v>0</v>
      </c>
      <c r="K3688">
        <v>48</v>
      </c>
      <c r="L3688" t="s">
        <v>20</v>
      </c>
      <c r="M3688" t="s">
        <v>31</v>
      </c>
      <c r="N3688" t="s">
        <v>30</v>
      </c>
      <c r="O3688" t="s">
        <v>36</v>
      </c>
      <c r="P3688">
        <v>4.8499999999999996</v>
      </c>
      <c r="Q3688" s="2" t="b">
        <f>FALSE()</f>
        <v>0</v>
      </c>
      <c r="R3688">
        <v>1</v>
      </c>
    </row>
    <row r="3689" spans="1:18" x14ac:dyDescent="0.25">
      <c r="A3689">
        <v>203688</v>
      </c>
      <c r="B3689">
        <v>50355</v>
      </c>
      <c r="C3689" t="s">
        <v>28</v>
      </c>
      <c r="D3689">
        <v>705.34</v>
      </c>
      <c r="E3689">
        <v>1590</v>
      </c>
      <c r="F3689">
        <v>0</v>
      </c>
      <c r="G3689">
        <v>5</v>
      </c>
      <c r="H3689">
        <v>0</v>
      </c>
      <c r="I3689" t="s">
        <v>19</v>
      </c>
      <c r="J3689">
        <v>1</v>
      </c>
      <c r="K3689">
        <v>19</v>
      </c>
      <c r="L3689" t="s">
        <v>24</v>
      </c>
      <c r="M3689" t="s">
        <v>31</v>
      </c>
      <c r="N3689" t="s">
        <v>30</v>
      </c>
      <c r="O3689" t="s">
        <v>36</v>
      </c>
      <c r="P3689">
        <v>13.15</v>
      </c>
      <c r="Q3689" s="2" t="b">
        <f>FALSE()</f>
        <v>0</v>
      </c>
      <c r="R3689">
        <v>0</v>
      </c>
    </row>
    <row r="3690" spans="1:18" x14ac:dyDescent="0.25">
      <c r="A3690">
        <v>203689</v>
      </c>
      <c r="B3690">
        <v>53183</v>
      </c>
      <c r="C3690" t="s">
        <v>28</v>
      </c>
      <c r="D3690">
        <v>2303.58</v>
      </c>
      <c r="E3690">
        <v>1304</v>
      </c>
      <c r="F3690">
        <v>1</v>
      </c>
      <c r="G3690">
        <v>1</v>
      </c>
      <c r="H3690">
        <v>0</v>
      </c>
      <c r="I3690" t="s">
        <v>19</v>
      </c>
      <c r="J3690">
        <v>1</v>
      </c>
      <c r="K3690">
        <v>50</v>
      </c>
      <c r="L3690" t="s">
        <v>20</v>
      </c>
      <c r="M3690" t="s">
        <v>35</v>
      </c>
      <c r="N3690" t="s">
        <v>22</v>
      </c>
      <c r="O3690" t="s">
        <v>27</v>
      </c>
      <c r="P3690">
        <v>1.31</v>
      </c>
      <c r="Q3690" s="2" t="b">
        <f>FALSE()</f>
        <v>0</v>
      </c>
      <c r="R3690">
        <v>0</v>
      </c>
    </row>
    <row r="3691" spans="1:18" x14ac:dyDescent="0.25">
      <c r="A3691">
        <v>203690</v>
      </c>
      <c r="B3691">
        <v>55181</v>
      </c>
      <c r="C3691" t="s">
        <v>18</v>
      </c>
      <c r="D3691">
        <v>248.35</v>
      </c>
      <c r="E3691">
        <v>3556</v>
      </c>
      <c r="F3691">
        <v>1</v>
      </c>
      <c r="G3691">
        <v>10</v>
      </c>
      <c r="H3691">
        <v>0</v>
      </c>
      <c r="I3691" t="s">
        <v>33</v>
      </c>
      <c r="J3691">
        <v>0</v>
      </c>
      <c r="K3691">
        <v>34</v>
      </c>
      <c r="L3691" t="s">
        <v>24</v>
      </c>
      <c r="M3691" t="s">
        <v>31</v>
      </c>
      <c r="N3691" t="s">
        <v>22</v>
      </c>
      <c r="O3691" t="s">
        <v>27</v>
      </c>
      <c r="P3691">
        <v>11.62</v>
      </c>
      <c r="Q3691" s="2" t="b">
        <f>FALSE()</f>
        <v>0</v>
      </c>
      <c r="R3691">
        <v>1</v>
      </c>
    </row>
    <row r="3692" spans="1:18" x14ac:dyDescent="0.25">
      <c r="A3692">
        <v>203691</v>
      </c>
      <c r="B3692">
        <v>51853</v>
      </c>
      <c r="C3692" t="s">
        <v>18</v>
      </c>
      <c r="D3692">
        <v>5589.64</v>
      </c>
      <c r="E3692">
        <v>659</v>
      </c>
      <c r="F3692">
        <v>3</v>
      </c>
      <c r="G3692">
        <v>5</v>
      </c>
      <c r="H3692">
        <v>1</v>
      </c>
      <c r="I3692" t="s">
        <v>33</v>
      </c>
      <c r="J3692">
        <v>0</v>
      </c>
      <c r="K3692">
        <v>75</v>
      </c>
      <c r="L3692" t="s">
        <v>24</v>
      </c>
      <c r="M3692" t="s">
        <v>35</v>
      </c>
      <c r="N3692" t="s">
        <v>26</v>
      </c>
      <c r="O3692" t="s">
        <v>27</v>
      </c>
      <c r="P3692">
        <v>0.59</v>
      </c>
      <c r="Q3692" s="2" t="b">
        <f>FALSE()</f>
        <v>0</v>
      </c>
      <c r="R3692">
        <v>1</v>
      </c>
    </row>
    <row r="3693" spans="1:18" x14ac:dyDescent="0.25">
      <c r="A3693">
        <v>203692</v>
      </c>
      <c r="B3693">
        <v>53428</v>
      </c>
      <c r="C3693" t="s">
        <v>34</v>
      </c>
      <c r="D3693">
        <v>1012.52</v>
      </c>
      <c r="E3693">
        <v>2716</v>
      </c>
      <c r="F3693">
        <v>0</v>
      </c>
      <c r="G3693">
        <v>7</v>
      </c>
      <c r="H3693">
        <v>0</v>
      </c>
      <c r="I3693" t="s">
        <v>19</v>
      </c>
      <c r="J3693">
        <v>0</v>
      </c>
      <c r="K3693">
        <v>70</v>
      </c>
      <c r="L3693" t="s">
        <v>20</v>
      </c>
      <c r="M3693" t="s">
        <v>29</v>
      </c>
      <c r="N3693" t="s">
        <v>30</v>
      </c>
      <c r="O3693" t="s">
        <v>27</v>
      </c>
      <c r="P3693">
        <v>0.11</v>
      </c>
      <c r="Q3693" s="2" t="b">
        <f>FALSE()</f>
        <v>0</v>
      </c>
      <c r="R3693">
        <v>1</v>
      </c>
    </row>
    <row r="3694" spans="1:18" x14ac:dyDescent="0.25">
      <c r="A3694">
        <v>203693</v>
      </c>
      <c r="B3694">
        <v>51869</v>
      </c>
      <c r="C3694" t="s">
        <v>18</v>
      </c>
      <c r="D3694">
        <v>1304.31</v>
      </c>
      <c r="E3694">
        <v>1058</v>
      </c>
      <c r="F3694">
        <v>2</v>
      </c>
      <c r="G3694">
        <v>5</v>
      </c>
      <c r="H3694">
        <v>0</v>
      </c>
      <c r="I3694" t="s">
        <v>33</v>
      </c>
      <c r="J3694">
        <v>0</v>
      </c>
      <c r="K3694">
        <v>60</v>
      </c>
      <c r="L3694" t="s">
        <v>24</v>
      </c>
      <c r="M3694" t="s">
        <v>21</v>
      </c>
      <c r="N3694" t="s">
        <v>22</v>
      </c>
      <c r="O3694" t="s">
        <v>27</v>
      </c>
      <c r="P3694">
        <v>2.73</v>
      </c>
      <c r="Q3694" s="2" t="b">
        <f>FALSE()</f>
        <v>0</v>
      </c>
      <c r="R3694">
        <v>0</v>
      </c>
    </row>
    <row r="3695" spans="1:18" x14ac:dyDescent="0.25">
      <c r="A3695">
        <v>203694</v>
      </c>
      <c r="B3695">
        <v>50107</v>
      </c>
      <c r="C3695" t="s">
        <v>18</v>
      </c>
      <c r="D3695">
        <v>228.17</v>
      </c>
      <c r="E3695">
        <v>455</v>
      </c>
      <c r="F3695">
        <v>2</v>
      </c>
      <c r="G3695">
        <v>4</v>
      </c>
      <c r="H3695">
        <v>0</v>
      </c>
      <c r="I3695" t="s">
        <v>33</v>
      </c>
      <c r="J3695">
        <v>1</v>
      </c>
      <c r="K3695">
        <v>72</v>
      </c>
      <c r="L3695" t="s">
        <v>20</v>
      </c>
      <c r="M3695" t="s">
        <v>25</v>
      </c>
      <c r="N3695" t="s">
        <v>26</v>
      </c>
      <c r="O3695" t="s">
        <v>36</v>
      </c>
      <c r="P3695">
        <v>3.39</v>
      </c>
      <c r="Q3695" s="2" t="b">
        <f>FALSE()</f>
        <v>0</v>
      </c>
      <c r="R3695">
        <v>0</v>
      </c>
    </row>
    <row r="3696" spans="1:18" x14ac:dyDescent="0.25">
      <c r="A3696">
        <v>203695</v>
      </c>
      <c r="B3696">
        <v>51618</v>
      </c>
      <c r="C3696" t="s">
        <v>18</v>
      </c>
      <c r="D3696">
        <v>2429.9</v>
      </c>
      <c r="E3696">
        <v>2650</v>
      </c>
      <c r="F3696">
        <v>1</v>
      </c>
      <c r="G3696">
        <v>3</v>
      </c>
      <c r="H3696">
        <v>1</v>
      </c>
      <c r="I3696" t="s">
        <v>19</v>
      </c>
      <c r="J3696">
        <v>0</v>
      </c>
      <c r="K3696">
        <v>34</v>
      </c>
      <c r="L3696" t="s">
        <v>20</v>
      </c>
      <c r="M3696" t="s">
        <v>35</v>
      </c>
      <c r="N3696" t="s">
        <v>30</v>
      </c>
      <c r="O3696" t="s">
        <v>27</v>
      </c>
      <c r="P3696">
        <v>1.95</v>
      </c>
      <c r="Q3696" s="2" t="b">
        <f>FALSE()</f>
        <v>0</v>
      </c>
      <c r="R3696">
        <v>0</v>
      </c>
    </row>
    <row r="3697" spans="1:18" x14ac:dyDescent="0.25">
      <c r="A3697">
        <v>203696</v>
      </c>
      <c r="B3697">
        <v>52712</v>
      </c>
      <c r="C3697" t="s">
        <v>34</v>
      </c>
      <c r="D3697">
        <v>935.67</v>
      </c>
      <c r="E3697">
        <v>940</v>
      </c>
      <c r="F3697">
        <v>2</v>
      </c>
      <c r="G3697">
        <v>12</v>
      </c>
      <c r="H3697">
        <v>0</v>
      </c>
      <c r="I3697" t="s">
        <v>33</v>
      </c>
      <c r="J3697">
        <v>0</v>
      </c>
      <c r="K3697">
        <v>77</v>
      </c>
      <c r="L3697" t="s">
        <v>24</v>
      </c>
      <c r="M3697" t="s">
        <v>29</v>
      </c>
      <c r="N3697" t="s">
        <v>22</v>
      </c>
      <c r="O3697" t="s">
        <v>36</v>
      </c>
      <c r="P3697">
        <v>0.85</v>
      </c>
      <c r="Q3697" s="2" t="b">
        <f>FALSE()</f>
        <v>0</v>
      </c>
      <c r="R3697">
        <v>1</v>
      </c>
    </row>
    <row r="3698" spans="1:18" x14ac:dyDescent="0.25">
      <c r="A3698">
        <v>203697</v>
      </c>
      <c r="B3698">
        <v>54627</v>
      </c>
      <c r="C3698" t="s">
        <v>34</v>
      </c>
      <c r="D3698">
        <v>2632.66</v>
      </c>
      <c r="E3698">
        <v>1615</v>
      </c>
      <c r="F3698">
        <v>2</v>
      </c>
      <c r="G3698">
        <v>3</v>
      </c>
      <c r="H3698">
        <v>0</v>
      </c>
      <c r="I3698" t="s">
        <v>19</v>
      </c>
      <c r="J3698">
        <v>1</v>
      </c>
      <c r="K3698">
        <v>74</v>
      </c>
      <c r="L3698" t="s">
        <v>24</v>
      </c>
      <c r="M3698" t="s">
        <v>29</v>
      </c>
      <c r="N3698" t="s">
        <v>22</v>
      </c>
      <c r="O3698" t="s">
        <v>27</v>
      </c>
      <c r="P3698">
        <v>4.29</v>
      </c>
      <c r="Q3698" s="2" t="b">
        <f>FALSE()</f>
        <v>0</v>
      </c>
      <c r="R3698">
        <v>0</v>
      </c>
    </row>
    <row r="3699" spans="1:18" x14ac:dyDescent="0.25">
      <c r="A3699">
        <v>203698</v>
      </c>
      <c r="B3699">
        <v>54243</v>
      </c>
      <c r="C3699" t="s">
        <v>18</v>
      </c>
      <c r="D3699">
        <v>1139.17</v>
      </c>
      <c r="E3699">
        <v>2590</v>
      </c>
      <c r="F3699">
        <v>1</v>
      </c>
      <c r="G3699">
        <v>4</v>
      </c>
      <c r="H3699">
        <v>1</v>
      </c>
      <c r="I3699" t="s">
        <v>33</v>
      </c>
      <c r="J3699">
        <v>0</v>
      </c>
      <c r="K3699">
        <v>22</v>
      </c>
      <c r="L3699" t="s">
        <v>20</v>
      </c>
      <c r="M3699" t="s">
        <v>35</v>
      </c>
      <c r="N3699" t="s">
        <v>22</v>
      </c>
      <c r="O3699" t="s">
        <v>36</v>
      </c>
      <c r="P3699">
        <v>1.36</v>
      </c>
      <c r="Q3699" s="2" t="b">
        <f>FALSE()</f>
        <v>0</v>
      </c>
      <c r="R3699">
        <v>0</v>
      </c>
    </row>
    <row r="3700" spans="1:18" x14ac:dyDescent="0.25">
      <c r="A3700">
        <v>203699</v>
      </c>
      <c r="B3700">
        <v>54976</v>
      </c>
      <c r="C3700" t="s">
        <v>18</v>
      </c>
      <c r="D3700">
        <v>4728.2299999999996</v>
      </c>
      <c r="E3700">
        <v>2073</v>
      </c>
      <c r="F3700">
        <v>0</v>
      </c>
      <c r="G3700">
        <v>4</v>
      </c>
      <c r="H3700">
        <v>0</v>
      </c>
      <c r="I3700" t="s">
        <v>19</v>
      </c>
      <c r="J3700">
        <v>1</v>
      </c>
      <c r="K3700">
        <v>28</v>
      </c>
      <c r="L3700" t="s">
        <v>24</v>
      </c>
      <c r="M3700" t="s">
        <v>21</v>
      </c>
      <c r="N3700" t="s">
        <v>22</v>
      </c>
      <c r="O3700" t="s">
        <v>36</v>
      </c>
      <c r="P3700">
        <v>5.6</v>
      </c>
      <c r="Q3700" s="2" t="b">
        <f>FALSE()</f>
        <v>0</v>
      </c>
      <c r="R3700">
        <v>1</v>
      </c>
    </row>
    <row r="3701" spans="1:18" x14ac:dyDescent="0.25">
      <c r="A3701">
        <v>203700</v>
      </c>
      <c r="B3701">
        <v>52322</v>
      </c>
      <c r="C3701" t="s">
        <v>18</v>
      </c>
      <c r="D3701">
        <v>6130.33</v>
      </c>
      <c r="E3701">
        <v>1566</v>
      </c>
      <c r="F3701">
        <v>2</v>
      </c>
      <c r="G3701">
        <v>5</v>
      </c>
      <c r="H3701">
        <v>0</v>
      </c>
      <c r="I3701" t="s">
        <v>19</v>
      </c>
      <c r="J3701">
        <v>0</v>
      </c>
      <c r="K3701">
        <v>74</v>
      </c>
      <c r="L3701" t="s">
        <v>24</v>
      </c>
      <c r="M3701" t="s">
        <v>37</v>
      </c>
      <c r="N3701" t="s">
        <v>22</v>
      </c>
      <c r="O3701" t="s">
        <v>23</v>
      </c>
      <c r="P3701">
        <v>1.21</v>
      </c>
      <c r="Q3701" s="2" t="b">
        <f>FALSE()</f>
        <v>0</v>
      </c>
      <c r="R3701">
        <v>1</v>
      </c>
    </row>
    <row r="3702" spans="1:18" x14ac:dyDescent="0.25">
      <c r="A3702">
        <v>203701</v>
      </c>
      <c r="B3702">
        <v>50679</v>
      </c>
      <c r="C3702" t="s">
        <v>34</v>
      </c>
      <c r="D3702">
        <v>2603.31</v>
      </c>
      <c r="E3702">
        <v>3329</v>
      </c>
      <c r="F3702">
        <v>1</v>
      </c>
      <c r="G3702">
        <v>8</v>
      </c>
      <c r="H3702">
        <v>0</v>
      </c>
      <c r="I3702" t="s">
        <v>33</v>
      </c>
      <c r="J3702">
        <v>1</v>
      </c>
      <c r="K3702">
        <v>36</v>
      </c>
      <c r="L3702" t="s">
        <v>24</v>
      </c>
      <c r="M3702" t="s">
        <v>29</v>
      </c>
      <c r="N3702" t="s">
        <v>30</v>
      </c>
      <c r="O3702" t="s">
        <v>36</v>
      </c>
      <c r="P3702">
        <v>1.1200000000000001</v>
      </c>
      <c r="Q3702" s="2" t="b">
        <f>FALSE()</f>
        <v>0</v>
      </c>
      <c r="R3702">
        <v>1</v>
      </c>
    </row>
    <row r="3703" spans="1:18" x14ac:dyDescent="0.25">
      <c r="A3703">
        <v>203702</v>
      </c>
      <c r="B3703">
        <v>51387</v>
      </c>
      <c r="C3703" t="s">
        <v>18</v>
      </c>
      <c r="D3703">
        <v>8154.94</v>
      </c>
      <c r="E3703">
        <v>1638</v>
      </c>
      <c r="F3703">
        <v>0</v>
      </c>
      <c r="G3703">
        <v>5</v>
      </c>
      <c r="H3703">
        <v>1</v>
      </c>
      <c r="I3703" t="s">
        <v>32</v>
      </c>
      <c r="J3703">
        <v>0</v>
      </c>
      <c r="K3703">
        <v>66</v>
      </c>
      <c r="L3703" t="s">
        <v>20</v>
      </c>
      <c r="M3703" t="s">
        <v>31</v>
      </c>
      <c r="N3703" t="s">
        <v>26</v>
      </c>
      <c r="O3703" t="s">
        <v>27</v>
      </c>
      <c r="P3703">
        <v>0.23</v>
      </c>
      <c r="Q3703" s="2" t="b">
        <f>TRUE()</f>
        <v>1</v>
      </c>
      <c r="R3703">
        <v>1</v>
      </c>
    </row>
    <row r="3704" spans="1:18" x14ac:dyDescent="0.25">
      <c r="A3704">
        <v>203703</v>
      </c>
      <c r="B3704">
        <v>55341</v>
      </c>
      <c r="C3704" t="s">
        <v>34</v>
      </c>
      <c r="D3704">
        <v>2335.1799999999998</v>
      </c>
      <c r="E3704">
        <v>785</v>
      </c>
      <c r="F3704">
        <v>1</v>
      </c>
      <c r="G3704">
        <v>4</v>
      </c>
      <c r="H3704">
        <v>0</v>
      </c>
      <c r="I3704" t="s">
        <v>32</v>
      </c>
      <c r="J3704">
        <v>0</v>
      </c>
      <c r="K3704">
        <v>63</v>
      </c>
      <c r="L3704" t="s">
        <v>20</v>
      </c>
      <c r="M3704" t="s">
        <v>29</v>
      </c>
      <c r="N3704" t="s">
        <v>26</v>
      </c>
      <c r="O3704" t="s">
        <v>36</v>
      </c>
      <c r="P3704">
        <v>0.66</v>
      </c>
      <c r="Q3704" s="2" t="b">
        <f>FALSE()</f>
        <v>0</v>
      </c>
      <c r="R3704">
        <v>0</v>
      </c>
    </row>
    <row r="3705" spans="1:18" x14ac:dyDescent="0.25">
      <c r="A3705">
        <v>203704</v>
      </c>
      <c r="B3705">
        <v>53600</v>
      </c>
      <c r="C3705" t="s">
        <v>18</v>
      </c>
      <c r="D3705">
        <v>4685.8999999999996</v>
      </c>
      <c r="E3705">
        <v>735</v>
      </c>
      <c r="F3705">
        <v>0</v>
      </c>
      <c r="G3705">
        <v>4</v>
      </c>
      <c r="H3705">
        <v>0</v>
      </c>
      <c r="I3705" t="s">
        <v>33</v>
      </c>
      <c r="J3705">
        <v>0</v>
      </c>
      <c r="K3705">
        <v>47</v>
      </c>
      <c r="L3705" t="s">
        <v>20</v>
      </c>
      <c r="M3705" t="s">
        <v>25</v>
      </c>
      <c r="N3705" t="s">
        <v>30</v>
      </c>
      <c r="O3705" t="s">
        <v>27</v>
      </c>
      <c r="P3705">
        <v>2.78</v>
      </c>
      <c r="Q3705" s="2" t="b">
        <f>FALSE()</f>
        <v>0</v>
      </c>
      <c r="R3705">
        <v>1</v>
      </c>
    </row>
    <row r="3706" spans="1:18" x14ac:dyDescent="0.25">
      <c r="A3706">
        <v>203705</v>
      </c>
      <c r="B3706">
        <v>52581</v>
      </c>
      <c r="C3706" t="s">
        <v>28</v>
      </c>
      <c r="D3706">
        <v>3205.62</v>
      </c>
      <c r="E3706">
        <v>1791</v>
      </c>
      <c r="F3706">
        <v>0</v>
      </c>
      <c r="G3706">
        <v>5</v>
      </c>
      <c r="H3706">
        <v>0</v>
      </c>
      <c r="I3706" t="s">
        <v>19</v>
      </c>
      <c r="J3706">
        <v>1</v>
      </c>
      <c r="K3706">
        <v>29</v>
      </c>
      <c r="L3706" t="s">
        <v>20</v>
      </c>
      <c r="M3706" t="s">
        <v>37</v>
      </c>
      <c r="N3706" t="s">
        <v>22</v>
      </c>
      <c r="O3706" t="s">
        <v>27</v>
      </c>
      <c r="P3706">
        <v>4.1900000000000004</v>
      </c>
      <c r="Q3706" s="2" t="b">
        <f>FALSE()</f>
        <v>0</v>
      </c>
      <c r="R3706">
        <v>0</v>
      </c>
    </row>
    <row r="3707" spans="1:18" x14ac:dyDescent="0.25">
      <c r="A3707">
        <v>203706</v>
      </c>
      <c r="B3707">
        <v>50291</v>
      </c>
      <c r="C3707" t="s">
        <v>18</v>
      </c>
      <c r="D3707">
        <v>1887.22</v>
      </c>
      <c r="E3707">
        <v>2519</v>
      </c>
      <c r="F3707">
        <v>2</v>
      </c>
      <c r="G3707">
        <v>3</v>
      </c>
      <c r="H3707">
        <v>0</v>
      </c>
      <c r="I3707" t="s">
        <v>33</v>
      </c>
      <c r="J3707">
        <v>0</v>
      </c>
      <c r="K3707">
        <v>41</v>
      </c>
      <c r="L3707" t="s">
        <v>20</v>
      </c>
      <c r="M3707" t="s">
        <v>37</v>
      </c>
      <c r="N3707" t="s">
        <v>22</v>
      </c>
      <c r="O3707" t="s">
        <v>27</v>
      </c>
      <c r="P3707">
        <v>1.17</v>
      </c>
      <c r="Q3707" s="2" t="b">
        <f>FALSE()</f>
        <v>0</v>
      </c>
      <c r="R3707">
        <v>0</v>
      </c>
    </row>
    <row r="3708" spans="1:18" x14ac:dyDescent="0.25">
      <c r="A3708">
        <v>203707</v>
      </c>
      <c r="B3708">
        <v>55275</v>
      </c>
      <c r="C3708" t="s">
        <v>34</v>
      </c>
      <c r="D3708">
        <v>7521.74</v>
      </c>
      <c r="E3708">
        <v>3490</v>
      </c>
      <c r="F3708">
        <v>0</v>
      </c>
      <c r="G3708">
        <v>4</v>
      </c>
      <c r="H3708">
        <v>0</v>
      </c>
      <c r="I3708" t="s">
        <v>33</v>
      </c>
      <c r="J3708">
        <v>0</v>
      </c>
      <c r="K3708">
        <v>63</v>
      </c>
      <c r="L3708" t="s">
        <v>20</v>
      </c>
      <c r="M3708" t="s">
        <v>21</v>
      </c>
      <c r="N3708" t="s">
        <v>30</v>
      </c>
      <c r="O3708" t="s">
        <v>27</v>
      </c>
      <c r="P3708">
        <v>0.23</v>
      </c>
      <c r="Q3708" s="2" t="b">
        <f>TRUE()</f>
        <v>1</v>
      </c>
      <c r="R3708">
        <v>1</v>
      </c>
    </row>
    <row r="3709" spans="1:18" x14ac:dyDescent="0.25">
      <c r="A3709">
        <v>203708</v>
      </c>
      <c r="B3709">
        <v>50271</v>
      </c>
      <c r="C3709" t="s">
        <v>28</v>
      </c>
      <c r="D3709">
        <v>1159.5</v>
      </c>
      <c r="E3709">
        <v>3322</v>
      </c>
      <c r="F3709">
        <v>0</v>
      </c>
      <c r="G3709">
        <v>3</v>
      </c>
      <c r="H3709">
        <v>0</v>
      </c>
      <c r="I3709" t="s">
        <v>19</v>
      </c>
      <c r="J3709">
        <v>0</v>
      </c>
      <c r="K3709">
        <v>60</v>
      </c>
      <c r="L3709" t="s">
        <v>20</v>
      </c>
      <c r="M3709" t="s">
        <v>25</v>
      </c>
      <c r="N3709" t="s">
        <v>26</v>
      </c>
      <c r="O3709" t="s">
        <v>36</v>
      </c>
      <c r="P3709">
        <v>4.8099999999999996</v>
      </c>
      <c r="Q3709" s="2" t="b">
        <f>FALSE()</f>
        <v>0</v>
      </c>
      <c r="R3709">
        <v>0</v>
      </c>
    </row>
    <row r="3710" spans="1:18" x14ac:dyDescent="0.25">
      <c r="A3710">
        <v>203709</v>
      </c>
      <c r="B3710">
        <v>53961</v>
      </c>
      <c r="C3710" t="s">
        <v>18</v>
      </c>
      <c r="D3710">
        <v>3253.82</v>
      </c>
      <c r="E3710">
        <v>1381</v>
      </c>
      <c r="F3710">
        <v>3</v>
      </c>
      <c r="G3710">
        <v>7</v>
      </c>
      <c r="H3710">
        <v>0</v>
      </c>
      <c r="I3710" t="s">
        <v>33</v>
      </c>
      <c r="J3710">
        <v>1</v>
      </c>
      <c r="K3710">
        <v>78</v>
      </c>
      <c r="L3710" t="s">
        <v>20</v>
      </c>
      <c r="M3710" t="s">
        <v>37</v>
      </c>
      <c r="N3710" t="s">
        <v>26</v>
      </c>
      <c r="O3710" t="s">
        <v>36</v>
      </c>
      <c r="P3710">
        <v>3.02</v>
      </c>
      <c r="Q3710" s="2" t="b">
        <f>FALSE()</f>
        <v>0</v>
      </c>
      <c r="R3710">
        <v>1</v>
      </c>
    </row>
    <row r="3711" spans="1:18" x14ac:dyDescent="0.25">
      <c r="A3711">
        <v>203710</v>
      </c>
      <c r="B3711">
        <v>51427</v>
      </c>
      <c r="C3711" t="s">
        <v>18</v>
      </c>
      <c r="D3711">
        <v>1059.19</v>
      </c>
      <c r="E3711">
        <v>2792</v>
      </c>
      <c r="F3711">
        <v>0</v>
      </c>
      <c r="G3711">
        <v>2</v>
      </c>
      <c r="H3711">
        <v>0</v>
      </c>
      <c r="I3711" t="s">
        <v>33</v>
      </c>
      <c r="J3711">
        <v>0</v>
      </c>
      <c r="K3711">
        <v>30</v>
      </c>
      <c r="L3711" t="s">
        <v>24</v>
      </c>
      <c r="M3711" t="s">
        <v>29</v>
      </c>
      <c r="N3711" t="s">
        <v>22</v>
      </c>
      <c r="O3711" t="s">
        <v>36</v>
      </c>
      <c r="P3711">
        <v>2.65</v>
      </c>
      <c r="Q3711" s="2" t="b">
        <f>FALSE()</f>
        <v>0</v>
      </c>
      <c r="R3711">
        <v>0</v>
      </c>
    </row>
    <row r="3712" spans="1:18" x14ac:dyDescent="0.25">
      <c r="A3712">
        <v>203711</v>
      </c>
      <c r="B3712">
        <v>51318</v>
      </c>
      <c r="C3712" t="s">
        <v>18</v>
      </c>
      <c r="D3712">
        <v>1605.69</v>
      </c>
      <c r="E3712">
        <v>375</v>
      </c>
      <c r="F3712">
        <v>1</v>
      </c>
      <c r="G3712">
        <v>3</v>
      </c>
      <c r="H3712">
        <v>0</v>
      </c>
      <c r="I3712" t="s">
        <v>19</v>
      </c>
      <c r="J3712">
        <v>1</v>
      </c>
      <c r="K3712">
        <v>78</v>
      </c>
      <c r="L3712" t="s">
        <v>24</v>
      </c>
      <c r="M3712" t="s">
        <v>25</v>
      </c>
      <c r="N3712" t="s">
        <v>30</v>
      </c>
      <c r="O3712" t="s">
        <v>27</v>
      </c>
      <c r="P3712">
        <v>5.63</v>
      </c>
      <c r="Q3712" s="2" t="b">
        <f>FALSE()</f>
        <v>0</v>
      </c>
      <c r="R3712">
        <v>0</v>
      </c>
    </row>
    <row r="3713" spans="1:18" x14ac:dyDescent="0.25">
      <c r="A3713">
        <v>203712</v>
      </c>
      <c r="B3713">
        <v>51637</v>
      </c>
      <c r="C3713" t="s">
        <v>18</v>
      </c>
      <c r="D3713">
        <v>3522.45</v>
      </c>
      <c r="E3713">
        <v>3249</v>
      </c>
      <c r="F3713">
        <v>0</v>
      </c>
      <c r="G3713">
        <v>5</v>
      </c>
      <c r="H3713">
        <v>0</v>
      </c>
      <c r="I3713" t="s">
        <v>19</v>
      </c>
      <c r="J3713">
        <v>0</v>
      </c>
      <c r="K3713">
        <v>54</v>
      </c>
      <c r="L3713" t="s">
        <v>24</v>
      </c>
      <c r="M3713" t="s">
        <v>25</v>
      </c>
      <c r="N3713" t="s">
        <v>30</v>
      </c>
      <c r="O3713" t="s">
        <v>23</v>
      </c>
      <c r="P3713">
        <v>3.32</v>
      </c>
      <c r="Q3713" s="2" t="b">
        <f>FALSE()</f>
        <v>0</v>
      </c>
      <c r="R3713">
        <v>0</v>
      </c>
    </row>
    <row r="3714" spans="1:18" x14ac:dyDescent="0.25">
      <c r="A3714">
        <v>203713</v>
      </c>
      <c r="B3714">
        <v>53184</v>
      </c>
      <c r="C3714" t="s">
        <v>18</v>
      </c>
      <c r="D3714">
        <v>11486.94</v>
      </c>
      <c r="E3714">
        <v>1404</v>
      </c>
      <c r="F3714">
        <v>3</v>
      </c>
      <c r="G3714">
        <v>5</v>
      </c>
      <c r="H3714">
        <v>0</v>
      </c>
      <c r="I3714" t="s">
        <v>19</v>
      </c>
      <c r="J3714">
        <v>0</v>
      </c>
      <c r="K3714">
        <v>43</v>
      </c>
      <c r="L3714" t="s">
        <v>38</v>
      </c>
      <c r="M3714" t="s">
        <v>31</v>
      </c>
      <c r="N3714" t="s">
        <v>30</v>
      </c>
      <c r="O3714" t="s">
        <v>23</v>
      </c>
      <c r="P3714">
        <v>1.3</v>
      </c>
      <c r="Q3714" s="2" t="b">
        <f>TRUE()</f>
        <v>1</v>
      </c>
      <c r="R3714">
        <v>1</v>
      </c>
    </row>
    <row r="3715" spans="1:18" x14ac:dyDescent="0.25">
      <c r="A3715">
        <v>203714</v>
      </c>
      <c r="B3715">
        <v>54685</v>
      </c>
      <c r="C3715" t="s">
        <v>18</v>
      </c>
      <c r="D3715">
        <v>363.53</v>
      </c>
      <c r="E3715">
        <v>987</v>
      </c>
      <c r="F3715">
        <v>0</v>
      </c>
      <c r="G3715">
        <v>4</v>
      </c>
      <c r="H3715">
        <v>0</v>
      </c>
      <c r="I3715" t="s">
        <v>33</v>
      </c>
      <c r="J3715">
        <v>0</v>
      </c>
      <c r="K3715">
        <v>48</v>
      </c>
      <c r="L3715" t="s">
        <v>24</v>
      </c>
      <c r="M3715" t="s">
        <v>35</v>
      </c>
      <c r="N3715" t="s">
        <v>22</v>
      </c>
      <c r="O3715" t="s">
        <v>27</v>
      </c>
      <c r="P3715">
        <v>3.63</v>
      </c>
      <c r="Q3715" s="2" t="b">
        <f>FALSE()</f>
        <v>0</v>
      </c>
      <c r="R3715">
        <v>0</v>
      </c>
    </row>
    <row r="3716" spans="1:18" x14ac:dyDescent="0.25">
      <c r="A3716">
        <v>203715</v>
      </c>
      <c r="B3716">
        <v>50049</v>
      </c>
      <c r="C3716" t="s">
        <v>18</v>
      </c>
      <c r="D3716">
        <v>1716.82</v>
      </c>
      <c r="E3716">
        <v>525</v>
      </c>
      <c r="F3716">
        <v>1</v>
      </c>
      <c r="G3716">
        <v>0</v>
      </c>
      <c r="H3716">
        <v>0</v>
      </c>
      <c r="I3716" t="s">
        <v>33</v>
      </c>
      <c r="J3716">
        <v>0</v>
      </c>
      <c r="K3716">
        <v>67</v>
      </c>
      <c r="L3716" t="s">
        <v>24</v>
      </c>
      <c r="M3716" t="s">
        <v>31</v>
      </c>
      <c r="N3716" t="s">
        <v>30</v>
      </c>
      <c r="O3716" t="s">
        <v>27</v>
      </c>
      <c r="P3716">
        <v>8.93</v>
      </c>
      <c r="Q3716" s="2" t="b">
        <f>FALSE()</f>
        <v>0</v>
      </c>
      <c r="R3716">
        <v>0</v>
      </c>
    </row>
    <row r="3717" spans="1:18" x14ac:dyDescent="0.25">
      <c r="A3717">
        <v>203716</v>
      </c>
      <c r="B3717">
        <v>54048</v>
      </c>
      <c r="C3717" t="s">
        <v>18</v>
      </c>
      <c r="D3717">
        <v>4139.97</v>
      </c>
      <c r="E3717">
        <v>2740</v>
      </c>
      <c r="F3717">
        <v>1</v>
      </c>
      <c r="G3717">
        <v>4</v>
      </c>
      <c r="H3717">
        <v>0</v>
      </c>
      <c r="I3717" t="s">
        <v>19</v>
      </c>
      <c r="J3717">
        <v>1</v>
      </c>
      <c r="K3717">
        <v>20</v>
      </c>
      <c r="L3717" t="s">
        <v>20</v>
      </c>
      <c r="M3717" t="s">
        <v>25</v>
      </c>
      <c r="N3717" t="s">
        <v>22</v>
      </c>
      <c r="O3717" t="s">
        <v>36</v>
      </c>
      <c r="P3717">
        <v>1.41</v>
      </c>
      <c r="Q3717" s="2" t="b">
        <f>FALSE()</f>
        <v>0</v>
      </c>
      <c r="R3717">
        <v>1</v>
      </c>
    </row>
    <row r="3718" spans="1:18" x14ac:dyDescent="0.25">
      <c r="A3718">
        <v>203717</v>
      </c>
      <c r="B3718">
        <v>54068</v>
      </c>
      <c r="C3718" t="s">
        <v>18</v>
      </c>
      <c r="D3718">
        <v>1506.7</v>
      </c>
      <c r="E3718">
        <v>2356</v>
      </c>
      <c r="F3718">
        <v>1</v>
      </c>
      <c r="G3718">
        <v>4</v>
      </c>
      <c r="H3718">
        <v>0</v>
      </c>
      <c r="I3718" t="s">
        <v>33</v>
      </c>
      <c r="J3718">
        <v>0</v>
      </c>
      <c r="K3718">
        <v>58</v>
      </c>
      <c r="L3718" t="s">
        <v>20</v>
      </c>
      <c r="M3718" t="s">
        <v>37</v>
      </c>
      <c r="N3718" t="s">
        <v>22</v>
      </c>
      <c r="O3718" t="s">
        <v>36</v>
      </c>
      <c r="P3718">
        <v>4.37</v>
      </c>
      <c r="Q3718" s="2" t="b">
        <f>FALSE()</f>
        <v>0</v>
      </c>
      <c r="R3718">
        <v>0</v>
      </c>
    </row>
    <row r="3719" spans="1:18" x14ac:dyDescent="0.25">
      <c r="A3719">
        <v>203718</v>
      </c>
      <c r="B3719">
        <v>52821</v>
      </c>
      <c r="C3719" t="s">
        <v>34</v>
      </c>
      <c r="D3719">
        <v>2658.7</v>
      </c>
      <c r="E3719">
        <v>1049</v>
      </c>
      <c r="F3719">
        <v>2</v>
      </c>
      <c r="G3719">
        <v>1</v>
      </c>
      <c r="H3719">
        <v>1</v>
      </c>
      <c r="I3719" t="s">
        <v>33</v>
      </c>
      <c r="J3719">
        <v>0</v>
      </c>
      <c r="K3719">
        <v>18</v>
      </c>
      <c r="L3719" t="s">
        <v>20</v>
      </c>
      <c r="M3719" t="s">
        <v>21</v>
      </c>
      <c r="N3719" t="s">
        <v>26</v>
      </c>
      <c r="O3719" t="s">
        <v>36</v>
      </c>
      <c r="P3719">
        <v>1.04</v>
      </c>
      <c r="Q3719" s="2" t="b">
        <f>FALSE()</f>
        <v>0</v>
      </c>
      <c r="R3719">
        <v>0</v>
      </c>
    </row>
    <row r="3720" spans="1:18" x14ac:dyDescent="0.25">
      <c r="A3720">
        <v>203719</v>
      </c>
      <c r="B3720">
        <v>55669</v>
      </c>
      <c r="C3720" t="s">
        <v>34</v>
      </c>
      <c r="D3720">
        <v>2027.57</v>
      </c>
      <c r="E3720">
        <v>1936</v>
      </c>
      <c r="F3720">
        <v>2</v>
      </c>
      <c r="G3720">
        <v>3</v>
      </c>
      <c r="H3720">
        <v>0</v>
      </c>
      <c r="I3720" t="s">
        <v>33</v>
      </c>
      <c r="J3720">
        <v>0</v>
      </c>
      <c r="K3720">
        <v>29</v>
      </c>
      <c r="L3720" t="s">
        <v>24</v>
      </c>
      <c r="M3720" t="s">
        <v>35</v>
      </c>
      <c r="N3720" t="s">
        <v>26</v>
      </c>
      <c r="O3720" t="s">
        <v>27</v>
      </c>
      <c r="P3720">
        <v>2.44</v>
      </c>
      <c r="Q3720" s="2" t="b">
        <f>FALSE()</f>
        <v>0</v>
      </c>
      <c r="R3720">
        <v>0</v>
      </c>
    </row>
    <row r="3721" spans="1:18" x14ac:dyDescent="0.25">
      <c r="A3721">
        <v>203720</v>
      </c>
      <c r="B3721">
        <v>55377</v>
      </c>
      <c r="C3721" t="s">
        <v>34</v>
      </c>
      <c r="D3721">
        <v>2996.57</v>
      </c>
      <c r="E3721">
        <v>676</v>
      </c>
      <c r="F3721">
        <v>0</v>
      </c>
      <c r="G3721">
        <v>5</v>
      </c>
      <c r="H3721">
        <v>0</v>
      </c>
      <c r="I3721" t="s">
        <v>19</v>
      </c>
      <c r="J3721">
        <v>0</v>
      </c>
      <c r="K3721">
        <v>67</v>
      </c>
      <c r="L3721" t="s">
        <v>20</v>
      </c>
      <c r="M3721" t="s">
        <v>35</v>
      </c>
      <c r="N3721" t="s">
        <v>22</v>
      </c>
      <c r="O3721" t="s">
        <v>23</v>
      </c>
      <c r="P3721">
        <v>4.0999999999999996</v>
      </c>
      <c r="Q3721" s="2" t="b">
        <f>FALSE()</f>
        <v>0</v>
      </c>
      <c r="R3721">
        <v>0</v>
      </c>
    </row>
    <row r="3722" spans="1:18" x14ac:dyDescent="0.25">
      <c r="A3722">
        <v>203721</v>
      </c>
      <c r="B3722">
        <v>50988</v>
      </c>
      <c r="C3722" t="s">
        <v>18</v>
      </c>
      <c r="D3722">
        <v>1304.46</v>
      </c>
      <c r="E3722">
        <v>2584</v>
      </c>
      <c r="F3722">
        <v>1</v>
      </c>
      <c r="G3722">
        <v>5</v>
      </c>
      <c r="H3722">
        <v>1</v>
      </c>
      <c r="I3722" t="s">
        <v>19</v>
      </c>
      <c r="J3722">
        <v>0</v>
      </c>
      <c r="K3722">
        <v>50</v>
      </c>
      <c r="L3722" t="s">
        <v>24</v>
      </c>
      <c r="M3722" t="s">
        <v>31</v>
      </c>
      <c r="N3722" t="s">
        <v>22</v>
      </c>
      <c r="O3722" t="s">
        <v>27</v>
      </c>
      <c r="P3722">
        <v>3.45</v>
      </c>
      <c r="Q3722" s="2" t="b">
        <f>FALSE()</f>
        <v>0</v>
      </c>
      <c r="R3722">
        <v>0</v>
      </c>
    </row>
    <row r="3723" spans="1:18" x14ac:dyDescent="0.25">
      <c r="A3723">
        <v>203722</v>
      </c>
      <c r="B3723">
        <v>51447</v>
      </c>
      <c r="C3723" t="s">
        <v>34</v>
      </c>
      <c r="D3723">
        <v>5045.55</v>
      </c>
      <c r="E3723">
        <v>1341</v>
      </c>
      <c r="F3723">
        <v>2</v>
      </c>
      <c r="G3723">
        <v>5</v>
      </c>
      <c r="H3723">
        <v>0</v>
      </c>
      <c r="I3723" t="s">
        <v>33</v>
      </c>
      <c r="J3723">
        <v>0</v>
      </c>
      <c r="K3723">
        <v>63</v>
      </c>
      <c r="L3723" t="s">
        <v>24</v>
      </c>
      <c r="M3723" t="s">
        <v>31</v>
      </c>
      <c r="N3723" t="s">
        <v>26</v>
      </c>
      <c r="O3723" t="s">
        <v>27</v>
      </c>
      <c r="P3723">
        <v>4.2</v>
      </c>
      <c r="Q3723" s="2" t="b">
        <f>FALSE()</f>
        <v>0</v>
      </c>
      <c r="R3723">
        <v>1</v>
      </c>
    </row>
    <row r="3724" spans="1:18" x14ac:dyDescent="0.25">
      <c r="A3724">
        <v>203723</v>
      </c>
      <c r="B3724">
        <v>53570</v>
      </c>
      <c r="C3724" t="s">
        <v>18</v>
      </c>
      <c r="D3724">
        <v>2599.27</v>
      </c>
      <c r="E3724">
        <v>2881</v>
      </c>
      <c r="F3724">
        <v>0</v>
      </c>
      <c r="G3724">
        <v>3</v>
      </c>
      <c r="H3724">
        <v>0</v>
      </c>
      <c r="I3724" t="s">
        <v>19</v>
      </c>
      <c r="J3724">
        <v>0</v>
      </c>
      <c r="K3724">
        <v>23</v>
      </c>
      <c r="L3724" t="s">
        <v>24</v>
      </c>
      <c r="M3724" t="s">
        <v>21</v>
      </c>
      <c r="N3724" t="s">
        <v>22</v>
      </c>
      <c r="O3724" t="s">
        <v>23</v>
      </c>
      <c r="P3724">
        <v>1.43</v>
      </c>
      <c r="Q3724" s="2" t="b">
        <f>FALSE()</f>
        <v>0</v>
      </c>
      <c r="R3724">
        <v>0</v>
      </c>
    </row>
    <row r="3725" spans="1:18" x14ac:dyDescent="0.25">
      <c r="A3725">
        <v>203724</v>
      </c>
      <c r="B3725">
        <v>51282</v>
      </c>
      <c r="C3725" t="s">
        <v>34</v>
      </c>
      <c r="D3725">
        <v>1330.8</v>
      </c>
      <c r="E3725">
        <v>1379</v>
      </c>
      <c r="F3725">
        <v>1</v>
      </c>
      <c r="G3725">
        <v>7</v>
      </c>
      <c r="H3725">
        <v>0</v>
      </c>
      <c r="I3725" t="s">
        <v>33</v>
      </c>
      <c r="J3725">
        <v>1</v>
      </c>
      <c r="K3725">
        <v>23</v>
      </c>
      <c r="L3725" t="s">
        <v>20</v>
      </c>
      <c r="M3725" t="s">
        <v>37</v>
      </c>
      <c r="N3725" t="s">
        <v>30</v>
      </c>
      <c r="O3725" t="s">
        <v>27</v>
      </c>
      <c r="P3725">
        <v>0.9</v>
      </c>
      <c r="Q3725" s="2" t="b">
        <f>FALSE()</f>
        <v>0</v>
      </c>
      <c r="R3725">
        <v>1</v>
      </c>
    </row>
    <row r="3726" spans="1:18" x14ac:dyDescent="0.25">
      <c r="A3726">
        <v>203725</v>
      </c>
      <c r="B3726">
        <v>52098</v>
      </c>
      <c r="C3726" t="s">
        <v>34</v>
      </c>
      <c r="D3726">
        <v>6074.13</v>
      </c>
      <c r="E3726">
        <v>2415</v>
      </c>
      <c r="F3726">
        <v>2</v>
      </c>
      <c r="G3726">
        <v>4</v>
      </c>
      <c r="H3726">
        <v>1</v>
      </c>
      <c r="I3726" t="s">
        <v>19</v>
      </c>
      <c r="J3726">
        <v>1</v>
      </c>
      <c r="K3726">
        <v>41</v>
      </c>
      <c r="L3726" t="s">
        <v>20</v>
      </c>
      <c r="M3726" t="s">
        <v>29</v>
      </c>
      <c r="N3726" t="s">
        <v>30</v>
      </c>
      <c r="O3726" t="s">
        <v>23</v>
      </c>
      <c r="P3726">
        <v>0.83</v>
      </c>
      <c r="Q3726" s="2" t="b">
        <f>FALSE()</f>
        <v>0</v>
      </c>
      <c r="R3726">
        <v>1</v>
      </c>
    </row>
    <row r="3727" spans="1:18" x14ac:dyDescent="0.25">
      <c r="A3727">
        <v>203726</v>
      </c>
      <c r="B3727">
        <v>51667</v>
      </c>
      <c r="C3727" t="s">
        <v>18</v>
      </c>
      <c r="D3727">
        <v>1430.36</v>
      </c>
      <c r="E3727">
        <v>3339</v>
      </c>
      <c r="F3727">
        <v>1</v>
      </c>
      <c r="G3727">
        <v>8</v>
      </c>
      <c r="H3727">
        <v>0</v>
      </c>
      <c r="I3727" t="s">
        <v>33</v>
      </c>
      <c r="J3727">
        <v>1</v>
      </c>
      <c r="K3727">
        <v>26</v>
      </c>
      <c r="L3727" t="s">
        <v>24</v>
      </c>
      <c r="M3727" t="s">
        <v>37</v>
      </c>
      <c r="N3727" t="s">
        <v>22</v>
      </c>
      <c r="O3727" t="s">
        <v>36</v>
      </c>
      <c r="P3727">
        <v>0.75</v>
      </c>
      <c r="Q3727" s="2" t="b">
        <f>FALSE()</f>
        <v>0</v>
      </c>
      <c r="R3727">
        <v>1</v>
      </c>
    </row>
    <row r="3728" spans="1:18" x14ac:dyDescent="0.25">
      <c r="A3728">
        <v>203727</v>
      </c>
      <c r="B3728">
        <v>51915</v>
      </c>
      <c r="C3728" t="s">
        <v>28</v>
      </c>
      <c r="D3728">
        <v>1865.22</v>
      </c>
      <c r="E3728">
        <v>2600</v>
      </c>
      <c r="F3728">
        <v>0</v>
      </c>
      <c r="G3728">
        <v>2</v>
      </c>
      <c r="H3728">
        <v>1</v>
      </c>
      <c r="I3728" t="s">
        <v>19</v>
      </c>
      <c r="J3728">
        <v>1</v>
      </c>
      <c r="K3728">
        <v>58</v>
      </c>
      <c r="L3728" t="s">
        <v>24</v>
      </c>
      <c r="M3728" t="s">
        <v>21</v>
      </c>
      <c r="N3728" t="s">
        <v>22</v>
      </c>
      <c r="O3728" t="s">
        <v>36</v>
      </c>
      <c r="P3728">
        <v>3.14</v>
      </c>
      <c r="Q3728" s="2" t="b">
        <f>FALSE()</f>
        <v>0</v>
      </c>
      <c r="R3728">
        <v>0</v>
      </c>
    </row>
    <row r="3729" spans="1:18" x14ac:dyDescent="0.25">
      <c r="A3729">
        <v>203728</v>
      </c>
      <c r="B3729">
        <v>51466</v>
      </c>
      <c r="C3729" t="s">
        <v>34</v>
      </c>
      <c r="D3729">
        <v>774.85</v>
      </c>
      <c r="E3729">
        <v>2762</v>
      </c>
      <c r="F3729">
        <v>2</v>
      </c>
      <c r="G3729">
        <v>4</v>
      </c>
      <c r="H3729">
        <v>0</v>
      </c>
      <c r="I3729" t="s">
        <v>32</v>
      </c>
      <c r="J3729">
        <v>0</v>
      </c>
      <c r="K3729">
        <v>32</v>
      </c>
      <c r="L3729" t="s">
        <v>20</v>
      </c>
      <c r="M3729" t="s">
        <v>21</v>
      </c>
      <c r="N3729" t="s">
        <v>30</v>
      </c>
      <c r="O3729" t="s">
        <v>36</v>
      </c>
      <c r="P3729">
        <v>2.64</v>
      </c>
      <c r="Q3729" s="2" t="b">
        <f>FALSE()</f>
        <v>0</v>
      </c>
      <c r="R3729">
        <v>0</v>
      </c>
    </row>
    <row r="3730" spans="1:18" x14ac:dyDescent="0.25">
      <c r="A3730">
        <v>203729</v>
      </c>
      <c r="B3730">
        <v>51784</v>
      </c>
      <c r="C3730" t="s">
        <v>18</v>
      </c>
      <c r="D3730">
        <v>1068.8499999999999</v>
      </c>
      <c r="E3730">
        <v>2536</v>
      </c>
      <c r="F3730">
        <v>2</v>
      </c>
      <c r="G3730">
        <v>8</v>
      </c>
      <c r="H3730">
        <v>0</v>
      </c>
      <c r="I3730" t="s">
        <v>19</v>
      </c>
      <c r="J3730">
        <v>0</v>
      </c>
      <c r="K3730">
        <v>55</v>
      </c>
      <c r="L3730" t="s">
        <v>24</v>
      </c>
      <c r="M3730" t="s">
        <v>35</v>
      </c>
      <c r="N3730" t="s">
        <v>30</v>
      </c>
      <c r="O3730" t="s">
        <v>27</v>
      </c>
      <c r="P3730">
        <v>3.23</v>
      </c>
      <c r="Q3730" s="2" t="b">
        <f>FALSE()</f>
        <v>0</v>
      </c>
      <c r="R3730">
        <v>1</v>
      </c>
    </row>
    <row r="3731" spans="1:18" x14ac:dyDescent="0.25">
      <c r="A3731">
        <v>203730</v>
      </c>
      <c r="B3731">
        <v>55181</v>
      </c>
      <c r="C3731" t="s">
        <v>28</v>
      </c>
      <c r="D3731">
        <v>1791.73</v>
      </c>
      <c r="E3731">
        <v>3563</v>
      </c>
      <c r="F3731">
        <v>0</v>
      </c>
      <c r="G3731">
        <v>4</v>
      </c>
      <c r="H3731">
        <v>1</v>
      </c>
      <c r="I3731" t="s">
        <v>19</v>
      </c>
      <c r="J3731">
        <v>0</v>
      </c>
      <c r="K3731">
        <v>20</v>
      </c>
      <c r="L3731" t="s">
        <v>24</v>
      </c>
      <c r="M3731" t="s">
        <v>37</v>
      </c>
      <c r="N3731" t="s">
        <v>22</v>
      </c>
      <c r="O3731" t="s">
        <v>27</v>
      </c>
      <c r="P3731">
        <v>4.29</v>
      </c>
      <c r="Q3731" s="2" t="b">
        <f>FALSE()</f>
        <v>0</v>
      </c>
      <c r="R3731">
        <v>0</v>
      </c>
    </row>
    <row r="3732" spans="1:18" x14ac:dyDescent="0.25">
      <c r="A3732">
        <v>203731</v>
      </c>
      <c r="B3732">
        <v>50655</v>
      </c>
      <c r="C3732" t="s">
        <v>18</v>
      </c>
      <c r="D3732">
        <v>2137.5700000000002</v>
      </c>
      <c r="E3732">
        <v>2395</v>
      </c>
      <c r="F3732">
        <v>0</v>
      </c>
      <c r="G3732">
        <v>7</v>
      </c>
      <c r="H3732">
        <v>0</v>
      </c>
      <c r="I3732" t="s">
        <v>33</v>
      </c>
      <c r="J3732">
        <v>1</v>
      </c>
      <c r="K3732">
        <v>47</v>
      </c>
      <c r="L3732" t="s">
        <v>20</v>
      </c>
      <c r="M3732" t="s">
        <v>25</v>
      </c>
      <c r="N3732" t="s">
        <v>22</v>
      </c>
      <c r="O3732" t="s">
        <v>27</v>
      </c>
      <c r="P3732">
        <v>13.23</v>
      </c>
      <c r="Q3732" s="2" t="b">
        <f>FALSE()</f>
        <v>0</v>
      </c>
      <c r="R3732">
        <v>1</v>
      </c>
    </row>
    <row r="3733" spans="1:18" x14ac:dyDescent="0.25">
      <c r="A3733">
        <v>203732</v>
      </c>
      <c r="B3733">
        <v>51566</v>
      </c>
      <c r="C3733" t="s">
        <v>18</v>
      </c>
      <c r="D3733">
        <v>265.20999999999998</v>
      </c>
      <c r="E3733">
        <v>896</v>
      </c>
      <c r="F3733">
        <v>0</v>
      </c>
      <c r="G3733">
        <v>3</v>
      </c>
      <c r="H3733">
        <v>1</v>
      </c>
      <c r="I3733" t="s">
        <v>33</v>
      </c>
      <c r="J3733">
        <v>0</v>
      </c>
      <c r="K3733">
        <v>28</v>
      </c>
      <c r="L3733" t="s">
        <v>24</v>
      </c>
      <c r="M3733" t="s">
        <v>25</v>
      </c>
      <c r="N3733" t="s">
        <v>26</v>
      </c>
      <c r="O3733" t="s">
        <v>36</v>
      </c>
      <c r="P3733">
        <v>3.91</v>
      </c>
      <c r="Q3733" s="2" t="b">
        <f>FALSE()</f>
        <v>0</v>
      </c>
      <c r="R3733">
        <v>0</v>
      </c>
    </row>
    <row r="3734" spans="1:18" x14ac:dyDescent="0.25">
      <c r="A3734">
        <v>203733</v>
      </c>
      <c r="B3734">
        <v>51888</v>
      </c>
      <c r="C3734" t="s">
        <v>18</v>
      </c>
      <c r="D3734">
        <v>1752.2</v>
      </c>
      <c r="E3734">
        <v>941</v>
      </c>
      <c r="F3734">
        <v>0</v>
      </c>
      <c r="G3734">
        <v>5</v>
      </c>
      <c r="H3734">
        <v>0</v>
      </c>
      <c r="I3734" t="s">
        <v>33</v>
      </c>
      <c r="J3734">
        <v>0</v>
      </c>
      <c r="K3734">
        <v>49</v>
      </c>
      <c r="L3734" t="s">
        <v>20</v>
      </c>
      <c r="M3734" t="s">
        <v>35</v>
      </c>
      <c r="N3734" t="s">
        <v>26</v>
      </c>
      <c r="O3734" t="s">
        <v>27</v>
      </c>
      <c r="P3734">
        <v>6.19</v>
      </c>
      <c r="Q3734" s="2" t="b">
        <f>FALSE()</f>
        <v>0</v>
      </c>
      <c r="R3734">
        <v>0</v>
      </c>
    </row>
    <row r="3735" spans="1:18" x14ac:dyDescent="0.25">
      <c r="A3735">
        <v>203734</v>
      </c>
      <c r="B3735">
        <v>53674</v>
      </c>
      <c r="C3735" t="s">
        <v>18</v>
      </c>
      <c r="D3735">
        <v>4589.67</v>
      </c>
      <c r="E3735">
        <v>2837</v>
      </c>
      <c r="F3735">
        <v>3</v>
      </c>
      <c r="G3735">
        <v>1</v>
      </c>
      <c r="H3735">
        <v>1</v>
      </c>
      <c r="I3735" t="s">
        <v>19</v>
      </c>
      <c r="J3735">
        <v>1</v>
      </c>
      <c r="K3735">
        <v>75</v>
      </c>
      <c r="L3735" t="s">
        <v>20</v>
      </c>
      <c r="M3735" t="s">
        <v>31</v>
      </c>
      <c r="N3735" t="s">
        <v>30</v>
      </c>
      <c r="O3735" t="s">
        <v>27</v>
      </c>
      <c r="P3735">
        <v>0.32</v>
      </c>
      <c r="Q3735" s="2" t="b">
        <f>FALSE()</f>
        <v>0</v>
      </c>
      <c r="R3735">
        <v>1</v>
      </c>
    </row>
    <row r="3736" spans="1:18" x14ac:dyDescent="0.25">
      <c r="A3736">
        <v>203735</v>
      </c>
      <c r="B3736">
        <v>53633</v>
      </c>
      <c r="C3736" t="s">
        <v>28</v>
      </c>
      <c r="D3736">
        <v>2444.31</v>
      </c>
      <c r="E3736">
        <v>3258</v>
      </c>
      <c r="F3736">
        <v>2</v>
      </c>
      <c r="G3736">
        <v>5</v>
      </c>
      <c r="H3736">
        <v>1</v>
      </c>
      <c r="I3736" t="s">
        <v>19</v>
      </c>
      <c r="J3736">
        <v>0</v>
      </c>
      <c r="K3736">
        <v>54</v>
      </c>
      <c r="L3736" t="s">
        <v>24</v>
      </c>
      <c r="M3736" t="s">
        <v>31</v>
      </c>
      <c r="N3736" t="s">
        <v>22</v>
      </c>
      <c r="O3736" t="s">
        <v>23</v>
      </c>
      <c r="P3736">
        <v>0.14000000000000001</v>
      </c>
      <c r="Q3736" s="2" t="b">
        <f>FALSE()</f>
        <v>0</v>
      </c>
      <c r="R3736">
        <v>0</v>
      </c>
    </row>
    <row r="3737" spans="1:18" x14ac:dyDescent="0.25">
      <c r="A3737">
        <v>203736</v>
      </c>
      <c r="B3737">
        <v>54348</v>
      </c>
      <c r="C3737" t="s">
        <v>18</v>
      </c>
      <c r="D3737">
        <v>4184.12</v>
      </c>
      <c r="E3737">
        <v>1380</v>
      </c>
      <c r="F3737">
        <v>1</v>
      </c>
      <c r="G3737">
        <v>4</v>
      </c>
      <c r="H3737">
        <v>0</v>
      </c>
      <c r="I3737" t="s">
        <v>19</v>
      </c>
      <c r="J3737">
        <v>0</v>
      </c>
      <c r="K3737">
        <v>42</v>
      </c>
      <c r="L3737" t="s">
        <v>24</v>
      </c>
      <c r="M3737" t="s">
        <v>37</v>
      </c>
      <c r="N3737" t="s">
        <v>22</v>
      </c>
      <c r="O3737" t="s">
        <v>36</v>
      </c>
      <c r="P3737">
        <v>1.96</v>
      </c>
      <c r="Q3737" s="2" t="b">
        <f>FALSE()</f>
        <v>0</v>
      </c>
      <c r="R3737">
        <v>1</v>
      </c>
    </row>
    <row r="3738" spans="1:18" x14ac:dyDescent="0.25">
      <c r="A3738">
        <v>203737</v>
      </c>
      <c r="B3738">
        <v>54726</v>
      </c>
      <c r="C3738" t="s">
        <v>18</v>
      </c>
      <c r="D3738">
        <v>2486.2600000000002</v>
      </c>
      <c r="E3738">
        <v>802</v>
      </c>
      <c r="F3738">
        <v>1</v>
      </c>
      <c r="G3738">
        <v>5</v>
      </c>
      <c r="H3738">
        <v>0</v>
      </c>
      <c r="I3738" t="s">
        <v>19</v>
      </c>
      <c r="J3738">
        <v>0</v>
      </c>
      <c r="K3738">
        <v>56</v>
      </c>
      <c r="L3738" t="s">
        <v>20</v>
      </c>
      <c r="M3738" t="s">
        <v>21</v>
      </c>
      <c r="N3738" t="s">
        <v>26</v>
      </c>
      <c r="O3738" t="s">
        <v>36</v>
      </c>
      <c r="P3738">
        <v>2.4</v>
      </c>
      <c r="Q3738" s="2" t="b">
        <f>FALSE()</f>
        <v>0</v>
      </c>
      <c r="R3738">
        <v>0</v>
      </c>
    </row>
    <row r="3739" spans="1:18" x14ac:dyDescent="0.25">
      <c r="A3739">
        <v>203738</v>
      </c>
      <c r="B3739">
        <v>54882</v>
      </c>
      <c r="C3739" t="s">
        <v>34</v>
      </c>
      <c r="D3739">
        <v>346.98</v>
      </c>
      <c r="E3739">
        <v>3251</v>
      </c>
      <c r="F3739">
        <v>1</v>
      </c>
      <c r="G3739">
        <v>7</v>
      </c>
      <c r="H3739">
        <v>0</v>
      </c>
      <c r="I3739" t="s">
        <v>33</v>
      </c>
      <c r="J3739">
        <v>0</v>
      </c>
      <c r="K3739">
        <v>42</v>
      </c>
      <c r="L3739" t="s">
        <v>20</v>
      </c>
      <c r="M3739" t="s">
        <v>31</v>
      </c>
      <c r="N3739" t="s">
        <v>26</v>
      </c>
      <c r="O3739" t="s">
        <v>23</v>
      </c>
      <c r="P3739">
        <v>2.75</v>
      </c>
      <c r="Q3739" s="2" t="b">
        <f>FALSE()</f>
        <v>0</v>
      </c>
      <c r="R3739">
        <v>1</v>
      </c>
    </row>
    <row r="3740" spans="1:18" x14ac:dyDescent="0.25">
      <c r="A3740">
        <v>203739</v>
      </c>
      <c r="B3740">
        <v>55346</v>
      </c>
      <c r="C3740" t="s">
        <v>28</v>
      </c>
      <c r="D3740">
        <v>1060.42</v>
      </c>
      <c r="E3740">
        <v>3256</v>
      </c>
      <c r="F3740">
        <v>0</v>
      </c>
      <c r="G3740">
        <v>6</v>
      </c>
      <c r="H3740">
        <v>0</v>
      </c>
      <c r="I3740" t="s">
        <v>33</v>
      </c>
      <c r="J3740">
        <v>1</v>
      </c>
      <c r="K3740">
        <v>53</v>
      </c>
      <c r="L3740" t="s">
        <v>20</v>
      </c>
      <c r="M3740" t="s">
        <v>25</v>
      </c>
      <c r="N3740" t="s">
        <v>30</v>
      </c>
      <c r="O3740" t="s">
        <v>27</v>
      </c>
      <c r="P3740">
        <v>3.91</v>
      </c>
      <c r="Q3740" s="2" t="b">
        <f>FALSE()</f>
        <v>0</v>
      </c>
      <c r="R3740">
        <v>0</v>
      </c>
    </row>
    <row r="3741" spans="1:18" x14ac:dyDescent="0.25">
      <c r="A3741">
        <v>203740</v>
      </c>
      <c r="B3741">
        <v>55910</v>
      </c>
      <c r="C3741" t="s">
        <v>18</v>
      </c>
      <c r="D3741">
        <v>480.24</v>
      </c>
      <c r="E3741">
        <v>3055</v>
      </c>
      <c r="F3741">
        <v>2</v>
      </c>
      <c r="G3741">
        <v>2</v>
      </c>
      <c r="H3741">
        <v>1</v>
      </c>
      <c r="I3741" t="s">
        <v>33</v>
      </c>
      <c r="J3741">
        <v>1</v>
      </c>
      <c r="K3741">
        <v>27</v>
      </c>
      <c r="L3741" t="s">
        <v>24</v>
      </c>
      <c r="M3741" t="s">
        <v>29</v>
      </c>
      <c r="N3741" t="s">
        <v>22</v>
      </c>
      <c r="O3741" t="s">
        <v>27</v>
      </c>
      <c r="P3741">
        <v>11.34</v>
      </c>
      <c r="Q3741" s="2" t="b">
        <f>FALSE()</f>
        <v>0</v>
      </c>
      <c r="R3741">
        <v>0</v>
      </c>
    </row>
    <row r="3742" spans="1:18" x14ac:dyDescent="0.25">
      <c r="A3742">
        <v>203741</v>
      </c>
      <c r="B3742">
        <v>51468</v>
      </c>
      <c r="C3742" t="s">
        <v>28</v>
      </c>
      <c r="D3742">
        <v>671.84</v>
      </c>
      <c r="E3742">
        <v>1754</v>
      </c>
      <c r="F3742">
        <v>1</v>
      </c>
      <c r="G3742">
        <v>4</v>
      </c>
      <c r="H3742">
        <v>0</v>
      </c>
      <c r="I3742" t="s">
        <v>19</v>
      </c>
      <c r="J3742">
        <v>0</v>
      </c>
      <c r="K3742">
        <v>61</v>
      </c>
      <c r="L3742" t="s">
        <v>24</v>
      </c>
      <c r="M3742" t="s">
        <v>25</v>
      </c>
      <c r="N3742" t="s">
        <v>22</v>
      </c>
      <c r="O3742" t="s">
        <v>27</v>
      </c>
      <c r="P3742">
        <v>0.32</v>
      </c>
      <c r="Q3742" s="2" t="b">
        <f>FALSE()</f>
        <v>0</v>
      </c>
      <c r="R3742">
        <v>0</v>
      </c>
    </row>
    <row r="3743" spans="1:18" x14ac:dyDescent="0.25">
      <c r="A3743">
        <v>203742</v>
      </c>
      <c r="B3743">
        <v>54768</v>
      </c>
      <c r="C3743" t="s">
        <v>28</v>
      </c>
      <c r="D3743">
        <v>2198.44</v>
      </c>
      <c r="E3743">
        <v>131</v>
      </c>
      <c r="F3743">
        <v>1</v>
      </c>
      <c r="G3743">
        <v>2</v>
      </c>
      <c r="H3743">
        <v>1</v>
      </c>
      <c r="I3743" t="s">
        <v>33</v>
      </c>
      <c r="J3743">
        <v>0</v>
      </c>
      <c r="K3743">
        <v>25</v>
      </c>
      <c r="L3743" t="s">
        <v>24</v>
      </c>
      <c r="M3743" t="s">
        <v>37</v>
      </c>
      <c r="N3743" t="s">
        <v>26</v>
      </c>
      <c r="O3743" t="s">
        <v>27</v>
      </c>
      <c r="P3743">
        <v>4.46</v>
      </c>
      <c r="Q3743" s="2" t="b">
        <f>FALSE()</f>
        <v>0</v>
      </c>
      <c r="R3743">
        <v>0</v>
      </c>
    </row>
    <row r="3744" spans="1:18" x14ac:dyDescent="0.25">
      <c r="A3744">
        <v>203743</v>
      </c>
      <c r="B3744">
        <v>53793</v>
      </c>
      <c r="C3744" t="s">
        <v>34</v>
      </c>
      <c r="D3744">
        <v>1711.67</v>
      </c>
      <c r="E3744">
        <v>990</v>
      </c>
      <c r="F3744">
        <v>1</v>
      </c>
      <c r="G3744">
        <v>6</v>
      </c>
      <c r="H3744">
        <v>0</v>
      </c>
      <c r="I3744" t="s">
        <v>33</v>
      </c>
      <c r="J3744">
        <v>0</v>
      </c>
      <c r="K3744">
        <v>66</v>
      </c>
      <c r="L3744" t="s">
        <v>24</v>
      </c>
      <c r="M3744" t="s">
        <v>29</v>
      </c>
      <c r="N3744" t="s">
        <v>30</v>
      </c>
      <c r="O3744" t="s">
        <v>27</v>
      </c>
      <c r="P3744">
        <v>8.18</v>
      </c>
      <c r="Q3744" s="2" t="b">
        <f>FALSE()</f>
        <v>0</v>
      </c>
      <c r="R3744">
        <v>0</v>
      </c>
    </row>
    <row r="3745" spans="1:18" x14ac:dyDescent="0.25">
      <c r="A3745">
        <v>203744</v>
      </c>
      <c r="B3745">
        <v>55961</v>
      </c>
      <c r="C3745" t="s">
        <v>18</v>
      </c>
      <c r="D3745">
        <v>2680.24</v>
      </c>
      <c r="E3745">
        <v>3503</v>
      </c>
      <c r="F3745">
        <v>0</v>
      </c>
      <c r="G3745">
        <v>3</v>
      </c>
      <c r="H3745">
        <v>1</v>
      </c>
      <c r="I3745" t="s">
        <v>19</v>
      </c>
      <c r="J3745">
        <v>0</v>
      </c>
      <c r="K3745">
        <v>29</v>
      </c>
      <c r="L3745" t="s">
        <v>20</v>
      </c>
      <c r="M3745" t="s">
        <v>25</v>
      </c>
      <c r="N3745" t="s">
        <v>30</v>
      </c>
      <c r="O3745" t="s">
        <v>36</v>
      </c>
      <c r="P3745">
        <v>7.36</v>
      </c>
      <c r="Q3745" s="2" t="b">
        <f>FALSE()</f>
        <v>0</v>
      </c>
      <c r="R3745">
        <v>0</v>
      </c>
    </row>
    <row r="3746" spans="1:18" x14ac:dyDescent="0.25">
      <c r="A3746">
        <v>203745</v>
      </c>
      <c r="B3746">
        <v>51092</v>
      </c>
      <c r="C3746" t="s">
        <v>34</v>
      </c>
      <c r="D3746">
        <v>1091.19</v>
      </c>
      <c r="E3746">
        <v>3446</v>
      </c>
      <c r="F3746">
        <v>0</v>
      </c>
      <c r="G3746">
        <v>3</v>
      </c>
      <c r="H3746">
        <v>0</v>
      </c>
      <c r="I3746" t="s">
        <v>33</v>
      </c>
      <c r="J3746">
        <v>0</v>
      </c>
      <c r="K3746">
        <v>22</v>
      </c>
      <c r="L3746" t="s">
        <v>20</v>
      </c>
      <c r="M3746" t="s">
        <v>21</v>
      </c>
      <c r="N3746" t="s">
        <v>22</v>
      </c>
      <c r="O3746" t="s">
        <v>36</v>
      </c>
      <c r="P3746">
        <v>0.51</v>
      </c>
      <c r="Q3746" s="2" t="b">
        <f>FALSE()</f>
        <v>0</v>
      </c>
      <c r="R3746">
        <v>0</v>
      </c>
    </row>
    <row r="3747" spans="1:18" x14ac:dyDescent="0.25">
      <c r="A3747">
        <v>203746</v>
      </c>
      <c r="B3747">
        <v>54392</v>
      </c>
      <c r="C3747" t="s">
        <v>18</v>
      </c>
      <c r="D3747">
        <v>2136.6799999999998</v>
      </c>
      <c r="E3747">
        <v>959</v>
      </c>
      <c r="F3747">
        <v>0</v>
      </c>
      <c r="G3747">
        <v>1</v>
      </c>
      <c r="H3747">
        <v>0</v>
      </c>
      <c r="I3747" t="s">
        <v>33</v>
      </c>
      <c r="J3747">
        <v>0</v>
      </c>
      <c r="K3747">
        <v>42</v>
      </c>
      <c r="L3747" t="s">
        <v>20</v>
      </c>
      <c r="M3747" t="s">
        <v>29</v>
      </c>
      <c r="N3747" t="s">
        <v>30</v>
      </c>
      <c r="O3747" t="s">
        <v>27</v>
      </c>
      <c r="P3747">
        <v>6.74</v>
      </c>
      <c r="Q3747" s="2" t="b">
        <f>FALSE()</f>
        <v>0</v>
      </c>
      <c r="R3747">
        <v>0</v>
      </c>
    </row>
    <row r="3748" spans="1:18" x14ac:dyDescent="0.25">
      <c r="A3748">
        <v>203747</v>
      </c>
      <c r="B3748">
        <v>50544</v>
      </c>
      <c r="C3748" t="s">
        <v>28</v>
      </c>
      <c r="D3748">
        <v>1850.81</v>
      </c>
      <c r="E3748">
        <v>2899</v>
      </c>
      <c r="F3748">
        <v>1</v>
      </c>
      <c r="G3748">
        <v>3</v>
      </c>
      <c r="H3748">
        <v>0</v>
      </c>
      <c r="I3748" t="s">
        <v>32</v>
      </c>
      <c r="J3748">
        <v>1</v>
      </c>
      <c r="K3748">
        <v>45</v>
      </c>
      <c r="L3748" t="s">
        <v>24</v>
      </c>
      <c r="M3748" t="s">
        <v>35</v>
      </c>
      <c r="N3748" t="s">
        <v>22</v>
      </c>
      <c r="O3748" t="s">
        <v>36</v>
      </c>
      <c r="P3748">
        <v>3.23</v>
      </c>
      <c r="Q3748" s="2" t="b">
        <f>FALSE()</f>
        <v>0</v>
      </c>
      <c r="R3748">
        <v>0</v>
      </c>
    </row>
    <row r="3749" spans="1:18" x14ac:dyDescent="0.25">
      <c r="A3749">
        <v>203748</v>
      </c>
      <c r="B3749">
        <v>54484</v>
      </c>
      <c r="C3749" t="s">
        <v>34</v>
      </c>
      <c r="D3749">
        <v>5889.68</v>
      </c>
      <c r="E3749">
        <v>2508</v>
      </c>
      <c r="F3749">
        <v>2</v>
      </c>
      <c r="G3749">
        <v>1</v>
      </c>
      <c r="H3749">
        <v>0</v>
      </c>
      <c r="I3749" t="s">
        <v>33</v>
      </c>
      <c r="J3749">
        <v>0</v>
      </c>
      <c r="K3749">
        <v>27</v>
      </c>
      <c r="L3749" t="s">
        <v>24</v>
      </c>
      <c r="M3749" t="s">
        <v>35</v>
      </c>
      <c r="N3749" t="s">
        <v>26</v>
      </c>
      <c r="O3749" t="s">
        <v>36</v>
      </c>
      <c r="P3749">
        <v>2.17</v>
      </c>
      <c r="Q3749" s="2" t="b">
        <f>FALSE()</f>
        <v>0</v>
      </c>
      <c r="R3749">
        <v>1</v>
      </c>
    </row>
    <row r="3750" spans="1:18" x14ac:dyDescent="0.25">
      <c r="A3750">
        <v>203749</v>
      </c>
      <c r="B3750">
        <v>50991</v>
      </c>
      <c r="C3750" t="s">
        <v>28</v>
      </c>
      <c r="D3750">
        <v>2098.39</v>
      </c>
      <c r="E3750">
        <v>2007</v>
      </c>
      <c r="F3750">
        <v>2</v>
      </c>
      <c r="G3750">
        <v>5</v>
      </c>
      <c r="H3750">
        <v>0</v>
      </c>
      <c r="I3750" t="s">
        <v>33</v>
      </c>
      <c r="J3750">
        <v>0</v>
      </c>
      <c r="K3750">
        <v>61</v>
      </c>
      <c r="L3750" t="s">
        <v>24</v>
      </c>
      <c r="M3750" t="s">
        <v>21</v>
      </c>
      <c r="N3750" t="s">
        <v>30</v>
      </c>
      <c r="O3750" t="s">
        <v>36</v>
      </c>
      <c r="P3750">
        <v>2.78</v>
      </c>
      <c r="Q3750" s="2" t="b">
        <f>FALSE()</f>
        <v>0</v>
      </c>
      <c r="R3750">
        <v>0</v>
      </c>
    </row>
    <row r="3751" spans="1:18" x14ac:dyDescent="0.25">
      <c r="A3751">
        <v>203750</v>
      </c>
      <c r="B3751">
        <v>53767</v>
      </c>
      <c r="C3751" t="s">
        <v>34</v>
      </c>
      <c r="D3751">
        <v>1456.58</v>
      </c>
      <c r="E3751">
        <v>1450</v>
      </c>
      <c r="F3751">
        <v>2</v>
      </c>
      <c r="G3751">
        <v>5</v>
      </c>
      <c r="H3751">
        <v>1</v>
      </c>
      <c r="I3751" t="s">
        <v>33</v>
      </c>
      <c r="J3751">
        <v>0</v>
      </c>
      <c r="K3751">
        <v>81</v>
      </c>
      <c r="L3751" t="s">
        <v>24</v>
      </c>
      <c r="M3751" t="s">
        <v>35</v>
      </c>
      <c r="N3751" t="s">
        <v>30</v>
      </c>
      <c r="O3751" t="s">
        <v>23</v>
      </c>
      <c r="P3751">
        <v>2.98</v>
      </c>
      <c r="Q3751" s="2" t="b">
        <f>FALSE()</f>
        <v>0</v>
      </c>
      <c r="R3751">
        <v>0</v>
      </c>
    </row>
    <row r="3752" spans="1:18" x14ac:dyDescent="0.25">
      <c r="A3752">
        <v>203751</v>
      </c>
      <c r="B3752">
        <v>54026</v>
      </c>
      <c r="C3752" t="s">
        <v>18</v>
      </c>
      <c r="D3752">
        <v>2744.55</v>
      </c>
      <c r="E3752">
        <v>488</v>
      </c>
      <c r="F3752">
        <v>3</v>
      </c>
      <c r="G3752">
        <v>4</v>
      </c>
      <c r="H3752">
        <v>0</v>
      </c>
      <c r="I3752" t="s">
        <v>32</v>
      </c>
      <c r="J3752">
        <v>1</v>
      </c>
      <c r="K3752">
        <v>75</v>
      </c>
      <c r="L3752" t="s">
        <v>24</v>
      </c>
      <c r="M3752" t="s">
        <v>21</v>
      </c>
      <c r="N3752" t="s">
        <v>30</v>
      </c>
      <c r="O3752" t="s">
        <v>36</v>
      </c>
      <c r="P3752">
        <v>2.21</v>
      </c>
      <c r="Q3752" s="2" t="b">
        <f>FALSE()</f>
        <v>0</v>
      </c>
      <c r="R3752">
        <v>1</v>
      </c>
    </row>
    <row r="3753" spans="1:18" x14ac:dyDescent="0.25">
      <c r="A3753">
        <v>203752</v>
      </c>
      <c r="B3753">
        <v>55776</v>
      </c>
      <c r="C3753" t="s">
        <v>34</v>
      </c>
      <c r="D3753">
        <v>3263.28</v>
      </c>
      <c r="E3753">
        <v>3325</v>
      </c>
      <c r="F3753">
        <v>1</v>
      </c>
      <c r="G3753">
        <v>4</v>
      </c>
      <c r="H3753">
        <v>0</v>
      </c>
      <c r="I3753" t="s">
        <v>33</v>
      </c>
      <c r="J3753">
        <v>1</v>
      </c>
      <c r="K3753">
        <v>82</v>
      </c>
      <c r="L3753" t="s">
        <v>24</v>
      </c>
      <c r="M3753" t="s">
        <v>21</v>
      </c>
      <c r="N3753" t="s">
        <v>30</v>
      </c>
      <c r="O3753" t="s">
        <v>27</v>
      </c>
      <c r="P3753">
        <v>1.54</v>
      </c>
      <c r="Q3753" s="2" t="b">
        <f>FALSE()</f>
        <v>0</v>
      </c>
      <c r="R3753">
        <v>0</v>
      </c>
    </row>
    <row r="3754" spans="1:18" x14ac:dyDescent="0.25">
      <c r="A3754">
        <v>203753</v>
      </c>
      <c r="B3754">
        <v>55584</v>
      </c>
      <c r="C3754" t="s">
        <v>18</v>
      </c>
      <c r="D3754">
        <v>5052.12</v>
      </c>
      <c r="E3754">
        <v>1933</v>
      </c>
      <c r="F3754">
        <v>2</v>
      </c>
      <c r="G3754">
        <v>5</v>
      </c>
      <c r="H3754">
        <v>0</v>
      </c>
      <c r="I3754" t="s">
        <v>19</v>
      </c>
      <c r="J3754">
        <v>0</v>
      </c>
      <c r="K3754">
        <v>61</v>
      </c>
      <c r="L3754" t="s">
        <v>20</v>
      </c>
      <c r="M3754" t="s">
        <v>29</v>
      </c>
      <c r="N3754" t="s">
        <v>22</v>
      </c>
      <c r="O3754" t="s">
        <v>36</v>
      </c>
      <c r="P3754">
        <v>3.47</v>
      </c>
      <c r="Q3754" s="2" t="b">
        <f>FALSE()</f>
        <v>0</v>
      </c>
      <c r="R3754">
        <v>1</v>
      </c>
    </row>
    <row r="3755" spans="1:18" x14ac:dyDescent="0.25">
      <c r="A3755">
        <v>203754</v>
      </c>
      <c r="B3755">
        <v>53859</v>
      </c>
      <c r="C3755" t="s">
        <v>18</v>
      </c>
      <c r="D3755">
        <v>488.52</v>
      </c>
      <c r="E3755">
        <v>1397</v>
      </c>
      <c r="F3755">
        <v>0</v>
      </c>
      <c r="G3755">
        <v>3</v>
      </c>
      <c r="H3755">
        <v>0</v>
      </c>
      <c r="I3755" t="s">
        <v>33</v>
      </c>
      <c r="J3755">
        <v>0</v>
      </c>
      <c r="K3755">
        <v>27</v>
      </c>
      <c r="L3755" t="s">
        <v>24</v>
      </c>
      <c r="M3755" t="s">
        <v>35</v>
      </c>
      <c r="N3755" t="s">
        <v>22</v>
      </c>
      <c r="O3755" t="s">
        <v>36</v>
      </c>
      <c r="P3755">
        <v>0.05</v>
      </c>
      <c r="Q3755" s="2" t="b">
        <f>FALSE()</f>
        <v>0</v>
      </c>
      <c r="R3755">
        <v>0</v>
      </c>
    </row>
    <row r="3756" spans="1:18" x14ac:dyDescent="0.25">
      <c r="A3756">
        <v>203755</v>
      </c>
      <c r="B3756">
        <v>50727</v>
      </c>
      <c r="C3756" t="s">
        <v>18</v>
      </c>
      <c r="D3756">
        <v>6498.25</v>
      </c>
      <c r="E3756">
        <v>1850</v>
      </c>
      <c r="F3756">
        <v>1</v>
      </c>
      <c r="G3756">
        <v>6</v>
      </c>
      <c r="H3756">
        <v>1</v>
      </c>
      <c r="I3756" t="s">
        <v>33</v>
      </c>
      <c r="J3756">
        <v>0</v>
      </c>
      <c r="K3756">
        <v>70</v>
      </c>
      <c r="L3756" t="s">
        <v>20</v>
      </c>
      <c r="M3756" t="s">
        <v>29</v>
      </c>
      <c r="N3756" t="s">
        <v>22</v>
      </c>
      <c r="O3756" t="s">
        <v>27</v>
      </c>
      <c r="P3756">
        <v>0.08</v>
      </c>
      <c r="Q3756" s="2" t="b">
        <f>FALSE()</f>
        <v>0</v>
      </c>
      <c r="R3756">
        <v>1</v>
      </c>
    </row>
    <row r="3757" spans="1:18" x14ac:dyDescent="0.25">
      <c r="A3757">
        <v>203756</v>
      </c>
      <c r="B3757">
        <v>51200</v>
      </c>
      <c r="C3757" t="s">
        <v>34</v>
      </c>
      <c r="D3757">
        <v>3229.26</v>
      </c>
      <c r="E3757">
        <v>788</v>
      </c>
      <c r="F3757">
        <v>0</v>
      </c>
      <c r="G3757">
        <v>4</v>
      </c>
      <c r="H3757">
        <v>0</v>
      </c>
      <c r="I3757" t="s">
        <v>33</v>
      </c>
      <c r="J3757">
        <v>0</v>
      </c>
      <c r="K3757">
        <v>50</v>
      </c>
      <c r="L3757" t="s">
        <v>24</v>
      </c>
      <c r="M3757" t="s">
        <v>25</v>
      </c>
      <c r="N3757" t="s">
        <v>22</v>
      </c>
      <c r="O3757" t="s">
        <v>27</v>
      </c>
      <c r="P3757">
        <v>1.71</v>
      </c>
      <c r="Q3757" s="2" t="b">
        <f>FALSE()</f>
        <v>0</v>
      </c>
      <c r="R3757">
        <v>0</v>
      </c>
    </row>
    <row r="3758" spans="1:18" x14ac:dyDescent="0.25">
      <c r="A3758">
        <v>203757</v>
      </c>
      <c r="B3758">
        <v>51710</v>
      </c>
      <c r="C3758" t="s">
        <v>34</v>
      </c>
      <c r="D3758">
        <v>3131.2</v>
      </c>
      <c r="E3758">
        <v>1647</v>
      </c>
      <c r="F3758">
        <v>1</v>
      </c>
      <c r="G3758">
        <v>4</v>
      </c>
      <c r="H3758">
        <v>0</v>
      </c>
      <c r="I3758" t="s">
        <v>33</v>
      </c>
      <c r="J3758">
        <v>0</v>
      </c>
      <c r="K3758">
        <v>35</v>
      </c>
      <c r="L3758" t="s">
        <v>20</v>
      </c>
      <c r="M3758" t="s">
        <v>35</v>
      </c>
      <c r="N3758" t="s">
        <v>22</v>
      </c>
      <c r="O3758" t="s">
        <v>27</v>
      </c>
      <c r="P3758">
        <v>0.75</v>
      </c>
      <c r="Q3758" s="2" t="b">
        <f>FALSE()</f>
        <v>0</v>
      </c>
      <c r="R3758">
        <v>0</v>
      </c>
    </row>
    <row r="3759" spans="1:18" x14ac:dyDescent="0.25">
      <c r="A3759">
        <v>203758</v>
      </c>
      <c r="B3759">
        <v>51577</v>
      </c>
      <c r="C3759" t="s">
        <v>34</v>
      </c>
      <c r="D3759">
        <v>1182.25</v>
      </c>
      <c r="E3759">
        <v>1192</v>
      </c>
      <c r="F3759">
        <v>0</v>
      </c>
      <c r="G3759">
        <v>2</v>
      </c>
      <c r="H3759">
        <v>0</v>
      </c>
      <c r="I3759" t="s">
        <v>33</v>
      </c>
      <c r="J3759">
        <v>0</v>
      </c>
      <c r="K3759">
        <v>59</v>
      </c>
      <c r="L3759" t="s">
        <v>20</v>
      </c>
      <c r="M3759" t="s">
        <v>31</v>
      </c>
      <c r="N3759" t="s">
        <v>22</v>
      </c>
      <c r="O3759" t="s">
        <v>23</v>
      </c>
      <c r="P3759">
        <v>0.79</v>
      </c>
      <c r="Q3759" s="2" t="b">
        <f>FALSE()</f>
        <v>0</v>
      </c>
      <c r="R3759">
        <v>0</v>
      </c>
    </row>
    <row r="3760" spans="1:18" x14ac:dyDescent="0.25">
      <c r="A3760">
        <v>203759</v>
      </c>
      <c r="B3760">
        <v>50765</v>
      </c>
      <c r="C3760" t="s">
        <v>18</v>
      </c>
      <c r="D3760">
        <v>1345.1</v>
      </c>
      <c r="E3760">
        <v>2868</v>
      </c>
      <c r="F3760">
        <v>1</v>
      </c>
      <c r="G3760">
        <v>7</v>
      </c>
      <c r="H3760">
        <v>0</v>
      </c>
      <c r="I3760" t="s">
        <v>19</v>
      </c>
      <c r="J3760">
        <v>0</v>
      </c>
      <c r="K3760">
        <v>69</v>
      </c>
      <c r="L3760" t="s">
        <v>20</v>
      </c>
      <c r="M3760" t="s">
        <v>31</v>
      </c>
      <c r="N3760" t="s">
        <v>22</v>
      </c>
      <c r="O3760" t="s">
        <v>36</v>
      </c>
      <c r="P3760">
        <v>11.83</v>
      </c>
      <c r="Q3760" s="2" t="b">
        <f>FALSE()</f>
        <v>0</v>
      </c>
      <c r="R3760">
        <v>1</v>
      </c>
    </row>
    <row r="3761" spans="1:18" x14ac:dyDescent="0.25">
      <c r="A3761">
        <v>203760</v>
      </c>
      <c r="B3761">
        <v>50353</v>
      </c>
      <c r="C3761" t="s">
        <v>18</v>
      </c>
      <c r="D3761">
        <v>2623.03</v>
      </c>
      <c r="E3761">
        <v>3632</v>
      </c>
      <c r="F3761">
        <v>0</v>
      </c>
      <c r="G3761">
        <v>3</v>
      </c>
      <c r="H3761">
        <v>0</v>
      </c>
      <c r="I3761" t="s">
        <v>33</v>
      </c>
      <c r="J3761">
        <v>1</v>
      </c>
      <c r="K3761">
        <v>19</v>
      </c>
      <c r="L3761" t="s">
        <v>20</v>
      </c>
      <c r="M3761" t="s">
        <v>31</v>
      </c>
      <c r="N3761" t="s">
        <v>26</v>
      </c>
      <c r="O3761" t="s">
        <v>27</v>
      </c>
      <c r="P3761">
        <v>0.86</v>
      </c>
      <c r="Q3761" s="2" t="b">
        <f>FALSE()</f>
        <v>0</v>
      </c>
      <c r="R3761">
        <v>0</v>
      </c>
    </row>
    <row r="3762" spans="1:18" x14ac:dyDescent="0.25">
      <c r="A3762">
        <v>203761</v>
      </c>
      <c r="B3762">
        <v>53115</v>
      </c>
      <c r="C3762" t="s">
        <v>18</v>
      </c>
      <c r="D3762">
        <v>1574.87</v>
      </c>
      <c r="E3762">
        <v>1625</v>
      </c>
      <c r="F3762">
        <v>1</v>
      </c>
      <c r="G3762">
        <v>7</v>
      </c>
      <c r="H3762">
        <v>0</v>
      </c>
      <c r="I3762" t="s">
        <v>33</v>
      </c>
      <c r="J3762">
        <v>0</v>
      </c>
      <c r="K3762">
        <v>27</v>
      </c>
      <c r="L3762" t="s">
        <v>20</v>
      </c>
      <c r="M3762" t="s">
        <v>35</v>
      </c>
      <c r="N3762" t="s">
        <v>26</v>
      </c>
      <c r="O3762" t="s">
        <v>36</v>
      </c>
      <c r="P3762">
        <v>2.27</v>
      </c>
      <c r="Q3762" s="2" t="b">
        <f>FALSE()</f>
        <v>0</v>
      </c>
      <c r="R3762">
        <v>1</v>
      </c>
    </row>
    <row r="3763" spans="1:18" x14ac:dyDescent="0.25">
      <c r="A3763">
        <v>203762</v>
      </c>
      <c r="B3763">
        <v>52988</v>
      </c>
      <c r="C3763" t="s">
        <v>34</v>
      </c>
      <c r="D3763">
        <v>3636.28</v>
      </c>
      <c r="E3763">
        <v>1122</v>
      </c>
      <c r="F3763">
        <v>1</v>
      </c>
      <c r="G3763">
        <v>3</v>
      </c>
      <c r="H3763">
        <v>1</v>
      </c>
      <c r="I3763" t="s">
        <v>19</v>
      </c>
      <c r="J3763">
        <v>0</v>
      </c>
      <c r="K3763">
        <v>42</v>
      </c>
      <c r="L3763" t="s">
        <v>24</v>
      </c>
      <c r="M3763" t="s">
        <v>29</v>
      </c>
      <c r="N3763" t="s">
        <v>30</v>
      </c>
      <c r="O3763" t="s">
        <v>36</v>
      </c>
      <c r="P3763">
        <v>4</v>
      </c>
      <c r="Q3763" s="2" t="b">
        <f>FALSE()</f>
        <v>0</v>
      </c>
      <c r="R3763">
        <v>1</v>
      </c>
    </row>
    <row r="3764" spans="1:18" x14ac:dyDescent="0.25">
      <c r="A3764">
        <v>203763</v>
      </c>
      <c r="B3764">
        <v>50837</v>
      </c>
      <c r="C3764" t="s">
        <v>28</v>
      </c>
      <c r="D3764">
        <v>2845.21</v>
      </c>
      <c r="E3764">
        <v>1247</v>
      </c>
      <c r="F3764">
        <v>1</v>
      </c>
      <c r="G3764">
        <v>3</v>
      </c>
      <c r="H3764">
        <v>0</v>
      </c>
      <c r="I3764" t="s">
        <v>19</v>
      </c>
      <c r="J3764">
        <v>0</v>
      </c>
      <c r="K3764">
        <v>64</v>
      </c>
      <c r="L3764" t="s">
        <v>20</v>
      </c>
      <c r="M3764" t="s">
        <v>35</v>
      </c>
      <c r="N3764" t="s">
        <v>22</v>
      </c>
      <c r="O3764" t="s">
        <v>36</v>
      </c>
      <c r="P3764">
        <v>2.52</v>
      </c>
      <c r="Q3764" s="2" t="b">
        <f>FALSE()</f>
        <v>0</v>
      </c>
      <c r="R3764">
        <v>0</v>
      </c>
    </row>
    <row r="3765" spans="1:18" x14ac:dyDescent="0.25">
      <c r="A3765">
        <v>203764</v>
      </c>
      <c r="B3765">
        <v>55625</v>
      </c>
      <c r="C3765" t="s">
        <v>18</v>
      </c>
      <c r="D3765">
        <v>700.02</v>
      </c>
      <c r="E3765">
        <v>3501</v>
      </c>
      <c r="F3765">
        <v>0</v>
      </c>
      <c r="G3765">
        <v>4</v>
      </c>
      <c r="H3765">
        <v>1</v>
      </c>
      <c r="I3765" t="s">
        <v>33</v>
      </c>
      <c r="J3765">
        <v>1</v>
      </c>
      <c r="K3765">
        <v>72</v>
      </c>
      <c r="L3765" t="s">
        <v>24</v>
      </c>
      <c r="M3765" t="s">
        <v>35</v>
      </c>
      <c r="N3765" t="s">
        <v>30</v>
      </c>
      <c r="O3765" t="s">
        <v>36</v>
      </c>
      <c r="P3765">
        <v>8.2799999999999994</v>
      </c>
      <c r="Q3765" s="2" t="b">
        <f>FALSE()</f>
        <v>0</v>
      </c>
      <c r="R3765">
        <v>0</v>
      </c>
    </row>
    <row r="3766" spans="1:18" x14ac:dyDescent="0.25">
      <c r="A3766">
        <v>203765</v>
      </c>
      <c r="B3766">
        <v>52740</v>
      </c>
      <c r="C3766" t="s">
        <v>18</v>
      </c>
      <c r="D3766">
        <v>275.52</v>
      </c>
      <c r="E3766">
        <v>2694</v>
      </c>
      <c r="F3766">
        <v>3</v>
      </c>
      <c r="G3766">
        <v>2</v>
      </c>
      <c r="H3766">
        <v>0</v>
      </c>
      <c r="I3766" t="s">
        <v>33</v>
      </c>
      <c r="J3766">
        <v>1</v>
      </c>
      <c r="K3766">
        <v>39</v>
      </c>
      <c r="L3766" t="s">
        <v>20</v>
      </c>
      <c r="M3766" t="s">
        <v>21</v>
      </c>
      <c r="N3766" t="s">
        <v>22</v>
      </c>
      <c r="O3766" t="s">
        <v>23</v>
      </c>
      <c r="P3766">
        <v>0.9</v>
      </c>
      <c r="Q3766" s="2" t="b">
        <f>FALSE()</f>
        <v>0</v>
      </c>
      <c r="R3766">
        <v>1</v>
      </c>
    </row>
    <row r="3767" spans="1:18" x14ac:dyDescent="0.25">
      <c r="A3767">
        <v>203766</v>
      </c>
      <c r="B3767">
        <v>54077</v>
      </c>
      <c r="C3767" t="s">
        <v>18</v>
      </c>
      <c r="D3767">
        <v>2918.55</v>
      </c>
      <c r="E3767">
        <v>528</v>
      </c>
      <c r="F3767">
        <v>1</v>
      </c>
      <c r="G3767">
        <v>0</v>
      </c>
      <c r="H3767">
        <v>0</v>
      </c>
      <c r="I3767" t="s">
        <v>33</v>
      </c>
      <c r="J3767">
        <v>0</v>
      </c>
      <c r="K3767">
        <v>31</v>
      </c>
      <c r="L3767" t="s">
        <v>24</v>
      </c>
      <c r="M3767" t="s">
        <v>21</v>
      </c>
      <c r="N3767" t="s">
        <v>22</v>
      </c>
      <c r="O3767" t="s">
        <v>36</v>
      </c>
      <c r="P3767">
        <v>8.51</v>
      </c>
      <c r="Q3767" s="2" t="b">
        <f>FALSE()</f>
        <v>0</v>
      </c>
      <c r="R3767">
        <v>0</v>
      </c>
    </row>
    <row r="3768" spans="1:18" x14ac:dyDescent="0.25">
      <c r="A3768">
        <v>203767</v>
      </c>
      <c r="B3768">
        <v>53371</v>
      </c>
      <c r="C3768" t="s">
        <v>34</v>
      </c>
      <c r="D3768">
        <v>799.87</v>
      </c>
      <c r="E3768">
        <v>1829</v>
      </c>
      <c r="F3768">
        <v>0</v>
      </c>
      <c r="G3768">
        <v>3</v>
      </c>
      <c r="H3768">
        <v>0</v>
      </c>
      <c r="I3768" t="s">
        <v>33</v>
      </c>
      <c r="J3768">
        <v>1</v>
      </c>
      <c r="K3768">
        <v>72</v>
      </c>
      <c r="L3768" t="s">
        <v>20</v>
      </c>
      <c r="M3768" t="s">
        <v>29</v>
      </c>
      <c r="N3768" t="s">
        <v>26</v>
      </c>
      <c r="O3768" t="s">
        <v>27</v>
      </c>
      <c r="P3768">
        <v>1.06</v>
      </c>
      <c r="Q3768" s="2" t="b">
        <f>FALSE()</f>
        <v>0</v>
      </c>
      <c r="R3768">
        <v>0</v>
      </c>
    </row>
    <row r="3769" spans="1:18" x14ac:dyDescent="0.25">
      <c r="A3769">
        <v>203768</v>
      </c>
      <c r="B3769">
        <v>53653</v>
      </c>
      <c r="C3769" t="s">
        <v>34</v>
      </c>
      <c r="D3769">
        <v>3623.19</v>
      </c>
      <c r="E3769">
        <v>283</v>
      </c>
      <c r="F3769">
        <v>2</v>
      </c>
      <c r="G3769">
        <v>3</v>
      </c>
      <c r="H3769">
        <v>0</v>
      </c>
      <c r="I3769" t="s">
        <v>33</v>
      </c>
      <c r="J3769">
        <v>0</v>
      </c>
      <c r="K3769">
        <v>37</v>
      </c>
      <c r="L3769" t="s">
        <v>24</v>
      </c>
      <c r="M3769" t="s">
        <v>25</v>
      </c>
      <c r="N3769" t="s">
        <v>30</v>
      </c>
      <c r="O3769" t="s">
        <v>27</v>
      </c>
      <c r="P3769">
        <v>6.56</v>
      </c>
      <c r="Q3769" s="2" t="b">
        <f>FALSE()</f>
        <v>0</v>
      </c>
      <c r="R3769">
        <v>1</v>
      </c>
    </row>
    <row r="3770" spans="1:18" x14ac:dyDescent="0.25">
      <c r="A3770">
        <v>203769</v>
      </c>
      <c r="B3770">
        <v>55573</v>
      </c>
      <c r="C3770" t="s">
        <v>34</v>
      </c>
      <c r="D3770">
        <v>511.54</v>
      </c>
      <c r="E3770">
        <v>2987</v>
      </c>
      <c r="F3770">
        <v>0</v>
      </c>
      <c r="G3770">
        <v>3</v>
      </c>
      <c r="H3770">
        <v>0</v>
      </c>
      <c r="I3770" t="s">
        <v>32</v>
      </c>
      <c r="J3770">
        <v>1</v>
      </c>
      <c r="K3770">
        <v>55</v>
      </c>
      <c r="L3770" t="s">
        <v>20</v>
      </c>
      <c r="M3770" t="s">
        <v>35</v>
      </c>
      <c r="N3770" t="s">
        <v>22</v>
      </c>
      <c r="O3770" t="s">
        <v>27</v>
      </c>
      <c r="P3770">
        <v>0.86</v>
      </c>
      <c r="Q3770" s="2" t="b">
        <f>FALSE()</f>
        <v>0</v>
      </c>
      <c r="R3770">
        <v>0</v>
      </c>
    </row>
    <row r="3771" spans="1:18" x14ac:dyDescent="0.25">
      <c r="A3771">
        <v>203770</v>
      </c>
      <c r="B3771">
        <v>55476</v>
      </c>
      <c r="C3771" t="s">
        <v>34</v>
      </c>
      <c r="D3771">
        <v>1912.77</v>
      </c>
      <c r="E3771">
        <v>1606</v>
      </c>
      <c r="F3771">
        <v>0</v>
      </c>
      <c r="G3771">
        <v>0</v>
      </c>
      <c r="H3771">
        <v>0</v>
      </c>
      <c r="I3771" t="s">
        <v>33</v>
      </c>
      <c r="J3771">
        <v>1</v>
      </c>
      <c r="K3771">
        <v>29</v>
      </c>
      <c r="L3771" t="s">
        <v>24</v>
      </c>
      <c r="M3771" t="s">
        <v>21</v>
      </c>
      <c r="N3771" t="s">
        <v>26</v>
      </c>
      <c r="O3771" t="s">
        <v>36</v>
      </c>
      <c r="P3771">
        <v>4.0199999999999996</v>
      </c>
      <c r="Q3771" s="2" t="b">
        <f>FALSE()</f>
        <v>0</v>
      </c>
      <c r="R3771">
        <v>0</v>
      </c>
    </row>
    <row r="3772" spans="1:18" x14ac:dyDescent="0.25">
      <c r="A3772">
        <v>203771</v>
      </c>
      <c r="B3772">
        <v>54696</v>
      </c>
      <c r="C3772" t="s">
        <v>34</v>
      </c>
      <c r="D3772">
        <v>1545.16</v>
      </c>
      <c r="E3772">
        <v>3224</v>
      </c>
      <c r="F3772">
        <v>0</v>
      </c>
      <c r="G3772">
        <v>5</v>
      </c>
      <c r="H3772">
        <v>0</v>
      </c>
      <c r="I3772" t="s">
        <v>19</v>
      </c>
      <c r="J3772">
        <v>0</v>
      </c>
      <c r="K3772">
        <v>38</v>
      </c>
      <c r="L3772" t="s">
        <v>20</v>
      </c>
      <c r="M3772" t="s">
        <v>21</v>
      </c>
      <c r="N3772" t="s">
        <v>22</v>
      </c>
      <c r="O3772" t="s">
        <v>27</v>
      </c>
      <c r="P3772">
        <v>4.1399999999999997</v>
      </c>
      <c r="Q3772" s="2" t="b">
        <f>FALSE()</f>
        <v>0</v>
      </c>
      <c r="R3772">
        <v>0</v>
      </c>
    </row>
    <row r="3773" spans="1:18" x14ac:dyDescent="0.25">
      <c r="A3773">
        <v>203772</v>
      </c>
      <c r="B3773">
        <v>52404</v>
      </c>
      <c r="C3773" t="s">
        <v>18</v>
      </c>
      <c r="D3773">
        <v>1094.8900000000001</v>
      </c>
      <c r="E3773">
        <v>70</v>
      </c>
      <c r="F3773">
        <v>1</v>
      </c>
      <c r="G3773">
        <v>4</v>
      </c>
      <c r="H3773">
        <v>0</v>
      </c>
      <c r="I3773" t="s">
        <v>32</v>
      </c>
      <c r="J3773">
        <v>0</v>
      </c>
      <c r="K3773">
        <v>20</v>
      </c>
      <c r="L3773" t="s">
        <v>24</v>
      </c>
      <c r="M3773" t="s">
        <v>37</v>
      </c>
      <c r="N3773" t="s">
        <v>30</v>
      </c>
      <c r="O3773" t="s">
        <v>36</v>
      </c>
      <c r="P3773">
        <v>11.12</v>
      </c>
      <c r="Q3773" s="2" t="b">
        <f>FALSE()</f>
        <v>0</v>
      </c>
      <c r="R3773">
        <v>0</v>
      </c>
    </row>
    <row r="3774" spans="1:18" x14ac:dyDescent="0.25">
      <c r="A3774">
        <v>203773</v>
      </c>
      <c r="B3774">
        <v>53572</v>
      </c>
      <c r="C3774" t="s">
        <v>18</v>
      </c>
      <c r="D3774">
        <v>1884.85</v>
      </c>
      <c r="E3774">
        <v>1171</v>
      </c>
      <c r="F3774">
        <v>0</v>
      </c>
      <c r="G3774">
        <v>7</v>
      </c>
      <c r="H3774">
        <v>0</v>
      </c>
      <c r="I3774" t="s">
        <v>33</v>
      </c>
      <c r="J3774">
        <v>0</v>
      </c>
      <c r="K3774">
        <v>40</v>
      </c>
      <c r="L3774" t="s">
        <v>24</v>
      </c>
      <c r="M3774" t="s">
        <v>21</v>
      </c>
      <c r="N3774" t="s">
        <v>22</v>
      </c>
      <c r="O3774" t="s">
        <v>27</v>
      </c>
      <c r="P3774">
        <v>2.84</v>
      </c>
      <c r="Q3774" s="2" t="b">
        <f>FALSE()</f>
        <v>0</v>
      </c>
      <c r="R3774">
        <v>1</v>
      </c>
    </row>
    <row r="3775" spans="1:18" x14ac:dyDescent="0.25">
      <c r="A3775">
        <v>203774</v>
      </c>
      <c r="B3775">
        <v>53038</v>
      </c>
      <c r="C3775" t="s">
        <v>34</v>
      </c>
      <c r="D3775">
        <v>7402.69</v>
      </c>
      <c r="E3775">
        <v>2720</v>
      </c>
      <c r="F3775">
        <v>0</v>
      </c>
      <c r="G3775">
        <v>3</v>
      </c>
      <c r="H3775">
        <v>1</v>
      </c>
      <c r="I3775" t="s">
        <v>33</v>
      </c>
      <c r="J3775">
        <v>0</v>
      </c>
      <c r="K3775">
        <v>77</v>
      </c>
      <c r="L3775" t="s">
        <v>24</v>
      </c>
      <c r="M3775" t="s">
        <v>25</v>
      </c>
      <c r="N3775" t="s">
        <v>26</v>
      </c>
      <c r="O3775" t="s">
        <v>27</v>
      </c>
      <c r="P3775">
        <v>3.96</v>
      </c>
      <c r="Q3775" s="2" t="b">
        <f>TRUE()</f>
        <v>1</v>
      </c>
      <c r="R3775">
        <v>1</v>
      </c>
    </row>
    <row r="3776" spans="1:18" x14ac:dyDescent="0.25">
      <c r="A3776">
        <v>203775</v>
      </c>
      <c r="B3776">
        <v>51547</v>
      </c>
      <c r="C3776" t="s">
        <v>18</v>
      </c>
      <c r="D3776">
        <v>1784.77</v>
      </c>
      <c r="E3776">
        <v>2970</v>
      </c>
      <c r="F3776">
        <v>1</v>
      </c>
      <c r="G3776">
        <v>4</v>
      </c>
      <c r="H3776">
        <v>0</v>
      </c>
      <c r="I3776" t="s">
        <v>33</v>
      </c>
      <c r="J3776">
        <v>0</v>
      </c>
      <c r="K3776">
        <v>54</v>
      </c>
      <c r="L3776" t="s">
        <v>24</v>
      </c>
      <c r="M3776" t="s">
        <v>37</v>
      </c>
      <c r="N3776" t="s">
        <v>22</v>
      </c>
      <c r="O3776" t="s">
        <v>27</v>
      </c>
      <c r="P3776">
        <v>1.83</v>
      </c>
      <c r="Q3776" s="2" t="b">
        <f>FALSE()</f>
        <v>0</v>
      </c>
      <c r="R3776">
        <v>0</v>
      </c>
    </row>
    <row r="3777" spans="1:18" x14ac:dyDescent="0.25">
      <c r="A3777">
        <v>203776</v>
      </c>
      <c r="B3777">
        <v>55311</v>
      </c>
      <c r="C3777" t="s">
        <v>34</v>
      </c>
      <c r="D3777">
        <v>2580.61</v>
      </c>
      <c r="E3777">
        <v>2610</v>
      </c>
      <c r="F3777">
        <v>1</v>
      </c>
      <c r="G3777">
        <v>7</v>
      </c>
      <c r="H3777">
        <v>0</v>
      </c>
      <c r="I3777" t="s">
        <v>33</v>
      </c>
      <c r="J3777">
        <v>0</v>
      </c>
      <c r="K3777">
        <v>76</v>
      </c>
      <c r="L3777" t="s">
        <v>24</v>
      </c>
      <c r="M3777" t="s">
        <v>31</v>
      </c>
      <c r="N3777" t="s">
        <v>30</v>
      </c>
      <c r="O3777" t="s">
        <v>27</v>
      </c>
      <c r="P3777">
        <v>0.37</v>
      </c>
      <c r="Q3777" s="2" t="b">
        <f>FALSE()</f>
        <v>0</v>
      </c>
      <c r="R3777">
        <v>1</v>
      </c>
    </row>
    <row r="3778" spans="1:18" x14ac:dyDescent="0.25">
      <c r="A3778">
        <v>203777</v>
      </c>
      <c r="B3778">
        <v>54634</v>
      </c>
      <c r="C3778" t="s">
        <v>18</v>
      </c>
      <c r="D3778">
        <v>4667.99</v>
      </c>
      <c r="E3778">
        <v>1349</v>
      </c>
      <c r="F3778">
        <v>1</v>
      </c>
      <c r="G3778">
        <v>5</v>
      </c>
      <c r="H3778">
        <v>0</v>
      </c>
      <c r="I3778" t="s">
        <v>19</v>
      </c>
      <c r="J3778">
        <v>0</v>
      </c>
      <c r="K3778">
        <v>61</v>
      </c>
      <c r="L3778" t="s">
        <v>24</v>
      </c>
      <c r="M3778" t="s">
        <v>35</v>
      </c>
      <c r="N3778" t="s">
        <v>30</v>
      </c>
      <c r="O3778" t="s">
        <v>36</v>
      </c>
      <c r="P3778">
        <v>0.88</v>
      </c>
      <c r="Q3778" s="2" t="b">
        <f>FALSE()</f>
        <v>0</v>
      </c>
      <c r="R3778">
        <v>1</v>
      </c>
    </row>
    <row r="3779" spans="1:18" x14ac:dyDescent="0.25">
      <c r="A3779">
        <v>203778</v>
      </c>
      <c r="B3779">
        <v>55886</v>
      </c>
      <c r="C3779" t="s">
        <v>34</v>
      </c>
      <c r="D3779">
        <v>1398.86</v>
      </c>
      <c r="E3779">
        <v>3543</v>
      </c>
      <c r="F3779">
        <v>1</v>
      </c>
      <c r="G3779">
        <v>5</v>
      </c>
      <c r="H3779">
        <v>0</v>
      </c>
      <c r="I3779" t="s">
        <v>33</v>
      </c>
      <c r="J3779">
        <v>0</v>
      </c>
      <c r="K3779">
        <v>21</v>
      </c>
      <c r="L3779" t="s">
        <v>24</v>
      </c>
      <c r="M3779" t="s">
        <v>21</v>
      </c>
      <c r="N3779" t="s">
        <v>22</v>
      </c>
      <c r="O3779" t="s">
        <v>36</v>
      </c>
      <c r="P3779">
        <v>0.45</v>
      </c>
      <c r="Q3779" s="2" t="b">
        <f>FALSE()</f>
        <v>0</v>
      </c>
      <c r="R3779">
        <v>0</v>
      </c>
    </row>
    <row r="3780" spans="1:18" x14ac:dyDescent="0.25">
      <c r="A3780">
        <v>203779</v>
      </c>
      <c r="B3780">
        <v>50914</v>
      </c>
      <c r="C3780" t="s">
        <v>28</v>
      </c>
      <c r="D3780">
        <v>4693.08</v>
      </c>
      <c r="E3780">
        <v>1718</v>
      </c>
      <c r="F3780">
        <v>0</v>
      </c>
      <c r="G3780">
        <v>7</v>
      </c>
      <c r="H3780">
        <v>0</v>
      </c>
      <c r="I3780" t="s">
        <v>32</v>
      </c>
      <c r="J3780">
        <v>0</v>
      </c>
      <c r="K3780">
        <v>25</v>
      </c>
      <c r="L3780" t="s">
        <v>38</v>
      </c>
      <c r="M3780" t="s">
        <v>29</v>
      </c>
      <c r="N3780" t="s">
        <v>22</v>
      </c>
      <c r="O3780" t="s">
        <v>27</v>
      </c>
      <c r="P3780">
        <v>0.45</v>
      </c>
      <c r="Q3780" s="2" t="b">
        <f>FALSE()</f>
        <v>0</v>
      </c>
      <c r="R3780">
        <v>1</v>
      </c>
    </row>
    <row r="3781" spans="1:18" x14ac:dyDescent="0.25">
      <c r="A3781">
        <v>203780</v>
      </c>
      <c r="B3781">
        <v>52180</v>
      </c>
      <c r="C3781" t="s">
        <v>34</v>
      </c>
      <c r="D3781">
        <v>875.29</v>
      </c>
      <c r="E3781">
        <v>2542</v>
      </c>
      <c r="F3781">
        <v>1</v>
      </c>
      <c r="G3781">
        <v>3</v>
      </c>
      <c r="H3781">
        <v>0</v>
      </c>
      <c r="I3781" t="s">
        <v>33</v>
      </c>
      <c r="J3781">
        <v>1</v>
      </c>
      <c r="K3781">
        <v>44</v>
      </c>
      <c r="L3781" t="s">
        <v>20</v>
      </c>
      <c r="M3781" t="s">
        <v>31</v>
      </c>
      <c r="N3781" t="s">
        <v>30</v>
      </c>
      <c r="O3781" t="s">
        <v>23</v>
      </c>
      <c r="P3781">
        <v>0.57999999999999996</v>
      </c>
      <c r="Q3781" s="2" t="b">
        <f>FALSE()</f>
        <v>0</v>
      </c>
      <c r="R3781">
        <v>0</v>
      </c>
    </row>
    <row r="3782" spans="1:18" x14ac:dyDescent="0.25">
      <c r="A3782">
        <v>203781</v>
      </c>
      <c r="B3782">
        <v>52041</v>
      </c>
      <c r="C3782" t="s">
        <v>18</v>
      </c>
      <c r="D3782">
        <v>1527.9</v>
      </c>
      <c r="E3782">
        <v>1568</v>
      </c>
      <c r="F3782">
        <v>0</v>
      </c>
      <c r="G3782">
        <v>2</v>
      </c>
      <c r="H3782">
        <v>0</v>
      </c>
      <c r="I3782" t="s">
        <v>33</v>
      </c>
      <c r="J3782">
        <v>0</v>
      </c>
      <c r="K3782">
        <v>27</v>
      </c>
      <c r="L3782" t="s">
        <v>24</v>
      </c>
      <c r="M3782" t="s">
        <v>35</v>
      </c>
      <c r="N3782" t="s">
        <v>22</v>
      </c>
      <c r="O3782" t="s">
        <v>27</v>
      </c>
      <c r="P3782">
        <v>1.59</v>
      </c>
      <c r="Q3782" s="2" t="b">
        <f>FALSE()</f>
        <v>0</v>
      </c>
      <c r="R3782">
        <v>0</v>
      </c>
    </row>
    <row r="3783" spans="1:18" x14ac:dyDescent="0.25">
      <c r="A3783">
        <v>203782</v>
      </c>
      <c r="B3783">
        <v>54832</v>
      </c>
      <c r="C3783" t="s">
        <v>34</v>
      </c>
      <c r="D3783">
        <v>904.44</v>
      </c>
      <c r="E3783">
        <v>530</v>
      </c>
      <c r="F3783">
        <v>1</v>
      </c>
      <c r="G3783">
        <v>0</v>
      </c>
      <c r="H3783">
        <v>0</v>
      </c>
      <c r="I3783" t="s">
        <v>33</v>
      </c>
      <c r="J3783">
        <v>0</v>
      </c>
      <c r="K3783">
        <v>56</v>
      </c>
      <c r="L3783" t="s">
        <v>24</v>
      </c>
      <c r="M3783" t="s">
        <v>21</v>
      </c>
      <c r="N3783" t="s">
        <v>22</v>
      </c>
      <c r="O3783" t="s">
        <v>23</v>
      </c>
      <c r="P3783">
        <v>7.63</v>
      </c>
      <c r="Q3783" s="2" t="b">
        <f>FALSE()</f>
        <v>0</v>
      </c>
      <c r="R3783">
        <v>0</v>
      </c>
    </row>
    <row r="3784" spans="1:18" x14ac:dyDescent="0.25">
      <c r="A3784">
        <v>203783</v>
      </c>
      <c r="B3784">
        <v>52508</v>
      </c>
      <c r="C3784" t="s">
        <v>34</v>
      </c>
      <c r="D3784">
        <v>6654.31</v>
      </c>
      <c r="E3784">
        <v>2400</v>
      </c>
      <c r="F3784">
        <v>1</v>
      </c>
      <c r="G3784">
        <v>3</v>
      </c>
      <c r="H3784">
        <v>0</v>
      </c>
      <c r="I3784" t="s">
        <v>19</v>
      </c>
      <c r="J3784">
        <v>0</v>
      </c>
      <c r="K3784">
        <v>33</v>
      </c>
      <c r="L3784" t="s">
        <v>20</v>
      </c>
      <c r="M3784" t="s">
        <v>37</v>
      </c>
      <c r="N3784" t="s">
        <v>30</v>
      </c>
      <c r="O3784" t="s">
        <v>27</v>
      </c>
      <c r="P3784">
        <v>0.25</v>
      </c>
      <c r="Q3784" s="2" t="b">
        <f>FALSE()</f>
        <v>0</v>
      </c>
      <c r="R3784">
        <v>1</v>
      </c>
    </row>
    <row r="3785" spans="1:18" x14ac:dyDescent="0.25">
      <c r="A3785">
        <v>203784</v>
      </c>
      <c r="B3785">
        <v>50779</v>
      </c>
      <c r="C3785" t="s">
        <v>18</v>
      </c>
      <c r="D3785">
        <v>6324.71</v>
      </c>
      <c r="E3785">
        <v>2363</v>
      </c>
      <c r="F3785">
        <v>0</v>
      </c>
      <c r="G3785">
        <v>5</v>
      </c>
      <c r="H3785">
        <v>1</v>
      </c>
      <c r="I3785" t="s">
        <v>33</v>
      </c>
      <c r="J3785">
        <v>0</v>
      </c>
      <c r="K3785">
        <v>23</v>
      </c>
      <c r="L3785" t="s">
        <v>20</v>
      </c>
      <c r="M3785" t="s">
        <v>37</v>
      </c>
      <c r="N3785" t="s">
        <v>30</v>
      </c>
      <c r="O3785" t="s">
        <v>36</v>
      </c>
      <c r="P3785">
        <v>1.06</v>
      </c>
      <c r="Q3785" s="2" t="b">
        <f>FALSE()</f>
        <v>0</v>
      </c>
      <c r="R3785">
        <v>1</v>
      </c>
    </row>
    <row r="3786" spans="1:18" x14ac:dyDescent="0.25">
      <c r="A3786">
        <v>203785</v>
      </c>
      <c r="B3786">
        <v>53879</v>
      </c>
      <c r="C3786" t="s">
        <v>18</v>
      </c>
      <c r="D3786">
        <v>4728.3100000000004</v>
      </c>
      <c r="E3786">
        <v>1112</v>
      </c>
      <c r="F3786">
        <v>1</v>
      </c>
      <c r="G3786">
        <v>4</v>
      </c>
      <c r="H3786">
        <v>0</v>
      </c>
      <c r="I3786" t="s">
        <v>33</v>
      </c>
      <c r="J3786">
        <v>0</v>
      </c>
      <c r="K3786">
        <v>39</v>
      </c>
      <c r="L3786" t="s">
        <v>38</v>
      </c>
      <c r="M3786" t="s">
        <v>35</v>
      </c>
      <c r="N3786" t="s">
        <v>22</v>
      </c>
      <c r="O3786" t="s">
        <v>23</v>
      </c>
      <c r="P3786">
        <v>1.01</v>
      </c>
      <c r="Q3786" s="2" t="b">
        <f>FALSE()</f>
        <v>0</v>
      </c>
      <c r="R3786">
        <v>1</v>
      </c>
    </row>
    <row r="3787" spans="1:18" x14ac:dyDescent="0.25">
      <c r="A3787">
        <v>203786</v>
      </c>
      <c r="B3787">
        <v>55972</v>
      </c>
      <c r="C3787" t="s">
        <v>34</v>
      </c>
      <c r="D3787">
        <v>3943.47</v>
      </c>
      <c r="E3787">
        <v>2973</v>
      </c>
      <c r="F3787">
        <v>2</v>
      </c>
      <c r="G3787">
        <v>1</v>
      </c>
      <c r="H3787">
        <v>1</v>
      </c>
      <c r="I3787" t="s">
        <v>33</v>
      </c>
      <c r="J3787">
        <v>0</v>
      </c>
      <c r="K3787">
        <v>80</v>
      </c>
      <c r="L3787" t="s">
        <v>24</v>
      </c>
      <c r="M3787" t="s">
        <v>37</v>
      </c>
      <c r="N3787" t="s">
        <v>26</v>
      </c>
      <c r="O3787" t="s">
        <v>27</v>
      </c>
      <c r="P3787">
        <v>3.66</v>
      </c>
      <c r="Q3787" s="2" t="b">
        <f>FALSE()</f>
        <v>0</v>
      </c>
      <c r="R3787">
        <v>1</v>
      </c>
    </row>
    <row r="3788" spans="1:18" x14ac:dyDescent="0.25">
      <c r="A3788">
        <v>203787</v>
      </c>
      <c r="B3788">
        <v>51336</v>
      </c>
      <c r="C3788" t="s">
        <v>18</v>
      </c>
      <c r="D3788">
        <v>1582.52</v>
      </c>
      <c r="E3788">
        <v>3133</v>
      </c>
      <c r="F3788">
        <v>2</v>
      </c>
      <c r="G3788">
        <v>3</v>
      </c>
      <c r="H3788">
        <v>0</v>
      </c>
      <c r="I3788" t="s">
        <v>33</v>
      </c>
      <c r="J3788">
        <v>0</v>
      </c>
      <c r="K3788">
        <v>23</v>
      </c>
      <c r="L3788" t="s">
        <v>24</v>
      </c>
      <c r="M3788" t="s">
        <v>29</v>
      </c>
      <c r="N3788" t="s">
        <v>22</v>
      </c>
      <c r="O3788" t="s">
        <v>36</v>
      </c>
      <c r="P3788">
        <v>2.64</v>
      </c>
      <c r="Q3788" s="2" t="b">
        <f>FALSE()</f>
        <v>0</v>
      </c>
      <c r="R3788">
        <v>0</v>
      </c>
    </row>
    <row r="3789" spans="1:18" x14ac:dyDescent="0.25">
      <c r="A3789">
        <v>203788</v>
      </c>
      <c r="B3789">
        <v>51113</v>
      </c>
      <c r="C3789" t="s">
        <v>34</v>
      </c>
      <c r="D3789">
        <v>2496.19</v>
      </c>
      <c r="E3789">
        <v>2797</v>
      </c>
      <c r="F3789">
        <v>2</v>
      </c>
      <c r="G3789">
        <v>6</v>
      </c>
      <c r="H3789">
        <v>1</v>
      </c>
      <c r="I3789" t="s">
        <v>33</v>
      </c>
      <c r="J3789">
        <v>0</v>
      </c>
      <c r="K3789">
        <v>75</v>
      </c>
      <c r="L3789" t="s">
        <v>20</v>
      </c>
      <c r="M3789" t="s">
        <v>29</v>
      </c>
      <c r="N3789" t="s">
        <v>30</v>
      </c>
      <c r="O3789" t="s">
        <v>27</v>
      </c>
      <c r="P3789">
        <v>2.09</v>
      </c>
      <c r="Q3789" s="2" t="b">
        <f>FALSE()</f>
        <v>0</v>
      </c>
      <c r="R3789">
        <v>0</v>
      </c>
    </row>
    <row r="3790" spans="1:18" x14ac:dyDescent="0.25">
      <c r="A3790">
        <v>203789</v>
      </c>
      <c r="B3790">
        <v>55429</v>
      </c>
      <c r="C3790" t="s">
        <v>34</v>
      </c>
      <c r="D3790">
        <v>11194.83</v>
      </c>
      <c r="E3790">
        <v>2494</v>
      </c>
      <c r="F3790">
        <v>2</v>
      </c>
      <c r="G3790">
        <v>3</v>
      </c>
      <c r="H3790">
        <v>0</v>
      </c>
      <c r="I3790" t="s">
        <v>32</v>
      </c>
      <c r="J3790">
        <v>0</v>
      </c>
      <c r="K3790">
        <v>69</v>
      </c>
      <c r="L3790" t="s">
        <v>24</v>
      </c>
      <c r="M3790" t="s">
        <v>25</v>
      </c>
      <c r="N3790" t="s">
        <v>30</v>
      </c>
      <c r="O3790" t="s">
        <v>23</v>
      </c>
      <c r="P3790">
        <v>9.51</v>
      </c>
      <c r="Q3790" s="2" t="b">
        <f>TRUE()</f>
        <v>1</v>
      </c>
      <c r="R3790">
        <v>1</v>
      </c>
    </row>
    <row r="3791" spans="1:18" x14ac:dyDescent="0.25">
      <c r="A3791">
        <v>203790</v>
      </c>
      <c r="B3791">
        <v>55527</v>
      </c>
      <c r="C3791" t="s">
        <v>34</v>
      </c>
      <c r="D3791">
        <v>2807.75</v>
      </c>
      <c r="E3791">
        <v>864</v>
      </c>
      <c r="F3791">
        <v>0</v>
      </c>
      <c r="G3791">
        <v>6</v>
      </c>
      <c r="H3791">
        <v>1</v>
      </c>
      <c r="I3791" t="s">
        <v>33</v>
      </c>
      <c r="J3791">
        <v>0</v>
      </c>
      <c r="K3791">
        <v>36</v>
      </c>
      <c r="L3791" t="s">
        <v>24</v>
      </c>
      <c r="M3791" t="s">
        <v>25</v>
      </c>
      <c r="N3791" t="s">
        <v>26</v>
      </c>
      <c r="O3791" t="s">
        <v>27</v>
      </c>
      <c r="P3791">
        <v>3.23</v>
      </c>
      <c r="Q3791" s="2" t="b">
        <f>FALSE()</f>
        <v>0</v>
      </c>
      <c r="R3791">
        <v>0</v>
      </c>
    </row>
    <row r="3792" spans="1:18" x14ac:dyDescent="0.25">
      <c r="A3792">
        <v>203791</v>
      </c>
      <c r="B3792">
        <v>53778</v>
      </c>
      <c r="C3792" t="s">
        <v>28</v>
      </c>
      <c r="D3792">
        <v>2715.36</v>
      </c>
      <c r="E3792">
        <v>3041</v>
      </c>
      <c r="F3792">
        <v>3</v>
      </c>
      <c r="G3792">
        <v>4</v>
      </c>
      <c r="H3792">
        <v>0</v>
      </c>
      <c r="I3792" t="s">
        <v>33</v>
      </c>
      <c r="J3792">
        <v>0</v>
      </c>
      <c r="K3792">
        <v>81</v>
      </c>
      <c r="L3792" t="s">
        <v>20</v>
      </c>
      <c r="M3792" t="s">
        <v>21</v>
      </c>
      <c r="N3792" t="s">
        <v>30</v>
      </c>
      <c r="O3792" t="s">
        <v>36</v>
      </c>
      <c r="P3792">
        <v>6.58</v>
      </c>
      <c r="Q3792" s="2" t="b">
        <f>FALSE()</f>
        <v>0</v>
      </c>
      <c r="R3792">
        <v>1</v>
      </c>
    </row>
    <row r="3793" spans="1:18" x14ac:dyDescent="0.25">
      <c r="A3793">
        <v>203792</v>
      </c>
      <c r="B3793">
        <v>53817</v>
      </c>
      <c r="C3793" t="s">
        <v>18</v>
      </c>
      <c r="D3793">
        <v>1837.37</v>
      </c>
      <c r="E3793">
        <v>1275</v>
      </c>
      <c r="F3793">
        <v>1</v>
      </c>
      <c r="G3793">
        <v>5</v>
      </c>
      <c r="H3793">
        <v>0</v>
      </c>
      <c r="I3793" t="s">
        <v>33</v>
      </c>
      <c r="J3793">
        <v>0</v>
      </c>
      <c r="K3793">
        <v>66</v>
      </c>
      <c r="L3793" t="s">
        <v>24</v>
      </c>
      <c r="M3793" t="s">
        <v>31</v>
      </c>
      <c r="N3793" t="s">
        <v>30</v>
      </c>
      <c r="O3793" t="s">
        <v>27</v>
      </c>
      <c r="P3793">
        <v>3.69</v>
      </c>
      <c r="Q3793" s="2" t="b">
        <f>FALSE()</f>
        <v>0</v>
      </c>
      <c r="R3793">
        <v>0</v>
      </c>
    </row>
    <row r="3794" spans="1:18" x14ac:dyDescent="0.25">
      <c r="A3794">
        <v>203793</v>
      </c>
      <c r="B3794">
        <v>53998</v>
      </c>
      <c r="C3794" t="s">
        <v>18</v>
      </c>
      <c r="D3794">
        <v>2385.5500000000002</v>
      </c>
      <c r="E3794">
        <v>640</v>
      </c>
      <c r="F3794">
        <v>0</v>
      </c>
      <c r="G3794">
        <v>8</v>
      </c>
      <c r="H3794">
        <v>0</v>
      </c>
      <c r="I3794" t="s">
        <v>33</v>
      </c>
      <c r="J3794">
        <v>0</v>
      </c>
      <c r="K3794">
        <v>64</v>
      </c>
      <c r="L3794" t="s">
        <v>20</v>
      </c>
      <c r="M3794" t="s">
        <v>29</v>
      </c>
      <c r="N3794" t="s">
        <v>30</v>
      </c>
      <c r="O3794" t="s">
        <v>27</v>
      </c>
      <c r="P3794">
        <v>5.21</v>
      </c>
      <c r="Q3794" s="2" t="b">
        <f>FALSE()</f>
        <v>0</v>
      </c>
      <c r="R3794">
        <v>1</v>
      </c>
    </row>
    <row r="3795" spans="1:18" x14ac:dyDescent="0.25">
      <c r="A3795">
        <v>203794</v>
      </c>
      <c r="B3795">
        <v>52135</v>
      </c>
      <c r="C3795" t="s">
        <v>18</v>
      </c>
      <c r="D3795">
        <v>826.73</v>
      </c>
      <c r="E3795">
        <v>526</v>
      </c>
      <c r="F3795">
        <v>0</v>
      </c>
      <c r="G3795">
        <v>6</v>
      </c>
      <c r="H3795">
        <v>0</v>
      </c>
      <c r="I3795" t="s">
        <v>33</v>
      </c>
      <c r="J3795">
        <v>1</v>
      </c>
      <c r="K3795">
        <v>39</v>
      </c>
      <c r="L3795" t="s">
        <v>24</v>
      </c>
      <c r="M3795" t="s">
        <v>25</v>
      </c>
      <c r="N3795" t="s">
        <v>22</v>
      </c>
      <c r="O3795" t="s">
        <v>27</v>
      </c>
      <c r="P3795">
        <v>3.31</v>
      </c>
      <c r="Q3795" s="2" t="b">
        <f>FALSE()</f>
        <v>0</v>
      </c>
      <c r="R3795">
        <v>0</v>
      </c>
    </row>
    <row r="3796" spans="1:18" x14ac:dyDescent="0.25">
      <c r="A3796">
        <v>203795</v>
      </c>
      <c r="B3796">
        <v>54416</v>
      </c>
      <c r="C3796" t="s">
        <v>28</v>
      </c>
      <c r="D3796">
        <v>5298.87</v>
      </c>
      <c r="E3796">
        <v>1778</v>
      </c>
      <c r="F3796">
        <v>2</v>
      </c>
      <c r="G3796">
        <v>5</v>
      </c>
      <c r="H3796">
        <v>0</v>
      </c>
      <c r="I3796" t="s">
        <v>33</v>
      </c>
      <c r="J3796">
        <v>1</v>
      </c>
      <c r="K3796">
        <v>78</v>
      </c>
      <c r="L3796" t="s">
        <v>24</v>
      </c>
      <c r="M3796" t="s">
        <v>37</v>
      </c>
      <c r="N3796" t="s">
        <v>22</v>
      </c>
      <c r="O3796" t="s">
        <v>27</v>
      </c>
      <c r="P3796">
        <v>2.09</v>
      </c>
      <c r="Q3796" s="2" t="b">
        <f>FALSE()</f>
        <v>0</v>
      </c>
      <c r="R3796">
        <v>1</v>
      </c>
    </row>
    <row r="3797" spans="1:18" x14ac:dyDescent="0.25">
      <c r="A3797">
        <v>203796</v>
      </c>
      <c r="B3797">
        <v>51237</v>
      </c>
      <c r="C3797" t="s">
        <v>34</v>
      </c>
      <c r="D3797">
        <v>1758.98</v>
      </c>
      <c r="E3797">
        <v>989</v>
      </c>
      <c r="F3797">
        <v>2</v>
      </c>
      <c r="G3797">
        <v>2</v>
      </c>
      <c r="H3797">
        <v>0</v>
      </c>
      <c r="I3797" t="s">
        <v>33</v>
      </c>
      <c r="J3797">
        <v>0</v>
      </c>
      <c r="K3797">
        <v>68</v>
      </c>
      <c r="L3797" t="s">
        <v>20</v>
      </c>
      <c r="M3797" t="s">
        <v>37</v>
      </c>
      <c r="N3797" t="s">
        <v>30</v>
      </c>
      <c r="O3797" t="s">
        <v>36</v>
      </c>
      <c r="P3797">
        <v>2.63</v>
      </c>
      <c r="Q3797" s="2" t="b">
        <f>FALSE()</f>
        <v>0</v>
      </c>
      <c r="R3797">
        <v>0</v>
      </c>
    </row>
    <row r="3798" spans="1:18" x14ac:dyDescent="0.25">
      <c r="A3798">
        <v>203797</v>
      </c>
      <c r="B3798">
        <v>50671</v>
      </c>
      <c r="C3798" t="s">
        <v>34</v>
      </c>
      <c r="D3798">
        <v>2519.6999999999998</v>
      </c>
      <c r="E3798">
        <v>3329</v>
      </c>
      <c r="F3798">
        <v>1</v>
      </c>
      <c r="G3798">
        <v>7</v>
      </c>
      <c r="H3798">
        <v>1</v>
      </c>
      <c r="I3798" t="s">
        <v>33</v>
      </c>
      <c r="J3798">
        <v>0</v>
      </c>
      <c r="K3798">
        <v>77</v>
      </c>
      <c r="L3798" t="s">
        <v>24</v>
      </c>
      <c r="M3798" t="s">
        <v>35</v>
      </c>
      <c r="N3798" t="s">
        <v>30</v>
      </c>
      <c r="O3798" t="s">
        <v>36</v>
      </c>
      <c r="P3798">
        <v>1.42</v>
      </c>
      <c r="Q3798" s="2" t="b">
        <f>FALSE()</f>
        <v>0</v>
      </c>
      <c r="R3798">
        <v>1</v>
      </c>
    </row>
    <row r="3799" spans="1:18" x14ac:dyDescent="0.25">
      <c r="A3799">
        <v>203798</v>
      </c>
      <c r="B3799">
        <v>52257</v>
      </c>
      <c r="C3799" t="s">
        <v>34</v>
      </c>
      <c r="D3799">
        <v>3336</v>
      </c>
      <c r="E3799">
        <v>1613</v>
      </c>
      <c r="F3799">
        <v>2</v>
      </c>
      <c r="G3799">
        <v>2</v>
      </c>
      <c r="H3799">
        <v>0</v>
      </c>
      <c r="I3799" t="s">
        <v>33</v>
      </c>
      <c r="J3799">
        <v>0</v>
      </c>
      <c r="K3799">
        <v>83</v>
      </c>
      <c r="L3799" t="s">
        <v>24</v>
      </c>
      <c r="M3799" t="s">
        <v>31</v>
      </c>
      <c r="N3799" t="s">
        <v>30</v>
      </c>
      <c r="O3799" t="s">
        <v>27</v>
      </c>
      <c r="P3799">
        <v>3.22</v>
      </c>
      <c r="Q3799" s="2" t="b">
        <f>FALSE()</f>
        <v>0</v>
      </c>
      <c r="R3799">
        <v>0</v>
      </c>
    </row>
    <row r="3800" spans="1:18" x14ac:dyDescent="0.25">
      <c r="A3800">
        <v>203799</v>
      </c>
      <c r="B3800">
        <v>50625</v>
      </c>
      <c r="C3800" t="s">
        <v>34</v>
      </c>
      <c r="D3800">
        <v>2949.92</v>
      </c>
      <c r="E3800">
        <v>2031</v>
      </c>
      <c r="F3800">
        <v>1</v>
      </c>
      <c r="G3800">
        <v>3</v>
      </c>
      <c r="H3800">
        <v>0</v>
      </c>
      <c r="I3800" t="s">
        <v>19</v>
      </c>
      <c r="J3800">
        <v>0</v>
      </c>
      <c r="K3800">
        <v>63</v>
      </c>
      <c r="L3800" t="s">
        <v>24</v>
      </c>
      <c r="M3800" t="s">
        <v>25</v>
      </c>
      <c r="N3800" t="s">
        <v>30</v>
      </c>
      <c r="O3800" t="s">
        <v>27</v>
      </c>
      <c r="P3800">
        <v>2.6</v>
      </c>
      <c r="Q3800" s="2" t="b">
        <f>FALSE()</f>
        <v>0</v>
      </c>
      <c r="R3800">
        <v>0</v>
      </c>
    </row>
    <row r="3801" spans="1:18" x14ac:dyDescent="0.25">
      <c r="A3801">
        <v>203800</v>
      </c>
      <c r="B3801">
        <v>51224</v>
      </c>
      <c r="C3801" t="s">
        <v>18</v>
      </c>
      <c r="D3801">
        <v>2683.92</v>
      </c>
      <c r="E3801">
        <v>1211</v>
      </c>
      <c r="F3801">
        <v>3</v>
      </c>
      <c r="G3801">
        <v>4</v>
      </c>
      <c r="H3801">
        <v>1</v>
      </c>
      <c r="I3801" t="s">
        <v>19</v>
      </c>
      <c r="J3801">
        <v>0</v>
      </c>
      <c r="K3801">
        <v>38</v>
      </c>
      <c r="L3801" t="s">
        <v>20</v>
      </c>
      <c r="M3801" t="s">
        <v>25</v>
      </c>
      <c r="N3801" t="s">
        <v>30</v>
      </c>
      <c r="O3801" t="s">
        <v>27</v>
      </c>
      <c r="P3801">
        <v>2.33</v>
      </c>
      <c r="Q3801" s="2" t="b">
        <f>FALSE()</f>
        <v>0</v>
      </c>
      <c r="R3801">
        <v>1</v>
      </c>
    </row>
    <row r="3802" spans="1:18" x14ac:dyDescent="0.25">
      <c r="A3802">
        <v>203801</v>
      </c>
      <c r="B3802">
        <v>54068</v>
      </c>
      <c r="C3802" t="s">
        <v>34</v>
      </c>
      <c r="D3802">
        <v>2791.77</v>
      </c>
      <c r="E3802">
        <v>1553</v>
      </c>
      <c r="F3802">
        <v>3</v>
      </c>
      <c r="G3802">
        <v>2</v>
      </c>
      <c r="H3802">
        <v>0</v>
      </c>
      <c r="I3802" t="s">
        <v>33</v>
      </c>
      <c r="J3802">
        <v>0</v>
      </c>
      <c r="K3802">
        <v>68</v>
      </c>
      <c r="L3802" t="s">
        <v>38</v>
      </c>
      <c r="M3802" t="s">
        <v>37</v>
      </c>
      <c r="N3802" t="s">
        <v>22</v>
      </c>
      <c r="O3802" t="s">
        <v>27</v>
      </c>
      <c r="P3802">
        <v>2.0699999999999998</v>
      </c>
      <c r="Q3802" s="2" t="b">
        <f>FALSE()</f>
        <v>0</v>
      </c>
      <c r="R3802">
        <v>1</v>
      </c>
    </row>
    <row r="3803" spans="1:18" x14ac:dyDescent="0.25">
      <c r="A3803">
        <v>203802</v>
      </c>
      <c r="B3803">
        <v>53071</v>
      </c>
      <c r="C3803" t="s">
        <v>34</v>
      </c>
      <c r="D3803">
        <v>4418.2299999999996</v>
      </c>
      <c r="E3803">
        <v>1277</v>
      </c>
      <c r="F3803">
        <v>0</v>
      </c>
      <c r="G3803">
        <v>6</v>
      </c>
      <c r="H3803">
        <v>1</v>
      </c>
      <c r="I3803" t="s">
        <v>33</v>
      </c>
      <c r="J3803">
        <v>0</v>
      </c>
      <c r="K3803">
        <v>27</v>
      </c>
      <c r="L3803" t="s">
        <v>20</v>
      </c>
      <c r="M3803" t="s">
        <v>21</v>
      </c>
      <c r="N3803" t="s">
        <v>22</v>
      </c>
      <c r="O3803" t="s">
        <v>36</v>
      </c>
      <c r="P3803">
        <v>8.8800000000000008</v>
      </c>
      <c r="Q3803" s="2" t="b">
        <f>FALSE()</f>
        <v>0</v>
      </c>
      <c r="R3803">
        <v>1</v>
      </c>
    </row>
    <row r="3804" spans="1:18" x14ac:dyDescent="0.25">
      <c r="A3804">
        <v>203803</v>
      </c>
      <c r="B3804">
        <v>51505</v>
      </c>
      <c r="C3804" t="s">
        <v>34</v>
      </c>
      <c r="D3804">
        <v>3039.79</v>
      </c>
      <c r="E3804">
        <v>1275</v>
      </c>
      <c r="F3804">
        <v>2</v>
      </c>
      <c r="G3804">
        <v>7</v>
      </c>
      <c r="H3804">
        <v>0</v>
      </c>
      <c r="I3804" t="s">
        <v>33</v>
      </c>
      <c r="J3804">
        <v>0</v>
      </c>
      <c r="K3804">
        <v>30</v>
      </c>
      <c r="L3804" t="s">
        <v>20</v>
      </c>
      <c r="M3804" t="s">
        <v>25</v>
      </c>
      <c r="N3804" t="s">
        <v>30</v>
      </c>
      <c r="O3804" t="s">
        <v>36</v>
      </c>
      <c r="P3804">
        <v>0.72</v>
      </c>
      <c r="Q3804" s="2" t="b">
        <f>FALSE()</f>
        <v>0</v>
      </c>
      <c r="R3804">
        <v>1</v>
      </c>
    </row>
    <row r="3805" spans="1:18" x14ac:dyDescent="0.25">
      <c r="A3805">
        <v>203804</v>
      </c>
      <c r="B3805">
        <v>51995</v>
      </c>
      <c r="C3805" t="s">
        <v>34</v>
      </c>
      <c r="D3805">
        <v>4378.37</v>
      </c>
      <c r="E3805">
        <v>35</v>
      </c>
      <c r="F3805">
        <v>1</v>
      </c>
      <c r="G3805">
        <v>4</v>
      </c>
      <c r="H3805">
        <v>0</v>
      </c>
      <c r="I3805" t="s">
        <v>33</v>
      </c>
      <c r="J3805">
        <v>1</v>
      </c>
      <c r="K3805">
        <v>29</v>
      </c>
      <c r="L3805" t="s">
        <v>24</v>
      </c>
      <c r="M3805" t="s">
        <v>21</v>
      </c>
      <c r="N3805" t="s">
        <v>22</v>
      </c>
      <c r="O3805" t="s">
        <v>27</v>
      </c>
      <c r="P3805">
        <v>2.33</v>
      </c>
      <c r="Q3805" s="2" t="b">
        <f>FALSE()</f>
        <v>0</v>
      </c>
      <c r="R3805">
        <v>1</v>
      </c>
    </row>
    <row r="3806" spans="1:18" x14ac:dyDescent="0.25">
      <c r="A3806">
        <v>203805</v>
      </c>
      <c r="B3806">
        <v>51527</v>
      </c>
      <c r="C3806" t="s">
        <v>28</v>
      </c>
      <c r="D3806">
        <v>4645.0200000000004</v>
      </c>
      <c r="E3806">
        <v>2048</v>
      </c>
      <c r="F3806">
        <v>0</v>
      </c>
      <c r="G3806">
        <v>4</v>
      </c>
      <c r="H3806">
        <v>0</v>
      </c>
      <c r="I3806" t="s">
        <v>19</v>
      </c>
      <c r="J3806">
        <v>1</v>
      </c>
      <c r="K3806">
        <v>84</v>
      </c>
      <c r="L3806" t="s">
        <v>24</v>
      </c>
      <c r="M3806" t="s">
        <v>29</v>
      </c>
      <c r="N3806" t="s">
        <v>30</v>
      </c>
      <c r="O3806" t="s">
        <v>23</v>
      </c>
      <c r="P3806">
        <v>6.04</v>
      </c>
      <c r="Q3806" s="2" t="b">
        <f>FALSE()</f>
        <v>0</v>
      </c>
      <c r="R3806">
        <v>1</v>
      </c>
    </row>
    <row r="3807" spans="1:18" x14ac:dyDescent="0.25">
      <c r="A3807">
        <v>203806</v>
      </c>
      <c r="B3807">
        <v>53047</v>
      </c>
      <c r="C3807" t="s">
        <v>34</v>
      </c>
      <c r="D3807">
        <v>3897.35</v>
      </c>
      <c r="E3807">
        <v>1302</v>
      </c>
      <c r="F3807">
        <v>3</v>
      </c>
      <c r="G3807">
        <v>2</v>
      </c>
      <c r="H3807">
        <v>0</v>
      </c>
      <c r="I3807" t="s">
        <v>19</v>
      </c>
      <c r="J3807">
        <v>0</v>
      </c>
      <c r="K3807">
        <v>50</v>
      </c>
      <c r="L3807" t="s">
        <v>24</v>
      </c>
      <c r="M3807" t="s">
        <v>31</v>
      </c>
      <c r="N3807" t="s">
        <v>22</v>
      </c>
      <c r="O3807" t="s">
        <v>27</v>
      </c>
      <c r="P3807">
        <v>1.68</v>
      </c>
      <c r="Q3807" s="2" t="b">
        <f>FALSE()</f>
        <v>0</v>
      </c>
      <c r="R3807">
        <v>1</v>
      </c>
    </row>
    <row r="3808" spans="1:18" x14ac:dyDescent="0.25">
      <c r="A3808">
        <v>203807</v>
      </c>
      <c r="B3808">
        <v>52008</v>
      </c>
      <c r="C3808" t="s">
        <v>28</v>
      </c>
      <c r="D3808">
        <v>5306.8</v>
      </c>
      <c r="E3808">
        <v>2219</v>
      </c>
      <c r="F3808">
        <v>0</v>
      </c>
      <c r="G3808">
        <v>6</v>
      </c>
      <c r="H3808">
        <v>0</v>
      </c>
      <c r="I3808" t="s">
        <v>32</v>
      </c>
      <c r="J3808">
        <v>0</v>
      </c>
      <c r="K3808">
        <v>47</v>
      </c>
      <c r="L3808" t="s">
        <v>20</v>
      </c>
      <c r="M3808" t="s">
        <v>35</v>
      </c>
      <c r="N3808" t="s">
        <v>26</v>
      </c>
      <c r="O3808" t="s">
        <v>27</v>
      </c>
      <c r="P3808">
        <v>16.61</v>
      </c>
      <c r="Q3808" s="2" t="b">
        <f>FALSE()</f>
        <v>0</v>
      </c>
      <c r="R3808">
        <v>1</v>
      </c>
    </row>
    <row r="3809" spans="1:18" x14ac:dyDescent="0.25">
      <c r="A3809">
        <v>203808</v>
      </c>
      <c r="B3809">
        <v>50543</v>
      </c>
      <c r="C3809" t="s">
        <v>18</v>
      </c>
      <c r="D3809">
        <v>269.83999999999997</v>
      </c>
      <c r="E3809">
        <v>1534</v>
      </c>
      <c r="F3809">
        <v>3</v>
      </c>
      <c r="G3809">
        <v>2</v>
      </c>
      <c r="H3809">
        <v>0</v>
      </c>
      <c r="I3809" t="s">
        <v>33</v>
      </c>
      <c r="J3809">
        <v>0</v>
      </c>
      <c r="K3809">
        <v>31</v>
      </c>
      <c r="L3809" t="s">
        <v>20</v>
      </c>
      <c r="M3809" t="s">
        <v>21</v>
      </c>
      <c r="N3809" t="s">
        <v>26</v>
      </c>
      <c r="O3809" t="s">
        <v>36</v>
      </c>
      <c r="P3809">
        <v>5.19</v>
      </c>
      <c r="Q3809" s="2" t="b">
        <f>FALSE()</f>
        <v>0</v>
      </c>
      <c r="R3809">
        <v>1</v>
      </c>
    </row>
    <row r="3810" spans="1:18" x14ac:dyDescent="0.25">
      <c r="A3810">
        <v>203809</v>
      </c>
      <c r="B3810">
        <v>52586</v>
      </c>
      <c r="C3810" t="s">
        <v>18</v>
      </c>
      <c r="D3810">
        <v>2366.37</v>
      </c>
      <c r="E3810">
        <v>2119</v>
      </c>
      <c r="F3810">
        <v>2</v>
      </c>
      <c r="G3810">
        <v>2</v>
      </c>
      <c r="H3810">
        <v>1</v>
      </c>
      <c r="I3810" t="s">
        <v>32</v>
      </c>
      <c r="J3810">
        <v>0</v>
      </c>
      <c r="K3810">
        <v>19</v>
      </c>
      <c r="L3810" t="s">
        <v>20</v>
      </c>
      <c r="M3810" t="s">
        <v>29</v>
      </c>
      <c r="N3810" t="s">
        <v>22</v>
      </c>
      <c r="O3810" t="s">
        <v>27</v>
      </c>
      <c r="P3810">
        <v>6.22</v>
      </c>
      <c r="Q3810" s="2" t="b">
        <f>FALSE()</f>
        <v>0</v>
      </c>
      <c r="R3810">
        <v>0</v>
      </c>
    </row>
    <row r="3811" spans="1:18" x14ac:dyDescent="0.25">
      <c r="A3811">
        <v>203810</v>
      </c>
      <c r="B3811">
        <v>50871</v>
      </c>
      <c r="C3811" t="s">
        <v>18</v>
      </c>
      <c r="D3811">
        <v>1450.48</v>
      </c>
      <c r="E3811">
        <v>247</v>
      </c>
      <c r="F3811">
        <v>0</v>
      </c>
      <c r="G3811">
        <v>5</v>
      </c>
      <c r="H3811">
        <v>0</v>
      </c>
      <c r="I3811" t="s">
        <v>19</v>
      </c>
      <c r="J3811">
        <v>0</v>
      </c>
      <c r="K3811">
        <v>83</v>
      </c>
      <c r="L3811" t="s">
        <v>24</v>
      </c>
      <c r="M3811" t="s">
        <v>35</v>
      </c>
      <c r="N3811" t="s">
        <v>30</v>
      </c>
      <c r="O3811" t="s">
        <v>27</v>
      </c>
      <c r="P3811">
        <v>0.61</v>
      </c>
      <c r="Q3811" s="2" t="b">
        <f>FALSE()</f>
        <v>0</v>
      </c>
      <c r="R3811">
        <v>0</v>
      </c>
    </row>
    <row r="3812" spans="1:18" x14ac:dyDescent="0.25">
      <c r="A3812">
        <v>203811</v>
      </c>
      <c r="B3812">
        <v>53279</v>
      </c>
      <c r="C3812" t="s">
        <v>28</v>
      </c>
      <c r="D3812">
        <v>1493.6</v>
      </c>
      <c r="E3812">
        <v>2532</v>
      </c>
      <c r="F3812">
        <v>1</v>
      </c>
      <c r="G3812">
        <v>2</v>
      </c>
      <c r="H3812">
        <v>0</v>
      </c>
      <c r="I3812" t="s">
        <v>32</v>
      </c>
      <c r="J3812">
        <v>0</v>
      </c>
      <c r="K3812">
        <v>34</v>
      </c>
      <c r="L3812" t="s">
        <v>20</v>
      </c>
      <c r="M3812" t="s">
        <v>21</v>
      </c>
      <c r="N3812" t="s">
        <v>22</v>
      </c>
      <c r="O3812" t="s">
        <v>23</v>
      </c>
      <c r="P3812">
        <v>1.03</v>
      </c>
      <c r="Q3812" s="2" t="b">
        <f>FALSE()</f>
        <v>0</v>
      </c>
      <c r="R3812">
        <v>0</v>
      </c>
    </row>
    <row r="3813" spans="1:18" x14ac:dyDescent="0.25">
      <c r="A3813">
        <v>203812</v>
      </c>
      <c r="B3813">
        <v>54528</v>
      </c>
      <c r="C3813" t="s">
        <v>28</v>
      </c>
      <c r="D3813">
        <v>2034.39</v>
      </c>
      <c r="E3813">
        <v>1219</v>
      </c>
      <c r="F3813">
        <v>1</v>
      </c>
      <c r="G3813">
        <v>8</v>
      </c>
      <c r="H3813">
        <v>0</v>
      </c>
      <c r="I3813" t="s">
        <v>33</v>
      </c>
      <c r="J3813">
        <v>0</v>
      </c>
      <c r="K3813">
        <v>56</v>
      </c>
      <c r="L3813" t="s">
        <v>20</v>
      </c>
      <c r="M3813" t="s">
        <v>29</v>
      </c>
      <c r="N3813" t="s">
        <v>30</v>
      </c>
      <c r="O3813" t="s">
        <v>27</v>
      </c>
      <c r="P3813">
        <v>0.74</v>
      </c>
      <c r="Q3813" s="2" t="b">
        <f>FALSE()</f>
        <v>0</v>
      </c>
      <c r="R3813">
        <v>1</v>
      </c>
    </row>
    <row r="3814" spans="1:18" x14ac:dyDescent="0.25">
      <c r="A3814">
        <v>203813</v>
      </c>
      <c r="B3814">
        <v>54129</v>
      </c>
      <c r="C3814" t="s">
        <v>34</v>
      </c>
      <c r="D3814">
        <v>554.54</v>
      </c>
      <c r="E3814">
        <v>3310</v>
      </c>
      <c r="F3814">
        <v>3</v>
      </c>
      <c r="G3814">
        <v>4</v>
      </c>
      <c r="H3814">
        <v>0</v>
      </c>
      <c r="I3814" t="s">
        <v>19</v>
      </c>
      <c r="J3814">
        <v>0</v>
      </c>
      <c r="K3814">
        <v>75</v>
      </c>
      <c r="L3814" t="s">
        <v>20</v>
      </c>
      <c r="M3814" t="s">
        <v>29</v>
      </c>
      <c r="N3814" t="s">
        <v>26</v>
      </c>
      <c r="O3814" t="s">
        <v>23</v>
      </c>
      <c r="P3814">
        <v>3.65</v>
      </c>
      <c r="Q3814" s="2" t="b">
        <f>FALSE()</f>
        <v>0</v>
      </c>
      <c r="R3814">
        <v>1</v>
      </c>
    </row>
    <row r="3815" spans="1:18" x14ac:dyDescent="0.25">
      <c r="A3815">
        <v>203814</v>
      </c>
      <c r="B3815">
        <v>52874</v>
      </c>
      <c r="C3815" t="s">
        <v>18</v>
      </c>
      <c r="D3815">
        <v>1276.08</v>
      </c>
      <c r="E3815">
        <v>654</v>
      </c>
      <c r="F3815">
        <v>1</v>
      </c>
      <c r="G3815">
        <v>4</v>
      </c>
      <c r="H3815">
        <v>0</v>
      </c>
      <c r="I3815" t="s">
        <v>33</v>
      </c>
      <c r="J3815">
        <v>0</v>
      </c>
      <c r="K3815">
        <v>43</v>
      </c>
      <c r="L3815" t="s">
        <v>20</v>
      </c>
      <c r="M3815" t="s">
        <v>31</v>
      </c>
      <c r="N3815" t="s">
        <v>30</v>
      </c>
      <c r="O3815" t="s">
        <v>23</v>
      </c>
      <c r="P3815">
        <v>0.43</v>
      </c>
      <c r="Q3815" s="2" t="b">
        <f>FALSE()</f>
        <v>0</v>
      </c>
      <c r="R3815">
        <v>0</v>
      </c>
    </row>
    <row r="3816" spans="1:18" x14ac:dyDescent="0.25">
      <c r="A3816">
        <v>203815</v>
      </c>
      <c r="B3816">
        <v>52922</v>
      </c>
      <c r="C3816" t="s">
        <v>18</v>
      </c>
      <c r="D3816">
        <v>4024.95</v>
      </c>
      <c r="E3816">
        <v>758</v>
      </c>
      <c r="F3816">
        <v>0</v>
      </c>
      <c r="G3816">
        <v>6</v>
      </c>
      <c r="H3816">
        <v>0</v>
      </c>
      <c r="I3816" t="s">
        <v>19</v>
      </c>
      <c r="J3816">
        <v>0</v>
      </c>
      <c r="K3816">
        <v>26</v>
      </c>
      <c r="L3816" t="s">
        <v>20</v>
      </c>
      <c r="M3816" t="s">
        <v>35</v>
      </c>
      <c r="N3816" t="s">
        <v>22</v>
      </c>
      <c r="O3816" t="s">
        <v>36</v>
      </c>
      <c r="P3816">
        <v>7.62</v>
      </c>
      <c r="Q3816" s="2" t="b">
        <f>FALSE()</f>
        <v>0</v>
      </c>
      <c r="R3816">
        <v>1</v>
      </c>
    </row>
    <row r="3817" spans="1:18" x14ac:dyDescent="0.25">
      <c r="A3817">
        <v>203816</v>
      </c>
      <c r="B3817">
        <v>54135</v>
      </c>
      <c r="C3817" t="s">
        <v>18</v>
      </c>
      <c r="D3817">
        <v>2773.98</v>
      </c>
      <c r="E3817">
        <v>1623</v>
      </c>
      <c r="F3817">
        <v>0</v>
      </c>
      <c r="G3817">
        <v>1</v>
      </c>
      <c r="H3817">
        <v>0</v>
      </c>
      <c r="I3817" t="s">
        <v>19</v>
      </c>
      <c r="J3817">
        <v>0</v>
      </c>
      <c r="K3817">
        <v>44</v>
      </c>
      <c r="L3817" t="s">
        <v>20</v>
      </c>
      <c r="M3817" t="s">
        <v>29</v>
      </c>
      <c r="N3817" t="s">
        <v>22</v>
      </c>
      <c r="O3817" t="s">
        <v>27</v>
      </c>
      <c r="P3817">
        <v>1.21</v>
      </c>
      <c r="Q3817" s="2" t="b">
        <f>FALSE()</f>
        <v>0</v>
      </c>
      <c r="R3817">
        <v>0</v>
      </c>
    </row>
    <row r="3818" spans="1:18" x14ac:dyDescent="0.25">
      <c r="A3818">
        <v>203817</v>
      </c>
      <c r="B3818">
        <v>51522</v>
      </c>
      <c r="C3818" t="s">
        <v>34</v>
      </c>
      <c r="D3818">
        <v>1986.58</v>
      </c>
      <c r="E3818">
        <v>2299</v>
      </c>
      <c r="F3818">
        <v>1</v>
      </c>
      <c r="G3818">
        <v>6</v>
      </c>
      <c r="H3818">
        <v>1</v>
      </c>
      <c r="I3818" t="s">
        <v>33</v>
      </c>
      <c r="J3818">
        <v>0</v>
      </c>
      <c r="K3818">
        <v>33</v>
      </c>
      <c r="L3818" t="s">
        <v>24</v>
      </c>
      <c r="M3818" t="s">
        <v>21</v>
      </c>
      <c r="N3818" t="s">
        <v>26</v>
      </c>
      <c r="O3818" t="s">
        <v>23</v>
      </c>
      <c r="P3818">
        <v>1.48</v>
      </c>
      <c r="Q3818" s="2" t="b">
        <f>FALSE()</f>
        <v>0</v>
      </c>
      <c r="R3818">
        <v>0</v>
      </c>
    </row>
    <row r="3819" spans="1:18" x14ac:dyDescent="0.25">
      <c r="A3819">
        <v>203818</v>
      </c>
      <c r="B3819">
        <v>51662</v>
      </c>
      <c r="C3819" t="s">
        <v>18</v>
      </c>
      <c r="D3819">
        <v>4808.59</v>
      </c>
      <c r="E3819">
        <v>312</v>
      </c>
      <c r="F3819">
        <v>2</v>
      </c>
      <c r="G3819">
        <v>5</v>
      </c>
      <c r="H3819">
        <v>0</v>
      </c>
      <c r="I3819" t="s">
        <v>32</v>
      </c>
      <c r="J3819">
        <v>0</v>
      </c>
      <c r="K3819">
        <v>28</v>
      </c>
      <c r="L3819" t="s">
        <v>20</v>
      </c>
      <c r="M3819" t="s">
        <v>21</v>
      </c>
      <c r="N3819" t="s">
        <v>30</v>
      </c>
      <c r="O3819" t="s">
        <v>27</v>
      </c>
      <c r="P3819">
        <v>0.57999999999999996</v>
      </c>
      <c r="Q3819" s="2" t="b">
        <f>FALSE()</f>
        <v>0</v>
      </c>
      <c r="R3819">
        <v>1</v>
      </c>
    </row>
    <row r="3820" spans="1:18" x14ac:dyDescent="0.25">
      <c r="A3820">
        <v>203819</v>
      </c>
      <c r="B3820">
        <v>53960</v>
      </c>
      <c r="C3820" t="s">
        <v>18</v>
      </c>
      <c r="D3820">
        <v>7277.2</v>
      </c>
      <c r="E3820">
        <v>3606</v>
      </c>
      <c r="F3820">
        <v>0</v>
      </c>
      <c r="G3820">
        <v>2</v>
      </c>
      <c r="H3820">
        <v>0</v>
      </c>
      <c r="I3820" t="s">
        <v>19</v>
      </c>
      <c r="J3820">
        <v>0</v>
      </c>
      <c r="K3820">
        <v>59</v>
      </c>
      <c r="L3820" t="s">
        <v>20</v>
      </c>
      <c r="M3820" t="s">
        <v>29</v>
      </c>
      <c r="N3820" t="s">
        <v>30</v>
      </c>
      <c r="O3820" t="s">
        <v>36</v>
      </c>
      <c r="P3820">
        <v>5.58</v>
      </c>
      <c r="Q3820" s="2" t="b">
        <f>TRUE()</f>
        <v>1</v>
      </c>
      <c r="R3820">
        <v>1</v>
      </c>
    </row>
    <row r="3821" spans="1:18" x14ac:dyDescent="0.25">
      <c r="A3821">
        <v>203820</v>
      </c>
      <c r="B3821">
        <v>52223</v>
      </c>
      <c r="C3821" t="s">
        <v>34</v>
      </c>
      <c r="D3821">
        <v>1157.9000000000001</v>
      </c>
      <c r="E3821">
        <v>2056</v>
      </c>
      <c r="F3821">
        <v>1</v>
      </c>
      <c r="G3821">
        <v>2</v>
      </c>
      <c r="H3821">
        <v>1</v>
      </c>
      <c r="I3821" t="s">
        <v>32</v>
      </c>
      <c r="J3821">
        <v>0</v>
      </c>
      <c r="K3821">
        <v>55</v>
      </c>
      <c r="L3821" t="s">
        <v>24</v>
      </c>
      <c r="M3821" t="s">
        <v>21</v>
      </c>
      <c r="N3821" t="s">
        <v>22</v>
      </c>
      <c r="O3821" t="s">
        <v>36</v>
      </c>
      <c r="P3821">
        <v>9.58</v>
      </c>
      <c r="Q3821" s="2" t="b">
        <f>FALSE()</f>
        <v>0</v>
      </c>
      <c r="R3821">
        <v>0</v>
      </c>
    </row>
    <row r="3822" spans="1:18" x14ac:dyDescent="0.25">
      <c r="A3822">
        <v>203821</v>
      </c>
      <c r="B3822">
        <v>52953</v>
      </c>
      <c r="C3822" t="s">
        <v>34</v>
      </c>
      <c r="D3822">
        <v>4643.4399999999996</v>
      </c>
      <c r="E3822">
        <v>2005</v>
      </c>
      <c r="F3822">
        <v>0</v>
      </c>
      <c r="G3822">
        <v>4</v>
      </c>
      <c r="H3822">
        <v>0</v>
      </c>
      <c r="I3822" t="s">
        <v>33</v>
      </c>
      <c r="J3822">
        <v>1</v>
      </c>
      <c r="K3822">
        <v>47</v>
      </c>
      <c r="L3822" t="s">
        <v>24</v>
      </c>
      <c r="M3822" t="s">
        <v>31</v>
      </c>
      <c r="N3822" t="s">
        <v>26</v>
      </c>
      <c r="O3822" t="s">
        <v>36</v>
      </c>
      <c r="P3822">
        <v>2.29</v>
      </c>
      <c r="Q3822" s="2" t="b">
        <f>FALSE()</f>
        <v>0</v>
      </c>
      <c r="R3822">
        <v>1</v>
      </c>
    </row>
    <row r="3823" spans="1:18" x14ac:dyDescent="0.25">
      <c r="A3823">
        <v>203822</v>
      </c>
      <c r="B3823">
        <v>50796</v>
      </c>
      <c r="C3823" t="s">
        <v>34</v>
      </c>
      <c r="D3823">
        <v>3169.99</v>
      </c>
      <c r="E3823">
        <v>255</v>
      </c>
      <c r="F3823">
        <v>0</v>
      </c>
      <c r="G3823">
        <v>7</v>
      </c>
      <c r="H3823">
        <v>0</v>
      </c>
      <c r="I3823" t="s">
        <v>33</v>
      </c>
      <c r="J3823">
        <v>0</v>
      </c>
      <c r="K3823">
        <v>26</v>
      </c>
      <c r="L3823" t="s">
        <v>20</v>
      </c>
      <c r="M3823" t="s">
        <v>37</v>
      </c>
      <c r="N3823" t="s">
        <v>22</v>
      </c>
      <c r="O3823" t="s">
        <v>27</v>
      </c>
      <c r="P3823">
        <v>1.05</v>
      </c>
      <c r="Q3823" s="2" t="b">
        <f>FALSE()</f>
        <v>0</v>
      </c>
      <c r="R3823">
        <v>1</v>
      </c>
    </row>
    <row r="3824" spans="1:18" x14ac:dyDescent="0.25">
      <c r="A3824">
        <v>203823</v>
      </c>
      <c r="B3824">
        <v>52952</v>
      </c>
      <c r="C3824" t="s">
        <v>18</v>
      </c>
      <c r="D3824">
        <v>1851.22</v>
      </c>
      <c r="E3824">
        <v>266</v>
      </c>
      <c r="F3824">
        <v>1</v>
      </c>
      <c r="G3824">
        <v>7</v>
      </c>
      <c r="H3824">
        <v>0</v>
      </c>
      <c r="I3824" t="s">
        <v>19</v>
      </c>
      <c r="J3824">
        <v>0</v>
      </c>
      <c r="K3824">
        <v>79</v>
      </c>
      <c r="L3824" t="s">
        <v>24</v>
      </c>
      <c r="M3824" t="s">
        <v>25</v>
      </c>
      <c r="N3824" t="s">
        <v>22</v>
      </c>
      <c r="O3824" t="s">
        <v>36</v>
      </c>
      <c r="P3824">
        <v>1.18</v>
      </c>
      <c r="Q3824" s="2" t="b">
        <f>FALSE()</f>
        <v>0</v>
      </c>
      <c r="R3824">
        <v>1</v>
      </c>
    </row>
    <row r="3825" spans="1:18" x14ac:dyDescent="0.25">
      <c r="A3825">
        <v>203824</v>
      </c>
      <c r="B3825">
        <v>51799</v>
      </c>
      <c r="C3825" t="s">
        <v>18</v>
      </c>
      <c r="D3825">
        <v>3977.89</v>
      </c>
      <c r="E3825">
        <v>3234</v>
      </c>
      <c r="F3825">
        <v>1</v>
      </c>
      <c r="G3825">
        <v>3</v>
      </c>
      <c r="H3825">
        <v>1</v>
      </c>
      <c r="I3825" t="s">
        <v>19</v>
      </c>
      <c r="J3825">
        <v>0</v>
      </c>
      <c r="K3825">
        <v>52</v>
      </c>
      <c r="L3825" t="s">
        <v>24</v>
      </c>
      <c r="M3825" t="s">
        <v>29</v>
      </c>
      <c r="N3825" t="s">
        <v>22</v>
      </c>
      <c r="O3825" t="s">
        <v>27</v>
      </c>
      <c r="P3825">
        <v>1.1299999999999999</v>
      </c>
      <c r="Q3825" s="2" t="b">
        <f>FALSE()</f>
        <v>0</v>
      </c>
      <c r="R3825">
        <v>1</v>
      </c>
    </row>
    <row r="3826" spans="1:18" x14ac:dyDescent="0.25">
      <c r="A3826">
        <v>203825</v>
      </c>
      <c r="B3826">
        <v>55760</v>
      </c>
      <c r="C3826" t="s">
        <v>18</v>
      </c>
      <c r="D3826">
        <v>505.12</v>
      </c>
      <c r="E3826">
        <v>1754</v>
      </c>
      <c r="F3826">
        <v>0</v>
      </c>
      <c r="G3826">
        <v>2</v>
      </c>
      <c r="H3826">
        <v>0</v>
      </c>
      <c r="I3826" t="s">
        <v>33</v>
      </c>
      <c r="J3826">
        <v>1</v>
      </c>
      <c r="K3826">
        <v>67</v>
      </c>
      <c r="L3826" t="s">
        <v>20</v>
      </c>
      <c r="M3826" t="s">
        <v>29</v>
      </c>
      <c r="N3826" t="s">
        <v>22</v>
      </c>
      <c r="O3826" t="s">
        <v>36</v>
      </c>
      <c r="P3826">
        <v>0.05</v>
      </c>
      <c r="Q3826" s="2" t="b">
        <f>FALSE()</f>
        <v>0</v>
      </c>
      <c r="R3826">
        <v>0</v>
      </c>
    </row>
    <row r="3827" spans="1:18" x14ac:dyDescent="0.25">
      <c r="A3827">
        <v>203826</v>
      </c>
      <c r="B3827">
        <v>55031</v>
      </c>
      <c r="C3827" t="s">
        <v>34</v>
      </c>
      <c r="D3827">
        <v>5831.68</v>
      </c>
      <c r="E3827">
        <v>1580</v>
      </c>
      <c r="F3827">
        <v>1</v>
      </c>
      <c r="G3827">
        <v>5</v>
      </c>
      <c r="H3827">
        <v>0</v>
      </c>
      <c r="I3827" t="s">
        <v>19</v>
      </c>
      <c r="J3827">
        <v>0</v>
      </c>
      <c r="K3827">
        <v>65</v>
      </c>
      <c r="L3827" t="s">
        <v>24</v>
      </c>
      <c r="M3827" t="s">
        <v>35</v>
      </c>
      <c r="N3827" t="s">
        <v>30</v>
      </c>
      <c r="O3827" t="s">
        <v>27</v>
      </c>
      <c r="P3827">
        <v>6.33</v>
      </c>
      <c r="Q3827" s="2" t="b">
        <f>FALSE()</f>
        <v>0</v>
      </c>
      <c r="R3827">
        <v>1</v>
      </c>
    </row>
    <row r="3828" spans="1:18" x14ac:dyDescent="0.25">
      <c r="A3828">
        <v>203827</v>
      </c>
      <c r="B3828">
        <v>53773</v>
      </c>
      <c r="C3828" t="s">
        <v>18</v>
      </c>
      <c r="D3828">
        <v>1495.5</v>
      </c>
      <c r="E3828">
        <v>1970</v>
      </c>
      <c r="F3828">
        <v>1</v>
      </c>
      <c r="G3828">
        <v>2</v>
      </c>
      <c r="H3828">
        <v>0</v>
      </c>
      <c r="I3828" t="s">
        <v>19</v>
      </c>
      <c r="J3828">
        <v>0</v>
      </c>
      <c r="K3828">
        <v>26</v>
      </c>
      <c r="L3828" t="s">
        <v>20</v>
      </c>
      <c r="M3828" t="s">
        <v>37</v>
      </c>
      <c r="N3828" t="s">
        <v>22</v>
      </c>
      <c r="O3828" t="s">
        <v>36</v>
      </c>
      <c r="P3828">
        <v>0.21</v>
      </c>
      <c r="Q3828" s="2" t="b">
        <f>FALSE()</f>
        <v>0</v>
      </c>
      <c r="R3828">
        <v>0</v>
      </c>
    </row>
    <row r="3829" spans="1:18" x14ac:dyDescent="0.25">
      <c r="A3829">
        <v>203828</v>
      </c>
      <c r="B3829">
        <v>51764</v>
      </c>
      <c r="C3829" t="s">
        <v>18</v>
      </c>
      <c r="D3829">
        <v>1903.31</v>
      </c>
      <c r="E3829">
        <v>2936</v>
      </c>
      <c r="F3829">
        <v>1</v>
      </c>
      <c r="G3829">
        <v>2</v>
      </c>
      <c r="H3829">
        <v>1</v>
      </c>
      <c r="I3829" t="s">
        <v>33</v>
      </c>
      <c r="J3829">
        <v>0</v>
      </c>
      <c r="K3829">
        <v>44</v>
      </c>
      <c r="L3829" t="s">
        <v>24</v>
      </c>
      <c r="M3829" t="s">
        <v>31</v>
      </c>
      <c r="N3829" t="s">
        <v>22</v>
      </c>
      <c r="O3829" t="s">
        <v>36</v>
      </c>
      <c r="P3829">
        <v>4.76</v>
      </c>
      <c r="Q3829" s="2" t="b">
        <f>FALSE()</f>
        <v>0</v>
      </c>
      <c r="R3829">
        <v>0</v>
      </c>
    </row>
    <row r="3830" spans="1:18" x14ac:dyDescent="0.25">
      <c r="A3830">
        <v>203829</v>
      </c>
      <c r="B3830">
        <v>54394</v>
      </c>
      <c r="C3830" t="s">
        <v>18</v>
      </c>
      <c r="D3830">
        <v>1706.04</v>
      </c>
      <c r="E3830">
        <v>3331</v>
      </c>
      <c r="F3830">
        <v>1</v>
      </c>
      <c r="G3830">
        <v>3</v>
      </c>
      <c r="H3830">
        <v>1</v>
      </c>
      <c r="I3830" t="s">
        <v>19</v>
      </c>
      <c r="J3830">
        <v>0</v>
      </c>
      <c r="K3830">
        <v>19</v>
      </c>
      <c r="L3830" t="s">
        <v>20</v>
      </c>
      <c r="M3830" t="s">
        <v>35</v>
      </c>
      <c r="N3830" t="s">
        <v>22</v>
      </c>
      <c r="O3830" t="s">
        <v>27</v>
      </c>
      <c r="P3830">
        <v>0.84</v>
      </c>
      <c r="Q3830" s="2" t="b">
        <f>FALSE()</f>
        <v>0</v>
      </c>
      <c r="R3830">
        <v>0</v>
      </c>
    </row>
    <row r="3831" spans="1:18" x14ac:dyDescent="0.25">
      <c r="A3831">
        <v>203830</v>
      </c>
      <c r="B3831">
        <v>50224</v>
      </c>
      <c r="C3831" t="s">
        <v>34</v>
      </c>
      <c r="D3831">
        <v>614.9</v>
      </c>
      <c r="E3831">
        <v>3438</v>
      </c>
      <c r="F3831">
        <v>1</v>
      </c>
      <c r="G3831">
        <v>3</v>
      </c>
      <c r="H3831">
        <v>0</v>
      </c>
      <c r="I3831" t="s">
        <v>33</v>
      </c>
      <c r="J3831">
        <v>0</v>
      </c>
      <c r="K3831">
        <v>59</v>
      </c>
      <c r="L3831" t="s">
        <v>24</v>
      </c>
      <c r="M3831" t="s">
        <v>31</v>
      </c>
      <c r="N3831" t="s">
        <v>30</v>
      </c>
      <c r="O3831" t="s">
        <v>27</v>
      </c>
      <c r="P3831">
        <v>1.46</v>
      </c>
      <c r="Q3831" s="2" t="b">
        <f>FALSE()</f>
        <v>0</v>
      </c>
      <c r="R3831">
        <v>0</v>
      </c>
    </row>
    <row r="3832" spans="1:18" x14ac:dyDescent="0.25">
      <c r="A3832">
        <v>203831</v>
      </c>
      <c r="B3832">
        <v>51052</v>
      </c>
      <c r="C3832" t="s">
        <v>28</v>
      </c>
      <c r="D3832">
        <v>2627.79</v>
      </c>
      <c r="E3832">
        <v>2706</v>
      </c>
      <c r="F3832">
        <v>1</v>
      </c>
      <c r="G3832">
        <v>3</v>
      </c>
      <c r="H3832">
        <v>1</v>
      </c>
      <c r="I3832" t="s">
        <v>33</v>
      </c>
      <c r="J3832">
        <v>0</v>
      </c>
      <c r="K3832">
        <v>56</v>
      </c>
      <c r="L3832" t="s">
        <v>24</v>
      </c>
      <c r="M3832" t="s">
        <v>31</v>
      </c>
      <c r="N3832" t="s">
        <v>26</v>
      </c>
      <c r="O3832" t="s">
        <v>36</v>
      </c>
      <c r="P3832">
        <v>3.91</v>
      </c>
      <c r="Q3832" s="2" t="b">
        <f>FALSE()</f>
        <v>0</v>
      </c>
      <c r="R3832">
        <v>0</v>
      </c>
    </row>
    <row r="3833" spans="1:18" x14ac:dyDescent="0.25">
      <c r="A3833">
        <v>203832</v>
      </c>
      <c r="B3833">
        <v>55637</v>
      </c>
      <c r="C3833" t="s">
        <v>18</v>
      </c>
      <c r="D3833">
        <v>1282.76</v>
      </c>
      <c r="E3833">
        <v>3605</v>
      </c>
      <c r="F3833">
        <v>1</v>
      </c>
      <c r="G3833">
        <v>6</v>
      </c>
      <c r="H3833">
        <v>0</v>
      </c>
      <c r="I3833" t="s">
        <v>33</v>
      </c>
      <c r="J3833">
        <v>0</v>
      </c>
      <c r="K3833">
        <v>82</v>
      </c>
      <c r="L3833" t="s">
        <v>20</v>
      </c>
      <c r="M3833" t="s">
        <v>31</v>
      </c>
      <c r="N3833" t="s">
        <v>22</v>
      </c>
      <c r="O3833" t="s">
        <v>27</v>
      </c>
      <c r="P3833">
        <v>4.21</v>
      </c>
      <c r="Q3833" s="2" t="b">
        <f>FALSE()</f>
        <v>0</v>
      </c>
      <c r="R3833">
        <v>0</v>
      </c>
    </row>
    <row r="3834" spans="1:18" x14ac:dyDescent="0.25">
      <c r="A3834">
        <v>203833</v>
      </c>
      <c r="B3834">
        <v>50298</v>
      </c>
      <c r="C3834" t="s">
        <v>34</v>
      </c>
      <c r="D3834">
        <v>729.99</v>
      </c>
      <c r="E3834">
        <v>1320</v>
      </c>
      <c r="F3834">
        <v>1</v>
      </c>
      <c r="G3834">
        <v>5</v>
      </c>
      <c r="H3834">
        <v>1</v>
      </c>
      <c r="I3834" t="s">
        <v>32</v>
      </c>
      <c r="J3834">
        <v>1</v>
      </c>
      <c r="K3834">
        <v>58</v>
      </c>
      <c r="L3834" t="s">
        <v>20</v>
      </c>
      <c r="M3834" t="s">
        <v>25</v>
      </c>
      <c r="N3834" t="s">
        <v>22</v>
      </c>
      <c r="O3834" t="s">
        <v>36</v>
      </c>
      <c r="P3834">
        <v>0.3</v>
      </c>
      <c r="Q3834" s="2" t="b">
        <f>FALSE()</f>
        <v>0</v>
      </c>
      <c r="R3834">
        <v>0</v>
      </c>
    </row>
    <row r="3835" spans="1:18" x14ac:dyDescent="0.25">
      <c r="A3835">
        <v>203834</v>
      </c>
      <c r="B3835">
        <v>54811</v>
      </c>
      <c r="C3835" t="s">
        <v>34</v>
      </c>
      <c r="D3835">
        <v>5304.72</v>
      </c>
      <c r="E3835">
        <v>1656</v>
      </c>
      <c r="F3835">
        <v>2</v>
      </c>
      <c r="G3835">
        <v>1</v>
      </c>
      <c r="H3835">
        <v>0</v>
      </c>
      <c r="I3835" t="s">
        <v>19</v>
      </c>
      <c r="J3835">
        <v>0</v>
      </c>
      <c r="K3835">
        <v>79</v>
      </c>
      <c r="L3835" t="s">
        <v>24</v>
      </c>
      <c r="M3835" t="s">
        <v>31</v>
      </c>
      <c r="N3835" t="s">
        <v>22</v>
      </c>
      <c r="O3835" t="s">
        <v>36</v>
      </c>
      <c r="P3835">
        <v>4.45</v>
      </c>
      <c r="Q3835" s="2" t="b">
        <f>FALSE()</f>
        <v>0</v>
      </c>
      <c r="R3835">
        <v>1</v>
      </c>
    </row>
    <row r="3836" spans="1:18" x14ac:dyDescent="0.25">
      <c r="A3836">
        <v>203835</v>
      </c>
      <c r="B3836">
        <v>53112</v>
      </c>
      <c r="C3836" t="s">
        <v>34</v>
      </c>
      <c r="D3836">
        <v>906.63</v>
      </c>
      <c r="E3836">
        <v>2954</v>
      </c>
      <c r="F3836">
        <v>1</v>
      </c>
      <c r="G3836">
        <v>1</v>
      </c>
      <c r="H3836">
        <v>1</v>
      </c>
      <c r="I3836" t="s">
        <v>33</v>
      </c>
      <c r="J3836">
        <v>0</v>
      </c>
      <c r="K3836">
        <v>55</v>
      </c>
      <c r="L3836" t="s">
        <v>20</v>
      </c>
      <c r="M3836" t="s">
        <v>37</v>
      </c>
      <c r="N3836" t="s">
        <v>26</v>
      </c>
      <c r="O3836" t="s">
        <v>27</v>
      </c>
      <c r="P3836">
        <v>7.0000000000000007E-2</v>
      </c>
      <c r="Q3836" s="2" t="b">
        <f>FALSE()</f>
        <v>0</v>
      </c>
      <c r="R3836">
        <v>0</v>
      </c>
    </row>
    <row r="3837" spans="1:18" x14ac:dyDescent="0.25">
      <c r="A3837">
        <v>203836</v>
      </c>
      <c r="B3837">
        <v>54907</v>
      </c>
      <c r="C3837" t="s">
        <v>18</v>
      </c>
      <c r="D3837">
        <v>2368.39</v>
      </c>
      <c r="E3837">
        <v>3240</v>
      </c>
      <c r="F3837">
        <v>1</v>
      </c>
      <c r="G3837">
        <v>5</v>
      </c>
      <c r="H3837">
        <v>0</v>
      </c>
      <c r="I3837" t="s">
        <v>33</v>
      </c>
      <c r="J3837">
        <v>0</v>
      </c>
      <c r="K3837">
        <v>36</v>
      </c>
      <c r="L3837" t="s">
        <v>24</v>
      </c>
      <c r="M3837" t="s">
        <v>37</v>
      </c>
      <c r="N3837" t="s">
        <v>22</v>
      </c>
      <c r="O3837" t="s">
        <v>27</v>
      </c>
      <c r="P3837">
        <v>0.54</v>
      </c>
      <c r="Q3837" s="2" t="b">
        <f>FALSE()</f>
        <v>0</v>
      </c>
      <c r="R3837">
        <v>0</v>
      </c>
    </row>
    <row r="3838" spans="1:18" x14ac:dyDescent="0.25">
      <c r="A3838">
        <v>203837</v>
      </c>
      <c r="B3838">
        <v>54108</v>
      </c>
      <c r="C3838" t="s">
        <v>18</v>
      </c>
      <c r="D3838">
        <v>1228.49</v>
      </c>
      <c r="E3838">
        <v>3424</v>
      </c>
      <c r="F3838">
        <v>0</v>
      </c>
      <c r="G3838">
        <v>1</v>
      </c>
      <c r="H3838">
        <v>1</v>
      </c>
      <c r="I3838" t="s">
        <v>19</v>
      </c>
      <c r="J3838">
        <v>0</v>
      </c>
      <c r="K3838">
        <v>34</v>
      </c>
      <c r="L3838" t="s">
        <v>24</v>
      </c>
      <c r="M3838" t="s">
        <v>25</v>
      </c>
      <c r="N3838" t="s">
        <v>22</v>
      </c>
      <c r="O3838" t="s">
        <v>36</v>
      </c>
      <c r="P3838">
        <v>1.47</v>
      </c>
      <c r="Q3838" s="2" t="b">
        <f>FALSE()</f>
        <v>0</v>
      </c>
      <c r="R3838">
        <v>0</v>
      </c>
    </row>
    <row r="3839" spans="1:18" x14ac:dyDescent="0.25">
      <c r="A3839">
        <v>203838</v>
      </c>
      <c r="B3839">
        <v>52808</v>
      </c>
      <c r="C3839" t="s">
        <v>18</v>
      </c>
      <c r="D3839">
        <v>4737.24</v>
      </c>
      <c r="E3839">
        <v>3041</v>
      </c>
      <c r="F3839">
        <v>0</v>
      </c>
      <c r="G3839">
        <v>4</v>
      </c>
      <c r="H3839">
        <v>0</v>
      </c>
      <c r="I3839" t="s">
        <v>33</v>
      </c>
      <c r="J3839">
        <v>0</v>
      </c>
      <c r="K3839">
        <v>64</v>
      </c>
      <c r="L3839" t="s">
        <v>20</v>
      </c>
      <c r="M3839" t="s">
        <v>31</v>
      </c>
      <c r="N3839" t="s">
        <v>30</v>
      </c>
      <c r="O3839" t="s">
        <v>27</v>
      </c>
      <c r="P3839">
        <v>2.66</v>
      </c>
      <c r="Q3839" s="2" t="b">
        <f>FALSE()</f>
        <v>0</v>
      </c>
      <c r="R3839">
        <v>1</v>
      </c>
    </row>
    <row r="3840" spans="1:18" x14ac:dyDescent="0.25">
      <c r="A3840">
        <v>203839</v>
      </c>
      <c r="B3840">
        <v>52458</v>
      </c>
      <c r="C3840" t="s">
        <v>34</v>
      </c>
      <c r="D3840">
        <v>4900.6499999999996</v>
      </c>
      <c r="E3840">
        <v>2158</v>
      </c>
      <c r="F3840">
        <v>2</v>
      </c>
      <c r="G3840">
        <v>5</v>
      </c>
      <c r="H3840">
        <v>0</v>
      </c>
      <c r="I3840" t="s">
        <v>33</v>
      </c>
      <c r="J3840">
        <v>0</v>
      </c>
      <c r="K3840">
        <v>50</v>
      </c>
      <c r="L3840" t="s">
        <v>24</v>
      </c>
      <c r="M3840" t="s">
        <v>29</v>
      </c>
      <c r="N3840" t="s">
        <v>30</v>
      </c>
      <c r="O3840" t="s">
        <v>36</v>
      </c>
      <c r="P3840">
        <v>1.29</v>
      </c>
      <c r="Q3840" s="2" t="b">
        <f>FALSE()</f>
        <v>0</v>
      </c>
      <c r="R3840">
        <v>1</v>
      </c>
    </row>
    <row r="3841" spans="1:18" x14ac:dyDescent="0.25">
      <c r="A3841">
        <v>203840</v>
      </c>
      <c r="B3841">
        <v>55058</v>
      </c>
      <c r="C3841" t="s">
        <v>28</v>
      </c>
      <c r="D3841">
        <v>792.73</v>
      </c>
      <c r="E3841">
        <v>1844</v>
      </c>
      <c r="F3841">
        <v>3</v>
      </c>
      <c r="G3841">
        <v>3</v>
      </c>
      <c r="H3841">
        <v>0</v>
      </c>
      <c r="I3841" t="s">
        <v>19</v>
      </c>
      <c r="J3841">
        <v>0</v>
      </c>
      <c r="K3841">
        <v>28</v>
      </c>
      <c r="L3841" t="s">
        <v>20</v>
      </c>
      <c r="M3841" t="s">
        <v>37</v>
      </c>
      <c r="N3841" t="s">
        <v>26</v>
      </c>
      <c r="O3841" t="s">
        <v>36</v>
      </c>
      <c r="P3841">
        <v>2.39</v>
      </c>
      <c r="Q3841" s="2" t="b">
        <f>FALSE()</f>
        <v>0</v>
      </c>
      <c r="R3841">
        <v>1</v>
      </c>
    </row>
    <row r="3842" spans="1:18" x14ac:dyDescent="0.25">
      <c r="A3842">
        <v>203841</v>
      </c>
      <c r="B3842">
        <v>54805</v>
      </c>
      <c r="C3842" t="s">
        <v>34</v>
      </c>
      <c r="D3842">
        <v>1945.63</v>
      </c>
      <c r="E3842">
        <v>28</v>
      </c>
      <c r="F3842">
        <v>1</v>
      </c>
      <c r="G3842">
        <v>5</v>
      </c>
      <c r="H3842">
        <v>0</v>
      </c>
      <c r="I3842" t="s">
        <v>19</v>
      </c>
      <c r="J3842">
        <v>0</v>
      </c>
      <c r="K3842">
        <v>79</v>
      </c>
      <c r="L3842" t="s">
        <v>24</v>
      </c>
      <c r="M3842" t="s">
        <v>25</v>
      </c>
      <c r="N3842" t="s">
        <v>22</v>
      </c>
      <c r="O3842" t="s">
        <v>27</v>
      </c>
      <c r="P3842">
        <v>1.76</v>
      </c>
      <c r="Q3842" s="2" t="b">
        <f>FALSE()</f>
        <v>0</v>
      </c>
      <c r="R3842">
        <v>0</v>
      </c>
    </row>
    <row r="3843" spans="1:18" x14ac:dyDescent="0.25">
      <c r="A3843">
        <v>203842</v>
      </c>
      <c r="B3843">
        <v>52938</v>
      </c>
      <c r="C3843" t="s">
        <v>18</v>
      </c>
      <c r="D3843">
        <v>5685.22</v>
      </c>
      <c r="E3843">
        <v>1168</v>
      </c>
      <c r="F3843">
        <v>1</v>
      </c>
      <c r="G3843">
        <v>6</v>
      </c>
      <c r="H3843">
        <v>0</v>
      </c>
      <c r="I3843" t="s">
        <v>19</v>
      </c>
      <c r="J3843">
        <v>0</v>
      </c>
      <c r="K3843">
        <v>26</v>
      </c>
      <c r="L3843" t="s">
        <v>24</v>
      </c>
      <c r="M3843" t="s">
        <v>21</v>
      </c>
      <c r="N3843" t="s">
        <v>22</v>
      </c>
      <c r="O3843" t="s">
        <v>36</v>
      </c>
      <c r="P3843">
        <v>0.66</v>
      </c>
      <c r="Q3843" s="2" t="b">
        <f>FALSE()</f>
        <v>0</v>
      </c>
      <c r="R3843">
        <v>1</v>
      </c>
    </row>
    <row r="3844" spans="1:18" x14ac:dyDescent="0.25">
      <c r="A3844">
        <v>203843</v>
      </c>
      <c r="B3844">
        <v>51794</v>
      </c>
      <c r="C3844" t="s">
        <v>18</v>
      </c>
      <c r="D3844">
        <v>5180.68</v>
      </c>
      <c r="E3844">
        <v>336</v>
      </c>
      <c r="F3844">
        <v>1</v>
      </c>
      <c r="G3844">
        <v>4</v>
      </c>
      <c r="H3844">
        <v>0</v>
      </c>
      <c r="I3844" t="s">
        <v>33</v>
      </c>
      <c r="J3844">
        <v>0</v>
      </c>
      <c r="K3844">
        <v>69</v>
      </c>
      <c r="L3844" t="s">
        <v>24</v>
      </c>
      <c r="M3844" t="s">
        <v>29</v>
      </c>
      <c r="N3844" t="s">
        <v>26</v>
      </c>
      <c r="O3844" t="s">
        <v>23</v>
      </c>
      <c r="P3844">
        <v>0.03</v>
      </c>
      <c r="Q3844" s="2" t="b">
        <f>FALSE()</f>
        <v>0</v>
      </c>
      <c r="R3844">
        <v>1</v>
      </c>
    </row>
    <row r="3845" spans="1:18" x14ac:dyDescent="0.25">
      <c r="A3845">
        <v>203844</v>
      </c>
      <c r="B3845">
        <v>53629</v>
      </c>
      <c r="C3845" t="s">
        <v>28</v>
      </c>
      <c r="D3845">
        <v>4748.3599999999997</v>
      </c>
      <c r="E3845">
        <v>907</v>
      </c>
      <c r="F3845">
        <v>1</v>
      </c>
      <c r="G3845">
        <v>6</v>
      </c>
      <c r="H3845">
        <v>0</v>
      </c>
      <c r="I3845" t="s">
        <v>32</v>
      </c>
      <c r="J3845">
        <v>0</v>
      </c>
      <c r="K3845">
        <v>22</v>
      </c>
      <c r="L3845" t="s">
        <v>24</v>
      </c>
      <c r="M3845" t="s">
        <v>25</v>
      </c>
      <c r="N3845" t="s">
        <v>22</v>
      </c>
      <c r="O3845" t="s">
        <v>27</v>
      </c>
      <c r="P3845">
        <v>0.97</v>
      </c>
      <c r="Q3845" s="2" t="b">
        <f>FALSE()</f>
        <v>0</v>
      </c>
      <c r="R3845">
        <v>1</v>
      </c>
    </row>
    <row r="3846" spans="1:18" x14ac:dyDescent="0.25">
      <c r="A3846">
        <v>203845</v>
      </c>
      <c r="B3846">
        <v>53999</v>
      </c>
      <c r="C3846" t="s">
        <v>18</v>
      </c>
      <c r="D3846">
        <v>6938.94</v>
      </c>
      <c r="E3846">
        <v>2405</v>
      </c>
      <c r="F3846">
        <v>1</v>
      </c>
      <c r="G3846">
        <v>4</v>
      </c>
      <c r="H3846">
        <v>1</v>
      </c>
      <c r="I3846" t="s">
        <v>33</v>
      </c>
      <c r="J3846">
        <v>1</v>
      </c>
      <c r="K3846">
        <v>32</v>
      </c>
      <c r="L3846" t="s">
        <v>24</v>
      </c>
      <c r="M3846" t="s">
        <v>25</v>
      </c>
      <c r="N3846" t="s">
        <v>22</v>
      </c>
      <c r="O3846" t="s">
        <v>27</v>
      </c>
      <c r="P3846">
        <v>1.28</v>
      </c>
      <c r="Q3846" s="2" t="b">
        <f>TRUE()</f>
        <v>1</v>
      </c>
      <c r="R3846">
        <v>1</v>
      </c>
    </row>
    <row r="3847" spans="1:18" x14ac:dyDescent="0.25">
      <c r="A3847">
        <v>203846</v>
      </c>
      <c r="B3847">
        <v>51222</v>
      </c>
      <c r="C3847" t="s">
        <v>18</v>
      </c>
      <c r="D3847">
        <v>2629.86</v>
      </c>
      <c r="E3847">
        <v>347</v>
      </c>
      <c r="F3847">
        <v>1</v>
      </c>
      <c r="G3847">
        <v>5</v>
      </c>
      <c r="H3847">
        <v>1</v>
      </c>
      <c r="I3847" t="s">
        <v>32</v>
      </c>
      <c r="J3847">
        <v>0</v>
      </c>
      <c r="K3847">
        <v>20</v>
      </c>
      <c r="L3847" t="s">
        <v>24</v>
      </c>
      <c r="M3847" t="s">
        <v>21</v>
      </c>
      <c r="N3847" t="s">
        <v>22</v>
      </c>
      <c r="O3847" t="s">
        <v>23</v>
      </c>
      <c r="P3847">
        <v>1.55</v>
      </c>
      <c r="Q3847" s="2" t="b">
        <f>FALSE()</f>
        <v>0</v>
      </c>
      <c r="R3847">
        <v>0</v>
      </c>
    </row>
    <row r="3848" spans="1:18" x14ac:dyDescent="0.25">
      <c r="A3848">
        <v>203847</v>
      </c>
      <c r="B3848">
        <v>52570</v>
      </c>
      <c r="C3848" t="s">
        <v>18</v>
      </c>
      <c r="D3848">
        <v>3247.67</v>
      </c>
      <c r="E3848">
        <v>3634</v>
      </c>
      <c r="F3848">
        <v>0</v>
      </c>
      <c r="G3848">
        <v>2</v>
      </c>
      <c r="H3848">
        <v>0</v>
      </c>
      <c r="I3848" t="s">
        <v>32</v>
      </c>
      <c r="J3848">
        <v>0</v>
      </c>
      <c r="K3848">
        <v>47</v>
      </c>
      <c r="L3848" t="s">
        <v>20</v>
      </c>
      <c r="M3848" t="s">
        <v>25</v>
      </c>
      <c r="N3848" t="s">
        <v>22</v>
      </c>
      <c r="O3848" t="s">
        <v>36</v>
      </c>
      <c r="P3848">
        <v>0.93</v>
      </c>
      <c r="Q3848" s="2" t="b">
        <f>FALSE()</f>
        <v>0</v>
      </c>
      <c r="R3848">
        <v>0</v>
      </c>
    </row>
    <row r="3849" spans="1:18" x14ac:dyDescent="0.25">
      <c r="A3849">
        <v>203848</v>
      </c>
      <c r="B3849">
        <v>50182</v>
      </c>
      <c r="C3849" t="s">
        <v>18</v>
      </c>
      <c r="D3849">
        <v>4127.1000000000004</v>
      </c>
      <c r="E3849">
        <v>3460</v>
      </c>
      <c r="F3849">
        <v>0</v>
      </c>
      <c r="G3849">
        <v>4</v>
      </c>
      <c r="H3849">
        <v>0</v>
      </c>
      <c r="I3849" t="s">
        <v>32</v>
      </c>
      <c r="J3849">
        <v>0</v>
      </c>
      <c r="K3849">
        <v>26</v>
      </c>
      <c r="L3849" t="s">
        <v>20</v>
      </c>
      <c r="M3849" t="s">
        <v>35</v>
      </c>
      <c r="N3849" t="s">
        <v>22</v>
      </c>
      <c r="O3849" t="s">
        <v>27</v>
      </c>
      <c r="P3849">
        <v>0.8</v>
      </c>
      <c r="Q3849" s="2" t="b">
        <f>FALSE()</f>
        <v>0</v>
      </c>
      <c r="R3849">
        <v>1</v>
      </c>
    </row>
    <row r="3850" spans="1:18" x14ac:dyDescent="0.25">
      <c r="A3850">
        <v>203849</v>
      </c>
      <c r="B3850">
        <v>53929</v>
      </c>
      <c r="C3850" t="s">
        <v>28</v>
      </c>
      <c r="D3850">
        <v>4041.99</v>
      </c>
      <c r="E3850">
        <v>3307</v>
      </c>
      <c r="F3850">
        <v>0</v>
      </c>
      <c r="G3850">
        <v>4</v>
      </c>
      <c r="H3850">
        <v>0</v>
      </c>
      <c r="I3850" t="s">
        <v>19</v>
      </c>
      <c r="J3850">
        <v>0</v>
      </c>
      <c r="K3850">
        <v>45</v>
      </c>
      <c r="L3850" t="s">
        <v>20</v>
      </c>
      <c r="M3850" t="s">
        <v>25</v>
      </c>
      <c r="N3850" t="s">
        <v>22</v>
      </c>
      <c r="O3850" t="s">
        <v>27</v>
      </c>
      <c r="P3850">
        <v>0.33</v>
      </c>
      <c r="Q3850" s="2" t="b">
        <f>FALSE()</f>
        <v>0</v>
      </c>
      <c r="R3850">
        <v>1</v>
      </c>
    </row>
    <row r="3851" spans="1:18" x14ac:dyDescent="0.25">
      <c r="A3851">
        <v>203850</v>
      </c>
      <c r="B3851">
        <v>51859</v>
      </c>
      <c r="C3851" t="s">
        <v>28</v>
      </c>
      <c r="D3851">
        <v>2400.58</v>
      </c>
      <c r="E3851">
        <v>2864</v>
      </c>
      <c r="F3851">
        <v>1</v>
      </c>
      <c r="G3851">
        <v>1</v>
      </c>
      <c r="H3851">
        <v>0</v>
      </c>
      <c r="I3851" t="s">
        <v>33</v>
      </c>
      <c r="J3851">
        <v>1</v>
      </c>
      <c r="K3851">
        <v>52</v>
      </c>
      <c r="L3851" t="s">
        <v>24</v>
      </c>
      <c r="M3851" t="s">
        <v>37</v>
      </c>
      <c r="N3851" t="s">
        <v>30</v>
      </c>
      <c r="O3851" t="s">
        <v>36</v>
      </c>
      <c r="P3851">
        <v>0.4</v>
      </c>
      <c r="Q3851" s="2" t="b">
        <f>FALSE()</f>
        <v>0</v>
      </c>
      <c r="R3851">
        <v>0</v>
      </c>
    </row>
    <row r="3852" spans="1:18" x14ac:dyDescent="0.25">
      <c r="A3852">
        <v>203851</v>
      </c>
      <c r="B3852">
        <v>51816</v>
      </c>
      <c r="C3852" t="s">
        <v>28</v>
      </c>
      <c r="D3852">
        <v>2505.4699999999998</v>
      </c>
      <c r="E3852">
        <v>2944</v>
      </c>
      <c r="F3852">
        <v>2</v>
      </c>
      <c r="G3852">
        <v>6</v>
      </c>
      <c r="H3852">
        <v>0</v>
      </c>
      <c r="I3852" t="s">
        <v>19</v>
      </c>
      <c r="J3852">
        <v>0</v>
      </c>
      <c r="K3852">
        <v>50</v>
      </c>
      <c r="L3852" t="s">
        <v>24</v>
      </c>
      <c r="M3852" t="s">
        <v>21</v>
      </c>
      <c r="N3852" t="s">
        <v>22</v>
      </c>
      <c r="O3852" t="s">
        <v>27</v>
      </c>
      <c r="P3852">
        <v>3.8</v>
      </c>
      <c r="Q3852" s="2" t="b">
        <f>FALSE()</f>
        <v>0</v>
      </c>
      <c r="R3852">
        <v>0</v>
      </c>
    </row>
    <row r="3853" spans="1:18" x14ac:dyDescent="0.25">
      <c r="A3853">
        <v>203852</v>
      </c>
      <c r="B3853">
        <v>50919</v>
      </c>
      <c r="C3853" t="s">
        <v>34</v>
      </c>
      <c r="D3853">
        <v>2011.6</v>
      </c>
      <c r="E3853">
        <v>2869</v>
      </c>
      <c r="F3853">
        <v>1</v>
      </c>
      <c r="G3853">
        <v>5</v>
      </c>
      <c r="H3853">
        <v>0</v>
      </c>
      <c r="I3853" t="s">
        <v>33</v>
      </c>
      <c r="J3853">
        <v>1</v>
      </c>
      <c r="K3853">
        <v>57</v>
      </c>
      <c r="L3853" t="s">
        <v>20</v>
      </c>
      <c r="M3853" t="s">
        <v>21</v>
      </c>
      <c r="N3853" t="s">
        <v>26</v>
      </c>
      <c r="O3853" t="s">
        <v>23</v>
      </c>
      <c r="P3853">
        <v>5.7</v>
      </c>
      <c r="Q3853" s="2" t="b">
        <f>FALSE()</f>
        <v>0</v>
      </c>
      <c r="R3853">
        <v>0</v>
      </c>
    </row>
    <row r="3854" spans="1:18" x14ac:dyDescent="0.25">
      <c r="A3854">
        <v>203853</v>
      </c>
      <c r="B3854">
        <v>55806</v>
      </c>
      <c r="C3854" t="s">
        <v>18</v>
      </c>
      <c r="D3854">
        <v>4507.92</v>
      </c>
      <c r="E3854">
        <v>2057</v>
      </c>
      <c r="F3854">
        <v>0</v>
      </c>
      <c r="G3854">
        <v>1</v>
      </c>
      <c r="H3854">
        <v>0</v>
      </c>
      <c r="I3854" t="s">
        <v>33</v>
      </c>
      <c r="J3854">
        <v>1</v>
      </c>
      <c r="K3854">
        <v>76</v>
      </c>
      <c r="L3854" t="s">
        <v>24</v>
      </c>
      <c r="M3854" t="s">
        <v>31</v>
      </c>
      <c r="N3854" t="s">
        <v>30</v>
      </c>
      <c r="O3854" t="s">
        <v>36</v>
      </c>
      <c r="P3854">
        <v>2.25</v>
      </c>
      <c r="Q3854" s="2" t="b">
        <f>FALSE()</f>
        <v>0</v>
      </c>
      <c r="R3854">
        <v>1</v>
      </c>
    </row>
    <row r="3855" spans="1:18" x14ac:dyDescent="0.25">
      <c r="A3855">
        <v>203854</v>
      </c>
      <c r="B3855">
        <v>53866</v>
      </c>
      <c r="C3855" t="s">
        <v>18</v>
      </c>
      <c r="D3855">
        <v>3235.12</v>
      </c>
      <c r="E3855">
        <v>2592</v>
      </c>
      <c r="F3855">
        <v>0</v>
      </c>
      <c r="G3855">
        <v>4</v>
      </c>
      <c r="H3855">
        <v>1</v>
      </c>
      <c r="I3855" t="s">
        <v>19</v>
      </c>
      <c r="J3855">
        <v>0</v>
      </c>
      <c r="K3855">
        <v>55</v>
      </c>
      <c r="L3855" t="s">
        <v>24</v>
      </c>
      <c r="M3855" t="s">
        <v>37</v>
      </c>
      <c r="N3855" t="s">
        <v>26</v>
      </c>
      <c r="O3855" t="s">
        <v>23</v>
      </c>
      <c r="P3855">
        <v>0.7</v>
      </c>
      <c r="Q3855" s="2" t="b">
        <f>FALSE()</f>
        <v>0</v>
      </c>
      <c r="R3855">
        <v>0</v>
      </c>
    </row>
    <row r="3856" spans="1:18" x14ac:dyDescent="0.25">
      <c r="A3856">
        <v>203855</v>
      </c>
      <c r="B3856">
        <v>55128</v>
      </c>
      <c r="C3856" t="s">
        <v>34</v>
      </c>
      <c r="D3856">
        <v>3426.03</v>
      </c>
      <c r="E3856">
        <v>3261</v>
      </c>
      <c r="F3856">
        <v>2</v>
      </c>
      <c r="G3856">
        <v>4</v>
      </c>
      <c r="H3856">
        <v>0</v>
      </c>
      <c r="I3856" t="s">
        <v>33</v>
      </c>
      <c r="J3856">
        <v>0</v>
      </c>
      <c r="K3856">
        <v>25</v>
      </c>
      <c r="L3856" t="s">
        <v>20</v>
      </c>
      <c r="M3856" t="s">
        <v>21</v>
      </c>
      <c r="N3856" t="s">
        <v>22</v>
      </c>
      <c r="O3856" t="s">
        <v>27</v>
      </c>
      <c r="P3856">
        <v>6.05</v>
      </c>
      <c r="Q3856" s="2" t="b">
        <f>FALSE()</f>
        <v>0</v>
      </c>
      <c r="R3856">
        <v>0</v>
      </c>
    </row>
    <row r="3857" spans="1:18" x14ac:dyDescent="0.25">
      <c r="A3857">
        <v>203856</v>
      </c>
      <c r="B3857">
        <v>52439</v>
      </c>
      <c r="C3857" t="s">
        <v>34</v>
      </c>
      <c r="D3857">
        <v>4570.9399999999996</v>
      </c>
      <c r="E3857">
        <v>3158</v>
      </c>
      <c r="F3857">
        <v>2</v>
      </c>
      <c r="G3857">
        <v>0</v>
      </c>
      <c r="H3857">
        <v>0</v>
      </c>
      <c r="I3857" t="s">
        <v>33</v>
      </c>
      <c r="J3857">
        <v>0</v>
      </c>
      <c r="K3857">
        <v>44</v>
      </c>
      <c r="L3857" t="s">
        <v>20</v>
      </c>
      <c r="M3857" t="s">
        <v>31</v>
      </c>
      <c r="N3857" t="s">
        <v>30</v>
      </c>
      <c r="O3857" t="s">
        <v>36</v>
      </c>
      <c r="P3857">
        <v>0.21</v>
      </c>
      <c r="Q3857" s="2" t="b">
        <f>FALSE()</f>
        <v>0</v>
      </c>
      <c r="R3857">
        <v>1</v>
      </c>
    </row>
    <row r="3858" spans="1:18" x14ac:dyDescent="0.25">
      <c r="A3858">
        <v>203857</v>
      </c>
      <c r="B3858">
        <v>55545</v>
      </c>
      <c r="C3858" t="s">
        <v>34</v>
      </c>
      <c r="D3858">
        <v>6080.93</v>
      </c>
      <c r="E3858">
        <v>1772</v>
      </c>
      <c r="F3858">
        <v>1</v>
      </c>
      <c r="G3858">
        <v>6</v>
      </c>
      <c r="H3858">
        <v>0</v>
      </c>
      <c r="I3858" t="s">
        <v>33</v>
      </c>
      <c r="J3858">
        <v>0</v>
      </c>
      <c r="K3858">
        <v>51</v>
      </c>
      <c r="L3858" t="s">
        <v>24</v>
      </c>
      <c r="M3858" t="s">
        <v>31</v>
      </c>
      <c r="N3858" t="s">
        <v>30</v>
      </c>
      <c r="O3858" t="s">
        <v>36</v>
      </c>
      <c r="P3858">
        <v>11.09</v>
      </c>
      <c r="Q3858" s="2" t="b">
        <f>FALSE()</f>
        <v>0</v>
      </c>
      <c r="R3858">
        <v>1</v>
      </c>
    </row>
    <row r="3859" spans="1:18" x14ac:dyDescent="0.25">
      <c r="A3859">
        <v>203858</v>
      </c>
      <c r="B3859">
        <v>54916</v>
      </c>
      <c r="C3859" t="s">
        <v>34</v>
      </c>
      <c r="D3859">
        <v>3495.68</v>
      </c>
      <c r="E3859">
        <v>398</v>
      </c>
      <c r="F3859">
        <v>0</v>
      </c>
      <c r="G3859">
        <v>3</v>
      </c>
      <c r="H3859">
        <v>0</v>
      </c>
      <c r="I3859" t="s">
        <v>19</v>
      </c>
      <c r="J3859">
        <v>0</v>
      </c>
      <c r="K3859">
        <v>18</v>
      </c>
      <c r="L3859" t="s">
        <v>20</v>
      </c>
      <c r="M3859" t="s">
        <v>21</v>
      </c>
      <c r="N3859" t="s">
        <v>26</v>
      </c>
      <c r="O3859" t="s">
        <v>36</v>
      </c>
      <c r="P3859">
        <v>9.1300000000000008</v>
      </c>
      <c r="Q3859" s="2" t="b">
        <f>FALSE()</f>
        <v>0</v>
      </c>
      <c r="R3859">
        <v>0</v>
      </c>
    </row>
    <row r="3860" spans="1:18" x14ac:dyDescent="0.25">
      <c r="A3860">
        <v>203859</v>
      </c>
      <c r="B3860">
        <v>53752</v>
      </c>
      <c r="C3860" t="s">
        <v>28</v>
      </c>
      <c r="D3860">
        <v>617.16</v>
      </c>
      <c r="E3860">
        <v>1758</v>
      </c>
      <c r="F3860">
        <v>0</v>
      </c>
      <c r="G3860">
        <v>10</v>
      </c>
      <c r="H3860">
        <v>1</v>
      </c>
      <c r="I3860" t="s">
        <v>32</v>
      </c>
      <c r="J3860">
        <v>1</v>
      </c>
      <c r="K3860">
        <v>80</v>
      </c>
      <c r="L3860" t="s">
        <v>24</v>
      </c>
      <c r="M3860" t="s">
        <v>25</v>
      </c>
      <c r="N3860" t="s">
        <v>26</v>
      </c>
      <c r="O3860" t="s">
        <v>36</v>
      </c>
      <c r="P3860">
        <v>4.13</v>
      </c>
      <c r="Q3860" s="2" t="b">
        <f>FALSE()</f>
        <v>0</v>
      </c>
      <c r="R3860">
        <v>1</v>
      </c>
    </row>
    <row r="3861" spans="1:18" x14ac:dyDescent="0.25">
      <c r="A3861">
        <v>203860</v>
      </c>
      <c r="B3861">
        <v>55893</v>
      </c>
      <c r="C3861" t="s">
        <v>18</v>
      </c>
      <c r="D3861">
        <v>6361.48</v>
      </c>
      <c r="E3861">
        <v>2014</v>
      </c>
      <c r="F3861">
        <v>0</v>
      </c>
      <c r="G3861">
        <v>4</v>
      </c>
      <c r="H3861">
        <v>1</v>
      </c>
      <c r="I3861" t="s">
        <v>33</v>
      </c>
      <c r="J3861">
        <v>0</v>
      </c>
      <c r="K3861">
        <v>31</v>
      </c>
      <c r="L3861" t="s">
        <v>20</v>
      </c>
      <c r="M3861" t="s">
        <v>31</v>
      </c>
      <c r="N3861" t="s">
        <v>22</v>
      </c>
      <c r="O3861" t="s">
        <v>27</v>
      </c>
      <c r="P3861">
        <v>3.69</v>
      </c>
      <c r="Q3861" s="2" t="b">
        <f>FALSE()</f>
        <v>0</v>
      </c>
      <c r="R3861">
        <v>1</v>
      </c>
    </row>
    <row r="3862" spans="1:18" x14ac:dyDescent="0.25">
      <c r="A3862">
        <v>203861</v>
      </c>
      <c r="B3862">
        <v>55379</v>
      </c>
      <c r="C3862" t="s">
        <v>28</v>
      </c>
      <c r="D3862">
        <v>4465.0600000000004</v>
      </c>
      <c r="E3862">
        <v>3331</v>
      </c>
      <c r="F3862">
        <v>1</v>
      </c>
      <c r="G3862">
        <v>1</v>
      </c>
      <c r="H3862">
        <v>1</v>
      </c>
      <c r="I3862" t="s">
        <v>32</v>
      </c>
      <c r="J3862">
        <v>0</v>
      </c>
      <c r="K3862">
        <v>64</v>
      </c>
      <c r="L3862" t="s">
        <v>24</v>
      </c>
      <c r="M3862" t="s">
        <v>31</v>
      </c>
      <c r="N3862" t="s">
        <v>22</v>
      </c>
      <c r="O3862" t="s">
        <v>36</v>
      </c>
      <c r="P3862">
        <v>9.6999999999999993</v>
      </c>
      <c r="Q3862" s="2" t="b">
        <f>FALSE()</f>
        <v>0</v>
      </c>
      <c r="R3862">
        <v>1</v>
      </c>
    </row>
    <row r="3863" spans="1:18" x14ac:dyDescent="0.25">
      <c r="A3863">
        <v>203862</v>
      </c>
      <c r="B3863">
        <v>50217</v>
      </c>
      <c r="C3863" t="s">
        <v>18</v>
      </c>
      <c r="D3863">
        <v>4814.99</v>
      </c>
      <c r="E3863">
        <v>1494</v>
      </c>
      <c r="F3863">
        <v>0</v>
      </c>
      <c r="G3863">
        <v>6</v>
      </c>
      <c r="H3863">
        <v>0</v>
      </c>
      <c r="I3863" t="s">
        <v>33</v>
      </c>
      <c r="J3863">
        <v>0</v>
      </c>
      <c r="K3863">
        <v>31</v>
      </c>
      <c r="L3863" t="s">
        <v>20</v>
      </c>
      <c r="M3863" t="s">
        <v>31</v>
      </c>
      <c r="N3863" t="s">
        <v>30</v>
      </c>
      <c r="O3863" t="s">
        <v>23</v>
      </c>
      <c r="P3863">
        <v>4.3499999999999996</v>
      </c>
      <c r="Q3863" s="2" t="b">
        <f>FALSE()</f>
        <v>0</v>
      </c>
      <c r="R3863">
        <v>1</v>
      </c>
    </row>
    <row r="3864" spans="1:18" x14ac:dyDescent="0.25">
      <c r="A3864">
        <v>203863</v>
      </c>
      <c r="B3864">
        <v>50393</v>
      </c>
      <c r="C3864" t="s">
        <v>18</v>
      </c>
      <c r="D3864">
        <v>1297.71</v>
      </c>
      <c r="E3864">
        <v>2133</v>
      </c>
      <c r="F3864">
        <v>2</v>
      </c>
      <c r="G3864">
        <v>4</v>
      </c>
      <c r="H3864">
        <v>0</v>
      </c>
      <c r="I3864" t="s">
        <v>19</v>
      </c>
      <c r="J3864">
        <v>0</v>
      </c>
      <c r="K3864">
        <v>53</v>
      </c>
      <c r="L3864" t="s">
        <v>38</v>
      </c>
      <c r="M3864" t="s">
        <v>31</v>
      </c>
      <c r="N3864" t="s">
        <v>22</v>
      </c>
      <c r="O3864" t="s">
        <v>23</v>
      </c>
      <c r="P3864">
        <v>1.47</v>
      </c>
      <c r="Q3864" s="2" t="b">
        <f>FALSE()</f>
        <v>0</v>
      </c>
      <c r="R3864">
        <v>0</v>
      </c>
    </row>
    <row r="3865" spans="1:18" x14ac:dyDescent="0.25">
      <c r="A3865">
        <v>203864</v>
      </c>
      <c r="B3865">
        <v>52863</v>
      </c>
      <c r="C3865" t="s">
        <v>18</v>
      </c>
      <c r="D3865">
        <v>382.41</v>
      </c>
      <c r="E3865">
        <v>1252</v>
      </c>
      <c r="F3865">
        <v>3</v>
      </c>
      <c r="G3865">
        <v>1</v>
      </c>
      <c r="H3865">
        <v>0</v>
      </c>
      <c r="I3865" t="s">
        <v>33</v>
      </c>
      <c r="J3865">
        <v>0</v>
      </c>
      <c r="K3865">
        <v>70</v>
      </c>
      <c r="L3865" t="s">
        <v>24</v>
      </c>
      <c r="M3865" t="s">
        <v>21</v>
      </c>
      <c r="N3865" t="s">
        <v>30</v>
      </c>
      <c r="O3865" t="s">
        <v>27</v>
      </c>
      <c r="P3865">
        <v>1.06</v>
      </c>
      <c r="Q3865" s="2" t="b">
        <f>FALSE()</f>
        <v>0</v>
      </c>
      <c r="R3865">
        <v>1</v>
      </c>
    </row>
    <row r="3866" spans="1:18" x14ac:dyDescent="0.25">
      <c r="A3866">
        <v>203865</v>
      </c>
      <c r="B3866">
        <v>55146</v>
      </c>
      <c r="C3866" t="s">
        <v>28</v>
      </c>
      <c r="D3866">
        <v>3680.85</v>
      </c>
      <c r="E3866">
        <v>95</v>
      </c>
      <c r="F3866">
        <v>0</v>
      </c>
      <c r="G3866">
        <v>7</v>
      </c>
      <c r="H3866">
        <v>0</v>
      </c>
      <c r="I3866" t="s">
        <v>33</v>
      </c>
      <c r="J3866">
        <v>0</v>
      </c>
      <c r="K3866">
        <v>26</v>
      </c>
      <c r="L3866" t="s">
        <v>20</v>
      </c>
      <c r="M3866" t="s">
        <v>35</v>
      </c>
      <c r="N3866" t="s">
        <v>30</v>
      </c>
      <c r="O3866" t="s">
        <v>36</v>
      </c>
      <c r="P3866">
        <v>2.84</v>
      </c>
      <c r="Q3866" s="2" t="b">
        <f>FALSE()</f>
        <v>0</v>
      </c>
      <c r="R3866">
        <v>1</v>
      </c>
    </row>
    <row r="3867" spans="1:18" x14ac:dyDescent="0.25">
      <c r="A3867">
        <v>203866</v>
      </c>
      <c r="B3867">
        <v>53274</v>
      </c>
      <c r="C3867" t="s">
        <v>34</v>
      </c>
      <c r="D3867">
        <v>744.07</v>
      </c>
      <c r="E3867">
        <v>3562</v>
      </c>
      <c r="F3867">
        <v>3</v>
      </c>
      <c r="G3867">
        <v>2</v>
      </c>
      <c r="H3867">
        <v>1</v>
      </c>
      <c r="I3867" t="s">
        <v>33</v>
      </c>
      <c r="J3867">
        <v>0</v>
      </c>
      <c r="K3867">
        <v>77</v>
      </c>
      <c r="L3867" t="s">
        <v>24</v>
      </c>
      <c r="M3867" t="s">
        <v>31</v>
      </c>
      <c r="N3867" t="s">
        <v>22</v>
      </c>
      <c r="O3867" t="s">
        <v>36</v>
      </c>
      <c r="P3867">
        <v>4.29</v>
      </c>
      <c r="Q3867" s="2" t="b">
        <f>FALSE()</f>
        <v>0</v>
      </c>
      <c r="R3867">
        <v>1</v>
      </c>
    </row>
    <row r="3868" spans="1:18" x14ac:dyDescent="0.25">
      <c r="A3868">
        <v>203867</v>
      </c>
      <c r="B3868">
        <v>54782</v>
      </c>
      <c r="C3868" t="s">
        <v>34</v>
      </c>
      <c r="D3868">
        <v>2409.94</v>
      </c>
      <c r="E3868">
        <v>2640</v>
      </c>
      <c r="F3868">
        <v>0</v>
      </c>
      <c r="G3868">
        <v>6</v>
      </c>
      <c r="H3868">
        <v>1</v>
      </c>
      <c r="I3868" t="s">
        <v>33</v>
      </c>
      <c r="J3868">
        <v>1</v>
      </c>
      <c r="K3868">
        <v>53</v>
      </c>
      <c r="L3868" t="s">
        <v>24</v>
      </c>
      <c r="M3868" t="s">
        <v>35</v>
      </c>
      <c r="N3868" t="s">
        <v>26</v>
      </c>
      <c r="O3868" t="s">
        <v>23</v>
      </c>
      <c r="P3868">
        <v>3.96</v>
      </c>
      <c r="Q3868" s="2" t="b">
        <f>FALSE()</f>
        <v>0</v>
      </c>
      <c r="R3868">
        <v>0</v>
      </c>
    </row>
    <row r="3869" spans="1:18" x14ac:dyDescent="0.25">
      <c r="A3869">
        <v>203868</v>
      </c>
      <c r="B3869">
        <v>55250</v>
      </c>
      <c r="C3869" t="s">
        <v>34</v>
      </c>
      <c r="D3869">
        <v>2864.92</v>
      </c>
      <c r="E3869">
        <v>1820</v>
      </c>
      <c r="F3869">
        <v>2</v>
      </c>
      <c r="G3869">
        <v>5</v>
      </c>
      <c r="H3869">
        <v>0</v>
      </c>
      <c r="I3869" t="s">
        <v>33</v>
      </c>
      <c r="J3869">
        <v>0</v>
      </c>
      <c r="K3869">
        <v>62</v>
      </c>
      <c r="L3869" t="s">
        <v>24</v>
      </c>
      <c r="M3869" t="s">
        <v>29</v>
      </c>
      <c r="N3869" t="s">
        <v>30</v>
      </c>
      <c r="O3869" t="s">
        <v>36</v>
      </c>
      <c r="P3869">
        <v>1.38</v>
      </c>
      <c r="Q3869" s="2" t="b">
        <f>FALSE()</f>
        <v>0</v>
      </c>
      <c r="R3869">
        <v>0</v>
      </c>
    </row>
    <row r="3870" spans="1:18" x14ac:dyDescent="0.25">
      <c r="A3870">
        <v>203869</v>
      </c>
      <c r="B3870">
        <v>51966</v>
      </c>
      <c r="C3870" t="s">
        <v>18</v>
      </c>
      <c r="D3870">
        <v>2029.25</v>
      </c>
      <c r="E3870">
        <v>2475</v>
      </c>
      <c r="F3870">
        <v>2</v>
      </c>
      <c r="G3870">
        <v>4</v>
      </c>
      <c r="H3870">
        <v>0</v>
      </c>
      <c r="I3870" t="s">
        <v>19</v>
      </c>
      <c r="J3870">
        <v>1</v>
      </c>
      <c r="K3870">
        <v>31</v>
      </c>
      <c r="L3870" t="s">
        <v>24</v>
      </c>
      <c r="M3870" t="s">
        <v>25</v>
      </c>
      <c r="N3870" t="s">
        <v>22</v>
      </c>
      <c r="O3870" t="s">
        <v>23</v>
      </c>
      <c r="P3870">
        <v>1.01</v>
      </c>
      <c r="Q3870" s="2" t="b">
        <f>FALSE()</f>
        <v>0</v>
      </c>
      <c r="R3870">
        <v>0</v>
      </c>
    </row>
    <row r="3871" spans="1:18" x14ac:dyDescent="0.25">
      <c r="A3871">
        <v>203870</v>
      </c>
      <c r="B3871">
        <v>55451</v>
      </c>
      <c r="C3871" t="s">
        <v>18</v>
      </c>
      <c r="D3871">
        <v>3494.29</v>
      </c>
      <c r="E3871">
        <v>2376</v>
      </c>
      <c r="F3871">
        <v>2</v>
      </c>
      <c r="G3871">
        <v>6</v>
      </c>
      <c r="H3871">
        <v>0</v>
      </c>
      <c r="I3871" t="s">
        <v>19</v>
      </c>
      <c r="J3871">
        <v>1</v>
      </c>
      <c r="K3871">
        <v>80</v>
      </c>
      <c r="L3871" t="s">
        <v>24</v>
      </c>
      <c r="M3871" t="s">
        <v>35</v>
      </c>
      <c r="N3871" t="s">
        <v>26</v>
      </c>
      <c r="O3871" t="s">
        <v>23</v>
      </c>
      <c r="P3871">
        <v>0.33</v>
      </c>
      <c r="Q3871" s="2" t="b">
        <f>FALSE()</f>
        <v>0</v>
      </c>
      <c r="R3871">
        <v>0</v>
      </c>
    </row>
    <row r="3872" spans="1:18" x14ac:dyDescent="0.25">
      <c r="A3872">
        <v>203871</v>
      </c>
      <c r="B3872">
        <v>52580</v>
      </c>
      <c r="C3872" t="s">
        <v>18</v>
      </c>
      <c r="D3872">
        <v>6074.92</v>
      </c>
      <c r="E3872">
        <v>2439</v>
      </c>
      <c r="F3872">
        <v>0</v>
      </c>
      <c r="G3872">
        <v>6</v>
      </c>
      <c r="H3872">
        <v>0</v>
      </c>
      <c r="I3872" t="s">
        <v>33</v>
      </c>
      <c r="J3872">
        <v>0</v>
      </c>
      <c r="K3872">
        <v>76</v>
      </c>
      <c r="L3872" t="s">
        <v>24</v>
      </c>
      <c r="M3872" t="s">
        <v>35</v>
      </c>
      <c r="N3872" t="s">
        <v>22</v>
      </c>
      <c r="O3872" t="s">
        <v>27</v>
      </c>
      <c r="P3872">
        <v>0.55000000000000004</v>
      </c>
      <c r="Q3872" s="2" t="b">
        <f>FALSE()</f>
        <v>0</v>
      </c>
      <c r="R3872">
        <v>1</v>
      </c>
    </row>
    <row r="3873" spans="1:18" x14ac:dyDescent="0.25">
      <c r="A3873">
        <v>203872</v>
      </c>
      <c r="B3873">
        <v>50792</v>
      </c>
      <c r="C3873" t="s">
        <v>34</v>
      </c>
      <c r="D3873">
        <v>1302.54</v>
      </c>
      <c r="E3873">
        <v>2916</v>
      </c>
      <c r="F3873">
        <v>1</v>
      </c>
      <c r="G3873">
        <v>1</v>
      </c>
      <c r="H3873">
        <v>1</v>
      </c>
      <c r="I3873" t="s">
        <v>33</v>
      </c>
      <c r="J3873">
        <v>0</v>
      </c>
      <c r="K3873">
        <v>54</v>
      </c>
      <c r="L3873" t="s">
        <v>24</v>
      </c>
      <c r="M3873" t="s">
        <v>25</v>
      </c>
      <c r="N3873" t="s">
        <v>22</v>
      </c>
      <c r="O3873" t="s">
        <v>27</v>
      </c>
      <c r="P3873">
        <v>4.26</v>
      </c>
      <c r="Q3873" s="2" t="b">
        <f>FALSE()</f>
        <v>0</v>
      </c>
      <c r="R3873">
        <v>0</v>
      </c>
    </row>
    <row r="3874" spans="1:18" x14ac:dyDescent="0.25">
      <c r="A3874">
        <v>203873</v>
      </c>
      <c r="B3874">
        <v>51687</v>
      </c>
      <c r="C3874" t="s">
        <v>18</v>
      </c>
      <c r="D3874">
        <v>1785.35</v>
      </c>
      <c r="E3874">
        <v>3275</v>
      </c>
      <c r="F3874">
        <v>4</v>
      </c>
      <c r="G3874">
        <v>2</v>
      </c>
      <c r="H3874">
        <v>0</v>
      </c>
      <c r="I3874" t="s">
        <v>33</v>
      </c>
      <c r="J3874">
        <v>0</v>
      </c>
      <c r="K3874">
        <v>81</v>
      </c>
      <c r="L3874" t="s">
        <v>20</v>
      </c>
      <c r="M3874" t="s">
        <v>21</v>
      </c>
      <c r="N3874" t="s">
        <v>30</v>
      </c>
      <c r="O3874" t="s">
        <v>27</v>
      </c>
      <c r="P3874">
        <v>3.89</v>
      </c>
      <c r="Q3874" s="2" t="b">
        <f>FALSE()</f>
        <v>0</v>
      </c>
      <c r="R3874">
        <v>1</v>
      </c>
    </row>
    <row r="3875" spans="1:18" x14ac:dyDescent="0.25">
      <c r="A3875">
        <v>203874</v>
      </c>
      <c r="B3875">
        <v>52328</v>
      </c>
      <c r="C3875" t="s">
        <v>18</v>
      </c>
      <c r="D3875">
        <v>2102.3000000000002</v>
      </c>
      <c r="E3875">
        <v>3354</v>
      </c>
      <c r="F3875">
        <v>2</v>
      </c>
      <c r="G3875">
        <v>3</v>
      </c>
      <c r="H3875">
        <v>1</v>
      </c>
      <c r="I3875" t="s">
        <v>19</v>
      </c>
      <c r="J3875">
        <v>0</v>
      </c>
      <c r="K3875">
        <v>83</v>
      </c>
      <c r="L3875" t="s">
        <v>20</v>
      </c>
      <c r="M3875" t="s">
        <v>25</v>
      </c>
      <c r="N3875" t="s">
        <v>22</v>
      </c>
      <c r="O3875" t="s">
        <v>23</v>
      </c>
      <c r="P3875">
        <v>0.2</v>
      </c>
      <c r="Q3875" s="2" t="b">
        <f>FALSE()</f>
        <v>0</v>
      </c>
      <c r="R3875">
        <v>0</v>
      </c>
    </row>
    <row r="3876" spans="1:18" x14ac:dyDescent="0.25">
      <c r="A3876">
        <v>203875</v>
      </c>
      <c r="B3876">
        <v>55452</v>
      </c>
      <c r="C3876" t="s">
        <v>34</v>
      </c>
      <c r="D3876">
        <v>4324.29</v>
      </c>
      <c r="E3876">
        <v>3263</v>
      </c>
      <c r="F3876">
        <v>2</v>
      </c>
      <c r="G3876">
        <v>5</v>
      </c>
      <c r="H3876">
        <v>1</v>
      </c>
      <c r="I3876" t="s">
        <v>19</v>
      </c>
      <c r="J3876">
        <v>0</v>
      </c>
      <c r="K3876">
        <v>63</v>
      </c>
      <c r="L3876" t="s">
        <v>20</v>
      </c>
      <c r="M3876" t="s">
        <v>37</v>
      </c>
      <c r="N3876" t="s">
        <v>26</v>
      </c>
      <c r="O3876" t="s">
        <v>27</v>
      </c>
      <c r="P3876">
        <v>3.29</v>
      </c>
      <c r="Q3876" s="2" t="b">
        <f>FALSE()</f>
        <v>0</v>
      </c>
      <c r="R3876">
        <v>1</v>
      </c>
    </row>
    <row r="3877" spans="1:18" x14ac:dyDescent="0.25">
      <c r="A3877">
        <v>203876</v>
      </c>
      <c r="B3877">
        <v>54487</v>
      </c>
      <c r="C3877" t="s">
        <v>18</v>
      </c>
      <c r="D3877">
        <v>658.8</v>
      </c>
      <c r="E3877">
        <v>1223</v>
      </c>
      <c r="F3877">
        <v>1</v>
      </c>
      <c r="G3877">
        <v>1</v>
      </c>
      <c r="H3877">
        <v>0</v>
      </c>
      <c r="I3877" t="s">
        <v>33</v>
      </c>
      <c r="J3877">
        <v>0</v>
      </c>
      <c r="K3877">
        <v>63</v>
      </c>
      <c r="L3877" t="s">
        <v>20</v>
      </c>
      <c r="M3877" t="s">
        <v>21</v>
      </c>
      <c r="N3877" t="s">
        <v>26</v>
      </c>
      <c r="O3877" t="s">
        <v>36</v>
      </c>
      <c r="P3877">
        <v>18.36</v>
      </c>
      <c r="Q3877" s="2" t="b">
        <f>FALSE()</f>
        <v>0</v>
      </c>
      <c r="R3877">
        <v>0</v>
      </c>
    </row>
    <row r="3878" spans="1:18" x14ac:dyDescent="0.25">
      <c r="A3878">
        <v>203877</v>
      </c>
      <c r="B3878">
        <v>55546</v>
      </c>
      <c r="C3878" t="s">
        <v>18</v>
      </c>
      <c r="D3878">
        <v>960.34</v>
      </c>
      <c r="E3878">
        <v>3305</v>
      </c>
      <c r="F3878">
        <v>2</v>
      </c>
      <c r="G3878">
        <v>6</v>
      </c>
      <c r="H3878">
        <v>1</v>
      </c>
      <c r="I3878" t="s">
        <v>32</v>
      </c>
      <c r="J3878">
        <v>0</v>
      </c>
      <c r="K3878">
        <v>52</v>
      </c>
      <c r="L3878" t="s">
        <v>20</v>
      </c>
      <c r="M3878" t="s">
        <v>25</v>
      </c>
      <c r="N3878" t="s">
        <v>22</v>
      </c>
      <c r="O3878" t="s">
        <v>36</v>
      </c>
      <c r="P3878">
        <v>0.24</v>
      </c>
      <c r="Q3878" s="2" t="b">
        <f>FALSE()</f>
        <v>0</v>
      </c>
      <c r="R3878">
        <v>0</v>
      </c>
    </row>
    <row r="3879" spans="1:18" x14ac:dyDescent="0.25">
      <c r="A3879">
        <v>203878</v>
      </c>
      <c r="B3879">
        <v>53792</v>
      </c>
      <c r="C3879" t="s">
        <v>34</v>
      </c>
      <c r="D3879">
        <v>767.6</v>
      </c>
      <c r="E3879">
        <v>1879</v>
      </c>
      <c r="F3879">
        <v>1</v>
      </c>
      <c r="G3879">
        <v>3</v>
      </c>
      <c r="H3879">
        <v>0</v>
      </c>
      <c r="I3879" t="s">
        <v>33</v>
      </c>
      <c r="J3879">
        <v>0</v>
      </c>
      <c r="K3879">
        <v>63</v>
      </c>
      <c r="L3879" t="s">
        <v>20</v>
      </c>
      <c r="M3879" t="s">
        <v>25</v>
      </c>
      <c r="N3879" t="s">
        <v>30</v>
      </c>
      <c r="O3879" t="s">
        <v>23</v>
      </c>
      <c r="P3879">
        <v>3.76</v>
      </c>
      <c r="Q3879" s="2" t="b">
        <f>FALSE()</f>
        <v>0</v>
      </c>
      <c r="R3879">
        <v>0</v>
      </c>
    </row>
    <row r="3880" spans="1:18" x14ac:dyDescent="0.25">
      <c r="A3880">
        <v>203879</v>
      </c>
      <c r="B3880">
        <v>53507</v>
      </c>
      <c r="C3880" t="s">
        <v>18</v>
      </c>
      <c r="D3880">
        <v>1014.34</v>
      </c>
      <c r="E3880">
        <v>664</v>
      </c>
      <c r="F3880">
        <v>1</v>
      </c>
      <c r="G3880">
        <v>7</v>
      </c>
      <c r="H3880">
        <v>0</v>
      </c>
      <c r="I3880" t="s">
        <v>33</v>
      </c>
      <c r="J3880">
        <v>0</v>
      </c>
      <c r="K3880">
        <v>60</v>
      </c>
      <c r="L3880" t="s">
        <v>20</v>
      </c>
      <c r="M3880" t="s">
        <v>21</v>
      </c>
      <c r="N3880" t="s">
        <v>26</v>
      </c>
      <c r="O3880" t="s">
        <v>23</v>
      </c>
      <c r="P3880">
        <v>1.85</v>
      </c>
      <c r="Q3880" s="2" t="b">
        <f>FALSE()</f>
        <v>0</v>
      </c>
      <c r="R3880">
        <v>1</v>
      </c>
    </row>
    <row r="3881" spans="1:18" x14ac:dyDescent="0.25">
      <c r="A3881">
        <v>203880</v>
      </c>
      <c r="B3881">
        <v>50418</v>
      </c>
      <c r="C3881" t="s">
        <v>18</v>
      </c>
      <c r="D3881">
        <v>823.19</v>
      </c>
      <c r="E3881">
        <v>1555</v>
      </c>
      <c r="F3881">
        <v>0</v>
      </c>
      <c r="G3881">
        <v>3</v>
      </c>
      <c r="H3881">
        <v>0</v>
      </c>
      <c r="I3881" t="s">
        <v>33</v>
      </c>
      <c r="J3881">
        <v>0</v>
      </c>
      <c r="K3881">
        <v>68</v>
      </c>
      <c r="L3881" t="s">
        <v>20</v>
      </c>
      <c r="M3881" t="s">
        <v>35</v>
      </c>
      <c r="N3881" t="s">
        <v>22</v>
      </c>
      <c r="O3881" t="s">
        <v>27</v>
      </c>
      <c r="P3881">
        <v>0.36</v>
      </c>
      <c r="Q3881" s="2" t="b">
        <f>FALSE()</f>
        <v>0</v>
      </c>
      <c r="R3881">
        <v>0</v>
      </c>
    </row>
    <row r="3882" spans="1:18" x14ac:dyDescent="0.25">
      <c r="A3882">
        <v>203881</v>
      </c>
      <c r="B3882">
        <v>55962</v>
      </c>
      <c r="C3882" t="s">
        <v>34</v>
      </c>
      <c r="D3882">
        <v>1410.06</v>
      </c>
      <c r="E3882">
        <v>1395</v>
      </c>
      <c r="F3882">
        <v>2</v>
      </c>
      <c r="G3882">
        <v>4</v>
      </c>
      <c r="H3882">
        <v>0</v>
      </c>
      <c r="I3882" t="s">
        <v>33</v>
      </c>
      <c r="J3882">
        <v>0</v>
      </c>
      <c r="K3882">
        <v>23</v>
      </c>
      <c r="L3882" t="s">
        <v>24</v>
      </c>
      <c r="M3882" t="s">
        <v>37</v>
      </c>
      <c r="N3882" t="s">
        <v>30</v>
      </c>
      <c r="O3882" t="s">
        <v>27</v>
      </c>
      <c r="P3882">
        <v>4.9800000000000004</v>
      </c>
      <c r="Q3882" s="2" t="b">
        <f>FALSE()</f>
        <v>0</v>
      </c>
      <c r="R3882">
        <v>0</v>
      </c>
    </row>
    <row r="3883" spans="1:18" x14ac:dyDescent="0.25">
      <c r="A3883">
        <v>203882</v>
      </c>
      <c r="B3883">
        <v>50277</v>
      </c>
      <c r="C3883" t="s">
        <v>18</v>
      </c>
      <c r="D3883">
        <v>5225.1000000000004</v>
      </c>
      <c r="E3883">
        <v>2083</v>
      </c>
      <c r="F3883">
        <v>1</v>
      </c>
      <c r="G3883">
        <v>7</v>
      </c>
      <c r="H3883">
        <v>0</v>
      </c>
      <c r="I3883" t="s">
        <v>33</v>
      </c>
      <c r="J3883">
        <v>0</v>
      </c>
      <c r="K3883">
        <v>37</v>
      </c>
      <c r="L3883" t="s">
        <v>24</v>
      </c>
      <c r="M3883" t="s">
        <v>29</v>
      </c>
      <c r="N3883" t="s">
        <v>22</v>
      </c>
      <c r="O3883" t="s">
        <v>36</v>
      </c>
      <c r="P3883">
        <v>0.53</v>
      </c>
      <c r="Q3883" s="2" t="b">
        <f>FALSE()</f>
        <v>0</v>
      </c>
      <c r="R3883">
        <v>1</v>
      </c>
    </row>
    <row r="3884" spans="1:18" x14ac:dyDescent="0.25">
      <c r="A3884">
        <v>203883</v>
      </c>
      <c r="B3884">
        <v>52999</v>
      </c>
      <c r="C3884" t="s">
        <v>28</v>
      </c>
      <c r="D3884">
        <v>1482.17</v>
      </c>
      <c r="E3884">
        <v>3503</v>
      </c>
      <c r="F3884">
        <v>1</v>
      </c>
      <c r="G3884">
        <v>4</v>
      </c>
      <c r="H3884">
        <v>1</v>
      </c>
      <c r="I3884" t="s">
        <v>32</v>
      </c>
      <c r="J3884">
        <v>0</v>
      </c>
      <c r="K3884">
        <v>77</v>
      </c>
      <c r="L3884" t="s">
        <v>38</v>
      </c>
      <c r="M3884" t="s">
        <v>21</v>
      </c>
      <c r="N3884" t="s">
        <v>30</v>
      </c>
      <c r="O3884" t="s">
        <v>27</v>
      </c>
      <c r="P3884">
        <v>3.01</v>
      </c>
      <c r="Q3884" s="2" t="b">
        <f>FALSE()</f>
        <v>0</v>
      </c>
      <c r="R3884">
        <v>0</v>
      </c>
    </row>
    <row r="3885" spans="1:18" x14ac:dyDescent="0.25">
      <c r="A3885">
        <v>203884</v>
      </c>
      <c r="B3885">
        <v>50773</v>
      </c>
      <c r="C3885" t="s">
        <v>28</v>
      </c>
      <c r="D3885">
        <v>1634.56</v>
      </c>
      <c r="E3885">
        <v>3060</v>
      </c>
      <c r="F3885">
        <v>0</v>
      </c>
      <c r="G3885">
        <v>5</v>
      </c>
      <c r="H3885">
        <v>0</v>
      </c>
      <c r="I3885" t="s">
        <v>33</v>
      </c>
      <c r="J3885">
        <v>0</v>
      </c>
      <c r="K3885">
        <v>45</v>
      </c>
      <c r="L3885" t="s">
        <v>24</v>
      </c>
      <c r="M3885" t="s">
        <v>21</v>
      </c>
      <c r="N3885" t="s">
        <v>30</v>
      </c>
      <c r="O3885" t="s">
        <v>27</v>
      </c>
      <c r="P3885">
        <v>1.34</v>
      </c>
      <c r="Q3885" s="2" t="b">
        <f>FALSE()</f>
        <v>0</v>
      </c>
      <c r="R3885">
        <v>0</v>
      </c>
    </row>
    <row r="3886" spans="1:18" x14ac:dyDescent="0.25">
      <c r="A3886">
        <v>203885</v>
      </c>
      <c r="B3886">
        <v>51045</v>
      </c>
      <c r="C3886" t="s">
        <v>34</v>
      </c>
      <c r="D3886">
        <v>1122.8399999999999</v>
      </c>
      <c r="E3886">
        <v>98</v>
      </c>
      <c r="F3886">
        <v>1</v>
      </c>
      <c r="G3886">
        <v>4</v>
      </c>
      <c r="H3886">
        <v>1</v>
      </c>
      <c r="I3886" t="s">
        <v>32</v>
      </c>
      <c r="J3886">
        <v>0</v>
      </c>
      <c r="K3886">
        <v>62</v>
      </c>
      <c r="L3886" t="s">
        <v>24</v>
      </c>
      <c r="M3886" t="s">
        <v>25</v>
      </c>
      <c r="N3886" t="s">
        <v>30</v>
      </c>
      <c r="O3886" t="s">
        <v>23</v>
      </c>
      <c r="P3886">
        <v>1.83</v>
      </c>
      <c r="Q3886" s="2" t="b">
        <f>FALSE()</f>
        <v>0</v>
      </c>
      <c r="R3886">
        <v>0</v>
      </c>
    </row>
    <row r="3887" spans="1:18" x14ac:dyDescent="0.25">
      <c r="A3887">
        <v>203886</v>
      </c>
      <c r="B3887">
        <v>55774</v>
      </c>
      <c r="C3887" t="s">
        <v>34</v>
      </c>
      <c r="D3887">
        <v>880.84</v>
      </c>
      <c r="E3887">
        <v>991</v>
      </c>
      <c r="F3887">
        <v>1</v>
      </c>
      <c r="G3887">
        <v>7</v>
      </c>
      <c r="H3887">
        <v>0</v>
      </c>
      <c r="I3887" t="s">
        <v>33</v>
      </c>
      <c r="J3887">
        <v>0</v>
      </c>
      <c r="K3887">
        <v>19</v>
      </c>
      <c r="L3887" t="s">
        <v>24</v>
      </c>
      <c r="M3887" t="s">
        <v>37</v>
      </c>
      <c r="N3887" t="s">
        <v>30</v>
      </c>
      <c r="O3887" t="s">
        <v>36</v>
      </c>
      <c r="P3887">
        <v>0.21</v>
      </c>
      <c r="Q3887" s="2" t="b">
        <f>FALSE()</f>
        <v>0</v>
      </c>
      <c r="R3887">
        <v>1</v>
      </c>
    </row>
    <row r="3888" spans="1:18" x14ac:dyDescent="0.25">
      <c r="A3888">
        <v>203887</v>
      </c>
      <c r="B3888">
        <v>54031</v>
      </c>
      <c r="C3888" t="s">
        <v>18</v>
      </c>
      <c r="D3888">
        <v>2081.2800000000002</v>
      </c>
      <c r="E3888">
        <v>2807</v>
      </c>
      <c r="F3888">
        <v>0</v>
      </c>
      <c r="G3888">
        <v>1</v>
      </c>
      <c r="H3888">
        <v>0</v>
      </c>
      <c r="I3888" t="s">
        <v>32</v>
      </c>
      <c r="J3888">
        <v>0</v>
      </c>
      <c r="K3888">
        <v>73</v>
      </c>
      <c r="L3888" t="s">
        <v>24</v>
      </c>
      <c r="M3888" t="s">
        <v>25</v>
      </c>
      <c r="N3888" t="s">
        <v>22</v>
      </c>
      <c r="O3888" t="s">
        <v>23</v>
      </c>
      <c r="P3888">
        <v>8.89</v>
      </c>
      <c r="Q3888" s="2" t="b">
        <f>FALSE()</f>
        <v>0</v>
      </c>
      <c r="R3888">
        <v>0</v>
      </c>
    </row>
    <row r="3889" spans="1:18" x14ac:dyDescent="0.25">
      <c r="A3889">
        <v>203888</v>
      </c>
      <c r="B3889">
        <v>51061</v>
      </c>
      <c r="C3889" t="s">
        <v>28</v>
      </c>
      <c r="D3889">
        <v>3424.05</v>
      </c>
      <c r="E3889">
        <v>3488</v>
      </c>
      <c r="F3889">
        <v>2</v>
      </c>
      <c r="G3889">
        <v>4</v>
      </c>
      <c r="H3889">
        <v>1</v>
      </c>
      <c r="I3889" t="s">
        <v>33</v>
      </c>
      <c r="J3889">
        <v>0</v>
      </c>
      <c r="K3889">
        <v>42</v>
      </c>
      <c r="L3889" t="s">
        <v>20</v>
      </c>
      <c r="M3889" t="s">
        <v>21</v>
      </c>
      <c r="N3889" t="s">
        <v>30</v>
      </c>
      <c r="O3889" t="s">
        <v>23</v>
      </c>
      <c r="P3889">
        <v>14.17</v>
      </c>
      <c r="Q3889" s="2" t="b">
        <f>FALSE()</f>
        <v>0</v>
      </c>
      <c r="R3889">
        <v>0</v>
      </c>
    </row>
    <row r="3890" spans="1:18" x14ac:dyDescent="0.25">
      <c r="A3890">
        <v>203889</v>
      </c>
      <c r="B3890">
        <v>54558</v>
      </c>
      <c r="C3890" t="s">
        <v>18</v>
      </c>
      <c r="D3890">
        <v>5153.3500000000004</v>
      </c>
      <c r="E3890">
        <v>1061</v>
      </c>
      <c r="F3890">
        <v>1</v>
      </c>
      <c r="G3890">
        <v>6</v>
      </c>
      <c r="H3890">
        <v>0</v>
      </c>
      <c r="I3890" t="s">
        <v>19</v>
      </c>
      <c r="J3890">
        <v>1</v>
      </c>
      <c r="K3890">
        <v>56</v>
      </c>
      <c r="L3890" t="s">
        <v>20</v>
      </c>
      <c r="M3890" t="s">
        <v>31</v>
      </c>
      <c r="N3890" t="s">
        <v>22</v>
      </c>
      <c r="O3890" t="s">
        <v>27</v>
      </c>
      <c r="P3890">
        <v>0.03</v>
      </c>
      <c r="Q3890" s="2" t="b">
        <f>FALSE()</f>
        <v>0</v>
      </c>
      <c r="R3890">
        <v>1</v>
      </c>
    </row>
    <row r="3891" spans="1:18" x14ac:dyDescent="0.25">
      <c r="A3891">
        <v>203890</v>
      </c>
      <c r="B3891">
        <v>54209</v>
      </c>
      <c r="C3891" t="s">
        <v>18</v>
      </c>
      <c r="D3891">
        <v>3748.05</v>
      </c>
      <c r="E3891">
        <v>2754</v>
      </c>
      <c r="F3891">
        <v>1</v>
      </c>
      <c r="G3891">
        <v>2</v>
      </c>
      <c r="H3891">
        <v>0</v>
      </c>
      <c r="I3891" t="s">
        <v>19</v>
      </c>
      <c r="J3891">
        <v>0</v>
      </c>
      <c r="K3891">
        <v>64</v>
      </c>
      <c r="L3891" t="s">
        <v>24</v>
      </c>
      <c r="M3891" t="s">
        <v>35</v>
      </c>
      <c r="N3891" t="s">
        <v>22</v>
      </c>
      <c r="O3891" t="s">
        <v>27</v>
      </c>
      <c r="P3891">
        <v>4.5999999999999996</v>
      </c>
      <c r="Q3891" s="2" t="b">
        <f>FALSE()</f>
        <v>0</v>
      </c>
      <c r="R3891">
        <v>1</v>
      </c>
    </row>
    <row r="3892" spans="1:18" x14ac:dyDescent="0.25">
      <c r="A3892">
        <v>203891</v>
      </c>
      <c r="B3892">
        <v>52962</v>
      </c>
      <c r="C3892" t="s">
        <v>18</v>
      </c>
      <c r="D3892">
        <v>1166.25</v>
      </c>
      <c r="E3892">
        <v>2337</v>
      </c>
      <c r="F3892">
        <v>0</v>
      </c>
      <c r="G3892">
        <v>4</v>
      </c>
      <c r="H3892">
        <v>0</v>
      </c>
      <c r="I3892" t="s">
        <v>33</v>
      </c>
      <c r="J3892">
        <v>0</v>
      </c>
      <c r="K3892">
        <v>30</v>
      </c>
      <c r="L3892" t="s">
        <v>20</v>
      </c>
      <c r="M3892" t="s">
        <v>31</v>
      </c>
      <c r="N3892" t="s">
        <v>26</v>
      </c>
      <c r="O3892" t="s">
        <v>23</v>
      </c>
      <c r="P3892">
        <v>1.1399999999999999</v>
      </c>
      <c r="Q3892" s="2" t="b">
        <f>FALSE()</f>
        <v>0</v>
      </c>
      <c r="R3892">
        <v>0</v>
      </c>
    </row>
    <row r="3893" spans="1:18" x14ac:dyDescent="0.25">
      <c r="A3893">
        <v>203892</v>
      </c>
      <c r="B3893">
        <v>52732</v>
      </c>
      <c r="C3893" t="s">
        <v>28</v>
      </c>
      <c r="D3893">
        <v>2891.29</v>
      </c>
      <c r="E3893">
        <v>2161</v>
      </c>
      <c r="F3893">
        <v>2</v>
      </c>
      <c r="G3893">
        <v>6</v>
      </c>
      <c r="H3893">
        <v>0</v>
      </c>
      <c r="I3893" t="s">
        <v>19</v>
      </c>
      <c r="J3893">
        <v>0</v>
      </c>
      <c r="K3893">
        <v>69</v>
      </c>
      <c r="L3893" t="s">
        <v>24</v>
      </c>
      <c r="M3893" t="s">
        <v>35</v>
      </c>
      <c r="N3893" t="s">
        <v>22</v>
      </c>
      <c r="O3893" t="s">
        <v>36</v>
      </c>
      <c r="P3893">
        <v>1.61</v>
      </c>
      <c r="Q3893" s="2" t="b">
        <f>FALSE()</f>
        <v>0</v>
      </c>
      <c r="R3893">
        <v>0</v>
      </c>
    </row>
    <row r="3894" spans="1:18" x14ac:dyDescent="0.25">
      <c r="A3894">
        <v>203893</v>
      </c>
      <c r="B3894">
        <v>50532</v>
      </c>
      <c r="C3894" t="s">
        <v>18</v>
      </c>
      <c r="D3894">
        <v>2649.64</v>
      </c>
      <c r="E3894">
        <v>279</v>
      </c>
      <c r="F3894">
        <v>2</v>
      </c>
      <c r="G3894">
        <v>1</v>
      </c>
      <c r="H3894">
        <v>0</v>
      </c>
      <c r="I3894" t="s">
        <v>33</v>
      </c>
      <c r="J3894">
        <v>1</v>
      </c>
      <c r="K3894">
        <v>23</v>
      </c>
      <c r="L3894" t="s">
        <v>24</v>
      </c>
      <c r="M3894" t="s">
        <v>37</v>
      </c>
      <c r="N3894" t="s">
        <v>30</v>
      </c>
      <c r="O3894" t="s">
        <v>27</v>
      </c>
      <c r="P3894">
        <v>2.17</v>
      </c>
      <c r="Q3894" s="2" t="b">
        <f>FALSE()</f>
        <v>0</v>
      </c>
      <c r="R3894">
        <v>0</v>
      </c>
    </row>
    <row r="3895" spans="1:18" x14ac:dyDescent="0.25">
      <c r="A3895">
        <v>203894</v>
      </c>
      <c r="B3895">
        <v>55351</v>
      </c>
      <c r="C3895" t="s">
        <v>18</v>
      </c>
      <c r="D3895">
        <v>1326.9</v>
      </c>
      <c r="E3895">
        <v>1601</v>
      </c>
      <c r="F3895">
        <v>1</v>
      </c>
      <c r="G3895">
        <v>6</v>
      </c>
      <c r="H3895">
        <v>0</v>
      </c>
      <c r="I3895" t="s">
        <v>19</v>
      </c>
      <c r="J3895">
        <v>0</v>
      </c>
      <c r="K3895">
        <v>68</v>
      </c>
      <c r="L3895" t="s">
        <v>20</v>
      </c>
      <c r="M3895" t="s">
        <v>29</v>
      </c>
      <c r="N3895" t="s">
        <v>30</v>
      </c>
      <c r="O3895" t="s">
        <v>36</v>
      </c>
      <c r="P3895">
        <v>2.08</v>
      </c>
      <c r="Q3895" s="2" t="b">
        <f>FALSE()</f>
        <v>0</v>
      </c>
      <c r="R3895">
        <v>0</v>
      </c>
    </row>
    <row r="3896" spans="1:18" x14ac:dyDescent="0.25">
      <c r="A3896">
        <v>203895</v>
      </c>
      <c r="B3896">
        <v>52668</v>
      </c>
      <c r="C3896" t="s">
        <v>18</v>
      </c>
      <c r="D3896">
        <v>1120.3599999999999</v>
      </c>
      <c r="E3896">
        <v>1621</v>
      </c>
      <c r="F3896">
        <v>1</v>
      </c>
      <c r="G3896">
        <v>1</v>
      </c>
      <c r="H3896">
        <v>1</v>
      </c>
      <c r="I3896" t="s">
        <v>19</v>
      </c>
      <c r="J3896">
        <v>0</v>
      </c>
      <c r="K3896">
        <v>79</v>
      </c>
      <c r="L3896" t="s">
        <v>20</v>
      </c>
      <c r="M3896" t="s">
        <v>25</v>
      </c>
      <c r="N3896" t="s">
        <v>22</v>
      </c>
      <c r="O3896" t="s">
        <v>23</v>
      </c>
      <c r="P3896">
        <v>3.55</v>
      </c>
      <c r="Q3896" s="2" t="b">
        <f>FALSE()</f>
        <v>0</v>
      </c>
      <c r="R3896">
        <v>0</v>
      </c>
    </row>
    <row r="3897" spans="1:18" x14ac:dyDescent="0.25">
      <c r="A3897">
        <v>203896</v>
      </c>
      <c r="B3897">
        <v>52216</v>
      </c>
      <c r="C3897" t="s">
        <v>18</v>
      </c>
      <c r="D3897">
        <v>4417.13</v>
      </c>
      <c r="E3897">
        <v>2035</v>
      </c>
      <c r="F3897">
        <v>0</v>
      </c>
      <c r="G3897">
        <v>3</v>
      </c>
      <c r="H3897">
        <v>1</v>
      </c>
      <c r="I3897" t="s">
        <v>19</v>
      </c>
      <c r="J3897">
        <v>0</v>
      </c>
      <c r="K3897">
        <v>29</v>
      </c>
      <c r="L3897" t="s">
        <v>20</v>
      </c>
      <c r="M3897" t="s">
        <v>37</v>
      </c>
      <c r="N3897" t="s">
        <v>30</v>
      </c>
      <c r="O3897" t="s">
        <v>36</v>
      </c>
      <c r="P3897">
        <v>3.01</v>
      </c>
      <c r="Q3897" s="2" t="b">
        <f>FALSE()</f>
        <v>0</v>
      </c>
      <c r="R3897">
        <v>1</v>
      </c>
    </row>
    <row r="3898" spans="1:18" x14ac:dyDescent="0.25">
      <c r="A3898">
        <v>203897</v>
      </c>
      <c r="B3898">
        <v>50432</v>
      </c>
      <c r="C3898" t="s">
        <v>28</v>
      </c>
      <c r="D3898">
        <v>5662.23</v>
      </c>
      <c r="E3898">
        <v>2219</v>
      </c>
      <c r="F3898">
        <v>0</v>
      </c>
      <c r="G3898">
        <v>7</v>
      </c>
      <c r="H3898">
        <v>0</v>
      </c>
      <c r="I3898" t="s">
        <v>32</v>
      </c>
      <c r="J3898">
        <v>0</v>
      </c>
      <c r="K3898">
        <v>59</v>
      </c>
      <c r="L3898" t="s">
        <v>20</v>
      </c>
      <c r="M3898" t="s">
        <v>29</v>
      </c>
      <c r="N3898" t="s">
        <v>22</v>
      </c>
      <c r="O3898" t="s">
        <v>27</v>
      </c>
      <c r="P3898">
        <v>3.31</v>
      </c>
      <c r="Q3898" s="2" t="b">
        <f>FALSE()</f>
        <v>0</v>
      </c>
      <c r="R3898">
        <v>1</v>
      </c>
    </row>
    <row r="3899" spans="1:18" x14ac:dyDescent="0.25">
      <c r="A3899">
        <v>203898</v>
      </c>
      <c r="B3899">
        <v>51569</v>
      </c>
      <c r="C3899" t="s">
        <v>34</v>
      </c>
      <c r="D3899">
        <v>4062.13</v>
      </c>
      <c r="E3899">
        <v>559</v>
      </c>
      <c r="F3899">
        <v>0</v>
      </c>
      <c r="G3899">
        <v>2</v>
      </c>
      <c r="H3899">
        <v>1</v>
      </c>
      <c r="I3899" t="s">
        <v>19</v>
      </c>
      <c r="J3899">
        <v>0</v>
      </c>
      <c r="K3899">
        <v>66</v>
      </c>
      <c r="L3899" t="s">
        <v>24</v>
      </c>
      <c r="M3899" t="s">
        <v>37</v>
      </c>
      <c r="N3899" t="s">
        <v>22</v>
      </c>
      <c r="O3899" t="s">
        <v>23</v>
      </c>
      <c r="P3899">
        <v>1.34</v>
      </c>
      <c r="Q3899" s="2" t="b">
        <f>FALSE()</f>
        <v>0</v>
      </c>
      <c r="R3899">
        <v>1</v>
      </c>
    </row>
    <row r="3900" spans="1:18" x14ac:dyDescent="0.25">
      <c r="A3900">
        <v>203899</v>
      </c>
      <c r="B3900">
        <v>55136</v>
      </c>
      <c r="C3900" t="s">
        <v>28</v>
      </c>
      <c r="D3900">
        <v>1831.82</v>
      </c>
      <c r="E3900">
        <v>1962</v>
      </c>
      <c r="F3900">
        <v>1</v>
      </c>
      <c r="G3900">
        <v>5</v>
      </c>
      <c r="H3900">
        <v>0</v>
      </c>
      <c r="I3900" t="s">
        <v>33</v>
      </c>
      <c r="J3900">
        <v>0</v>
      </c>
      <c r="K3900">
        <v>83</v>
      </c>
      <c r="L3900" t="s">
        <v>20</v>
      </c>
      <c r="M3900" t="s">
        <v>37</v>
      </c>
      <c r="N3900" t="s">
        <v>30</v>
      </c>
      <c r="O3900" t="s">
        <v>23</v>
      </c>
      <c r="P3900">
        <v>1.76</v>
      </c>
      <c r="Q3900" s="2" t="b">
        <f>FALSE()</f>
        <v>0</v>
      </c>
      <c r="R3900">
        <v>0</v>
      </c>
    </row>
    <row r="3901" spans="1:18" x14ac:dyDescent="0.25">
      <c r="A3901">
        <v>203900</v>
      </c>
      <c r="B3901">
        <v>54761</v>
      </c>
      <c r="C3901" t="s">
        <v>18</v>
      </c>
      <c r="D3901">
        <v>2367.33</v>
      </c>
      <c r="E3901">
        <v>1044</v>
      </c>
      <c r="F3901">
        <v>1</v>
      </c>
      <c r="G3901">
        <v>5</v>
      </c>
      <c r="H3901">
        <v>0</v>
      </c>
      <c r="I3901" t="s">
        <v>33</v>
      </c>
      <c r="J3901">
        <v>0</v>
      </c>
      <c r="K3901">
        <v>64</v>
      </c>
      <c r="L3901" t="s">
        <v>24</v>
      </c>
      <c r="M3901" t="s">
        <v>25</v>
      </c>
      <c r="N3901" t="s">
        <v>22</v>
      </c>
      <c r="O3901" t="s">
        <v>27</v>
      </c>
      <c r="P3901">
        <v>7.86</v>
      </c>
      <c r="Q3901" s="2" t="b">
        <f>FALSE()</f>
        <v>0</v>
      </c>
      <c r="R3901">
        <v>0</v>
      </c>
    </row>
    <row r="3902" spans="1:18" x14ac:dyDescent="0.25">
      <c r="A3902">
        <v>203901</v>
      </c>
      <c r="B3902">
        <v>53456</v>
      </c>
      <c r="C3902" t="s">
        <v>28</v>
      </c>
      <c r="D3902">
        <v>1787.01</v>
      </c>
      <c r="E3902">
        <v>1559</v>
      </c>
      <c r="F3902">
        <v>0</v>
      </c>
      <c r="G3902">
        <v>3</v>
      </c>
      <c r="H3902">
        <v>0</v>
      </c>
      <c r="I3902" t="s">
        <v>19</v>
      </c>
      <c r="J3902">
        <v>0</v>
      </c>
      <c r="K3902">
        <v>24</v>
      </c>
      <c r="L3902" t="s">
        <v>24</v>
      </c>
      <c r="M3902" t="s">
        <v>21</v>
      </c>
      <c r="N3902" t="s">
        <v>22</v>
      </c>
      <c r="O3902" t="s">
        <v>36</v>
      </c>
      <c r="P3902">
        <v>1.1499999999999999</v>
      </c>
      <c r="Q3902" s="2" t="b">
        <f>FALSE()</f>
        <v>0</v>
      </c>
      <c r="R3902">
        <v>0</v>
      </c>
    </row>
    <row r="3903" spans="1:18" x14ac:dyDescent="0.25">
      <c r="A3903">
        <v>203902</v>
      </c>
      <c r="B3903">
        <v>51409</v>
      </c>
      <c r="C3903" t="s">
        <v>34</v>
      </c>
      <c r="D3903">
        <v>1159.8699999999999</v>
      </c>
      <c r="E3903">
        <v>1761</v>
      </c>
      <c r="F3903">
        <v>1</v>
      </c>
      <c r="G3903">
        <v>7</v>
      </c>
      <c r="H3903">
        <v>0</v>
      </c>
      <c r="I3903" t="s">
        <v>33</v>
      </c>
      <c r="J3903">
        <v>0</v>
      </c>
      <c r="K3903">
        <v>80</v>
      </c>
      <c r="L3903" t="s">
        <v>20</v>
      </c>
      <c r="M3903" t="s">
        <v>29</v>
      </c>
      <c r="N3903" t="s">
        <v>26</v>
      </c>
      <c r="O3903" t="s">
        <v>23</v>
      </c>
      <c r="P3903">
        <v>0.2</v>
      </c>
      <c r="Q3903" s="2" t="b">
        <f>FALSE()</f>
        <v>0</v>
      </c>
      <c r="R3903">
        <v>1</v>
      </c>
    </row>
    <row r="3904" spans="1:18" x14ac:dyDescent="0.25">
      <c r="A3904">
        <v>203903</v>
      </c>
      <c r="B3904">
        <v>55845</v>
      </c>
      <c r="C3904" t="s">
        <v>18</v>
      </c>
      <c r="D3904">
        <v>1297.04</v>
      </c>
      <c r="E3904">
        <v>2554</v>
      </c>
      <c r="F3904">
        <v>2</v>
      </c>
      <c r="G3904">
        <v>3</v>
      </c>
      <c r="H3904">
        <v>0</v>
      </c>
      <c r="I3904" t="s">
        <v>19</v>
      </c>
      <c r="J3904">
        <v>0</v>
      </c>
      <c r="K3904">
        <v>52</v>
      </c>
      <c r="L3904" t="s">
        <v>20</v>
      </c>
      <c r="M3904" t="s">
        <v>29</v>
      </c>
      <c r="N3904" t="s">
        <v>22</v>
      </c>
      <c r="O3904" t="s">
        <v>23</v>
      </c>
      <c r="P3904">
        <v>1.27</v>
      </c>
      <c r="Q3904" s="2" t="b">
        <f>FALSE()</f>
        <v>0</v>
      </c>
      <c r="R3904">
        <v>0</v>
      </c>
    </row>
    <row r="3905" spans="1:18" x14ac:dyDescent="0.25">
      <c r="A3905">
        <v>203904</v>
      </c>
      <c r="B3905">
        <v>50978</v>
      </c>
      <c r="C3905" t="s">
        <v>18</v>
      </c>
      <c r="D3905">
        <v>1287.7</v>
      </c>
      <c r="E3905">
        <v>600</v>
      </c>
      <c r="F3905">
        <v>0</v>
      </c>
      <c r="G3905">
        <v>2</v>
      </c>
      <c r="H3905">
        <v>0</v>
      </c>
      <c r="I3905" t="s">
        <v>19</v>
      </c>
      <c r="J3905">
        <v>0</v>
      </c>
      <c r="K3905">
        <v>21</v>
      </c>
      <c r="L3905" t="s">
        <v>24</v>
      </c>
      <c r="M3905" t="s">
        <v>37</v>
      </c>
      <c r="N3905" t="s">
        <v>26</v>
      </c>
      <c r="O3905" t="s">
        <v>27</v>
      </c>
      <c r="P3905">
        <v>0.75</v>
      </c>
      <c r="Q3905" s="2" t="b">
        <f>FALSE()</f>
        <v>0</v>
      </c>
      <c r="R3905">
        <v>0</v>
      </c>
    </row>
    <row r="3906" spans="1:18" x14ac:dyDescent="0.25">
      <c r="A3906">
        <v>203905</v>
      </c>
      <c r="B3906">
        <v>54145</v>
      </c>
      <c r="C3906" t="s">
        <v>18</v>
      </c>
      <c r="D3906">
        <v>1101.8599999999999</v>
      </c>
      <c r="E3906">
        <v>1337</v>
      </c>
      <c r="F3906">
        <v>1</v>
      </c>
      <c r="G3906">
        <v>3</v>
      </c>
      <c r="H3906">
        <v>0</v>
      </c>
      <c r="I3906" t="s">
        <v>33</v>
      </c>
      <c r="J3906">
        <v>0</v>
      </c>
      <c r="K3906">
        <v>55</v>
      </c>
      <c r="L3906" t="s">
        <v>24</v>
      </c>
      <c r="M3906" t="s">
        <v>35</v>
      </c>
      <c r="N3906" t="s">
        <v>22</v>
      </c>
      <c r="O3906" t="s">
        <v>23</v>
      </c>
      <c r="P3906">
        <v>0.47</v>
      </c>
      <c r="Q3906" s="2" t="b">
        <f>FALSE()</f>
        <v>0</v>
      </c>
      <c r="R3906">
        <v>0</v>
      </c>
    </row>
    <row r="3907" spans="1:18" x14ac:dyDescent="0.25">
      <c r="A3907">
        <v>203906</v>
      </c>
      <c r="B3907">
        <v>55982</v>
      </c>
      <c r="C3907" t="s">
        <v>18</v>
      </c>
      <c r="D3907">
        <v>3004.13</v>
      </c>
      <c r="E3907">
        <v>3403</v>
      </c>
      <c r="F3907">
        <v>4</v>
      </c>
      <c r="G3907">
        <v>2</v>
      </c>
      <c r="H3907">
        <v>1</v>
      </c>
      <c r="I3907" t="s">
        <v>32</v>
      </c>
      <c r="J3907">
        <v>0</v>
      </c>
      <c r="K3907">
        <v>78</v>
      </c>
      <c r="L3907" t="s">
        <v>24</v>
      </c>
      <c r="M3907" t="s">
        <v>31</v>
      </c>
      <c r="N3907" t="s">
        <v>30</v>
      </c>
      <c r="O3907" t="s">
        <v>36</v>
      </c>
      <c r="P3907">
        <v>2.19</v>
      </c>
      <c r="Q3907" s="2" t="b">
        <f>FALSE()</f>
        <v>0</v>
      </c>
      <c r="R3907">
        <v>1</v>
      </c>
    </row>
    <row r="3908" spans="1:18" x14ac:dyDescent="0.25">
      <c r="A3908">
        <v>203907</v>
      </c>
      <c r="B3908">
        <v>53691</v>
      </c>
      <c r="C3908" t="s">
        <v>28</v>
      </c>
      <c r="D3908">
        <v>2134.31</v>
      </c>
      <c r="E3908">
        <v>2590</v>
      </c>
      <c r="F3908">
        <v>1</v>
      </c>
      <c r="G3908">
        <v>3</v>
      </c>
      <c r="H3908">
        <v>1</v>
      </c>
      <c r="I3908" t="s">
        <v>33</v>
      </c>
      <c r="J3908">
        <v>0</v>
      </c>
      <c r="K3908">
        <v>67</v>
      </c>
      <c r="L3908" t="s">
        <v>24</v>
      </c>
      <c r="M3908" t="s">
        <v>29</v>
      </c>
      <c r="N3908" t="s">
        <v>30</v>
      </c>
      <c r="O3908" t="s">
        <v>27</v>
      </c>
      <c r="P3908">
        <v>6.58</v>
      </c>
      <c r="Q3908" s="2" t="b">
        <f>FALSE()</f>
        <v>0</v>
      </c>
      <c r="R3908">
        <v>0</v>
      </c>
    </row>
    <row r="3909" spans="1:18" x14ac:dyDescent="0.25">
      <c r="A3909">
        <v>203908</v>
      </c>
      <c r="B3909">
        <v>51727</v>
      </c>
      <c r="C3909" t="s">
        <v>18</v>
      </c>
      <c r="D3909">
        <v>3599.24</v>
      </c>
      <c r="E3909">
        <v>551</v>
      </c>
      <c r="F3909">
        <v>3</v>
      </c>
      <c r="G3909">
        <v>1</v>
      </c>
      <c r="H3909">
        <v>0</v>
      </c>
      <c r="I3909" t="s">
        <v>33</v>
      </c>
      <c r="J3909">
        <v>0</v>
      </c>
      <c r="K3909">
        <v>30</v>
      </c>
      <c r="L3909" t="s">
        <v>20</v>
      </c>
      <c r="M3909" t="s">
        <v>21</v>
      </c>
      <c r="N3909" t="s">
        <v>22</v>
      </c>
      <c r="O3909" t="s">
        <v>36</v>
      </c>
      <c r="P3909">
        <v>7.01</v>
      </c>
      <c r="Q3909" s="2" t="b">
        <f>FALSE()</f>
        <v>0</v>
      </c>
      <c r="R3909">
        <v>1</v>
      </c>
    </row>
    <row r="3910" spans="1:18" x14ac:dyDescent="0.25">
      <c r="A3910">
        <v>203909</v>
      </c>
      <c r="B3910">
        <v>51662</v>
      </c>
      <c r="C3910" t="s">
        <v>18</v>
      </c>
      <c r="D3910">
        <v>1981.2</v>
      </c>
      <c r="E3910">
        <v>3490</v>
      </c>
      <c r="F3910">
        <v>1</v>
      </c>
      <c r="G3910">
        <v>2</v>
      </c>
      <c r="H3910">
        <v>0</v>
      </c>
      <c r="I3910" t="s">
        <v>19</v>
      </c>
      <c r="J3910">
        <v>0</v>
      </c>
      <c r="K3910">
        <v>73</v>
      </c>
      <c r="L3910" t="s">
        <v>24</v>
      </c>
      <c r="M3910" t="s">
        <v>31</v>
      </c>
      <c r="N3910" t="s">
        <v>26</v>
      </c>
      <c r="O3910" t="s">
        <v>36</v>
      </c>
      <c r="P3910">
        <v>2.9</v>
      </c>
      <c r="Q3910" s="2" t="b">
        <f>FALSE()</f>
        <v>0</v>
      </c>
      <c r="R3910">
        <v>0</v>
      </c>
    </row>
    <row r="3911" spans="1:18" x14ac:dyDescent="0.25">
      <c r="A3911">
        <v>203910</v>
      </c>
      <c r="B3911">
        <v>52929</v>
      </c>
      <c r="C3911" t="s">
        <v>34</v>
      </c>
      <c r="D3911">
        <v>4980.53</v>
      </c>
      <c r="E3911">
        <v>870</v>
      </c>
      <c r="F3911">
        <v>0</v>
      </c>
      <c r="G3911">
        <v>3</v>
      </c>
      <c r="H3911">
        <v>1</v>
      </c>
      <c r="I3911" t="s">
        <v>33</v>
      </c>
      <c r="J3911">
        <v>0</v>
      </c>
      <c r="K3911">
        <v>41</v>
      </c>
      <c r="L3911" t="s">
        <v>20</v>
      </c>
      <c r="M3911" t="s">
        <v>29</v>
      </c>
      <c r="N3911" t="s">
        <v>22</v>
      </c>
      <c r="O3911" t="s">
        <v>27</v>
      </c>
      <c r="P3911">
        <v>0.13</v>
      </c>
      <c r="Q3911" s="2" t="b">
        <f>FALSE()</f>
        <v>0</v>
      </c>
      <c r="R3911">
        <v>1</v>
      </c>
    </row>
    <row r="3912" spans="1:18" x14ac:dyDescent="0.25">
      <c r="A3912">
        <v>203911</v>
      </c>
      <c r="B3912">
        <v>55449</v>
      </c>
      <c r="C3912" t="s">
        <v>18</v>
      </c>
      <c r="D3912">
        <v>2233.81</v>
      </c>
      <c r="E3912">
        <v>310</v>
      </c>
      <c r="F3912">
        <v>2</v>
      </c>
      <c r="G3912">
        <v>3</v>
      </c>
      <c r="H3912">
        <v>0</v>
      </c>
      <c r="I3912" t="s">
        <v>33</v>
      </c>
      <c r="J3912">
        <v>0</v>
      </c>
      <c r="K3912">
        <v>51</v>
      </c>
      <c r="L3912" t="s">
        <v>24</v>
      </c>
      <c r="M3912" t="s">
        <v>35</v>
      </c>
      <c r="N3912" t="s">
        <v>30</v>
      </c>
      <c r="O3912" t="s">
        <v>36</v>
      </c>
      <c r="P3912">
        <v>0.19</v>
      </c>
      <c r="Q3912" s="2" t="b">
        <f>FALSE()</f>
        <v>0</v>
      </c>
      <c r="R3912">
        <v>0</v>
      </c>
    </row>
    <row r="3913" spans="1:18" x14ac:dyDescent="0.25">
      <c r="A3913">
        <v>203912</v>
      </c>
      <c r="B3913">
        <v>52847</v>
      </c>
      <c r="C3913" t="s">
        <v>18</v>
      </c>
      <c r="D3913">
        <v>1027.8399999999999</v>
      </c>
      <c r="E3913">
        <v>2741</v>
      </c>
      <c r="F3913">
        <v>0</v>
      </c>
      <c r="G3913">
        <v>4</v>
      </c>
      <c r="H3913">
        <v>0</v>
      </c>
      <c r="I3913" t="s">
        <v>19</v>
      </c>
      <c r="J3913">
        <v>0</v>
      </c>
      <c r="K3913">
        <v>58</v>
      </c>
      <c r="L3913" t="s">
        <v>20</v>
      </c>
      <c r="M3913" t="s">
        <v>21</v>
      </c>
      <c r="N3913" t="s">
        <v>26</v>
      </c>
      <c r="O3913" t="s">
        <v>23</v>
      </c>
      <c r="P3913">
        <v>1.58</v>
      </c>
      <c r="Q3913" s="2" t="b">
        <f>FALSE()</f>
        <v>0</v>
      </c>
      <c r="R3913">
        <v>0</v>
      </c>
    </row>
    <row r="3914" spans="1:18" x14ac:dyDescent="0.25">
      <c r="A3914">
        <v>203913</v>
      </c>
      <c r="B3914">
        <v>55811</v>
      </c>
      <c r="C3914" t="s">
        <v>28</v>
      </c>
      <c r="D3914">
        <v>1057.27</v>
      </c>
      <c r="E3914">
        <v>1829</v>
      </c>
      <c r="F3914">
        <v>1</v>
      </c>
      <c r="G3914">
        <v>4</v>
      </c>
      <c r="H3914">
        <v>0</v>
      </c>
      <c r="I3914" t="s">
        <v>33</v>
      </c>
      <c r="J3914">
        <v>0</v>
      </c>
      <c r="K3914">
        <v>71</v>
      </c>
      <c r="L3914" t="s">
        <v>24</v>
      </c>
      <c r="M3914" t="s">
        <v>35</v>
      </c>
      <c r="N3914" t="s">
        <v>30</v>
      </c>
      <c r="O3914" t="s">
        <v>27</v>
      </c>
      <c r="P3914">
        <v>0.88</v>
      </c>
      <c r="Q3914" s="2" t="b">
        <f>FALSE()</f>
        <v>0</v>
      </c>
      <c r="R3914">
        <v>0</v>
      </c>
    </row>
    <row r="3915" spans="1:18" x14ac:dyDescent="0.25">
      <c r="A3915">
        <v>203914</v>
      </c>
      <c r="B3915">
        <v>53418</v>
      </c>
      <c r="C3915" t="s">
        <v>18</v>
      </c>
      <c r="D3915">
        <v>4026.37</v>
      </c>
      <c r="E3915">
        <v>839</v>
      </c>
      <c r="F3915">
        <v>3</v>
      </c>
      <c r="G3915">
        <v>3</v>
      </c>
      <c r="H3915">
        <v>0</v>
      </c>
      <c r="I3915" t="s">
        <v>32</v>
      </c>
      <c r="J3915">
        <v>0</v>
      </c>
      <c r="K3915">
        <v>32</v>
      </c>
      <c r="L3915" t="s">
        <v>20</v>
      </c>
      <c r="M3915" t="s">
        <v>25</v>
      </c>
      <c r="N3915" t="s">
        <v>22</v>
      </c>
      <c r="O3915" t="s">
        <v>27</v>
      </c>
      <c r="P3915">
        <v>0.06</v>
      </c>
      <c r="Q3915" s="2" t="b">
        <f>FALSE()</f>
        <v>0</v>
      </c>
      <c r="R3915">
        <v>1</v>
      </c>
    </row>
    <row r="3916" spans="1:18" x14ac:dyDescent="0.25">
      <c r="A3916">
        <v>203915</v>
      </c>
      <c r="B3916">
        <v>53764</v>
      </c>
      <c r="C3916" t="s">
        <v>34</v>
      </c>
      <c r="D3916">
        <v>2551.1999999999998</v>
      </c>
      <c r="E3916">
        <v>1262</v>
      </c>
      <c r="F3916">
        <v>2</v>
      </c>
      <c r="G3916">
        <v>2</v>
      </c>
      <c r="H3916">
        <v>0</v>
      </c>
      <c r="I3916" t="s">
        <v>32</v>
      </c>
      <c r="J3916">
        <v>0</v>
      </c>
      <c r="K3916">
        <v>70</v>
      </c>
      <c r="L3916" t="s">
        <v>24</v>
      </c>
      <c r="M3916" t="s">
        <v>21</v>
      </c>
      <c r="N3916" t="s">
        <v>30</v>
      </c>
      <c r="O3916" t="s">
        <v>27</v>
      </c>
      <c r="P3916">
        <v>0.02</v>
      </c>
      <c r="Q3916" s="2" t="b">
        <f>FALSE()</f>
        <v>0</v>
      </c>
      <c r="R3916">
        <v>0</v>
      </c>
    </row>
    <row r="3917" spans="1:18" x14ac:dyDescent="0.25">
      <c r="A3917">
        <v>203916</v>
      </c>
      <c r="B3917">
        <v>54236</v>
      </c>
      <c r="C3917" t="s">
        <v>28</v>
      </c>
      <c r="D3917">
        <v>5076.34</v>
      </c>
      <c r="E3917">
        <v>117</v>
      </c>
      <c r="F3917">
        <v>4</v>
      </c>
      <c r="G3917">
        <v>7</v>
      </c>
      <c r="H3917">
        <v>0</v>
      </c>
      <c r="I3917" t="s">
        <v>33</v>
      </c>
      <c r="J3917">
        <v>0</v>
      </c>
      <c r="K3917">
        <v>44</v>
      </c>
      <c r="L3917" t="s">
        <v>24</v>
      </c>
      <c r="M3917" t="s">
        <v>21</v>
      </c>
      <c r="N3917" t="s">
        <v>30</v>
      </c>
      <c r="O3917" t="s">
        <v>36</v>
      </c>
      <c r="P3917">
        <v>4.6399999999999997</v>
      </c>
      <c r="Q3917" s="2" t="b">
        <f>FALSE()</f>
        <v>0</v>
      </c>
      <c r="R3917">
        <v>1</v>
      </c>
    </row>
    <row r="3918" spans="1:18" x14ac:dyDescent="0.25">
      <c r="A3918">
        <v>203917</v>
      </c>
      <c r="B3918">
        <v>52946</v>
      </c>
      <c r="C3918" t="s">
        <v>18</v>
      </c>
      <c r="D3918">
        <v>2720.31</v>
      </c>
      <c r="E3918">
        <v>1895</v>
      </c>
      <c r="F3918">
        <v>1</v>
      </c>
      <c r="G3918">
        <v>6</v>
      </c>
      <c r="H3918">
        <v>0</v>
      </c>
      <c r="I3918" t="s">
        <v>33</v>
      </c>
      <c r="J3918">
        <v>0</v>
      </c>
      <c r="K3918">
        <v>51</v>
      </c>
      <c r="L3918" t="s">
        <v>20</v>
      </c>
      <c r="M3918" t="s">
        <v>21</v>
      </c>
      <c r="N3918" t="s">
        <v>22</v>
      </c>
      <c r="O3918" t="s">
        <v>27</v>
      </c>
      <c r="P3918">
        <v>0.04</v>
      </c>
      <c r="Q3918" s="2" t="b">
        <f>FALSE()</f>
        <v>0</v>
      </c>
      <c r="R3918">
        <v>0</v>
      </c>
    </row>
    <row r="3919" spans="1:18" x14ac:dyDescent="0.25">
      <c r="A3919">
        <v>203918</v>
      </c>
      <c r="B3919">
        <v>51129</v>
      </c>
      <c r="C3919" t="s">
        <v>34</v>
      </c>
      <c r="D3919">
        <v>4467.1000000000004</v>
      </c>
      <c r="E3919">
        <v>569</v>
      </c>
      <c r="F3919">
        <v>1</v>
      </c>
      <c r="G3919">
        <v>3</v>
      </c>
      <c r="H3919">
        <v>1</v>
      </c>
      <c r="I3919" t="s">
        <v>33</v>
      </c>
      <c r="J3919">
        <v>0</v>
      </c>
      <c r="K3919">
        <v>36</v>
      </c>
      <c r="L3919" t="s">
        <v>24</v>
      </c>
      <c r="M3919" t="s">
        <v>35</v>
      </c>
      <c r="N3919" t="s">
        <v>30</v>
      </c>
      <c r="O3919" t="s">
        <v>27</v>
      </c>
      <c r="P3919">
        <v>1.47</v>
      </c>
      <c r="Q3919" s="2" t="b">
        <f>FALSE()</f>
        <v>0</v>
      </c>
      <c r="R3919">
        <v>1</v>
      </c>
    </row>
    <row r="3920" spans="1:18" x14ac:dyDescent="0.25">
      <c r="A3920">
        <v>203919</v>
      </c>
      <c r="B3920">
        <v>53143</v>
      </c>
      <c r="C3920" t="s">
        <v>34</v>
      </c>
      <c r="D3920">
        <v>2548.5500000000002</v>
      </c>
      <c r="E3920">
        <v>3555</v>
      </c>
      <c r="F3920">
        <v>1</v>
      </c>
      <c r="G3920">
        <v>5</v>
      </c>
      <c r="H3920">
        <v>1</v>
      </c>
      <c r="I3920" t="s">
        <v>19</v>
      </c>
      <c r="J3920">
        <v>1</v>
      </c>
      <c r="K3920">
        <v>72</v>
      </c>
      <c r="L3920" t="s">
        <v>24</v>
      </c>
      <c r="M3920" t="s">
        <v>21</v>
      </c>
      <c r="N3920" t="s">
        <v>22</v>
      </c>
      <c r="O3920" t="s">
        <v>23</v>
      </c>
      <c r="P3920">
        <v>0.96</v>
      </c>
      <c r="Q3920" s="2" t="b">
        <f>FALSE()</f>
        <v>0</v>
      </c>
      <c r="R3920">
        <v>0</v>
      </c>
    </row>
    <row r="3921" spans="1:18" x14ac:dyDescent="0.25">
      <c r="A3921">
        <v>203920</v>
      </c>
      <c r="B3921">
        <v>53544</v>
      </c>
      <c r="C3921" t="s">
        <v>34</v>
      </c>
      <c r="D3921">
        <v>1835.37</v>
      </c>
      <c r="E3921">
        <v>2579</v>
      </c>
      <c r="F3921">
        <v>1</v>
      </c>
      <c r="G3921">
        <v>3</v>
      </c>
      <c r="H3921">
        <v>0</v>
      </c>
      <c r="I3921" t="s">
        <v>32</v>
      </c>
      <c r="J3921">
        <v>0</v>
      </c>
      <c r="K3921">
        <v>57</v>
      </c>
      <c r="L3921" t="s">
        <v>24</v>
      </c>
      <c r="M3921" t="s">
        <v>21</v>
      </c>
      <c r="N3921" t="s">
        <v>26</v>
      </c>
      <c r="O3921" t="s">
        <v>27</v>
      </c>
      <c r="P3921">
        <v>1.2</v>
      </c>
      <c r="Q3921" s="2" t="b">
        <f>FALSE()</f>
        <v>0</v>
      </c>
      <c r="R3921">
        <v>0</v>
      </c>
    </row>
    <row r="3922" spans="1:18" x14ac:dyDescent="0.25">
      <c r="A3922">
        <v>203921</v>
      </c>
      <c r="B3922">
        <v>53816</v>
      </c>
      <c r="C3922" t="s">
        <v>28</v>
      </c>
      <c r="D3922">
        <v>1360.21</v>
      </c>
      <c r="E3922">
        <v>731</v>
      </c>
      <c r="F3922">
        <v>1</v>
      </c>
      <c r="G3922">
        <v>9</v>
      </c>
      <c r="H3922">
        <v>0</v>
      </c>
      <c r="I3922" t="s">
        <v>33</v>
      </c>
      <c r="J3922">
        <v>0</v>
      </c>
      <c r="K3922">
        <v>30</v>
      </c>
      <c r="L3922" t="s">
        <v>24</v>
      </c>
      <c r="M3922" t="s">
        <v>37</v>
      </c>
      <c r="N3922" t="s">
        <v>26</v>
      </c>
      <c r="O3922" t="s">
        <v>27</v>
      </c>
      <c r="P3922">
        <v>1.04</v>
      </c>
      <c r="Q3922" s="2" t="b">
        <f>FALSE()</f>
        <v>0</v>
      </c>
      <c r="R3922">
        <v>1</v>
      </c>
    </row>
    <row r="3923" spans="1:18" x14ac:dyDescent="0.25">
      <c r="A3923">
        <v>203922</v>
      </c>
      <c r="B3923">
        <v>53474</v>
      </c>
      <c r="C3923" t="s">
        <v>18</v>
      </c>
      <c r="D3923">
        <v>2516.44</v>
      </c>
      <c r="E3923">
        <v>1862</v>
      </c>
      <c r="F3923">
        <v>2</v>
      </c>
      <c r="G3923">
        <v>0</v>
      </c>
      <c r="H3923">
        <v>0</v>
      </c>
      <c r="I3923" t="s">
        <v>33</v>
      </c>
      <c r="J3923">
        <v>1</v>
      </c>
      <c r="K3923">
        <v>28</v>
      </c>
      <c r="L3923" t="s">
        <v>20</v>
      </c>
      <c r="M3923" t="s">
        <v>29</v>
      </c>
      <c r="N3923" t="s">
        <v>26</v>
      </c>
      <c r="O3923" t="s">
        <v>27</v>
      </c>
      <c r="P3923">
        <v>2.21</v>
      </c>
      <c r="Q3923" s="2" t="b">
        <f>FALSE()</f>
        <v>0</v>
      </c>
      <c r="R3923">
        <v>0</v>
      </c>
    </row>
    <row r="3924" spans="1:18" x14ac:dyDescent="0.25">
      <c r="A3924">
        <v>203923</v>
      </c>
      <c r="B3924">
        <v>54465</v>
      </c>
      <c r="C3924" t="s">
        <v>28</v>
      </c>
      <c r="D3924">
        <v>3446.29</v>
      </c>
      <c r="E3924">
        <v>2234</v>
      </c>
      <c r="F3924">
        <v>1</v>
      </c>
      <c r="G3924">
        <v>4</v>
      </c>
      <c r="H3924">
        <v>0</v>
      </c>
      <c r="I3924" t="s">
        <v>33</v>
      </c>
      <c r="J3924">
        <v>0</v>
      </c>
      <c r="K3924">
        <v>42</v>
      </c>
      <c r="L3924" t="s">
        <v>20</v>
      </c>
      <c r="M3924" t="s">
        <v>29</v>
      </c>
      <c r="N3924" t="s">
        <v>26</v>
      </c>
      <c r="O3924" t="s">
        <v>36</v>
      </c>
      <c r="P3924">
        <v>1.63</v>
      </c>
      <c r="Q3924" s="2" t="b">
        <f>FALSE()</f>
        <v>0</v>
      </c>
      <c r="R3924">
        <v>0</v>
      </c>
    </row>
    <row r="3925" spans="1:18" x14ac:dyDescent="0.25">
      <c r="A3925">
        <v>203924</v>
      </c>
      <c r="B3925">
        <v>51665</v>
      </c>
      <c r="C3925" t="s">
        <v>34</v>
      </c>
      <c r="D3925">
        <v>1028.82</v>
      </c>
      <c r="E3925">
        <v>369</v>
      </c>
      <c r="F3925">
        <v>3</v>
      </c>
      <c r="G3925">
        <v>11</v>
      </c>
      <c r="H3925">
        <v>0</v>
      </c>
      <c r="I3925" t="s">
        <v>33</v>
      </c>
      <c r="J3925">
        <v>1</v>
      </c>
      <c r="K3925">
        <v>83</v>
      </c>
      <c r="L3925" t="s">
        <v>20</v>
      </c>
      <c r="M3925" t="s">
        <v>29</v>
      </c>
      <c r="N3925" t="s">
        <v>26</v>
      </c>
      <c r="O3925" t="s">
        <v>23</v>
      </c>
      <c r="P3925">
        <v>23.16</v>
      </c>
      <c r="Q3925" s="2" t="b">
        <f>FALSE()</f>
        <v>0</v>
      </c>
      <c r="R3925">
        <v>1</v>
      </c>
    </row>
    <row r="3926" spans="1:18" x14ac:dyDescent="0.25">
      <c r="A3926">
        <v>203925</v>
      </c>
      <c r="B3926">
        <v>53038</v>
      </c>
      <c r="C3926" t="s">
        <v>18</v>
      </c>
      <c r="D3926">
        <v>1998.48</v>
      </c>
      <c r="E3926">
        <v>1039</v>
      </c>
      <c r="F3926">
        <v>2</v>
      </c>
      <c r="G3926">
        <v>3</v>
      </c>
      <c r="H3926">
        <v>1</v>
      </c>
      <c r="I3926" t="s">
        <v>33</v>
      </c>
      <c r="J3926">
        <v>1</v>
      </c>
      <c r="K3926">
        <v>38</v>
      </c>
      <c r="L3926" t="s">
        <v>20</v>
      </c>
      <c r="M3926" t="s">
        <v>25</v>
      </c>
      <c r="N3926" t="s">
        <v>30</v>
      </c>
      <c r="O3926" t="s">
        <v>27</v>
      </c>
      <c r="P3926">
        <v>0.6</v>
      </c>
      <c r="Q3926" s="2" t="b">
        <f>FALSE()</f>
        <v>0</v>
      </c>
      <c r="R3926">
        <v>0</v>
      </c>
    </row>
    <row r="3927" spans="1:18" x14ac:dyDescent="0.25">
      <c r="A3927">
        <v>203926</v>
      </c>
      <c r="B3927">
        <v>54417</v>
      </c>
      <c r="C3927" t="s">
        <v>34</v>
      </c>
      <c r="D3927">
        <v>2882.96</v>
      </c>
      <c r="E3927">
        <v>3283</v>
      </c>
      <c r="F3927">
        <v>1</v>
      </c>
      <c r="G3927">
        <v>2</v>
      </c>
      <c r="H3927">
        <v>1</v>
      </c>
      <c r="I3927" t="s">
        <v>33</v>
      </c>
      <c r="J3927">
        <v>0</v>
      </c>
      <c r="K3927">
        <v>43</v>
      </c>
      <c r="L3927" t="s">
        <v>24</v>
      </c>
      <c r="M3927" t="s">
        <v>29</v>
      </c>
      <c r="N3927" t="s">
        <v>26</v>
      </c>
      <c r="O3927" t="s">
        <v>23</v>
      </c>
      <c r="P3927">
        <v>12.91</v>
      </c>
      <c r="Q3927" s="2" t="b">
        <f>FALSE()</f>
        <v>0</v>
      </c>
      <c r="R3927">
        <v>0</v>
      </c>
    </row>
    <row r="3928" spans="1:18" x14ac:dyDescent="0.25">
      <c r="A3928">
        <v>203927</v>
      </c>
      <c r="B3928">
        <v>55957</v>
      </c>
      <c r="C3928" t="s">
        <v>18</v>
      </c>
      <c r="D3928">
        <v>2496</v>
      </c>
      <c r="E3928">
        <v>3340</v>
      </c>
      <c r="F3928">
        <v>0</v>
      </c>
      <c r="G3928">
        <v>3</v>
      </c>
      <c r="H3928">
        <v>0</v>
      </c>
      <c r="I3928" t="s">
        <v>33</v>
      </c>
      <c r="J3928">
        <v>1</v>
      </c>
      <c r="K3928">
        <v>51</v>
      </c>
      <c r="L3928" t="s">
        <v>24</v>
      </c>
      <c r="M3928" t="s">
        <v>25</v>
      </c>
      <c r="N3928" t="s">
        <v>30</v>
      </c>
      <c r="O3928" t="s">
        <v>27</v>
      </c>
      <c r="P3928">
        <v>2.2000000000000002</v>
      </c>
      <c r="Q3928" s="2" t="b">
        <f>FALSE()</f>
        <v>0</v>
      </c>
      <c r="R3928">
        <v>0</v>
      </c>
    </row>
    <row r="3929" spans="1:18" x14ac:dyDescent="0.25">
      <c r="A3929">
        <v>203928</v>
      </c>
      <c r="B3929">
        <v>50454</v>
      </c>
      <c r="C3929" t="s">
        <v>18</v>
      </c>
      <c r="D3929">
        <v>1822.95</v>
      </c>
      <c r="E3929">
        <v>3597</v>
      </c>
      <c r="F3929">
        <v>1</v>
      </c>
      <c r="G3929">
        <v>4</v>
      </c>
      <c r="H3929">
        <v>0</v>
      </c>
      <c r="I3929" t="s">
        <v>19</v>
      </c>
      <c r="J3929">
        <v>0</v>
      </c>
      <c r="K3929">
        <v>59</v>
      </c>
      <c r="L3929" t="s">
        <v>20</v>
      </c>
      <c r="M3929" t="s">
        <v>29</v>
      </c>
      <c r="N3929" t="s">
        <v>22</v>
      </c>
      <c r="O3929" t="s">
        <v>27</v>
      </c>
      <c r="P3929">
        <v>4.84</v>
      </c>
      <c r="Q3929" s="2" t="b">
        <f>FALSE()</f>
        <v>0</v>
      </c>
      <c r="R3929">
        <v>0</v>
      </c>
    </row>
    <row r="3930" spans="1:18" x14ac:dyDescent="0.25">
      <c r="A3930">
        <v>203929</v>
      </c>
      <c r="B3930">
        <v>52240</v>
      </c>
      <c r="C3930" t="s">
        <v>18</v>
      </c>
      <c r="D3930">
        <v>232.83</v>
      </c>
      <c r="E3930">
        <v>552</v>
      </c>
      <c r="F3930">
        <v>2</v>
      </c>
      <c r="G3930">
        <v>3</v>
      </c>
      <c r="H3930">
        <v>1</v>
      </c>
      <c r="I3930" t="s">
        <v>33</v>
      </c>
      <c r="J3930">
        <v>0</v>
      </c>
      <c r="K3930">
        <v>80</v>
      </c>
      <c r="L3930" t="s">
        <v>24</v>
      </c>
      <c r="M3930" t="s">
        <v>31</v>
      </c>
      <c r="N3930" t="s">
        <v>30</v>
      </c>
      <c r="O3930" t="s">
        <v>23</v>
      </c>
      <c r="P3930">
        <v>0.65</v>
      </c>
      <c r="Q3930" s="2" t="b">
        <f>FALSE()</f>
        <v>0</v>
      </c>
      <c r="R3930">
        <v>0</v>
      </c>
    </row>
    <row r="3931" spans="1:18" x14ac:dyDescent="0.25">
      <c r="A3931">
        <v>203930</v>
      </c>
      <c r="B3931">
        <v>55464</v>
      </c>
      <c r="C3931" t="s">
        <v>28</v>
      </c>
      <c r="D3931">
        <v>1519.77</v>
      </c>
      <c r="E3931">
        <v>1912</v>
      </c>
      <c r="F3931">
        <v>1</v>
      </c>
      <c r="G3931">
        <v>2</v>
      </c>
      <c r="H3931">
        <v>0</v>
      </c>
      <c r="I3931" t="s">
        <v>33</v>
      </c>
      <c r="J3931">
        <v>1</v>
      </c>
      <c r="K3931">
        <v>62</v>
      </c>
      <c r="L3931" t="s">
        <v>24</v>
      </c>
      <c r="M3931" t="s">
        <v>31</v>
      </c>
      <c r="N3931" t="s">
        <v>30</v>
      </c>
      <c r="O3931" t="s">
        <v>23</v>
      </c>
      <c r="P3931">
        <v>5.07</v>
      </c>
      <c r="Q3931" s="2" t="b">
        <f>FALSE()</f>
        <v>0</v>
      </c>
      <c r="R3931">
        <v>0</v>
      </c>
    </row>
    <row r="3932" spans="1:18" x14ac:dyDescent="0.25">
      <c r="A3932">
        <v>203931</v>
      </c>
      <c r="B3932">
        <v>55824</v>
      </c>
      <c r="C3932" t="s">
        <v>18</v>
      </c>
      <c r="D3932">
        <v>2491.96</v>
      </c>
      <c r="E3932">
        <v>1867</v>
      </c>
      <c r="F3932">
        <v>1</v>
      </c>
      <c r="G3932">
        <v>5</v>
      </c>
      <c r="H3932">
        <v>1</v>
      </c>
      <c r="I3932" t="s">
        <v>19</v>
      </c>
      <c r="J3932">
        <v>1</v>
      </c>
      <c r="K3932">
        <v>46</v>
      </c>
      <c r="L3932" t="s">
        <v>20</v>
      </c>
      <c r="M3932" t="s">
        <v>25</v>
      </c>
      <c r="N3932" t="s">
        <v>22</v>
      </c>
      <c r="O3932" t="s">
        <v>27</v>
      </c>
      <c r="P3932">
        <v>3.16</v>
      </c>
      <c r="Q3932" s="2" t="b">
        <f>FALSE()</f>
        <v>0</v>
      </c>
      <c r="R3932">
        <v>0</v>
      </c>
    </row>
    <row r="3933" spans="1:18" x14ac:dyDescent="0.25">
      <c r="A3933">
        <v>203932</v>
      </c>
      <c r="B3933">
        <v>53474</v>
      </c>
      <c r="C3933" t="s">
        <v>18</v>
      </c>
      <c r="D3933">
        <v>2166.38</v>
      </c>
      <c r="E3933">
        <v>2604</v>
      </c>
      <c r="F3933">
        <v>1</v>
      </c>
      <c r="G3933">
        <v>4</v>
      </c>
      <c r="H3933">
        <v>0</v>
      </c>
      <c r="I3933" t="s">
        <v>19</v>
      </c>
      <c r="J3933">
        <v>0</v>
      </c>
      <c r="K3933">
        <v>55</v>
      </c>
      <c r="L3933" t="s">
        <v>20</v>
      </c>
      <c r="M3933" t="s">
        <v>25</v>
      </c>
      <c r="N3933" t="s">
        <v>30</v>
      </c>
      <c r="O3933" t="s">
        <v>27</v>
      </c>
      <c r="P3933">
        <v>2.16</v>
      </c>
      <c r="Q3933" s="2" t="b">
        <f>FALSE()</f>
        <v>0</v>
      </c>
      <c r="R3933">
        <v>0</v>
      </c>
    </row>
    <row r="3934" spans="1:18" x14ac:dyDescent="0.25">
      <c r="A3934">
        <v>203933</v>
      </c>
      <c r="B3934">
        <v>55533</v>
      </c>
      <c r="C3934" t="s">
        <v>34</v>
      </c>
      <c r="D3934">
        <v>5039.17</v>
      </c>
      <c r="E3934">
        <v>86</v>
      </c>
      <c r="F3934">
        <v>2</v>
      </c>
      <c r="G3934">
        <v>3</v>
      </c>
      <c r="H3934">
        <v>0</v>
      </c>
      <c r="I3934" t="s">
        <v>33</v>
      </c>
      <c r="J3934">
        <v>1</v>
      </c>
      <c r="K3934">
        <v>70</v>
      </c>
      <c r="L3934" t="s">
        <v>24</v>
      </c>
      <c r="M3934" t="s">
        <v>37</v>
      </c>
      <c r="N3934" t="s">
        <v>26</v>
      </c>
      <c r="O3934" t="s">
        <v>36</v>
      </c>
      <c r="P3934">
        <v>1.32</v>
      </c>
      <c r="Q3934" s="2" t="b">
        <f>FALSE()</f>
        <v>0</v>
      </c>
      <c r="R3934">
        <v>1</v>
      </c>
    </row>
    <row r="3935" spans="1:18" x14ac:dyDescent="0.25">
      <c r="A3935">
        <v>203934</v>
      </c>
      <c r="B3935">
        <v>54285</v>
      </c>
      <c r="C3935" t="s">
        <v>34</v>
      </c>
      <c r="D3935">
        <v>161.51</v>
      </c>
      <c r="E3935">
        <v>2110</v>
      </c>
      <c r="F3935">
        <v>2</v>
      </c>
      <c r="G3935">
        <v>2</v>
      </c>
      <c r="H3935">
        <v>0</v>
      </c>
      <c r="I3935" t="s">
        <v>19</v>
      </c>
      <c r="J3935">
        <v>1</v>
      </c>
      <c r="K3935">
        <v>46</v>
      </c>
      <c r="L3935" t="s">
        <v>24</v>
      </c>
      <c r="M3935" t="s">
        <v>35</v>
      </c>
      <c r="N3935" t="s">
        <v>30</v>
      </c>
      <c r="O3935" t="s">
        <v>36</v>
      </c>
      <c r="P3935">
        <v>7.5</v>
      </c>
      <c r="Q3935" s="2" t="b">
        <f>FALSE()</f>
        <v>0</v>
      </c>
      <c r="R3935">
        <v>0</v>
      </c>
    </row>
    <row r="3936" spans="1:18" x14ac:dyDescent="0.25">
      <c r="A3936">
        <v>203935</v>
      </c>
      <c r="B3936">
        <v>51500</v>
      </c>
      <c r="C3936" t="s">
        <v>28</v>
      </c>
      <c r="D3936">
        <v>3434.08</v>
      </c>
      <c r="E3936">
        <v>1032</v>
      </c>
      <c r="F3936">
        <v>0</v>
      </c>
      <c r="G3936">
        <v>4</v>
      </c>
      <c r="H3936">
        <v>1</v>
      </c>
      <c r="I3936" t="s">
        <v>33</v>
      </c>
      <c r="J3936">
        <v>0</v>
      </c>
      <c r="K3936">
        <v>60</v>
      </c>
      <c r="L3936" t="s">
        <v>24</v>
      </c>
      <c r="M3936" t="s">
        <v>35</v>
      </c>
      <c r="N3936" t="s">
        <v>30</v>
      </c>
      <c r="O3936" t="s">
        <v>23</v>
      </c>
      <c r="P3936">
        <v>2.69</v>
      </c>
      <c r="Q3936" s="2" t="b">
        <f>FALSE()</f>
        <v>0</v>
      </c>
      <c r="R3936">
        <v>0</v>
      </c>
    </row>
    <row r="3937" spans="1:18" x14ac:dyDescent="0.25">
      <c r="A3937">
        <v>203936</v>
      </c>
      <c r="B3937">
        <v>53385</v>
      </c>
      <c r="C3937" t="s">
        <v>18</v>
      </c>
      <c r="D3937">
        <v>1390.78</v>
      </c>
      <c r="E3937">
        <v>1178</v>
      </c>
      <c r="F3937">
        <v>0</v>
      </c>
      <c r="G3937">
        <v>7</v>
      </c>
      <c r="H3937">
        <v>0</v>
      </c>
      <c r="I3937" t="s">
        <v>33</v>
      </c>
      <c r="J3937">
        <v>0</v>
      </c>
      <c r="K3937">
        <v>67</v>
      </c>
      <c r="L3937" t="s">
        <v>20</v>
      </c>
      <c r="M3937" t="s">
        <v>31</v>
      </c>
      <c r="N3937" t="s">
        <v>30</v>
      </c>
      <c r="O3937" t="s">
        <v>36</v>
      </c>
      <c r="P3937">
        <v>3.49</v>
      </c>
      <c r="Q3937" s="2" t="b">
        <f>FALSE()</f>
        <v>0</v>
      </c>
      <c r="R3937">
        <v>1</v>
      </c>
    </row>
    <row r="3938" spans="1:18" x14ac:dyDescent="0.25">
      <c r="A3938">
        <v>203937</v>
      </c>
      <c r="B3938">
        <v>53855</v>
      </c>
      <c r="C3938" t="s">
        <v>18</v>
      </c>
      <c r="D3938">
        <v>3438.81</v>
      </c>
      <c r="E3938">
        <v>2378</v>
      </c>
      <c r="F3938">
        <v>0</v>
      </c>
      <c r="G3938">
        <v>5</v>
      </c>
      <c r="H3938">
        <v>0</v>
      </c>
      <c r="I3938" t="s">
        <v>33</v>
      </c>
      <c r="J3938">
        <v>1</v>
      </c>
      <c r="K3938">
        <v>25</v>
      </c>
      <c r="L3938" t="s">
        <v>24</v>
      </c>
      <c r="M3938" t="s">
        <v>21</v>
      </c>
      <c r="N3938" t="s">
        <v>26</v>
      </c>
      <c r="O3938" t="s">
        <v>27</v>
      </c>
      <c r="P3938">
        <v>4.68</v>
      </c>
      <c r="Q3938" s="2" t="b">
        <f>FALSE()</f>
        <v>0</v>
      </c>
      <c r="R3938">
        <v>0</v>
      </c>
    </row>
    <row r="3939" spans="1:18" x14ac:dyDescent="0.25">
      <c r="A3939">
        <v>203938</v>
      </c>
      <c r="B3939">
        <v>51057</v>
      </c>
      <c r="C3939" t="s">
        <v>34</v>
      </c>
      <c r="D3939">
        <v>2626.33</v>
      </c>
      <c r="E3939">
        <v>320</v>
      </c>
      <c r="F3939">
        <v>2</v>
      </c>
      <c r="G3939">
        <v>6</v>
      </c>
      <c r="H3939">
        <v>0</v>
      </c>
      <c r="I3939" t="s">
        <v>33</v>
      </c>
      <c r="J3939">
        <v>0</v>
      </c>
      <c r="K3939">
        <v>36</v>
      </c>
      <c r="L3939" t="s">
        <v>24</v>
      </c>
      <c r="M3939" t="s">
        <v>35</v>
      </c>
      <c r="N3939" t="s">
        <v>30</v>
      </c>
      <c r="O3939" t="s">
        <v>23</v>
      </c>
      <c r="P3939">
        <v>5.39</v>
      </c>
      <c r="Q3939" s="2" t="b">
        <f>FALSE()</f>
        <v>0</v>
      </c>
      <c r="R3939">
        <v>0</v>
      </c>
    </row>
    <row r="3940" spans="1:18" x14ac:dyDescent="0.25">
      <c r="A3940">
        <v>203939</v>
      </c>
      <c r="B3940">
        <v>52918</v>
      </c>
      <c r="C3940" t="s">
        <v>18</v>
      </c>
      <c r="D3940">
        <v>993.57</v>
      </c>
      <c r="E3940">
        <v>3180</v>
      </c>
      <c r="F3940">
        <v>0</v>
      </c>
      <c r="G3940">
        <v>3</v>
      </c>
      <c r="H3940">
        <v>0</v>
      </c>
      <c r="I3940" t="s">
        <v>33</v>
      </c>
      <c r="J3940">
        <v>1</v>
      </c>
      <c r="K3940">
        <v>33</v>
      </c>
      <c r="L3940" t="s">
        <v>20</v>
      </c>
      <c r="M3940" t="s">
        <v>35</v>
      </c>
      <c r="N3940" t="s">
        <v>22</v>
      </c>
      <c r="O3940" t="s">
        <v>36</v>
      </c>
      <c r="P3940">
        <v>10.74</v>
      </c>
      <c r="Q3940" s="2" t="b">
        <f>FALSE()</f>
        <v>0</v>
      </c>
      <c r="R3940">
        <v>0</v>
      </c>
    </row>
    <row r="3941" spans="1:18" x14ac:dyDescent="0.25">
      <c r="A3941">
        <v>203940</v>
      </c>
      <c r="B3941">
        <v>53660</v>
      </c>
      <c r="C3941" t="s">
        <v>18</v>
      </c>
      <c r="D3941">
        <v>2691.29</v>
      </c>
      <c r="E3941">
        <v>3382</v>
      </c>
      <c r="F3941">
        <v>1</v>
      </c>
      <c r="G3941">
        <v>2</v>
      </c>
      <c r="H3941">
        <v>1</v>
      </c>
      <c r="I3941" t="s">
        <v>19</v>
      </c>
      <c r="J3941">
        <v>1</v>
      </c>
      <c r="K3941">
        <v>75</v>
      </c>
      <c r="L3941" t="s">
        <v>24</v>
      </c>
      <c r="M3941" t="s">
        <v>21</v>
      </c>
      <c r="N3941" t="s">
        <v>30</v>
      </c>
      <c r="O3941" t="s">
        <v>36</v>
      </c>
      <c r="P3941">
        <v>2.41</v>
      </c>
      <c r="Q3941" s="2" t="b">
        <f>FALSE()</f>
        <v>0</v>
      </c>
      <c r="R3941">
        <v>0</v>
      </c>
    </row>
    <row r="3942" spans="1:18" x14ac:dyDescent="0.25">
      <c r="A3942">
        <v>203941</v>
      </c>
      <c r="B3942">
        <v>51318</v>
      </c>
      <c r="C3942" t="s">
        <v>18</v>
      </c>
      <c r="D3942">
        <v>2537.52</v>
      </c>
      <c r="E3942">
        <v>758</v>
      </c>
      <c r="F3942">
        <v>0</v>
      </c>
      <c r="G3942">
        <v>5</v>
      </c>
      <c r="H3942">
        <v>0</v>
      </c>
      <c r="I3942" t="s">
        <v>32</v>
      </c>
      <c r="J3942">
        <v>0</v>
      </c>
      <c r="K3942">
        <v>60</v>
      </c>
      <c r="L3942" t="s">
        <v>20</v>
      </c>
      <c r="M3942" t="s">
        <v>37</v>
      </c>
      <c r="N3942" t="s">
        <v>22</v>
      </c>
      <c r="O3942" t="s">
        <v>23</v>
      </c>
      <c r="P3942">
        <v>1.74</v>
      </c>
      <c r="Q3942" s="2" t="b">
        <f>FALSE()</f>
        <v>0</v>
      </c>
      <c r="R3942">
        <v>0</v>
      </c>
    </row>
    <row r="3943" spans="1:18" x14ac:dyDescent="0.25">
      <c r="A3943">
        <v>203942</v>
      </c>
      <c r="B3943">
        <v>50274</v>
      </c>
      <c r="C3943" t="s">
        <v>34</v>
      </c>
      <c r="D3943">
        <v>689.92</v>
      </c>
      <c r="E3943">
        <v>3130</v>
      </c>
      <c r="F3943">
        <v>0</v>
      </c>
      <c r="G3943">
        <v>3</v>
      </c>
      <c r="H3943">
        <v>1</v>
      </c>
      <c r="I3943" t="s">
        <v>19</v>
      </c>
      <c r="J3943">
        <v>0</v>
      </c>
      <c r="K3943">
        <v>42</v>
      </c>
      <c r="L3943" t="s">
        <v>20</v>
      </c>
      <c r="M3943" t="s">
        <v>29</v>
      </c>
      <c r="N3943" t="s">
        <v>22</v>
      </c>
      <c r="O3943" t="s">
        <v>23</v>
      </c>
      <c r="P3943">
        <v>2.65</v>
      </c>
      <c r="Q3943" s="2" t="b">
        <f>FALSE()</f>
        <v>0</v>
      </c>
      <c r="R3943">
        <v>0</v>
      </c>
    </row>
    <row r="3944" spans="1:18" x14ac:dyDescent="0.25">
      <c r="A3944">
        <v>203943</v>
      </c>
      <c r="B3944">
        <v>53599</v>
      </c>
      <c r="C3944" t="s">
        <v>34</v>
      </c>
      <c r="D3944">
        <v>1901.26</v>
      </c>
      <c r="E3944">
        <v>2639</v>
      </c>
      <c r="F3944">
        <v>0</v>
      </c>
      <c r="G3944">
        <v>2</v>
      </c>
      <c r="H3944">
        <v>0</v>
      </c>
      <c r="I3944" t="s">
        <v>32</v>
      </c>
      <c r="J3944">
        <v>1</v>
      </c>
      <c r="K3944">
        <v>84</v>
      </c>
      <c r="L3944" t="s">
        <v>24</v>
      </c>
      <c r="M3944" t="s">
        <v>35</v>
      </c>
      <c r="N3944" t="s">
        <v>30</v>
      </c>
      <c r="O3944" t="s">
        <v>27</v>
      </c>
      <c r="P3944">
        <v>0.3</v>
      </c>
      <c r="Q3944" s="2" t="b">
        <f>FALSE()</f>
        <v>0</v>
      </c>
      <c r="R3944">
        <v>0</v>
      </c>
    </row>
    <row r="3945" spans="1:18" x14ac:dyDescent="0.25">
      <c r="A3945">
        <v>203944</v>
      </c>
      <c r="B3945">
        <v>54193</v>
      </c>
      <c r="C3945" t="s">
        <v>34</v>
      </c>
      <c r="D3945">
        <v>5470.12</v>
      </c>
      <c r="E3945">
        <v>540</v>
      </c>
      <c r="F3945">
        <v>0</v>
      </c>
      <c r="G3945">
        <v>2</v>
      </c>
      <c r="H3945">
        <v>0</v>
      </c>
      <c r="I3945" t="s">
        <v>32</v>
      </c>
      <c r="J3945">
        <v>0</v>
      </c>
      <c r="K3945">
        <v>75</v>
      </c>
      <c r="L3945" t="s">
        <v>24</v>
      </c>
      <c r="M3945" t="s">
        <v>37</v>
      </c>
      <c r="N3945" t="s">
        <v>22</v>
      </c>
      <c r="O3945" t="s">
        <v>23</v>
      </c>
      <c r="P3945">
        <v>0.04</v>
      </c>
      <c r="Q3945" s="2" t="b">
        <f>FALSE()</f>
        <v>0</v>
      </c>
      <c r="R3945">
        <v>1</v>
      </c>
    </row>
    <row r="3946" spans="1:18" x14ac:dyDescent="0.25">
      <c r="A3946">
        <v>203945</v>
      </c>
      <c r="B3946">
        <v>52588</v>
      </c>
      <c r="C3946" t="s">
        <v>18</v>
      </c>
      <c r="D3946">
        <v>3560.19</v>
      </c>
      <c r="E3946">
        <v>3296</v>
      </c>
      <c r="F3946">
        <v>2</v>
      </c>
      <c r="G3946">
        <v>5</v>
      </c>
      <c r="H3946">
        <v>0</v>
      </c>
      <c r="I3946" t="s">
        <v>19</v>
      </c>
      <c r="J3946">
        <v>0</v>
      </c>
      <c r="K3946">
        <v>25</v>
      </c>
      <c r="L3946" t="s">
        <v>20</v>
      </c>
      <c r="M3946" t="s">
        <v>29</v>
      </c>
      <c r="N3946" t="s">
        <v>22</v>
      </c>
      <c r="O3946" t="s">
        <v>36</v>
      </c>
      <c r="P3946">
        <v>4.45</v>
      </c>
      <c r="Q3946" s="2" t="b">
        <f>FALSE()</f>
        <v>0</v>
      </c>
      <c r="R3946">
        <v>0</v>
      </c>
    </row>
    <row r="3947" spans="1:18" x14ac:dyDescent="0.25">
      <c r="A3947">
        <v>203946</v>
      </c>
      <c r="B3947">
        <v>55329</v>
      </c>
      <c r="C3947" t="s">
        <v>18</v>
      </c>
      <c r="D3947">
        <v>828.28</v>
      </c>
      <c r="E3947">
        <v>1025</v>
      </c>
      <c r="F3947">
        <v>2</v>
      </c>
      <c r="G3947">
        <v>3</v>
      </c>
      <c r="H3947">
        <v>0</v>
      </c>
      <c r="I3947" t="s">
        <v>32</v>
      </c>
      <c r="J3947">
        <v>0</v>
      </c>
      <c r="K3947">
        <v>42</v>
      </c>
      <c r="L3947" t="s">
        <v>20</v>
      </c>
      <c r="M3947" t="s">
        <v>37</v>
      </c>
      <c r="N3947" t="s">
        <v>26</v>
      </c>
      <c r="O3947" t="s">
        <v>23</v>
      </c>
      <c r="P3947">
        <v>0.59</v>
      </c>
      <c r="Q3947" s="2" t="b">
        <f>FALSE()</f>
        <v>0</v>
      </c>
      <c r="R3947">
        <v>0</v>
      </c>
    </row>
    <row r="3948" spans="1:18" x14ac:dyDescent="0.25">
      <c r="A3948">
        <v>203947</v>
      </c>
      <c r="B3948">
        <v>55907</v>
      </c>
      <c r="C3948" t="s">
        <v>18</v>
      </c>
      <c r="D3948">
        <v>2428</v>
      </c>
      <c r="E3948">
        <v>2167</v>
      </c>
      <c r="F3948">
        <v>3</v>
      </c>
      <c r="G3948">
        <v>4</v>
      </c>
      <c r="H3948">
        <v>1</v>
      </c>
      <c r="I3948" t="s">
        <v>33</v>
      </c>
      <c r="J3948">
        <v>0</v>
      </c>
      <c r="K3948">
        <v>39</v>
      </c>
      <c r="L3948" t="s">
        <v>20</v>
      </c>
      <c r="M3948" t="s">
        <v>29</v>
      </c>
      <c r="N3948" t="s">
        <v>30</v>
      </c>
      <c r="O3948" t="s">
        <v>36</v>
      </c>
      <c r="P3948">
        <v>5.66</v>
      </c>
      <c r="Q3948" s="2" t="b">
        <f>FALSE()</f>
        <v>0</v>
      </c>
      <c r="R3948">
        <v>1</v>
      </c>
    </row>
    <row r="3949" spans="1:18" x14ac:dyDescent="0.25">
      <c r="A3949">
        <v>203948</v>
      </c>
      <c r="B3949">
        <v>51127</v>
      </c>
      <c r="C3949" t="s">
        <v>18</v>
      </c>
      <c r="D3949">
        <v>7335.23</v>
      </c>
      <c r="E3949">
        <v>141</v>
      </c>
      <c r="F3949">
        <v>1</v>
      </c>
      <c r="G3949">
        <v>2</v>
      </c>
      <c r="H3949">
        <v>0</v>
      </c>
      <c r="I3949" t="s">
        <v>33</v>
      </c>
      <c r="J3949">
        <v>0</v>
      </c>
      <c r="K3949">
        <v>61</v>
      </c>
      <c r="L3949" t="s">
        <v>24</v>
      </c>
      <c r="M3949" t="s">
        <v>21</v>
      </c>
      <c r="N3949" t="s">
        <v>22</v>
      </c>
      <c r="O3949" t="s">
        <v>36</v>
      </c>
      <c r="P3949">
        <v>2.46</v>
      </c>
      <c r="Q3949" s="2" t="b">
        <f>TRUE()</f>
        <v>1</v>
      </c>
      <c r="R3949">
        <v>1</v>
      </c>
    </row>
    <row r="3950" spans="1:18" x14ac:dyDescent="0.25">
      <c r="A3950">
        <v>203949</v>
      </c>
      <c r="B3950">
        <v>50721</v>
      </c>
      <c r="C3950" t="s">
        <v>28</v>
      </c>
      <c r="D3950">
        <v>967.09</v>
      </c>
      <c r="E3950">
        <v>897</v>
      </c>
      <c r="F3950">
        <v>2</v>
      </c>
      <c r="G3950">
        <v>1</v>
      </c>
      <c r="H3950">
        <v>0</v>
      </c>
      <c r="I3950" t="s">
        <v>19</v>
      </c>
      <c r="J3950">
        <v>1</v>
      </c>
      <c r="K3950">
        <v>53</v>
      </c>
      <c r="L3950" t="s">
        <v>20</v>
      </c>
      <c r="M3950" t="s">
        <v>25</v>
      </c>
      <c r="N3950" t="s">
        <v>30</v>
      </c>
      <c r="O3950" t="s">
        <v>27</v>
      </c>
      <c r="P3950">
        <v>0.49</v>
      </c>
      <c r="Q3950" s="2" t="b">
        <f>FALSE()</f>
        <v>0</v>
      </c>
      <c r="R3950">
        <v>0</v>
      </c>
    </row>
    <row r="3951" spans="1:18" x14ac:dyDescent="0.25">
      <c r="A3951">
        <v>203950</v>
      </c>
      <c r="B3951">
        <v>53272</v>
      </c>
      <c r="C3951" t="s">
        <v>34</v>
      </c>
      <c r="D3951">
        <v>4386.24</v>
      </c>
      <c r="E3951">
        <v>2168</v>
      </c>
      <c r="F3951">
        <v>0</v>
      </c>
      <c r="G3951">
        <v>2</v>
      </c>
      <c r="H3951">
        <v>1</v>
      </c>
      <c r="I3951" t="s">
        <v>33</v>
      </c>
      <c r="J3951">
        <v>0</v>
      </c>
      <c r="K3951">
        <v>62</v>
      </c>
      <c r="L3951" t="s">
        <v>24</v>
      </c>
      <c r="M3951" t="s">
        <v>29</v>
      </c>
      <c r="N3951" t="s">
        <v>22</v>
      </c>
      <c r="O3951" t="s">
        <v>27</v>
      </c>
      <c r="P3951">
        <v>6.56</v>
      </c>
      <c r="Q3951" s="2" t="b">
        <f>FALSE()</f>
        <v>0</v>
      </c>
      <c r="R3951">
        <v>1</v>
      </c>
    </row>
    <row r="3952" spans="1:18" x14ac:dyDescent="0.25">
      <c r="A3952">
        <v>203951</v>
      </c>
      <c r="B3952">
        <v>53370</v>
      </c>
      <c r="C3952" t="s">
        <v>18</v>
      </c>
      <c r="D3952">
        <v>8541.5</v>
      </c>
      <c r="E3952">
        <v>3378</v>
      </c>
      <c r="F3952">
        <v>1</v>
      </c>
      <c r="G3952">
        <v>6</v>
      </c>
      <c r="H3952">
        <v>1</v>
      </c>
      <c r="I3952" t="s">
        <v>33</v>
      </c>
      <c r="J3952">
        <v>0</v>
      </c>
      <c r="K3952">
        <v>63</v>
      </c>
      <c r="L3952" t="s">
        <v>20</v>
      </c>
      <c r="M3952" t="s">
        <v>35</v>
      </c>
      <c r="N3952" t="s">
        <v>30</v>
      </c>
      <c r="O3952" t="s">
        <v>23</v>
      </c>
      <c r="P3952">
        <v>0.33</v>
      </c>
      <c r="Q3952" s="2" t="b">
        <f>TRUE()</f>
        <v>1</v>
      </c>
      <c r="R3952">
        <v>1</v>
      </c>
    </row>
    <row r="3953" spans="1:18" x14ac:dyDescent="0.25">
      <c r="A3953">
        <v>203952</v>
      </c>
      <c r="B3953">
        <v>51875</v>
      </c>
      <c r="C3953" t="s">
        <v>34</v>
      </c>
      <c r="D3953">
        <v>3295.97</v>
      </c>
      <c r="E3953">
        <v>299</v>
      </c>
      <c r="F3953">
        <v>1</v>
      </c>
      <c r="G3953">
        <v>2</v>
      </c>
      <c r="H3953">
        <v>0</v>
      </c>
      <c r="I3953" t="s">
        <v>19</v>
      </c>
      <c r="J3953">
        <v>0</v>
      </c>
      <c r="K3953">
        <v>43</v>
      </c>
      <c r="L3953" t="s">
        <v>24</v>
      </c>
      <c r="M3953" t="s">
        <v>25</v>
      </c>
      <c r="N3953" t="s">
        <v>30</v>
      </c>
      <c r="O3953" t="s">
        <v>23</v>
      </c>
      <c r="P3953">
        <v>8.18</v>
      </c>
      <c r="Q3953" s="2" t="b">
        <f>FALSE()</f>
        <v>0</v>
      </c>
      <c r="R3953">
        <v>0</v>
      </c>
    </row>
    <row r="3954" spans="1:18" x14ac:dyDescent="0.25">
      <c r="A3954">
        <v>203953</v>
      </c>
      <c r="B3954">
        <v>52637</v>
      </c>
      <c r="C3954" t="s">
        <v>18</v>
      </c>
      <c r="D3954">
        <v>3855.29</v>
      </c>
      <c r="E3954">
        <v>3591</v>
      </c>
      <c r="F3954">
        <v>1</v>
      </c>
      <c r="G3954">
        <v>5</v>
      </c>
      <c r="H3954">
        <v>0</v>
      </c>
      <c r="I3954" t="s">
        <v>33</v>
      </c>
      <c r="J3954">
        <v>0</v>
      </c>
      <c r="K3954">
        <v>44</v>
      </c>
      <c r="L3954" t="s">
        <v>20</v>
      </c>
      <c r="M3954" t="s">
        <v>21</v>
      </c>
      <c r="N3954" t="s">
        <v>26</v>
      </c>
      <c r="O3954" t="s">
        <v>27</v>
      </c>
      <c r="P3954">
        <v>0.28999999999999998</v>
      </c>
      <c r="Q3954" s="2" t="b">
        <f>FALSE()</f>
        <v>0</v>
      </c>
      <c r="R3954">
        <v>1</v>
      </c>
    </row>
    <row r="3955" spans="1:18" x14ac:dyDescent="0.25">
      <c r="A3955">
        <v>203954</v>
      </c>
      <c r="B3955">
        <v>50516</v>
      </c>
      <c r="C3955" t="s">
        <v>28</v>
      </c>
      <c r="D3955">
        <v>2178.48</v>
      </c>
      <c r="E3955">
        <v>787</v>
      </c>
      <c r="F3955">
        <v>1</v>
      </c>
      <c r="G3955">
        <v>1</v>
      </c>
      <c r="H3955">
        <v>0</v>
      </c>
      <c r="I3955" t="s">
        <v>32</v>
      </c>
      <c r="J3955">
        <v>1</v>
      </c>
      <c r="K3955">
        <v>66</v>
      </c>
      <c r="L3955" t="s">
        <v>24</v>
      </c>
      <c r="M3955" t="s">
        <v>21</v>
      </c>
      <c r="N3955" t="s">
        <v>30</v>
      </c>
      <c r="O3955" t="s">
        <v>27</v>
      </c>
      <c r="P3955">
        <v>1.45</v>
      </c>
      <c r="Q3955" s="2" t="b">
        <f>FALSE()</f>
        <v>0</v>
      </c>
      <c r="R3955">
        <v>0</v>
      </c>
    </row>
    <row r="3956" spans="1:18" x14ac:dyDescent="0.25">
      <c r="A3956">
        <v>203955</v>
      </c>
      <c r="B3956">
        <v>50596</v>
      </c>
      <c r="C3956" t="s">
        <v>18</v>
      </c>
      <c r="D3956">
        <v>4212.8</v>
      </c>
      <c r="E3956">
        <v>707</v>
      </c>
      <c r="F3956">
        <v>2</v>
      </c>
      <c r="G3956">
        <v>3</v>
      </c>
      <c r="H3956">
        <v>0</v>
      </c>
      <c r="I3956" t="s">
        <v>19</v>
      </c>
      <c r="J3956">
        <v>0</v>
      </c>
      <c r="K3956">
        <v>73</v>
      </c>
      <c r="L3956" t="s">
        <v>24</v>
      </c>
      <c r="M3956" t="s">
        <v>35</v>
      </c>
      <c r="N3956" t="s">
        <v>30</v>
      </c>
      <c r="O3956" t="s">
        <v>27</v>
      </c>
      <c r="P3956">
        <v>1.58</v>
      </c>
      <c r="Q3956" s="2" t="b">
        <f>FALSE()</f>
        <v>0</v>
      </c>
      <c r="R3956">
        <v>1</v>
      </c>
    </row>
    <row r="3957" spans="1:18" x14ac:dyDescent="0.25">
      <c r="A3957">
        <v>203956</v>
      </c>
      <c r="B3957">
        <v>54104</v>
      </c>
      <c r="C3957" t="s">
        <v>28</v>
      </c>
      <c r="D3957">
        <v>2134.46</v>
      </c>
      <c r="E3957">
        <v>1192</v>
      </c>
      <c r="F3957">
        <v>1</v>
      </c>
      <c r="G3957">
        <v>4</v>
      </c>
      <c r="H3957">
        <v>0</v>
      </c>
      <c r="I3957" t="s">
        <v>19</v>
      </c>
      <c r="J3957">
        <v>0</v>
      </c>
      <c r="K3957">
        <v>37</v>
      </c>
      <c r="L3957" t="s">
        <v>20</v>
      </c>
      <c r="M3957" t="s">
        <v>31</v>
      </c>
      <c r="N3957" t="s">
        <v>22</v>
      </c>
      <c r="O3957" t="s">
        <v>23</v>
      </c>
      <c r="P3957">
        <v>3.52</v>
      </c>
      <c r="Q3957" s="2" t="b">
        <f>FALSE()</f>
        <v>0</v>
      </c>
      <c r="R3957">
        <v>0</v>
      </c>
    </row>
    <row r="3958" spans="1:18" x14ac:dyDescent="0.25">
      <c r="A3958">
        <v>203957</v>
      </c>
      <c r="B3958">
        <v>52837</v>
      </c>
      <c r="C3958" t="s">
        <v>18</v>
      </c>
      <c r="D3958">
        <v>886.13</v>
      </c>
      <c r="E3958">
        <v>2850</v>
      </c>
      <c r="F3958">
        <v>0</v>
      </c>
      <c r="G3958">
        <v>2</v>
      </c>
      <c r="H3958">
        <v>0</v>
      </c>
      <c r="I3958" t="s">
        <v>32</v>
      </c>
      <c r="J3958">
        <v>0</v>
      </c>
      <c r="K3958">
        <v>75</v>
      </c>
      <c r="L3958" t="s">
        <v>20</v>
      </c>
      <c r="M3958" t="s">
        <v>37</v>
      </c>
      <c r="N3958" t="s">
        <v>22</v>
      </c>
      <c r="O3958" t="s">
        <v>27</v>
      </c>
      <c r="P3958">
        <v>2.2400000000000002</v>
      </c>
      <c r="Q3958" s="2" t="b">
        <f>FALSE()</f>
        <v>0</v>
      </c>
      <c r="R3958">
        <v>0</v>
      </c>
    </row>
    <row r="3959" spans="1:18" x14ac:dyDescent="0.25">
      <c r="A3959">
        <v>203958</v>
      </c>
      <c r="B3959">
        <v>53286</v>
      </c>
      <c r="C3959" t="s">
        <v>18</v>
      </c>
      <c r="D3959">
        <v>4214.25</v>
      </c>
      <c r="E3959">
        <v>1096</v>
      </c>
      <c r="F3959">
        <v>1</v>
      </c>
      <c r="G3959">
        <v>4</v>
      </c>
      <c r="H3959">
        <v>0</v>
      </c>
      <c r="I3959" t="s">
        <v>33</v>
      </c>
      <c r="J3959">
        <v>0</v>
      </c>
      <c r="K3959">
        <v>76</v>
      </c>
      <c r="L3959" t="s">
        <v>20</v>
      </c>
      <c r="M3959" t="s">
        <v>35</v>
      </c>
      <c r="N3959" t="s">
        <v>26</v>
      </c>
      <c r="O3959" t="s">
        <v>36</v>
      </c>
      <c r="P3959">
        <v>1</v>
      </c>
      <c r="Q3959" s="2" t="b">
        <f>FALSE()</f>
        <v>0</v>
      </c>
      <c r="R3959">
        <v>1</v>
      </c>
    </row>
    <row r="3960" spans="1:18" x14ac:dyDescent="0.25">
      <c r="A3960">
        <v>203959</v>
      </c>
      <c r="B3960">
        <v>51326</v>
      </c>
      <c r="C3960" t="s">
        <v>28</v>
      </c>
      <c r="D3960">
        <v>1198.04</v>
      </c>
      <c r="E3960">
        <v>650</v>
      </c>
      <c r="F3960">
        <v>2</v>
      </c>
      <c r="G3960">
        <v>3</v>
      </c>
      <c r="H3960">
        <v>0</v>
      </c>
      <c r="I3960" t="s">
        <v>33</v>
      </c>
      <c r="J3960">
        <v>1</v>
      </c>
      <c r="K3960">
        <v>81</v>
      </c>
      <c r="L3960" t="s">
        <v>24</v>
      </c>
      <c r="M3960" t="s">
        <v>29</v>
      </c>
      <c r="N3960" t="s">
        <v>30</v>
      </c>
      <c r="O3960" t="s">
        <v>27</v>
      </c>
      <c r="P3960">
        <v>2.4500000000000002</v>
      </c>
      <c r="Q3960" s="2" t="b">
        <f>FALSE()</f>
        <v>0</v>
      </c>
      <c r="R3960">
        <v>0</v>
      </c>
    </row>
    <row r="3961" spans="1:18" x14ac:dyDescent="0.25">
      <c r="A3961">
        <v>203960</v>
      </c>
      <c r="B3961">
        <v>50908</v>
      </c>
      <c r="C3961" t="s">
        <v>18</v>
      </c>
      <c r="D3961">
        <v>4035.78</v>
      </c>
      <c r="E3961">
        <v>2104</v>
      </c>
      <c r="F3961">
        <v>0</v>
      </c>
      <c r="G3961">
        <v>5</v>
      </c>
      <c r="H3961">
        <v>0</v>
      </c>
      <c r="I3961" t="s">
        <v>33</v>
      </c>
      <c r="J3961">
        <v>0</v>
      </c>
      <c r="K3961">
        <v>45</v>
      </c>
      <c r="L3961" t="s">
        <v>20</v>
      </c>
      <c r="M3961" t="s">
        <v>37</v>
      </c>
      <c r="N3961" t="s">
        <v>22</v>
      </c>
      <c r="O3961" t="s">
        <v>23</v>
      </c>
      <c r="P3961">
        <v>2.3199999999999998</v>
      </c>
      <c r="Q3961" s="2" t="b">
        <f>FALSE()</f>
        <v>0</v>
      </c>
      <c r="R3961">
        <v>1</v>
      </c>
    </row>
    <row r="3962" spans="1:18" x14ac:dyDescent="0.25">
      <c r="A3962">
        <v>203961</v>
      </c>
      <c r="B3962">
        <v>52200</v>
      </c>
      <c r="C3962" t="s">
        <v>18</v>
      </c>
      <c r="D3962">
        <v>1951.69</v>
      </c>
      <c r="E3962">
        <v>173</v>
      </c>
      <c r="F3962">
        <v>1</v>
      </c>
      <c r="G3962">
        <v>3</v>
      </c>
      <c r="H3962">
        <v>0</v>
      </c>
      <c r="I3962" t="s">
        <v>33</v>
      </c>
      <c r="J3962">
        <v>0</v>
      </c>
      <c r="K3962">
        <v>71</v>
      </c>
      <c r="L3962" t="s">
        <v>20</v>
      </c>
      <c r="M3962" t="s">
        <v>37</v>
      </c>
      <c r="N3962" t="s">
        <v>22</v>
      </c>
      <c r="O3962" t="s">
        <v>36</v>
      </c>
      <c r="P3962">
        <v>0.49</v>
      </c>
      <c r="Q3962" s="2" t="b">
        <f>FALSE()</f>
        <v>0</v>
      </c>
      <c r="R3962">
        <v>0</v>
      </c>
    </row>
    <row r="3963" spans="1:18" x14ac:dyDescent="0.25">
      <c r="A3963">
        <v>203962</v>
      </c>
      <c r="B3963">
        <v>53902</v>
      </c>
      <c r="C3963" t="s">
        <v>34</v>
      </c>
      <c r="D3963">
        <v>1032.42</v>
      </c>
      <c r="E3963">
        <v>1947</v>
      </c>
      <c r="F3963">
        <v>0</v>
      </c>
      <c r="G3963">
        <v>4</v>
      </c>
      <c r="H3963">
        <v>0</v>
      </c>
      <c r="I3963" t="s">
        <v>19</v>
      </c>
      <c r="J3963">
        <v>0</v>
      </c>
      <c r="K3963">
        <v>52</v>
      </c>
      <c r="L3963" t="s">
        <v>24</v>
      </c>
      <c r="M3963" t="s">
        <v>37</v>
      </c>
      <c r="N3963" t="s">
        <v>26</v>
      </c>
      <c r="O3963" t="s">
        <v>23</v>
      </c>
      <c r="P3963">
        <v>0.69</v>
      </c>
      <c r="Q3963" s="2" t="b">
        <f>FALSE()</f>
        <v>0</v>
      </c>
      <c r="R3963">
        <v>0</v>
      </c>
    </row>
    <row r="3964" spans="1:18" x14ac:dyDescent="0.25">
      <c r="A3964">
        <v>203963</v>
      </c>
      <c r="B3964">
        <v>53123</v>
      </c>
      <c r="C3964" t="s">
        <v>34</v>
      </c>
      <c r="D3964">
        <v>2700.27</v>
      </c>
      <c r="E3964">
        <v>2635</v>
      </c>
      <c r="F3964">
        <v>2</v>
      </c>
      <c r="G3964">
        <v>4</v>
      </c>
      <c r="H3964">
        <v>0</v>
      </c>
      <c r="I3964" t="s">
        <v>19</v>
      </c>
      <c r="J3964">
        <v>0</v>
      </c>
      <c r="K3964">
        <v>52</v>
      </c>
      <c r="L3964" t="s">
        <v>20</v>
      </c>
      <c r="M3964" t="s">
        <v>29</v>
      </c>
      <c r="N3964" t="s">
        <v>22</v>
      </c>
      <c r="O3964" t="s">
        <v>36</v>
      </c>
      <c r="P3964">
        <v>2.48</v>
      </c>
      <c r="Q3964" s="2" t="b">
        <f>FALSE()</f>
        <v>0</v>
      </c>
      <c r="R3964">
        <v>0</v>
      </c>
    </row>
    <row r="3965" spans="1:18" x14ac:dyDescent="0.25">
      <c r="A3965">
        <v>203964</v>
      </c>
      <c r="B3965">
        <v>55589</v>
      </c>
      <c r="C3965" t="s">
        <v>18</v>
      </c>
      <c r="D3965">
        <v>5517.06</v>
      </c>
      <c r="E3965">
        <v>837</v>
      </c>
      <c r="F3965">
        <v>1</v>
      </c>
      <c r="G3965">
        <v>0</v>
      </c>
      <c r="H3965">
        <v>1</v>
      </c>
      <c r="I3965" t="s">
        <v>19</v>
      </c>
      <c r="J3965">
        <v>0</v>
      </c>
      <c r="K3965">
        <v>80</v>
      </c>
      <c r="L3965" t="s">
        <v>24</v>
      </c>
      <c r="M3965" t="s">
        <v>37</v>
      </c>
      <c r="N3965" t="s">
        <v>22</v>
      </c>
      <c r="O3965" t="s">
        <v>36</v>
      </c>
      <c r="P3965">
        <v>1.83</v>
      </c>
      <c r="Q3965" s="2" t="b">
        <f>FALSE()</f>
        <v>0</v>
      </c>
      <c r="R3965">
        <v>1</v>
      </c>
    </row>
    <row r="3966" spans="1:18" x14ac:dyDescent="0.25">
      <c r="A3966">
        <v>203965</v>
      </c>
      <c r="B3966">
        <v>51043</v>
      </c>
      <c r="C3966" t="s">
        <v>28</v>
      </c>
      <c r="D3966">
        <v>2095.92</v>
      </c>
      <c r="E3966">
        <v>1573</v>
      </c>
      <c r="F3966">
        <v>1</v>
      </c>
      <c r="G3966">
        <v>6</v>
      </c>
      <c r="H3966">
        <v>0</v>
      </c>
      <c r="I3966" t="s">
        <v>33</v>
      </c>
      <c r="J3966">
        <v>0</v>
      </c>
      <c r="K3966">
        <v>59</v>
      </c>
      <c r="L3966" t="s">
        <v>24</v>
      </c>
      <c r="M3966" t="s">
        <v>31</v>
      </c>
      <c r="N3966" t="s">
        <v>22</v>
      </c>
      <c r="O3966" t="s">
        <v>23</v>
      </c>
      <c r="P3966">
        <v>1.98</v>
      </c>
      <c r="Q3966" s="2" t="b">
        <f>FALSE()</f>
        <v>0</v>
      </c>
      <c r="R3966">
        <v>0</v>
      </c>
    </row>
    <row r="3967" spans="1:18" x14ac:dyDescent="0.25">
      <c r="A3967">
        <v>203966</v>
      </c>
      <c r="B3967">
        <v>50167</v>
      </c>
      <c r="C3967" t="s">
        <v>34</v>
      </c>
      <c r="D3967">
        <v>1026.6400000000001</v>
      </c>
      <c r="E3967">
        <v>14</v>
      </c>
      <c r="F3967">
        <v>1</v>
      </c>
      <c r="G3967">
        <v>1</v>
      </c>
      <c r="H3967">
        <v>1</v>
      </c>
      <c r="I3967" t="s">
        <v>33</v>
      </c>
      <c r="J3967">
        <v>0</v>
      </c>
      <c r="K3967">
        <v>33</v>
      </c>
      <c r="L3967" t="s">
        <v>24</v>
      </c>
      <c r="M3967" t="s">
        <v>25</v>
      </c>
      <c r="N3967" t="s">
        <v>22</v>
      </c>
      <c r="O3967" t="s">
        <v>23</v>
      </c>
      <c r="P3967">
        <v>1.88</v>
      </c>
      <c r="Q3967" s="2" t="b">
        <f>FALSE()</f>
        <v>0</v>
      </c>
      <c r="R3967">
        <v>0</v>
      </c>
    </row>
    <row r="3968" spans="1:18" x14ac:dyDescent="0.25">
      <c r="A3968">
        <v>203967</v>
      </c>
      <c r="B3968">
        <v>54561</v>
      </c>
      <c r="C3968" t="s">
        <v>18</v>
      </c>
      <c r="D3968">
        <v>489.19</v>
      </c>
      <c r="E3968">
        <v>2789</v>
      </c>
      <c r="F3968">
        <v>1</v>
      </c>
      <c r="G3968">
        <v>5</v>
      </c>
      <c r="H3968">
        <v>1</v>
      </c>
      <c r="I3968" t="s">
        <v>19</v>
      </c>
      <c r="J3968">
        <v>0</v>
      </c>
      <c r="K3968">
        <v>30</v>
      </c>
      <c r="L3968" t="s">
        <v>20</v>
      </c>
      <c r="M3968" t="s">
        <v>25</v>
      </c>
      <c r="N3968" t="s">
        <v>30</v>
      </c>
      <c r="O3968" t="s">
        <v>36</v>
      </c>
      <c r="P3968">
        <v>2.41</v>
      </c>
      <c r="Q3968" s="2" t="b">
        <f>FALSE()</f>
        <v>0</v>
      </c>
      <c r="R3968">
        <v>0</v>
      </c>
    </row>
    <row r="3969" spans="1:18" x14ac:dyDescent="0.25">
      <c r="A3969">
        <v>203968</v>
      </c>
      <c r="B3969">
        <v>50099</v>
      </c>
      <c r="C3969" t="s">
        <v>18</v>
      </c>
      <c r="D3969">
        <v>1025.58</v>
      </c>
      <c r="E3969">
        <v>3047</v>
      </c>
      <c r="F3969">
        <v>1</v>
      </c>
      <c r="G3969">
        <v>4</v>
      </c>
      <c r="H3969">
        <v>0</v>
      </c>
      <c r="I3969" t="s">
        <v>33</v>
      </c>
      <c r="J3969">
        <v>0</v>
      </c>
      <c r="K3969">
        <v>51</v>
      </c>
      <c r="L3969" t="s">
        <v>24</v>
      </c>
      <c r="M3969" t="s">
        <v>37</v>
      </c>
      <c r="N3969" t="s">
        <v>22</v>
      </c>
      <c r="O3969" t="s">
        <v>27</v>
      </c>
      <c r="P3969">
        <v>18.13</v>
      </c>
      <c r="Q3969" s="2" t="b">
        <f>FALSE()</f>
        <v>0</v>
      </c>
      <c r="R3969">
        <v>0</v>
      </c>
    </row>
    <row r="3970" spans="1:18" x14ac:dyDescent="0.25">
      <c r="A3970">
        <v>203969</v>
      </c>
      <c r="B3970">
        <v>53558</v>
      </c>
      <c r="C3970" t="s">
        <v>34</v>
      </c>
      <c r="D3970">
        <v>3651.34</v>
      </c>
      <c r="E3970">
        <v>2160</v>
      </c>
      <c r="F3970">
        <v>3</v>
      </c>
      <c r="G3970">
        <v>2</v>
      </c>
      <c r="H3970">
        <v>0</v>
      </c>
      <c r="I3970" t="s">
        <v>32</v>
      </c>
      <c r="J3970">
        <v>0</v>
      </c>
      <c r="K3970">
        <v>77</v>
      </c>
      <c r="L3970" t="s">
        <v>20</v>
      </c>
      <c r="M3970" t="s">
        <v>37</v>
      </c>
      <c r="N3970" t="s">
        <v>30</v>
      </c>
      <c r="O3970" t="s">
        <v>36</v>
      </c>
      <c r="P3970">
        <v>3.61</v>
      </c>
      <c r="Q3970" s="2" t="b">
        <f>FALSE()</f>
        <v>0</v>
      </c>
      <c r="R3970">
        <v>1</v>
      </c>
    </row>
    <row r="3971" spans="1:18" x14ac:dyDescent="0.25">
      <c r="A3971">
        <v>203970</v>
      </c>
      <c r="B3971">
        <v>53657</v>
      </c>
      <c r="C3971" t="s">
        <v>18</v>
      </c>
      <c r="D3971">
        <v>2057.65</v>
      </c>
      <c r="E3971">
        <v>3184</v>
      </c>
      <c r="F3971">
        <v>0</v>
      </c>
      <c r="G3971">
        <v>6</v>
      </c>
      <c r="H3971">
        <v>0</v>
      </c>
      <c r="I3971" t="s">
        <v>19</v>
      </c>
      <c r="J3971">
        <v>1</v>
      </c>
      <c r="K3971">
        <v>77</v>
      </c>
      <c r="L3971" t="s">
        <v>20</v>
      </c>
      <c r="M3971" t="s">
        <v>35</v>
      </c>
      <c r="N3971" t="s">
        <v>26</v>
      </c>
      <c r="O3971" t="s">
        <v>27</v>
      </c>
      <c r="P3971">
        <v>6.13</v>
      </c>
      <c r="Q3971" s="2" t="b">
        <f>FALSE()</f>
        <v>0</v>
      </c>
      <c r="R3971">
        <v>0</v>
      </c>
    </row>
    <row r="3972" spans="1:18" x14ac:dyDescent="0.25">
      <c r="A3972">
        <v>203971</v>
      </c>
      <c r="B3972">
        <v>53318</v>
      </c>
      <c r="C3972" t="s">
        <v>18</v>
      </c>
      <c r="D3972">
        <v>3176.45</v>
      </c>
      <c r="E3972">
        <v>2602</v>
      </c>
      <c r="F3972">
        <v>4</v>
      </c>
      <c r="G3972">
        <v>3</v>
      </c>
      <c r="H3972">
        <v>1</v>
      </c>
      <c r="I3972" t="s">
        <v>33</v>
      </c>
      <c r="J3972">
        <v>0</v>
      </c>
      <c r="K3972">
        <v>30</v>
      </c>
      <c r="L3972" t="s">
        <v>24</v>
      </c>
      <c r="M3972" t="s">
        <v>25</v>
      </c>
      <c r="N3972" t="s">
        <v>22</v>
      </c>
      <c r="O3972" t="s">
        <v>36</v>
      </c>
      <c r="P3972">
        <v>4.12</v>
      </c>
      <c r="Q3972" s="2" t="b">
        <f>FALSE()</f>
        <v>0</v>
      </c>
      <c r="R3972">
        <v>1</v>
      </c>
    </row>
    <row r="3973" spans="1:18" x14ac:dyDescent="0.25">
      <c r="A3973">
        <v>203972</v>
      </c>
      <c r="B3973">
        <v>55572</v>
      </c>
      <c r="C3973" t="s">
        <v>18</v>
      </c>
      <c r="D3973">
        <v>934.68</v>
      </c>
      <c r="E3973">
        <v>3072</v>
      </c>
      <c r="F3973">
        <v>0</v>
      </c>
      <c r="G3973">
        <v>6</v>
      </c>
      <c r="H3973">
        <v>0</v>
      </c>
      <c r="I3973" t="s">
        <v>19</v>
      </c>
      <c r="J3973">
        <v>0</v>
      </c>
      <c r="K3973">
        <v>21</v>
      </c>
      <c r="L3973" t="s">
        <v>20</v>
      </c>
      <c r="M3973" t="s">
        <v>31</v>
      </c>
      <c r="N3973" t="s">
        <v>22</v>
      </c>
      <c r="O3973" t="s">
        <v>27</v>
      </c>
      <c r="P3973">
        <v>7.05</v>
      </c>
      <c r="Q3973" s="2" t="b">
        <f>FALSE()</f>
        <v>0</v>
      </c>
      <c r="R3973">
        <v>0</v>
      </c>
    </row>
    <row r="3974" spans="1:18" x14ac:dyDescent="0.25">
      <c r="A3974">
        <v>203973</v>
      </c>
      <c r="B3974">
        <v>55813</v>
      </c>
      <c r="C3974" t="s">
        <v>34</v>
      </c>
      <c r="D3974">
        <v>1717.64</v>
      </c>
      <c r="E3974">
        <v>108</v>
      </c>
      <c r="F3974">
        <v>0</v>
      </c>
      <c r="G3974">
        <v>4</v>
      </c>
      <c r="H3974">
        <v>0</v>
      </c>
      <c r="I3974" t="s">
        <v>33</v>
      </c>
      <c r="J3974">
        <v>0</v>
      </c>
      <c r="K3974">
        <v>39</v>
      </c>
      <c r="L3974" t="s">
        <v>24</v>
      </c>
      <c r="M3974" t="s">
        <v>29</v>
      </c>
      <c r="N3974" t="s">
        <v>22</v>
      </c>
      <c r="O3974" t="s">
        <v>36</v>
      </c>
      <c r="P3974">
        <v>1.01</v>
      </c>
      <c r="Q3974" s="2" t="b">
        <f>FALSE()</f>
        <v>0</v>
      </c>
      <c r="R3974">
        <v>0</v>
      </c>
    </row>
    <row r="3975" spans="1:18" x14ac:dyDescent="0.25">
      <c r="A3975">
        <v>203974</v>
      </c>
      <c r="B3975">
        <v>51771</v>
      </c>
      <c r="C3975" t="s">
        <v>34</v>
      </c>
      <c r="D3975">
        <v>705.69</v>
      </c>
      <c r="E3975">
        <v>1588</v>
      </c>
      <c r="F3975">
        <v>0</v>
      </c>
      <c r="G3975">
        <v>2</v>
      </c>
      <c r="H3975">
        <v>1</v>
      </c>
      <c r="I3975" t="s">
        <v>32</v>
      </c>
      <c r="J3975">
        <v>0</v>
      </c>
      <c r="K3975">
        <v>74</v>
      </c>
      <c r="L3975" t="s">
        <v>24</v>
      </c>
      <c r="M3975" t="s">
        <v>37</v>
      </c>
      <c r="N3975" t="s">
        <v>30</v>
      </c>
      <c r="O3975" t="s">
        <v>27</v>
      </c>
      <c r="P3975">
        <v>3.34</v>
      </c>
      <c r="Q3975" s="2" t="b">
        <f>FALSE()</f>
        <v>0</v>
      </c>
      <c r="R3975">
        <v>0</v>
      </c>
    </row>
    <row r="3976" spans="1:18" x14ac:dyDescent="0.25">
      <c r="A3976">
        <v>203975</v>
      </c>
      <c r="B3976">
        <v>50836</v>
      </c>
      <c r="C3976" t="s">
        <v>28</v>
      </c>
      <c r="D3976">
        <v>751.32</v>
      </c>
      <c r="E3976">
        <v>351</v>
      </c>
      <c r="F3976">
        <v>0</v>
      </c>
      <c r="G3976">
        <v>4</v>
      </c>
      <c r="H3976">
        <v>0</v>
      </c>
      <c r="I3976" t="s">
        <v>19</v>
      </c>
      <c r="J3976">
        <v>0</v>
      </c>
      <c r="K3976">
        <v>60</v>
      </c>
      <c r="L3976" t="s">
        <v>24</v>
      </c>
      <c r="M3976" t="s">
        <v>35</v>
      </c>
      <c r="N3976" t="s">
        <v>22</v>
      </c>
      <c r="O3976" t="s">
        <v>36</v>
      </c>
      <c r="P3976">
        <v>0.68</v>
      </c>
      <c r="Q3976" s="2" t="b">
        <f>FALSE()</f>
        <v>0</v>
      </c>
      <c r="R3976">
        <v>0</v>
      </c>
    </row>
    <row r="3977" spans="1:18" x14ac:dyDescent="0.25">
      <c r="A3977">
        <v>203976</v>
      </c>
      <c r="B3977">
        <v>52068</v>
      </c>
      <c r="C3977" t="s">
        <v>18</v>
      </c>
      <c r="D3977">
        <v>758.34</v>
      </c>
      <c r="E3977">
        <v>3315</v>
      </c>
      <c r="F3977">
        <v>0</v>
      </c>
      <c r="G3977">
        <v>4</v>
      </c>
      <c r="H3977">
        <v>1</v>
      </c>
      <c r="I3977" t="s">
        <v>33</v>
      </c>
      <c r="J3977">
        <v>0</v>
      </c>
      <c r="K3977">
        <v>59</v>
      </c>
      <c r="L3977" t="s">
        <v>24</v>
      </c>
      <c r="M3977" t="s">
        <v>25</v>
      </c>
      <c r="N3977" t="s">
        <v>22</v>
      </c>
      <c r="O3977" t="s">
        <v>36</v>
      </c>
      <c r="P3977">
        <v>0.78</v>
      </c>
      <c r="Q3977" s="2" t="b">
        <f>FALSE()</f>
        <v>0</v>
      </c>
      <c r="R3977">
        <v>0</v>
      </c>
    </row>
    <row r="3978" spans="1:18" x14ac:dyDescent="0.25">
      <c r="A3978">
        <v>203977</v>
      </c>
      <c r="B3978">
        <v>53970</v>
      </c>
      <c r="C3978" t="s">
        <v>18</v>
      </c>
      <c r="D3978">
        <v>3603.73</v>
      </c>
      <c r="E3978">
        <v>2601</v>
      </c>
      <c r="F3978">
        <v>3</v>
      </c>
      <c r="G3978">
        <v>4</v>
      </c>
      <c r="H3978">
        <v>0</v>
      </c>
      <c r="I3978" t="s">
        <v>19</v>
      </c>
      <c r="J3978">
        <v>0</v>
      </c>
      <c r="K3978">
        <v>22</v>
      </c>
      <c r="L3978" t="s">
        <v>20</v>
      </c>
      <c r="M3978" t="s">
        <v>31</v>
      </c>
      <c r="N3978" t="s">
        <v>30</v>
      </c>
      <c r="O3978" t="s">
        <v>36</v>
      </c>
      <c r="P3978">
        <v>11</v>
      </c>
      <c r="Q3978" s="2" t="b">
        <f>FALSE()</f>
        <v>0</v>
      </c>
      <c r="R3978">
        <v>1</v>
      </c>
    </row>
    <row r="3979" spans="1:18" x14ac:dyDescent="0.25">
      <c r="A3979">
        <v>203978</v>
      </c>
      <c r="B3979">
        <v>50252</v>
      </c>
      <c r="C3979" t="s">
        <v>28</v>
      </c>
      <c r="D3979">
        <v>2564.0300000000002</v>
      </c>
      <c r="E3979">
        <v>3424</v>
      </c>
      <c r="F3979">
        <v>4</v>
      </c>
      <c r="G3979">
        <v>5</v>
      </c>
      <c r="H3979">
        <v>1</v>
      </c>
      <c r="I3979" t="s">
        <v>19</v>
      </c>
      <c r="J3979">
        <v>0</v>
      </c>
      <c r="K3979">
        <v>24</v>
      </c>
      <c r="L3979" t="s">
        <v>24</v>
      </c>
      <c r="M3979" t="s">
        <v>35</v>
      </c>
      <c r="N3979" t="s">
        <v>30</v>
      </c>
      <c r="O3979" t="s">
        <v>27</v>
      </c>
      <c r="P3979">
        <v>5.4</v>
      </c>
      <c r="Q3979" s="2" t="b">
        <f>FALSE()</f>
        <v>0</v>
      </c>
      <c r="R3979">
        <v>1</v>
      </c>
    </row>
    <row r="3980" spans="1:18" x14ac:dyDescent="0.25">
      <c r="A3980">
        <v>203979</v>
      </c>
      <c r="B3980">
        <v>54722</v>
      </c>
      <c r="C3980" t="s">
        <v>18</v>
      </c>
      <c r="D3980">
        <v>3757.78</v>
      </c>
      <c r="E3980">
        <v>3629</v>
      </c>
      <c r="F3980">
        <v>2</v>
      </c>
      <c r="G3980">
        <v>7</v>
      </c>
      <c r="H3980">
        <v>1</v>
      </c>
      <c r="I3980" t="s">
        <v>19</v>
      </c>
      <c r="J3980">
        <v>0</v>
      </c>
      <c r="K3980">
        <v>36</v>
      </c>
      <c r="L3980" t="s">
        <v>20</v>
      </c>
      <c r="M3980" t="s">
        <v>35</v>
      </c>
      <c r="N3980" t="s">
        <v>22</v>
      </c>
      <c r="O3980" t="s">
        <v>27</v>
      </c>
      <c r="P3980">
        <v>2.59</v>
      </c>
      <c r="Q3980" s="2" t="b">
        <f>FALSE()</f>
        <v>0</v>
      </c>
      <c r="R3980">
        <v>1</v>
      </c>
    </row>
    <row r="3981" spans="1:18" x14ac:dyDescent="0.25">
      <c r="A3981">
        <v>203980</v>
      </c>
      <c r="B3981">
        <v>51151</v>
      </c>
      <c r="C3981" t="s">
        <v>18</v>
      </c>
      <c r="D3981">
        <v>1129.3</v>
      </c>
      <c r="E3981">
        <v>1394</v>
      </c>
      <c r="F3981">
        <v>0</v>
      </c>
      <c r="G3981">
        <v>5</v>
      </c>
      <c r="H3981">
        <v>1</v>
      </c>
      <c r="I3981" t="s">
        <v>19</v>
      </c>
      <c r="J3981">
        <v>0</v>
      </c>
      <c r="K3981">
        <v>75</v>
      </c>
      <c r="L3981" t="s">
        <v>24</v>
      </c>
      <c r="M3981" t="s">
        <v>31</v>
      </c>
      <c r="N3981" t="s">
        <v>22</v>
      </c>
      <c r="O3981" t="s">
        <v>27</v>
      </c>
      <c r="P3981">
        <v>2.75</v>
      </c>
      <c r="Q3981" s="2" t="b">
        <f>FALSE()</f>
        <v>0</v>
      </c>
      <c r="R3981">
        <v>0</v>
      </c>
    </row>
    <row r="3982" spans="1:18" x14ac:dyDescent="0.25">
      <c r="A3982">
        <v>203981</v>
      </c>
      <c r="B3982">
        <v>50155</v>
      </c>
      <c r="C3982" t="s">
        <v>18</v>
      </c>
      <c r="D3982">
        <v>2241.23</v>
      </c>
      <c r="E3982">
        <v>2910</v>
      </c>
      <c r="F3982">
        <v>2</v>
      </c>
      <c r="G3982">
        <v>4</v>
      </c>
      <c r="H3982">
        <v>1</v>
      </c>
      <c r="I3982" t="s">
        <v>19</v>
      </c>
      <c r="J3982">
        <v>0</v>
      </c>
      <c r="K3982">
        <v>62</v>
      </c>
      <c r="L3982" t="s">
        <v>24</v>
      </c>
      <c r="M3982" t="s">
        <v>35</v>
      </c>
      <c r="N3982" t="s">
        <v>26</v>
      </c>
      <c r="O3982" t="s">
        <v>23</v>
      </c>
      <c r="P3982">
        <v>2.74</v>
      </c>
      <c r="Q3982" s="2" t="b">
        <f>FALSE()</f>
        <v>0</v>
      </c>
      <c r="R3982">
        <v>0</v>
      </c>
    </row>
    <row r="3983" spans="1:18" x14ac:dyDescent="0.25">
      <c r="A3983">
        <v>203982</v>
      </c>
      <c r="B3983">
        <v>50480</v>
      </c>
      <c r="C3983" t="s">
        <v>34</v>
      </c>
      <c r="D3983">
        <v>800.76</v>
      </c>
      <c r="E3983">
        <v>742</v>
      </c>
      <c r="F3983">
        <v>1</v>
      </c>
      <c r="G3983">
        <v>4</v>
      </c>
      <c r="H3983">
        <v>1</v>
      </c>
      <c r="I3983" t="s">
        <v>33</v>
      </c>
      <c r="J3983">
        <v>0</v>
      </c>
      <c r="K3983">
        <v>40</v>
      </c>
      <c r="L3983" t="s">
        <v>20</v>
      </c>
      <c r="M3983" t="s">
        <v>29</v>
      </c>
      <c r="N3983" t="s">
        <v>22</v>
      </c>
      <c r="O3983" t="s">
        <v>36</v>
      </c>
      <c r="P3983">
        <v>0.17</v>
      </c>
      <c r="Q3983" s="2" t="b">
        <f>FALSE()</f>
        <v>0</v>
      </c>
      <c r="R3983">
        <v>0</v>
      </c>
    </row>
    <row r="3984" spans="1:18" x14ac:dyDescent="0.25">
      <c r="A3984">
        <v>203983</v>
      </c>
      <c r="B3984">
        <v>51408</v>
      </c>
      <c r="C3984" t="s">
        <v>34</v>
      </c>
      <c r="D3984">
        <v>474.87</v>
      </c>
      <c r="E3984">
        <v>3538</v>
      </c>
      <c r="F3984">
        <v>1</v>
      </c>
      <c r="G3984">
        <v>8</v>
      </c>
      <c r="H3984">
        <v>0</v>
      </c>
      <c r="I3984" t="s">
        <v>33</v>
      </c>
      <c r="J3984">
        <v>1</v>
      </c>
      <c r="K3984">
        <v>23</v>
      </c>
      <c r="L3984" t="s">
        <v>24</v>
      </c>
      <c r="M3984" t="s">
        <v>31</v>
      </c>
      <c r="N3984" t="s">
        <v>30</v>
      </c>
      <c r="O3984" t="s">
        <v>27</v>
      </c>
      <c r="P3984">
        <v>0.02</v>
      </c>
      <c r="Q3984" s="2" t="b">
        <f>FALSE()</f>
        <v>0</v>
      </c>
      <c r="R3984">
        <v>1</v>
      </c>
    </row>
    <row r="3985" spans="1:18" x14ac:dyDescent="0.25">
      <c r="A3985">
        <v>203984</v>
      </c>
      <c r="B3985">
        <v>54991</v>
      </c>
      <c r="C3985" t="s">
        <v>18</v>
      </c>
      <c r="D3985">
        <v>665.84</v>
      </c>
      <c r="E3985">
        <v>1314</v>
      </c>
      <c r="F3985">
        <v>3</v>
      </c>
      <c r="G3985">
        <v>1</v>
      </c>
      <c r="H3985">
        <v>0</v>
      </c>
      <c r="I3985" t="s">
        <v>33</v>
      </c>
      <c r="J3985">
        <v>0</v>
      </c>
      <c r="K3985">
        <v>32</v>
      </c>
      <c r="L3985" t="s">
        <v>20</v>
      </c>
      <c r="M3985" t="s">
        <v>37</v>
      </c>
      <c r="N3985" t="s">
        <v>22</v>
      </c>
      <c r="O3985" t="s">
        <v>36</v>
      </c>
      <c r="P3985">
        <v>0.55000000000000004</v>
      </c>
      <c r="Q3985" s="2" t="b">
        <f>FALSE()</f>
        <v>0</v>
      </c>
      <c r="R3985">
        <v>1</v>
      </c>
    </row>
    <row r="3986" spans="1:18" x14ac:dyDescent="0.25">
      <c r="A3986">
        <v>203985</v>
      </c>
      <c r="B3986">
        <v>54987</v>
      </c>
      <c r="C3986" t="s">
        <v>28</v>
      </c>
      <c r="D3986">
        <v>1810.03</v>
      </c>
      <c r="E3986">
        <v>295</v>
      </c>
      <c r="F3986">
        <v>1</v>
      </c>
      <c r="G3986">
        <v>7</v>
      </c>
      <c r="H3986">
        <v>0</v>
      </c>
      <c r="I3986" t="s">
        <v>33</v>
      </c>
      <c r="J3986">
        <v>0</v>
      </c>
      <c r="K3986">
        <v>39</v>
      </c>
      <c r="L3986" t="s">
        <v>20</v>
      </c>
      <c r="M3986" t="s">
        <v>29</v>
      </c>
      <c r="N3986" t="s">
        <v>22</v>
      </c>
      <c r="O3986" t="s">
        <v>27</v>
      </c>
      <c r="P3986">
        <v>2.91</v>
      </c>
      <c r="Q3986" s="2" t="b">
        <f>FALSE()</f>
        <v>0</v>
      </c>
      <c r="R3986">
        <v>1</v>
      </c>
    </row>
    <row r="3987" spans="1:18" x14ac:dyDescent="0.25">
      <c r="A3987">
        <v>203986</v>
      </c>
      <c r="B3987">
        <v>53302</v>
      </c>
      <c r="C3987" t="s">
        <v>18</v>
      </c>
      <c r="D3987">
        <v>3787.44</v>
      </c>
      <c r="E3987">
        <v>919</v>
      </c>
      <c r="F3987">
        <v>3</v>
      </c>
      <c r="G3987">
        <v>5</v>
      </c>
      <c r="H3987">
        <v>0</v>
      </c>
      <c r="I3987" t="s">
        <v>33</v>
      </c>
      <c r="J3987">
        <v>0</v>
      </c>
      <c r="K3987">
        <v>70</v>
      </c>
      <c r="L3987" t="s">
        <v>24</v>
      </c>
      <c r="M3987" t="s">
        <v>21</v>
      </c>
      <c r="N3987" t="s">
        <v>22</v>
      </c>
      <c r="O3987" t="s">
        <v>36</v>
      </c>
      <c r="P3987">
        <v>3.22</v>
      </c>
      <c r="Q3987" s="2" t="b">
        <f>FALSE()</f>
        <v>0</v>
      </c>
      <c r="R3987">
        <v>1</v>
      </c>
    </row>
    <row r="3988" spans="1:18" x14ac:dyDescent="0.25">
      <c r="A3988">
        <v>203987</v>
      </c>
      <c r="B3988">
        <v>50794</v>
      </c>
      <c r="C3988" t="s">
        <v>34</v>
      </c>
      <c r="D3988">
        <v>3336.3</v>
      </c>
      <c r="E3988">
        <v>1875</v>
      </c>
      <c r="F3988">
        <v>2</v>
      </c>
      <c r="G3988">
        <v>3</v>
      </c>
      <c r="H3988">
        <v>0</v>
      </c>
      <c r="I3988" t="s">
        <v>33</v>
      </c>
      <c r="J3988">
        <v>0</v>
      </c>
      <c r="K3988">
        <v>32</v>
      </c>
      <c r="L3988" t="s">
        <v>24</v>
      </c>
      <c r="M3988" t="s">
        <v>31</v>
      </c>
      <c r="N3988" t="s">
        <v>26</v>
      </c>
      <c r="O3988" t="s">
        <v>27</v>
      </c>
      <c r="P3988">
        <v>4.63</v>
      </c>
      <c r="Q3988" s="2" t="b">
        <f>FALSE()</f>
        <v>0</v>
      </c>
      <c r="R3988">
        <v>0</v>
      </c>
    </row>
    <row r="3989" spans="1:18" x14ac:dyDescent="0.25">
      <c r="A3989">
        <v>203988</v>
      </c>
      <c r="B3989">
        <v>53294</v>
      </c>
      <c r="C3989" t="s">
        <v>18</v>
      </c>
      <c r="D3989">
        <v>3663.05</v>
      </c>
      <c r="E3989">
        <v>1192</v>
      </c>
      <c r="F3989">
        <v>0</v>
      </c>
      <c r="G3989">
        <v>6</v>
      </c>
      <c r="H3989">
        <v>1</v>
      </c>
      <c r="I3989" t="s">
        <v>19</v>
      </c>
      <c r="J3989">
        <v>0</v>
      </c>
      <c r="K3989">
        <v>62</v>
      </c>
      <c r="L3989" t="s">
        <v>20</v>
      </c>
      <c r="M3989" t="s">
        <v>37</v>
      </c>
      <c r="N3989" t="s">
        <v>22</v>
      </c>
      <c r="O3989" t="s">
        <v>36</v>
      </c>
      <c r="P3989">
        <v>2.5</v>
      </c>
      <c r="Q3989" s="2" t="b">
        <f>FALSE()</f>
        <v>0</v>
      </c>
      <c r="R3989">
        <v>1</v>
      </c>
    </row>
    <row r="3990" spans="1:18" x14ac:dyDescent="0.25">
      <c r="A3990">
        <v>203989</v>
      </c>
      <c r="B3990">
        <v>55792</v>
      </c>
      <c r="C3990" t="s">
        <v>28</v>
      </c>
      <c r="D3990">
        <v>2388.13</v>
      </c>
      <c r="E3990">
        <v>3558</v>
      </c>
      <c r="F3990">
        <v>0</v>
      </c>
      <c r="G3990">
        <v>3</v>
      </c>
      <c r="H3990">
        <v>1</v>
      </c>
      <c r="I3990" t="s">
        <v>33</v>
      </c>
      <c r="J3990">
        <v>0</v>
      </c>
      <c r="K3990">
        <v>53</v>
      </c>
      <c r="L3990" t="s">
        <v>24</v>
      </c>
      <c r="M3990" t="s">
        <v>25</v>
      </c>
      <c r="N3990" t="s">
        <v>26</v>
      </c>
      <c r="O3990" t="s">
        <v>36</v>
      </c>
      <c r="P3990">
        <v>1.79</v>
      </c>
      <c r="Q3990" s="2" t="b">
        <f>FALSE()</f>
        <v>0</v>
      </c>
      <c r="R3990">
        <v>0</v>
      </c>
    </row>
    <row r="3991" spans="1:18" x14ac:dyDescent="0.25">
      <c r="A3991">
        <v>203990</v>
      </c>
      <c r="B3991">
        <v>50123</v>
      </c>
      <c r="C3991" t="s">
        <v>34</v>
      </c>
      <c r="D3991">
        <v>1883.38</v>
      </c>
      <c r="E3991">
        <v>3447</v>
      </c>
      <c r="F3991">
        <v>1</v>
      </c>
      <c r="G3991">
        <v>3</v>
      </c>
      <c r="H3991">
        <v>0</v>
      </c>
      <c r="I3991" t="s">
        <v>32</v>
      </c>
      <c r="J3991">
        <v>0</v>
      </c>
      <c r="K3991">
        <v>65</v>
      </c>
      <c r="L3991" t="s">
        <v>20</v>
      </c>
      <c r="M3991" t="s">
        <v>29</v>
      </c>
      <c r="N3991" t="s">
        <v>22</v>
      </c>
      <c r="O3991" t="s">
        <v>36</v>
      </c>
      <c r="P3991">
        <v>1.86</v>
      </c>
      <c r="Q3991" s="2" t="b">
        <f>FALSE()</f>
        <v>0</v>
      </c>
      <c r="R3991">
        <v>0</v>
      </c>
    </row>
    <row r="3992" spans="1:18" x14ac:dyDescent="0.25">
      <c r="A3992">
        <v>203991</v>
      </c>
      <c r="B3992">
        <v>55577</v>
      </c>
      <c r="C3992" t="s">
        <v>18</v>
      </c>
      <c r="D3992">
        <v>3479.97</v>
      </c>
      <c r="E3992">
        <v>2857</v>
      </c>
      <c r="F3992">
        <v>0</v>
      </c>
      <c r="G3992">
        <v>2</v>
      </c>
      <c r="H3992">
        <v>0</v>
      </c>
      <c r="I3992" t="s">
        <v>33</v>
      </c>
      <c r="J3992">
        <v>0</v>
      </c>
      <c r="K3992">
        <v>46</v>
      </c>
      <c r="L3992" t="s">
        <v>24</v>
      </c>
      <c r="M3992" t="s">
        <v>25</v>
      </c>
      <c r="N3992" t="s">
        <v>30</v>
      </c>
      <c r="O3992" t="s">
        <v>36</v>
      </c>
      <c r="P3992">
        <v>1.83</v>
      </c>
      <c r="Q3992" s="2" t="b">
        <f>FALSE()</f>
        <v>0</v>
      </c>
      <c r="R3992">
        <v>0</v>
      </c>
    </row>
    <row r="3993" spans="1:18" x14ac:dyDescent="0.25">
      <c r="A3993">
        <v>203992</v>
      </c>
      <c r="B3993">
        <v>51972</v>
      </c>
      <c r="C3993" t="s">
        <v>18</v>
      </c>
      <c r="D3993">
        <v>3523.97</v>
      </c>
      <c r="E3993">
        <v>1621</v>
      </c>
      <c r="F3993">
        <v>1</v>
      </c>
      <c r="G3993">
        <v>1</v>
      </c>
      <c r="H3993">
        <v>0</v>
      </c>
      <c r="I3993" t="s">
        <v>19</v>
      </c>
      <c r="J3993">
        <v>0</v>
      </c>
      <c r="K3993">
        <v>23</v>
      </c>
      <c r="L3993" t="s">
        <v>24</v>
      </c>
      <c r="M3993" t="s">
        <v>37</v>
      </c>
      <c r="N3993" t="s">
        <v>22</v>
      </c>
      <c r="O3993" t="s">
        <v>36</v>
      </c>
      <c r="P3993">
        <v>0.88</v>
      </c>
      <c r="Q3993" s="2" t="b">
        <f>FALSE()</f>
        <v>0</v>
      </c>
      <c r="R3993">
        <v>0</v>
      </c>
    </row>
    <row r="3994" spans="1:18" x14ac:dyDescent="0.25">
      <c r="A3994">
        <v>203993</v>
      </c>
      <c r="B3994">
        <v>53590</v>
      </c>
      <c r="C3994" t="s">
        <v>28</v>
      </c>
      <c r="D3994">
        <v>2063.02</v>
      </c>
      <c r="E3994">
        <v>2361</v>
      </c>
      <c r="F3994">
        <v>2</v>
      </c>
      <c r="G3994">
        <v>0</v>
      </c>
      <c r="H3994">
        <v>0</v>
      </c>
      <c r="I3994" t="s">
        <v>19</v>
      </c>
      <c r="J3994">
        <v>0</v>
      </c>
      <c r="K3994">
        <v>50</v>
      </c>
      <c r="L3994" t="s">
        <v>20</v>
      </c>
      <c r="M3994" t="s">
        <v>21</v>
      </c>
      <c r="N3994" t="s">
        <v>30</v>
      </c>
      <c r="O3994" t="s">
        <v>36</v>
      </c>
      <c r="P3994">
        <v>3.74</v>
      </c>
      <c r="Q3994" s="2" t="b">
        <f>FALSE()</f>
        <v>0</v>
      </c>
      <c r="R3994">
        <v>0</v>
      </c>
    </row>
    <row r="3995" spans="1:18" x14ac:dyDescent="0.25">
      <c r="A3995">
        <v>203994</v>
      </c>
      <c r="B3995">
        <v>50094</v>
      </c>
      <c r="C3995" t="s">
        <v>34</v>
      </c>
      <c r="D3995">
        <v>2258.2600000000002</v>
      </c>
      <c r="E3995">
        <v>3617</v>
      </c>
      <c r="F3995">
        <v>2</v>
      </c>
      <c r="G3995">
        <v>3</v>
      </c>
      <c r="H3995">
        <v>0</v>
      </c>
      <c r="I3995" t="s">
        <v>33</v>
      </c>
      <c r="J3995">
        <v>0</v>
      </c>
      <c r="K3995">
        <v>29</v>
      </c>
      <c r="L3995" t="s">
        <v>20</v>
      </c>
      <c r="M3995" t="s">
        <v>35</v>
      </c>
      <c r="N3995" t="s">
        <v>22</v>
      </c>
      <c r="O3995" t="s">
        <v>36</v>
      </c>
      <c r="P3995">
        <v>1.34</v>
      </c>
      <c r="Q3995" s="2" t="b">
        <f>FALSE()</f>
        <v>0</v>
      </c>
      <c r="R3995">
        <v>0</v>
      </c>
    </row>
    <row r="3996" spans="1:18" x14ac:dyDescent="0.25">
      <c r="A3996">
        <v>203995</v>
      </c>
      <c r="B3996">
        <v>51240</v>
      </c>
      <c r="C3996" t="s">
        <v>28</v>
      </c>
      <c r="D3996">
        <v>3648.42</v>
      </c>
      <c r="E3996">
        <v>2095</v>
      </c>
      <c r="F3996">
        <v>0</v>
      </c>
      <c r="G3996">
        <v>2</v>
      </c>
      <c r="H3996">
        <v>0</v>
      </c>
      <c r="I3996" t="s">
        <v>33</v>
      </c>
      <c r="J3996">
        <v>1</v>
      </c>
      <c r="K3996">
        <v>41</v>
      </c>
      <c r="L3996" t="s">
        <v>24</v>
      </c>
      <c r="M3996" t="s">
        <v>21</v>
      </c>
      <c r="N3996" t="s">
        <v>22</v>
      </c>
      <c r="O3996" t="s">
        <v>27</v>
      </c>
      <c r="P3996">
        <v>0.1</v>
      </c>
      <c r="Q3996" s="2" t="b">
        <f>FALSE()</f>
        <v>0</v>
      </c>
      <c r="R3996">
        <v>1</v>
      </c>
    </row>
    <row r="3997" spans="1:18" x14ac:dyDescent="0.25">
      <c r="A3997">
        <v>203996</v>
      </c>
      <c r="B3997">
        <v>53237</v>
      </c>
      <c r="C3997" t="s">
        <v>34</v>
      </c>
      <c r="D3997">
        <v>3984.37</v>
      </c>
      <c r="E3997">
        <v>378</v>
      </c>
      <c r="F3997">
        <v>0</v>
      </c>
      <c r="G3997">
        <v>5</v>
      </c>
      <c r="H3997">
        <v>1</v>
      </c>
      <c r="I3997" t="s">
        <v>33</v>
      </c>
      <c r="J3997">
        <v>0</v>
      </c>
      <c r="K3997">
        <v>58</v>
      </c>
      <c r="L3997" t="s">
        <v>24</v>
      </c>
      <c r="M3997" t="s">
        <v>29</v>
      </c>
      <c r="N3997" t="s">
        <v>22</v>
      </c>
      <c r="O3997" t="s">
        <v>23</v>
      </c>
      <c r="P3997">
        <v>6.45</v>
      </c>
      <c r="Q3997" s="2" t="b">
        <f>FALSE()</f>
        <v>0</v>
      </c>
      <c r="R3997">
        <v>1</v>
      </c>
    </row>
    <row r="3998" spans="1:18" x14ac:dyDescent="0.25">
      <c r="A3998">
        <v>203997</v>
      </c>
      <c r="B3998">
        <v>54594</v>
      </c>
      <c r="C3998" t="s">
        <v>18</v>
      </c>
      <c r="D3998">
        <v>1404.59</v>
      </c>
      <c r="E3998">
        <v>1749</v>
      </c>
      <c r="F3998">
        <v>0</v>
      </c>
      <c r="G3998">
        <v>4</v>
      </c>
      <c r="H3998">
        <v>0</v>
      </c>
      <c r="I3998" t="s">
        <v>32</v>
      </c>
      <c r="J3998">
        <v>0</v>
      </c>
      <c r="K3998">
        <v>58</v>
      </c>
      <c r="L3998" t="s">
        <v>24</v>
      </c>
      <c r="M3998" t="s">
        <v>35</v>
      </c>
      <c r="N3998" t="s">
        <v>22</v>
      </c>
      <c r="O3998" t="s">
        <v>36</v>
      </c>
      <c r="P3998">
        <v>2.96</v>
      </c>
      <c r="Q3998" s="2" t="b">
        <f>FALSE()</f>
        <v>0</v>
      </c>
      <c r="R3998">
        <v>0</v>
      </c>
    </row>
    <row r="3999" spans="1:18" x14ac:dyDescent="0.25">
      <c r="A3999">
        <v>203998</v>
      </c>
      <c r="B3999">
        <v>53853</v>
      </c>
      <c r="C3999" t="s">
        <v>18</v>
      </c>
      <c r="D3999">
        <v>3876.13</v>
      </c>
      <c r="E3999">
        <v>806</v>
      </c>
      <c r="F3999">
        <v>0</v>
      </c>
      <c r="G3999">
        <v>4</v>
      </c>
      <c r="H3999">
        <v>0</v>
      </c>
      <c r="I3999" t="s">
        <v>32</v>
      </c>
      <c r="J3999">
        <v>0</v>
      </c>
      <c r="K3999">
        <v>29</v>
      </c>
      <c r="L3999" t="s">
        <v>24</v>
      </c>
      <c r="M3999" t="s">
        <v>29</v>
      </c>
      <c r="N3999" t="s">
        <v>30</v>
      </c>
      <c r="O3999" t="s">
        <v>36</v>
      </c>
      <c r="P3999">
        <v>2.64</v>
      </c>
      <c r="Q3999" s="2" t="b">
        <f>FALSE()</f>
        <v>0</v>
      </c>
      <c r="R3999">
        <v>1</v>
      </c>
    </row>
    <row r="4000" spans="1:18" x14ac:dyDescent="0.25">
      <c r="A4000">
        <v>203999</v>
      </c>
      <c r="B4000">
        <v>52041</v>
      </c>
      <c r="C4000" t="s">
        <v>34</v>
      </c>
      <c r="D4000">
        <v>2538.09</v>
      </c>
      <c r="E4000">
        <v>3125</v>
      </c>
      <c r="F4000">
        <v>2</v>
      </c>
      <c r="G4000">
        <v>7</v>
      </c>
      <c r="H4000">
        <v>0</v>
      </c>
      <c r="I4000" t="s">
        <v>33</v>
      </c>
      <c r="J4000">
        <v>0</v>
      </c>
      <c r="K4000">
        <v>62</v>
      </c>
      <c r="L4000" t="s">
        <v>24</v>
      </c>
      <c r="M4000" t="s">
        <v>31</v>
      </c>
      <c r="N4000" t="s">
        <v>30</v>
      </c>
      <c r="O4000" t="s">
        <v>23</v>
      </c>
      <c r="P4000">
        <v>2.12</v>
      </c>
      <c r="Q4000" s="2" t="b">
        <f>FALSE()</f>
        <v>0</v>
      </c>
      <c r="R4000">
        <v>1</v>
      </c>
    </row>
    <row r="4001" spans="1:18" x14ac:dyDescent="0.25">
      <c r="A4001">
        <v>204000</v>
      </c>
      <c r="B4001">
        <v>52797</v>
      </c>
      <c r="C4001" t="s">
        <v>18</v>
      </c>
      <c r="D4001">
        <v>1201.6400000000001</v>
      </c>
      <c r="E4001">
        <v>3433</v>
      </c>
      <c r="F4001">
        <v>1</v>
      </c>
      <c r="G4001">
        <v>2</v>
      </c>
      <c r="H4001">
        <v>1</v>
      </c>
      <c r="I4001" t="s">
        <v>19</v>
      </c>
      <c r="J4001">
        <v>0</v>
      </c>
      <c r="K4001">
        <v>47</v>
      </c>
      <c r="L4001" t="s">
        <v>24</v>
      </c>
      <c r="M4001" t="s">
        <v>31</v>
      </c>
      <c r="N4001" t="s">
        <v>30</v>
      </c>
      <c r="O4001" t="s">
        <v>27</v>
      </c>
      <c r="P4001">
        <v>0.77</v>
      </c>
      <c r="Q4001" s="2" t="b">
        <f>FALSE()</f>
        <v>0</v>
      </c>
      <c r="R4001">
        <v>0</v>
      </c>
    </row>
    <row r="4002" spans="1:18" x14ac:dyDescent="0.25">
      <c r="A4002">
        <v>204001</v>
      </c>
      <c r="B4002">
        <v>53832</v>
      </c>
      <c r="C4002" t="s">
        <v>34</v>
      </c>
      <c r="D4002">
        <v>1791.76</v>
      </c>
      <c r="E4002">
        <v>2095</v>
      </c>
      <c r="F4002">
        <v>2</v>
      </c>
      <c r="G4002">
        <v>2</v>
      </c>
      <c r="H4002">
        <v>1</v>
      </c>
      <c r="I4002" t="s">
        <v>33</v>
      </c>
      <c r="J4002">
        <v>0</v>
      </c>
      <c r="K4002">
        <v>40</v>
      </c>
      <c r="L4002" t="s">
        <v>24</v>
      </c>
      <c r="M4002" t="s">
        <v>25</v>
      </c>
      <c r="N4002" t="s">
        <v>22</v>
      </c>
      <c r="O4002" t="s">
        <v>27</v>
      </c>
      <c r="P4002">
        <v>0.28000000000000003</v>
      </c>
      <c r="Q4002" s="2" t="b">
        <f>FALSE()</f>
        <v>0</v>
      </c>
      <c r="R4002">
        <v>0</v>
      </c>
    </row>
    <row r="4003" spans="1:18" x14ac:dyDescent="0.25">
      <c r="A4003">
        <v>204002</v>
      </c>
      <c r="B4003">
        <v>53980</v>
      </c>
      <c r="C4003" t="s">
        <v>18</v>
      </c>
      <c r="D4003">
        <v>2872.04</v>
      </c>
      <c r="E4003">
        <v>3204</v>
      </c>
      <c r="F4003">
        <v>0</v>
      </c>
      <c r="G4003">
        <v>1</v>
      </c>
      <c r="H4003">
        <v>0</v>
      </c>
      <c r="I4003" t="s">
        <v>33</v>
      </c>
      <c r="J4003">
        <v>0</v>
      </c>
      <c r="K4003">
        <v>53</v>
      </c>
      <c r="L4003" t="s">
        <v>20</v>
      </c>
      <c r="M4003" t="s">
        <v>21</v>
      </c>
      <c r="N4003" t="s">
        <v>30</v>
      </c>
      <c r="O4003" t="s">
        <v>27</v>
      </c>
      <c r="P4003">
        <v>0.44</v>
      </c>
      <c r="Q4003" s="2" t="b">
        <f>FALSE()</f>
        <v>0</v>
      </c>
      <c r="R4003">
        <v>0</v>
      </c>
    </row>
    <row r="4004" spans="1:18" x14ac:dyDescent="0.25">
      <c r="A4004">
        <v>204003</v>
      </c>
      <c r="B4004">
        <v>53633</v>
      </c>
      <c r="C4004" t="s">
        <v>18</v>
      </c>
      <c r="D4004">
        <v>3186.49</v>
      </c>
      <c r="E4004">
        <v>3232</v>
      </c>
      <c r="F4004">
        <v>0</v>
      </c>
      <c r="G4004">
        <v>3</v>
      </c>
      <c r="H4004">
        <v>0</v>
      </c>
      <c r="I4004" t="s">
        <v>19</v>
      </c>
      <c r="J4004">
        <v>0</v>
      </c>
      <c r="K4004">
        <v>60</v>
      </c>
      <c r="L4004" t="s">
        <v>20</v>
      </c>
      <c r="M4004" t="s">
        <v>21</v>
      </c>
      <c r="N4004" t="s">
        <v>22</v>
      </c>
      <c r="O4004" t="s">
        <v>27</v>
      </c>
      <c r="P4004">
        <v>6.33</v>
      </c>
      <c r="Q4004" s="2" t="b">
        <f>FALSE()</f>
        <v>0</v>
      </c>
      <c r="R4004">
        <v>0</v>
      </c>
    </row>
    <row r="4005" spans="1:18" x14ac:dyDescent="0.25">
      <c r="A4005">
        <v>204004</v>
      </c>
      <c r="B4005">
        <v>52940</v>
      </c>
      <c r="C4005" t="s">
        <v>28</v>
      </c>
      <c r="D4005">
        <v>3558.9</v>
      </c>
      <c r="E4005">
        <v>2800</v>
      </c>
      <c r="F4005">
        <v>1</v>
      </c>
      <c r="G4005">
        <v>3</v>
      </c>
      <c r="H4005">
        <v>0</v>
      </c>
      <c r="I4005" t="s">
        <v>33</v>
      </c>
      <c r="J4005">
        <v>0</v>
      </c>
      <c r="K4005">
        <v>35</v>
      </c>
      <c r="L4005" t="s">
        <v>20</v>
      </c>
      <c r="M4005" t="s">
        <v>21</v>
      </c>
      <c r="N4005" t="s">
        <v>22</v>
      </c>
      <c r="O4005" t="s">
        <v>23</v>
      </c>
      <c r="P4005">
        <v>5.0199999999999996</v>
      </c>
      <c r="Q4005" s="2" t="b">
        <f>FALSE()</f>
        <v>0</v>
      </c>
      <c r="R4005">
        <v>0</v>
      </c>
    </row>
    <row r="4006" spans="1:18" x14ac:dyDescent="0.25">
      <c r="A4006">
        <v>204005</v>
      </c>
      <c r="B4006">
        <v>54745</v>
      </c>
      <c r="C4006" t="s">
        <v>18</v>
      </c>
      <c r="D4006">
        <v>1600.81</v>
      </c>
      <c r="E4006">
        <v>3626</v>
      </c>
      <c r="F4006">
        <v>0</v>
      </c>
      <c r="G4006">
        <v>3</v>
      </c>
      <c r="H4006">
        <v>0</v>
      </c>
      <c r="I4006" t="s">
        <v>32</v>
      </c>
      <c r="J4006">
        <v>0</v>
      </c>
      <c r="K4006">
        <v>78</v>
      </c>
      <c r="L4006" t="s">
        <v>20</v>
      </c>
      <c r="M4006" t="s">
        <v>25</v>
      </c>
      <c r="N4006" t="s">
        <v>22</v>
      </c>
      <c r="O4006" t="s">
        <v>27</v>
      </c>
      <c r="P4006">
        <v>1.29</v>
      </c>
      <c r="Q4006" s="2" t="b">
        <f>FALSE()</f>
        <v>0</v>
      </c>
      <c r="R4006">
        <v>0</v>
      </c>
    </row>
    <row r="4007" spans="1:18" x14ac:dyDescent="0.25">
      <c r="A4007">
        <v>204006</v>
      </c>
      <c r="B4007">
        <v>53264</v>
      </c>
      <c r="C4007" t="s">
        <v>18</v>
      </c>
      <c r="D4007">
        <v>7375.35</v>
      </c>
      <c r="E4007">
        <v>3237</v>
      </c>
      <c r="F4007">
        <v>2</v>
      </c>
      <c r="G4007">
        <v>3</v>
      </c>
      <c r="H4007">
        <v>1</v>
      </c>
      <c r="I4007" t="s">
        <v>19</v>
      </c>
      <c r="J4007">
        <v>0</v>
      </c>
      <c r="K4007">
        <v>57</v>
      </c>
      <c r="L4007" t="s">
        <v>24</v>
      </c>
      <c r="M4007" t="s">
        <v>35</v>
      </c>
      <c r="N4007" t="s">
        <v>30</v>
      </c>
      <c r="O4007" t="s">
        <v>27</v>
      </c>
      <c r="P4007">
        <v>1.75</v>
      </c>
      <c r="Q4007" s="2" t="b">
        <f>TRUE()</f>
        <v>1</v>
      </c>
      <c r="R4007">
        <v>1</v>
      </c>
    </row>
    <row r="4008" spans="1:18" x14ac:dyDescent="0.25">
      <c r="A4008">
        <v>204007</v>
      </c>
      <c r="B4008">
        <v>53489</v>
      </c>
      <c r="C4008" t="s">
        <v>34</v>
      </c>
      <c r="D4008">
        <v>1205.67</v>
      </c>
      <c r="E4008">
        <v>3217</v>
      </c>
      <c r="F4008">
        <v>0</v>
      </c>
      <c r="G4008">
        <v>0</v>
      </c>
      <c r="H4008">
        <v>0</v>
      </c>
      <c r="I4008" t="s">
        <v>32</v>
      </c>
      <c r="J4008">
        <v>0</v>
      </c>
      <c r="K4008">
        <v>33</v>
      </c>
      <c r="L4008" t="s">
        <v>20</v>
      </c>
      <c r="M4008" t="s">
        <v>29</v>
      </c>
      <c r="N4008" t="s">
        <v>22</v>
      </c>
      <c r="O4008" t="s">
        <v>23</v>
      </c>
      <c r="P4008">
        <v>8.14</v>
      </c>
      <c r="Q4008" s="2" t="b">
        <f>FALSE()</f>
        <v>0</v>
      </c>
      <c r="R4008">
        <v>0</v>
      </c>
    </row>
    <row r="4009" spans="1:18" x14ac:dyDescent="0.25">
      <c r="A4009">
        <v>204008</v>
      </c>
      <c r="B4009">
        <v>53962</v>
      </c>
      <c r="C4009" t="s">
        <v>28</v>
      </c>
      <c r="D4009">
        <v>1514.19</v>
      </c>
      <c r="E4009">
        <v>2635</v>
      </c>
      <c r="F4009">
        <v>0</v>
      </c>
      <c r="G4009">
        <v>5</v>
      </c>
      <c r="H4009">
        <v>0</v>
      </c>
      <c r="I4009" t="s">
        <v>19</v>
      </c>
      <c r="J4009">
        <v>0</v>
      </c>
      <c r="K4009">
        <v>34</v>
      </c>
      <c r="L4009" t="s">
        <v>24</v>
      </c>
      <c r="M4009" t="s">
        <v>29</v>
      </c>
      <c r="N4009" t="s">
        <v>22</v>
      </c>
      <c r="O4009" t="s">
        <v>36</v>
      </c>
      <c r="P4009">
        <v>16.18</v>
      </c>
      <c r="Q4009" s="2" t="b">
        <f>FALSE()</f>
        <v>0</v>
      </c>
      <c r="R4009">
        <v>0</v>
      </c>
    </row>
    <row r="4010" spans="1:18" x14ac:dyDescent="0.25">
      <c r="A4010">
        <v>204009</v>
      </c>
      <c r="B4010">
        <v>55743</v>
      </c>
      <c r="C4010" t="s">
        <v>34</v>
      </c>
      <c r="D4010">
        <v>2560.96</v>
      </c>
      <c r="E4010">
        <v>2383</v>
      </c>
      <c r="F4010">
        <v>1</v>
      </c>
      <c r="G4010">
        <v>2</v>
      </c>
      <c r="H4010">
        <v>0</v>
      </c>
      <c r="I4010" t="s">
        <v>33</v>
      </c>
      <c r="J4010">
        <v>0</v>
      </c>
      <c r="K4010">
        <v>39</v>
      </c>
      <c r="L4010" t="s">
        <v>24</v>
      </c>
      <c r="M4010" t="s">
        <v>29</v>
      </c>
      <c r="N4010" t="s">
        <v>22</v>
      </c>
      <c r="O4010" t="s">
        <v>27</v>
      </c>
      <c r="P4010">
        <v>2.2799999999999998</v>
      </c>
      <c r="Q4010" s="2" t="b">
        <f>FALSE()</f>
        <v>0</v>
      </c>
      <c r="R4010">
        <v>0</v>
      </c>
    </row>
    <row r="4011" spans="1:18" x14ac:dyDescent="0.25">
      <c r="A4011">
        <v>204010</v>
      </c>
      <c r="B4011">
        <v>50594</v>
      </c>
      <c r="C4011" t="s">
        <v>34</v>
      </c>
      <c r="D4011">
        <v>5881.97</v>
      </c>
      <c r="E4011">
        <v>3642</v>
      </c>
      <c r="F4011">
        <v>0</v>
      </c>
      <c r="G4011">
        <v>7</v>
      </c>
      <c r="H4011">
        <v>0</v>
      </c>
      <c r="I4011" t="s">
        <v>33</v>
      </c>
      <c r="J4011">
        <v>0</v>
      </c>
      <c r="K4011">
        <v>51</v>
      </c>
      <c r="L4011" t="s">
        <v>24</v>
      </c>
      <c r="M4011" t="s">
        <v>21</v>
      </c>
      <c r="N4011" t="s">
        <v>22</v>
      </c>
      <c r="O4011" t="s">
        <v>27</v>
      </c>
      <c r="P4011">
        <v>0.99</v>
      </c>
      <c r="Q4011" s="2" t="b">
        <f>FALSE()</f>
        <v>0</v>
      </c>
      <c r="R4011">
        <v>1</v>
      </c>
    </row>
    <row r="4012" spans="1:18" x14ac:dyDescent="0.25">
      <c r="A4012">
        <v>204011</v>
      </c>
      <c r="B4012">
        <v>51619</v>
      </c>
      <c r="C4012" t="s">
        <v>34</v>
      </c>
      <c r="D4012">
        <v>4751.3900000000003</v>
      </c>
      <c r="E4012">
        <v>2008</v>
      </c>
      <c r="F4012">
        <v>2</v>
      </c>
      <c r="G4012">
        <v>5</v>
      </c>
      <c r="H4012">
        <v>0</v>
      </c>
      <c r="I4012" t="s">
        <v>33</v>
      </c>
      <c r="J4012">
        <v>0</v>
      </c>
      <c r="K4012">
        <v>54</v>
      </c>
      <c r="L4012" t="s">
        <v>24</v>
      </c>
      <c r="M4012" t="s">
        <v>31</v>
      </c>
      <c r="N4012" t="s">
        <v>22</v>
      </c>
      <c r="O4012" t="s">
        <v>36</v>
      </c>
      <c r="P4012">
        <v>4.68</v>
      </c>
      <c r="Q4012" s="2" t="b">
        <f>FALSE()</f>
        <v>0</v>
      </c>
      <c r="R4012">
        <v>1</v>
      </c>
    </row>
    <row r="4013" spans="1:18" x14ac:dyDescent="0.25">
      <c r="A4013">
        <v>204012</v>
      </c>
      <c r="B4013">
        <v>55511</v>
      </c>
      <c r="C4013" t="s">
        <v>18</v>
      </c>
      <c r="D4013">
        <v>1711.29</v>
      </c>
      <c r="E4013">
        <v>2995</v>
      </c>
      <c r="F4013">
        <v>0</v>
      </c>
      <c r="G4013">
        <v>5</v>
      </c>
      <c r="H4013">
        <v>1</v>
      </c>
      <c r="I4013" t="s">
        <v>33</v>
      </c>
      <c r="J4013">
        <v>0</v>
      </c>
      <c r="K4013">
        <v>31</v>
      </c>
      <c r="L4013" t="s">
        <v>24</v>
      </c>
      <c r="M4013" t="s">
        <v>21</v>
      </c>
      <c r="N4013" t="s">
        <v>22</v>
      </c>
      <c r="O4013" t="s">
        <v>36</v>
      </c>
      <c r="P4013">
        <v>2.02</v>
      </c>
      <c r="Q4013" s="2" t="b">
        <f>FALSE()</f>
        <v>0</v>
      </c>
      <c r="R4013">
        <v>0</v>
      </c>
    </row>
    <row r="4014" spans="1:18" x14ac:dyDescent="0.25">
      <c r="A4014">
        <v>204013</v>
      </c>
      <c r="B4014">
        <v>51380</v>
      </c>
      <c r="C4014" t="s">
        <v>34</v>
      </c>
      <c r="D4014">
        <v>346.2</v>
      </c>
      <c r="E4014">
        <v>2727</v>
      </c>
      <c r="F4014">
        <v>2</v>
      </c>
      <c r="G4014">
        <v>3</v>
      </c>
      <c r="H4014">
        <v>0</v>
      </c>
      <c r="I4014" t="s">
        <v>33</v>
      </c>
      <c r="J4014">
        <v>0</v>
      </c>
      <c r="K4014">
        <v>66</v>
      </c>
      <c r="L4014" t="s">
        <v>38</v>
      </c>
      <c r="M4014" t="s">
        <v>29</v>
      </c>
      <c r="N4014" t="s">
        <v>30</v>
      </c>
      <c r="O4014" t="s">
        <v>27</v>
      </c>
      <c r="P4014">
        <v>8.7899999999999991</v>
      </c>
      <c r="Q4014" s="2" t="b">
        <f>FALSE()</f>
        <v>0</v>
      </c>
      <c r="R4014">
        <v>0</v>
      </c>
    </row>
    <row r="4015" spans="1:18" x14ac:dyDescent="0.25">
      <c r="A4015">
        <v>204014</v>
      </c>
      <c r="B4015">
        <v>52999</v>
      </c>
      <c r="C4015" t="s">
        <v>18</v>
      </c>
      <c r="D4015">
        <v>956.87</v>
      </c>
      <c r="E4015">
        <v>736</v>
      </c>
      <c r="F4015">
        <v>1</v>
      </c>
      <c r="G4015">
        <v>3</v>
      </c>
      <c r="H4015">
        <v>0</v>
      </c>
      <c r="I4015" t="s">
        <v>19</v>
      </c>
      <c r="J4015">
        <v>0</v>
      </c>
      <c r="K4015">
        <v>48</v>
      </c>
      <c r="L4015" t="s">
        <v>24</v>
      </c>
      <c r="M4015" t="s">
        <v>29</v>
      </c>
      <c r="N4015" t="s">
        <v>30</v>
      </c>
      <c r="O4015" t="s">
        <v>27</v>
      </c>
      <c r="P4015">
        <v>2.92</v>
      </c>
      <c r="Q4015" s="2" t="b">
        <f>FALSE()</f>
        <v>0</v>
      </c>
      <c r="R4015">
        <v>0</v>
      </c>
    </row>
    <row r="4016" spans="1:18" x14ac:dyDescent="0.25">
      <c r="A4016">
        <v>204015</v>
      </c>
      <c r="B4016">
        <v>54030</v>
      </c>
      <c r="C4016" t="s">
        <v>34</v>
      </c>
      <c r="D4016">
        <v>1774.69</v>
      </c>
      <c r="E4016">
        <v>2775</v>
      </c>
      <c r="F4016">
        <v>0</v>
      </c>
      <c r="G4016">
        <v>4</v>
      </c>
      <c r="H4016">
        <v>1</v>
      </c>
      <c r="I4016" t="s">
        <v>33</v>
      </c>
      <c r="J4016">
        <v>0</v>
      </c>
      <c r="K4016">
        <v>58</v>
      </c>
      <c r="L4016" t="s">
        <v>24</v>
      </c>
      <c r="M4016" t="s">
        <v>35</v>
      </c>
      <c r="N4016" t="s">
        <v>30</v>
      </c>
      <c r="O4016" t="s">
        <v>23</v>
      </c>
      <c r="P4016">
        <v>2.3199999999999998</v>
      </c>
      <c r="Q4016" s="2" t="b">
        <f>FALSE()</f>
        <v>0</v>
      </c>
      <c r="R4016">
        <v>0</v>
      </c>
    </row>
    <row r="4017" spans="1:18" x14ac:dyDescent="0.25">
      <c r="A4017">
        <v>204016</v>
      </c>
      <c r="B4017">
        <v>55534</v>
      </c>
      <c r="C4017" t="s">
        <v>28</v>
      </c>
      <c r="D4017">
        <v>2255.0300000000002</v>
      </c>
      <c r="E4017">
        <v>2239</v>
      </c>
      <c r="F4017">
        <v>1</v>
      </c>
      <c r="G4017">
        <v>2</v>
      </c>
      <c r="H4017">
        <v>0</v>
      </c>
      <c r="I4017" t="s">
        <v>33</v>
      </c>
      <c r="J4017">
        <v>1</v>
      </c>
      <c r="K4017">
        <v>69</v>
      </c>
      <c r="L4017" t="s">
        <v>24</v>
      </c>
      <c r="M4017" t="s">
        <v>29</v>
      </c>
      <c r="N4017" t="s">
        <v>26</v>
      </c>
      <c r="O4017" t="s">
        <v>36</v>
      </c>
      <c r="P4017">
        <v>6.77</v>
      </c>
      <c r="Q4017" s="2" t="b">
        <f>FALSE()</f>
        <v>0</v>
      </c>
      <c r="R4017">
        <v>0</v>
      </c>
    </row>
    <row r="4018" spans="1:18" x14ac:dyDescent="0.25">
      <c r="A4018">
        <v>204017</v>
      </c>
      <c r="B4018">
        <v>53662</v>
      </c>
      <c r="C4018" t="s">
        <v>18</v>
      </c>
      <c r="D4018">
        <v>4284.82</v>
      </c>
      <c r="E4018">
        <v>2198</v>
      </c>
      <c r="F4018">
        <v>2</v>
      </c>
      <c r="G4018">
        <v>1</v>
      </c>
      <c r="H4018">
        <v>1</v>
      </c>
      <c r="I4018" t="s">
        <v>33</v>
      </c>
      <c r="J4018">
        <v>0</v>
      </c>
      <c r="K4018">
        <v>57</v>
      </c>
      <c r="L4018" t="s">
        <v>24</v>
      </c>
      <c r="M4018" t="s">
        <v>29</v>
      </c>
      <c r="N4018" t="s">
        <v>22</v>
      </c>
      <c r="O4018" t="s">
        <v>36</v>
      </c>
      <c r="P4018">
        <v>0.33</v>
      </c>
      <c r="Q4018" s="2" t="b">
        <f>FALSE()</f>
        <v>0</v>
      </c>
      <c r="R4018">
        <v>1</v>
      </c>
    </row>
    <row r="4019" spans="1:18" x14ac:dyDescent="0.25">
      <c r="A4019">
        <v>204018</v>
      </c>
      <c r="B4019">
        <v>52440</v>
      </c>
      <c r="C4019" t="s">
        <v>18</v>
      </c>
      <c r="D4019">
        <v>10675.92</v>
      </c>
      <c r="E4019">
        <v>3488</v>
      </c>
      <c r="F4019">
        <v>0</v>
      </c>
      <c r="G4019">
        <v>7</v>
      </c>
      <c r="H4019">
        <v>1</v>
      </c>
      <c r="I4019" t="s">
        <v>33</v>
      </c>
      <c r="J4019">
        <v>0</v>
      </c>
      <c r="K4019">
        <v>70</v>
      </c>
      <c r="L4019" t="s">
        <v>24</v>
      </c>
      <c r="M4019" t="s">
        <v>25</v>
      </c>
      <c r="N4019" t="s">
        <v>30</v>
      </c>
      <c r="O4019" t="s">
        <v>36</v>
      </c>
      <c r="P4019">
        <v>1.06</v>
      </c>
      <c r="Q4019" s="2" t="b">
        <f>TRUE()</f>
        <v>1</v>
      </c>
      <c r="R4019">
        <v>1</v>
      </c>
    </row>
    <row r="4020" spans="1:18" x14ac:dyDescent="0.25">
      <c r="A4020">
        <v>204019</v>
      </c>
      <c r="B4020">
        <v>53962</v>
      </c>
      <c r="C4020" t="s">
        <v>18</v>
      </c>
      <c r="D4020">
        <v>3573.67</v>
      </c>
      <c r="E4020">
        <v>959</v>
      </c>
      <c r="F4020">
        <v>1</v>
      </c>
      <c r="G4020">
        <v>8</v>
      </c>
      <c r="H4020">
        <v>0</v>
      </c>
      <c r="I4020" t="s">
        <v>19</v>
      </c>
      <c r="J4020">
        <v>0</v>
      </c>
      <c r="K4020">
        <v>62</v>
      </c>
      <c r="L4020" t="s">
        <v>24</v>
      </c>
      <c r="M4020" t="s">
        <v>29</v>
      </c>
      <c r="N4020" t="s">
        <v>22</v>
      </c>
      <c r="O4020" t="s">
        <v>36</v>
      </c>
      <c r="P4020">
        <v>0.7</v>
      </c>
      <c r="Q4020" s="2" t="b">
        <f>FALSE()</f>
        <v>0</v>
      </c>
      <c r="R4020">
        <v>1</v>
      </c>
    </row>
    <row r="4021" spans="1:18" x14ac:dyDescent="0.25">
      <c r="A4021">
        <v>204020</v>
      </c>
      <c r="B4021">
        <v>51827</v>
      </c>
      <c r="C4021" t="s">
        <v>34</v>
      </c>
      <c r="D4021">
        <v>4724.04</v>
      </c>
      <c r="E4021">
        <v>2809</v>
      </c>
      <c r="F4021">
        <v>0</v>
      </c>
      <c r="G4021">
        <v>3</v>
      </c>
      <c r="H4021">
        <v>0</v>
      </c>
      <c r="I4021" t="s">
        <v>19</v>
      </c>
      <c r="J4021">
        <v>0</v>
      </c>
      <c r="K4021">
        <v>62</v>
      </c>
      <c r="L4021" t="s">
        <v>24</v>
      </c>
      <c r="M4021" t="s">
        <v>25</v>
      </c>
      <c r="N4021" t="s">
        <v>22</v>
      </c>
      <c r="O4021" t="s">
        <v>27</v>
      </c>
      <c r="P4021">
        <v>1.82</v>
      </c>
      <c r="Q4021" s="2" t="b">
        <f>FALSE()</f>
        <v>0</v>
      </c>
      <c r="R4021">
        <v>1</v>
      </c>
    </row>
    <row r="4022" spans="1:18" x14ac:dyDescent="0.25">
      <c r="A4022">
        <v>204021</v>
      </c>
      <c r="B4022">
        <v>52814</v>
      </c>
      <c r="C4022" t="s">
        <v>18</v>
      </c>
      <c r="D4022">
        <v>5138.03</v>
      </c>
      <c r="E4022">
        <v>1290</v>
      </c>
      <c r="F4022">
        <v>2</v>
      </c>
      <c r="G4022">
        <v>4</v>
      </c>
      <c r="H4022">
        <v>0</v>
      </c>
      <c r="I4022" t="s">
        <v>19</v>
      </c>
      <c r="J4022">
        <v>0</v>
      </c>
      <c r="K4022">
        <v>25</v>
      </c>
      <c r="L4022" t="s">
        <v>20</v>
      </c>
      <c r="M4022" t="s">
        <v>31</v>
      </c>
      <c r="N4022" t="s">
        <v>26</v>
      </c>
      <c r="O4022" t="s">
        <v>27</v>
      </c>
      <c r="P4022">
        <v>0.46</v>
      </c>
      <c r="Q4022" s="2" t="b">
        <f>FALSE()</f>
        <v>0</v>
      </c>
      <c r="R4022">
        <v>1</v>
      </c>
    </row>
    <row r="4023" spans="1:18" x14ac:dyDescent="0.25">
      <c r="A4023">
        <v>204022</v>
      </c>
      <c r="B4023">
        <v>52863</v>
      </c>
      <c r="C4023" t="s">
        <v>18</v>
      </c>
      <c r="D4023">
        <v>1436.9</v>
      </c>
      <c r="E4023">
        <v>3331</v>
      </c>
      <c r="F4023">
        <v>1</v>
      </c>
      <c r="G4023">
        <v>5</v>
      </c>
      <c r="H4023">
        <v>0</v>
      </c>
      <c r="I4023" t="s">
        <v>32</v>
      </c>
      <c r="J4023">
        <v>0</v>
      </c>
      <c r="K4023">
        <v>43</v>
      </c>
      <c r="L4023" t="s">
        <v>24</v>
      </c>
      <c r="M4023" t="s">
        <v>37</v>
      </c>
      <c r="N4023" t="s">
        <v>22</v>
      </c>
      <c r="O4023" t="s">
        <v>36</v>
      </c>
      <c r="P4023">
        <v>2.5099999999999998</v>
      </c>
      <c r="Q4023" s="2" t="b">
        <f>FALSE()</f>
        <v>0</v>
      </c>
      <c r="R4023">
        <v>0</v>
      </c>
    </row>
    <row r="4024" spans="1:18" x14ac:dyDescent="0.25">
      <c r="A4024">
        <v>204023</v>
      </c>
      <c r="B4024">
        <v>53680</v>
      </c>
      <c r="C4024" t="s">
        <v>18</v>
      </c>
      <c r="D4024">
        <v>2021.64</v>
      </c>
      <c r="E4024">
        <v>2449</v>
      </c>
      <c r="F4024">
        <v>1</v>
      </c>
      <c r="G4024">
        <v>1</v>
      </c>
      <c r="H4024">
        <v>0</v>
      </c>
      <c r="I4024" t="s">
        <v>33</v>
      </c>
      <c r="J4024">
        <v>0</v>
      </c>
      <c r="K4024">
        <v>52</v>
      </c>
      <c r="L4024" t="s">
        <v>20</v>
      </c>
      <c r="M4024" t="s">
        <v>21</v>
      </c>
      <c r="N4024" t="s">
        <v>22</v>
      </c>
      <c r="O4024" t="s">
        <v>27</v>
      </c>
      <c r="P4024">
        <v>1.05</v>
      </c>
      <c r="Q4024" s="2" t="b">
        <f>FALSE()</f>
        <v>0</v>
      </c>
      <c r="R4024">
        <v>0</v>
      </c>
    </row>
    <row r="4025" spans="1:18" x14ac:dyDescent="0.25">
      <c r="A4025">
        <v>204024</v>
      </c>
      <c r="B4025">
        <v>53987</v>
      </c>
      <c r="C4025" t="s">
        <v>34</v>
      </c>
      <c r="D4025">
        <v>2476.5</v>
      </c>
      <c r="E4025">
        <v>2037</v>
      </c>
      <c r="F4025">
        <v>2</v>
      </c>
      <c r="G4025">
        <v>9</v>
      </c>
      <c r="H4025">
        <v>0</v>
      </c>
      <c r="I4025" t="s">
        <v>19</v>
      </c>
      <c r="J4025">
        <v>0</v>
      </c>
      <c r="K4025">
        <v>50</v>
      </c>
      <c r="L4025" t="s">
        <v>20</v>
      </c>
      <c r="M4025" t="s">
        <v>37</v>
      </c>
      <c r="N4025" t="s">
        <v>26</v>
      </c>
      <c r="O4025" t="s">
        <v>27</v>
      </c>
      <c r="P4025">
        <v>1.72</v>
      </c>
      <c r="Q4025" s="2" t="b">
        <f>FALSE()</f>
        <v>0</v>
      </c>
      <c r="R4025">
        <v>1</v>
      </c>
    </row>
    <row r="4026" spans="1:18" x14ac:dyDescent="0.25">
      <c r="A4026">
        <v>204025</v>
      </c>
      <c r="B4026">
        <v>52902</v>
      </c>
      <c r="C4026" t="s">
        <v>18</v>
      </c>
      <c r="D4026">
        <v>1794.04</v>
      </c>
      <c r="E4026">
        <v>396</v>
      </c>
      <c r="F4026">
        <v>2</v>
      </c>
      <c r="G4026">
        <v>8</v>
      </c>
      <c r="H4026">
        <v>0</v>
      </c>
      <c r="I4026" t="s">
        <v>32</v>
      </c>
      <c r="J4026">
        <v>0</v>
      </c>
      <c r="K4026">
        <v>76</v>
      </c>
      <c r="L4026" t="s">
        <v>24</v>
      </c>
      <c r="M4026" t="s">
        <v>21</v>
      </c>
      <c r="N4026" t="s">
        <v>30</v>
      </c>
      <c r="O4026" t="s">
        <v>27</v>
      </c>
      <c r="P4026">
        <v>0.96</v>
      </c>
      <c r="Q4026" s="2" t="b">
        <f>FALSE()</f>
        <v>0</v>
      </c>
      <c r="R4026">
        <v>1</v>
      </c>
    </row>
    <row r="4027" spans="1:18" x14ac:dyDescent="0.25">
      <c r="A4027">
        <v>204026</v>
      </c>
      <c r="B4027">
        <v>51708</v>
      </c>
      <c r="C4027" t="s">
        <v>34</v>
      </c>
      <c r="D4027">
        <v>8476.75</v>
      </c>
      <c r="E4027">
        <v>1804</v>
      </c>
      <c r="F4027">
        <v>0</v>
      </c>
      <c r="G4027">
        <v>8</v>
      </c>
      <c r="H4027">
        <v>1</v>
      </c>
      <c r="I4027" t="s">
        <v>32</v>
      </c>
      <c r="J4027">
        <v>0</v>
      </c>
      <c r="K4027">
        <v>45</v>
      </c>
      <c r="L4027" t="s">
        <v>24</v>
      </c>
      <c r="M4027" t="s">
        <v>21</v>
      </c>
      <c r="N4027" t="s">
        <v>22</v>
      </c>
      <c r="O4027" t="s">
        <v>27</v>
      </c>
      <c r="P4027">
        <v>1.4</v>
      </c>
      <c r="Q4027" s="2" t="b">
        <f>TRUE()</f>
        <v>1</v>
      </c>
      <c r="R4027">
        <v>1</v>
      </c>
    </row>
    <row r="4028" spans="1:18" x14ac:dyDescent="0.25">
      <c r="A4028">
        <v>204027</v>
      </c>
      <c r="B4028">
        <v>51941</v>
      </c>
      <c r="C4028" t="s">
        <v>18</v>
      </c>
      <c r="D4028">
        <v>907.45</v>
      </c>
      <c r="E4028">
        <v>2221</v>
      </c>
      <c r="F4028">
        <v>0</v>
      </c>
      <c r="G4028">
        <v>5</v>
      </c>
      <c r="H4028">
        <v>1</v>
      </c>
      <c r="I4028" t="s">
        <v>33</v>
      </c>
      <c r="J4028">
        <v>0</v>
      </c>
      <c r="K4028">
        <v>49</v>
      </c>
      <c r="L4028" t="s">
        <v>20</v>
      </c>
      <c r="M4028" t="s">
        <v>31</v>
      </c>
      <c r="N4028" t="s">
        <v>30</v>
      </c>
      <c r="O4028" t="s">
        <v>36</v>
      </c>
      <c r="P4028">
        <v>1.18</v>
      </c>
      <c r="Q4028" s="2" t="b">
        <f>FALSE()</f>
        <v>0</v>
      </c>
      <c r="R4028">
        <v>0</v>
      </c>
    </row>
    <row r="4029" spans="1:18" x14ac:dyDescent="0.25">
      <c r="A4029">
        <v>204028</v>
      </c>
      <c r="B4029">
        <v>53504</v>
      </c>
      <c r="C4029" t="s">
        <v>18</v>
      </c>
      <c r="D4029">
        <v>2842.88</v>
      </c>
      <c r="E4029">
        <v>1499</v>
      </c>
      <c r="F4029">
        <v>2</v>
      </c>
      <c r="G4029">
        <v>4</v>
      </c>
      <c r="H4029">
        <v>0</v>
      </c>
      <c r="I4029" t="s">
        <v>33</v>
      </c>
      <c r="J4029">
        <v>1</v>
      </c>
      <c r="K4029">
        <v>26</v>
      </c>
      <c r="L4029" t="s">
        <v>20</v>
      </c>
      <c r="M4029" t="s">
        <v>35</v>
      </c>
      <c r="N4029" t="s">
        <v>30</v>
      </c>
      <c r="O4029" t="s">
        <v>27</v>
      </c>
      <c r="P4029">
        <v>1.44</v>
      </c>
      <c r="Q4029" s="2" t="b">
        <f>FALSE()</f>
        <v>0</v>
      </c>
      <c r="R4029">
        <v>0</v>
      </c>
    </row>
    <row r="4030" spans="1:18" x14ac:dyDescent="0.25">
      <c r="A4030">
        <v>204029</v>
      </c>
      <c r="B4030">
        <v>55083</v>
      </c>
      <c r="C4030" t="s">
        <v>18</v>
      </c>
      <c r="D4030">
        <v>3545.6</v>
      </c>
      <c r="E4030">
        <v>1683</v>
      </c>
      <c r="F4030">
        <v>2</v>
      </c>
      <c r="G4030">
        <v>4</v>
      </c>
      <c r="H4030">
        <v>1</v>
      </c>
      <c r="I4030" t="s">
        <v>33</v>
      </c>
      <c r="J4030">
        <v>0</v>
      </c>
      <c r="K4030">
        <v>57</v>
      </c>
      <c r="L4030" t="s">
        <v>24</v>
      </c>
      <c r="M4030" t="s">
        <v>31</v>
      </c>
      <c r="N4030" t="s">
        <v>22</v>
      </c>
      <c r="O4030" t="s">
        <v>36</v>
      </c>
      <c r="P4030">
        <v>0.02</v>
      </c>
      <c r="Q4030" s="2" t="b">
        <f>FALSE()</f>
        <v>0</v>
      </c>
      <c r="R4030">
        <v>0</v>
      </c>
    </row>
    <row r="4031" spans="1:18" x14ac:dyDescent="0.25">
      <c r="A4031">
        <v>204030</v>
      </c>
      <c r="B4031">
        <v>52577</v>
      </c>
      <c r="C4031" t="s">
        <v>18</v>
      </c>
      <c r="D4031">
        <v>6867.74</v>
      </c>
      <c r="E4031">
        <v>2190</v>
      </c>
      <c r="F4031">
        <v>0</v>
      </c>
      <c r="G4031">
        <v>3</v>
      </c>
      <c r="H4031">
        <v>1</v>
      </c>
      <c r="I4031" t="s">
        <v>19</v>
      </c>
      <c r="J4031">
        <v>0</v>
      </c>
      <c r="K4031">
        <v>53</v>
      </c>
      <c r="L4031" t="s">
        <v>20</v>
      </c>
      <c r="M4031" t="s">
        <v>31</v>
      </c>
      <c r="N4031" t="s">
        <v>22</v>
      </c>
      <c r="O4031" t="s">
        <v>36</v>
      </c>
      <c r="P4031">
        <v>0.37</v>
      </c>
      <c r="Q4031" s="2" t="b">
        <f>FALSE()</f>
        <v>0</v>
      </c>
      <c r="R4031">
        <v>1</v>
      </c>
    </row>
    <row r="4032" spans="1:18" x14ac:dyDescent="0.25">
      <c r="A4032">
        <v>204031</v>
      </c>
      <c r="B4032">
        <v>54266</v>
      </c>
      <c r="C4032" t="s">
        <v>34</v>
      </c>
      <c r="D4032">
        <v>861.45</v>
      </c>
      <c r="E4032">
        <v>2909</v>
      </c>
      <c r="F4032">
        <v>2</v>
      </c>
      <c r="G4032">
        <v>5</v>
      </c>
      <c r="H4032">
        <v>1</v>
      </c>
      <c r="I4032" t="s">
        <v>19</v>
      </c>
      <c r="J4032">
        <v>0</v>
      </c>
      <c r="K4032">
        <v>30</v>
      </c>
      <c r="L4032" t="s">
        <v>24</v>
      </c>
      <c r="M4032" t="s">
        <v>25</v>
      </c>
      <c r="N4032" t="s">
        <v>22</v>
      </c>
      <c r="O4032" t="s">
        <v>27</v>
      </c>
      <c r="P4032">
        <v>0.9</v>
      </c>
      <c r="Q4032" s="2" t="b">
        <f>FALSE()</f>
        <v>0</v>
      </c>
      <c r="R4032">
        <v>0</v>
      </c>
    </row>
    <row r="4033" spans="1:18" x14ac:dyDescent="0.25">
      <c r="A4033">
        <v>204032</v>
      </c>
      <c r="B4033">
        <v>50006</v>
      </c>
      <c r="C4033" t="s">
        <v>18</v>
      </c>
      <c r="D4033">
        <v>3687.58</v>
      </c>
      <c r="E4033">
        <v>2069</v>
      </c>
      <c r="F4033">
        <v>1</v>
      </c>
      <c r="G4033">
        <v>3</v>
      </c>
      <c r="H4033">
        <v>0</v>
      </c>
      <c r="I4033" t="s">
        <v>19</v>
      </c>
      <c r="J4033">
        <v>0</v>
      </c>
      <c r="K4033">
        <v>63</v>
      </c>
      <c r="L4033" t="s">
        <v>24</v>
      </c>
      <c r="M4033" t="s">
        <v>35</v>
      </c>
      <c r="N4033" t="s">
        <v>26</v>
      </c>
      <c r="O4033" t="s">
        <v>36</v>
      </c>
      <c r="P4033">
        <v>3.07</v>
      </c>
      <c r="Q4033" s="2" t="b">
        <f>FALSE()</f>
        <v>0</v>
      </c>
      <c r="R4033">
        <v>1</v>
      </c>
    </row>
    <row r="4034" spans="1:18" x14ac:dyDescent="0.25">
      <c r="A4034">
        <v>204033</v>
      </c>
      <c r="B4034">
        <v>54237</v>
      </c>
      <c r="C4034" t="s">
        <v>28</v>
      </c>
      <c r="D4034">
        <v>1195.54</v>
      </c>
      <c r="E4034">
        <v>2748</v>
      </c>
      <c r="F4034">
        <v>1</v>
      </c>
      <c r="G4034">
        <v>2</v>
      </c>
      <c r="H4034">
        <v>0</v>
      </c>
      <c r="I4034" t="s">
        <v>19</v>
      </c>
      <c r="J4034">
        <v>0</v>
      </c>
      <c r="K4034">
        <v>25</v>
      </c>
      <c r="L4034" t="s">
        <v>24</v>
      </c>
      <c r="M4034" t="s">
        <v>25</v>
      </c>
      <c r="N4034" t="s">
        <v>30</v>
      </c>
      <c r="O4034" t="s">
        <v>27</v>
      </c>
      <c r="P4034">
        <v>1.76</v>
      </c>
      <c r="Q4034" s="2" t="b">
        <f>FALSE()</f>
        <v>0</v>
      </c>
      <c r="R4034">
        <v>0</v>
      </c>
    </row>
    <row r="4035" spans="1:18" x14ac:dyDescent="0.25">
      <c r="A4035">
        <v>204034</v>
      </c>
      <c r="B4035">
        <v>52812</v>
      </c>
      <c r="C4035" t="s">
        <v>18</v>
      </c>
      <c r="D4035">
        <v>2256.94</v>
      </c>
      <c r="E4035">
        <v>3442</v>
      </c>
      <c r="F4035">
        <v>1</v>
      </c>
      <c r="G4035">
        <v>4</v>
      </c>
      <c r="H4035">
        <v>1</v>
      </c>
      <c r="I4035" t="s">
        <v>33</v>
      </c>
      <c r="J4035">
        <v>0</v>
      </c>
      <c r="K4035">
        <v>49</v>
      </c>
      <c r="L4035" t="s">
        <v>20</v>
      </c>
      <c r="M4035" t="s">
        <v>25</v>
      </c>
      <c r="N4035" t="s">
        <v>30</v>
      </c>
      <c r="O4035" t="s">
        <v>27</v>
      </c>
      <c r="P4035">
        <v>4.79</v>
      </c>
      <c r="Q4035" s="2" t="b">
        <f>FALSE()</f>
        <v>0</v>
      </c>
      <c r="R4035">
        <v>0</v>
      </c>
    </row>
    <row r="4036" spans="1:18" x14ac:dyDescent="0.25">
      <c r="A4036">
        <v>204035</v>
      </c>
      <c r="B4036">
        <v>55660</v>
      </c>
      <c r="C4036" t="s">
        <v>28</v>
      </c>
      <c r="D4036">
        <v>2157.63</v>
      </c>
      <c r="E4036">
        <v>2752</v>
      </c>
      <c r="F4036">
        <v>1</v>
      </c>
      <c r="G4036">
        <v>5</v>
      </c>
      <c r="H4036">
        <v>0</v>
      </c>
      <c r="I4036" t="s">
        <v>33</v>
      </c>
      <c r="J4036">
        <v>0</v>
      </c>
      <c r="K4036">
        <v>52</v>
      </c>
      <c r="L4036" t="s">
        <v>24</v>
      </c>
      <c r="M4036" t="s">
        <v>35</v>
      </c>
      <c r="N4036" t="s">
        <v>30</v>
      </c>
      <c r="O4036" t="s">
        <v>23</v>
      </c>
      <c r="P4036">
        <v>2.04</v>
      </c>
      <c r="Q4036" s="2" t="b">
        <f>FALSE()</f>
        <v>0</v>
      </c>
      <c r="R4036">
        <v>0</v>
      </c>
    </row>
    <row r="4037" spans="1:18" x14ac:dyDescent="0.25">
      <c r="A4037">
        <v>204036</v>
      </c>
      <c r="B4037">
        <v>52164</v>
      </c>
      <c r="C4037" t="s">
        <v>18</v>
      </c>
      <c r="D4037">
        <v>2008.81</v>
      </c>
      <c r="E4037">
        <v>2263</v>
      </c>
      <c r="F4037">
        <v>1</v>
      </c>
      <c r="G4037">
        <v>1</v>
      </c>
      <c r="H4037">
        <v>0</v>
      </c>
      <c r="I4037" t="s">
        <v>33</v>
      </c>
      <c r="J4037">
        <v>0</v>
      </c>
      <c r="K4037">
        <v>62</v>
      </c>
      <c r="L4037" t="s">
        <v>20</v>
      </c>
      <c r="M4037" t="s">
        <v>35</v>
      </c>
      <c r="N4037" t="s">
        <v>26</v>
      </c>
      <c r="O4037" t="s">
        <v>27</v>
      </c>
      <c r="P4037">
        <v>1.85</v>
      </c>
      <c r="Q4037" s="2" t="b">
        <f>FALSE()</f>
        <v>0</v>
      </c>
      <c r="R4037">
        <v>0</v>
      </c>
    </row>
    <row r="4038" spans="1:18" x14ac:dyDescent="0.25">
      <c r="A4038">
        <v>204037</v>
      </c>
      <c r="B4038">
        <v>55258</v>
      </c>
      <c r="C4038" t="s">
        <v>18</v>
      </c>
      <c r="D4038">
        <v>362.76</v>
      </c>
      <c r="E4038">
        <v>3587</v>
      </c>
      <c r="F4038">
        <v>1</v>
      </c>
      <c r="G4038">
        <v>4</v>
      </c>
      <c r="H4038">
        <v>1</v>
      </c>
      <c r="I4038" t="s">
        <v>33</v>
      </c>
      <c r="J4038">
        <v>0</v>
      </c>
      <c r="K4038">
        <v>58</v>
      </c>
      <c r="L4038" t="s">
        <v>20</v>
      </c>
      <c r="M4038" t="s">
        <v>21</v>
      </c>
      <c r="N4038" t="s">
        <v>22</v>
      </c>
      <c r="O4038" t="s">
        <v>27</v>
      </c>
      <c r="P4038">
        <v>3.37</v>
      </c>
      <c r="Q4038" s="2" t="b">
        <f>FALSE()</f>
        <v>0</v>
      </c>
      <c r="R4038">
        <v>0</v>
      </c>
    </row>
    <row r="4039" spans="1:18" x14ac:dyDescent="0.25">
      <c r="A4039">
        <v>204038</v>
      </c>
      <c r="B4039">
        <v>52554</v>
      </c>
      <c r="C4039" t="s">
        <v>18</v>
      </c>
      <c r="D4039">
        <v>2332.0500000000002</v>
      </c>
      <c r="E4039">
        <v>234</v>
      </c>
      <c r="F4039">
        <v>1</v>
      </c>
      <c r="G4039">
        <v>1</v>
      </c>
      <c r="H4039">
        <v>1</v>
      </c>
      <c r="I4039" t="s">
        <v>19</v>
      </c>
      <c r="J4039">
        <v>1</v>
      </c>
      <c r="K4039">
        <v>74</v>
      </c>
      <c r="L4039" t="s">
        <v>20</v>
      </c>
      <c r="M4039" t="s">
        <v>25</v>
      </c>
      <c r="N4039" t="s">
        <v>26</v>
      </c>
      <c r="O4039" t="s">
        <v>36</v>
      </c>
      <c r="P4039">
        <v>0.69</v>
      </c>
      <c r="Q4039" s="2" t="b">
        <f>FALSE()</f>
        <v>0</v>
      </c>
      <c r="R4039">
        <v>0</v>
      </c>
    </row>
    <row r="4040" spans="1:18" x14ac:dyDescent="0.25">
      <c r="A4040">
        <v>204039</v>
      </c>
      <c r="B4040">
        <v>53029</v>
      </c>
      <c r="C4040" t="s">
        <v>18</v>
      </c>
      <c r="D4040">
        <v>4683.05</v>
      </c>
      <c r="E4040">
        <v>1747</v>
      </c>
      <c r="F4040">
        <v>0</v>
      </c>
      <c r="G4040">
        <v>1</v>
      </c>
      <c r="H4040">
        <v>1</v>
      </c>
      <c r="I4040" t="s">
        <v>19</v>
      </c>
      <c r="J4040">
        <v>1</v>
      </c>
      <c r="K4040">
        <v>36</v>
      </c>
      <c r="L4040" t="s">
        <v>24</v>
      </c>
      <c r="M4040" t="s">
        <v>25</v>
      </c>
      <c r="N4040" t="s">
        <v>30</v>
      </c>
      <c r="O4040" t="s">
        <v>36</v>
      </c>
      <c r="P4040">
        <v>1.32</v>
      </c>
      <c r="Q4040" s="2" t="b">
        <f>FALSE()</f>
        <v>0</v>
      </c>
      <c r="R4040">
        <v>1</v>
      </c>
    </row>
    <row r="4041" spans="1:18" x14ac:dyDescent="0.25">
      <c r="A4041">
        <v>204040</v>
      </c>
      <c r="B4041">
        <v>53381</v>
      </c>
      <c r="C4041" t="s">
        <v>28</v>
      </c>
      <c r="D4041">
        <v>1074.98</v>
      </c>
      <c r="E4041">
        <v>3142</v>
      </c>
      <c r="F4041">
        <v>2</v>
      </c>
      <c r="G4041">
        <v>4</v>
      </c>
      <c r="H4041">
        <v>1</v>
      </c>
      <c r="I4041" t="s">
        <v>33</v>
      </c>
      <c r="J4041">
        <v>1</v>
      </c>
      <c r="K4041">
        <v>70</v>
      </c>
      <c r="L4041" t="s">
        <v>20</v>
      </c>
      <c r="M4041" t="s">
        <v>31</v>
      </c>
      <c r="N4041" t="s">
        <v>26</v>
      </c>
      <c r="O4041" t="s">
        <v>27</v>
      </c>
      <c r="P4041">
        <v>1.76</v>
      </c>
      <c r="Q4041" s="2" t="b">
        <f>FALSE()</f>
        <v>0</v>
      </c>
      <c r="R4041">
        <v>0</v>
      </c>
    </row>
    <row r="4042" spans="1:18" x14ac:dyDescent="0.25">
      <c r="A4042">
        <v>204041</v>
      </c>
      <c r="B4042">
        <v>51987</v>
      </c>
      <c r="C4042" t="s">
        <v>18</v>
      </c>
      <c r="D4042">
        <v>602.91999999999996</v>
      </c>
      <c r="E4042">
        <v>823</v>
      </c>
      <c r="F4042">
        <v>2</v>
      </c>
      <c r="G4042">
        <v>4</v>
      </c>
      <c r="H4042">
        <v>1</v>
      </c>
      <c r="I4042" t="s">
        <v>33</v>
      </c>
      <c r="J4042">
        <v>0</v>
      </c>
      <c r="K4042">
        <v>48</v>
      </c>
      <c r="L4042" t="s">
        <v>20</v>
      </c>
      <c r="M4042" t="s">
        <v>35</v>
      </c>
      <c r="N4042" t="s">
        <v>30</v>
      </c>
      <c r="O4042" t="s">
        <v>27</v>
      </c>
      <c r="P4042">
        <v>0.49</v>
      </c>
      <c r="Q4042" s="2" t="b">
        <f>FALSE()</f>
        <v>0</v>
      </c>
      <c r="R4042">
        <v>0</v>
      </c>
    </row>
    <row r="4043" spans="1:18" x14ac:dyDescent="0.25">
      <c r="A4043">
        <v>204042</v>
      </c>
      <c r="B4043">
        <v>50084</v>
      </c>
      <c r="C4043" t="s">
        <v>18</v>
      </c>
      <c r="D4043">
        <v>1786.12</v>
      </c>
      <c r="E4043">
        <v>2697</v>
      </c>
      <c r="F4043">
        <v>1</v>
      </c>
      <c r="G4043">
        <v>6</v>
      </c>
      <c r="H4043">
        <v>1</v>
      </c>
      <c r="I4043" t="s">
        <v>33</v>
      </c>
      <c r="J4043">
        <v>0</v>
      </c>
      <c r="K4043">
        <v>34</v>
      </c>
      <c r="L4043" t="s">
        <v>24</v>
      </c>
      <c r="M4043" t="s">
        <v>29</v>
      </c>
      <c r="N4043" t="s">
        <v>22</v>
      </c>
      <c r="O4043" t="s">
        <v>27</v>
      </c>
      <c r="P4043">
        <v>6.92</v>
      </c>
      <c r="Q4043" s="2" t="b">
        <f>FALSE()</f>
        <v>0</v>
      </c>
      <c r="R4043">
        <v>0</v>
      </c>
    </row>
    <row r="4044" spans="1:18" x14ac:dyDescent="0.25">
      <c r="A4044">
        <v>204043</v>
      </c>
      <c r="B4044">
        <v>52682</v>
      </c>
      <c r="C4044" t="s">
        <v>18</v>
      </c>
      <c r="D4044">
        <v>702.05</v>
      </c>
      <c r="E4044">
        <v>3399</v>
      </c>
      <c r="F4044">
        <v>3</v>
      </c>
      <c r="G4044">
        <v>6</v>
      </c>
      <c r="H4044">
        <v>0</v>
      </c>
      <c r="I4044" t="s">
        <v>33</v>
      </c>
      <c r="J4044">
        <v>1</v>
      </c>
      <c r="K4044">
        <v>45</v>
      </c>
      <c r="L4044" t="s">
        <v>20</v>
      </c>
      <c r="M4044" t="s">
        <v>21</v>
      </c>
      <c r="N4044" t="s">
        <v>22</v>
      </c>
      <c r="O4044" t="s">
        <v>27</v>
      </c>
      <c r="P4044">
        <v>1.67</v>
      </c>
      <c r="Q4044" s="2" t="b">
        <f>FALSE()</f>
        <v>0</v>
      </c>
      <c r="R4044">
        <v>1</v>
      </c>
    </row>
    <row r="4045" spans="1:18" x14ac:dyDescent="0.25">
      <c r="A4045">
        <v>204044</v>
      </c>
      <c r="B4045">
        <v>53967</v>
      </c>
      <c r="C4045" t="s">
        <v>18</v>
      </c>
      <c r="D4045">
        <v>2561.54</v>
      </c>
      <c r="E4045">
        <v>3042</v>
      </c>
      <c r="F4045">
        <v>2</v>
      </c>
      <c r="G4045">
        <v>4</v>
      </c>
      <c r="H4045">
        <v>0</v>
      </c>
      <c r="I4045" t="s">
        <v>33</v>
      </c>
      <c r="J4045">
        <v>0</v>
      </c>
      <c r="K4045">
        <v>54</v>
      </c>
      <c r="L4045" t="s">
        <v>24</v>
      </c>
      <c r="M4045" t="s">
        <v>29</v>
      </c>
      <c r="N4045" t="s">
        <v>22</v>
      </c>
      <c r="O4045" t="s">
        <v>27</v>
      </c>
      <c r="P4045">
        <v>13.49</v>
      </c>
      <c r="Q4045" s="2" t="b">
        <f>FALSE()</f>
        <v>0</v>
      </c>
      <c r="R4045">
        <v>0</v>
      </c>
    </row>
    <row r="4046" spans="1:18" x14ac:dyDescent="0.25">
      <c r="A4046">
        <v>204045</v>
      </c>
      <c r="B4046">
        <v>54329</v>
      </c>
      <c r="C4046" t="s">
        <v>18</v>
      </c>
      <c r="D4046">
        <v>4861.6099999999997</v>
      </c>
      <c r="E4046">
        <v>1673</v>
      </c>
      <c r="F4046">
        <v>0</v>
      </c>
      <c r="G4046">
        <v>9</v>
      </c>
      <c r="H4046">
        <v>0</v>
      </c>
      <c r="I4046" t="s">
        <v>33</v>
      </c>
      <c r="J4046">
        <v>1</v>
      </c>
      <c r="K4046">
        <v>72</v>
      </c>
      <c r="L4046" t="s">
        <v>24</v>
      </c>
      <c r="M4046" t="s">
        <v>35</v>
      </c>
      <c r="N4046" t="s">
        <v>30</v>
      </c>
      <c r="O4046" t="s">
        <v>36</v>
      </c>
      <c r="P4046">
        <v>2.36</v>
      </c>
      <c r="Q4046" s="2" t="b">
        <f>FALSE()</f>
        <v>0</v>
      </c>
      <c r="R4046">
        <v>1</v>
      </c>
    </row>
    <row r="4047" spans="1:18" x14ac:dyDescent="0.25">
      <c r="A4047">
        <v>204046</v>
      </c>
      <c r="B4047">
        <v>51743</v>
      </c>
      <c r="C4047" t="s">
        <v>18</v>
      </c>
      <c r="D4047">
        <v>4781.3599999999997</v>
      </c>
      <c r="E4047">
        <v>1577</v>
      </c>
      <c r="F4047">
        <v>2</v>
      </c>
      <c r="G4047">
        <v>1</v>
      </c>
      <c r="H4047">
        <v>0</v>
      </c>
      <c r="I4047" t="s">
        <v>19</v>
      </c>
      <c r="J4047">
        <v>0</v>
      </c>
      <c r="K4047">
        <v>82</v>
      </c>
      <c r="L4047" t="s">
        <v>20</v>
      </c>
      <c r="M4047" t="s">
        <v>37</v>
      </c>
      <c r="N4047" t="s">
        <v>30</v>
      </c>
      <c r="O4047" t="s">
        <v>27</v>
      </c>
      <c r="P4047">
        <v>5.51</v>
      </c>
      <c r="Q4047" s="2" t="b">
        <f>FALSE()</f>
        <v>0</v>
      </c>
      <c r="R4047">
        <v>1</v>
      </c>
    </row>
    <row r="4048" spans="1:18" x14ac:dyDescent="0.25">
      <c r="A4048">
        <v>204047</v>
      </c>
      <c r="B4048">
        <v>55102</v>
      </c>
      <c r="C4048" t="s">
        <v>18</v>
      </c>
      <c r="D4048">
        <v>1407.9</v>
      </c>
      <c r="E4048">
        <v>2041</v>
      </c>
      <c r="F4048">
        <v>4</v>
      </c>
      <c r="G4048">
        <v>5</v>
      </c>
      <c r="H4048">
        <v>0</v>
      </c>
      <c r="I4048" t="s">
        <v>19</v>
      </c>
      <c r="J4048">
        <v>0</v>
      </c>
      <c r="K4048">
        <v>40</v>
      </c>
      <c r="L4048" t="s">
        <v>24</v>
      </c>
      <c r="M4048" t="s">
        <v>35</v>
      </c>
      <c r="N4048" t="s">
        <v>22</v>
      </c>
      <c r="O4048" t="s">
        <v>23</v>
      </c>
      <c r="P4048">
        <v>0.52</v>
      </c>
      <c r="Q4048" s="2" t="b">
        <f>FALSE()</f>
        <v>0</v>
      </c>
      <c r="R4048">
        <v>1</v>
      </c>
    </row>
    <row r="4049" spans="1:18" x14ac:dyDescent="0.25">
      <c r="A4049">
        <v>204048</v>
      </c>
      <c r="B4049">
        <v>54749</v>
      </c>
      <c r="C4049" t="s">
        <v>34</v>
      </c>
      <c r="D4049">
        <v>4470.8100000000004</v>
      </c>
      <c r="E4049">
        <v>3132</v>
      </c>
      <c r="F4049">
        <v>1</v>
      </c>
      <c r="G4049">
        <v>2</v>
      </c>
      <c r="H4049">
        <v>0</v>
      </c>
      <c r="I4049" t="s">
        <v>33</v>
      </c>
      <c r="J4049">
        <v>0</v>
      </c>
      <c r="K4049">
        <v>74</v>
      </c>
      <c r="L4049" t="s">
        <v>24</v>
      </c>
      <c r="M4049" t="s">
        <v>21</v>
      </c>
      <c r="N4049" t="s">
        <v>30</v>
      </c>
      <c r="O4049" t="s">
        <v>36</v>
      </c>
      <c r="P4049">
        <v>1.1299999999999999</v>
      </c>
      <c r="Q4049" s="2" t="b">
        <f>FALSE()</f>
        <v>0</v>
      </c>
      <c r="R4049">
        <v>1</v>
      </c>
    </row>
    <row r="4050" spans="1:18" x14ac:dyDescent="0.25">
      <c r="A4050">
        <v>204049</v>
      </c>
      <c r="B4050">
        <v>53368</v>
      </c>
      <c r="C4050" t="s">
        <v>18</v>
      </c>
      <c r="D4050">
        <v>2566.6799999999998</v>
      </c>
      <c r="E4050">
        <v>2196</v>
      </c>
      <c r="F4050">
        <v>3</v>
      </c>
      <c r="G4050">
        <v>5</v>
      </c>
      <c r="H4050">
        <v>0</v>
      </c>
      <c r="I4050" t="s">
        <v>19</v>
      </c>
      <c r="J4050">
        <v>0</v>
      </c>
      <c r="K4050">
        <v>72</v>
      </c>
      <c r="L4050" t="s">
        <v>24</v>
      </c>
      <c r="M4050" t="s">
        <v>29</v>
      </c>
      <c r="N4050" t="s">
        <v>26</v>
      </c>
      <c r="O4050" t="s">
        <v>27</v>
      </c>
      <c r="P4050">
        <v>0.91</v>
      </c>
      <c r="Q4050" s="2" t="b">
        <f>FALSE()</f>
        <v>0</v>
      </c>
      <c r="R4050">
        <v>1</v>
      </c>
    </row>
    <row r="4051" spans="1:18" x14ac:dyDescent="0.25">
      <c r="A4051">
        <v>204050</v>
      </c>
      <c r="B4051">
        <v>50880</v>
      </c>
      <c r="C4051" t="s">
        <v>18</v>
      </c>
      <c r="D4051">
        <v>1712.75</v>
      </c>
      <c r="E4051">
        <v>1051</v>
      </c>
      <c r="F4051">
        <v>0</v>
      </c>
      <c r="G4051">
        <v>6</v>
      </c>
      <c r="H4051">
        <v>0</v>
      </c>
      <c r="I4051" t="s">
        <v>33</v>
      </c>
      <c r="J4051">
        <v>0</v>
      </c>
      <c r="K4051">
        <v>60</v>
      </c>
      <c r="L4051" t="s">
        <v>20</v>
      </c>
      <c r="M4051" t="s">
        <v>35</v>
      </c>
      <c r="N4051" t="s">
        <v>22</v>
      </c>
      <c r="O4051" t="s">
        <v>27</v>
      </c>
      <c r="P4051">
        <v>1.26</v>
      </c>
      <c r="Q4051" s="2" t="b">
        <f>FALSE()</f>
        <v>0</v>
      </c>
      <c r="R4051">
        <v>0</v>
      </c>
    </row>
    <row r="4052" spans="1:18" x14ac:dyDescent="0.25">
      <c r="A4052">
        <v>204051</v>
      </c>
      <c r="B4052">
        <v>53179</v>
      </c>
      <c r="C4052" t="s">
        <v>34</v>
      </c>
      <c r="D4052">
        <v>6415.34</v>
      </c>
      <c r="E4052">
        <v>1569</v>
      </c>
      <c r="F4052">
        <v>2</v>
      </c>
      <c r="G4052">
        <v>11</v>
      </c>
      <c r="H4052">
        <v>0</v>
      </c>
      <c r="I4052" t="s">
        <v>33</v>
      </c>
      <c r="J4052">
        <v>1</v>
      </c>
      <c r="K4052">
        <v>43</v>
      </c>
      <c r="L4052" t="s">
        <v>24</v>
      </c>
      <c r="M4052" t="s">
        <v>25</v>
      </c>
      <c r="N4052" t="s">
        <v>22</v>
      </c>
      <c r="O4052" t="s">
        <v>27</v>
      </c>
      <c r="P4052">
        <v>0.32</v>
      </c>
      <c r="Q4052" s="2" t="b">
        <f>FALSE()</f>
        <v>0</v>
      </c>
      <c r="R4052">
        <v>1</v>
      </c>
    </row>
    <row r="4053" spans="1:18" x14ac:dyDescent="0.25">
      <c r="A4053">
        <v>204052</v>
      </c>
      <c r="B4053">
        <v>55831</v>
      </c>
      <c r="C4053" t="s">
        <v>34</v>
      </c>
      <c r="D4053">
        <v>817.9</v>
      </c>
      <c r="E4053">
        <v>559</v>
      </c>
      <c r="F4053">
        <v>1</v>
      </c>
      <c r="G4053">
        <v>2</v>
      </c>
      <c r="H4053">
        <v>0</v>
      </c>
      <c r="I4053" t="s">
        <v>19</v>
      </c>
      <c r="J4053">
        <v>1</v>
      </c>
      <c r="K4053">
        <v>48</v>
      </c>
      <c r="L4053" t="s">
        <v>20</v>
      </c>
      <c r="M4053" t="s">
        <v>37</v>
      </c>
      <c r="N4053" t="s">
        <v>26</v>
      </c>
      <c r="O4053" t="s">
        <v>36</v>
      </c>
      <c r="P4053">
        <v>4.46</v>
      </c>
      <c r="Q4053" s="2" t="b">
        <f>FALSE()</f>
        <v>0</v>
      </c>
      <c r="R4053">
        <v>0</v>
      </c>
    </row>
    <row r="4054" spans="1:18" x14ac:dyDescent="0.25">
      <c r="A4054">
        <v>204053</v>
      </c>
      <c r="B4054">
        <v>54106</v>
      </c>
      <c r="C4054" t="s">
        <v>28</v>
      </c>
      <c r="D4054">
        <v>4028.4</v>
      </c>
      <c r="E4054">
        <v>1771</v>
      </c>
      <c r="F4054">
        <v>1</v>
      </c>
      <c r="G4054">
        <v>3</v>
      </c>
      <c r="H4054">
        <v>1</v>
      </c>
      <c r="I4054" t="s">
        <v>19</v>
      </c>
      <c r="J4054">
        <v>0</v>
      </c>
      <c r="K4054">
        <v>46</v>
      </c>
      <c r="L4054" t="s">
        <v>24</v>
      </c>
      <c r="M4054" t="s">
        <v>25</v>
      </c>
      <c r="N4054" t="s">
        <v>22</v>
      </c>
      <c r="O4054" t="s">
        <v>36</v>
      </c>
      <c r="P4054">
        <v>10.72</v>
      </c>
      <c r="Q4054" s="2" t="b">
        <f>FALSE()</f>
        <v>0</v>
      </c>
      <c r="R4054">
        <v>1</v>
      </c>
    </row>
    <row r="4055" spans="1:18" x14ac:dyDescent="0.25">
      <c r="A4055">
        <v>204054</v>
      </c>
      <c r="B4055">
        <v>50339</v>
      </c>
      <c r="C4055" t="s">
        <v>28</v>
      </c>
      <c r="D4055">
        <v>2524.75</v>
      </c>
      <c r="E4055">
        <v>3266</v>
      </c>
      <c r="F4055">
        <v>2</v>
      </c>
      <c r="G4055">
        <v>3</v>
      </c>
      <c r="H4055">
        <v>1</v>
      </c>
      <c r="I4055" t="s">
        <v>19</v>
      </c>
      <c r="J4055">
        <v>0</v>
      </c>
      <c r="K4055">
        <v>20</v>
      </c>
      <c r="L4055" t="s">
        <v>20</v>
      </c>
      <c r="M4055" t="s">
        <v>29</v>
      </c>
      <c r="N4055" t="s">
        <v>30</v>
      </c>
      <c r="O4055" t="s">
        <v>36</v>
      </c>
      <c r="P4055">
        <v>1.26</v>
      </c>
      <c r="Q4055" s="2" t="b">
        <f>FALSE()</f>
        <v>0</v>
      </c>
      <c r="R4055">
        <v>0</v>
      </c>
    </row>
    <row r="4056" spans="1:18" x14ac:dyDescent="0.25">
      <c r="A4056">
        <v>204055</v>
      </c>
      <c r="B4056">
        <v>54723</v>
      </c>
      <c r="C4056" t="s">
        <v>28</v>
      </c>
      <c r="D4056">
        <v>8669.1</v>
      </c>
      <c r="E4056">
        <v>375</v>
      </c>
      <c r="F4056">
        <v>0</v>
      </c>
      <c r="G4056">
        <v>3</v>
      </c>
      <c r="H4056">
        <v>0</v>
      </c>
      <c r="I4056" t="s">
        <v>33</v>
      </c>
      <c r="J4056">
        <v>0</v>
      </c>
      <c r="K4056">
        <v>74</v>
      </c>
      <c r="L4056" t="s">
        <v>24</v>
      </c>
      <c r="M4056" t="s">
        <v>35</v>
      </c>
      <c r="N4056" t="s">
        <v>22</v>
      </c>
      <c r="O4056" t="s">
        <v>27</v>
      </c>
      <c r="P4056">
        <v>1.68</v>
      </c>
      <c r="Q4056" s="2" t="b">
        <f>TRUE()</f>
        <v>1</v>
      </c>
      <c r="R4056">
        <v>1</v>
      </c>
    </row>
    <row r="4057" spans="1:18" x14ac:dyDescent="0.25">
      <c r="A4057">
        <v>204056</v>
      </c>
      <c r="B4057">
        <v>51958</v>
      </c>
      <c r="C4057" t="s">
        <v>34</v>
      </c>
      <c r="D4057">
        <v>3760.98</v>
      </c>
      <c r="E4057">
        <v>1423</v>
      </c>
      <c r="F4057">
        <v>1</v>
      </c>
      <c r="G4057">
        <v>2</v>
      </c>
      <c r="H4057">
        <v>0</v>
      </c>
      <c r="I4057" t="s">
        <v>19</v>
      </c>
      <c r="J4057">
        <v>0</v>
      </c>
      <c r="K4057">
        <v>79</v>
      </c>
      <c r="L4057" t="s">
        <v>24</v>
      </c>
      <c r="M4057" t="s">
        <v>25</v>
      </c>
      <c r="N4057" t="s">
        <v>22</v>
      </c>
      <c r="O4057" t="s">
        <v>27</v>
      </c>
      <c r="P4057">
        <v>3.8</v>
      </c>
      <c r="Q4057" s="2" t="b">
        <f>FALSE()</f>
        <v>0</v>
      </c>
      <c r="R4057">
        <v>1</v>
      </c>
    </row>
    <row r="4058" spans="1:18" x14ac:dyDescent="0.25">
      <c r="A4058">
        <v>204057</v>
      </c>
      <c r="B4058">
        <v>52245</v>
      </c>
      <c r="C4058" t="s">
        <v>18</v>
      </c>
      <c r="D4058">
        <v>2331.71</v>
      </c>
      <c r="E4058">
        <v>888</v>
      </c>
      <c r="F4058">
        <v>3</v>
      </c>
      <c r="G4058">
        <v>8</v>
      </c>
      <c r="H4058">
        <v>0</v>
      </c>
      <c r="I4058" t="s">
        <v>33</v>
      </c>
      <c r="J4058">
        <v>0</v>
      </c>
      <c r="K4058">
        <v>83</v>
      </c>
      <c r="L4058" t="s">
        <v>20</v>
      </c>
      <c r="M4058" t="s">
        <v>31</v>
      </c>
      <c r="N4058" t="s">
        <v>30</v>
      </c>
      <c r="O4058" t="s">
        <v>36</v>
      </c>
      <c r="P4058">
        <v>2.2799999999999998</v>
      </c>
      <c r="Q4058" s="2" t="b">
        <f>FALSE()</f>
        <v>0</v>
      </c>
      <c r="R4058">
        <v>1</v>
      </c>
    </row>
    <row r="4059" spans="1:18" x14ac:dyDescent="0.25">
      <c r="A4059">
        <v>204058</v>
      </c>
      <c r="B4059">
        <v>55740</v>
      </c>
      <c r="C4059" t="s">
        <v>18</v>
      </c>
      <c r="D4059">
        <v>1254.78</v>
      </c>
      <c r="E4059">
        <v>1366</v>
      </c>
      <c r="F4059">
        <v>1</v>
      </c>
      <c r="G4059">
        <v>4</v>
      </c>
      <c r="H4059">
        <v>0</v>
      </c>
      <c r="I4059" t="s">
        <v>33</v>
      </c>
      <c r="J4059">
        <v>0</v>
      </c>
      <c r="K4059">
        <v>53</v>
      </c>
      <c r="L4059" t="s">
        <v>20</v>
      </c>
      <c r="M4059" t="s">
        <v>25</v>
      </c>
      <c r="N4059" t="s">
        <v>26</v>
      </c>
      <c r="O4059" t="s">
        <v>27</v>
      </c>
      <c r="P4059">
        <v>2.86</v>
      </c>
      <c r="Q4059" s="2" t="b">
        <f>FALSE()</f>
        <v>0</v>
      </c>
      <c r="R4059">
        <v>0</v>
      </c>
    </row>
    <row r="4060" spans="1:18" x14ac:dyDescent="0.25">
      <c r="A4060">
        <v>204059</v>
      </c>
      <c r="B4060">
        <v>55584</v>
      </c>
      <c r="C4060" t="s">
        <v>18</v>
      </c>
      <c r="D4060">
        <v>4333.1499999999996</v>
      </c>
      <c r="E4060">
        <v>2232</v>
      </c>
      <c r="F4060">
        <v>2</v>
      </c>
      <c r="G4060">
        <v>3</v>
      </c>
      <c r="H4060">
        <v>0</v>
      </c>
      <c r="I4060" t="s">
        <v>33</v>
      </c>
      <c r="J4060">
        <v>0</v>
      </c>
      <c r="K4060">
        <v>50</v>
      </c>
      <c r="L4060" t="s">
        <v>38</v>
      </c>
      <c r="M4060" t="s">
        <v>31</v>
      </c>
      <c r="N4060" t="s">
        <v>30</v>
      </c>
      <c r="O4060" t="s">
        <v>36</v>
      </c>
      <c r="P4060">
        <v>1.54</v>
      </c>
      <c r="Q4060" s="2" t="b">
        <f>FALSE()</f>
        <v>0</v>
      </c>
      <c r="R4060">
        <v>1</v>
      </c>
    </row>
    <row r="4061" spans="1:18" x14ac:dyDescent="0.25">
      <c r="A4061">
        <v>204060</v>
      </c>
      <c r="B4061">
        <v>53454</v>
      </c>
      <c r="C4061" t="s">
        <v>18</v>
      </c>
      <c r="D4061">
        <v>2900.64</v>
      </c>
      <c r="E4061">
        <v>2056</v>
      </c>
      <c r="F4061">
        <v>2</v>
      </c>
      <c r="G4061">
        <v>6</v>
      </c>
      <c r="H4061">
        <v>0</v>
      </c>
      <c r="I4061" t="s">
        <v>19</v>
      </c>
      <c r="J4061">
        <v>0</v>
      </c>
      <c r="K4061">
        <v>70</v>
      </c>
      <c r="L4061" t="s">
        <v>20</v>
      </c>
      <c r="M4061" t="s">
        <v>31</v>
      </c>
      <c r="N4061" t="s">
        <v>30</v>
      </c>
      <c r="O4061" t="s">
        <v>27</v>
      </c>
      <c r="P4061">
        <v>1.56</v>
      </c>
      <c r="Q4061" s="2" t="b">
        <f>FALSE()</f>
        <v>0</v>
      </c>
      <c r="R4061">
        <v>0</v>
      </c>
    </row>
    <row r="4062" spans="1:18" x14ac:dyDescent="0.25">
      <c r="A4062">
        <v>204061</v>
      </c>
      <c r="B4062">
        <v>54267</v>
      </c>
      <c r="C4062" t="s">
        <v>34</v>
      </c>
      <c r="D4062">
        <v>2631.66</v>
      </c>
      <c r="E4062">
        <v>1079</v>
      </c>
      <c r="F4062">
        <v>3</v>
      </c>
      <c r="G4062">
        <v>3</v>
      </c>
      <c r="H4062">
        <v>1</v>
      </c>
      <c r="I4062" t="s">
        <v>33</v>
      </c>
      <c r="J4062">
        <v>0</v>
      </c>
      <c r="K4062">
        <v>67</v>
      </c>
      <c r="L4062" t="s">
        <v>24</v>
      </c>
      <c r="M4062" t="s">
        <v>37</v>
      </c>
      <c r="N4062" t="s">
        <v>26</v>
      </c>
      <c r="O4062" t="s">
        <v>36</v>
      </c>
      <c r="P4062">
        <v>0.89</v>
      </c>
      <c r="Q4062" s="2" t="b">
        <f>FALSE()</f>
        <v>0</v>
      </c>
      <c r="R4062">
        <v>1</v>
      </c>
    </row>
    <row r="4063" spans="1:18" x14ac:dyDescent="0.25">
      <c r="A4063">
        <v>204062</v>
      </c>
      <c r="B4063">
        <v>51736</v>
      </c>
      <c r="C4063" t="s">
        <v>18</v>
      </c>
      <c r="D4063">
        <v>2794.53</v>
      </c>
      <c r="E4063">
        <v>2964</v>
      </c>
      <c r="F4063">
        <v>0</v>
      </c>
      <c r="G4063">
        <v>4</v>
      </c>
      <c r="H4063">
        <v>0</v>
      </c>
      <c r="I4063" t="s">
        <v>33</v>
      </c>
      <c r="J4063">
        <v>0</v>
      </c>
      <c r="K4063">
        <v>26</v>
      </c>
      <c r="L4063" t="s">
        <v>24</v>
      </c>
      <c r="M4063" t="s">
        <v>31</v>
      </c>
      <c r="N4063" t="s">
        <v>26</v>
      </c>
      <c r="O4063" t="s">
        <v>36</v>
      </c>
      <c r="P4063">
        <v>0.15</v>
      </c>
      <c r="Q4063" s="2" t="b">
        <f>FALSE()</f>
        <v>0</v>
      </c>
      <c r="R4063">
        <v>0</v>
      </c>
    </row>
    <row r="4064" spans="1:18" x14ac:dyDescent="0.25">
      <c r="A4064">
        <v>204063</v>
      </c>
      <c r="B4064">
        <v>55423</v>
      </c>
      <c r="C4064" t="s">
        <v>34</v>
      </c>
      <c r="D4064">
        <v>5514.11</v>
      </c>
      <c r="E4064">
        <v>3632</v>
      </c>
      <c r="F4064">
        <v>0</v>
      </c>
      <c r="G4064">
        <v>4</v>
      </c>
      <c r="H4064">
        <v>1</v>
      </c>
      <c r="I4064" t="s">
        <v>33</v>
      </c>
      <c r="J4064">
        <v>0</v>
      </c>
      <c r="K4064">
        <v>42</v>
      </c>
      <c r="L4064" t="s">
        <v>20</v>
      </c>
      <c r="M4064" t="s">
        <v>29</v>
      </c>
      <c r="N4064" t="s">
        <v>22</v>
      </c>
      <c r="O4064" t="s">
        <v>36</v>
      </c>
      <c r="P4064">
        <v>2.5</v>
      </c>
      <c r="Q4064" s="2" t="b">
        <f>FALSE()</f>
        <v>0</v>
      </c>
      <c r="R4064">
        <v>1</v>
      </c>
    </row>
    <row r="4065" spans="1:18" x14ac:dyDescent="0.25">
      <c r="A4065">
        <v>204064</v>
      </c>
      <c r="B4065">
        <v>53330</v>
      </c>
      <c r="C4065" t="s">
        <v>34</v>
      </c>
      <c r="D4065">
        <v>1057.1600000000001</v>
      </c>
      <c r="E4065">
        <v>1422</v>
      </c>
      <c r="F4065">
        <v>3</v>
      </c>
      <c r="G4065">
        <v>1</v>
      </c>
      <c r="H4065">
        <v>0</v>
      </c>
      <c r="I4065" t="s">
        <v>32</v>
      </c>
      <c r="J4065">
        <v>0</v>
      </c>
      <c r="K4065">
        <v>28</v>
      </c>
      <c r="L4065" t="s">
        <v>20</v>
      </c>
      <c r="M4065" t="s">
        <v>29</v>
      </c>
      <c r="N4065" t="s">
        <v>30</v>
      </c>
      <c r="O4065" t="s">
        <v>27</v>
      </c>
      <c r="P4065">
        <v>2.5499999999999998</v>
      </c>
      <c r="Q4065" s="2" t="b">
        <f>FALSE()</f>
        <v>0</v>
      </c>
      <c r="R4065">
        <v>1</v>
      </c>
    </row>
    <row r="4066" spans="1:18" x14ac:dyDescent="0.25">
      <c r="A4066">
        <v>204065</v>
      </c>
      <c r="B4066">
        <v>51778</v>
      </c>
      <c r="C4066" t="s">
        <v>18</v>
      </c>
      <c r="D4066">
        <v>1861.69</v>
      </c>
      <c r="E4066">
        <v>1995</v>
      </c>
      <c r="F4066">
        <v>2</v>
      </c>
      <c r="G4066">
        <v>3</v>
      </c>
      <c r="H4066">
        <v>0</v>
      </c>
      <c r="I4066" t="s">
        <v>33</v>
      </c>
      <c r="J4066">
        <v>1</v>
      </c>
      <c r="K4066">
        <v>55</v>
      </c>
      <c r="L4066" t="s">
        <v>20</v>
      </c>
      <c r="M4066" t="s">
        <v>37</v>
      </c>
      <c r="N4066" t="s">
        <v>22</v>
      </c>
      <c r="O4066" t="s">
        <v>27</v>
      </c>
      <c r="P4066">
        <v>5.78</v>
      </c>
      <c r="Q4066" s="2" t="b">
        <f>FALSE()</f>
        <v>0</v>
      </c>
      <c r="R4066">
        <v>0</v>
      </c>
    </row>
    <row r="4067" spans="1:18" x14ac:dyDescent="0.25">
      <c r="A4067">
        <v>204066</v>
      </c>
      <c r="B4067">
        <v>53961</v>
      </c>
      <c r="C4067" t="s">
        <v>18</v>
      </c>
      <c r="D4067">
        <v>1283.3599999999999</v>
      </c>
      <c r="E4067">
        <v>1031</v>
      </c>
      <c r="F4067">
        <v>0</v>
      </c>
      <c r="G4067">
        <v>4</v>
      </c>
      <c r="H4067">
        <v>0</v>
      </c>
      <c r="I4067" t="s">
        <v>33</v>
      </c>
      <c r="J4067">
        <v>1</v>
      </c>
      <c r="K4067">
        <v>39</v>
      </c>
      <c r="L4067" t="s">
        <v>24</v>
      </c>
      <c r="M4067" t="s">
        <v>25</v>
      </c>
      <c r="N4067" t="s">
        <v>26</v>
      </c>
      <c r="O4067" t="s">
        <v>36</v>
      </c>
      <c r="P4067">
        <v>1.06</v>
      </c>
      <c r="Q4067" s="2" t="b">
        <f>FALSE()</f>
        <v>0</v>
      </c>
      <c r="R4067">
        <v>0</v>
      </c>
    </row>
    <row r="4068" spans="1:18" x14ac:dyDescent="0.25">
      <c r="A4068">
        <v>204067</v>
      </c>
      <c r="B4068">
        <v>54747</v>
      </c>
      <c r="C4068" t="s">
        <v>18</v>
      </c>
      <c r="D4068">
        <v>934.82</v>
      </c>
      <c r="E4068">
        <v>2493</v>
      </c>
      <c r="F4068">
        <v>0</v>
      </c>
      <c r="G4068">
        <v>4</v>
      </c>
      <c r="H4068">
        <v>0</v>
      </c>
      <c r="I4068" t="s">
        <v>32</v>
      </c>
      <c r="J4068">
        <v>0</v>
      </c>
      <c r="K4068">
        <v>69</v>
      </c>
      <c r="L4068" t="s">
        <v>24</v>
      </c>
      <c r="M4068" t="s">
        <v>35</v>
      </c>
      <c r="N4068" t="s">
        <v>22</v>
      </c>
      <c r="O4068" t="s">
        <v>27</v>
      </c>
      <c r="P4068">
        <v>2.86</v>
      </c>
      <c r="Q4068" s="2" t="b">
        <f>FALSE()</f>
        <v>0</v>
      </c>
      <c r="R4068">
        <v>0</v>
      </c>
    </row>
    <row r="4069" spans="1:18" x14ac:dyDescent="0.25">
      <c r="A4069">
        <v>204068</v>
      </c>
      <c r="B4069">
        <v>50204</v>
      </c>
      <c r="C4069" t="s">
        <v>34</v>
      </c>
      <c r="D4069">
        <v>1900.1</v>
      </c>
      <c r="E4069">
        <v>3032</v>
      </c>
      <c r="F4069">
        <v>0</v>
      </c>
      <c r="G4069">
        <v>4</v>
      </c>
      <c r="H4069">
        <v>0</v>
      </c>
      <c r="I4069" t="s">
        <v>33</v>
      </c>
      <c r="J4069">
        <v>0</v>
      </c>
      <c r="K4069">
        <v>42</v>
      </c>
      <c r="L4069" t="s">
        <v>24</v>
      </c>
      <c r="M4069" t="s">
        <v>35</v>
      </c>
      <c r="N4069" t="s">
        <v>30</v>
      </c>
      <c r="O4069" t="s">
        <v>27</v>
      </c>
      <c r="P4069">
        <v>3.56</v>
      </c>
      <c r="Q4069" s="2" t="b">
        <f>FALSE()</f>
        <v>0</v>
      </c>
      <c r="R4069">
        <v>0</v>
      </c>
    </row>
    <row r="4070" spans="1:18" x14ac:dyDescent="0.25">
      <c r="A4070">
        <v>204069</v>
      </c>
      <c r="B4070">
        <v>52308</v>
      </c>
      <c r="C4070" t="s">
        <v>18</v>
      </c>
      <c r="D4070">
        <v>1610.52</v>
      </c>
      <c r="E4070">
        <v>2463</v>
      </c>
      <c r="F4070">
        <v>1</v>
      </c>
      <c r="G4070">
        <v>4</v>
      </c>
      <c r="H4070">
        <v>1</v>
      </c>
      <c r="I4070" t="s">
        <v>19</v>
      </c>
      <c r="J4070">
        <v>0</v>
      </c>
      <c r="K4070">
        <v>55</v>
      </c>
      <c r="L4070" t="s">
        <v>20</v>
      </c>
      <c r="M4070" t="s">
        <v>31</v>
      </c>
      <c r="N4070" t="s">
        <v>22</v>
      </c>
      <c r="O4070" t="s">
        <v>27</v>
      </c>
      <c r="P4070">
        <v>1.1499999999999999</v>
      </c>
      <c r="Q4070" s="2" t="b">
        <f>FALSE()</f>
        <v>0</v>
      </c>
      <c r="R4070">
        <v>0</v>
      </c>
    </row>
    <row r="4071" spans="1:18" x14ac:dyDescent="0.25">
      <c r="A4071">
        <v>204070</v>
      </c>
      <c r="B4071">
        <v>55499</v>
      </c>
      <c r="C4071" t="s">
        <v>34</v>
      </c>
      <c r="D4071">
        <v>5339.3</v>
      </c>
      <c r="E4071">
        <v>2956</v>
      </c>
      <c r="F4071">
        <v>4</v>
      </c>
      <c r="G4071">
        <v>4</v>
      </c>
      <c r="H4071">
        <v>1</v>
      </c>
      <c r="I4071" t="s">
        <v>19</v>
      </c>
      <c r="J4071">
        <v>0</v>
      </c>
      <c r="K4071">
        <v>38</v>
      </c>
      <c r="L4071" t="s">
        <v>24</v>
      </c>
      <c r="M4071" t="s">
        <v>21</v>
      </c>
      <c r="N4071" t="s">
        <v>22</v>
      </c>
      <c r="O4071" t="s">
        <v>27</v>
      </c>
      <c r="P4071">
        <v>1.83</v>
      </c>
      <c r="Q4071" s="2" t="b">
        <f>FALSE()</f>
        <v>0</v>
      </c>
      <c r="R4071">
        <v>1</v>
      </c>
    </row>
    <row r="4072" spans="1:18" x14ac:dyDescent="0.25">
      <c r="A4072">
        <v>204071</v>
      </c>
      <c r="B4072">
        <v>50642</v>
      </c>
      <c r="C4072" t="s">
        <v>34</v>
      </c>
      <c r="D4072">
        <v>1485.27</v>
      </c>
      <c r="E4072">
        <v>1045</v>
      </c>
      <c r="F4072">
        <v>0</v>
      </c>
      <c r="G4072">
        <v>1</v>
      </c>
      <c r="H4072">
        <v>0</v>
      </c>
      <c r="I4072" t="s">
        <v>33</v>
      </c>
      <c r="J4072">
        <v>0</v>
      </c>
      <c r="K4072">
        <v>45</v>
      </c>
      <c r="L4072" t="s">
        <v>24</v>
      </c>
      <c r="M4072" t="s">
        <v>21</v>
      </c>
      <c r="N4072" t="s">
        <v>30</v>
      </c>
      <c r="O4072" t="s">
        <v>27</v>
      </c>
      <c r="P4072">
        <v>0.37</v>
      </c>
      <c r="Q4072" s="2" t="b">
        <f>FALSE()</f>
        <v>0</v>
      </c>
      <c r="R4072">
        <v>0</v>
      </c>
    </row>
    <row r="4073" spans="1:18" x14ac:dyDescent="0.25">
      <c r="A4073">
        <v>204072</v>
      </c>
      <c r="B4073">
        <v>54828</v>
      </c>
      <c r="C4073" t="s">
        <v>34</v>
      </c>
      <c r="D4073">
        <v>7026.7</v>
      </c>
      <c r="E4073">
        <v>1368</v>
      </c>
      <c r="F4073">
        <v>2</v>
      </c>
      <c r="G4073">
        <v>2</v>
      </c>
      <c r="H4073">
        <v>0</v>
      </c>
      <c r="I4073" t="s">
        <v>33</v>
      </c>
      <c r="J4073">
        <v>0</v>
      </c>
      <c r="K4073">
        <v>62</v>
      </c>
      <c r="L4073" t="s">
        <v>24</v>
      </c>
      <c r="M4073" t="s">
        <v>31</v>
      </c>
      <c r="N4073" t="s">
        <v>30</v>
      </c>
      <c r="O4073" t="s">
        <v>23</v>
      </c>
      <c r="P4073">
        <v>1.52</v>
      </c>
      <c r="Q4073" s="2" t="b">
        <f>TRUE()</f>
        <v>1</v>
      </c>
      <c r="R4073">
        <v>1</v>
      </c>
    </row>
    <row r="4074" spans="1:18" x14ac:dyDescent="0.25">
      <c r="A4074">
        <v>204073</v>
      </c>
      <c r="B4074">
        <v>50263</v>
      </c>
      <c r="C4074" t="s">
        <v>18</v>
      </c>
      <c r="D4074">
        <v>4071.55</v>
      </c>
      <c r="E4074">
        <v>3097</v>
      </c>
      <c r="F4074">
        <v>1</v>
      </c>
      <c r="G4074">
        <v>5</v>
      </c>
      <c r="H4074">
        <v>0</v>
      </c>
      <c r="I4074" t="s">
        <v>33</v>
      </c>
      <c r="J4074">
        <v>0</v>
      </c>
      <c r="K4074">
        <v>47</v>
      </c>
      <c r="L4074" t="s">
        <v>20</v>
      </c>
      <c r="M4074" t="s">
        <v>21</v>
      </c>
      <c r="N4074" t="s">
        <v>26</v>
      </c>
      <c r="O4074" t="s">
        <v>27</v>
      </c>
      <c r="P4074">
        <v>1.47</v>
      </c>
      <c r="Q4074" s="2" t="b">
        <f>FALSE()</f>
        <v>0</v>
      </c>
      <c r="R4074">
        <v>1</v>
      </c>
    </row>
    <row r="4075" spans="1:18" x14ac:dyDescent="0.25">
      <c r="A4075">
        <v>204074</v>
      </c>
      <c r="B4075">
        <v>54000</v>
      </c>
      <c r="C4075" t="s">
        <v>28</v>
      </c>
      <c r="D4075">
        <v>1452.94</v>
      </c>
      <c r="E4075">
        <v>1242</v>
      </c>
      <c r="F4075">
        <v>3</v>
      </c>
      <c r="G4075">
        <v>1</v>
      </c>
      <c r="H4075">
        <v>1</v>
      </c>
      <c r="I4075" t="s">
        <v>33</v>
      </c>
      <c r="J4075">
        <v>0</v>
      </c>
      <c r="K4075">
        <v>77</v>
      </c>
      <c r="L4075" t="s">
        <v>24</v>
      </c>
      <c r="M4075" t="s">
        <v>37</v>
      </c>
      <c r="N4075" t="s">
        <v>30</v>
      </c>
      <c r="O4075" t="s">
        <v>27</v>
      </c>
      <c r="P4075">
        <v>0.84</v>
      </c>
      <c r="Q4075" s="2" t="b">
        <f>FALSE()</f>
        <v>0</v>
      </c>
      <c r="R4075">
        <v>1</v>
      </c>
    </row>
    <row r="4076" spans="1:18" x14ac:dyDescent="0.25">
      <c r="A4076">
        <v>204075</v>
      </c>
      <c r="B4076">
        <v>50363</v>
      </c>
      <c r="C4076" t="s">
        <v>28</v>
      </c>
      <c r="D4076">
        <v>3562.15</v>
      </c>
      <c r="E4076">
        <v>1212</v>
      </c>
      <c r="F4076">
        <v>2</v>
      </c>
      <c r="G4076">
        <v>5</v>
      </c>
      <c r="H4076">
        <v>0</v>
      </c>
      <c r="I4076" t="s">
        <v>32</v>
      </c>
      <c r="J4076">
        <v>0</v>
      </c>
      <c r="K4076">
        <v>25</v>
      </c>
      <c r="L4076" t="s">
        <v>24</v>
      </c>
      <c r="M4076" t="s">
        <v>31</v>
      </c>
      <c r="N4076" t="s">
        <v>22</v>
      </c>
      <c r="O4076" t="s">
        <v>27</v>
      </c>
      <c r="P4076">
        <v>0.28999999999999998</v>
      </c>
      <c r="Q4076" s="2" t="b">
        <f>FALSE()</f>
        <v>0</v>
      </c>
      <c r="R4076">
        <v>0</v>
      </c>
    </row>
    <row r="4077" spans="1:18" x14ac:dyDescent="0.25">
      <c r="A4077">
        <v>204076</v>
      </c>
      <c r="B4077">
        <v>55029</v>
      </c>
      <c r="C4077" t="s">
        <v>18</v>
      </c>
      <c r="D4077">
        <v>3502.69</v>
      </c>
      <c r="E4077">
        <v>1669</v>
      </c>
      <c r="F4077">
        <v>0</v>
      </c>
      <c r="G4077">
        <v>4</v>
      </c>
      <c r="H4077">
        <v>0</v>
      </c>
      <c r="I4077" t="s">
        <v>33</v>
      </c>
      <c r="J4077">
        <v>1</v>
      </c>
      <c r="K4077">
        <v>33</v>
      </c>
      <c r="L4077" t="s">
        <v>20</v>
      </c>
      <c r="M4077" t="s">
        <v>35</v>
      </c>
      <c r="N4077" t="s">
        <v>30</v>
      </c>
      <c r="O4077" t="s">
        <v>27</v>
      </c>
      <c r="P4077">
        <v>5.37</v>
      </c>
      <c r="Q4077" s="2" t="b">
        <f>FALSE()</f>
        <v>0</v>
      </c>
      <c r="R4077">
        <v>0</v>
      </c>
    </row>
    <row r="4078" spans="1:18" x14ac:dyDescent="0.25">
      <c r="A4078">
        <v>204077</v>
      </c>
      <c r="B4078">
        <v>50918</v>
      </c>
      <c r="C4078" t="s">
        <v>28</v>
      </c>
      <c r="D4078">
        <v>2119.5300000000002</v>
      </c>
      <c r="E4078">
        <v>510</v>
      </c>
      <c r="F4078">
        <v>1</v>
      </c>
      <c r="G4078">
        <v>4</v>
      </c>
      <c r="H4078">
        <v>0</v>
      </c>
      <c r="I4078" t="s">
        <v>19</v>
      </c>
      <c r="J4078">
        <v>0</v>
      </c>
      <c r="K4078">
        <v>28</v>
      </c>
      <c r="L4078" t="s">
        <v>24</v>
      </c>
      <c r="M4078" t="s">
        <v>37</v>
      </c>
      <c r="N4078" t="s">
        <v>22</v>
      </c>
      <c r="O4078" t="s">
        <v>23</v>
      </c>
      <c r="P4078">
        <v>5.73</v>
      </c>
      <c r="Q4078" s="2" t="b">
        <f>FALSE()</f>
        <v>0</v>
      </c>
      <c r="R4078">
        <v>0</v>
      </c>
    </row>
    <row r="4079" spans="1:18" x14ac:dyDescent="0.25">
      <c r="A4079">
        <v>204078</v>
      </c>
      <c r="B4079">
        <v>55418</v>
      </c>
      <c r="C4079" t="s">
        <v>18</v>
      </c>
      <c r="D4079">
        <v>5874.96</v>
      </c>
      <c r="E4079">
        <v>2477</v>
      </c>
      <c r="F4079">
        <v>2</v>
      </c>
      <c r="G4079">
        <v>5</v>
      </c>
      <c r="H4079">
        <v>0</v>
      </c>
      <c r="I4079" t="s">
        <v>19</v>
      </c>
      <c r="J4079">
        <v>0</v>
      </c>
      <c r="K4079">
        <v>42</v>
      </c>
      <c r="L4079" t="s">
        <v>20</v>
      </c>
      <c r="M4079" t="s">
        <v>29</v>
      </c>
      <c r="N4079" t="s">
        <v>30</v>
      </c>
      <c r="O4079" t="s">
        <v>27</v>
      </c>
      <c r="P4079">
        <v>4.21</v>
      </c>
      <c r="Q4079" s="2" t="b">
        <f>FALSE()</f>
        <v>0</v>
      </c>
      <c r="R4079">
        <v>1</v>
      </c>
    </row>
    <row r="4080" spans="1:18" x14ac:dyDescent="0.25">
      <c r="A4080">
        <v>204079</v>
      </c>
      <c r="B4080">
        <v>51526</v>
      </c>
      <c r="C4080" t="s">
        <v>34</v>
      </c>
      <c r="D4080">
        <v>3651.69</v>
      </c>
      <c r="E4080">
        <v>3347</v>
      </c>
      <c r="F4080">
        <v>2</v>
      </c>
      <c r="G4080">
        <v>2</v>
      </c>
      <c r="H4080">
        <v>1</v>
      </c>
      <c r="I4080" t="s">
        <v>19</v>
      </c>
      <c r="J4080">
        <v>0</v>
      </c>
      <c r="K4080">
        <v>60</v>
      </c>
      <c r="L4080" t="s">
        <v>24</v>
      </c>
      <c r="M4080" t="s">
        <v>29</v>
      </c>
      <c r="N4080" t="s">
        <v>22</v>
      </c>
      <c r="O4080" t="s">
        <v>36</v>
      </c>
      <c r="P4080">
        <v>4.6399999999999997</v>
      </c>
      <c r="Q4080" s="2" t="b">
        <f>FALSE()</f>
        <v>0</v>
      </c>
      <c r="R4080">
        <v>1</v>
      </c>
    </row>
    <row r="4081" spans="1:18" x14ac:dyDescent="0.25">
      <c r="A4081">
        <v>204080</v>
      </c>
      <c r="B4081">
        <v>52854</v>
      </c>
      <c r="C4081" t="s">
        <v>18</v>
      </c>
      <c r="D4081">
        <v>2120.4</v>
      </c>
      <c r="E4081">
        <v>1661</v>
      </c>
      <c r="F4081">
        <v>0</v>
      </c>
      <c r="G4081">
        <v>2</v>
      </c>
      <c r="H4081">
        <v>0</v>
      </c>
      <c r="I4081" t="s">
        <v>33</v>
      </c>
      <c r="J4081">
        <v>1</v>
      </c>
      <c r="K4081">
        <v>34</v>
      </c>
      <c r="L4081" t="s">
        <v>24</v>
      </c>
      <c r="M4081" t="s">
        <v>31</v>
      </c>
      <c r="N4081" t="s">
        <v>30</v>
      </c>
      <c r="O4081" t="s">
        <v>27</v>
      </c>
      <c r="P4081">
        <v>5.05</v>
      </c>
      <c r="Q4081" s="2" t="b">
        <f>FALSE()</f>
        <v>0</v>
      </c>
      <c r="R4081">
        <v>0</v>
      </c>
    </row>
    <row r="4082" spans="1:18" x14ac:dyDescent="0.25">
      <c r="A4082">
        <v>204081</v>
      </c>
      <c r="B4082">
        <v>51835</v>
      </c>
      <c r="C4082" t="s">
        <v>28</v>
      </c>
      <c r="D4082">
        <v>798.34</v>
      </c>
      <c r="E4082">
        <v>1732</v>
      </c>
      <c r="F4082">
        <v>0</v>
      </c>
      <c r="G4082">
        <v>2</v>
      </c>
      <c r="H4082">
        <v>0</v>
      </c>
      <c r="I4082" t="s">
        <v>33</v>
      </c>
      <c r="J4082">
        <v>0</v>
      </c>
      <c r="K4082">
        <v>33</v>
      </c>
      <c r="L4082" t="s">
        <v>24</v>
      </c>
      <c r="M4082" t="s">
        <v>35</v>
      </c>
      <c r="N4082" t="s">
        <v>30</v>
      </c>
      <c r="O4082" t="s">
        <v>27</v>
      </c>
      <c r="P4082">
        <v>2.92</v>
      </c>
      <c r="Q4082" s="2" t="b">
        <f>FALSE()</f>
        <v>0</v>
      </c>
      <c r="R4082">
        <v>0</v>
      </c>
    </row>
    <row r="4083" spans="1:18" x14ac:dyDescent="0.25">
      <c r="A4083">
        <v>204082</v>
      </c>
      <c r="B4083">
        <v>51367</v>
      </c>
      <c r="C4083" t="s">
        <v>18</v>
      </c>
      <c r="D4083">
        <v>2315.5700000000002</v>
      </c>
      <c r="E4083">
        <v>2691</v>
      </c>
      <c r="F4083">
        <v>1</v>
      </c>
      <c r="G4083">
        <v>2</v>
      </c>
      <c r="H4083">
        <v>0</v>
      </c>
      <c r="I4083" t="s">
        <v>33</v>
      </c>
      <c r="J4083">
        <v>1</v>
      </c>
      <c r="K4083">
        <v>66</v>
      </c>
      <c r="L4083" t="s">
        <v>20</v>
      </c>
      <c r="M4083" t="s">
        <v>31</v>
      </c>
      <c r="N4083" t="s">
        <v>22</v>
      </c>
      <c r="O4083" t="s">
        <v>36</v>
      </c>
      <c r="P4083">
        <v>1.26</v>
      </c>
      <c r="Q4083" s="2" t="b">
        <f>FALSE()</f>
        <v>0</v>
      </c>
      <c r="R4083">
        <v>0</v>
      </c>
    </row>
    <row r="4084" spans="1:18" x14ac:dyDescent="0.25">
      <c r="A4084">
        <v>204083</v>
      </c>
      <c r="B4084">
        <v>53621</v>
      </c>
      <c r="C4084" t="s">
        <v>34</v>
      </c>
      <c r="D4084">
        <v>1800.93</v>
      </c>
      <c r="E4084">
        <v>1625</v>
      </c>
      <c r="F4084">
        <v>1</v>
      </c>
      <c r="G4084">
        <v>2</v>
      </c>
      <c r="H4084">
        <v>0</v>
      </c>
      <c r="I4084" t="s">
        <v>19</v>
      </c>
      <c r="J4084">
        <v>0</v>
      </c>
      <c r="K4084">
        <v>50</v>
      </c>
      <c r="L4084" t="s">
        <v>20</v>
      </c>
      <c r="M4084" t="s">
        <v>37</v>
      </c>
      <c r="N4084" t="s">
        <v>22</v>
      </c>
      <c r="O4084" t="s">
        <v>36</v>
      </c>
      <c r="P4084">
        <v>2.4900000000000002</v>
      </c>
      <c r="Q4084" s="2" t="b">
        <f>FALSE()</f>
        <v>0</v>
      </c>
      <c r="R4084">
        <v>0</v>
      </c>
    </row>
    <row r="4085" spans="1:18" x14ac:dyDescent="0.25">
      <c r="A4085">
        <v>204084</v>
      </c>
      <c r="B4085">
        <v>51103</v>
      </c>
      <c r="C4085" t="s">
        <v>18</v>
      </c>
      <c r="D4085">
        <v>5563.96</v>
      </c>
      <c r="E4085">
        <v>3338</v>
      </c>
      <c r="F4085">
        <v>1</v>
      </c>
      <c r="G4085">
        <v>5</v>
      </c>
      <c r="H4085">
        <v>0</v>
      </c>
      <c r="I4085" t="s">
        <v>19</v>
      </c>
      <c r="J4085">
        <v>0</v>
      </c>
      <c r="K4085">
        <v>48</v>
      </c>
      <c r="L4085" t="s">
        <v>24</v>
      </c>
      <c r="M4085" t="s">
        <v>35</v>
      </c>
      <c r="N4085" t="s">
        <v>30</v>
      </c>
      <c r="O4085" t="s">
        <v>27</v>
      </c>
      <c r="P4085">
        <v>3.55</v>
      </c>
      <c r="Q4085" s="2" t="b">
        <f>FALSE()</f>
        <v>0</v>
      </c>
      <c r="R4085">
        <v>1</v>
      </c>
    </row>
    <row r="4086" spans="1:18" x14ac:dyDescent="0.25">
      <c r="A4086">
        <v>204085</v>
      </c>
      <c r="B4086">
        <v>53790</v>
      </c>
      <c r="C4086" t="s">
        <v>18</v>
      </c>
      <c r="D4086">
        <v>5981</v>
      </c>
      <c r="E4086">
        <v>2756</v>
      </c>
      <c r="F4086">
        <v>2</v>
      </c>
      <c r="G4086">
        <v>3</v>
      </c>
      <c r="H4086">
        <v>1</v>
      </c>
      <c r="I4086" t="s">
        <v>33</v>
      </c>
      <c r="J4086">
        <v>0</v>
      </c>
      <c r="K4086">
        <v>31</v>
      </c>
      <c r="L4086" t="s">
        <v>20</v>
      </c>
      <c r="M4086" t="s">
        <v>25</v>
      </c>
      <c r="N4086" t="s">
        <v>26</v>
      </c>
      <c r="O4086" t="s">
        <v>36</v>
      </c>
      <c r="P4086">
        <v>0.01</v>
      </c>
      <c r="Q4086" s="2" t="b">
        <f>FALSE()</f>
        <v>0</v>
      </c>
      <c r="R4086">
        <v>1</v>
      </c>
    </row>
    <row r="4087" spans="1:18" x14ac:dyDescent="0.25">
      <c r="A4087">
        <v>204086</v>
      </c>
      <c r="B4087">
        <v>55703</v>
      </c>
      <c r="C4087" t="s">
        <v>18</v>
      </c>
      <c r="D4087">
        <v>1868.95</v>
      </c>
      <c r="E4087">
        <v>3103</v>
      </c>
      <c r="F4087">
        <v>1</v>
      </c>
      <c r="G4087">
        <v>2</v>
      </c>
      <c r="H4087">
        <v>0</v>
      </c>
      <c r="I4087" t="s">
        <v>33</v>
      </c>
      <c r="J4087">
        <v>0</v>
      </c>
      <c r="K4087">
        <v>45</v>
      </c>
      <c r="L4087" t="s">
        <v>38</v>
      </c>
      <c r="M4087" t="s">
        <v>29</v>
      </c>
      <c r="N4087" t="s">
        <v>22</v>
      </c>
      <c r="O4087" t="s">
        <v>23</v>
      </c>
      <c r="P4087">
        <v>0.44</v>
      </c>
      <c r="Q4087" s="2" t="b">
        <f>FALSE()</f>
        <v>0</v>
      </c>
      <c r="R4087">
        <v>0</v>
      </c>
    </row>
    <row r="4088" spans="1:18" x14ac:dyDescent="0.25">
      <c r="A4088">
        <v>204087</v>
      </c>
      <c r="B4088">
        <v>51456</v>
      </c>
      <c r="C4088" t="s">
        <v>18</v>
      </c>
      <c r="D4088">
        <v>857.67</v>
      </c>
      <c r="E4088">
        <v>1860</v>
      </c>
      <c r="F4088">
        <v>1</v>
      </c>
      <c r="G4088">
        <v>3</v>
      </c>
      <c r="H4088">
        <v>1</v>
      </c>
      <c r="I4088" t="s">
        <v>33</v>
      </c>
      <c r="J4088">
        <v>0</v>
      </c>
      <c r="K4088">
        <v>31</v>
      </c>
      <c r="L4088" t="s">
        <v>20</v>
      </c>
      <c r="M4088" t="s">
        <v>21</v>
      </c>
      <c r="N4088" t="s">
        <v>30</v>
      </c>
      <c r="O4088" t="s">
        <v>23</v>
      </c>
      <c r="P4088">
        <v>1.3</v>
      </c>
      <c r="Q4088" s="2" t="b">
        <f>FALSE()</f>
        <v>0</v>
      </c>
      <c r="R4088">
        <v>0</v>
      </c>
    </row>
    <row r="4089" spans="1:18" x14ac:dyDescent="0.25">
      <c r="A4089">
        <v>204088</v>
      </c>
      <c r="B4089">
        <v>54811</v>
      </c>
      <c r="C4089" t="s">
        <v>18</v>
      </c>
      <c r="D4089">
        <v>2133.69</v>
      </c>
      <c r="E4089">
        <v>157</v>
      </c>
      <c r="F4089">
        <v>1</v>
      </c>
      <c r="G4089">
        <v>5</v>
      </c>
      <c r="H4089">
        <v>0</v>
      </c>
      <c r="I4089" t="s">
        <v>33</v>
      </c>
      <c r="J4089">
        <v>0</v>
      </c>
      <c r="K4089">
        <v>41</v>
      </c>
      <c r="L4089" t="s">
        <v>24</v>
      </c>
      <c r="M4089" t="s">
        <v>31</v>
      </c>
      <c r="N4089" t="s">
        <v>22</v>
      </c>
      <c r="O4089" t="s">
        <v>23</v>
      </c>
      <c r="P4089">
        <v>0.17</v>
      </c>
      <c r="Q4089" s="2" t="b">
        <f>FALSE()</f>
        <v>0</v>
      </c>
      <c r="R4089">
        <v>0</v>
      </c>
    </row>
    <row r="4090" spans="1:18" x14ac:dyDescent="0.25">
      <c r="A4090">
        <v>204089</v>
      </c>
      <c r="B4090">
        <v>53161</v>
      </c>
      <c r="C4090" t="s">
        <v>18</v>
      </c>
      <c r="D4090">
        <v>2198.23</v>
      </c>
      <c r="E4090">
        <v>776</v>
      </c>
      <c r="F4090">
        <v>0</v>
      </c>
      <c r="G4090">
        <v>4</v>
      </c>
      <c r="H4090">
        <v>0</v>
      </c>
      <c r="I4090" t="s">
        <v>19</v>
      </c>
      <c r="J4090">
        <v>1</v>
      </c>
      <c r="K4090">
        <v>51</v>
      </c>
      <c r="L4090" t="s">
        <v>20</v>
      </c>
      <c r="M4090" t="s">
        <v>35</v>
      </c>
      <c r="N4090" t="s">
        <v>30</v>
      </c>
      <c r="O4090" t="s">
        <v>36</v>
      </c>
      <c r="P4090">
        <v>2.65</v>
      </c>
      <c r="Q4090" s="2" t="b">
        <f>FALSE()</f>
        <v>0</v>
      </c>
      <c r="R4090">
        <v>0</v>
      </c>
    </row>
    <row r="4091" spans="1:18" x14ac:dyDescent="0.25">
      <c r="A4091">
        <v>204090</v>
      </c>
      <c r="B4091">
        <v>51697</v>
      </c>
      <c r="C4091" t="s">
        <v>34</v>
      </c>
      <c r="D4091">
        <v>3222.75</v>
      </c>
      <c r="E4091">
        <v>3610</v>
      </c>
      <c r="F4091">
        <v>1</v>
      </c>
      <c r="G4091">
        <v>4</v>
      </c>
      <c r="H4091">
        <v>0</v>
      </c>
      <c r="I4091" t="s">
        <v>19</v>
      </c>
      <c r="J4091">
        <v>0</v>
      </c>
      <c r="K4091">
        <v>62</v>
      </c>
      <c r="L4091" t="s">
        <v>20</v>
      </c>
      <c r="M4091" t="s">
        <v>25</v>
      </c>
      <c r="N4091" t="s">
        <v>22</v>
      </c>
      <c r="O4091" t="s">
        <v>23</v>
      </c>
      <c r="P4091">
        <v>1.21</v>
      </c>
      <c r="Q4091" s="2" t="b">
        <f>FALSE()</f>
        <v>0</v>
      </c>
      <c r="R4091">
        <v>0</v>
      </c>
    </row>
    <row r="4092" spans="1:18" x14ac:dyDescent="0.25">
      <c r="A4092">
        <v>204091</v>
      </c>
      <c r="B4092">
        <v>53613</v>
      </c>
      <c r="C4092" t="s">
        <v>18</v>
      </c>
      <c r="D4092">
        <v>3443.33</v>
      </c>
      <c r="E4092">
        <v>2719</v>
      </c>
      <c r="F4092">
        <v>2</v>
      </c>
      <c r="G4092">
        <v>8</v>
      </c>
      <c r="H4092">
        <v>0</v>
      </c>
      <c r="I4092" t="s">
        <v>33</v>
      </c>
      <c r="J4092">
        <v>0</v>
      </c>
      <c r="K4092">
        <v>22</v>
      </c>
      <c r="L4092" t="s">
        <v>20</v>
      </c>
      <c r="M4092" t="s">
        <v>29</v>
      </c>
      <c r="N4092" t="s">
        <v>30</v>
      </c>
      <c r="O4092" t="s">
        <v>36</v>
      </c>
      <c r="P4092">
        <v>1.23</v>
      </c>
      <c r="Q4092" s="2" t="b">
        <f>FALSE()</f>
        <v>0</v>
      </c>
      <c r="R4092">
        <v>1</v>
      </c>
    </row>
    <row r="4093" spans="1:18" x14ac:dyDescent="0.25">
      <c r="A4093">
        <v>204092</v>
      </c>
      <c r="B4093">
        <v>50192</v>
      </c>
      <c r="C4093" t="s">
        <v>18</v>
      </c>
      <c r="D4093">
        <v>1060.67</v>
      </c>
      <c r="E4093">
        <v>2238</v>
      </c>
      <c r="F4093">
        <v>0</v>
      </c>
      <c r="G4093">
        <v>5</v>
      </c>
      <c r="H4093">
        <v>0</v>
      </c>
      <c r="I4093" t="s">
        <v>33</v>
      </c>
      <c r="J4093">
        <v>1</v>
      </c>
      <c r="K4093">
        <v>74</v>
      </c>
      <c r="L4093" t="s">
        <v>20</v>
      </c>
      <c r="M4093" t="s">
        <v>35</v>
      </c>
      <c r="N4093" t="s">
        <v>30</v>
      </c>
      <c r="O4093" t="s">
        <v>23</v>
      </c>
      <c r="P4093">
        <v>0.95</v>
      </c>
      <c r="Q4093" s="2" t="b">
        <f>FALSE()</f>
        <v>0</v>
      </c>
      <c r="R4093">
        <v>0</v>
      </c>
    </row>
    <row r="4094" spans="1:18" x14ac:dyDescent="0.25">
      <c r="A4094">
        <v>204093</v>
      </c>
      <c r="B4094">
        <v>55889</v>
      </c>
      <c r="C4094" t="s">
        <v>34</v>
      </c>
      <c r="D4094">
        <v>482.36</v>
      </c>
      <c r="E4094">
        <v>687</v>
      </c>
      <c r="F4094">
        <v>0</v>
      </c>
      <c r="G4094">
        <v>7</v>
      </c>
      <c r="H4094">
        <v>0</v>
      </c>
      <c r="I4094" t="s">
        <v>19</v>
      </c>
      <c r="J4094">
        <v>0</v>
      </c>
      <c r="K4094">
        <v>70</v>
      </c>
      <c r="L4094" t="s">
        <v>20</v>
      </c>
      <c r="M4094" t="s">
        <v>29</v>
      </c>
      <c r="N4094" t="s">
        <v>30</v>
      </c>
      <c r="O4094" t="s">
        <v>27</v>
      </c>
      <c r="P4094">
        <v>1.1399999999999999</v>
      </c>
      <c r="Q4094" s="2" t="b">
        <f>FALSE()</f>
        <v>0</v>
      </c>
      <c r="R4094">
        <v>1</v>
      </c>
    </row>
    <row r="4095" spans="1:18" x14ac:dyDescent="0.25">
      <c r="A4095">
        <v>204094</v>
      </c>
      <c r="B4095">
        <v>54665</v>
      </c>
      <c r="C4095" t="s">
        <v>28</v>
      </c>
      <c r="D4095">
        <v>3606.93</v>
      </c>
      <c r="E4095">
        <v>22</v>
      </c>
      <c r="F4095">
        <v>3</v>
      </c>
      <c r="G4095">
        <v>2</v>
      </c>
      <c r="H4095">
        <v>0</v>
      </c>
      <c r="I4095" t="s">
        <v>33</v>
      </c>
      <c r="J4095">
        <v>0</v>
      </c>
      <c r="K4095">
        <v>62</v>
      </c>
      <c r="L4095" t="s">
        <v>24</v>
      </c>
      <c r="M4095" t="s">
        <v>37</v>
      </c>
      <c r="N4095" t="s">
        <v>26</v>
      </c>
      <c r="O4095" t="s">
        <v>36</v>
      </c>
      <c r="P4095">
        <v>0.2</v>
      </c>
      <c r="Q4095" s="2" t="b">
        <f>FALSE()</f>
        <v>0</v>
      </c>
      <c r="R4095">
        <v>1</v>
      </c>
    </row>
    <row r="4096" spans="1:18" x14ac:dyDescent="0.25">
      <c r="A4096">
        <v>204095</v>
      </c>
      <c r="B4096">
        <v>52100</v>
      </c>
      <c r="C4096" t="s">
        <v>18</v>
      </c>
      <c r="D4096">
        <v>4140.92</v>
      </c>
      <c r="E4096">
        <v>3025</v>
      </c>
      <c r="F4096">
        <v>2</v>
      </c>
      <c r="G4096">
        <v>1</v>
      </c>
      <c r="H4096">
        <v>0</v>
      </c>
      <c r="I4096" t="s">
        <v>33</v>
      </c>
      <c r="J4096">
        <v>0</v>
      </c>
      <c r="K4096">
        <v>27</v>
      </c>
      <c r="L4096" t="s">
        <v>24</v>
      </c>
      <c r="M4096" t="s">
        <v>29</v>
      </c>
      <c r="N4096" t="s">
        <v>30</v>
      </c>
      <c r="O4096" t="s">
        <v>23</v>
      </c>
      <c r="P4096">
        <v>2.61</v>
      </c>
      <c r="Q4096" s="2" t="b">
        <f>FALSE()</f>
        <v>0</v>
      </c>
      <c r="R4096">
        <v>1</v>
      </c>
    </row>
    <row r="4097" spans="1:18" x14ac:dyDescent="0.25">
      <c r="A4097">
        <v>204096</v>
      </c>
      <c r="B4097">
        <v>54653</v>
      </c>
      <c r="C4097" t="s">
        <v>18</v>
      </c>
      <c r="D4097">
        <v>3548.86</v>
      </c>
      <c r="E4097">
        <v>20</v>
      </c>
      <c r="F4097">
        <v>1</v>
      </c>
      <c r="G4097">
        <v>4</v>
      </c>
      <c r="H4097">
        <v>0</v>
      </c>
      <c r="I4097" t="s">
        <v>33</v>
      </c>
      <c r="J4097">
        <v>0</v>
      </c>
      <c r="K4097">
        <v>49</v>
      </c>
      <c r="L4097" t="s">
        <v>24</v>
      </c>
      <c r="M4097" t="s">
        <v>35</v>
      </c>
      <c r="N4097" t="s">
        <v>26</v>
      </c>
      <c r="O4097" t="s">
        <v>27</v>
      </c>
      <c r="P4097">
        <v>1.33</v>
      </c>
      <c r="Q4097" s="2" t="b">
        <f>FALSE()</f>
        <v>0</v>
      </c>
      <c r="R4097">
        <v>0</v>
      </c>
    </row>
    <row r="4098" spans="1:18" x14ac:dyDescent="0.25">
      <c r="A4098">
        <v>204097</v>
      </c>
      <c r="B4098">
        <v>54239</v>
      </c>
      <c r="C4098" t="s">
        <v>18</v>
      </c>
      <c r="D4098">
        <v>1385.6</v>
      </c>
      <c r="E4098">
        <v>660</v>
      </c>
      <c r="F4098">
        <v>0</v>
      </c>
      <c r="G4098">
        <v>1</v>
      </c>
      <c r="H4098">
        <v>0</v>
      </c>
      <c r="I4098" t="s">
        <v>33</v>
      </c>
      <c r="J4098">
        <v>1</v>
      </c>
      <c r="K4098">
        <v>77</v>
      </c>
      <c r="L4098" t="s">
        <v>20</v>
      </c>
      <c r="M4098" t="s">
        <v>21</v>
      </c>
      <c r="N4098" t="s">
        <v>30</v>
      </c>
      <c r="O4098" t="s">
        <v>36</v>
      </c>
      <c r="P4098">
        <v>2.64</v>
      </c>
      <c r="Q4098" s="2" t="b">
        <f>FALSE()</f>
        <v>0</v>
      </c>
      <c r="R4098">
        <v>0</v>
      </c>
    </row>
    <row r="4099" spans="1:18" x14ac:dyDescent="0.25">
      <c r="A4099">
        <v>204098</v>
      </c>
      <c r="B4099">
        <v>54453</v>
      </c>
      <c r="C4099" t="s">
        <v>34</v>
      </c>
      <c r="D4099">
        <v>4057.55</v>
      </c>
      <c r="E4099">
        <v>330</v>
      </c>
      <c r="F4099">
        <v>1</v>
      </c>
      <c r="G4099">
        <v>5</v>
      </c>
      <c r="H4099">
        <v>1</v>
      </c>
      <c r="I4099" t="s">
        <v>32</v>
      </c>
      <c r="J4099">
        <v>0</v>
      </c>
      <c r="K4099">
        <v>58</v>
      </c>
      <c r="L4099" t="s">
        <v>20</v>
      </c>
      <c r="M4099" t="s">
        <v>29</v>
      </c>
      <c r="N4099" t="s">
        <v>30</v>
      </c>
      <c r="O4099" t="s">
        <v>36</v>
      </c>
      <c r="P4099">
        <v>1.46</v>
      </c>
      <c r="Q4099" s="2" t="b">
        <f>FALSE()</f>
        <v>0</v>
      </c>
      <c r="R4099">
        <v>1</v>
      </c>
    </row>
    <row r="4100" spans="1:18" x14ac:dyDescent="0.25">
      <c r="A4100">
        <v>204099</v>
      </c>
      <c r="B4100">
        <v>53445</v>
      </c>
      <c r="C4100" t="s">
        <v>34</v>
      </c>
      <c r="D4100">
        <v>358.07</v>
      </c>
      <c r="E4100">
        <v>1939</v>
      </c>
      <c r="F4100">
        <v>0</v>
      </c>
      <c r="G4100">
        <v>3</v>
      </c>
      <c r="H4100">
        <v>0</v>
      </c>
      <c r="I4100" t="s">
        <v>33</v>
      </c>
      <c r="J4100">
        <v>0</v>
      </c>
      <c r="K4100">
        <v>58</v>
      </c>
      <c r="L4100" t="s">
        <v>24</v>
      </c>
      <c r="M4100" t="s">
        <v>29</v>
      </c>
      <c r="N4100" t="s">
        <v>26</v>
      </c>
      <c r="O4100" t="s">
        <v>27</v>
      </c>
      <c r="P4100">
        <v>7.19</v>
      </c>
      <c r="Q4100" s="2" t="b">
        <f>FALSE()</f>
        <v>0</v>
      </c>
      <c r="R4100">
        <v>0</v>
      </c>
    </row>
    <row r="4101" spans="1:18" x14ac:dyDescent="0.25">
      <c r="A4101">
        <v>204100</v>
      </c>
      <c r="B4101">
        <v>55162</v>
      </c>
      <c r="C4101" t="s">
        <v>18</v>
      </c>
      <c r="D4101">
        <v>5913.26</v>
      </c>
      <c r="E4101">
        <v>312</v>
      </c>
      <c r="F4101">
        <v>0</v>
      </c>
      <c r="G4101">
        <v>1</v>
      </c>
      <c r="H4101">
        <v>0</v>
      </c>
      <c r="I4101" t="s">
        <v>33</v>
      </c>
      <c r="J4101">
        <v>0</v>
      </c>
      <c r="K4101">
        <v>57</v>
      </c>
      <c r="L4101" t="s">
        <v>38</v>
      </c>
      <c r="M4101" t="s">
        <v>37</v>
      </c>
      <c r="N4101" t="s">
        <v>22</v>
      </c>
      <c r="O4101" t="s">
        <v>36</v>
      </c>
      <c r="P4101">
        <v>0.73</v>
      </c>
      <c r="Q4101" s="2" t="b">
        <f>FALSE()</f>
        <v>0</v>
      </c>
      <c r="R4101">
        <v>1</v>
      </c>
    </row>
    <row r="4102" spans="1:18" x14ac:dyDescent="0.25">
      <c r="A4102">
        <v>204101</v>
      </c>
      <c r="B4102">
        <v>53930</v>
      </c>
      <c r="C4102" t="s">
        <v>18</v>
      </c>
      <c r="D4102">
        <v>838.54</v>
      </c>
      <c r="E4102">
        <v>1641</v>
      </c>
      <c r="F4102">
        <v>2</v>
      </c>
      <c r="G4102">
        <v>5</v>
      </c>
      <c r="H4102">
        <v>0</v>
      </c>
      <c r="I4102" t="s">
        <v>33</v>
      </c>
      <c r="J4102">
        <v>0</v>
      </c>
      <c r="K4102">
        <v>32</v>
      </c>
      <c r="L4102" t="s">
        <v>24</v>
      </c>
      <c r="M4102" t="s">
        <v>37</v>
      </c>
      <c r="N4102" t="s">
        <v>22</v>
      </c>
      <c r="O4102" t="s">
        <v>36</v>
      </c>
      <c r="P4102">
        <v>1.3</v>
      </c>
      <c r="Q4102" s="2" t="b">
        <f>FALSE()</f>
        <v>0</v>
      </c>
      <c r="R4102">
        <v>0</v>
      </c>
    </row>
    <row r="4103" spans="1:18" x14ac:dyDescent="0.25">
      <c r="A4103">
        <v>204102</v>
      </c>
      <c r="B4103">
        <v>51942</v>
      </c>
      <c r="C4103" t="s">
        <v>18</v>
      </c>
      <c r="D4103">
        <v>6139.42</v>
      </c>
      <c r="E4103">
        <v>3194</v>
      </c>
      <c r="F4103">
        <v>2</v>
      </c>
      <c r="G4103">
        <v>3</v>
      </c>
      <c r="H4103">
        <v>0</v>
      </c>
      <c r="I4103" t="s">
        <v>33</v>
      </c>
      <c r="J4103">
        <v>0</v>
      </c>
      <c r="K4103">
        <v>18</v>
      </c>
      <c r="L4103" t="s">
        <v>24</v>
      </c>
      <c r="M4103" t="s">
        <v>35</v>
      </c>
      <c r="N4103" t="s">
        <v>26</v>
      </c>
      <c r="O4103" t="s">
        <v>36</v>
      </c>
      <c r="P4103">
        <v>1.31</v>
      </c>
      <c r="Q4103" s="2" t="b">
        <f>FALSE()</f>
        <v>0</v>
      </c>
      <c r="R4103">
        <v>1</v>
      </c>
    </row>
    <row r="4104" spans="1:18" x14ac:dyDescent="0.25">
      <c r="A4104">
        <v>204103</v>
      </c>
      <c r="B4104">
        <v>50437</v>
      </c>
      <c r="C4104" t="s">
        <v>28</v>
      </c>
      <c r="D4104">
        <v>3781.88</v>
      </c>
      <c r="E4104">
        <v>1557</v>
      </c>
      <c r="F4104">
        <v>1</v>
      </c>
      <c r="G4104">
        <v>6</v>
      </c>
      <c r="H4104">
        <v>1</v>
      </c>
      <c r="I4104" t="s">
        <v>32</v>
      </c>
      <c r="J4104">
        <v>0</v>
      </c>
      <c r="K4104">
        <v>47</v>
      </c>
      <c r="L4104" t="s">
        <v>20</v>
      </c>
      <c r="M4104" t="s">
        <v>21</v>
      </c>
      <c r="N4104" t="s">
        <v>30</v>
      </c>
      <c r="O4104" t="s">
        <v>36</v>
      </c>
      <c r="P4104">
        <v>1.07</v>
      </c>
      <c r="Q4104" s="2" t="b">
        <f>FALSE()</f>
        <v>0</v>
      </c>
      <c r="R4104">
        <v>1</v>
      </c>
    </row>
    <row r="4105" spans="1:18" x14ac:dyDescent="0.25">
      <c r="A4105">
        <v>204104</v>
      </c>
      <c r="B4105">
        <v>53810</v>
      </c>
      <c r="C4105" t="s">
        <v>18</v>
      </c>
      <c r="D4105">
        <v>459.38</v>
      </c>
      <c r="E4105">
        <v>3580</v>
      </c>
      <c r="F4105">
        <v>0</v>
      </c>
      <c r="G4105">
        <v>5</v>
      </c>
      <c r="H4105">
        <v>0</v>
      </c>
      <c r="I4105" t="s">
        <v>33</v>
      </c>
      <c r="J4105">
        <v>0</v>
      </c>
      <c r="K4105">
        <v>51</v>
      </c>
      <c r="L4105" t="s">
        <v>24</v>
      </c>
      <c r="M4105" t="s">
        <v>21</v>
      </c>
      <c r="N4105" t="s">
        <v>22</v>
      </c>
      <c r="O4105" t="s">
        <v>23</v>
      </c>
      <c r="P4105">
        <v>0.59</v>
      </c>
      <c r="Q4105" s="2" t="b">
        <f>FALSE()</f>
        <v>0</v>
      </c>
      <c r="R4105">
        <v>0</v>
      </c>
    </row>
    <row r="4106" spans="1:18" x14ac:dyDescent="0.25">
      <c r="A4106">
        <v>204105</v>
      </c>
      <c r="B4106">
        <v>50316</v>
      </c>
      <c r="C4106" t="s">
        <v>18</v>
      </c>
      <c r="D4106">
        <v>1649</v>
      </c>
      <c r="E4106">
        <v>2495</v>
      </c>
      <c r="F4106">
        <v>1</v>
      </c>
      <c r="G4106">
        <v>9</v>
      </c>
      <c r="H4106">
        <v>1</v>
      </c>
      <c r="I4106" t="s">
        <v>33</v>
      </c>
      <c r="J4106">
        <v>0</v>
      </c>
      <c r="K4106">
        <v>28</v>
      </c>
      <c r="L4106" t="s">
        <v>20</v>
      </c>
      <c r="M4106" t="s">
        <v>25</v>
      </c>
      <c r="N4106" t="s">
        <v>30</v>
      </c>
      <c r="O4106" t="s">
        <v>27</v>
      </c>
      <c r="P4106">
        <v>2.5</v>
      </c>
      <c r="Q4106" s="2" t="b">
        <f>FALSE()</f>
        <v>0</v>
      </c>
      <c r="R4106">
        <v>1</v>
      </c>
    </row>
    <row r="4107" spans="1:18" x14ac:dyDescent="0.25">
      <c r="A4107">
        <v>204106</v>
      </c>
      <c r="B4107">
        <v>53205</v>
      </c>
      <c r="C4107" t="s">
        <v>18</v>
      </c>
      <c r="D4107">
        <v>2958.23</v>
      </c>
      <c r="E4107">
        <v>1484</v>
      </c>
      <c r="F4107">
        <v>1</v>
      </c>
      <c r="G4107">
        <v>2</v>
      </c>
      <c r="H4107">
        <v>0</v>
      </c>
      <c r="I4107" t="s">
        <v>33</v>
      </c>
      <c r="J4107">
        <v>1</v>
      </c>
      <c r="K4107">
        <v>25</v>
      </c>
      <c r="L4107" t="s">
        <v>20</v>
      </c>
      <c r="M4107" t="s">
        <v>31</v>
      </c>
      <c r="N4107" t="s">
        <v>22</v>
      </c>
      <c r="O4107" t="s">
        <v>36</v>
      </c>
      <c r="P4107">
        <v>2.66</v>
      </c>
      <c r="Q4107" s="2" t="b">
        <f>FALSE()</f>
        <v>0</v>
      </c>
      <c r="R4107">
        <v>0</v>
      </c>
    </row>
    <row r="4108" spans="1:18" x14ac:dyDescent="0.25">
      <c r="A4108">
        <v>204107</v>
      </c>
      <c r="B4108">
        <v>55744</v>
      </c>
      <c r="C4108" t="s">
        <v>18</v>
      </c>
      <c r="D4108">
        <v>1639.71</v>
      </c>
      <c r="E4108">
        <v>2921</v>
      </c>
      <c r="F4108">
        <v>1</v>
      </c>
      <c r="G4108">
        <v>5</v>
      </c>
      <c r="H4108">
        <v>0</v>
      </c>
      <c r="I4108" t="s">
        <v>33</v>
      </c>
      <c r="J4108">
        <v>1</v>
      </c>
      <c r="K4108">
        <v>42</v>
      </c>
      <c r="L4108" t="s">
        <v>24</v>
      </c>
      <c r="M4108" t="s">
        <v>35</v>
      </c>
      <c r="N4108" t="s">
        <v>22</v>
      </c>
      <c r="O4108" t="s">
        <v>23</v>
      </c>
      <c r="P4108">
        <v>10.02</v>
      </c>
      <c r="Q4108" s="2" t="b">
        <f>FALSE()</f>
        <v>0</v>
      </c>
      <c r="R4108">
        <v>0</v>
      </c>
    </row>
    <row r="4109" spans="1:18" x14ac:dyDescent="0.25">
      <c r="A4109">
        <v>204108</v>
      </c>
      <c r="B4109">
        <v>52011</v>
      </c>
      <c r="C4109" t="s">
        <v>28</v>
      </c>
      <c r="D4109">
        <v>2298.92</v>
      </c>
      <c r="E4109">
        <v>2174</v>
      </c>
      <c r="F4109">
        <v>1</v>
      </c>
      <c r="G4109">
        <v>6</v>
      </c>
      <c r="H4109">
        <v>0</v>
      </c>
      <c r="I4109" t="s">
        <v>19</v>
      </c>
      <c r="J4109">
        <v>0</v>
      </c>
      <c r="K4109">
        <v>20</v>
      </c>
      <c r="L4109" t="s">
        <v>20</v>
      </c>
      <c r="M4109" t="s">
        <v>31</v>
      </c>
      <c r="N4109" t="s">
        <v>30</v>
      </c>
      <c r="O4109" t="s">
        <v>27</v>
      </c>
      <c r="P4109">
        <v>7.53</v>
      </c>
      <c r="Q4109" s="2" t="b">
        <f>FALSE()</f>
        <v>0</v>
      </c>
      <c r="R4109">
        <v>0</v>
      </c>
    </row>
    <row r="4110" spans="1:18" x14ac:dyDescent="0.25">
      <c r="A4110">
        <v>204109</v>
      </c>
      <c r="B4110">
        <v>55584</v>
      </c>
      <c r="C4110" t="s">
        <v>34</v>
      </c>
      <c r="D4110">
        <v>2125.2600000000002</v>
      </c>
      <c r="E4110">
        <v>2746</v>
      </c>
      <c r="F4110">
        <v>1</v>
      </c>
      <c r="G4110">
        <v>6</v>
      </c>
      <c r="H4110">
        <v>0</v>
      </c>
      <c r="I4110" t="s">
        <v>33</v>
      </c>
      <c r="J4110">
        <v>0</v>
      </c>
      <c r="K4110">
        <v>37</v>
      </c>
      <c r="L4110" t="s">
        <v>20</v>
      </c>
      <c r="M4110" t="s">
        <v>31</v>
      </c>
      <c r="N4110" t="s">
        <v>22</v>
      </c>
      <c r="O4110" t="s">
        <v>27</v>
      </c>
      <c r="P4110">
        <v>4.2699999999999996</v>
      </c>
      <c r="Q4110" s="2" t="b">
        <f>FALSE()</f>
        <v>0</v>
      </c>
      <c r="R4110">
        <v>0</v>
      </c>
    </row>
    <row r="4111" spans="1:18" x14ac:dyDescent="0.25">
      <c r="A4111">
        <v>204110</v>
      </c>
      <c r="B4111">
        <v>53228</v>
      </c>
      <c r="C4111" t="s">
        <v>34</v>
      </c>
      <c r="D4111">
        <v>1158.07</v>
      </c>
      <c r="E4111">
        <v>1379</v>
      </c>
      <c r="F4111">
        <v>1</v>
      </c>
      <c r="G4111">
        <v>4</v>
      </c>
      <c r="H4111">
        <v>0</v>
      </c>
      <c r="I4111" t="s">
        <v>33</v>
      </c>
      <c r="J4111">
        <v>0</v>
      </c>
      <c r="K4111">
        <v>77</v>
      </c>
      <c r="L4111" t="s">
        <v>24</v>
      </c>
      <c r="M4111" t="s">
        <v>21</v>
      </c>
      <c r="N4111" t="s">
        <v>30</v>
      </c>
      <c r="O4111" t="s">
        <v>36</v>
      </c>
      <c r="P4111">
        <v>5.61</v>
      </c>
      <c r="Q4111" s="2" t="b">
        <f>FALSE()</f>
        <v>0</v>
      </c>
      <c r="R4111">
        <v>0</v>
      </c>
    </row>
    <row r="4112" spans="1:18" x14ac:dyDescent="0.25">
      <c r="A4112">
        <v>204111</v>
      </c>
      <c r="B4112">
        <v>53053</v>
      </c>
      <c r="C4112" t="s">
        <v>34</v>
      </c>
      <c r="D4112">
        <v>1555.39</v>
      </c>
      <c r="E4112">
        <v>1712</v>
      </c>
      <c r="F4112">
        <v>2</v>
      </c>
      <c r="G4112">
        <v>3</v>
      </c>
      <c r="H4112">
        <v>0</v>
      </c>
      <c r="I4112" t="s">
        <v>33</v>
      </c>
      <c r="J4112">
        <v>0</v>
      </c>
      <c r="K4112">
        <v>69</v>
      </c>
      <c r="L4112" t="s">
        <v>24</v>
      </c>
      <c r="M4112" t="s">
        <v>21</v>
      </c>
      <c r="N4112" t="s">
        <v>22</v>
      </c>
      <c r="O4112" t="s">
        <v>36</v>
      </c>
      <c r="P4112">
        <v>0.51</v>
      </c>
      <c r="Q4112" s="2" t="b">
        <f>FALSE()</f>
        <v>0</v>
      </c>
      <c r="R4112">
        <v>0</v>
      </c>
    </row>
    <row r="4113" spans="1:18" x14ac:dyDescent="0.25">
      <c r="A4113">
        <v>204112</v>
      </c>
      <c r="B4113">
        <v>55948</v>
      </c>
      <c r="C4113" t="s">
        <v>18</v>
      </c>
      <c r="D4113">
        <v>2803.71</v>
      </c>
      <c r="E4113">
        <v>259</v>
      </c>
      <c r="F4113">
        <v>1</v>
      </c>
      <c r="G4113">
        <v>3</v>
      </c>
      <c r="H4113">
        <v>0</v>
      </c>
      <c r="I4113" t="s">
        <v>19</v>
      </c>
      <c r="J4113">
        <v>1</v>
      </c>
      <c r="K4113">
        <v>69</v>
      </c>
      <c r="L4113" t="s">
        <v>20</v>
      </c>
      <c r="M4113" t="s">
        <v>31</v>
      </c>
      <c r="N4113" t="s">
        <v>22</v>
      </c>
      <c r="O4113" t="s">
        <v>36</v>
      </c>
      <c r="P4113">
        <v>0.56999999999999995</v>
      </c>
      <c r="Q4113" s="2" t="b">
        <f>FALSE()</f>
        <v>0</v>
      </c>
      <c r="R4113">
        <v>0</v>
      </c>
    </row>
    <row r="4114" spans="1:18" x14ac:dyDescent="0.25">
      <c r="A4114">
        <v>204113</v>
      </c>
      <c r="B4114">
        <v>52436</v>
      </c>
      <c r="C4114" t="s">
        <v>18</v>
      </c>
      <c r="D4114">
        <v>2887.77</v>
      </c>
      <c r="E4114">
        <v>1710</v>
      </c>
      <c r="F4114">
        <v>0</v>
      </c>
      <c r="G4114">
        <v>5</v>
      </c>
      <c r="H4114">
        <v>0</v>
      </c>
      <c r="I4114" t="s">
        <v>33</v>
      </c>
      <c r="J4114">
        <v>0</v>
      </c>
      <c r="K4114">
        <v>31</v>
      </c>
      <c r="L4114" t="s">
        <v>20</v>
      </c>
      <c r="M4114" t="s">
        <v>37</v>
      </c>
      <c r="N4114" t="s">
        <v>22</v>
      </c>
      <c r="O4114" t="s">
        <v>36</v>
      </c>
      <c r="P4114">
        <v>4.0599999999999996</v>
      </c>
      <c r="Q4114" s="2" t="b">
        <f>FALSE()</f>
        <v>0</v>
      </c>
      <c r="R4114">
        <v>0</v>
      </c>
    </row>
    <row r="4115" spans="1:18" x14ac:dyDescent="0.25">
      <c r="A4115">
        <v>204114</v>
      </c>
      <c r="B4115">
        <v>54064</v>
      </c>
      <c r="C4115" t="s">
        <v>34</v>
      </c>
      <c r="D4115">
        <v>2696.74</v>
      </c>
      <c r="E4115">
        <v>180</v>
      </c>
      <c r="F4115">
        <v>3</v>
      </c>
      <c r="G4115">
        <v>7</v>
      </c>
      <c r="H4115">
        <v>0</v>
      </c>
      <c r="I4115" t="s">
        <v>32</v>
      </c>
      <c r="J4115">
        <v>1</v>
      </c>
      <c r="K4115">
        <v>31</v>
      </c>
      <c r="L4115" t="s">
        <v>20</v>
      </c>
      <c r="M4115" t="s">
        <v>31</v>
      </c>
      <c r="N4115" t="s">
        <v>22</v>
      </c>
      <c r="O4115" t="s">
        <v>27</v>
      </c>
      <c r="P4115">
        <v>1.28</v>
      </c>
      <c r="Q4115" s="2" t="b">
        <f>FALSE()</f>
        <v>0</v>
      </c>
      <c r="R4115">
        <v>1</v>
      </c>
    </row>
    <row r="4116" spans="1:18" x14ac:dyDescent="0.25">
      <c r="A4116">
        <v>204115</v>
      </c>
      <c r="B4116">
        <v>55116</v>
      </c>
      <c r="C4116" t="s">
        <v>18</v>
      </c>
      <c r="D4116">
        <v>5959.71</v>
      </c>
      <c r="E4116">
        <v>2415</v>
      </c>
      <c r="F4116">
        <v>0</v>
      </c>
      <c r="G4116">
        <v>4</v>
      </c>
      <c r="H4116">
        <v>1</v>
      </c>
      <c r="I4116" t="s">
        <v>19</v>
      </c>
      <c r="J4116">
        <v>1</v>
      </c>
      <c r="K4116">
        <v>56</v>
      </c>
      <c r="L4116" t="s">
        <v>20</v>
      </c>
      <c r="M4116" t="s">
        <v>31</v>
      </c>
      <c r="N4116" t="s">
        <v>22</v>
      </c>
      <c r="O4116" t="s">
        <v>27</v>
      </c>
      <c r="P4116">
        <v>3.94</v>
      </c>
      <c r="Q4116" s="2" t="b">
        <f>FALSE()</f>
        <v>0</v>
      </c>
      <c r="R4116">
        <v>1</v>
      </c>
    </row>
    <row r="4117" spans="1:18" x14ac:dyDescent="0.25">
      <c r="A4117">
        <v>204116</v>
      </c>
      <c r="B4117">
        <v>55243</v>
      </c>
      <c r="C4117" t="s">
        <v>18</v>
      </c>
      <c r="D4117">
        <v>3364.54</v>
      </c>
      <c r="E4117">
        <v>1179</v>
      </c>
      <c r="F4117">
        <v>1</v>
      </c>
      <c r="G4117">
        <v>2</v>
      </c>
      <c r="H4117">
        <v>0</v>
      </c>
      <c r="I4117" t="s">
        <v>32</v>
      </c>
      <c r="J4117">
        <v>1</v>
      </c>
      <c r="K4117">
        <v>44</v>
      </c>
      <c r="L4117" t="s">
        <v>20</v>
      </c>
      <c r="M4117" t="s">
        <v>37</v>
      </c>
      <c r="N4117" t="s">
        <v>22</v>
      </c>
      <c r="O4117" t="s">
        <v>36</v>
      </c>
      <c r="P4117">
        <v>0.38</v>
      </c>
      <c r="Q4117" s="2" t="b">
        <f>FALSE()</f>
        <v>0</v>
      </c>
      <c r="R4117">
        <v>0</v>
      </c>
    </row>
    <row r="4118" spans="1:18" x14ac:dyDescent="0.25">
      <c r="A4118">
        <v>204117</v>
      </c>
      <c r="B4118">
        <v>52779</v>
      </c>
      <c r="C4118" t="s">
        <v>18</v>
      </c>
      <c r="D4118">
        <v>681.48</v>
      </c>
      <c r="E4118">
        <v>2075</v>
      </c>
      <c r="F4118">
        <v>0</v>
      </c>
      <c r="G4118">
        <v>5</v>
      </c>
      <c r="H4118">
        <v>0</v>
      </c>
      <c r="I4118" t="s">
        <v>19</v>
      </c>
      <c r="J4118">
        <v>0</v>
      </c>
      <c r="K4118">
        <v>40</v>
      </c>
      <c r="L4118" t="s">
        <v>24</v>
      </c>
      <c r="M4118" t="s">
        <v>29</v>
      </c>
      <c r="N4118" t="s">
        <v>30</v>
      </c>
      <c r="O4118" t="s">
        <v>27</v>
      </c>
      <c r="P4118">
        <v>0.24</v>
      </c>
      <c r="Q4118" s="2" t="b">
        <f>FALSE()</f>
        <v>0</v>
      </c>
      <c r="R4118">
        <v>0</v>
      </c>
    </row>
    <row r="4119" spans="1:18" x14ac:dyDescent="0.25">
      <c r="A4119">
        <v>204118</v>
      </c>
      <c r="B4119">
        <v>53062</v>
      </c>
      <c r="C4119" t="s">
        <v>34</v>
      </c>
      <c r="D4119">
        <v>83.16</v>
      </c>
      <c r="E4119">
        <v>1461</v>
      </c>
      <c r="F4119">
        <v>2</v>
      </c>
      <c r="G4119">
        <v>1</v>
      </c>
      <c r="H4119">
        <v>0</v>
      </c>
      <c r="I4119" t="s">
        <v>19</v>
      </c>
      <c r="J4119">
        <v>0</v>
      </c>
      <c r="K4119">
        <v>43</v>
      </c>
      <c r="L4119" t="s">
        <v>24</v>
      </c>
      <c r="M4119" t="s">
        <v>21</v>
      </c>
      <c r="N4119" t="s">
        <v>22</v>
      </c>
      <c r="O4119" t="s">
        <v>23</v>
      </c>
      <c r="P4119">
        <v>5.33</v>
      </c>
      <c r="Q4119" s="2" t="b">
        <f>FALSE()</f>
        <v>0</v>
      </c>
      <c r="R4119">
        <v>0</v>
      </c>
    </row>
    <row r="4120" spans="1:18" x14ac:dyDescent="0.25">
      <c r="A4120">
        <v>204119</v>
      </c>
      <c r="B4120">
        <v>54560</v>
      </c>
      <c r="C4120" t="s">
        <v>34</v>
      </c>
      <c r="D4120">
        <v>1972.86</v>
      </c>
      <c r="E4120">
        <v>815</v>
      </c>
      <c r="F4120">
        <v>3</v>
      </c>
      <c r="G4120">
        <v>6</v>
      </c>
      <c r="H4120">
        <v>1</v>
      </c>
      <c r="I4120" t="s">
        <v>33</v>
      </c>
      <c r="J4120">
        <v>0</v>
      </c>
      <c r="K4120">
        <v>62</v>
      </c>
      <c r="L4120" t="s">
        <v>24</v>
      </c>
      <c r="M4120" t="s">
        <v>21</v>
      </c>
      <c r="N4120" t="s">
        <v>22</v>
      </c>
      <c r="O4120" t="s">
        <v>36</v>
      </c>
      <c r="P4120">
        <v>2.2200000000000002</v>
      </c>
      <c r="Q4120" s="2" t="b">
        <f>FALSE()</f>
        <v>0</v>
      </c>
      <c r="R4120">
        <v>1</v>
      </c>
    </row>
    <row r="4121" spans="1:18" x14ac:dyDescent="0.25">
      <c r="A4121">
        <v>204120</v>
      </c>
      <c r="B4121">
        <v>53477</v>
      </c>
      <c r="C4121" t="s">
        <v>18</v>
      </c>
      <c r="D4121">
        <v>3544.12</v>
      </c>
      <c r="E4121">
        <v>1291</v>
      </c>
      <c r="F4121">
        <v>0</v>
      </c>
      <c r="G4121">
        <v>3</v>
      </c>
      <c r="H4121">
        <v>0</v>
      </c>
      <c r="I4121" t="s">
        <v>33</v>
      </c>
      <c r="J4121">
        <v>0</v>
      </c>
      <c r="K4121">
        <v>35</v>
      </c>
      <c r="L4121" t="s">
        <v>38</v>
      </c>
      <c r="M4121" t="s">
        <v>31</v>
      </c>
      <c r="N4121" t="s">
        <v>30</v>
      </c>
      <c r="O4121" t="s">
        <v>27</v>
      </c>
      <c r="P4121">
        <v>5.32</v>
      </c>
      <c r="Q4121" s="2" t="b">
        <f>FALSE()</f>
        <v>0</v>
      </c>
      <c r="R4121">
        <v>0</v>
      </c>
    </row>
    <row r="4122" spans="1:18" x14ac:dyDescent="0.25">
      <c r="A4122">
        <v>204121</v>
      </c>
      <c r="B4122">
        <v>55097</v>
      </c>
      <c r="C4122" t="s">
        <v>34</v>
      </c>
      <c r="D4122">
        <v>3940.36</v>
      </c>
      <c r="E4122">
        <v>2792</v>
      </c>
      <c r="F4122">
        <v>2</v>
      </c>
      <c r="G4122">
        <v>3</v>
      </c>
      <c r="H4122">
        <v>0</v>
      </c>
      <c r="I4122" t="s">
        <v>19</v>
      </c>
      <c r="J4122">
        <v>0</v>
      </c>
      <c r="K4122">
        <v>71</v>
      </c>
      <c r="L4122" t="s">
        <v>20</v>
      </c>
      <c r="M4122" t="s">
        <v>31</v>
      </c>
      <c r="N4122" t="s">
        <v>22</v>
      </c>
      <c r="O4122" t="s">
        <v>36</v>
      </c>
      <c r="P4122">
        <v>1.45</v>
      </c>
      <c r="Q4122" s="2" t="b">
        <f>FALSE()</f>
        <v>0</v>
      </c>
      <c r="R4122">
        <v>1</v>
      </c>
    </row>
    <row r="4123" spans="1:18" x14ac:dyDescent="0.25">
      <c r="A4123">
        <v>204122</v>
      </c>
      <c r="B4123">
        <v>52144</v>
      </c>
      <c r="C4123" t="s">
        <v>34</v>
      </c>
      <c r="D4123">
        <v>950.74</v>
      </c>
      <c r="E4123">
        <v>3462</v>
      </c>
      <c r="F4123">
        <v>0</v>
      </c>
      <c r="G4123">
        <v>2</v>
      </c>
      <c r="H4123">
        <v>0</v>
      </c>
      <c r="I4123" t="s">
        <v>19</v>
      </c>
      <c r="J4123">
        <v>0</v>
      </c>
      <c r="K4123">
        <v>25</v>
      </c>
      <c r="L4123" t="s">
        <v>24</v>
      </c>
      <c r="M4123" t="s">
        <v>35</v>
      </c>
      <c r="N4123" t="s">
        <v>22</v>
      </c>
      <c r="O4123" t="s">
        <v>36</v>
      </c>
      <c r="P4123">
        <v>3.13</v>
      </c>
      <c r="Q4123" s="2" t="b">
        <f>FALSE()</f>
        <v>0</v>
      </c>
      <c r="R4123">
        <v>0</v>
      </c>
    </row>
    <row r="4124" spans="1:18" x14ac:dyDescent="0.25">
      <c r="A4124">
        <v>204123</v>
      </c>
      <c r="B4124">
        <v>52941</v>
      </c>
      <c r="C4124" t="s">
        <v>18</v>
      </c>
      <c r="D4124">
        <v>1433.34</v>
      </c>
      <c r="E4124">
        <v>2302</v>
      </c>
      <c r="F4124">
        <v>1</v>
      </c>
      <c r="G4124">
        <v>2</v>
      </c>
      <c r="H4124">
        <v>0</v>
      </c>
      <c r="I4124" t="s">
        <v>19</v>
      </c>
      <c r="J4124">
        <v>0</v>
      </c>
      <c r="K4124">
        <v>59</v>
      </c>
      <c r="L4124" t="s">
        <v>24</v>
      </c>
      <c r="M4124" t="s">
        <v>35</v>
      </c>
      <c r="N4124" t="s">
        <v>22</v>
      </c>
      <c r="O4124" t="s">
        <v>36</v>
      </c>
      <c r="P4124">
        <v>0.41</v>
      </c>
      <c r="Q4124" s="2" t="b">
        <f>FALSE()</f>
        <v>0</v>
      </c>
      <c r="R4124">
        <v>0</v>
      </c>
    </row>
    <row r="4125" spans="1:18" x14ac:dyDescent="0.25">
      <c r="A4125">
        <v>204124</v>
      </c>
      <c r="B4125">
        <v>50223</v>
      </c>
      <c r="C4125" t="s">
        <v>18</v>
      </c>
      <c r="D4125">
        <v>4116.24</v>
      </c>
      <c r="E4125">
        <v>2714</v>
      </c>
      <c r="F4125">
        <v>0</v>
      </c>
      <c r="G4125">
        <v>2</v>
      </c>
      <c r="H4125">
        <v>1</v>
      </c>
      <c r="I4125" t="s">
        <v>33</v>
      </c>
      <c r="J4125">
        <v>0</v>
      </c>
      <c r="K4125">
        <v>47</v>
      </c>
      <c r="L4125" t="s">
        <v>20</v>
      </c>
      <c r="M4125" t="s">
        <v>29</v>
      </c>
      <c r="N4125" t="s">
        <v>26</v>
      </c>
      <c r="O4125" t="s">
        <v>27</v>
      </c>
      <c r="P4125">
        <v>11.11</v>
      </c>
      <c r="Q4125" s="2" t="b">
        <f>FALSE()</f>
        <v>0</v>
      </c>
      <c r="R4125">
        <v>1</v>
      </c>
    </row>
    <row r="4126" spans="1:18" x14ac:dyDescent="0.25">
      <c r="A4126">
        <v>204125</v>
      </c>
      <c r="B4126">
        <v>50549</v>
      </c>
      <c r="C4126" t="s">
        <v>34</v>
      </c>
      <c r="D4126">
        <v>2725.96</v>
      </c>
      <c r="E4126">
        <v>2293</v>
      </c>
      <c r="F4126">
        <v>1</v>
      </c>
      <c r="G4126">
        <v>5</v>
      </c>
      <c r="H4126">
        <v>0</v>
      </c>
      <c r="I4126" t="s">
        <v>19</v>
      </c>
      <c r="J4126">
        <v>0</v>
      </c>
      <c r="K4126">
        <v>60</v>
      </c>
      <c r="L4126" t="s">
        <v>20</v>
      </c>
      <c r="M4126" t="s">
        <v>35</v>
      </c>
      <c r="N4126" t="s">
        <v>22</v>
      </c>
      <c r="O4126" t="s">
        <v>36</v>
      </c>
      <c r="P4126">
        <v>0.64</v>
      </c>
      <c r="Q4126" s="2" t="b">
        <f>FALSE()</f>
        <v>0</v>
      </c>
      <c r="R4126">
        <v>0</v>
      </c>
    </row>
    <row r="4127" spans="1:18" x14ac:dyDescent="0.25">
      <c r="A4127">
        <v>204126</v>
      </c>
      <c r="B4127">
        <v>54449</v>
      </c>
      <c r="C4127" t="s">
        <v>34</v>
      </c>
      <c r="D4127">
        <v>1997.77</v>
      </c>
      <c r="E4127">
        <v>1753</v>
      </c>
      <c r="F4127">
        <v>2</v>
      </c>
      <c r="G4127">
        <v>6</v>
      </c>
      <c r="H4127">
        <v>1</v>
      </c>
      <c r="I4127" t="s">
        <v>33</v>
      </c>
      <c r="J4127">
        <v>0</v>
      </c>
      <c r="K4127">
        <v>52</v>
      </c>
      <c r="L4127" t="s">
        <v>24</v>
      </c>
      <c r="M4127" t="s">
        <v>31</v>
      </c>
      <c r="N4127" t="s">
        <v>22</v>
      </c>
      <c r="O4127" t="s">
        <v>36</v>
      </c>
      <c r="P4127">
        <v>1.79</v>
      </c>
      <c r="Q4127" s="2" t="b">
        <f>FALSE()</f>
        <v>0</v>
      </c>
      <c r="R4127">
        <v>0</v>
      </c>
    </row>
    <row r="4128" spans="1:18" x14ac:dyDescent="0.25">
      <c r="A4128">
        <v>204127</v>
      </c>
      <c r="B4128">
        <v>52978</v>
      </c>
      <c r="C4128" t="s">
        <v>18</v>
      </c>
      <c r="D4128">
        <v>148.91</v>
      </c>
      <c r="E4128">
        <v>1714</v>
      </c>
      <c r="F4128">
        <v>2</v>
      </c>
      <c r="G4128">
        <v>4</v>
      </c>
      <c r="H4128">
        <v>0</v>
      </c>
      <c r="I4128" t="s">
        <v>19</v>
      </c>
      <c r="J4128">
        <v>0</v>
      </c>
      <c r="K4128">
        <v>18</v>
      </c>
      <c r="L4128" t="s">
        <v>20</v>
      </c>
      <c r="M4128" t="s">
        <v>21</v>
      </c>
      <c r="N4128" t="s">
        <v>30</v>
      </c>
      <c r="O4128" t="s">
        <v>27</v>
      </c>
      <c r="P4128">
        <v>1.66</v>
      </c>
      <c r="Q4128" s="2" t="b">
        <f>FALSE()</f>
        <v>0</v>
      </c>
      <c r="R4128">
        <v>0</v>
      </c>
    </row>
    <row r="4129" spans="1:18" x14ac:dyDescent="0.25">
      <c r="A4129">
        <v>204128</v>
      </c>
      <c r="B4129">
        <v>53103</v>
      </c>
      <c r="C4129" t="s">
        <v>18</v>
      </c>
      <c r="D4129">
        <v>2205.2600000000002</v>
      </c>
      <c r="E4129">
        <v>251</v>
      </c>
      <c r="F4129">
        <v>0</v>
      </c>
      <c r="G4129">
        <v>3</v>
      </c>
      <c r="H4129">
        <v>0</v>
      </c>
      <c r="I4129" t="s">
        <v>32</v>
      </c>
      <c r="J4129">
        <v>0</v>
      </c>
      <c r="K4129">
        <v>68</v>
      </c>
      <c r="L4129" t="s">
        <v>24</v>
      </c>
      <c r="M4129" t="s">
        <v>21</v>
      </c>
      <c r="N4129" t="s">
        <v>30</v>
      </c>
      <c r="O4129" t="s">
        <v>27</v>
      </c>
      <c r="P4129">
        <v>0.23</v>
      </c>
      <c r="Q4129" s="2" t="b">
        <f>FALSE()</f>
        <v>0</v>
      </c>
      <c r="R4129">
        <v>0</v>
      </c>
    </row>
    <row r="4130" spans="1:18" x14ac:dyDescent="0.25">
      <c r="A4130">
        <v>204129</v>
      </c>
      <c r="B4130">
        <v>50889</v>
      </c>
      <c r="C4130" t="s">
        <v>28</v>
      </c>
      <c r="D4130">
        <v>642.38</v>
      </c>
      <c r="E4130">
        <v>2092</v>
      </c>
      <c r="F4130">
        <v>1</v>
      </c>
      <c r="G4130">
        <v>4</v>
      </c>
      <c r="H4130">
        <v>1</v>
      </c>
      <c r="I4130" t="s">
        <v>33</v>
      </c>
      <c r="J4130">
        <v>0</v>
      </c>
      <c r="K4130">
        <v>80</v>
      </c>
      <c r="L4130" t="s">
        <v>20</v>
      </c>
      <c r="M4130" t="s">
        <v>31</v>
      </c>
      <c r="N4130" t="s">
        <v>22</v>
      </c>
      <c r="O4130" t="s">
        <v>36</v>
      </c>
      <c r="P4130">
        <v>0.37</v>
      </c>
      <c r="Q4130" s="2" t="b">
        <f>FALSE()</f>
        <v>0</v>
      </c>
      <c r="R4130">
        <v>0</v>
      </c>
    </row>
    <row r="4131" spans="1:18" x14ac:dyDescent="0.25">
      <c r="A4131">
        <v>204130</v>
      </c>
      <c r="B4131">
        <v>51617</v>
      </c>
      <c r="C4131" t="s">
        <v>18</v>
      </c>
      <c r="D4131">
        <v>1526.69</v>
      </c>
      <c r="E4131">
        <v>253</v>
      </c>
      <c r="F4131">
        <v>0</v>
      </c>
      <c r="G4131">
        <v>3</v>
      </c>
      <c r="H4131">
        <v>0</v>
      </c>
      <c r="I4131" t="s">
        <v>33</v>
      </c>
      <c r="J4131">
        <v>0</v>
      </c>
      <c r="K4131">
        <v>21</v>
      </c>
      <c r="L4131" t="s">
        <v>20</v>
      </c>
      <c r="M4131" t="s">
        <v>35</v>
      </c>
      <c r="N4131" t="s">
        <v>26</v>
      </c>
      <c r="O4131" t="s">
        <v>27</v>
      </c>
      <c r="P4131">
        <v>1.35</v>
      </c>
      <c r="Q4131" s="2" t="b">
        <f>FALSE()</f>
        <v>0</v>
      </c>
      <c r="R4131">
        <v>0</v>
      </c>
    </row>
    <row r="4132" spans="1:18" x14ac:dyDescent="0.25">
      <c r="A4132">
        <v>204131</v>
      </c>
      <c r="B4132">
        <v>51246</v>
      </c>
      <c r="C4132" t="s">
        <v>18</v>
      </c>
      <c r="D4132">
        <v>1815.44</v>
      </c>
      <c r="E4132">
        <v>597</v>
      </c>
      <c r="F4132">
        <v>0</v>
      </c>
      <c r="G4132">
        <v>4</v>
      </c>
      <c r="H4132">
        <v>0</v>
      </c>
      <c r="I4132" t="s">
        <v>33</v>
      </c>
      <c r="J4132">
        <v>1</v>
      </c>
      <c r="K4132">
        <v>51</v>
      </c>
      <c r="L4132" t="s">
        <v>24</v>
      </c>
      <c r="M4132" t="s">
        <v>31</v>
      </c>
      <c r="N4132" t="s">
        <v>22</v>
      </c>
      <c r="O4132" t="s">
        <v>36</v>
      </c>
      <c r="P4132">
        <v>0.11</v>
      </c>
      <c r="Q4132" s="2" t="b">
        <f>FALSE()</f>
        <v>0</v>
      </c>
      <c r="R4132">
        <v>0</v>
      </c>
    </row>
    <row r="4133" spans="1:18" x14ac:dyDescent="0.25">
      <c r="A4133">
        <v>204132</v>
      </c>
      <c r="B4133">
        <v>55595</v>
      </c>
      <c r="C4133" t="s">
        <v>18</v>
      </c>
      <c r="D4133">
        <v>1020.73</v>
      </c>
      <c r="E4133">
        <v>1750</v>
      </c>
      <c r="F4133">
        <v>3</v>
      </c>
      <c r="G4133">
        <v>5</v>
      </c>
      <c r="H4133">
        <v>0</v>
      </c>
      <c r="I4133" t="s">
        <v>33</v>
      </c>
      <c r="J4133">
        <v>0</v>
      </c>
      <c r="K4133">
        <v>37</v>
      </c>
      <c r="L4133" t="s">
        <v>20</v>
      </c>
      <c r="M4133" t="s">
        <v>29</v>
      </c>
      <c r="N4133" t="s">
        <v>22</v>
      </c>
      <c r="O4133" t="s">
        <v>23</v>
      </c>
      <c r="P4133">
        <v>0.56000000000000005</v>
      </c>
      <c r="Q4133" s="2" t="b">
        <f>FALSE()</f>
        <v>0</v>
      </c>
      <c r="R4133">
        <v>1</v>
      </c>
    </row>
    <row r="4134" spans="1:18" x14ac:dyDescent="0.25">
      <c r="A4134">
        <v>204133</v>
      </c>
      <c r="B4134">
        <v>54003</v>
      </c>
      <c r="C4134" t="s">
        <v>18</v>
      </c>
      <c r="D4134">
        <v>2700.61</v>
      </c>
      <c r="E4134">
        <v>3226</v>
      </c>
      <c r="F4134">
        <v>0</v>
      </c>
      <c r="G4134">
        <v>4</v>
      </c>
      <c r="H4134">
        <v>1</v>
      </c>
      <c r="I4134" t="s">
        <v>33</v>
      </c>
      <c r="J4134">
        <v>0</v>
      </c>
      <c r="K4134">
        <v>81</v>
      </c>
      <c r="L4134" t="s">
        <v>24</v>
      </c>
      <c r="M4134" t="s">
        <v>37</v>
      </c>
      <c r="N4134" t="s">
        <v>22</v>
      </c>
      <c r="O4134" t="s">
        <v>36</v>
      </c>
      <c r="P4134">
        <v>2.1800000000000002</v>
      </c>
      <c r="Q4134" s="2" t="b">
        <f>FALSE()</f>
        <v>0</v>
      </c>
      <c r="R4134">
        <v>0</v>
      </c>
    </row>
    <row r="4135" spans="1:18" x14ac:dyDescent="0.25">
      <c r="A4135">
        <v>204134</v>
      </c>
      <c r="B4135">
        <v>53543</v>
      </c>
      <c r="C4135" t="s">
        <v>18</v>
      </c>
      <c r="D4135">
        <v>2097.14</v>
      </c>
      <c r="E4135">
        <v>1442</v>
      </c>
      <c r="F4135">
        <v>0</v>
      </c>
      <c r="G4135">
        <v>3</v>
      </c>
      <c r="H4135">
        <v>0</v>
      </c>
      <c r="I4135" t="s">
        <v>19</v>
      </c>
      <c r="J4135">
        <v>0</v>
      </c>
      <c r="K4135">
        <v>23</v>
      </c>
      <c r="L4135" t="s">
        <v>24</v>
      </c>
      <c r="M4135" t="s">
        <v>25</v>
      </c>
      <c r="N4135" t="s">
        <v>22</v>
      </c>
      <c r="O4135" t="s">
        <v>27</v>
      </c>
      <c r="P4135">
        <v>2.81</v>
      </c>
      <c r="Q4135" s="2" t="b">
        <f>FALSE()</f>
        <v>0</v>
      </c>
      <c r="R4135">
        <v>0</v>
      </c>
    </row>
    <row r="4136" spans="1:18" x14ac:dyDescent="0.25">
      <c r="A4136">
        <v>204135</v>
      </c>
      <c r="B4136">
        <v>55058</v>
      </c>
      <c r="C4136" t="s">
        <v>18</v>
      </c>
      <c r="D4136">
        <v>5988.56</v>
      </c>
      <c r="E4136">
        <v>1509</v>
      </c>
      <c r="F4136">
        <v>2</v>
      </c>
      <c r="G4136">
        <v>3</v>
      </c>
      <c r="H4136">
        <v>0</v>
      </c>
      <c r="I4136" t="s">
        <v>33</v>
      </c>
      <c r="J4136">
        <v>0</v>
      </c>
      <c r="K4136">
        <v>26</v>
      </c>
      <c r="L4136" t="s">
        <v>24</v>
      </c>
      <c r="M4136" t="s">
        <v>21</v>
      </c>
      <c r="N4136" t="s">
        <v>22</v>
      </c>
      <c r="O4136" t="s">
        <v>36</v>
      </c>
      <c r="P4136">
        <v>3.03</v>
      </c>
      <c r="Q4136" s="2" t="b">
        <f>FALSE()</f>
        <v>0</v>
      </c>
      <c r="R4136">
        <v>1</v>
      </c>
    </row>
    <row r="4137" spans="1:18" x14ac:dyDescent="0.25">
      <c r="A4137">
        <v>204136</v>
      </c>
      <c r="B4137">
        <v>54636</v>
      </c>
      <c r="C4137" t="s">
        <v>28</v>
      </c>
      <c r="D4137">
        <v>3039.77</v>
      </c>
      <c r="E4137">
        <v>2886</v>
      </c>
      <c r="F4137">
        <v>2</v>
      </c>
      <c r="G4137">
        <v>4</v>
      </c>
      <c r="H4137">
        <v>1</v>
      </c>
      <c r="I4137" t="s">
        <v>33</v>
      </c>
      <c r="J4137">
        <v>0</v>
      </c>
      <c r="K4137">
        <v>23</v>
      </c>
      <c r="L4137" t="s">
        <v>20</v>
      </c>
      <c r="M4137" t="s">
        <v>37</v>
      </c>
      <c r="N4137" t="s">
        <v>30</v>
      </c>
      <c r="O4137" t="s">
        <v>27</v>
      </c>
      <c r="P4137">
        <v>2.16</v>
      </c>
      <c r="Q4137" s="2" t="b">
        <f>FALSE()</f>
        <v>0</v>
      </c>
      <c r="R4137">
        <v>0</v>
      </c>
    </row>
    <row r="4138" spans="1:18" x14ac:dyDescent="0.25">
      <c r="A4138">
        <v>204137</v>
      </c>
      <c r="B4138">
        <v>52586</v>
      </c>
      <c r="C4138" t="s">
        <v>18</v>
      </c>
      <c r="D4138">
        <v>3606.91</v>
      </c>
      <c r="E4138">
        <v>1588</v>
      </c>
      <c r="F4138">
        <v>1</v>
      </c>
      <c r="G4138">
        <v>3</v>
      </c>
      <c r="H4138">
        <v>0</v>
      </c>
      <c r="I4138" t="s">
        <v>33</v>
      </c>
      <c r="J4138">
        <v>0</v>
      </c>
      <c r="K4138">
        <v>47</v>
      </c>
      <c r="L4138" t="s">
        <v>24</v>
      </c>
      <c r="M4138" t="s">
        <v>25</v>
      </c>
      <c r="N4138" t="s">
        <v>30</v>
      </c>
      <c r="O4138" t="s">
        <v>36</v>
      </c>
      <c r="P4138">
        <v>0.33</v>
      </c>
      <c r="Q4138" s="2" t="b">
        <f>FALSE()</f>
        <v>0</v>
      </c>
      <c r="R4138">
        <v>1</v>
      </c>
    </row>
    <row r="4139" spans="1:18" x14ac:dyDescent="0.25">
      <c r="A4139">
        <v>204138</v>
      </c>
      <c r="B4139">
        <v>50722</v>
      </c>
      <c r="C4139" t="s">
        <v>18</v>
      </c>
      <c r="D4139">
        <v>3552.73</v>
      </c>
      <c r="E4139">
        <v>3280</v>
      </c>
      <c r="F4139">
        <v>0</v>
      </c>
      <c r="G4139">
        <v>4</v>
      </c>
      <c r="H4139">
        <v>1</v>
      </c>
      <c r="I4139" t="s">
        <v>33</v>
      </c>
      <c r="J4139">
        <v>0</v>
      </c>
      <c r="K4139">
        <v>63</v>
      </c>
      <c r="L4139" t="s">
        <v>20</v>
      </c>
      <c r="M4139" t="s">
        <v>29</v>
      </c>
      <c r="N4139" t="s">
        <v>30</v>
      </c>
      <c r="O4139" t="s">
        <v>36</v>
      </c>
      <c r="P4139">
        <v>3.59</v>
      </c>
      <c r="Q4139" s="2" t="b">
        <f>FALSE()</f>
        <v>0</v>
      </c>
      <c r="R4139">
        <v>0</v>
      </c>
    </row>
    <row r="4140" spans="1:18" x14ac:dyDescent="0.25">
      <c r="A4140">
        <v>204139</v>
      </c>
      <c r="B4140">
        <v>50080</v>
      </c>
      <c r="C4140" t="s">
        <v>34</v>
      </c>
      <c r="D4140">
        <v>700.96</v>
      </c>
      <c r="E4140">
        <v>2686</v>
      </c>
      <c r="F4140">
        <v>1</v>
      </c>
      <c r="G4140">
        <v>2</v>
      </c>
      <c r="H4140">
        <v>1</v>
      </c>
      <c r="I4140" t="s">
        <v>33</v>
      </c>
      <c r="J4140">
        <v>0</v>
      </c>
      <c r="K4140">
        <v>54</v>
      </c>
      <c r="L4140" t="s">
        <v>20</v>
      </c>
      <c r="M4140" t="s">
        <v>21</v>
      </c>
      <c r="N4140" t="s">
        <v>22</v>
      </c>
      <c r="O4140" t="s">
        <v>27</v>
      </c>
      <c r="P4140">
        <v>1.91</v>
      </c>
      <c r="Q4140" s="2" t="b">
        <f>FALSE()</f>
        <v>0</v>
      </c>
      <c r="R4140">
        <v>0</v>
      </c>
    </row>
    <row r="4141" spans="1:18" x14ac:dyDescent="0.25">
      <c r="A4141">
        <v>204140</v>
      </c>
      <c r="B4141">
        <v>52669</v>
      </c>
      <c r="C4141" t="s">
        <v>28</v>
      </c>
      <c r="D4141">
        <v>5071.2</v>
      </c>
      <c r="E4141">
        <v>1904</v>
      </c>
      <c r="F4141">
        <v>0</v>
      </c>
      <c r="G4141">
        <v>2</v>
      </c>
      <c r="H4141">
        <v>1</v>
      </c>
      <c r="I4141" t="s">
        <v>32</v>
      </c>
      <c r="J4141">
        <v>0</v>
      </c>
      <c r="K4141">
        <v>79</v>
      </c>
      <c r="L4141" t="s">
        <v>24</v>
      </c>
      <c r="M4141" t="s">
        <v>25</v>
      </c>
      <c r="N4141" t="s">
        <v>22</v>
      </c>
      <c r="O4141" t="s">
        <v>23</v>
      </c>
      <c r="P4141">
        <v>5.88</v>
      </c>
      <c r="Q4141" s="2" t="b">
        <f>FALSE()</f>
        <v>0</v>
      </c>
      <c r="R4141">
        <v>1</v>
      </c>
    </row>
    <row r="4142" spans="1:18" x14ac:dyDescent="0.25">
      <c r="A4142">
        <v>204141</v>
      </c>
      <c r="B4142">
        <v>55799</v>
      </c>
      <c r="C4142" t="s">
        <v>18</v>
      </c>
      <c r="D4142">
        <v>3856.88</v>
      </c>
      <c r="E4142">
        <v>2738</v>
      </c>
      <c r="F4142">
        <v>1</v>
      </c>
      <c r="G4142">
        <v>4</v>
      </c>
      <c r="H4142">
        <v>0</v>
      </c>
      <c r="I4142" t="s">
        <v>33</v>
      </c>
      <c r="J4142">
        <v>0</v>
      </c>
      <c r="K4142">
        <v>31</v>
      </c>
      <c r="L4142" t="s">
        <v>24</v>
      </c>
      <c r="M4142" t="s">
        <v>21</v>
      </c>
      <c r="N4142" t="s">
        <v>30</v>
      </c>
      <c r="O4142" t="s">
        <v>27</v>
      </c>
      <c r="P4142">
        <v>1.1000000000000001</v>
      </c>
      <c r="Q4142" s="2" t="b">
        <f>FALSE()</f>
        <v>0</v>
      </c>
      <c r="R4142">
        <v>1</v>
      </c>
    </row>
    <row r="4143" spans="1:18" x14ac:dyDescent="0.25">
      <c r="A4143">
        <v>204142</v>
      </c>
      <c r="B4143">
        <v>52893</v>
      </c>
      <c r="C4143" t="s">
        <v>34</v>
      </c>
      <c r="D4143">
        <v>668.36</v>
      </c>
      <c r="E4143">
        <v>3492</v>
      </c>
      <c r="F4143">
        <v>1</v>
      </c>
      <c r="G4143">
        <v>3</v>
      </c>
      <c r="H4143">
        <v>0</v>
      </c>
      <c r="I4143" t="s">
        <v>33</v>
      </c>
      <c r="J4143">
        <v>0</v>
      </c>
      <c r="K4143">
        <v>36</v>
      </c>
      <c r="L4143" t="s">
        <v>20</v>
      </c>
      <c r="M4143" t="s">
        <v>31</v>
      </c>
      <c r="N4143" t="s">
        <v>30</v>
      </c>
      <c r="O4143" t="s">
        <v>36</v>
      </c>
      <c r="P4143">
        <v>9.35</v>
      </c>
      <c r="Q4143" s="2" t="b">
        <f>FALSE()</f>
        <v>0</v>
      </c>
      <c r="R4143">
        <v>0</v>
      </c>
    </row>
    <row r="4144" spans="1:18" x14ac:dyDescent="0.25">
      <c r="A4144">
        <v>204143</v>
      </c>
      <c r="B4144">
        <v>53242</v>
      </c>
      <c r="C4144" t="s">
        <v>18</v>
      </c>
      <c r="D4144">
        <v>670.08</v>
      </c>
      <c r="E4144">
        <v>566</v>
      </c>
      <c r="F4144">
        <v>1</v>
      </c>
      <c r="G4144">
        <v>3</v>
      </c>
      <c r="H4144">
        <v>0</v>
      </c>
      <c r="I4144" t="s">
        <v>19</v>
      </c>
      <c r="J4144">
        <v>0</v>
      </c>
      <c r="K4144">
        <v>30</v>
      </c>
      <c r="L4144" t="s">
        <v>20</v>
      </c>
      <c r="M4144" t="s">
        <v>25</v>
      </c>
      <c r="N4144" t="s">
        <v>30</v>
      </c>
      <c r="O4144" t="s">
        <v>36</v>
      </c>
      <c r="P4144">
        <v>6.07</v>
      </c>
      <c r="Q4144" s="2" t="b">
        <f>FALSE()</f>
        <v>0</v>
      </c>
      <c r="R4144">
        <v>0</v>
      </c>
    </row>
    <row r="4145" spans="1:18" x14ac:dyDescent="0.25">
      <c r="A4145">
        <v>204144</v>
      </c>
      <c r="B4145">
        <v>51574</v>
      </c>
      <c r="C4145" t="s">
        <v>34</v>
      </c>
      <c r="D4145">
        <v>5731.79</v>
      </c>
      <c r="E4145">
        <v>2363</v>
      </c>
      <c r="F4145">
        <v>0</v>
      </c>
      <c r="G4145">
        <v>2</v>
      </c>
      <c r="H4145">
        <v>1</v>
      </c>
      <c r="I4145" t="s">
        <v>33</v>
      </c>
      <c r="J4145">
        <v>0</v>
      </c>
      <c r="K4145">
        <v>25</v>
      </c>
      <c r="L4145" t="s">
        <v>24</v>
      </c>
      <c r="M4145" t="s">
        <v>31</v>
      </c>
      <c r="N4145" t="s">
        <v>22</v>
      </c>
      <c r="O4145" t="s">
        <v>27</v>
      </c>
      <c r="P4145">
        <v>2.13</v>
      </c>
      <c r="Q4145" s="2" t="b">
        <f>FALSE()</f>
        <v>0</v>
      </c>
      <c r="R4145">
        <v>1</v>
      </c>
    </row>
    <row r="4146" spans="1:18" x14ac:dyDescent="0.25">
      <c r="A4146">
        <v>204145</v>
      </c>
      <c r="B4146">
        <v>53572</v>
      </c>
      <c r="C4146" t="s">
        <v>34</v>
      </c>
      <c r="D4146">
        <v>3752.64</v>
      </c>
      <c r="E4146">
        <v>1354</v>
      </c>
      <c r="F4146">
        <v>2</v>
      </c>
      <c r="G4146">
        <v>4</v>
      </c>
      <c r="H4146">
        <v>0</v>
      </c>
      <c r="I4146" t="s">
        <v>19</v>
      </c>
      <c r="J4146">
        <v>0</v>
      </c>
      <c r="K4146">
        <v>75</v>
      </c>
      <c r="L4146" t="s">
        <v>24</v>
      </c>
      <c r="M4146" t="s">
        <v>35</v>
      </c>
      <c r="N4146" t="s">
        <v>22</v>
      </c>
      <c r="O4146" t="s">
        <v>27</v>
      </c>
      <c r="P4146">
        <v>0.51</v>
      </c>
      <c r="Q4146" s="2" t="b">
        <f>FALSE()</f>
        <v>0</v>
      </c>
      <c r="R4146">
        <v>1</v>
      </c>
    </row>
    <row r="4147" spans="1:18" x14ac:dyDescent="0.25">
      <c r="A4147">
        <v>204146</v>
      </c>
      <c r="B4147">
        <v>53580</v>
      </c>
      <c r="C4147" t="s">
        <v>34</v>
      </c>
      <c r="D4147">
        <v>2051.21</v>
      </c>
      <c r="E4147">
        <v>2162</v>
      </c>
      <c r="F4147">
        <v>2</v>
      </c>
      <c r="G4147">
        <v>3</v>
      </c>
      <c r="H4147">
        <v>1</v>
      </c>
      <c r="I4147" t="s">
        <v>33</v>
      </c>
      <c r="J4147">
        <v>0</v>
      </c>
      <c r="K4147">
        <v>78</v>
      </c>
      <c r="L4147" t="s">
        <v>24</v>
      </c>
      <c r="M4147" t="s">
        <v>25</v>
      </c>
      <c r="N4147" t="s">
        <v>22</v>
      </c>
      <c r="O4147" t="s">
        <v>27</v>
      </c>
      <c r="P4147">
        <v>1.23</v>
      </c>
      <c r="Q4147" s="2" t="b">
        <f>FALSE()</f>
        <v>0</v>
      </c>
      <c r="R4147">
        <v>0</v>
      </c>
    </row>
    <row r="4148" spans="1:18" x14ac:dyDescent="0.25">
      <c r="A4148">
        <v>204147</v>
      </c>
      <c r="B4148">
        <v>54899</v>
      </c>
      <c r="C4148" t="s">
        <v>18</v>
      </c>
      <c r="D4148">
        <v>3198.2</v>
      </c>
      <c r="E4148">
        <v>1688</v>
      </c>
      <c r="F4148">
        <v>0</v>
      </c>
      <c r="G4148">
        <v>4</v>
      </c>
      <c r="H4148">
        <v>1</v>
      </c>
      <c r="I4148" t="s">
        <v>33</v>
      </c>
      <c r="J4148">
        <v>0</v>
      </c>
      <c r="K4148">
        <v>25</v>
      </c>
      <c r="L4148" t="s">
        <v>24</v>
      </c>
      <c r="M4148" t="s">
        <v>21</v>
      </c>
      <c r="N4148" t="s">
        <v>22</v>
      </c>
      <c r="O4148" t="s">
        <v>36</v>
      </c>
      <c r="P4148">
        <v>0.12</v>
      </c>
      <c r="Q4148" s="2" t="b">
        <f>FALSE()</f>
        <v>0</v>
      </c>
      <c r="R4148">
        <v>0</v>
      </c>
    </row>
    <row r="4149" spans="1:18" x14ac:dyDescent="0.25">
      <c r="A4149">
        <v>204148</v>
      </c>
      <c r="B4149">
        <v>50748</v>
      </c>
      <c r="C4149" t="s">
        <v>18</v>
      </c>
      <c r="D4149">
        <v>1473.42</v>
      </c>
      <c r="E4149">
        <v>1256</v>
      </c>
      <c r="F4149">
        <v>2</v>
      </c>
      <c r="G4149">
        <v>5</v>
      </c>
      <c r="H4149">
        <v>1</v>
      </c>
      <c r="I4149" t="s">
        <v>33</v>
      </c>
      <c r="J4149">
        <v>0</v>
      </c>
      <c r="K4149">
        <v>56</v>
      </c>
      <c r="L4149" t="s">
        <v>24</v>
      </c>
      <c r="M4149" t="s">
        <v>31</v>
      </c>
      <c r="N4149" t="s">
        <v>30</v>
      </c>
      <c r="O4149" t="s">
        <v>27</v>
      </c>
      <c r="P4149">
        <v>0.86</v>
      </c>
      <c r="Q4149" s="2" t="b">
        <f>FALSE()</f>
        <v>0</v>
      </c>
      <c r="R4149">
        <v>0</v>
      </c>
    </row>
    <row r="4150" spans="1:18" x14ac:dyDescent="0.25">
      <c r="A4150">
        <v>204149</v>
      </c>
      <c r="B4150">
        <v>54615</v>
      </c>
      <c r="C4150" t="s">
        <v>34</v>
      </c>
      <c r="D4150">
        <v>3384.55</v>
      </c>
      <c r="E4150">
        <v>3023</v>
      </c>
      <c r="F4150">
        <v>3</v>
      </c>
      <c r="G4150">
        <v>8</v>
      </c>
      <c r="H4150">
        <v>0</v>
      </c>
      <c r="I4150" t="s">
        <v>33</v>
      </c>
      <c r="J4150">
        <v>0</v>
      </c>
      <c r="K4150">
        <v>25</v>
      </c>
      <c r="L4150" t="s">
        <v>20</v>
      </c>
      <c r="M4150" t="s">
        <v>31</v>
      </c>
      <c r="N4150" t="s">
        <v>30</v>
      </c>
      <c r="O4150" t="s">
        <v>27</v>
      </c>
      <c r="P4150">
        <v>2.97</v>
      </c>
      <c r="Q4150" s="2" t="b">
        <f>FALSE()</f>
        <v>0</v>
      </c>
      <c r="R4150">
        <v>1</v>
      </c>
    </row>
    <row r="4151" spans="1:18" x14ac:dyDescent="0.25">
      <c r="A4151">
        <v>204150</v>
      </c>
      <c r="B4151">
        <v>53583</v>
      </c>
      <c r="C4151" t="s">
        <v>28</v>
      </c>
      <c r="D4151">
        <v>980.52</v>
      </c>
      <c r="E4151">
        <v>452</v>
      </c>
      <c r="F4151">
        <v>0</v>
      </c>
      <c r="G4151">
        <v>3</v>
      </c>
      <c r="H4151">
        <v>0</v>
      </c>
      <c r="I4151" t="s">
        <v>19</v>
      </c>
      <c r="J4151">
        <v>0</v>
      </c>
      <c r="K4151">
        <v>24</v>
      </c>
      <c r="L4151" t="s">
        <v>24</v>
      </c>
      <c r="M4151" t="s">
        <v>31</v>
      </c>
      <c r="N4151" t="s">
        <v>22</v>
      </c>
      <c r="O4151" t="s">
        <v>36</v>
      </c>
      <c r="P4151">
        <v>5.2</v>
      </c>
      <c r="Q4151" s="2" t="b">
        <f>FALSE()</f>
        <v>0</v>
      </c>
      <c r="R4151">
        <v>0</v>
      </c>
    </row>
    <row r="4152" spans="1:18" x14ac:dyDescent="0.25">
      <c r="A4152">
        <v>204151</v>
      </c>
      <c r="B4152">
        <v>50647</v>
      </c>
      <c r="C4152" t="s">
        <v>34</v>
      </c>
      <c r="D4152">
        <v>2052.14</v>
      </c>
      <c r="E4152">
        <v>1979</v>
      </c>
      <c r="F4152">
        <v>2</v>
      </c>
      <c r="G4152">
        <v>4</v>
      </c>
      <c r="H4152">
        <v>1</v>
      </c>
      <c r="I4152" t="s">
        <v>33</v>
      </c>
      <c r="J4152">
        <v>0</v>
      </c>
      <c r="K4152">
        <v>78</v>
      </c>
      <c r="L4152" t="s">
        <v>38</v>
      </c>
      <c r="M4152" t="s">
        <v>21</v>
      </c>
      <c r="N4152" t="s">
        <v>30</v>
      </c>
      <c r="O4152" t="s">
        <v>23</v>
      </c>
      <c r="P4152">
        <v>0.52</v>
      </c>
      <c r="Q4152" s="2" t="b">
        <f>FALSE()</f>
        <v>0</v>
      </c>
      <c r="R4152">
        <v>0</v>
      </c>
    </row>
    <row r="4153" spans="1:18" x14ac:dyDescent="0.25">
      <c r="A4153">
        <v>204152</v>
      </c>
      <c r="B4153">
        <v>52724</v>
      </c>
      <c r="C4153" t="s">
        <v>18</v>
      </c>
      <c r="D4153">
        <v>480.3</v>
      </c>
      <c r="E4153">
        <v>1587</v>
      </c>
      <c r="F4153">
        <v>3</v>
      </c>
      <c r="G4153">
        <v>6</v>
      </c>
      <c r="H4153">
        <v>0</v>
      </c>
      <c r="I4153" t="s">
        <v>33</v>
      </c>
      <c r="J4153">
        <v>0</v>
      </c>
      <c r="K4153">
        <v>81</v>
      </c>
      <c r="L4153" t="s">
        <v>20</v>
      </c>
      <c r="M4153" t="s">
        <v>21</v>
      </c>
      <c r="N4153" t="s">
        <v>26</v>
      </c>
      <c r="O4153" t="s">
        <v>23</v>
      </c>
      <c r="P4153">
        <v>4.6500000000000004</v>
      </c>
      <c r="Q4153" s="2" t="b">
        <f>FALSE()</f>
        <v>0</v>
      </c>
      <c r="R4153">
        <v>1</v>
      </c>
    </row>
    <row r="4154" spans="1:18" x14ac:dyDescent="0.25">
      <c r="A4154">
        <v>204153</v>
      </c>
      <c r="B4154">
        <v>50690</v>
      </c>
      <c r="C4154" t="s">
        <v>34</v>
      </c>
      <c r="D4154">
        <v>422.97</v>
      </c>
      <c r="E4154">
        <v>604</v>
      </c>
      <c r="F4154">
        <v>0</v>
      </c>
      <c r="G4154">
        <v>3</v>
      </c>
      <c r="H4154">
        <v>0</v>
      </c>
      <c r="I4154" t="s">
        <v>33</v>
      </c>
      <c r="J4154">
        <v>0</v>
      </c>
      <c r="K4154">
        <v>77</v>
      </c>
      <c r="L4154" t="s">
        <v>24</v>
      </c>
      <c r="M4154" t="s">
        <v>37</v>
      </c>
      <c r="N4154" t="s">
        <v>30</v>
      </c>
      <c r="O4154" t="s">
        <v>36</v>
      </c>
      <c r="P4154">
        <v>6.22</v>
      </c>
      <c r="Q4154" s="2" t="b">
        <f>FALSE()</f>
        <v>0</v>
      </c>
      <c r="R4154">
        <v>0</v>
      </c>
    </row>
    <row r="4155" spans="1:18" x14ac:dyDescent="0.25">
      <c r="A4155">
        <v>204154</v>
      </c>
      <c r="B4155">
        <v>53963</v>
      </c>
      <c r="C4155" t="s">
        <v>34</v>
      </c>
      <c r="D4155">
        <v>2004.1</v>
      </c>
      <c r="E4155">
        <v>1653</v>
      </c>
      <c r="F4155">
        <v>1</v>
      </c>
      <c r="G4155">
        <v>5</v>
      </c>
      <c r="H4155">
        <v>0</v>
      </c>
      <c r="I4155" t="s">
        <v>33</v>
      </c>
      <c r="J4155">
        <v>0</v>
      </c>
      <c r="K4155">
        <v>20</v>
      </c>
      <c r="L4155" t="s">
        <v>24</v>
      </c>
      <c r="M4155" t="s">
        <v>31</v>
      </c>
      <c r="N4155" t="s">
        <v>26</v>
      </c>
      <c r="O4155" t="s">
        <v>36</v>
      </c>
      <c r="P4155">
        <v>1.75</v>
      </c>
      <c r="Q4155" s="2" t="b">
        <f>FALSE()</f>
        <v>0</v>
      </c>
      <c r="R4155">
        <v>0</v>
      </c>
    </row>
    <row r="4156" spans="1:18" x14ac:dyDescent="0.25">
      <c r="A4156">
        <v>204155</v>
      </c>
      <c r="B4156">
        <v>54605</v>
      </c>
      <c r="C4156" t="s">
        <v>34</v>
      </c>
      <c r="D4156">
        <v>2029.2</v>
      </c>
      <c r="E4156">
        <v>149</v>
      </c>
      <c r="F4156">
        <v>1</v>
      </c>
      <c r="G4156">
        <v>4</v>
      </c>
      <c r="H4156">
        <v>0</v>
      </c>
      <c r="I4156" t="s">
        <v>19</v>
      </c>
      <c r="J4156">
        <v>1</v>
      </c>
      <c r="K4156">
        <v>68</v>
      </c>
      <c r="L4156" t="s">
        <v>20</v>
      </c>
      <c r="M4156" t="s">
        <v>21</v>
      </c>
      <c r="N4156" t="s">
        <v>22</v>
      </c>
      <c r="O4156" t="s">
        <v>27</v>
      </c>
      <c r="P4156">
        <v>0.14000000000000001</v>
      </c>
      <c r="Q4156" s="2" t="b">
        <f>FALSE()</f>
        <v>0</v>
      </c>
      <c r="R4156">
        <v>0</v>
      </c>
    </row>
    <row r="4157" spans="1:18" x14ac:dyDescent="0.25">
      <c r="A4157">
        <v>204156</v>
      </c>
      <c r="B4157">
        <v>55722</v>
      </c>
      <c r="C4157" t="s">
        <v>18</v>
      </c>
      <c r="D4157">
        <v>1125.83</v>
      </c>
      <c r="E4157">
        <v>1162</v>
      </c>
      <c r="F4157">
        <v>2</v>
      </c>
      <c r="G4157">
        <v>1</v>
      </c>
      <c r="H4157">
        <v>0</v>
      </c>
      <c r="I4157" t="s">
        <v>33</v>
      </c>
      <c r="J4157">
        <v>0</v>
      </c>
      <c r="K4157">
        <v>67</v>
      </c>
      <c r="L4157" t="s">
        <v>24</v>
      </c>
      <c r="M4157" t="s">
        <v>25</v>
      </c>
      <c r="N4157" t="s">
        <v>22</v>
      </c>
      <c r="O4157" t="s">
        <v>23</v>
      </c>
      <c r="P4157">
        <v>0.47</v>
      </c>
      <c r="Q4157" s="2" t="b">
        <f>FALSE()</f>
        <v>0</v>
      </c>
      <c r="R4157">
        <v>0</v>
      </c>
    </row>
    <row r="4158" spans="1:18" x14ac:dyDescent="0.25">
      <c r="A4158">
        <v>204157</v>
      </c>
      <c r="B4158">
        <v>53903</v>
      </c>
      <c r="C4158" t="s">
        <v>18</v>
      </c>
      <c r="D4158">
        <v>3608.37</v>
      </c>
      <c r="E4158">
        <v>3483</v>
      </c>
      <c r="F4158">
        <v>2</v>
      </c>
      <c r="G4158">
        <v>4</v>
      </c>
      <c r="H4158">
        <v>0</v>
      </c>
      <c r="I4158" t="s">
        <v>33</v>
      </c>
      <c r="J4158">
        <v>0</v>
      </c>
      <c r="K4158">
        <v>66</v>
      </c>
      <c r="L4158" t="s">
        <v>24</v>
      </c>
      <c r="M4158" t="s">
        <v>25</v>
      </c>
      <c r="N4158" t="s">
        <v>22</v>
      </c>
      <c r="O4158" t="s">
        <v>27</v>
      </c>
      <c r="P4158">
        <v>0</v>
      </c>
      <c r="Q4158" s="2" t="b">
        <f>FALSE()</f>
        <v>0</v>
      </c>
      <c r="R4158">
        <v>1</v>
      </c>
    </row>
    <row r="4159" spans="1:18" x14ac:dyDescent="0.25">
      <c r="A4159">
        <v>204158</v>
      </c>
      <c r="B4159">
        <v>52826</v>
      </c>
      <c r="C4159" t="s">
        <v>18</v>
      </c>
      <c r="D4159">
        <v>1078.82</v>
      </c>
      <c r="E4159">
        <v>2027</v>
      </c>
      <c r="F4159">
        <v>1</v>
      </c>
      <c r="G4159">
        <v>5</v>
      </c>
      <c r="H4159">
        <v>0</v>
      </c>
      <c r="I4159" t="s">
        <v>33</v>
      </c>
      <c r="J4159">
        <v>0</v>
      </c>
      <c r="K4159">
        <v>28</v>
      </c>
      <c r="L4159" t="s">
        <v>20</v>
      </c>
      <c r="M4159" t="s">
        <v>21</v>
      </c>
      <c r="N4159" t="s">
        <v>22</v>
      </c>
      <c r="O4159" t="s">
        <v>23</v>
      </c>
      <c r="P4159">
        <v>0.71</v>
      </c>
      <c r="Q4159" s="2" t="b">
        <f>FALSE()</f>
        <v>0</v>
      </c>
      <c r="R4159">
        <v>0</v>
      </c>
    </row>
    <row r="4160" spans="1:18" x14ac:dyDescent="0.25">
      <c r="A4160">
        <v>204159</v>
      </c>
      <c r="B4160">
        <v>53078</v>
      </c>
      <c r="C4160" t="s">
        <v>18</v>
      </c>
      <c r="D4160">
        <v>4803.41</v>
      </c>
      <c r="E4160">
        <v>1435</v>
      </c>
      <c r="F4160">
        <v>0</v>
      </c>
      <c r="G4160">
        <v>4</v>
      </c>
      <c r="H4160">
        <v>0</v>
      </c>
      <c r="I4160" t="s">
        <v>33</v>
      </c>
      <c r="J4160">
        <v>0</v>
      </c>
      <c r="K4160">
        <v>48</v>
      </c>
      <c r="L4160" t="s">
        <v>20</v>
      </c>
      <c r="M4160" t="s">
        <v>21</v>
      </c>
      <c r="N4160" t="s">
        <v>22</v>
      </c>
      <c r="O4160" t="s">
        <v>23</v>
      </c>
      <c r="P4160">
        <v>0.78</v>
      </c>
      <c r="Q4160" s="2" t="b">
        <f>FALSE()</f>
        <v>0</v>
      </c>
      <c r="R4160">
        <v>1</v>
      </c>
    </row>
    <row r="4161" spans="1:18" x14ac:dyDescent="0.25">
      <c r="A4161">
        <v>204160</v>
      </c>
      <c r="B4161">
        <v>51105</v>
      </c>
      <c r="C4161" t="s">
        <v>34</v>
      </c>
      <c r="D4161">
        <v>2593.9899999999998</v>
      </c>
      <c r="E4161">
        <v>3296</v>
      </c>
      <c r="F4161">
        <v>0</v>
      </c>
      <c r="G4161">
        <v>4</v>
      </c>
      <c r="H4161">
        <v>0</v>
      </c>
      <c r="I4161" t="s">
        <v>19</v>
      </c>
      <c r="J4161">
        <v>0</v>
      </c>
      <c r="K4161">
        <v>76</v>
      </c>
      <c r="L4161" t="s">
        <v>24</v>
      </c>
      <c r="M4161" t="s">
        <v>21</v>
      </c>
      <c r="N4161" t="s">
        <v>22</v>
      </c>
      <c r="O4161" t="s">
        <v>27</v>
      </c>
      <c r="P4161">
        <v>8.67</v>
      </c>
      <c r="Q4161" s="2" t="b">
        <f>FALSE()</f>
        <v>0</v>
      </c>
      <c r="R4161">
        <v>0</v>
      </c>
    </row>
    <row r="4162" spans="1:18" x14ac:dyDescent="0.25">
      <c r="A4162">
        <v>204161</v>
      </c>
      <c r="B4162">
        <v>54092</v>
      </c>
      <c r="C4162" t="s">
        <v>34</v>
      </c>
      <c r="D4162">
        <v>3129.57</v>
      </c>
      <c r="E4162">
        <v>753</v>
      </c>
      <c r="F4162">
        <v>1</v>
      </c>
      <c r="G4162">
        <v>6</v>
      </c>
      <c r="H4162">
        <v>0</v>
      </c>
      <c r="I4162" t="s">
        <v>19</v>
      </c>
      <c r="J4162">
        <v>0</v>
      </c>
      <c r="K4162">
        <v>20</v>
      </c>
      <c r="L4162" t="s">
        <v>24</v>
      </c>
      <c r="M4162" t="s">
        <v>31</v>
      </c>
      <c r="N4162" t="s">
        <v>30</v>
      </c>
      <c r="O4162" t="s">
        <v>27</v>
      </c>
      <c r="P4162">
        <v>1.45</v>
      </c>
      <c r="Q4162" s="2" t="b">
        <f>FALSE()</f>
        <v>0</v>
      </c>
      <c r="R4162">
        <v>0</v>
      </c>
    </row>
    <row r="4163" spans="1:18" x14ac:dyDescent="0.25">
      <c r="A4163">
        <v>204162</v>
      </c>
      <c r="B4163">
        <v>54236</v>
      </c>
      <c r="C4163" t="s">
        <v>34</v>
      </c>
      <c r="D4163">
        <v>1235.49</v>
      </c>
      <c r="E4163">
        <v>1695</v>
      </c>
      <c r="F4163">
        <v>1</v>
      </c>
      <c r="G4163">
        <v>5</v>
      </c>
      <c r="H4163">
        <v>0</v>
      </c>
      <c r="I4163" t="s">
        <v>33</v>
      </c>
      <c r="J4163">
        <v>0</v>
      </c>
      <c r="K4163">
        <v>23</v>
      </c>
      <c r="L4163" t="s">
        <v>20</v>
      </c>
      <c r="M4163" t="s">
        <v>37</v>
      </c>
      <c r="N4163" t="s">
        <v>22</v>
      </c>
      <c r="O4163" t="s">
        <v>27</v>
      </c>
      <c r="P4163">
        <v>3.11</v>
      </c>
      <c r="Q4163" s="2" t="b">
        <f>FALSE()</f>
        <v>0</v>
      </c>
      <c r="R4163">
        <v>0</v>
      </c>
    </row>
    <row r="4164" spans="1:18" x14ac:dyDescent="0.25">
      <c r="A4164">
        <v>204163</v>
      </c>
      <c r="B4164">
        <v>53894</v>
      </c>
      <c r="C4164" t="s">
        <v>28</v>
      </c>
      <c r="D4164">
        <v>6222.55</v>
      </c>
      <c r="E4164">
        <v>1465</v>
      </c>
      <c r="F4164">
        <v>2</v>
      </c>
      <c r="G4164">
        <v>2</v>
      </c>
      <c r="H4164">
        <v>0</v>
      </c>
      <c r="I4164" t="s">
        <v>33</v>
      </c>
      <c r="J4164">
        <v>0</v>
      </c>
      <c r="K4164">
        <v>57</v>
      </c>
      <c r="L4164" t="s">
        <v>24</v>
      </c>
      <c r="M4164" t="s">
        <v>21</v>
      </c>
      <c r="N4164" t="s">
        <v>26</v>
      </c>
      <c r="O4164" t="s">
        <v>27</v>
      </c>
      <c r="P4164">
        <v>1.79</v>
      </c>
      <c r="Q4164" s="2" t="b">
        <f>FALSE()</f>
        <v>0</v>
      </c>
      <c r="R4164">
        <v>1</v>
      </c>
    </row>
    <row r="4165" spans="1:18" x14ac:dyDescent="0.25">
      <c r="A4165">
        <v>204164</v>
      </c>
      <c r="B4165">
        <v>54775</v>
      </c>
      <c r="C4165" t="s">
        <v>18</v>
      </c>
      <c r="D4165">
        <v>1614.28</v>
      </c>
      <c r="E4165">
        <v>2020</v>
      </c>
      <c r="F4165">
        <v>1</v>
      </c>
      <c r="G4165">
        <v>2</v>
      </c>
      <c r="H4165">
        <v>0</v>
      </c>
      <c r="I4165" t="s">
        <v>33</v>
      </c>
      <c r="J4165">
        <v>0</v>
      </c>
      <c r="K4165">
        <v>59</v>
      </c>
      <c r="L4165" t="s">
        <v>24</v>
      </c>
      <c r="M4165" t="s">
        <v>31</v>
      </c>
      <c r="N4165" t="s">
        <v>22</v>
      </c>
      <c r="O4165" t="s">
        <v>36</v>
      </c>
      <c r="P4165">
        <v>1.1499999999999999</v>
      </c>
      <c r="Q4165" s="2" t="b">
        <f>FALSE()</f>
        <v>0</v>
      </c>
      <c r="R4165">
        <v>0</v>
      </c>
    </row>
    <row r="4166" spans="1:18" x14ac:dyDescent="0.25">
      <c r="A4166">
        <v>204165</v>
      </c>
      <c r="B4166">
        <v>55361</v>
      </c>
      <c r="C4166" t="s">
        <v>18</v>
      </c>
      <c r="D4166">
        <v>631.16999999999996</v>
      </c>
      <c r="E4166">
        <v>996</v>
      </c>
      <c r="F4166">
        <v>0</v>
      </c>
      <c r="G4166">
        <v>3</v>
      </c>
      <c r="H4166">
        <v>1</v>
      </c>
      <c r="I4166" t="s">
        <v>33</v>
      </c>
      <c r="J4166">
        <v>0</v>
      </c>
      <c r="K4166">
        <v>65</v>
      </c>
      <c r="L4166" t="s">
        <v>24</v>
      </c>
      <c r="M4166" t="s">
        <v>31</v>
      </c>
      <c r="N4166" t="s">
        <v>30</v>
      </c>
      <c r="O4166" t="s">
        <v>36</v>
      </c>
      <c r="P4166">
        <v>2.11</v>
      </c>
      <c r="Q4166" s="2" t="b">
        <f>FALSE()</f>
        <v>0</v>
      </c>
      <c r="R4166">
        <v>0</v>
      </c>
    </row>
    <row r="4167" spans="1:18" x14ac:dyDescent="0.25">
      <c r="A4167">
        <v>204166</v>
      </c>
      <c r="B4167">
        <v>52241</v>
      </c>
      <c r="C4167" t="s">
        <v>34</v>
      </c>
      <c r="D4167">
        <v>1278.6400000000001</v>
      </c>
      <c r="E4167">
        <v>3428</v>
      </c>
      <c r="F4167">
        <v>1</v>
      </c>
      <c r="G4167">
        <v>4</v>
      </c>
      <c r="H4167">
        <v>0</v>
      </c>
      <c r="I4167" t="s">
        <v>33</v>
      </c>
      <c r="J4167">
        <v>0</v>
      </c>
      <c r="K4167">
        <v>25</v>
      </c>
      <c r="L4167" t="s">
        <v>24</v>
      </c>
      <c r="M4167" t="s">
        <v>25</v>
      </c>
      <c r="N4167" t="s">
        <v>22</v>
      </c>
      <c r="O4167" t="s">
        <v>36</v>
      </c>
      <c r="P4167">
        <v>1.48</v>
      </c>
      <c r="Q4167" s="2" t="b">
        <f>FALSE()</f>
        <v>0</v>
      </c>
      <c r="R4167">
        <v>0</v>
      </c>
    </row>
    <row r="4168" spans="1:18" x14ac:dyDescent="0.25">
      <c r="A4168">
        <v>204167</v>
      </c>
      <c r="B4168">
        <v>55338</v>
      </c>
      <c r="C4168" t="s">
        <v>34</v>
      </c>
      <c r="D4168">
        <v>5024.22</v>
      </c>
      <c r="E4168">
        <v>2165</v>
      </c>
      <c r="F4168">
        <v>4</v>
      </c>
      <c r="G4168">
        <v>5</v>
      </c>
      <c r="H4168">
        <v>0</v>
      </c>
      <c r="I4168" t="s">
        <v>19</v>
      </c>
      <c r="J4168">
        <v>0</v>
      </c>
      <c r="K4168">
        <v>80</v>
      </c>
      <c r="L4168" t="s">
        <v>20</v>
      </c>
      <c r="M4168" t="s">
        <v>35</v>
      </c>
      <c r="N4168" t="s">
        <v>22</v>
      </c>
      <c r="O4168" t="s">
        <v>36</v>
      </c>
      <c r="P4168">
        <v>4.24</v>
      </c>
      <c r="Q4168" s="2" t="b">
        <f>FALSE()</f>
        <v>0</v>
      </c>
      <c r="R4168">
        <v>1</v>
      </c>
    </row>
    <row r="4169" spans="1:18" x14ac:dyDescent="0.25">
      <c r="A4169">
        <v>204168</v>
      </c>
      <c r="B4169">
        <v>53253</v>
      </c>
      <c r="C4169" t="s">
        <v>34</v>
      </c>
      <c r="D4169">
        <v>1808.43</v>
      </c>
      <c r="E4169">
        <v>3302</v>
      </c>
      <c r="F4169">
        <v>0</v>
      </c>
      <c r="G4169">
        <v>2</v>
      </c>
      <c r="H4169">
        <v>0</v>
      </c>
      <c r="I4169" t="s">
        <v>33</v>
      </c>
      <c r="J4169">
        <v>0</v>
      </c>
      <c r="K4169">
        <v>36</v>
      </c>
      <c r="L4169" t="s">
        <v>24</v>
      </c>
      <c r="M4169" t="s">
        <v>37</v>
      </c>
      <c r="N4169" t="s">
        <v>22</v>
      </c>
      <c r="O4169" t="s">
        <v>36</v>
      </c>
      <c r="P4169">
        <v>0.67</v>
      </c>
      <c r="Q4169" s="2" t="b">
        <f>FALSE()</f>
        <v>0</v>
      </c>
      <c r="R4169">
        <v>0</v>
      </c>
    </row>
    <row r="4170" spans="1:18" x14ac:dyDescent="0.25">
      <c r="A4170">
        <v>204169</v>
      </c>
      <c r="B4170">
        <v>54132</v>
      </c>
      <c r="C4170" t="s">
        <v>18</v>
      </c>
      <c r="D4170">
        <v>760.44</v>
      </c>
      <c r="E4170">
        <v>585</v>
      </c>
      <c r="F4170">
        <v>1</v>
      </c>
      <c r="G4170">
        <v>6</v>
      </c>
      <c r="H4170">
        <v>0</v>
      </c>
      <c r="I4170" t="s">
        <v>19</v>
      </c>
      <c r="J4170">
        <v>1</v>
      </c>
      <c r="K4170">
        <v>68</v>
      </c>
      <c r="L4170" t="s">
        <v>20</v>
      </c>
      <c r="M4170" t="s">
        <v>37</v>
      </c>
      <c r="N4170" t="s">
        <v>30</v>
      </c>
      <c r="O4170" t="s">
        <v>27</v>
      </c>
      <c r="P4170">
        <v>6.09</v>
      </c>
      <c r="Q4170" s="2" t="b">
        <f>FALSE()</f>
        <v>0</v>
      </c>
      <c r="R4170">
        <v>0</v>
      </c>
    </row>
    <row r="4171" spans="1:18" x14ac:dyDescent="0.25">
      <c r="A4171">
        <v>204170</v>
      </c>
      <c r="B4171">
        <v>53034</v>
      </c>
      <c r="C4171" t="s">
        <v>18</v>
      </c>
      <c r="D4171">
        <v>2929.82</v>
      </c>
      <c r="E4171">
        <v>3258</v>
      </c>
      <c r="F4171">
        <v>2</v>
      </c>
      <c r="G4171">
        <v>2</v>
      </c>
      <c r="H4171">
        <v>1</v>
      </c>
      <c r="I4171" t="s">
        <v>19</v>
      </c>
      <c r="J4171">
        <v>1</v>
      </c>
      <c r="K4171">
        <v>19</v>
      </c>
      <c r="L4171" t="s">
        <v>20</v>
      </c>
      <c r="M4171" t="s">
        <v>21</v>
      </c>
      <c r="N4171" t="s">
        <v>30</v>
      </c>
      <c r="O4171" t="s">
        <v>23</v>
      </c>
      <c r="P4171">
        <v>3.81</v>
      </c>
      <c r="Q4171" s="2" t="b">
        <f>FALSE()</f>
        <v>0</v>
      </c>
      <c r="R4171">
        <v>0</v>
      </c>
    </row>
    <row r="4172" spans="1:18" x14ac:dyDescent="0.25">
      <c r="A4172">
        <v>204171</v>
      </c>
      <c r="B4172">
        <v>53339</v>
      </c>
      <c r="C4172" t="s">
        <v>28</v>
      </c>
      <c r="D4172">
        <v>1079.5</v>
      </c>
      <c r="E4172">
        <v>2031</v>
      </c>
      <c r="F4172">
        <v>0</v>
      </c>
      <c r="G4172">
        <v>2</v>
      </c>
      <c r="H4172">
        <v>0</v>
      </c>
      <c r="I4172" t="s">
        <v>32</v>
      </c>
      <c r="J4172">
        <v>0</v>
      </c>
      <c r="K4172">
        <v>35</v>
      </c>
      <c r="L4172" t="s">
        <v>20</v>
      </c>
      <c r="M4172" t="s">
        <v>35</v>
      </c>
      <c r="N4172" t="s">
        <v>22</v>
      </c>
      <c r="O4172" t="s">
        <v>36</v>
      </c>
      <c r="P4172">
        <v>0.17</v>
      </c>
      <c r="Q4172" s="2" t="b">
        <f>FALSE()</f>
        <v>0</v>
      </c>
      <c r="R4172">
        <v>0</v>
      </c>
    </row>
    <row r="4173" spans="1:18" x14ac:dyDescent="0.25">
      <c r="A4173">
        <v>204172</v>
      </c>
      <c r="B4173">
        <v>55550</v>
      </c>
      <c r="C4173" t="s">
        <v>18</v>
      </c>
      <c r="D4173">
        <v>5458.55</v>
      </c>
      <c r="E4173">
        <v>2815</v>
      </c>
      <c r="F4173">
        <v>1</v>
      </c>
      <c r="G4173">
        <v>3</v>
      </c>
      <c r="H4173">
        <v>0</v>
      </c>
      <c r="I4173" t="s">
        <v>33</v>
      </c>
      <c r="J4173">
        <v>0</v>
      </c>
      <c r="K4173">
        <v>19</v>
      </c>
      <c r="L4173" t="s">
        <v>20</v>
      </c>
      <c r="M4173" t="s">
        <v>21</v>
      </c>
      <c r="N4173" t="s">
        <v>22</v>
      </c>
      <c r="O4173" t="s">
        <v>36</v>
      </c>
      <c r="P4173">
        <v>1.82</v>
      </c>
      <c r="Q4173" s="2" t="b">
        <f>FALSE()</f>
        <v>0</v>
      </c>
      <c r="R4173">
        <v>1</v>
      </c>
    </row>
    <row r="4174" spans="1:18" x14ac:dyDescent="0.25">
      <c r="A4174">
        <v>204173</v>
      </c>
      <c r="B4174">
        <v>52033</v>
      </c>
      <c r="C4174" t="s">
        <v>18</v>
      </c>
      <c r="D4174">
        <v>4397.0200000000004</v>
      </c>
      <c r="E4174">
        <v>1331</v>
      </c>
      <c r="F4174">
        <v>0</v>
      </c>
      <c r="G4174">
        <v>4</v>
      </c>
      <c r="H4174">
        <v>1</v>
      </c>
      <c r="I4174" t="s">
        <v>19</v>
      </c>
      <c r="J4174">
        <v>0</v>
      </c>
      <c r="K4174">
        <v>35</v>
      </c>
      <c r="L4174" t="s">
        <v>20</v>
      </c>
      <c r="M4174" t="s">
        <v>25</v>
      </c>
      <c r="N4174" t="s">
        <v>26</v>
      </c>
      <c r="O4174" t="s">
        <v>27</v>
      </c>
      <c r="P4174">
        <v>8.24</v>
      </c>
      <c r="Q4174" s="2" t="b">
        <f>FALSE()</f>
        <v>0</v>
      </c>
      <c r="R4174">
        <v>1</v>
      </c>
    </row>
    <row r="4175" spans="1:18" x14ac:dyDescent="0.25">
      <c r="A4175">
        <v>204174</v>
      </c>
      <c r="B4175">
        <v>50038</v>
      </c>
      <c r="C4175" t="s">
        <v>28</v>
      </c>
      <c r="D4175">
        <v>2458.25</v>
      </c>
      <c r="E4175">
        <v>3080</v>
      </c>
      <c r="F4175">
        <v>0</v>
      </c>
      <c r="G4175">
        <v>2</v>
      </c>
      <c r="H4175">
        <v>0</v>
      </c>
      <c r="I4175" t="s">
        <v>33</v>
      </c>
      <c r="J4175">
        <v>0</v>
      </c>
      <c r="K4175">
        <v>32</v>
      </c>
      <c r="L4175" t="s">
        <v>20</v>
      </c>
      <c r="M4175" t="s">
        <v>35</v>
      </c>
      <c r="N4175" t="s">
        <v>22</v>
      </c>
      <c r="O4175" t="s">
        <v>27</v>
      </c>
      <c r="P4175">
        <v>3.05</v>
      </c>
      <c r="Q4175" s="2" t="b">
        <f>FALSE()</f>
        <v>0</v>
      </c>
      <c r="R4175">
        <v>0</v>
      </c>
    </row>
    <row r="4176" spans="1:18" x14ac:dyDescent="0.25">
      <c r="A4176">
        <v>204175</v>
      </c>
      <c r="B4176">
        <v>54739</v>
      </c>
      <c r="C4176" t="s">
        <v>34</v>
      </c>
      <c r="D4176">
        <v>1016.38</v>
      </c>
      <c r="E4176">
        <v>906</v>
      </c>
      <c r="F4176">
        <v>1</v>
      </c>
      <c r="G4176">
        <v>7</v>
      </c>
      <c r="H4176">
        <v>0</v>
      </c>
      <c r="I4176" t="s">
        <v>33</v>
      </c>
      <c r="J4176">
        <v>0</v>
      </c>
      <c r="K4176">
        <v>55</v>
      </c>
      <c r="L4176" t="s">
        <v>24</v>
      </c>
      <c r="M4176" t="s">
        <v>25</v>
      </c>
      <c r="N4176" t="s">
        <v>30</v>
      </c>
      <c r="O4176" t="s">
        <v>23</v>
      </c>
      <c r="P4176">
        <v>1</v>
      </c>
      <c r="Q4176" s="2" t="b">
        <f>FALSE()</f>
        <v>0</v>
      </c>
      <c r="R4176">
        <v>1</v>
      </c>
    </row>
    <row r="4177" spans="1:18" x14ac:dyDescent="0.25">
      <c r="A4177">
        <v>204176</v>
      </c>
      <c r="B4177">
        <v>52629</v>
      </c>
      <c r="C4177" t="s">
        <v>18</v>
      </c>
      <c r="D4177">
        <v>1500.53</v>
      </c>
      <c r="E4177">
        <v>840</v>
      </c>
      <c r="F4177">
        <v>1</v>
      </c>
      <c r="G4177">
        <v>2</v>
      </c>
      <c r="H4177">
        <v>1</v>
      </c>
      <c r="I4177" t="s">
        <v>32</v>
      </c>
      <c r="J4177">
        <v>0</v>
      </c>
      <c r="K4177">
        <v>20</v>
      </c>
      <c r="L4177" t="s">
        <v>20</v>
      </c>
      <c r="M4177" t="s">
        <v>37</v>
      </c>
      <c r="N4177" t="s">
        <v>22</v>
      </c>
      <c r="O4177" t="s">
        <v>27</v>
      </c>
      <c r="P4177">
        <v>3.85</v>
      </c>
      <c r="Q4177" s="2" t="b">
        <f>FALSE()</f>
        <v>0</v>
      </c>
      <c r="R4177">
        <v>0</v>
      </c>
    </row>
    <row r="4178" spans="1:18" x14ac:dyDescent="0.25">
      <c r="A4178">
        <v>204177</v>
      </c>
      <c r="B4178">
        <v>53236</v>
      </c>
      <c r="C4178" t="s">
        <v>28</v>
      </c>
      <c r="D4178">
        <v>460.57</v>
      </c>
      <c r="E4178">
        <v>1029</v>
      </c>
      <c r="F4178">
        <v>3</v>
      </c>
      <c r="G4178">
        <v>6</v>
      </c>
      <c r="H4178">
        <v>0</v>
      </c>
      <c r="I4178" t="s">
        <v>19</v>
      </c>
      <c r="J4178">
        <v>0</v>
      </c>
      <c r="K4178">
        <v>48</v>
      </c>
      <c r="L4178" t="s">
        <v>20</v>
      </c>
      <c r="M4178" t="s">
        <v>29</v>
      </c>
      <c r="N4178" t="s">
        <v>26</v>
      </c>
      <c r="O4178" t="s">
        <v>36</v>
      </c>
      <c r="P4178">
        <v>5.63</v>
      </c>
      <c r="Q4178" s="2" t="b">
        <f>FALSE()</f>
        <v>0</v>
      </c>
      <c r="R4178">
        <v>1</v>
      </c>
    </row>
    <row r="4179" spans="1:18" x14ac:dyDescent="0.25">
      <c r="A4179">
        <v>204178</v>
      </c>
      <c r="B4179">
        <v>53226</v>
      </c>
      <c r="C4179" t="s">
        <v>18</v>
      </c>
      <c r="D4179">
        <v>2460.63</v>
      </c>
      <c r="E4179">
        <v>924</v>
      </c>
      <c r="F4179">
        <v>0</v>
      </c>
      <c r="G4179">
        <v>4</v>
      </c>
      <c r="H4179">
        <v>0</v>
      </c>
      <c r="I4179" t="s">
        <v>33</v>
      </c>
      <c r="J4179">
        <v>1</v>
      </c>
      <c r="K4179">
        <v>18</v>
      </c>
      <c r="L4179" t="s">
        <v>20</v>
      </c>
      <c r="M4179" t="s">
        <v>37</v>
      </c>
      <c r="N4179" t="s">
        <v>30</v>
      </c>
      <c r="O4179" t="s">
        <v>36</v>
      </c>
      <c r="P4179">
        <v>1.87</v>
      </c>
      <c r="Q4179" s="2" t="b">
        <f>FALSE()</f>
        <v>0</v>
      </c>
      <c r="R4179">
        <v>0</v>
      </c>
    </row>
    <row r="4180" spans="1:18" x14ac:dyDescent="0.25">
      <c r="A4180">
        <v>204179</v>
      </c>
      <c r="B4180">
        <v>54419</v>
      </c>
      <c r="C4180" t="s">
        <v>18</v>
      </c>
      <c r="D4180">
        <v>1705.78</v>
      </c>
      <c r="E4180">
        <v>478</v>
      </c>
      <c r="F4180">
        <v>0</v>
      </c>
      <c r="G4180">
        <v>7</v>
      </c>
      <c r="H4180">
        <v>1</v>
      </c>
      <c r="I4180" t="s">
        <v>33</v>
      </c>
      <c r="J4180">
        <v>0</v>
      </c>
      <c r="K4180">
        <v>62</v>
      </c>
      <c r="L4180" t="s">
        <v>20</v>
      </c>
      <c r="M4180" t="s">
        <v>29</v>
      </c>
      <c r="N4180" t="s">
        <v>22</v>
      </c>
      <c r="O4180" t="s">
        <v>27</v>
      </c>
      <c r="P4180">
        <v>10.61</v>
      </c>
      <c r="Q4180" s="2" t="b">
        <f>FALSE()</f>
        <v>0</v>
      </c>
      <c r="R4180">
        <v>1</v>
      </c>
    </row>
    <row r="4181" spans="1:18" x14ac:dyDescent="0.25">
      <c r="A4181">
        <v>204180</v>
      </c>
      <c r="B4181">
        <v>50354</v>
      </c>
      <c r="C4181" t="s">
        <v>34</v>
      </c>
      <c r="D4181">
        <v>6010.84</v>
      </c>
      <c r="E4181">
        <v>277</v>
      </c>
      <c r="F4181">
        <v>0</v>
      </c>
      <c r="G4181">
        <v>5</v>
      </c>
      <c r="H4181">
        <v>0</v>
      </c>
      <c r="I4181" t="s">
        <v>33</v>
      </c>
      <c r="J4181">
        <v>0</v>
      </c>
      <c r="K4181">
        <v>66</v>
      </c>
      <c r="L4181" t="s">
        <v>20</v>
      </c>
      <c r="M4181" t="s">
        <v>25</v>
      </c>
      <c r="N4181" t="s">
        <v>26</v>
      </c>
      <c r="O4181" t="s">
        <v>23</v>
      </c>
      <c r="P4181">
        <v>7.63</v>
      </c>
      <c r="Q4181" s="2" t="b">
        <f>FALSE()</f>
        <v>0</v>
      </c>
      <c r="R4181">
        <v>1</v>
      </c>
    </row>
    <row r="4182" spans="1:18" x14ac:dyDescent="0.25">
      <c r="A4182">
        <v>204181</v>
      </c>
      <c r="B4182">
        <v>55240</v>
      </c>
      <c r="C4182" t="s">
        <v>18</v>
      </c>
      <c r="D4182">
        <v>3997.96</v>
      </c>
      <c r="E4182">
        <v>2068</v>
      </c>
      <c r="F4182">
        <v>1</v>
      </c>
      <c r="G4182">
        <v>5</v>
      </c>
      <c r="H4182">
        <v>1</v>
      </c>
      <c r="I4182" t="s">
        <v>33</v>
      </c>
      <c r="J4182">
        <v>0</v>
      </c>
      <c r="K4182">
        <v>76</v>
      </c>
      <c r="L4182" t="s">
        <v>24</v>
      </c>
      <c r="M4182" t="s">
        <v>37</v>
      </c>
      <c r="N4182" t="s">
        <v>30</v>
      </c>
      <c r="O4182" t="s">
        <v>36</v>
      </c>
      <c r="P4182">
        <v>0.2</v>
      </c>
      <c r="Q4182" s="2" t="b">
        <f>FALSE()</f>
        <v>0</v>
      </c>
      <c r="R4182">
        <v>1</v>
      </c>
    </row>
    <row r="4183" spans="1:18" x14ac:dyDescent="0.25">
      <c r="A4183">
        <v>204182</v>
      </c>
      <c r="B4183">
        <v>52947</v>
      </c>
      <c r="C4183" t="s">
        <v>18</v>
      </c>
      <c r="D4183">
        <v>2181.2600000000002</v>
      </c>
      <c r="E4183">
        <v>689</v>
      </c>
      <c r="F4183">
        <v>1</v>
      </c>
      <c r="G4183">
        <v>1</v>
      </c>
      <c r="H4183">
        <v>0</v>
      </c>
      <c r="I4183" t="s">
        <v>33</v>
      </c>
      <c r="J4183">
        <v>0</v>
      </c>
      <c r="K4183">
        <v>72</v>
      </c>
      <c r="L4183" t="s">
        <v>24</v>
      </c>
      <c r="M4183" t="s">
        <v>37</v>
      </c>
      <c r="N4183" t="s">
        <v>22</v>
      </c>
      <c r="O4183" t="s">
        <v>36</v>
      </c>
      <c r="P4183">
        <v>0.6</v>
      </c>
      <c r="Q4183" s="2" t="b">
        <f>FALSE()</f>
        <v>0</v>
      </c>
      <c r="R4183">
        <v>0</v>
      </c>
    </row>
    <row r="4184" spans="1:18" x14ac:dyDescent="0.25">
      <c r="A4184">
        <v>204183</v>
      </c>
      <c r="B4184">
        <v>54992</v>
      </c>
      <c r="C4184" t="s">
        <v>18</v>
      </c>
      <c r="D4184">
        <v>1168.5999999999999</v>
      </c>
      <c r="E4184">
        <v>1157</v>
      </c>
      <c r="F4184">
        <v>0</v>
      </c>
      <c r="G4184">
        <v>10</v>
      </c>
      <c r="H4184">
        <v>1</v>
      </c>
      <c r="I4184" t="s">
        <v>19</v>
      </c>
      <c r="J4184">
        <v>0</v>
      </c>
      <c r="K4184">
        <v>50</v>
      </c>
      <c r="L4184" t="s">
        <v>20</v>
      </c>
      <c r="M4184" t="s">
        <v>21</v>
      </c>
      <c r="N4184" t="s">
        <v>30</v>
      </c>
      <c r="O4184" t="s">
        <v>36</v>
      </c>
      <c r="P4184">
        <v>4.28</v>
      </c>
      <c r="Q4184" s="2" t="b">
        <f>FALSE()</f>
        <v>0</v>
      </c>
      <c r="R4184">
        <v>1</v>
      </c>
    </row>
    <row r="4185" spans="1:18" x14ac:dyDescent="0.25">
      <c r="A4185">
        <v>204184</v>
      </c>
      <c r="B4185">
        <v>54466</v>
      </c>
      <c r="C4185" t="s">
        <v>28</v>
      </c>
      <c r="D4185">
        <v>338.04</v>
      </c>
      <c r="E4185">
        <v>2916</v>
      </c>
      <c r="F4185">
        <v>2</v>
      </c>
      <c r="G4185">
        <v>1</v>
      </c>
      <c r="H4185">
        <v>1</v>
      </c>
      <c r="I4185" t="s">
        <v>33</v>
      </c>
      <c r="J4185">
        <v>0</v>
      </c>
      <c r="K4185">
        <v>45</v>
      </c>
      <c r="L4185" t="s">
        <v>20</v>
      </c>
      <c r="M4185" t="s">
        <v>35</v>
      </c>
      <c r="N4185" t="s">
        <v>30</v>
      </c>
      <c r="O4185" t="s">
        <v>27</v>
      </c>
      <c r="P4185">
        <v>5.25</v>
      </c>
      <c r="Q4185" s="2" t="b">
        <f>FALSE()</f>
        <v>0</v>
      </c>
      <c r="R4185">
        <v>0</v>
      </c>
    </row>
    <row r="4186" spans="1:18" x14ac:dyDescent="0.25">
      <c r="A4186">
        <v>204185</v>
      </c>
      <c r="B4186">
        <v>53710</v>
      </c>
      <c r="C4186" t="s">
        <v>34</v>
      </c>
      <c r="D4186">
        <v>7483.16</v>
      </c>
      <c r="E4186">
        <v>2146</v>
      </c>
      <c r="F4186">
        <v>0</v>
      </c>
      <c r="G4186">
        <v>4</v>
      </c>
      <c r="H4186">
        <v>0</v>
      </c>
      <c r="I4186" t="s">
        <v>33</v>
      </c>
      <c r="J4186">
        <v>0</v>
      </c>
      <c r="K4186">
        <v>52</v>
      </c>
      <c r="L4186" t="s">
        <v>24</v>
      </c>
      <c r="M4186" t="s">
        <v>31</v>
      </c>
      <c r="N4186" t="s">
        <v>30</v>
      </c>
      <c r="O4186" t="s">
        <v>36</v>
      </c>
      <c r="P4186">
        <v>0.91</v>
      </c>
      <c r="Q4186" s="2" t="b">
        <f>TRUE()</f>
        <v>1</v>
      </c>
      <c r="R4186">
        <v>1</v>
      </c>
    </row>
    <row r="4187" spans="1:18" x14ac:dyDescent="0.25">
      <c r="A4187">
        <v>204186</v>
      </c>
      <c r="B4187">
        <v>51576</v>
      </c>
      <c r="C4187" t="s">
        <v>18</v>
      </c>
      <c r="D4187">
        <v>1881.65</v>
      </c>
      <c r="E4187">
        <v>342</v>
      </c>
      <c r="F4187">
        <v>5</v>
      </c>
      <c r="G4187">
        <v>0</v>
      </c>
      <c r="H4187">
        <v>0</v>
      </c>
      <c r="I4187" t="s">
        <v>19</v>
      </c>
      <c r="J4187">
        <v>0</v>
      </c>
      <c r="K4187">
        <v>41</v>
      </c>
      <c r="L4187" t="s">
        <v>24</v>
      </c>
      <c r="M4187" t="s">
        <v>21</v>
      </c>
      <c r="N4187" t="s">
        <v>30</v>
      </c>
      <c r="O4187" t="s">
        <v>36</v>
      </c>
      <c r="P4187">
        <v>4.57</v>
      </c>
      <c r="Q4187" s="2" t="b">
        <f>FALSE()</f>
        <v>0</v>
      </c>
      <c r="R4187">
        <v>1</v>
      </c>
    </row>
    <row r="4188" spans="1:18" x14ac:dyDescent="0.25">
      <c r="A4188">
        <v>204187</v>
      </c>
      <c r="B4188">
        <v>50936</v>
      </c>
      <c r="C4188" t="s">
        <v>34</v>
      </c>
      <c r="D4188">
        <v>1078.57</v>
      </c>
      <c r="E4188">
        <v>2028</v>
      </c>
      <c r="F4188">
        <v>1</v>
      </c>
      <c r="G4188">
        <v>3</v>
      </c>
      <c r="H4188">
        <v>0</v>
      </c>
      <c r="I4188" t="s">
        <v>19</v>
      </c>
      <c r="J4188">
        <v>0</v>
      </c>
      <c r="K4188">
        <v>77</v>
      </c>
      <c r="L4188" t="s">
        <v>24</v>
      </c>
      <c r="M4188" t="s">
        <v>31</v>
      </c>
      <c r="N4188" t="s">
        <v>30</v>
      </c>
      <c r="O4188" t="s">
        <v>23</v>
      </c>
      <c r="P4188">
        <v>4.74</v>
      </c>
      <c r="Q4188" s="2" t="b">
        <f>FALSE()</f>
        <v>0</v>
      </c>
      <c r="R4188">
        <v>0</v>
      </c>
    </row>
    <row r="4189" spans="1:18" x14ac:dyDescent="0.25">
      <c r="A4189">
        <v>204188</v>
      </c>
      <c r="B4189">
        <v>55669</v>
      </c>
      <c r="C4189" t="s">
        <v>18</v>
      </c>
      <c r="D4189">
        <v>2338.94</v>
      </c>
      <c r="E4189">
        <v>596</v>
      </c>
      <c r="F4189">
        <v>1</v>
      </c>
      <c r="G4189">
        <v>3</v>
      </c>
      <c r="H4189">
        <v>0</v>
      </c>
      <c r="I4189" t="s">
        <v>33</v>
      </c>
      <c r="J4189">
        <v>0</v>
      </c>
      <c r="K4189">
        <v>47</v>
      </c>
      <c r="L4189" t="s">
        <v>20</v>
      </c>
      <c r="M4189" t="s">
        <v>31</v>
      </c>
      <c r="N4189" t="s">
        <v>30</v>
      </c>
      <c r="O4189" t="s">
        <v>36</v>
      </c>
      <c r="P4189">
        <v>2.91</v>
      </c>
      <c r="Q4189" s="2" t="b">
        <f>FALSE()</f>
        <v>0</v>
      </c>
      <c r="R4189">
        <v>0</v>
      </c>
    </row>
    <row r="4190" spans="1:18" x14ac:dyDescent="0.25">
      <c r="A4190">
        <v>204189</v>
      </c>
      <c r="B4190">
        <v>52067</v>
      </c>
      <c r="C4190" t="s">
        <v>18</v>
      </c>
      <c r="D4190">
        <v>1369.83</v>
      </c>
      <c r="E4190">
        <v>38</v>
      </c>
      <c r="F4190">
        <v>1</v>
      </c>
      <c r="G4190">
        <v>6</v>
      </c>
      <c r="H4190">
        <v>0</v>
      </c>
      <c r="I4190" t="s">
        <v>33</v>
      </c>
      <c r="J4190">
        <v>0</v>
      </c>
      <c r="K4190">
        <v>18</v>
      </c>
      <c r="L4190" t="s">
        <v>20</v>
      </c>
      <c r="M4190" t="s">
        <v>37</v>
      </c>
      <c r="N4190" t="s">
        <v>30</v>
      </c>
      <c r="O4190" t="s">
        <v>23</v>
      </c>
      <c r="P4190">
        <v>3.48</v>
      </c>
      <c r="Q4190" s="2" t="b">
        <f>FALSE()</f>
        <v>0</v>
      </c>
      <c r="R4190">
        <v>0</v>
      </c>
    </row>
    <row r="4191" spans="1:18" x14ac:dyDescent="0.25">
      <c r="A4191">
        <v>204190</v>
      </c>
      <c r="B4191">
        <v>50540</v>
      </c>
      <c r="C4191" t="s">
        <v>18</v>
      </c>
      <c r="D4191">
        <v>5367.99</v>
      </c>
      <c r="E4191">
        <v>1919</v>
      </c>
      <c r="F4191">
        <v>1</v>
      </c>
      <c r="G4191">
        <v>5</v>
      </c>
      <c r="H4191">
        <v>1</v>
      </c>
      <c r="I4191" t="s">
        <v>19</v>
      </c>
      <c r="J4191">
        <v>0</v>
      </c>
      <c r="K4191">
        <v>60</v>
      </c>
      <c r="L4191" t="s">
        <v>20</v>
      </c>
      <c r="M4191" t="s">
        <v>25</v>
      </c>
      <c r="N4191" t="s">
        <v>26</v>
      </c>
      <c r="O4191" t="s">
        <v>23</v>
      </c>
      <c r="P4191">
        <v>3.15</v>
      </c>
      <c r="Q4191" s="2" t="b">
        <f>FALSE()</f>
        <v>0</v>
      </c>
      <c r="R4191">
        <v>1</v>
      </c>
    </row>
    <row r="4192" spans="1:18" x14ac:dyDescent="0.25">
      <c r="A4192">
        <v>204191</v>
      </c>
      <c r="B4192">
        <v>54539</v>
      </c>
      <c r="C4192" t="s">
        <v>18</v>
      </c>
      <c r="D4192">
        <v>3791.21</v>
      </c>
      <c r="E4192">
        <v>1816</v>
      </c>
      <c r="F4192">
        <v>2</v>
      </c>
      <c r="G4192">
        <v>3</v>
      </c>
      <c r="H4192">
        <v>0</v>
      </c>
      <c r="I4192" t="s">
        <v>19</v>
      </c>
      <c r="J4192">
        <v>0</v>
      </c>
      <c r="K4192">
        <v>83</v>
      </c>
      <c r="L4192" t="s">
        <v>20</v>
      </c>
      <c r="M4192" t="s">
        <v>35</v>
      </c>
      <c r="N4192" t="s">
        <v>22</v>
      </c>
      <c r="O4192" t="s">
        <v>36</v>
      </c>
      <c r="P4192">
        <v>10.75</v>
      </c>
      <c r="Q4192" s="2" t="b">
        <f>FALSE()</f>
        <v>0</v>
      </c>
      <c r="R4192">
        <v>1</v>
      </c>
    </row>
    <row r="4193" spans="1:18" x14ac:dyDescent="0.25">
      <c r="A4193">
        <v>204192</v>
      </c>
      <c r="B4193">
        <v>54102</v>
      </c>
      <c r="C4193" t="s">
        <v>18</v>
      </c>
      <c r="D4193">
        <v>3224.88</v>
      </c>
      <c r="E4193">
        <v>1394</v>
      </c>
      <c r="F4193">
        <v>4</v>
      </c>
      <c r="G4193">
        <v>6</v>
      </c>
      <c r="H4193">
        <v>0</v>
      </c>
      <c r="I4193" t="s">
        <v>32</v>
      </c>
      <c r="J4193">
        <v>0</v>
      </c>
      <c r="K4193">
        <v>39</v>
      </c>
      <c r="L4193" t="s">
        <v>20</v>
      </c>
      <c r="M4193" t="s">
        <v>25</v>
      </c>
      <c r="N4193" t="s">
        <v>22</v>
      </c>
      <c r="O4193" t="s">
        <v>36</v>
      </c>
      <c r="P4193">
        <v>0.11</v>
      </c>
      <c r="Q4193" s="2" t="b">
        <f>FALSE()</f>
        <v>0</v>
      </c>
      <c r="R4193">
        <v>1</v>
      </c>
    </row>
    <row r="4194" spans="1:18" x14ac:dyDescent="0.25">
      <c r="A4194">
        <v>204193</v>
      </c>
      <c r="B4194">
        <v>52218</v>
      </c>
      <c r="C4194" t="s">
        <v>34</v>
      </c>
      <c r="D4194">
        <v>905.78</v>
      </c>
      <c r="E4194">
        <v>1539</v>
      </c>
      <c r="F4194">
        <v>0</v>
      </c>
      <c r="G4194">
        <v>4</v>
      </c>
      <c r="H4194">
        <v>0</v>
      </c>
      <c r="I4194" t="s">
        <v>33</v>
      </c>
      <c r="J4194">
        <v>0</v>
      </c>
      <c r="K4194">
        <v>34</v>
      </c>
      <c r="L4194" t="s">
        <v>24</v>
      </c>
      <c r="M4194" t="s">
        <v>25</v>
      </c>
      <c r="N4194" t="s">
        <v>22</v>
      </c>
      <c r="O4194" t="s">
        <v>27</v>
      </c>
      <c r="P4194">
        <v>2.2799999999999998</v>
      </c>
      <c r="Q4194" s="2" t="b">
        <f>FALSE()</f>
        <v>0</v>
      </c>
      <c r="R4194">
        <v>0</v>
      </c>
    </row>
    <row r="4195" spans="1:18" x14ac:dyDescent="0.25">
      <c r="A4195">
        <v>204194</v>
      </c>
      <c r="B4195">
        <v>53875</v>
      </c>
      <c r="C4195" t="s">
        <v>28</v>
      </c>
      <c r="D4195">
        <v>3159.26</v>
      </c>
      <c r="E4195">
        <v>3078</v>
      </c>
      <c r="F4195">
        <v>1</v>
      </c>
      <c r="G4195">
        <v>5</v>
      </c>
      <c r="H4195">
        <v>0</v>
      </c>
      <c r="I4195" t="s">
        <v>32</v>
      </c>
      <c r="J4195">
        <v>1</v>
      </c>
      <c r="K4195">
        <v>39</v>
      </c>
      <c r="L4195" t="s">
        <v>20</v>
      </c>
      <c r="M4195" t="s">
        <v>25</v>
      </c>
      <c r="N4195" t="s">
        <v>26</v>
      </c>
      <c r="O4195" t="s">
        <v>36</v>
      </c>
      <c r="P4195">
        <v>1</v>
      </c>
      <c r="Q4195" s="2" t="b">
        <f>FALSE()</f>
        <v>0</v>
      </c>
      <c r="R4195">
        <v>0</v>
      </c>
    </row>
    <row r="4196" spans="1:18" x14ac:dyDescent="0.25">
      <c r="A4196">
        <v>204195</v>
      </c>
      <c r="B4196">
        <v>50926</v>
      </c>
      <c r="C4196" t="s">
        <v>34</v>
      </c>
      <c r="D4196">
        <v>3998.24</v>
      </c>
      <c r="E4196">
        <v>3624</v>
      </c>
      <c r="F4196">
        <v>1</v>
      </c>
      <c r="G4196">
        <v>2</v>
      </c>
      <c r="H4196">
        <v>0</v>
      </c>
      <c r="I4196" t="s">
        <v>19</v>
      </c>
      <c r="J4196">
        <v>0</v>
      </c>
      <c r="K4196">
        <v>75</v>
      </c>
      <c r="L4196" t="s">
        <v>20</v>
      </c>
      <c r="M4196" t="s">
        <v>31</v>
      </c>
      <c r="N4196" t="s">
        <v>26</v>
      </c>
      <c r="O4196" t="s">
        <v>27</v>
      </c>
      <c r="P4196">
        <v>2.2599999999999998</v>
      </c>
      <c r="Q4196" s="2" t="b">
        <f>FALSE()</f>
        <v>0</v>
      </c>
      <c r="R4196">
        <v>1</v>
      </c>
    </row>
    <row r="4197" spans="1:18" x14ac:dyDescent="0.25">
      <c r="A4197">
        <v>204196</v>
      </c>
      <c r="B4197">
        <v>55509</v>
      </c>
      <c r="C4197" t="s">
        <v>18</v>
      </c>
      <c r="D4197">
        <v>5404.56</v>
      </c>
      <c r="E4197">
        <v>782</v>
      </c>
      <c r="F4197">
        <v>0</v>
      </c>
      <c r="G4197">
        <v>3</v>
      </c>
      <c r="H4197">
        <v>1</v>
      </c>
      <c r="I4197" t="s">
        <v>19</v>
      </c>
      <c r="J4197">
        <v>0</v>
      </c>
      <c r="K4197">
        <v>32</v>
      </c>
      <c r="L4197" t="s">
        <v>24</v>
      </c>
      <c r="M4197" t="s">
        <v>35</v>
      </c>
      <c r="N4197" t="s">
        <v>30</v>
      </c>
      <c r="O4197" t="s">
        <v>27</v>
      </c>
      <c r="P4197">
        <v>5.37</v>
      </c>
      <c r="Q4197" s="2" t="b">
        <f>FALSE()</f>
        <v>0</v>
      </c>
      <c r="R4197">
        <v>1</v>
      </c>
    </row>
    <row r="4198" spans="1:18" x14ac:dyDescent="0.25">
      <c r="A4198">
        <v>204197</v>
      </c>
      <c r="B4198">
        <v>50052</v>
      </c>
      <c r="C4198" t="s">
        <v>34</v>
      </c>
      <c r="D4198">
        <v>1258.21</v>
      </c>
      <c r="E4198">
        <v>98</v>
      </c>
      <c r="F4198">
        <v>0</v>
      </c>
      <c r="G4198">
        <v>2</v>
      </c>
      <c r="H4198">
        <v>1</v>
      </c>
      <c r="I4198" t="s">
        <v>33</v>
      </c>
      <c r="J4198">
        <v>0</v>
      </c>
      <c r="K4198">
        <v>81</v>
      </c>
      <c r="L4198" t="s">
        <v>20</v>
      </c>
      <c r="M4198" t="s">
        <v>35</v>
      </c>
      <c r="N4198" t="s">
        <v>26</v>
      </c>
      <c r="O4198" t="s">
        <v>36</v>
      </c>
      <c r="P4198">
        <v>4.1900000000000004</v>
      </c>
      <c r="Q4198" s="2" t="b">
        <f>FALSE()</f>
        <v>0</v>
      </c>
      <c r="R4198">
        <v>0</v>
      </c>
    </row>
    <row r="4199" spans="1:18" x14ac:dyDescent="0.25">
      <c r="A4199">
        <v>204198</v>
      </c>
      <c r="B4199">
        <v>55494</v>
      </c>
      <c r="C4199" t="s">
        <v>18</v>
      </c>
      <c r="D4199">
        <v>6622.57</v>
      </c>
      <c r="E4199">
        <v>1437</v>
      </c>
      <c r="F4199">
        <v>1</v>
      </c>
      <c r="G4199">
        <v>4</v>
      </c>
      <c r="H4199">
        <v>1</v>
      </c>
      <c r="I4199" t="s">
        <v>32</v>
      </c>
      <c r="J4199">
        <v>0</v>
      </c>
      <c r="K4199">
        <v>76</v>
      </c>
      <c r="L4199" t="s">
        <v>20</v>
      </c>
      <c r="M4199" t="s">
        <v>29</v>
      </c>
      <c r="N4199" t="s">
        <v>26</v>
      </c>
      <c r="O4199" t="s">
        <v>36</v>
      </c>
      <c r="P4199">
        <v>1.1299999999999999</v>
      </c>
      <c r="Q4199" s="2" t="b">
        <f>FALSE()</f>
        <v>0</v>
      </c>
      <c r="R4199">
        <v>1</v>
      </c>
    </row>
    <row r="4200" spans="1:18" x14ac:dyDescent="0.25">
      <c r="A4200">
        <v>204199</v>
      </c>
      <c r="B4200">
        <v>51613</v>
      </c>
      <c r="C4200" t="s">
        <v>28</v>
      </c>
      <c r="D4200">
        <v>3084.2</v>
      </c>
      <c r="E4200">
        <v>2500</v>
      </c>
      <c r="F4200">
        <v>0</v>
      </c>
      <c r="G4200">
        <v>0</v>
      </c>
      <c r="H4200">
        <v>1</v>
      </c>
      <c r="I4200" t="s">
        <v>19</v>
      </c>
      <c r="J4200">
        <v>0</v>
      </c>
      <c r="K4200">
        <v>59</v>
      </c>
      <c r="L4200" t="s">
        <v>24</v>
      </c>
      <c r="M4200" t="s">
        <v>29</v>
      </c>
      <c r="N4200" t="s">
        <v>22</v>
      </c>
      <c r="O4200" t="s">
        <v>23</v>
      </c>
      <c r="P4200">
        <v>1.77</v>
      </c>
      <c r="Q4200" s="2" t="b">
        <f>FALSE()</f>
        <v>0</v>
      </c>
      <c r="R4200">
        <v>0</v>
      </c>
    </row>
    <row r="4201" spans="1:18" x14ac:dyDescent="0.25">
      <c r="A4201">
        <v>204200</v>
      </c>
      <c r="B4201">
        <v>54599</v>
      </c>
      <c r="C4201" t="s">
        <v>18</v>
      </c>
      <c r="D4201">
        <v>2630.5</v>
      </c>
      <c r="E4201">
        <v>2018</v>
      </c>
      <c r="F4201">
        <v>1</v>
      </c>
      <c r="G4201">
        <v>5</v>
      </c>
      <c r="H4201">
        <v>1</v>
      </c>
      <c r="I4201" t="s">
        <v>33</v>
      </c>
      <c r="J4201">
        <v>0</v>
      </c>
      <c r="K4201">
        <v>52</v>
      </c>
      <c r="L4201" t="s">
        <v>24</v>
      </c>
      <c r="M4201" t="s">
        <v>35</v>
      </c>
      <c r="N4201" t="s">
        <v>30</v>
      </c>
      <c r="O4201" t="s">
        <v>23</v>
      </c>
      <c r="P4201">
        <v>6.43</v>
      </c>
      <c r="Q4201" s="2" t="b">
        <f>FALSE()</f>
        <v>0</v>
      </c>
      <c r="R4201">
        <v>0</v>
      </c>
    </row>
    <row r="4202" spans="1:18" x14ac:dyDescent="0.25">
      <c r="A4202">
        <v>204201</v>
      </c>
      <c r="B4202">
        <v>51373</v>
      </c>
      <c r="C4202" t="s">
        <v>34</v>
      </c>
      <c r="D4202">
        <v>1199.07</v>
      </c>
      <c r="E4202">
        <v>1495</v>
      </c>
      <c r="F4202">
        <v>2</v>
      </c>
      <c r="G4202">
        <v>2</v>
      </c>
      <c r="H4202">
        <v>1</v>
      </c>
      <c r="I4202" t="s">
        <v>19</v>
      </c>
      <c r="J4202">
        <v>0</v>
      </c>
      <c r="K4202">
        <v>20</v>
      </c>
      <c r="L4202" t="s">
        <v>24</v>
      </c>
      <c r="M4202" t="s">
        <v>37</v>
      </c>
      <c r="N4202" t="s">
        <v>26</v>
      </c>
      <c r="O4202" t="s">
        <v>23</v>
      </c>
      <c r="P4202">
        <v>2.02</v>
      </c>
      <c r="Q4202" s="2" t="b">
        <f>FALSE()</f>
        <v>0</v>
      </c>
      <c r="R4202">
        <v>0</v>
      </c>
    </row>
    <row r="4203" spans="1:18" x14ac:dyDescent="0.25">
      <c r="A4203">
        <v>204202</v>
      </c>
      <c r="B4203">
        <v>52641</v>
      </c>
      <c r="C4203" t="s">
        <v>28</v>
      </c>
      <c r="D4203">
        <v>1645.24</v>
      </c>
      <c r="E4203">
        <v>2813</v>
      </c>
      <c r="F4203">
        <v>1</v>
      </c>
      <c r="G4203">
        <v>3</v>
      </c>
      <c r="H4203">
        <v>0</v>
      </c>
      <c r="I4203" t="s">
        <v>33</v>
      </c>
      <c r="J4203">
        <v>0</v>
      </c>
      <c r="K4203">
        <v>65</v>
      </c>
      <c r="L4203" t="s">
        <v>24</v>
      </c>
      <c r="M4203" t="s">
        <v>21</v>
      </c>
      <c r="N4203" t="s">
        <v>22</v>
      </c>
      <c r="O4203" t="s">
        <v>36</v>
      </c>
      <c r="P4203">
        <v>12.61</v>
      </c>
      <c r="Q4203" s="2" t="b">
        <f>FALSE()</f>
        <v>0</v>
      </c>
      <c r="R4203">
        <v>0</v>
      </c>
    </row>
    <row r="4204" spans="1:18" x14ac:dyDescent="0.25">
      <c r="A4204">
        <v>204203</v>
      </c>
      <c r="B4204">
        <v>55591</v>
      </c>
      <c r="C4204" t="s">
        <v>18</v>
      </c>
      <c r="D4204">
        <v>3260.14</v>
      </c>
      <c r="E4204">
        <v>2603</v>
      </c>
      <c r="F4204">
        <v>0</v>
      </c>
      <c r="G4204">
        <v>3</v>
      </c>
      <c r="H4204">
        <v>1</v>
      </c>
      <c r="I4204" t="s">
        <v>32</v>
      </c>
      <c r="J4204">
        <v>0</v>
      </c>
      <c r="K4204">
        <v>73</v>
      </c>
      <c r="L4204" t="s">
        <v>20</v>
      </c>
      <c r="M4204" t="s">
        <v>21</v>
      </c>
      <c r="N4204" t="s">
        <v>22</v>
      </c>
      <c r="O4204" t="s">
        <v>36</v>
      </c>
      <c r="P4204">
        <v>5.12</v>
      </c>
      <c r="Q4204" s="2" t="b">
        <f>FALSE()</f>
        <v>0</v>
      </c>
      <c r="R4204">
        <v>0</v>
      </c>
    </row>
    <row r="4205" spans="1:18" x14ac:dyDescent="0.25">
      <c r="A4205">
        <v>204204</v>
      </c>
      <c r="B4205">
        <v>55764</v>
      </c>
      <c r="C4205" t="s">
        <v>34</v>
      </c>
      <c r="D4205">
        <v>2679.88</v>
      </c>
      <c r="E4205">
        <v>1735</v>
      </c>
      <c r="F4205">
        <v>0</v>
      </c>
      <c r="G4205">
        <v>2</v>
      </c>
      <c r="H4205">
        <v>0</v>
      </c>
      <c r="I4205" t="s">
        <v>33</v>
      </c>
      <c r="J4205">
        <v>0</v>
      </c>
      <c r="K4205">
        <v>65</v>
      </c>
      <c r="L4205" t="s">
        <v>24</v>
      </c>
      <c r="M4205" t="s">
        <v>37</v>
      </c>
      <c r="N4205" t="s">
        <v>30</v>
      </c>
      <c r="O4205" t="s">
        <v>36</v>
      </c>
      <c r="P4205">
        <v>3.53</v>
      </c>
      <c r="Q4205" s="2" t="b">
        <f>FALSE()</f>
        <v>0</v>
      </c>
      <c r="R4205">
        <v>0</v>
      </c>
    </row>
    <row r="4206" spans="1:18" x14ac:dyDescent="0.25">
      <c r="A4206">
        <v>204205</v>
      </c>
      <c r="B4206">
        <v>53733</v>
      </c>
      <c r="C4206" t="s">
        <v>18</v>
      </c>
      <c r="D4206">
        <v>784.48</v>
      </c>
      <c r="E4206">
        <v>3200</v>
      </c>
      <c r="F4206">
        <v>0</v>
      </c>
      <c r="G4206">
        <v>5</v>
      </c>
      <c r="H4206">
        <v>0</v>
      </c>
      <c r="I4206" t="s">
        <v>33</v>
      </c>
      <c r="J4206">
        <v>0</v>
      </c>
      <c r="K4206">
        <v>57</v>
      </c>
      <c r="L4206" t="s">
        <v>24</v>
      </c>
      <c r="M4206" t="s">
        <v>21</v>
      </c>
      <c r="N4206" t="s">
        <v>30</v>
      </c>
      <c r="O4206" t="s">
        <v>36</v>
      </c>
      <c r="P4206">
        <v>6.2</v>
      </c>
      <c r="Q4206" s="2" t="b">
        <f>FALSE()</f>
        <v>0</v>
      </c>
      <c r="R4206">
        <v>0</v>
      </c>
    </row>
    <row r="4207" spans="1:18" x14ac:dyDescent="0.25">
      <c r="A4207">
        <v>204206</v>
      </c>
      <c r="B4207">
        <v>55151</v>
      </c>
      <c r="C4207" t="s">
        <v>18</v>
      </c>
      <c r="D4207">
        <v>752.75</v>
      </c>
      <c r="E4207">
        <v>1171</v>
      </c>
      <c r="F4207">
        <v>3</v>
      </c>
      <c r="G4207">
        <v>5</v>
      </c>
      <c r="H4207">
        <v>0</v>
      </c>
      <c r="I4207" t="s">
        <v>33</v>
      </c>
      <c r="J4207">
        <v>0</v>
      </c>
      <c r="K4207">
        <v>45</v>
      </c>
      <c r="L4207" t="s">
        <v>20</v>
      </c>
      <c r="M4207" t="s">
        <v>29</v>
      </c>
      <c r="N4207" t="s">
        <v>30</v>
      </c>
      <c r="O4207" t="s">
        <v>27</v>
      </c>
      <c r="P4207">
        <v>9.01</v>
      </c>
      <c r="Q4207" s="2" t="b">
        <f>FALSE()</f>
        <v>0</v>
      </c>
      <c r="R4207">
        <v>1</v>
      </c>
    </row>
    <row r="4208" spans="1:18" x14ac:dyDescent="0.25">
      <c r="A4208">
        <v>204207</v>
      </c>
      <c r="B4208">
        <v>52924</v>
      </c>
      <c r="C4208" t="s">
        <v>34</v>
      </c>
      <c r="D4208">
        <v>1187.5</v>
      </c>
      <c r="E4208">
        <v>359</v>
      </c>
      <c r="F4208">
        <v>0</v>
      </c>
      <c r="G4208">
        <v>2</v>
      </c>
      <c r="H4208">
        <v>0</v>
      </c>
      <c r="I4208" t="s">
        <v>33</v>
      </c>
      <c r="J4208">
        <v>1</v>
      </c>
      <c r="K4208">
        <v>51</v>
      </c>
      <c r="L4208" t="s">
        <v>20</v>
      </c>
      <c r="M4208" t="s">
        <v>35</v>
      </c>
      <c r="N4208" t="s">
        <v>30</v>
      </c>
      <c r="O4208" t="s">
        <v>36</v>
      </c>
      <c r="P4208">
        <v>2.41</v>
      </c>
      <c r="Q4208" s="2" t="b">
        <f>FALSE()</f>
        <v>0</v>
      </c>
      <c r="R4208">
        <v>0</v>
      </c>
    </row>
    <row r="4209" spans="1:18" x14ac:dyDescent="0.25">
      <c r="A4209">
        <v>204208</v>
      </c>
      <c r="B4209">
        <v>53686</v>
      </c>
      <c r="C4209" t="s">
        <v>34</v>
      </c>
      <c r="D4209">
        <v>2097</v>
      </c>
      <c r="E4209">
        <v>1469</v>
      </c>
      <c r="F4209">
        <v>0</v>
      </c>
      <c r="G4209">
        <v>4</v>
      </c>
      <c r="H4209">
        <v>0</v>
      </c>
      <c r="I4209" t="s">
        <v>19</v>
      </c>
      <c r="J4209">
        <v>0</v>
      </c>
      <c r="K4209">
        <v>23</v>
      </c>
      <c r="L4209" t="s">
        <v>20</v>
      </c>
      <c r="M4209" t="s">
        <v>35</v>
      </c>
      <c r="N4209" t="s">
        <v>26</v>
      </c>
      <c r="O4209" t="s">
        <v>23</v>
      </c>
      <c r="P4209">
        <v>2.2799999999999998</v>
      </c>
      <c r="Q4209" s="2" t="b">
        <f>FALSE()</f>
        <v>0</v>
      </c>
      <c r="R4209">
        <v>0</v>
      </c>
    </row>
    <row r="4210" spans="1:18" x14ac:dyDescent="0.25">
      <c r="A4210">
        <v>204209</v>
      </c>
      <c r="B4210">
        <v>54982</v>
      </c>
      <c r="C4210" t="s">
        <v>18</v>
      </c>
      <c r="D4210">
        <v>1643.17</v>
      </c>
      <c r="E4210">
        <v>3028</v>
      </c>
      <c r="F4210">
        <v>1</v>
      </c>
      <c r="G4210">
        <v>0</v>
      </c>
      <c r="H4210">
        <v>0</v>
      </c>
      <c r="I4210" t="s">
        <v>32</v>
      </c>
      <c r="J4210">
        <v>0</v>
      </c>
      <c r="K4210">
        <v>68</v>
      </c>
      <c r="L4210" t="s">
        <v>20</v>
      </c>
      <c r="M4210" t="s">
        <v>29</v>
      </c>
      <c r="N4210" t="s">
        <v>30</v>
      </c>
      <c r="O4210" t="s">
        <v>27</v>
      </c>
      <c r="P4210">
        <v>5.27</v>
      </c>
      <c r="Q4210" s="2" t="b">
        <f>FALSE()</f>
        <v>0</v>
      </c>
      <c r="R4210">
        <v>0</v>
      </c>
    </row>
    <row r="4211" spans="1:18" x14ac:dyDescent="0.25">
      <c r="A4211">
        <v>204210</v>
      </c>
      <c r="B4211">
        <v>54315</v>
      </c>
      <c r="C4211" t="s">
        <v>18</v>
      </c>
      <c r="D4211">
        <v>6193.08</v>
      </c>
      <c r="E4211">
        <v>1420</v>
      </c>
      <c r="F4211">
        <v>0</v>
      </c>
      <c r="G4211">
        <v>5</v>
      </c>
      <c r="H4211">
        <v>1</v>
      </c>
      <c r="I4211" t="s">
        <v>33</v>
      </c>
      <c r="J4211">
        <v>0</v>
      </c>
      <c r="K4211">
        <v>46</v>
      </c>
      <c r="L4211" t="s">
        <v>24</v>
      </c>
      <c r="M4211" t="s">
        <v>37</v>
      </c>
      <c r="N4211" t="s">
        <v>30</v>
      </c>
      <c r="O4211" t="s">
        <v>27</v>
      </c>
      <c r="P4211">
        <v>0.9</v>
      </c>
      <c r="Q4211" s="2" t="b">
        <f>FALSE()</f>
        <v>0</v>
      </c>
      <c r="R4211">
        <v>1</v>
      </c>
    </row>
    <row r="4212" spans="1:18" x14ac:dyDescent="0.25">
      <c r="A4212">
        <v>204211</v>
      </c>
      <c r="B4212">
        <v>50369</v>
      </c>
      <c r="C4212" t="s">
        <v>18</v>
      </c>
      <c r="D4212">
        <v>2270.37</v>
      </c>
      <c r="E4212">
        <v>2931</v>
      </c>
      <c r="F4212">
        <v>1</v>
      </c>
      <c r="G4212">
        <v>7</v>
      </c>
      <c r="H4212">
        <v>0</v>
      </c>
      <c r="I4212" t="s">
        <v>33</v>
      </c>
      <c r="J4212">
        <v>0</v>
      </c>
      <c r="K4212">
        <v>76</v>
      </c>
      <c r="L4212" t="s">
        <v>20</v>
      </c>
      <c r="M4212" t="s">
        <v>35</v>
      </c>
      <c r="N4212" t="s">
        <v>22</v>
      </c>
      <c r="O4212" t="s">
        <v>23</v>
      </c>
      <c r="P4212">
        <v>5.26</v>
      </c>
      <c r="Q4212" s="2" t="b">
        <f>FALSE()</f>
        <v>0</v>
      </c>
      <c r="R4212">
        <v>1</v>
      </c>
    </row>
    <row r="4213" spans="1:18" x14ac:dyDescent="0.25">
      <c r="A4213">
        <v>204212</v>
      </c>
      <c r="B4213">
        <v>51548</v>
      </c>
      <c r="C4213" t="s">
        <v>18</v>
      </c>
      <c r="D4213">
        <v>6817.44</v>
      </c>
      <c r="E4213">
        <v>2155</v>
      </c>
      <c r="F4213">
        <v>1</v>
      </c>
      <c r="G4213">
        <v>4</v>
      </c>
      <c r="H4213">
        <v>0</v>
      </c>
      <c r="I4213" t="s">
        <v>19</v>
      </c>
      <c r="J4213">
        <v>0</v>
      </c>
      <c r="K4213">
        <v>58</v>
      </c>
      <c r="L4213" t="s">
        <v>24</v>
      </c>
      <c r="M4213" t="s">
        <v>21</v>
      </c>
      <c r="N4213" t="s">
        <v>22</v>
      </c>
      <c r="O4213" t="s">
        <v>36</v>
      </c>
      <c r="P4213">
        <v>1.1100000000000001</v>
      </c>
      <c r="Q4213" s="2" t="b">
        <f>FALSE()</f>
        <v>0</v>
      </c>
      <c r="R4213">
        <v>1</v>
      </c>
    </row>
    <row r="4214" spans="1:18" x14ac:dyDescent="0.25">
      <c r="A4214">
        <v>204213</v>
      </c>
      <c r="B4214">
        <v>52544</v>
      </c>
      <c r="C4214" t="s">
        <v>18</v>
      </c>
      <c r="D4214">
        <v>2239.67</v>
      </c>
      <c r="E4214">
        <v>361</v>
      </c>
      <c r="F4214">
        <v>1</v>
      </c>
      <c r="G4214">
        <v>6</v>
      </c>
      <c r="H4214">
        <v>0</v>
      </c>
      <c r="I4214" t="s">
        <v>19</v>
      </c>
      <c r="J4214">
        <v>0</v>
      </c>
      <c r="K4214">
        <v>40</v>
      </c>
      <c r="L4214" t="s">
        <v>24</v>
      </c>
      <c r="M4214" t="s">
        <v>35</v>
      </c>
      <c r="N4214" t="s">
        <v>22</v>
      </c>
      <c r="O4214" t="s">
        <v>27</v>
      </c>
      <c r="P4214">
        <v>6.26</v>
      </c>
      <c r="Q4214" s="2" t="b">
        <f>FALSE()</f>
        <v>0</v>
      </c>
      <c r="R4214">
        <v>0</v>
      </c>
    </row>
    <row r="4215" spans="1:18" x14ac:dyDescent="0.25">
      <c r="A4215">
        <v>204214</v>
      </c>
      <c r="B4215">
        <v>52967</v>
      </c>
      <c r="C4215" t="s">
        <v>18</v>
      </c>
      <c r="D4215">
        <v>1559.11</v>
      </c>
      <c r="E4215">
        <v>2396</v>
      </c>
      <c r="F4215">
        <v>1</v>
      </c>
      <c r="G4215">
        <v>1</v>
      </c>
      <c r="H4215">
        <v>0</v>
      </c>
      <c r="I4215" t="s">
        <v>33</v>
      </c>
      <c r="J4215">
        <v>0</v>
      </c>
      <c r="K4215">
        <v>82</v>
      </c>
      <c r="L4215" t="s">
        <v>20</v>
      </c>
      <c r="M4215" t="s">
        <v>21</v>
      </c>
      <c r="N4215" t="s">
        <v>22</v>
      </c>
      <c r="O4215" t="s">
        <v>36</v>
      </c>
      <c r="P4215">
        <v>9.5500000000000007</v>
      </c>
      <c r="Q4215" s="2" t="b">
        <f>FALSE()</f>
        <v>0</v>
      </c>
      <c r="R4215">
        <v>0</v>
      </c>
    </row>
    <row r="4216" spans="1:18" x14ac:dyDescent="0.25">
      <c r="A4216">
        <v>204215</v>
      </c>
      <c r="B4216">
        <v>50635</v>
      </c>
      <c r="C4216" t="s">
        <v>34</v>
      </c>
      <c r="D4216">
        <v>1018.82</v>
      </c>
      <c r="E4216">
        <v>2044</v>
      </c>
      <c r="F4216">
        <v>2</v>
      </c>
      <c r="G4216">
        <v>3</v>
      </c>
      <c r="H4216">
        <v>0</v>
      </c>
      <c r="I4216" t="s">
        <v>19</v>
      </c>
      <c r="J4216">
        <v>0</v>
      </c>
      <c r="K4216">
        <v>37</v>
      </c>
      <c r="L4216" t="s">
        <v>20</v>
      </c>
      <c r="M4216" t="s">
        <v>35</v>
      </c>
      <c r="N4216" t="s">
        <v>30</v>
      </c>
      <c r="O4216" t="s">
        <v>27</v>
      </c>
      <c r="P4216">
        <v>1.89</v>
      </c>
      <c r="Q4216" s="2" t="b">
        <f>FALSE()</f>
        <v>0</v>
      </c>
      <c r="R4216">
        <v>0</v>
      </c>
    </row>
    <row r="4217" spans="1:18" x14ac:dyDescent="0.25">
      <c r="A4217">
        <v>204216</v>
      </c>
      <c r="B4217">
        <v>53654</v>
      </c>
      <c r="C4217" t="s">
        <v>34</v>
      </c>
      <c r="D4217">
        <v>268.23</v>
      </c>
      <c r="E4217">
        <v>884</v>
      </c>
      <c r="F4217">
        <v>0</v>
      </c>
      <c r="G4217">
        <v>9</v>
      </c>
      <c r="H4217">
        <v>1</v>
      </c>
      <c r="I4217" t="s">
        <v>19</v>
      </c>
      <c r="J4217">
        <v>0</v>
      </c>
      <c r="K4217">
        <v>78</v>
      </c>
      <c r="L4217" t="s">
        <v>24</v>
      </c>
      <c r="M4217" t="s">
        <v>31</v>
      </c>
      <c r="N4217" t="s">
        <v>30</v>
      </c>
      <c r="O4217" t="s">
        <v>27</v>
      </c>
      <c r="P4217">
        <v>0.77</v>
      </c>
      <c r="Q4217" s="2" t="b">
        <f>FALSE()</f>
        <v>0</v>
      </c>
      <c r="R4217">
        <v>1</v>
      </c>
    </row>
    <row r="4218" spans="1:18" x14ac:dyDescent="0.25">
      <c r="A4218">
        <v>204217</v>
      </c>
      <c r="B4218">
        <v>50092</v>
      </c>
      <c r="C4218" t="s">
        <v>28</v>
      </c>
      <c r="D4218">
        <v>5555.95</v>
      </c>
      <c r="E4218">
        <v>645</v>
      </c>
      <c r="F4218">
        <v>1</v>
      </c>
      <c r="G4218">
        <v>6</v>
      </c>
      <c r="H4218">
        <v>0</v>
      </c>
      <c r="I4218" t="s">
        <v>33</v>
      </c>
      <c r="J4218">
        <v>0</v>
      </c>
      <c r="K4218">
        <v>44</v>
      </c>
      <c r="L4218" t="s">
        <v>24</v>
      </c>
      <c r="M4218" t="s">
        <v>29</v>
      </c>
      <c r="N4218" t="s">
        <v>30</v>
      </c>
      <c r="O4218" t="s">
        <v>27</v>
      </c>
      <c r="P4218">
        <v>1.57</v>
      </c>
      <c r="Q4218" s="2" t="b">
        <f>FALSE()</f>
        <v>0</v>
      </c>
      <c r="R4218">
        <v>1</v>
      </c>
    </row>
    <row r="4219" spans="1:18" x14ac:dyDescent="0.25">
      <c r="A4219">
        <v>204218</v>
      </c>
      <c r="B4219">
        <v>52041</v>
      </c>
      <c r="C4219" t="s">
        <v>34</v>
      </c>
      <c r="D4219">
        <v>2897.9</v>
      </c>
      <c r="E4219">
        <v>552</v>
      </c>
      <c r="F4219">
        <v>1</v>
      </c>
      <c r="G4219">
        <v>6</v>
      </c>
      <c r="H4219">
        <v>1</v>
      </c>
      <c r="I4219" t="s">
        <v>19</v>
      </c>
      <c r="J4219">
        <v>0</v>
      </c>
      <c r="K4219">
        <v>46</v>
      </c>
      <c r="L4219" t="s">
        <v>24</v>
      </c>
      <c r="M4219" t="s">
        <v>29</v>
      </c>
      <c r="N4219" t="s">
        <v>30</v>
      </c>
      <c r="O4219" t="s">
        <v>36</v>
      </c>
      <c r="P4219">
        <v>1.32</v>
      </c>
      <c r="Q4219" s="2" t="b">
        <f>FALSE()</f>
        <v>0</v>
      </c>
      <c r="R4219">
        <v>0</v>
      </c>
    </row>
    <row r="4220" spans="1:18" x14ac:dyDescent="0.25">
      <c r="A4220">
        <v>204219</v>
      </c>
      <c r="B4220">
        <v>52369</v>
      </c>
      <c r="C4220" t="s">
        <v>34</v>
      </c>
      <c r="D4220">
        <v>4758.9399999999996</v>
      </c>
      <c r="E4220">
        <v>2736</v>
      </c>
      <c r="F4220">
        <v>1</v>
      </c>
      <c r="G4220">
        <v>3</v>
      </c>
      <c r="H4220">
        <v>0</v>
      </c>
      <c r="I4220" t="s">
        <v>33</v>
      </c>
      <c r="J4220">
        <v>0</v>
      </c>
      <c r="K4220">
        <v>34</v>
      </c>
      <c r="L4220" t="s">
        <v>20</v>
      </c>
      <c r="M4220" t="s">
        <v>29</v>
      </c>
      <c r="N4220" t="s">
        <v>30</v>
      </c>
      <c r="O4220" t="s">
        <v>23</v>
      </c>
      <c r="P4220">
        <v>4.53</v>
      </c>
      <c r="Q4220" s="2" t="b">
        <f>FALSE()</f>
        <v>0</v>
      </c>
      <c r="R4220">
        <v>1</v>
      </c>
    </row>
    <row r="4221" spans="1:18" x14ac:dyDescent="0.25">
      <c r="A4221">
        <v>204220</v>
      </c>
      <c r="B4221">
        <v>50816</v>
      </c>
      <c r="C4221" t="s">
        <v>18</v>
      </c>
      <c r="D4221">
        <v>1137.8499999999999</v>
      </c>
      <c r="E4221">
        <v>1220</v>
      </c>
      <c r="F4221">
        <v>0</v>
      </c>
      <c r="G4221">
        <v>6</v>
      </c>
      <c r="H4221">
        <v>1</v>
      </c>
      <c r="I4221" t="s">
        <v>19</v>
      </c>
      <c r="J4221">
        <v>0</v>
      </c>
      <c r="K4221">
        <v>37</v>
      </c>
      <c r="L4221" t="s">
        <v>24</v>
      </c>
      <c r="M4221" t="s">
        <v>31</v>
      </c>
      <c r="N4221" t="s">
        <v>22</v>
      </c>
      <c r="O4221" t="s">
        <v>36</v>
      </c>
      <c r="P4221">
        <v>6.55</v>
      </c>
      <c r="Q4221" s="2" t="b">
        <f>FALSE()</f>
        <v>0</v>
      </c>
      <c r="R4221">
        <v>0</v>
      </c>
    </row>
    <row r="4222" spans="1:18" x14ac:dyDescent="0.25">
      <c r="A4222">
        <v>204221</v>
      </c>
      <c r="B4222">
        <v>51726</v>
      </c>
      <c r="C4222" t="s">
        <v>34</v>
      </c>
      <c r="D4222">
        <v>1576.28</v>
      </c>
      <c r="E4222">
        <v>1962</v>
      </c>
      <c r="F4222">
        <v>0</v>
      </c>
      <c r="G4222">
        <v>6</v>
      </c>
      <c r="H4222">
        <v>1</v>
      </c>
      <c r="I4222" t="s">
        <v>33</v>
      </c>
      <c r="J4222">
        <v>0</v>
      </c>
      <c r="K4222">
        <v>37</v>
      </c>
      <c r="L4222" t="s">
        <v>24</v>
      </c>
      <c r="M4222" t="s">
        <v>35</v>
      </c>
      <c r="N4222" t="s">
        <v>30</v>
      </c>
      <c r="O4222" t="s">
        <v>36</v>
      </c>
      <c r="P4222">
        <v>4.3099999999999996</v>
      </c>
      <c r="Q4222" s="2" t="b">
        <f>FALSE()</f>
        <v>0</v>
      </c>
      <c r="R4222">
        <v>0</v>
      </c>
    </row>
    <row r="4223" spans="1:18" x14ac:dyDescent="0.25">
      <c r="A4223">
        <v>204222</v>
      </c>
      <c r="B4223">
        <v>50075</v>
      </c>
      <c r="C4223" t="s">
        <v>18</v>
      </c>
      <c r="D4223">
        <v>584.70000000000005</v>
      </c>
      <c r="E4223">
        <v>30</v>
      </c>
      <c r="F4223">
        <v>0</v>
      </c>
      <c r="G4223">
        <v>5</v>
      </c>
      <c r="H4223">
        <v>1</v>
      </c>
      <c r="I4223" t="s">
        <v>19</v>
      </c>
      <c r="J4223">
        <v>0</v>
      </c>
      <c r="K4223">
        <v>27</v>
      </c>
      <c r="L4223" t="s">
        <v>20</v>
      </c>
      <c r="M4223" t="s">
        <v>29</v>
      </c>
      <c r="N4223" t="s">
        <v>26</v>
      </c>
      <c r="O4223" t="s">
        <v>36</v>
      </c>
      <c r="P4223">
        <v>2.44</v>
      </c>
      <c r="Q4223" s="2" t="b">
        <f>FALSE()</f>
        <v>0</v>
      </c>
      <c r="R4223">
        <v>0</v>
      </c>
    </row>
    <row r="4224" spans="1:18" x14ac:dyDescent="0.25">
      <c r="A4224">
        <v>204223</v>
      </c>
      <c r="B4224">
        <v>50301</v>
      </c>
      <c r="C4224" t="s">
        <v>34</v>
      </c>
      <c r="D4224">
        <v>1390.38</v>
      </c>
      <c r="E4224">
        <v>2274</v>
      </c>
      <c r="F4224">
        <v>2</v>
      </c>
      <c r="G4224">
        <v>5</v>
      </c>
      <c r="H4224">
        <v>0</v>
      </c>
      <c r="I4224" t="s">
        <v>33</v>
      </c>
      <c r="J4224">
        <v>0</v>
      </c>
      <c r="K4224">
        <v>77</v>
      </c>
      <c r="L4224" t="s">
        <v>24</v>
      </c>
      <c r="M4224" t="s">
        <v>31</v>
      </c>
      <c r="N4224" t="s">
        <v>30</v>
      </c>
      <c r="O4224" t="s">
        <v>36</v>
      </c>
      <c r="P4224">
        <v>4.51</v>
      </c>
      <c r="Q4224" s="2" t="b">
        <f>FALSE()</f>
        <v>0</v>
      </c>
      <c r="R4224">
        <v>0</v>
      </c>
    </row>
    <row r="4225" spans="1:18" x14ac:dyDescent="0.25">
      <c r="A4225">
        <v>204224</v>
      </c>
      <c r="B4225">
        <v>55132</v>
      </c>
      <c r="C4225" t="s">
        <v>18</v>
      </c>
      <c r="D4225">
        <v>3682.14</v>
      </c>
      <c r="E4225">
        <v>3113</v>
      </c>
      <c r="F4225">
        <v>2</v>
      </c>
      <c r="G4225">
        <v>5</v>
      </c>
      <c r="H4225">
        <v>1</v>
      </c>
      <c r="I4225" t="s">
        <v>33</v>
      </c>
      <c r="J4225">
        <v>0</v>
      </c>
      <c r="K4225">
        <v>34</v>
      </c>
      <c r="L4225" t="s">
        <v>20</v>
      </c>
      <c r="M4225" t="s">
        <v>31</v>
      </c>
      <c r="N4225" t="s">
        <v>22</v>
      </c>
      <c r="O4225" t="s">
        <v>27</v>
      </c>
      <c r="P4225">
        <v>0.24</v>
      </c>
      <c r="Q4225" s="2" t="b">
        <f>FALSE()</f>
        <v>0</v>
      </c>
      <c r="R4225">
        <v>1</v>
      </c>
    </row>
    <row r="4226" spans="1:18" x14ac:dyDescent="0.25">
      <c r="A4226">
        <v>204225</v>
      </c>
      <c r="B4226">
        <v>55338</v>
      </c>
      <c r="C4226" t="s">
        <v>28</v>
      </c>
      <c r="D4226">
        <v>356.91</v>
      </c>
      <c r="E4226">
        <v>3000</v>
      </c>
      <c r="F4226">
        <v>2</v>
      </c>
      <c r="G4226">
        <v>6</v>
      </c>
      <c r="H4226">
        <v>0</v>
      </c>
      <c r="I4226" t="s">
        <v>33</v>
      </c>
      <c r="J4226">
        <v>0</v>
      </c>
      <c r="K4226">
        <v>42</v>
      </c>
      <c r="L4226" t="s">
        <v>24</v>
      </c>
      <c r="M4226" t="s">
        <v>21</v>
      </c>
      <c r="N4226" t="s">
        <v>22</v>
      </c>
      <c r="O4226" t="s">
        <v>27</v>
      </c>
      <c r="P4226">
        <v>2.4300000000000002</v>
      </c>
      <c r="Q4226" s="2" t="b">
        <f>FALSE()</f>
        <v>0</v>
      </c>
      <c r="R4226">
        <v>0</v>
      </c>
    </row>
    <row r="4227" spans="1:18" x14ac:dyDescent="0.25">
      <c r="A4227">
        <v>204226</v>
      </c>
      <c r="B4227">
        <v>54589</v>
      </c>
      <c r="C4227" t="s">
        <v>34</v>
      </c>
      <c r="D4227">
        <v>1872.33</v>
      </c>
      <c r="E4227">
        <v>2412</v>
      </c>
      <c r="F4227">
        <v>0</v>
      </c>
      <c r="G4227">
        <v>2</v>
      </c>
      <c r="H4227">
        <v>0</v>
      </c>
      <c r="I4227" t="s">
        <v>19</v>
      </c>
      <c r="J4227">
        <v>1</v>
      </c>
      <c r="K4227">
        <v>31</v>
      </c>
      <c r="L4227" t="s">
        <v>24</v>
      </c>
      <c r="M4227" t="s">
        <v>29</v>
      </c>
      <c r="N4227" t="s">
        <v>26</v>
      </c>
      <c r="O4227" t="s">
        <v>27</v>
      </c>
      <c r="P4227">
        <v>0.96</v>
      </c>
      <c r="Q4227" s="2" t="b">
        <f>FALSE()</f>
        <v>0</v>
      </c>
      <c r="R4227">
        <v>0</v>
      </c>
    </row>
    <row r="4228" spans="1:18" x14ac:dyDescent="0.25">
      <c r="A4228">
        <v>204227</v>
      </c>
      <c r="B4228">
        <v>53232</v>
      </c>
      <c r="C4228" t="s">
        <v>18</v>
      </c>
      <c r="D4228">
        <v>926.64</v>
      </c>
      <c r="E4228">
        <v>1740</v>
      </c>
      <c r="F4228">
        <v>1</v>
      </c>
      <c r="G4228">
        <v>4</v>
      </c>
      <c r="H4228">
        <v>0</v>
      </c>
      <c r="I4228" t="s">
        <v>19</v>
      </c>
      <c r="J4228">
        <v>0</v>
      </c>
      <c r="K4228">
        <v>65</v>
      </c>
      <c r="L4228" t="s">
        <v>20</v>
      </c>
      <c r="M4228" t="s">
        <v>21</v>
      </c>
      <c r="N4228" t="s">
        <v>26</v>
      </c>
      <c r="O4228" t="s">
        <v>27</v>
      </c>
      <c r="P4228">
        <v>1.83</v>
      </c>
      <c r="Q4228" s="2" t="b">
        <f>FALSE()</f>
        <v>0</v>
      </c>
      <c r="R4228">
        <v>0</v>
      </c>
    </row>
    <row r="4229" spans="1:18" x14ac:dyDescent="0.25">
      <c r="A4229">
        <v>204228</v>
      </c>
      <c r="B4229">
        <v>51087</v>
      </c>
      <c r="C4229" t="s">
        <v>34</v>
      </c>
      <c r="D4229">
        <v>3011.7</v>
      </c>
      <c r="E4229">
        <v>911</v>
      </c>
      <c r="F4229">
        <v>1</v>
      </c>
      <c r="G4229">
        <v>2</v>
      </c>
      <c r="H4229">
        <v>0</v>
      </c>
      <c r="I4229" t="s">
        <v>33</v>
      </c>
      <c r="J4229">
        <v>0</v>
      </c>
      <c r="K4229">
        <v>47</v>
      </c>
      <c r="L4229" t="s">
        <v>24</v>
      </c>
      <c r="M4229" t="s">
        <v>37</v>
      </c>
      <c r="N4229" t="s">
        <v>22</v>
      </c>
      <c r="O4229" t="s">
        <v>36</v>
      </c>
      <c r="P4229">
        <v>19.760000000000002</v>
      </c>
      <c r="Q4229" s="2" t="b">
        <f>FALSE()</f>
        <v>0</v>
      </c>
      <c r="R4229">
        <v>0</v>
      </c>
    </row>
    <row r="4230" spans="1:18" x14ac:dyDescent="0.25">
      <c r="A4230">
        <v>204229</v>
      </c>
      <c r="B4230">
        <v>55856</v>
      </c>
      <c r="C4230" t="s">
        <v>18</v>
      </c>
      <c r="D4230">
        <v>3770.65</v>
      </c>
      <c r="E4230">
        <v>871</v>
      </c>
      <c r="F4230">
        <v>1</v>
      </c>
      <c r="G4230">
        <v>3</v>
      </c>
      <c r="H4230">
        <v>0</v>
      </c>
      <c r="I4230" t="s">
        <v>32</v>
      </c>
      <c r="J4230">
        <v>0</v>
      </c>
      <c r="K4230">
        <v>79</v>
      </c>
      <c r="L4230" t="s">
        <v>20</v>
      </c>
      <c r="M4230" t="s">
        <v>29</v>
      </c>
      <c r="N4230" t="s">
        <v>26</v>
      </c>
      <c r="O4230" t="s">
        <v>36</v>
      </c>
      <c r="P4230">
        <v>0.8</v>
      </c>
      <c r="Q4230" s="2" t="b">
        <f>FALSE()</f>
        <v>0</v>
      </c>
      <c r="R4230">
        <v>1</v>
      </c>
    </row>
    <row r="4231" spans="1:18" x14ac:dyDescent="0.25">
      <c r="A4231">
        <v>204230</v>
      </c>
      <c r="B4231">
        <v>51887</v>
      </c>
      <c r="C4231" t="s">
        <v>18</v>
      </c>
      <c r="D4231">
        <v>1536.13</v>
      </c>
      <c r="E4231">
        <v>2202</v>
      </c>
      <c r="F4231">
        <v>1</v>
      </c>
      <c r="G4231">
        <v>6</v>
      </c>
      <c r="H4231">
        <v>0</v>
      </c>
      <c r="I4231" t="s">
        <v>33</v>
      </c>
      <c r="J4231">
        <v>0</v>
      </c>
      <c r="K4231">
        <v>31</v>
      </c>
      <c r="L4231" t="s">
        <v>24</v>
      </c>
      <c r="M4231" t="s">
        <v>29</v>
      </c>
      <c r="N4231" t="s">
        <v>22</v>
      </c>
      <c r="O4231" t="s">
        <v>36</v>
      </c>
      <c r="P4231">
        <v>0.68</v>
      </c>
      <c r="Q4231" s="2" t="b">
        <f>FALSE()</f>
        <v>0</v>
      </c>
      <c r="R4231">
        <v>0</v>
      </c>
    </row>
    <row r="4232" spans="1:18" x14ac:dyDescent="0.25">
      <c r="A4232">
        <v>204231</v>
      </c>
      <c r="B4232">
        <v>55826</v>
      </c>
      <c r="C4232" t="s">
        <v>34</v>
      </c>
      <c r="D4232">
        <v>1993.8</v>
      </c>
      <c r="E4232">
        <v>1229</v>
      </c>
      <c r="F4232">
        <v>3</v>
      </c>
      <c r="G4232">
        <v>3</v>
      </c>
      <c r="H4232">
        <v>0</v>
      </c>
      <c r="I4232" t="s">
        <v>32</v>
      </c>
      <c r="J4232">
        <v>0</v>
      </c>
      <c r="K4232">
        <v>19</v>
      </c>
      <c r="L4232" t="s">
        <v>24</v>
      </c>
      <c r="M4232" t="s">
        <v>31</v>
      </c>
      <c r="N4232" t="s">
        <v>30</v>
      </c>
      <c r="O4232" t="s">
        <v>23</v>
      </c>
      <c r="P4232">
        <v>4.1100000000000003</v>
      </c>
      <c r="Q4232" s="2" t="b">
        <f>FALSE()</f>
        <v>0</v>
      </c>
      <c r="R4232">
        <v>1</v>
      </c>
    </row>
    <row r="4233" spans="1:18" x14ac:dyDescent="0.25">
      <c r="A4233">
        <v>204232</v>
      </c>
      <c r="B4233">
        <v>52117</v>
      </c>
      <c r="C4233" t="s">
        <v>34</v>
      </c>
      <c r="D4233">
        <v>1378.71</v>
      </c>
      <c r="E4233">
        <v>2548</v>
      </c>
      <c r="F4233">
        <v>1</v>
      </c>
      <c r="G4233">
        <v>9</v>
      </c>
      <c r="H4233">
        <v>0</v>
      </c>
      <c r="I4233" t="s">
        <v>32</v>
      </c>
      <c r="J4233">
        <v>0</v>
      </c>
      <c r="K4233">
        <v>59</v>
      </c>
      <c r="L4233" t="s">
        <v>24</v>
      </c>
      <c r="M4233" t="s">
        <v>25</v>
      </c>
      <c r="N4233" t="s">
        <v>26</v>
      </c>
      <c r="O4233" t="s">
        <v>36</v>
      </c>
      <c r="P4233">
        <v>0.24</v>
      </c>
      <c r="Q4233" s="2" t="b">
        <f>FALSE()</f>
        <v>0</v>
      </c>
      <c r="R4233">
        <v>1</v>
      </c>
    </row>
    <row r="4234" spans="1:18" x14ac:dyDescent="0.25">
      <c r="A4234">
        <v>204233</v>
      </c>
      <c r="B4234">
        <v>52928</v>
      </c>
      <c r="C4234" t="s">
        <v>18</v>
      </c>
      <c r="D4234">
        <v>2791.61</v>
      </c>
      <c r="E4234">
        <v>1549</v>
      </c>
      <c r="F4234">
        <v>3</v>
      </c>
      <c r="G4234">
        <v>3</v>
      </c>
      <c r="H4234">
        <v>1</v>
      </c>
      <c r="I4234" t="s">
        <v>33</v>
      </c>
      <c r="J4234">
        <v>1</v>
      </c>
      <c r="K4234">
        <v>71</v>
      </c>
      <c r="L4234" t="s">
        <v>24</v>
      </c>
      <c r="M4234" t="s">
        <v>35</v>
      </c>
      <c r="N4234" t="s">
        <v>30</v>
      </c>
      <c r="O4234" t="s">
        <v>27</v>
      </c>
      <c r="P4234">
        <v>5.57</v>
      </c>
      <c r="Q4234" s="2" t="b">
        <f>FALSE()</f>
        <v>0</v>
      </c>
      <c r="R4234">
        <v>1</v>
      </c>
    </row>
    <row r="4235" spans="1:18" x14ac:dyDescent="0.25">
      <c r="A4235">
        <v>204234</v>
      </c>
      <c r="B4235">
        <v>50087</v>
      </c>
      <c r="C4235" t="s">
        <v>34</v>
      </c>
      <c r="D4235">
        <v>4605.08</v>
      </c>
      <c r="E4235">
        <v>3007</v>
      </c>
      <c r="F4235">
        <v>0</v>
      </c>
      <c r="G4235">
        <v>6</v>
      </c>
      <c r="H4235">
        <v>0</v>
      </c>
      <c r="I4235" t="s">
        <v>33</v>
      </c>
      <c r="J4235">
        <v>0</v>
      </c>
      <c r="K4235">
        <v>21</v>
      </c>
      <c r="L4235" t="s">
        <v>24</v>
      </c>
      <c r="M4235" t="s">
        <v>29</v>
      </c>
      <c r="N4235" t="s">
        <v>22</v>
      </c>
      <c r="O4235" t="s">
        <v>27</v>
      </c>
      <c r="P4235">
        <v>3.39</v>
      </c>
      <c r="Q4235" s="2" t="b">
        <f>FALSE()</f>
        <v>0</v>
      </c>
      <c r="R4235">
        <v>1</v>
      </c>
    </row>
    <row r="4236" spans="1:18" x14ac:dyDescent="0.25">
      <c r="A4236">
        <v>204235</v>
      </c>
      <c r="B4236">
        <v>51065</v>
      </c>
      <c r="C4236" t="s">
        <v>18</v>
      </c>
      <c r="D4236">
        <v>5410.07</v>
      </c>
      <c r="E4236">
        <v>2572</v>
      </c>
      <c r="F4236">
        <v>4</v>
      </c>
      <c r="G4236">
        <v>4</v>
      </c>
      <c r="H4236">
        <v>0</v>
      </c>
      <c r="I4236" t="s">
        <v>19</v>
      </c>
      <c r="J4236">
        <v>0</v>
      </c>
      <c r="K4236">
        <v>24</v>
      </c>
      <c r="L4236" t="s">
        <v>20</v>
      </c>
      <c r="M4236" t="s">
        <v>31</v>
      </c>
      <c r="N4236" t="s">
        <v>22</v>
      </c>
      <c r="O4236" t="s">
        <v>36</v>
      </c>
      <c r="P4236">
        <v>0.63</v>
      </c>
      <c r="Q4236" s="2" t="b">
        <f>FALSE()</f>
        <v>0</v>
      </c>
      <c r="R4236">
        <v>1</v>
      </c>
    </row>
    <row r="4237" spans="1:18" x14ac:dyDescent="0.25">
      <c r="A4237">
        <v>204236</v>
      </c>
      <c r="B4237">
        <v>53471</v>
      </c>
      <c r="C4237" t="s">
        <v>18</v>
      </c>
      <c r="D4237">
        <v>1919.4</v>
      </c>
      <c r="E4237">
        <v>291</v>
      </c>
      <c r="F4237">
        <v>5</v>
      </c>
      <c r="G4237">
        <v>4</v>
      </c>
      <c r="H4237">
        <v>1</v>
      </c>
      <c r="I4237" t="s">
        <v>32</v>
      </c>
      <c r="J4237">
        <v>1</v>
      </c>
      <c r="K4237">
        <v>83</v>
      </c>
      <c r="L4237" t="s">
        <v>20</v>
      </c>
      <c r="M4237" t="s">
        <v>35</v>
      </c>
      <c r="N4237" t="s">
        <v>26</v>
      </c>
      <c r="O4237" t="s">
        <v>27</v>
      </c>
      <c r="P4237">
        <v>7.17</v>
      </c>
      <c r="Q4237" s="2" t="b">
        <f>FALSE()</f>
        <v>0</v>
      </c>
      <c r="R4237">
        <v>1</v>
      </c>
    </row>
    <row r="4238" spans="1:18" x14ac:dyDescent="0.25">
      <c r="A4238">
        <v>204237</v>
      </c>
      <c r="B4238">
        <v>54503</v>
      </c>
      <c r="C4238" t="s">
        <v>18</v>
      </c>
      <c r="D4238">
        <v>3440.18</v>
      </c>
      <c r="E4238">
        <v>1627</v>
      </c>
      <c r="F4238">
        <v>1</v>
      </c>
      <c r="G4238">
        <v>1</v>
      </c>
      <c r="H4238">
        <v>0</v>
      </c>
      <c r="I4238" t="s">
        <v>33</v>
      </c>
      <c r="J4238">
        <v>1</v>
      </c>
      <c r="K4238">
        <v>48</v>
      </c>
      <c r="L4238" t="s">
        <v>20</v>
      </c>
      <c r="M4238" t="s">
        <v>35</v>
      </c>
      <c r="N4238" t="s">
        <v>22</v>
      </c>
      <c r="O4238" t="s">
        <v>27</v>
      </c>
      <c r="P4238">
        <v>7.72</v>
      </c>
      <c r="Q4238" s="2" t="b">
        <f>FALSE()</f>
        <v>0</v>
      </c>
      <c r="R4238">
        <v>0</v>
      </c>
    </row>
    <row r="4239" spans="1:18" x14ac:dyDescent="0.25">
      <c r="A4239">
        <v>204238</v>
      </c>
      <c r="B4239">
        <v>54008</v>
      </c>
      <c r="C4239" t="s">
        <v>18</v>
      </c>
      <c r="D4239">
        <v>1986.48</v>
      </c>
      <c r="E4239">
        <v>3078</v>
      </c>
      <c r="F4239">
        <v>0</v>
      </c>
      <c r="G4239">
        <v>3</v>
      </c>
      <c r="H4239">
        <v>1</v>
      </c>
      <c r="I4239" t="s">
        <v>19</v>
      </c>
      <c r="J4239">
        <v>0</v>
      </c>
      <c r="K4239">
        <v>52</v>
      </c>
      <c r="L4239" t="s">
        <v>20</v>
      </c>
      <c r="M4239" t="s">
        <v>35</v>
      </c>
      <c r="N4239" t="s">
        <v>26</v>
      </c>
      <c r="O4239" t="s">
        <v>23</v>
      </c>
      <c r="P4239">
        <v>8.4700000000000006</v>
      </c>
      <c r="Q4239" s="2" t="b">
        <f>FALSE()</f>
        <v>0</v>
      </c>
      <c r="R4239">
        <v>0</v>
      </c>
    </row>
    <row r="4240" spans="1:18" x14ac:dyDescent="0.25">
      <c r="A4240">
        <v>204239</v>
      </c>
      <c r="B4240">
        <v>51110</v>
      </c>
      <c r="C4240" t="s">
        <v>18</v>
      </c>
      <c r="D4240">
        <v>1552.53</v>
      </c>
      <c r="E4240">
        <v>868</v>
      </c>
      <c r="F4240">
        <v>2</v>
      </c>
      <c r="G4240">
        <v>5</v>
      </c>
      <c r="H4240">
        <v>1</v>
      </c>
      <c r="I4240" t="s">
        <v>33</v>
      </c>
      <c r="J4240">
        <v>0</v>
      </c>
      <c r="K4240">
        <v>42</v>
      </c>
      <c r="L4240" t="s">
        <v>24</v>
      </c>
      <c r="M4240" t="s">
        <v>21</v>
      </c>
      <c r="N4240" t="s">
        <v>26</v>
      </c>
      <c r="O4240" t="s">
        <v>36</v>
      </c>
      <c r="P4240">
        <v>0.81</v>
      </c>
      <c r="Q4240" s="2" t="b">
        <f>FALSE()</f>
        <v>0</v>
      </c>
      <c r="R4240">
        <v>0</v>
      </c>
    </row>
    <row r="4241" spans="1:18" x14ac:dyDescent="0.25">
      <c r="A4241">
        <v>204240</v>
      </c>
      <c r="B4241">
        <v>53759</v>
      </c>
      <c r="C4241" t="s">
        <v>18</v>
      </c>
      <c r="D4241">
        <v>1897.02</v>
      </c>
      <c r="E4241">
        <v>1875</v>
      </c>
      <c r="F4241">
        <v>2</v>
      </c>
      <c r="G4241">
        <v>7</v>
      </c>
      <c r="H4241">
        <v>1</v>
      </c>
      <c r="I4241" t="s">
        <v>33</v>
      </c>
      <c r="J4241">
        <v>1</v>
      </c>
      <c r="K4241">
        <v>40</v>
      </c>
      <c r="L4241" t="s">
        <v>24</v>
      </c>
      <c r="M4241" t="s">
        <v>29</v>
      </c>
      <c r="N4241" t="s">
        <v>26</v>
      </c>
      <c r="O4241" t="s">
        <v>27</v>
      </c>
      <c r="P4241">
        <v>2.25</v>
      </c>
      <c r="Q4241" s="2" t="b">
        <f>FALSE()</f>
        <v>0</v>
      </c>
      <c r="R4241">
        <v>1</v>
      </c>
    </row>
    <row r="4242" spans="1:18" x14ac:dyDescent="0.25">
      <c r="A4242">
        <v>204241</v>
      </c>
      <c r="B4242">
        <v>55254</v>
      </c>
      <c r="C4242" t="s">
        <v>34</v>
      </c>
      <c r="D4242">
        <v>3573.73</v>
      </c>
      <c r="E4242">
        <v>3024</v>
      </c>
      <c r="F4242">
        <v>0</v>
      </c>
      <c r="G4242">
        <v>4</v>
      </c>
      <c r="H4242">
        <v>1</v>
      </c>
      <c r="I4242" t="s">
        <v>33</v>
      </c>
      <c r="J4242">
        <v>1</v>
      </c>
      <c r="K4242">
        <v>45</v>
      </c>
      <c r="L4242" t="s">
        <v>24</v>
      </c>
      <c r="M4242" t="s">
        <v>37</v>
      </c>
      <c r="N4242" t="s">
        <v>30</v>
      </c>
      <c r="O4242" t="s">
        <v>36</v>
      </c>
      <c r="P4242">
        <v>0.86</v>
      </c>
      <c r="Q4242" s="2" t="b">
        <f>FALSE()</f>
        <v>0</v>
      </c>
      <c r="R4242">
        <v>1</v>
      </c>
    </row>
    <row r="4243" spans="1:18" x14ac:dyDescent="0.25">
      <c r="A4243">
        <v>204242</v>
      </c>
      <c r="B4243">
        <v>51778</v>
      </c>
      <c r="C4243" t="s">
        <v>34</v>
      </c>
      <c r="D4243">
        <v>1140.3599999999999</v>
      </c>
      <c r="E4243">
        <v>1588</v>
      </c>
      <c r="F4243">
        <v>3</v>
      </c>
      <c r="G4243">
        <v>4</v>
      </c>
      <c r="H4243">
        <v>0</v>
      </c>
      <c r="I4243" t="s">
        <v>33</v>
      </c>
      <c r="J4243">
        <v>0</v>
      </c>
      <c r="K4243">
        <v>35</v>
      </c>
      <c r="L4243" t="s">
        <v>20</v>
      </c>
      <c r="M4243" t="s">
        <v>29</v>
      </c>
      <c r="N4243" t="s">
        <v>30</v>
      </c>
      <c r="O4243" t="s">
        <v>23</v>
      </c>
      <c r="P4243">
        <v>2.5499999999999998</v>
      </c>
      <c r="Q4243" s="2" t="b">
        <f>FALSE()</f>
        <v>0</v>
      </c>
      <c r="R4243">
        <v>1</v>
      </c>
    </row>
    <row r="4244" spans="1:18" x14ac:dyDescent="0.25">
      <c r="A4244">
        <v>204243</v>
      </c>
      <c r="B4244">
        <v>50371</v>
      </c>
      <c r="C4244" t="s">
        <v>34</v>
      </c>
      <c r="D4244">
        <v>1279.5899999999999</v>
      </c>
      <c r="E4244">
        <v>912</v>
      </c>
      <c r="F4244">
        <v>0</v>
      </c>
      <c r="G4244">
        <v>3</v>
      </c>
      <c r="H4244">
        <v>0</v>
      </c>
      <c r="I4244" t="s">
        <v>19</v>
      </c>
      <c r="J4244">
        <v>1</v>
      </c>
      <c r="K4244">
        <v>65</v>
      </c>
      <c r="L4244" t="s">
        <v>24</v>
      </c>
      <c r="M4244" t="s">
        <v>37</v>
      </c>
      <c r="N4244" t="s">
        <v>26</v>
      </c>
      <c r="O4244" t="s">
        <v>23</v>
      </c>
      <c r="P4244">
        <v>3.22</v>
      </c>
      <c r="Q4244" s="2" t="b">
        <f>FALSE()</f>
        <v>0</v>
      </c>
      <c r="R4244">
        <v>0</v>
      </c>
    </row>
    <row r="4245" spans="1:18" x14ac:dyDescent="0.25">
      <c r="A4245">
        <v>204244</v>
      </c>
      <c r="B4245">
        <v>53854</v>
      </c>
      <c r="C4245" t="s">
        <v>18</v>
      </c>
      <c r="D4245">
        <v>2797.32</v>
      </c>
      <c r="E4245">
        <v>3005</v>
      </c>
      <c r="F4245">
        <v>2</v>
      </c>
      <c r="G4245">
        <v>2</v>
      </c>
      <c r="H4245">
        <v>1</v>
      </c>
      <c r="I4245" t="s">
        <v>33</v>
      </c>
      <c r="J4245">
        <v>0</v>
      </c>
      <c r="K4245">
        <v>21</v>
      </c>
      <c r="L4245" t="s">
        <v>20</v>
      </c>
      <c r="M4245" t="s">
        <v>25</v>
      </c>
      <c r="N4245" t="s">
        <v>22</v>
      </c>
      <c r="O4245" t="s">
        <v>23</v>
      </c>
      <c r="P4245">
        <v>8.7799999999999994</v>
      </c>
      <c r="Q4245" s="2" t="b">
        <f>FALSE()</f>
        <v>0</v>
      </c>
      <c r="R4245">
        <v>0</v>
      </c>
    </row>
    <row r="4246" spans="1:18" x14ac:dyDescent="0.25">
      <c r="A4246">
        <v>204245</v>
      </c>
      <c r="B4246">
        <v>51731</v>
      </c>
      <c r="C4246" t="s">
        <v>18</v>
      </c>
      <c r="D4246">
        <v>675.61</v>
      </c>
      <c r="E4246">
        <v>3212</v>
      </c>
      <c r="F4246">
        <v>1</v>
      </c>
      <c r="G4246">
        <v>4</v>
      </c>
      <c r="H4246">
        <v>0</v>
      </c>
      <c r="I4246" t="s">
        <v>33</v>
      </c>
      <c r="J4246">
        <v>0</v>
      </c>
      <c r="K4246">
        <v>57</v>
      </c>
      <c r="L4246" t="s">
        <v>20</v>
      </c>
      <c r="M4246" t="s">
        <v>21</v>
      </c>
      <c r="N4246" t="s">
        <v>22</v>
      </c>
      <c r="O4246" t="s">
        <v>27</v>
      </c>
      <c r="P4246">
        <v>7.66</v>
      </c>
      <c r="Q4246" s="2" t="b">
        <f>FALSE()</f>
        <v>0</v>
      </c>
      <c r="R4246">
        <v>0</v>
      </c>
    </row>
    <row r="4247" spans="1:18" x14ac:dyDescent="0.25">
      <c r="A4247">
        <v>204246</v>
      </c>
      <c r="B4247">
        <v>54753</v>
      </c>
      <c r="C4247" t="s">
        <v>28</v>
      </c>
      <c r="D4247">
        <v>5633.82</v>
      </c>
      <c r="E4247">
        <v>1581</v>
      </c>
      <c r="F4247">
        <v>3</v>
      </c>
      <c r="G4247">
        <v>3</v>
      </c>
      <c r="H4247">
        <v>0</v>
      </c>
      <c r="I4247" t="s">
        <v>33</v>
      </c>
      <c r="J4247">
        <v>0</v>
      </c>
      <c r="K4247">
        <v>78</v>
      </c>
      <c r="L4247" t="s">
        <v>20</v>
      </c>
      <c r="M4247" t="s">
        <v>29</v>
      </c>
      <c r="N4247" t="s">
        <v>26</v>
      </c>
      <c r="O4247" t="s">
        <v>27</v>
      </c>
      <c r="P4247">
        <v>0.47</v>
      </c>
      <c r="Q4247" s="2" t="b">
        <f>FALSE()</f>
        <v>0</v>
      </c>
      <c r="R4247">
        <v>1</v>
      </c>
    </row>
    <row r="4248" spans="1:18" x14ac:dyDescent="0.25">
      <c r="A4248">
        <v>204247</v>
      </c>
      <c r="B4248">
        <v>55355</v>
      </c>
      <c r="C4248" t="s">
        <v>28</v>
      </c>
      <c r="D4248">
        <v>3200.55</v>
      </c>
      <c r="E4248">
        <v>2541</v>
      </c>
      <c r="F4248">
        <v>2</v>
      </c>
      <c r="G4248">
        <v>3</v>
      </c>
      <c r="H4248">
        <v>0</v>
      </c>
      <c r="I4248" t="s">
        <v>19</v>
      </c>
      <c r="J4248">
        <v>1</v>
      </c>
      <c r="K4248">
        <v>58</v>
      </c>
      <c r="L4248" t="s">
        <v>24</v>
      </c>
      <c r="M4248" t="s">
        <v>25</v>
      </c>
      <c r="N4248" t="s">
        <v>30</v>
      </c>
      <c r="O4248" t="s">
        <v>27</v>
      </c>
      <c r="P4248">
        <v>4.88</v>
      </c>
      <c r="Q4248" s="2" t="b">
        <f>FALSE()</f>
        <v>0</v>
      </c>
      <c r="R4248">
        <v>0</v>
      </c>
    </row>
    <row r="4249" spans="1:18" x14ac:dyDescent="0.25">
      <c r="A4249">
        <v>204248</v>
      </c>
      <c r="B4249">
        <v>52403</v>
      </c>
      <c r="C4249" t="s">
        <v>28</v>
      </c>
      <c r="D4249">
        <v>1727.97</v>
      </c>
      <c r="E4249">
        <v>2511</v>
      </c>
      <c r="F4249">
        <v>1</v>
      </c>
      <c r="G4249">
        <v>9</v>
      </c>
      <c r="H4249">
        <v>0</v>
      </c>
      <c r="I4249" t="s">
        <v>33</v>
      </c>
      <c r="J4249">
        <v>1</v>
      </c>
      <c r="K4249">
        <v>57</v>
      </c>
      <c r="L4249" t="s">
        <v>24</v>
      </c>
      <c r="M4249" t="s">
        <v>21</v>
      </c>
      <c r="N4249" t="s">
        <v>30</v>
      </c>
      <c r="O4249" t="s">
        <v>36</v>
      </c>
      <c r="P4249">
        <v>4.34</v>
      </c>
      <c r="Q4249" s="2" t="b">
        <f>FALSE()</f>
        <v>0</v>
      </c>
      <c r="R4249">
        <v>1</v>
      </c>
    </row>
    <row r="4250" spans="1:18" x14ac:dyDescent="0.25">
      <c r="A4250">
        <v>204249</v>
      </c>
      <c r="B4250">
        <v>52964</v>
      </c>
      <c r="C4250" t="s">
        <v>34</v>
      </c>
      <c r="D4250">
        <v>2127.27</v>
      </c>
      <c r="E4250">
        <v>2111</v>
      </c>
      <c r="F4250">
        <v>3</v>
      </c>
      <c r="G4250">
        <v>6</v>
      </c>
      <c r="H4250">
        <v>0</v>
      </c>
      <c r="I4250" t="s">
        <v>33</v>
      </c>
      <c r="J4250">
        <v>0</v>
      </c>
      <c r="K4250">
        <v>21</v>
      </c>
      <c r="L4250" t="s">
        <v>24</v>
      </c>
      <c r="M4250" t="s">
        <v>21</v>
      </c>
      <c r="N4250" t="s">
        <v>22</v>
      </c>
      <c r="O4250" t="s">
        <v>36</v>
      </c>
      <c r="P4250">
        <v>2.36</v>
      </c>
      <c r="Q4250" s="2" t="b">
        <f>FALSE()</f>
        <v>0</v>
      </c>
      <c r="R4250">
        <v>1</v>
      </c>
    </row>
    <row r="4251" spans="1:18" x14ac:dyDescent="0.25">
      <c r="A4251">
        <v>204250</v>
      </c>
      <c r="B4251">
        <v>53716</v>
      </c>
      <c r="C4251" t="s">
        <v>18</v>
      </c>
      <c r="D4251">
        <v>1178.77</v>
      </c>
      <c r="E4251">
        <v>506</v>
      </c>
      <c r="F4251">
        <v>0</v>
      </c>
      <c r="G4251">
        <v>3</v>
      </c>
      <c r="H4251">
        <v>0</v>
      </c>
      <c r="I4251" t="s">
        <v>19</v>
      </c>
      <c r="J4251">
        <v>0</v>
      </c>
      <c r="K4251">
        <v>49</v>
      </c>
      <c r="L4251" t="s">
        <v>20</v>
      </c>
      <c r="M4251" t="s">
        <v>25</v>
      </c>
      <c r="N4251" t="s">
        <v>22</v>
      </c>
      <c r="O4251" t="s">
        <v>27</v>
      </c>
      <c r="P4251">
        <v>2.77</v>
      </c>
      <c r="Q4251" s="2" t="b">
        <f>FALSE()</f>
        <v>0</v>
      </c>
      <c r="R4251">
        <v>0</v>
      </c>
    </row>
    <row r="4252" spans="1:18" x14ac:dyDescent="0.25">
      <c r="A4252">
        <v>204251</v>
      </c>
      <c r="B4252">
        <v>54034</v>
      </c>
      <c r="C4252" t="s">
        <v>18</v>
      </c>
      <c r="D4252">
        <v>3293.68</v>
      </c>
      <c r="E4252">
        <v>1336</v>
      </c>
      <c r="F4252">
        <v>4</v>
      </c>
      <c r="G4252">
        <v>4</v>
      </c>
      <c r="H4252">
        <v>0</v>
      </c>
      <c r="I4252" t="s">
        <v>19</v>
      </c>
      <c r="J4252">
        <v>1</v>
      </c>
      <c r="K4252">
        <v>47</v>
      </c>
      <c r="L4252" t="s">
        <v>20</v>
      </c>
      <c r="M4252" t="s">
        <v>25</v>
      </c>
      <c r="N4252" t="s">
        <v>22</v>
      </c>
      <c r="O4252" t="s">
        <v>36</v>
      </c>
      <c r="P4252">
        <v>2.19</v>
      </c>
      <c r="Q4252" s="2" t="b">
        <f>FALSE()</f>
        <v>0</v>
      </c>
      <c r="R4252">
        <v>1</v>
      </c>
    </row>
    <row r="4253" spans="1:18" x14ac:dyDescent="0.25">
      <c r="A4253">
        <v>204252</v>
      </c>
      <c r="B4253">
        <v>50403</v>
      </c>
      <c r="C4253" t="s">
        <v>34</v>
      </c>
      <c r="D4253">
        <v>5002.34</v>
      </c>
      <c r="E4253">
        <v>3203</v>
      </c>
      <c r="F4253">
        <v>0</v>
      </c>
      <c r="G4253">
        <v>5</v>
      </c>
      <c r="H4253">
        <v>1</v>
      </c>
      <c r="I4253" t="s">
        <v>19</v>
      </c>
      <c r="J4253">
        <v>0</v>
      </c>
      <c r="K4253">
        <v>73</v>
      </c>
      <c r="L4253" t="s">
        <v>24</v>
      </c>
      <c r="M4253" t="s">
        <v>31</v>
      </c>
      <c r="N4253" t="s">
        <v>22</v>
      </c>
      <c r="O4253" t="s">
        <v>36</v>
      </c>
      <c r="P4253">
        <v>1.59</v>
      </c>
      <c r="Q4253" s="2" t="b">
        <f>FALSE()</f>
        <v>0</v>
      </c>
      <c r="R4253">
        <v>1</v>
      </c>
    </row>
    <row r="4254" spans="1:18" x14ac:dyDescent="0.25">
      <c r="A4254">
        <v>204253</v>
      </c>
      <c r="B4254">
        <v>53410</v>
      </c>
      <c r="C4254" t="s">
        <v>28</v>
      </c>
      <c r="D4254">
        <v>2286.34</v>
      </c>
      <c r="E4254">
        <v>2643</v>
      </c>
      <c r="F4254">
        <v>0</v>
      </c>
      <c r="G4254">
        <v>6</v>
      </c>
      <c r="H4254">
        <v>1</v>
      </c>
      <c r="I4254" t="s">
        <v>33</v>
      </c>
      <c r="J4254">
        <v>0</v>
      </c>
      <c r="K4254">
        <v>35</v>
      </c>
      <c r="L4254" t="s">
        <v>20</v>
      </c>
      <c r="M4254" t="s">
        <v>31</v>
      </c>
      <c r="N4254" t="s">
        <v>26</v>
      </c>
      <c r="O4254" t="s">
        <v>27</v>
      </c>
      <c r="P4254">
        <v>5.94</v>
      </c>
      <c r="Q4254" s="2" t="b">
        <f>FALSE()</f>
        <v>0</v>
      </c>
      <c r="R4254">
        <v>0</v>
      </c>
    </row>
    <row r="4255" spans="1:18" x14ac:dyDescent="0.25">
      <c r="A4255">
        <v>204254</v>
      </c>
      <c r="B4255">
        <v>54383</v>
      </c>
      <c r="C4255" t="s">
        <v>18</v>
      </c>
      <c r="D4255">
        <v>2413.37</v>
      </c>
      <c r="E4255">
        <v>2913</v>
      </c>
      <c r="F4255">
        <v>1</v>
      </c>
      <c r="G4255">
        <v>4</v>
      </c>
      <c r="H4255">
        <v>0</v>
      </c>
      <c r="I4255" t="s">
        <v>19</v>
      </c>
      <c r="J4255">
        <v>0</v>
      </c>
      <c r="K4255">
        <v>77</v>
      </c>
      <c r="L4255" t="s">
        <v>24</v>
      </c>
      <c r="M4255" t="s">
        <v>25</v>
      </c>
      <c r="N4255" t="s">
        <v>22</v>
      </c>
      <c r="O4255" t="s">
        <v>36</v>
      </c>
      <c r="P4255">
        <v>5.04</v>
      </c>
      <c r="Q4255" s="2" t="b">
        <f>FALSE()</f>
        <v>0</v>
      </c>
      <c r="R4255">
        <v>0</v>
      </c>
    </row>
    <row r="4256" spans="1:18" x14ac:dyDescent="0.25">
      <c r="A4256">
        <v>204255</v>
      </c>
      <c r="B4256">
        <v>51774</v>
      </c>
      <c r="C4256" t="s">
        <v>34</v>
      </c>
      <c r="D4256">
        <v>2915.17</v>
      </c>
      <c r="E4256">
        <v>768</v>
      </c>
      <c r="F4256">
        <v>0</v>
      </c>
      <c r="G4256">
        <v>4</v>
      </c>
      <c r="H4256">
        <v>0</v>
      </c>
      <c r="I4256" t="s">
        <v>19</v>
      </c>
      <c r="J4256">
        <v>0</v>
      </c>
      <c r="K4256">
        <v>84</v>
      </c>
      <c r="L4256" t="s">
        <v>24</v>
      </c>
      <c r="M4256" t="s">
        <v>37</v>
      </c>
      <c r="N4256" t="s">
        <v>22</v>
      </c>
      <c r="O4256" t="s">
        <v>36</v>
      </c>
      <c r="P4256">
        <v>0.96</v>
      </c>
      <c r="Q4256" s="2" t="b">
        <f>FALSE()</f>
        <v>0</v>
      </c>
      <c r="R4256">
        <v>0</v>
      </c>
    </row>
    <row r="4257" spans="1:18" x14ac:dyDescent="0.25">
      <c r="A4257">
        <v>204256</v>
      </c>
      <c r="B4257">
        <v>50151</v>
      </c>
      <c r="C4257" t="s">
        <v>18</v>
      </c>
      <c r="D4257">
        <v>2080.64</v>
      </c>
      <c r="E4257">
        <v>3286</v>
      </c>
      <c r="F4257">
        <v>3</v>
      </c>
      <c r="G4257">
        <v>3</v>
      </c>
      <c r="H4257">
        <v>0</v>
      </c>
      <c r="I4257" t="s">
        <v>33</v>
      </c>
      <c r="J4257">
        <v>1</v>
      </c>
      <c r="K4257">
        <v>19</v>
      </c>
      <c r="L4257" t="s">
        <v>24</v>
      </c>
      <c r="M4257" t="s">
        <v>31</v>
      </c>
      <c r="N4257" t="s">
        <v>26</v>
      </c>
      <c r="O4257" t="s">
        <v>36</v>
      </c>
      <c r="P4257">
        <v>1.07</v>
      </c>
      <c r="Q4257" s="2" t="b">
        <f>FALSE()</f>
        <v>0</v>
      </c>
      <c r="R4257">
        <v>1</v>
      </c>
    </row>
    <row r="4258" spans="1:18" x14ac:dyDescent="0.25">
      <c r="A4258">
        <v>204257</v>
      </c>
      <c r="B4258">
        <v>51512</v>
      </c>
      <c r="C4258" t="s">
        <v>28</v>
      </c>
      <c r="D4258">
        <v>2489.2800000000002</v>
      </c>
      <c r="E4258">
        <v>2089</v>
      </c>
      <c r="F4258">
        <v>2</v>
      </c>
      <c r="G4258">
        <v>1</v>
      </c>
      <c r="H4258">
        <v>1</v>
      </c>
      <c r="I4258" t="s">
        <v>33</v>
      </c>
      <c r="J4258">
        <v>0</v>
      </c>
      <c r="K4258">
        <v>73</v>
      </c>
      <c r="L4258" t="s">
        <v>20</v>
      </c>
      <c r="M4258" t="s">
        <v>35</v>
      </c>
      <c r="N4258" t="s">
        <v>30</v>
      </c>
      <c r="O4258" t="s">
        <v>36</v>
      </c>
      <c r="P4258">
        <v>2.84</v>
      </c>
      <c r="Q4258" s="2" t="b">
        <f>FALSE()</f>
        <v>0</v>
      </c>
      <c r="R4258">
        <v>0</v>
      </c>
    </row>
    <row r="4259" spans="1:18" x14ac:dyDescent="0.25">
      <c r="A4259">
        <v>204258</v>
      </c>
      <c r="B4259">
        <v>54203</v>
      </c>
      <c r="C4259" t="s">
        <v>18</v>
      </c>
      <c r="D4259">
        <v>4176.32</v>
      </c>
      <c r="E4259">
        <v>181</v>
      </c>
      <c r="F4259">
        <v>2</v>
      </c>
      <c r="G4259">
        <v>3</v>
      </c>
      <c r="H4259">
        <v>0</v>
      </c>
      <c r="I4259" t="s">
        <v>33</v>
      </c>
      <c r="J4259">
        <v>0</v>
      </c>
      <c r="K4259">
        <v>43</v>
      </c>
      <c r="L4259" t="s">
        <v>20</v>
      </c>
      <c r="M4259" t="s">
        <v>21</v>
      </c>
      <c r="N4259" t="s">
        <v>26</v>
      </c>
      <c r="O4259" t="s">
        <v>36</v>
      </c>
      <c r="P4259">
        <v>0.59</v>
      </c>
      <c r="Q4259" s="2" t="b">
        <f>FALSE()</f>
        <v>0</v>
      </c>
      <c r="R4259">
        <v>1</v>
      </c>
    </row>
    <row r="4260" spans="1:18" x14ac:dyDescent="0.25">
      <c r="A4260">
        <v>204259</v>
      </c>
      <c r="B4260">
        <v>50548</v>
      </c>
      <c r="C4260" t="s">
        <v>34</v>
      </c>
      <c r="D4260">
        <v>4897.54</v>
      </c>
      <c r="E4260">
        <v>948</v>
      </c>
      <c r="F4260">
        <v>0</v>
      </c>
      <c r="G4260">
        <v>2</v>
      </c>
      <c r="H4260">
        <v>0</v>
      </c>
      <c r="I4260" t="s">
        <v>33</v>
      </c>
      <c r="J4260">
        <v>0</v>
      </c>
      <c r="K4260">
        <v>49</v>
      </c>
      <c r="L4260" t="s">
        <v>20</v>
      </c>
      <c r="M4260" t="s">
        <v>25</v>
      </c>
      <c r="N4260" t="s">
        <v>30</v>
      </c>
      <c r="O4260" t="s">
        <v>23</v>
      </c>
      <c r="P4260">
        <v>6.45</v>
      </c>
      <c r="Q4260" s="2" t="b">
        <f>FALSE()</f>
        <v>0</v>
      </c>
      <c r="R4260">
        <v>1</v>
      </c>
    </row>
    <row r="4261" spans="1:18" x14ac:dyDescent="0.25">
      <c r="A4261">
        <v>204260</v>
      </c>
      <c r="B4261">
        <v>55512</v>
      </c>
      <c r="C4261" t="s">
        <v>18</v>
      </c>
      <c r="D4261">
        <v>4348.47</v>
      </c>
      <c r="E4261">
        <v>2743</v>
      </c>
      <c r="F4261">
        <v>3</v>
      </c>
      <c r="G4261">
        <v>7</v>
      </c>
      <c r="H4261">
        <v>0</v>
      </c>
      <c r="I4261" t="s">
        <v>19</v>
      </c>
      <c r="J4261">
        <v>1</v>
      </c>
      <c r="K4261">
        <v>39</v>
      </c>
      <c r="L4261" t="s">
        <v>24</v>
      </c>
      <c r="M4261" t="s">
        <v>31</v>
      </c>
      <c r="N4261" t="s">
        <v>30</v>
      </c>
      <c r="O4261" t="s">
        <v>27</v>
      </c>
      <c r="P4261">
        <v>7.06</v>
      </c>
      <c r="Q4261" s="2" t="b">
        <f>FALSE()</f>
        <v>0</v>
      </c>
      <c r="R4261">
        <v>1</v>
      </c>
    </row>
    <row r="4262" spans="1:18" x14ac:dyDescent="0.25">
      <c r="A4262">
        <v>204261</v>
      </c>
      <c r="B4262">
        <v>54199</v>
      </c>
      <c r="C4262" t="s">
        <v>18</v>
      </c>
      <c r="D4262">
        <v>500.79</v>
      </c>
      <c r="E4262">
        <v>362</v>
      </c>
      <c r="F4262">
        <v>0</v>
      </c>
      <c r="G4262">
        <v>4</v>
      </c>
      <c r="H4262">
        <v>1</v>
      </c>
      <c r="I4262" t="s">
        <v>33</v>
      </c>
      <c r="J4262">
        <v>0</v>
      </c>
      <c r="K4262">
        <v>83</v>
      </c>
      <c r="L4262" t="s">
        <v>20</v>
      </c>
      <c r="M4262" t="s">
        <v>25</v>
      </c>
      <c r="N4262" t="s">
        <v>22</v>
      </c>
      <c r="O4262" t="s">
        <v>36</v>
      </c>
      <c r="P4262">
        <v>3.61</v>
      </c>
      <c r="Q4262" s="2" t="b">
        <f>FALSE()</f>
        <v>0</v>
      </c>
      <c r="R4262">
        <v>0</v>
      </c>
    </row>
    <row r="4263" spans="1:18" x14ac:dyDescent="0.25">
      <c r="A4263">
        <v>204262</v>
      </c>
      <c r="B4263">
        <v>54376</v>
      </c>
      <c r="C4263" t="s">
        <v>18</v>
      </c>
      <c r="D4263">
        <v>350.24</v>
      </c>
      <c r="E4263">
        <v>907</v>
      </c>
      <c r="F4263">
        <v>3</v>
      </c>
      <c r="G4263">
        <v>4</v>
      </c>
      <c r="H4263">
        <v>0</v>
      </c>
      <c r="I4263" t="s">
        <v>33</v>
      </c>
      <c r="J4263">
        <v>1</v>
      </c>
      <c r="K4263">
        <v>39</v>
      </c>
      <c r="L4263" t="s">
        <v>20</v>
      </c>
      <c r="M4263" t="s">
        <v>29</v>
      </c>
      <c r="N4263" t="s">
        <v>30</v>
      </c>
      <c r="O4263" t="s">
        <v>23</v>
      </c>
      <c r="P4263">
        <v>1.37</v>
      </c>
      <c r="Q4263" s="2" t="b">
        <f>FALSE()</f>
        <v>0</v>
      </c>
      <c r="R4263">
        <v>1</v>
      </c>
    </row>
    <row r="4264" spans="1:18" x14ac:dyDescent="0.25">
      <c r="A4264">
        <v>204263</v>
      </c>
      <c r="B4264">
        <v>51713</v>
      </c>
      <c r="C4264" t="s">
        <v>18</v>
      </c>
      <c r="D4264">
        <v>2688.83</v>
      </c>
      <c r="E4264">
        <v>3154</v>
      </c>
      <c r="F4264">
        <v>1</v>
      </c>
      <c r="G4264">
        <v>2</v>
      </c>
      <c r="H4264">
        <v>1</v>
      </c>
      <c r="I4264" t="s">
        <v>33</v>
      </c>
      <c r="J4264">
        <v>0</v>
      </c>
      <c r="K4264">
        <v>49</v>
      </c>
      <c r="L4264" t="s">
        <v>20</v>
      </c>
      <c r="M4264" t="s">
        <v>29</v>
      </c>
      <c r="N4264" t="s">
        <v>30</v>
      </c>
      <c r="O4264" t="s">
        <v>27</v>
      </c>
      <c r="P4264">
        <v>1.43</v>
      </c>
      <c r="Q4264" s="2" t="b">
        <f>FALSE()</f>
        <v>0</v>
      </c>
      <c r="R4264">
        <v>0</v>
      </c>
    </row>
    <row r="4265" spans="1:18" x14ac:dyDescent="0.25">
      <c r="A4265">
        <v>204264</v>
      </c>
      <c r="B4265">
        <v>52139</v>
      </c>
      <c r="C4265" t="s">
        <v>34</v>
      </c>
      <c r="D4265">
        <v>3177.15</v>
      </c>
      <c r="E4265">
        <v>2622</v>
      </c>
      <c r="F4265">
        <v>3</v>
      </c>
      <c r="G4265">
        <v>3</v>
      </c>
      <c r="H4265">
        <v>0</v>
      </c>
      <c r="I4265" t="s">
        <v>32</v>
      </c>
      <c r="J4265">
        <v>0</v>
      </c>
      <c r="K4265">
        <v>71</v>
      </c>
      <c r="L4265" t="s">
        <v>24</v>
      </c>
      <c r="M4265" t="s">
        <v>25</v>
      </c>
      <c r="N4265" t="s">
        <v>30</v>
      </c>
      <c r="O4265" t="s">
        <v>27</v>
      </c>
      <c r="P4265">
        <v>2.2000000000000002</v>
      </c>
      <c r="Q4265" s="2" t="b">
        <f>FALSE()</f>
        <v>0</v>
      </c>
      <c r="R4265">
        <v>1</v>
      </c>
    </row>
    <row r="4266" spans="1:18" x14ac:dyDescent="0.25">
      <c r="A4266">
        <v>204265</v>
      </c>
      <c r="B4266">
        <v>54476</v>
      </c>
      <c r="C4266" t="s">
        <v>28</v>
      </c>
      <c r="D4266">
        <v>3098.85</v>
      </c>
      <c r="E4266">
        <v>3435</v>
      </c>
      <c r="F4266">
        <v>0</v>
      </c>
      <c r="G4266">
        <v>1</v>
      </c>
      <c r="H4266">
        <v>0</v>
      </c>
      <c r="I4266" t="s">
        <v>33</v>
      </c>
      <c r="J4266">
        <v>0</v>
      </c>
      <c r="K4266">
        <v>24</v>
      </c>
      <c r="L4266" t="s">
        <v>20</v>
      </c>
      <c r="M4266" t="s">
        <v>21</v>
      </c>
      <c r="N4266" t="s">
        <v>26</v>
      </c>
      <c r="O4266" t="s">
        <v>27</v>
      </c>
      <c r="P4266">
        <v>0.81</v>
      </c>
      <c r="Q4266" s="2" t="b">
        <f>FALSE()</f>
        <v>0</v>
      </c>
      <c r="R4266">
        <v>0</v>
      </c>
    </row>
    <row r="4267" spans="1:18" x14ac:dyDescent="0.25">
      <c r="A4267">
        <v>204266</v>
      </c>
      <c r="B4267">
        <v>50403</v>
      </c>
      <c r="C4267" t="s">
        <v>18</v>
      </c>
      <c r="D4267">
        <v>2052.87</v>
      </c>
      <c r="E4267">
        <v>370</v>
      </c>
      <c r="F4267">
        <v>0</v>
      </c>
      <c r="G4267">
        <v>5</v>
      </c>
      <c r="H4267">
        <v>0</v>
      </c>
      <c r="I4267" t="s">
        <v>33</v>
      </c>
      <c r="J4267">
        <v>0</v>
      </c>
      <c r="K4267">
        <v>83</v>
      </c>
      <c r="L4267" t="s">
        <v>24</v>
      </c>
      <c r="M4267" t="s">
        <v>25</v>
      </c>
      <c r="N4267" t="s">
        <v>30</v>
      </c>
      <c r="O4267" t="s">
        <v>27</v>
      </c>
      <c r="P4267">
        <v>1.1200000000000001</v>
      </c>
      <c r="Q4267" s="2" t="b">
        <f>FALSE()</f>
        <v>0</v>
      </c>
      <c r="R4267">
        <v>0</v>
      </c>
    </row>
    <row r="4268" spans="1:18" x14ac:dyDescent="0.25">
      <c r="A4268">
        <v>204267</v>
      </c>
      <c r="B4268">
        <v>50922</v>
      </c>
      <c r="C4268" t="s">
        <v>18</v>
      </c>
      <c r="D4268">
        <v>6095.63</v>
      </c>
      <c r="E4268">
        <v>2828</v>
      </c>
      <c r="F4268">
        <v>0</v>
      </c>
      <c r="G4268">
        <v>1</v>
      </c>
      <c r="H4268">
        <v>0</v>
      </c>
      <c r="I4268" t="s">
        <v>33</v>
      </c>
      <c r="J4268">
        <v>0</v>
      </c>
      <c r="K4268">
        <v>82</v>
      </c>
      <c r="L4268" t="s">
        <v>24</v>
      </c>
      <c r="M4268" t="s">
        <v>25</v>
      </c>
      <c r="N4268" t="s">
        <v>22</v>
      </c>
      <c r="O4268" t="s">
        <v>36</v>
      </c>
      <c r="P4268">
        <v>0.63</v>
      </c>
      <c r="Q4268" s="2" t="b">
        <f>FALSE()</f>
        <v>0</v>
      </c>
      <c r="R4268">
        <v>1</v>
      </c>
    </row>
    <row r="4269" spans="1:18" x14ac:dyDescent="0.25">
      <c r="A4269">
        <v>204268</v>
      </c>
      <c r="B4269">
        <v>50330</v>
      </c>
      <c r="C4269" t="s">
        <v>34</v>
      </c>
      <c r="D4269">
        <v>4135.05</v>
      </c>
      <c r="E4269">
        <v>3538</v>
      </c>
      <c r="F4269">
        <v>1</v>
      </c>
      <c r="G4269">
        <v>4</v>
      </c>
      <c r="H4269">
        <v>1</v>
      </c>
      <c r="I4269" t="s">
        <v>19</v>
      </c>
      <c r="J4269">
        <v>0</v>
      </c>
      <c r="K4269">
        <v>41</v>
      </c>
      <c r="L4269" t="s">
        <v>20</v>
      </c>
      <c r="M4269" t="s">
        <v>37</v>
      </c>
      <c r="N4269" t="s">
        <v>22</v>
      </c>
      <c r="O4269" t="s">
        <v>36</v>
      </c>
      <c r="P4269">
        <v>1.21</v>
      </c>
      <c r="Q4269" s="2" t="b">
        <f>FALSE()</f>
        <v>0</v>
      </c>
      <c r="R4269">
        <v>1</v>
      </c>
    </row>
    <row r="4270" spans="1:18" x14ac:dyDescent="0.25">
      <c r="A4270">
        <v>204269</v>
      </c>
      <c r="B4270">
        <v>51916</v>
      </c>
      <c r="C4270" t="s">
        <v>34</v>
      </c>
      <c r="D4270">
        <v>1285.17</v>
      </c>
      <c r="E4270">
        <v>928</v>
      </c>
      <c r="F4270">
        <v>1</v>
      </c>
      <c r="G4270">
        <v>3</v>
      </c>
      <c r="H4270">
        <v>0</v>
      </c>
      <c r="I4270" t="s">
        <v>33</v>
      </c>
      <c r="J4270">
        <v>0</v>
      </c>
      <c r="K4270">
        <v>80</v>
      </c>
      <c r="L4270" t="s">
        <v>20</v>
      </c>
      <c r="M4270" t="s">
        <v>29</v>
      </c>
      <c r="N4270" t="s">
        <v>22</v>
      </c>
      <c r="O4270" t="s">
        <v>27</v>
      </c>
      <c r="P4270">
        <v>1.32</v>
      </c>
      <c r="Q4270" s="2" t="b">
        <f>FALSE()</f>
        <v>0</v>
      </c>
      <c r="R4270">
        <v>0</v>
      </c>
    </row>
    <row r="4271" spans="1:18" x14ac:dyDescent="0.25">
      <c r="A4271">
        <v>204270</v>
      </c>
      <c r="B4271">
        <v>54258</v>
      </c>
      <c r="C4271" t="s">
        <v>18</v>
      </c>
      <c r="D4271">
        <v>3443.71</v>
      </c>
      <c r="E4271">
        <v>8</v>
      </c>
      <c r="F4271">
        <v>4</v>
      </c>
      <c r="G4271">
        <v>5</v>
      </c>
      <c r="H4271">
        <v>1</v>
      </c>
      <c r="I4271" t="s">
        <v>33</v>
      </c>
      <c r="J4271">
        <v>0</v>
      </c>
      <c r="K4271">
        <v>18</v>
      </c>
      <c r="L4271" t="s">
        <v>24</v>
      </c>
      <c r="M4271" t="s">
        <v>21</v>
      </c>
      <c r="N4271" t="s">
        <v>30</v>
      </c>
      <c r="O4271" t="s">
        <v>36</v>
      </c>
      <c r="P4271">
        <v>1.1299999999999999</v>
      </c>
      <c r="Q4271" s="2" t="b">
        <f>FALSE()</f>
        <v>0</v>
      </c>
      <c r="R4271">
        <v>1</v>
      </c>
    </row>
    <row r="4272" spans="1:18" x14ac:dyDescent="0.25">
      <c r="A4272">
        <v>204271</v>
      </c>
      <c r="B4272">
        <v>51410</v>
      </c>
      <c r="C4272" t="s">
        <v>34</v>
      </c>
      <c r="D4272">
        <v>2216.39</v>
      </c>
      <c r="E4272">
        <v>2356</v>
      </c>
      <c r="F4272">
        <v>0</v>
      </c>
      <c r="G4272">
        <v>5</v>
      </c>
      <c r="H4272">
        <v>0</v>
      </c>
      <c r="I4272" t="s">
        <v>33</v>
      </c>
      <c r="J4272">
        <v>0</v>
      </c>
      <c r="K4272">
        <v>81</v>
      </c>
      <c r="L4272" t="s">
        <v>20</v>
      </c>
      <c r="M4272" t="s">
        <v>31</v>
      </c>
      <c r="N4272" t="s">
        <v>26</v>
      </c>
      <c r="O4272" t="s">
        <v>23</v>
      </c>
      <c r="P4272">
        <v>1.87</v>
      </c>
      <c r="Q4272" s="2" t="b">
        <f>FALSE()</f>
        <v>0</v>
      </c>
      <c r="R4272">
        <v>0</v>
      </c>
    </row>
    <row r="4273" spans="1:18" x14ac:dyDescent="0.25">
      <c r="A4273">
        <v>204272</v>
      </c>
      <c r="B4273">
        <v>54110</v>
      </c>
      <c r="C4273" t="s">
        <v>18</v>
      </c>
      <c r="D4273">
        <v>3858.5</v>
      </c>
      <c r="E4273">
        <v>1102</v>
      </c>
      <c r="F4273">
        <v>0</v>
      </c>
      <c r="G4273">
        <v>4</v>
      </c>
      <c r="H4273">
        <v>0</v>
      </c>
      <c r="I4273" t="s">
        <v>19</v>
      </c>
      <c r="J4273">
        <v>0</v>
      </c>
      <c r="K4273">
        <v>55</v>
      </c>
      <c r="L4273" t="s">
        <v>24</v>
      </c>
      <c r="M4273" t="s">
        <v>21</v>
      </c>
      <c r="N4273" t="s">
        <v>26</v>
      </c>
      <c r="O4273" t="s">
        <v>36</v>
      </c>
      <c r="P4273">
        <v>1.33</v>
      </c>
      <c r="Q4273" s="2" t="b">
        <f>FALSE()</f>
        <v>0</v>
      </c>
      <c r="R4273">
        <v>1</v>
      </c>
    </row>
    <row r="4274" spans="1:18" x14ac:dyDescent="0.25">
      <c r="A4274">
        <v>204273</v>
      </c>
      <c r="B4274">
        <v>52091</v>
      </c>
      <c r="C4274" t="s">
        <v>34</v>
      </c>
      <c r="D4274">
        <v>1689.84</v>
      </c>
      <c r="E4274">
        <v>2559</v>
      </c>
      <c r="F4274">
        <v>1</v>
      </c>
      <c r="G4274">
        <v>6</v>
      </c>
      <c r="H4274">
        <v>0</v>
      </c>
      <c r="I4274" t="s">
        <v>19</v>
      </c>
      <c r="J4274">
        <v>0</v>
      </c>
      <c r="K4274">
        <v>53</v>
      </c>
      <c r="L4274" t="s">
        <v>24</v>
      </c>
      <c r="M4274" t="s">
        <v>37</v>
      </c>
      <c r="N4274" t="s">
        <v>26</v>
      </c>
      <c r="O4274" t="s">
        <v>27</v>
      </c>
      <c r="P4274">
        <v>2.84</v>
      </c>
      <c r="Q4274" s="2" t="b">
        <f>FALSE()</f>
        <v>0</v>
      </c>
      <c r="R4274">
        <v>0</v>
      </c>
    </row>
    <row r="4275" spans="1:18" x14ac:dyDescent="0.25">
      <c r="A4275">
        <v>204274</v>
      </c>
      <c r="B4275">
        <v>50685</v>
      </c>
      <c r="C4275" t="s">
        <v>28</v>
      </c>
      <c r="D4275">
        <v>4982.4399999999996</v>
      </c>
      <c r="E4275">
        <v>844</v>
      </c>
      <c r="F4275">
        <v>3</v>
      </c>
      <c r="G4275">
        <v>3</v>
      </c>
      <c r="H4275">
        <v>0</v>
      </c>
      <c r="I4275" t="s">
        <v>33</v>
      </c>
      <c r="J4275">
        <v>0</v>
      </c>
      <c r="K4275">
        <v>64</v>
      </c>
      <c r="L4275" t="s">
        <v>20</v>
      </c>
      <c r="M4275" t="s">
        <v>35</v>
      </c>
      <c r="N4275" t="s">
        <v>30</v>
      </c>
      <c r="O4275" t="s">
        <v>27</v>
      </c>
      <c r="P4275">
        <v>7.46</v>
      </c>
      <c r="Q4275" s="2" t="b">
        <f>FALSE()</f>
        <v>0</v>
      </c>
      <c r="R4275">
        <v>1</v>
      </c>
    </row>
    <row r="4276" spans="1:18" x14ac:dyDescent="0.25">
      <c r="A4276">
        <v>204275</v>
      </c>
      <c r="B4276">
        <v>54579</v>
      </c>
      <c r="C4276" t="s">
        <v>34</v>
      </c>
      <c r="D4276">
        <v>2762.6</v>
      </c>
      <c r="E4276">
        <v>3175</v>
      </c>
      <c r="F4276">
        <v>1</v>
      </c>
      <c r="G4276">
        <v>7</v>
      </c>
      <c r="H4276">
        <v>0</v>
      </c>
      <c r="I4276" t="s">
        <v>32</v>
      </c>
      <c r="J4276">
        <v>0</v>
      </c>
      <c r="K4276">
        <v>77</v>
      </c>
      <c r="L4276" t="s">
        <v>24</v>
      </c>
      <c r="M4276" t="s">
        <v>21</v>
      </c>
      <c r="N4276" t="s">
        <v>26</v>
      </c>
      <c r="O4276" t="s">
        <v>36</v>
      </c>
      <c r="P4276">
        <v>1.88</v>
      </c>
      <c r="Q4276" s="2" t="b">
        <f>FALSE()</f>
        <v>0</v>
      </c>
      <c r="R4276">
        <v>1</v>
      </c>
    </row>
    <row r="4277" spans="1:18" x14ac:dyDescent="0.25">
      <c r="A4277">
        <v>204276</v>
      </c>
      <c r="B4277">
        <v>54589</v>
      </c>
      <c r="C4277" t="s">
        <v>18</v>
      </c>
      <c r="D4277">
        <v>3904.68</v>
      </c>
      <c r="E4277">
        <v>1194</v>
      </c>
      <c r="F4277">
        <v>0</v>
      </c>
      <c r="G4277">
        <v>1</v>
      </c>
      <c r="H4277">
        <v>0</v>
      </c>
      <c r="I4277" t="s">
        <v>33</v>
      </c>
      <c r="J4277">
        <v>0</v>
      </c>
      <c r="K4277">
        <v>58</v>
      </c>
      <c r="L4277" t="s">
        <v>24</v>
      </c>
      <c r="M4277" t="s">
        <v>35</v>
      </c>
      <c r="N4277" t="s">
        <v>22</v>
      </c>
      <c r="O4277" t="s">
        <v>36</v>
      </c>
      <c r="P4277">
        <v>0.66</v>
      </c>
      <c r="Q4277" s="2" t="b">
        <f>FALSE()</f>
        <v>0</v>
      </c>
      <c r="R4277">
        <v>1</v>
      </c>
    </row>
    <row r="4278" spans="1:18" x14ac:dyDescent="0.25">
      <c r="A4278">
        <v>204277</v>
      </c>
      <c r="B4278">
        <v>50103</v>
      </c>
      <c r="C4278" t="s">
        <v>18</v>
      </c>
      <c r="D4278">
        <v>1117.02</v>
      </c>
      <c r="E4278">
        <v>2258</v>
      </c>
      <c r="F4278">
        <v>0</v>
      </c>
      <c r="G4278">
        <v>5</v>
      </c>
      <c r="H4278">
        <v>0</v>
      </c>
      <c r="I4278" t="s">
        <v>33</v>
      </c>
      <c r="J4278">
        <v>0</v>
      </c>
      <c r="K4278">
        <v>27</v>
      </c>
      <c r="L4278" t="s">
        <v>20</v>
      </c>
      <c r="M4278" t="s">
        <v>21</v>
      </c>
      <c r="N4278" t="s">
        <v>30</v>
      </c>
      <c r="O4278" t="s">
        <v>23</v>
      </c>
      <c r="P4278">
        <v>5.17</v>
      </c>
      <c r="Q4278" s="2" t="b">
        <f>FALSE()</f>
        <v>0</v>
      </c>
      <c r="R4278">
        <v>0</v>
      </c>
    </row>
    <row r="4279" spans="1:18" x14ac:dyDescent="0.25">
      <c r="A4279">
        <v>204278</v>
      </c>
      <c r="B4279">
        <v>52452</v>
      </c>
      <c r="C4279" t="s">
        <v>18</v>
      </c>
      <c r="D4279">
        <v>1414.82</v>
      </c>
      <c r="E4279">
        <v>3290</v>
      </c>
      <c r="F4279">
        <v>0</v>
      </c>
      <c r="G4279">
        <v>7</v>
      </c>
      <c r="H4279">
        <v>0</v>
      </c>
      <c r="I4279" t="s">
        <v>33</v>
      </c>
      <c r="J4279">
        <v>0</v>
      </c>
      <c r="K4279">
        <v>81</v>
      </c>
      <c r="L4279" t="s">
        <v>20</v>
      </c>
      <c r="M4279" t="s">
        <v>21</v>
      </c>
      <c r="N4279" t="s">
        <v>22</v>
      </c>
      <c r="O4279" t="s">
        <v>27</v>
      </c>
      <c r="P4279">
        <v>0.37</v>
      </c>
      <c r="Q4279" s="2" t="b">
        <f>FALSE()</f>
        <v>0</v>
      </c>
      <c r="R4279">
        <v>1</v>
      </c>
    </row>
    <row r="4280" spans="1:18" x14ac:dyDescent="0.25">
      <c r="A4280">
        <v>204279</v>
      </c>
      <c r="B4280">
        <v>50951</v>
      </c>
      <c r="C4280" t="s">
        <v>18</v>
      </c>
      <c r="D4280">
        <v>734.73</v>
      </c>
      <c r="E4280">
        <v>1047</v>
      </c>
      <c r="F4280">
        <v>3</v>
      </c>
      <c r="G4280">
        <v>1</v>
      </c>
      <c r="H4280">
        <v>0</v>
      </c>
      <c r="I4280" t="s">
        <v>33</v>
      </c>
      <c r="J4280">
        <v>0</v>
      </c>
      <c r="K4280">
        <v>39</v>
      </c>
      <c r="L4280" t="s">
        <v>20</v>
      </c>
      <c r="M4280" t="s">
        <v>37</v>
      </c>
      <c r="N4280" t="s">
        <v>22</v>
      </c>
      <c r="O4280" t="s">
        <v>36</v>
      </c>
      <c r="P4280">
        <v>3.24</v>
      </c>
      <c r="Q4280" s="2" t="b">
        <f>FALSE()</f>
        <v>0</v>
      </c>
      <c r="R4280">
        <v>1</v>
      </c>
    </row>
    <row r="4281" spans="1:18" x14ac:dyDescent="0.25">
      <c r="A4281">
        <v>204280</v>
      </c>
      <c r="B4281">
        <v>54175</v>
      </c>
      <c r="C4281" t="s">
        <v>18</v>
      </c>
      <c r="D4281">
        <v>2433.7800000000002</v>
      </c>
      <c r="E4281">
        <v>1135</v>
      </c>
      <c r="F4281">
        <v>1</v>
      </c>
      <c r="G4281">
        <v>4</v>
      </c>
      <c r="H4281">
        <v>0</v>
      </c>
      <c r="I4281" t="s">
        <v>19</v>
      </c>
      <c r="J4281">
        <v>0</v>
      </c>
      <c r="K4281">
        <v>20</v>
      </c>
      <c r="L4281" t="s">
        <v>24</v>
      </c>
      <c r="M4281" t="s">
        <v>35</v>
      </c>
      <c r="N4281" t="s">
        <v>22</v>
      </c>
      <c r="O4281" t="s">
        <v>27</v>
      </c>
      <c r="P4281">
        <v>13.99</v>
      </c>
      <c r="Q4281" s="2" t="b">
        <f>FALSE()</f>
        <v>0</v>
      </c>
      <c r="R4281">
        <v>0</v>
      </c>
    </row>
    <row r="4282" spans="1:18" x14ac:dyDescent="0.25">
      <c r="A4282">
        <v>204281</v>
      </c>
      <c r="B4282">
        <v>50184</v>
      </c>
      <c r="C4282" t="s">
        <v>18</v>
      </c>
      <c r="D4282">
        <v>3687.04</v>
      </c>
      <c r="E4282">
        <v>2057</v>
      </c>
      <c r="F4282">
        <v>0</v>
      </c>
      <c r="G4282">
        <v>5</v>
      </c>
      <c r="H4282">
        <v>0</v>
      </c>
      <c r="I4282" t="s">
        <v>19</v>
      </c>
      <c r="J4282">
        <v>0</v>
      </c>
      <c r="K4282">
        <v>67</v>
      </c>
      <c r="L4282" t="s">
        <v>20</v>
      </c>
      <c r="M4282" t="s">
        <v>37</v>
      </c>
      <c r="N4282" t="s">
        <v>22</v>
      </c>
      <c r="O4282" t="s">
        <v>23</v>
      </c>
      <c r="P4282">
        <v>6.13</v>
      </c>
      <c r="Q4282" s="2" t="b">
        <f>FALSE()</f>
        <v>0</v>
      </c>
      <c r="R4282">
        <v>1</v>
      </c>
    </row>
    <row r="4283" spans="1:18" x14ac:dyDescent="0.25">
      <c r="A4283">
        <v>204282</v>
      </c>
      <c r="B4283">
        <v>54193</v>
      </c>
      <c r="C4283" t="s">
        <v>18</v>
      </c>
      <c r="D4283">
        <v>441.67</v>
      </c>
      <c r="E4283">
        <v>1997</v>
      </c>
      <c r="F4283">
        <v>1</v>
      </c>
      <c r="G4283">
        <v>3</v>
      </c>
      <c r="H4283">
        <v>0</v>
      </c>
      <c r="I4283" t="s">
        <v>33</v>
      </c>
      <c r="J4283">
        <v>0</v>
      </c>
      <c r="K4283">
        <v>71</v>
      </c>
      <c r="L4283" t="s">
        <v>24</v>
      </c>
      <c r="M4283" t="s">
        <v>21</v>
      </c>
      <c r="N4283" t="s">
        <v>22</v>
      </c>
      <c r="O4283" t="s">
        <v>27</v>
      </c>
      <c r="P4283">
        <v>5.52</v>
      </c>
      <c r="Q4283" s="2" t="b">
        <f>FALSE()</f>
        <v>0</v>
      </c>
      <c r="R4283">
        <v>0</v>
      </c>
    </row>
    <row r="4284" spans="1:18" x14ac:dyDescent="0.25">
      <c r="A4284">
        <v>204283</v>
      </c>
      <c r="B4284">
        <v>50224</v>
      </c>
      <c r="C4284" t="s">
        <v>34</v>
      </c>
      <c r="D4284">
        <v>2319.23</v>
      </c>
      <c r="E4284">
        <v>1453</v>
      </c>
      <c r="F4284">
        <v>0</v>
      </c>
      <c r="G4284">
        <v>5</v>
      </c>
      <c r="H4284">
        <v>0</v>
      </c>
      <c r="I4284" t="s">
        <v>32</v>
      </c>
      <c r="J4284">
        <v>0</v>
      </c>
      <c r="K4284">
        <v>19</v>
      </c>
      <c r="L4284" t="s">
        <v>20</v>
      </c>
      <c r="M4284" t="s">
        <v>21</v>
      </c>
      <c r="N4284" t="s">
        <v>30</v>
      </c>
      <c r="O4284" t="s">
        <v>27</v>
      </c>
      <c r="P4284">
        <v>0.39</v>
      </c>
      <c r="Q4284" s="2" t="b">
        <f>FALSE()</f>
        <v>0</v>
      </c>
      <c r="R4284">
        <v>0</v>
      </c>
    </row>
    <row r="4285" spans="1:18" x14ac:dyDescent="0.25">
      <c r="A4285">
        <v>204284</v>
      </c>
      <c r="B4285">
        <v>55693</v>
      </c>
      <c r="C4285" t="s">
        <v>34</v>
      </c>
      <c r="D4285">
        <v>3408.31</v>
      </c>
      <c r="E4285">
        <v>2415</v>
      </c>
      <c r="F4285">
        <v>1</v>
      </c>
      <c r="G4285">
        <v>6</v>
      </c>
      <c r="H4285">
        <v>1</v>
      </c>
      <c r="I4285" t="s">
        <v>32</v>
      </c>
      <c r="J4285">
        <v>0</v>
      </c>
      <c r="K4285">
        <v>68</v>
      </c>
      <c r="L4285" t="s">
        <v>24</v>
      </c>
      <c r="M4285" t="s">
        <v>31</v>
      </c>
      <c r="N4285" t="s">
        <v>30</v>
      </c>
      <c r="O4285" t="s">
        <v>27</v>
      </c>
      <c r="P4285">
        <v>2.7</v>
      </c>
      <c r="Q4285" s="2" t="b">
        <f>FALSE()</f>
        <v>0</v>
      </c>
      <c r="R4285">
        <v>0</v>
      </c>
    </row>
    <row r="4286" spans="1:18" x14ac:dyDescent="0.25">
      <c r="A4286">
        <v>204285</v>
      </c>
      <c r="B4286">
        <v>54724</v>
      </c>
      <c r="C4286" t="s">
        <v>34</v>
      </c>
      <c r="D4286">
        <v>5340.3</v>
      </c>
      <c r="E4286">
        <v>3599</v>
      </c>
      <c r="F4286">
        <v>2</v>
      </c>
      <c r="G4286">
        <v>1</v>
      </c>
      <c r="H4286">
        <v>0</v>
      </c>
      <c r="I4286" t="s">
        <v>33</v>
      </c>
      <c r="J4286">
        <v>0</v>
      </c>
      <c r="K4286">
        <v>58</v>
      </c>
      <c r="L4286" t="s">
        <v>24</v>
      </c>
      <c r="M4286" t="s">
        <v>25</v>
      </c>
      <c r="N4286" t="s">
        <v>26</v>
      </c>
      <c r="O4286" t="s">
        <v>27</v>
      </c>
      <c r="P4286">
        <v>1.1000000000000001</v>
      </c>
      <c r="Q4286" s="2" t="b">
        <f>FALSE()</f>
        <v>0</v>
      </c>
      <c r="R4286">
        <v>1</v>
      </c>
    </row>
    <row r="4287" spans="1:18" x14ac:dyDescent="0.25">
      <c r="A4287">
        <v>204286</v>
      </c>
      <c r="B4287">
        <v>50330</v>
      </c>
      <c r="C4287" t="s">
        <v>34</v>
      </c>
      <c r="D4287">
        <v>731.04</v>
      </c>
      <c r="E4287">
        <v>3041</v>
      </c>
      <c r="F4287">
        <v>0</v>
      </c>
      <c r="G4287">
        <v>4</v>
      </c>
      <c r="H4287">
        <v>1</v>
      </c>
      <c r="I4287" t="s">
        <v>19</v>
      </c>
      <c r="J4287">
        <v>0</v>
      </c>
      <c r="K4287">
        <v>56</v>
      </c>
      <c r="L4287" t="s">
        <v>24</v>
      </c>
      <c r="M4287" t="s">
        <v>37</v>
      </c>
      <c r="N4287" t="s">
        <v>26</v>
      </c>
      <c r="O4287" t="s">
        <v>36</v>
      </c>
      <c r="P4287">
        <v>2.04</v>
      </c>
      <c r="Q4287" s="2" t="b">
        <f>FALSE()</f>
        <v>0</v>
      </c>
      <c r="R4287">
        <v>0</v>
      </c>
    </row>
    <row r="4288" spans="1:18" x14ac:dyDescent="0.25">
      <c r="A4288">
        <v>204287</v>
      </c>
      <c r="B4288">
        <v>55611</v>
      </c>
      <c r="C4288" t="s">
        <v>34</v>
      </c>
      <c r="D4288">
        <v>2812.27</v>
      </c>
      <c r="E4288">
        <v>2693</v>
      </c>
      <c r="F4288">
        <v>0</v>
      </c>
      <c r="G4288">
        <v>3</v>
      </c>
      <c r="H4288">
        <v>0</v>
      </c>
      <c r="I4288" t="s">
        <v>32</v>
      </c>
      <c r="J4288">
        <v>1</v>
      </c>
      <c r="K4288">
        <v>48</v>
      </c>
      <c r="L4288" t="s">
        <v>20</v>
      </c>
      <c r="M4288" t="s">
        <v>29</v>
      </c>
      <c r="N4288" t="s">
        <v>30</v>
      </c>
      <c r="O4288" t="s">
        <v>36</v>
      </c>
      <c r="P4288">
        <v>5.44</v>
      </c>
      <c r="Q4288" s="2" t="b">
        <f>FALSE()</f>
        <v>0</v>
      </c>
      <c r="R4288">
        <v>0</v>
      </c>
    </row>
    <row r="4289" spans="1:18" x14ac:dyDescent="0.25">
      <c r="A4289">
        <v>204288</v>
      </c>
      <c r="B4289">
        <v>52949</v>
      </c>
      <c r="C4289" t="s">
        <v>28</v>
      </c>
      <c r="D4289">
        <v>2179.73</v>
      </c>
      <c r="E4289">
        <v>1508</v>
      </c>
      <c r="F4289">
        <v>0</v>
      </c>
      <c r="G4289">
        <v>6</v>
      </c>
      <c r="H4289">
        <v>0</v>
      </c>
      <c r="I4289" t="s">
        <v>32</v>
      </c>
      <c r="J4289">
        <v>0</v>
      </c>
      <c r="K4289">
        <v>50</v>
      </c>
      <c r="L4289" t="s">
        <v>20</v>
      </c>
      <c r="M4289" t="s">
        <v>29</v>
      </c>
      <c r="N4289" t="s">
        <v>30</v>
      </c>
      <c r="O4289" t="s">
        <v>23</v>
      </c>
      <c r="P4289">
        <v>2.25</v>
      </c>
      <c r="Q4289" s="2" t="b">
        <f>FALSE()</f>
        <v>0</v>
      </c>
      <c r="R4289">
        <v>0</v>
      </c>
    </row>
    <row r="4290" spans="1:18" x14ac:dyDescent="0.25">
      <c r="A4290">
        <v>204289</v>
      </c>
      <c r="B4290">
        <v>50818</v>
      </c>
      <c r="C4290" t="s">
        <v>18</v>
      </c>
      <c r="D4290">
        <v>5231.62</v>
      </c>
      <c r="E4290">
        <v>1876</v>
      </c>
      <c r="F4290">
        <v>5</v>
      </c>
      <c r="G4290">
        <v>8</v>
      </c>
      <c r="H4290">
        <v>1</v>
      </c>
      <c r="I4290" t="s">
        <v>33</v>
      </c>
      <c r="J4290">
        <v>0</v>
      </c>
      <c r="K4290">
        <v>52</v>
      </c>
      <c r="L4290" t="s">
        <v>20</v>
      </c>
      <c r="M4290" t="s">
        <v>31</v>
      </c>
      <c r="N4290" t="s">
        <v>30</v>
      </c>
      <c r="O4290" t="s">
        <v>27</v>
      </c>
      <c r="P4290">
        <v>2.14</v>
      </c>
      <c r="Q4290" s="2" t="b">
        <f>FALSE()</f>
        <v>0</v>
      </c>
      <c r="R4290">
        <v>1</v>
      </c>
    </row>
    <row r="4291" spans="1:18" x14ac:dyDescent="0.25">
      <c r="A4291">
        <v>204290</v>
      </c>
      <c r="B4291">
        <v>55657</v>
      </c>
      <c r="C4291" t="s">
        <v>34</v>
      </c>
      <c r="D4291">
        <v>2456.5300000000002</v>
      </c>
      <c r="E4291">
        <v>739</v>
      </c>
      <c r="F4291">
        <v>2</v>
      </c>
      <c r="G4291">
        <v>3</v>
      </c>
      <c r="H4291">
        <v>0</v>
      </c>
      <c r="I4291" t="s">
        <v>19</v>
      </c>
      <c r="J4291">
        <v>1</v>
      </c>
      <c r="K4291">
        <v>24</v>
      </c>
      <c r="L4291" t="s">
        <v>24</v>
      </c>
      <c r="M4291" t="s">
        <v>21</v>
      </c>
      <c r="N4291" t="s">
        <v>22</v>
      </c>
      <c r="O4291" t="s">
        <v>36</v>
      </c>
      <c r="P4291">
        <v>7.74</v>
      </c>
      <c r="Q4291" s="2" t="b">
        <f>FALSE()</f>
        <v>0</v>
      </c>
      <c r="R4291">
        <v>0</v>
      </c>
    </row>
    <row r="4292" spans="1:18" x14ac:dyDescent="0.25">
      <c r="A4292">
        <v>204291</v>
      </c>
      <c r="B4292">
        <v>53242</v>
      </c>
      <c r="C4292" t="s">
        <v>34</v>
      </c>
      <c r="D4292">
        <v>3886.42</v>
      </c>
      <c r="E4292">
        <v>1052</v>
      </c>
      <c r="F4292">
        <v>1</v>
      </c>
      <c r="G4292">
        <v>3</v>
      </c>
      <c r="H4292">
        <v>0</v>
      </c>
      <c r="I4292" t="s">
        <v>19</v>
      </c>
      <c r="J4292">
        <v>1</v>
      </c>
      <c r="K4292">
        <v>68</v>
      </c>
      <c r="L4292" t="s">
        <v>20</v>
      </c>
      <c r="M4292" t="s">
        <v>31</v>
      </c>
      <c r="N4292" t="s">
        <v>22</v>
      </c>
      <c r="O4292" t="s">
        <v>27</v>
      </c>
      <c r="P4292">
        <v>3.76</v>
      </c>
      <c r="Q4292" s="2" t="b">
        <f>FALSE()</f>
        <v>0</v>
      </c>
      <c r="R4292">
        <v>1</v>
      </c>
    </row>
    <row r="4293" spans="1:18" x14ac:dyDescent="0.25">
      <c r="A4293">
        <v>204292</v>
      </c>
      <c r="B4293">
        <v>51145</v>
      </c>
      <c r="C4293" t="s">
        <v>18</v>
      </c>
      <c r="D4293">
        <v>8004.89</v>
      </c>
      <c r="E4293">
        <v>3519</v>
      </c>
      <c r="F4293">
        <v>1</v>
      </c>
      <c r="G4293">
        <v>2</v>
      </c>
      <c r="H4293">
        <v>0</v>
      </c>
      <c r="I4293" t="s">
        <v>19</v>
      </c>
      <c r="J4293">
        <v>0</v>
      </c>
      <c r="K4293">
        <v>58</v>
      </c>
      <c r="L4293" t="s">
        <v>20</v>
      </c>
      <c r="M4293" t="s">
        <v>25</v>
      </c>
      <c r="N4293" t="s">
        <v>22</v>
      </c>
      <c r="O4293" t="s">
        <v>36</v>
      </c>
      <c r="P4293">
        <v>1.85</v>
      </c>
      <c r="Q4293" s="2" t="b">
        <f>TRUE()</f>
        <v>1</v>
      </c>
      <c r="R4293">
        <v>1</v>
      </c>
    </row>
    <row r="4294" spans="1:18" x14ac:dyDescent="0.25">
      <c r="A4294">
        <v>204293</v>
      </c>
      <c r="B4294">
        <v>53661</v>
      </c>
      <c r="C4294" t="s">
        <v>34</v>
      </c>
      <c r="D4294">
        <v>2889.31</v>
      </c>
      <c r="E4294">
        <v>715</v>
      </c>
      <c r="F4294">
        <v>2</v>
      </c>
      <c r="G4294">
        <v>3</v>
      </c>
      <c r="H4294">
        <v>1</v>
      </c>
      <c r="I4294" t="s">
        <v>19</v>
      </c>
      <c r="J4294">
        <v>1</v>
      </c>
      <c r="K4294">
        <v>57</v>
      </c>
      <c r="L4294" t="s">
        <v>24</v>
      </c>
      <c r="M4294" t="s">
        <v>35</v>
      </c>
      <c r="N4294" t="s">
        <v>22</v>
      </c>
      <c r="O4294" t="s">
        <v>36</v>
      </c>
      <c r="P4294">
        <v>0.54</v>
      </c>
      <c r="Q4294" s="2" t="b">
        <f>FALSE()</f>
        <v>0</v>
      </c>
      <c r="R4294">
        <v>0</v>
      </c>
    </row>
    <row r="4295" spans="1:18" x14ac:dyDescent="0.25">
      <c r="A4295">
        <v>204294</v>
      </c>
      <c r="B4295">
        <v>51264</v>
      </c>
      <c r="C4295" t="s">
        <v>18</v>
      </c>
      <c r="D4295">
        <v>8383.83</v>
      </c>
      <c r="E4295">
        <v>458</v>
      </c>
      <c r="F4295">
        <v>4</v>
      </c>
      <c r="G4295">
        <v>7</v>
      </c>
      <c r="H4295">
        <v>0</v>
      </c>
      <c r="I4295" t="s">
        <v>33</v>
      </c>
      <c r="J4295">
        <v>0</v>
      </c>
      <c r="K4295">
        <v>42</v>
      </c>
      <c r="L4295" t="s">
        <v>24</v>
      </c>
      <c r="M4295" t="s">
        <v>25</v>
      </c>
      <c r="N4295" t="s">
        <v>30</v>
      </c>
      <c r="O4295" t="s">
        <v>36</v>
      </c>
      <c r="P4295">
        <v>2.87</v>
      </c>
      <c r="Q4295" s="2" t="b">
        <f>TRUE()</f>
        <v>1</v>
      </c>
      <c r="R4295">
        <v>1</v>
      </c>
    </row>
    <row r="4296" spans="1:18" x14ac:dyDescent="0.25">
      <c r="A4296">
        <v>204295</v>
      </c>
      <c r="B4296">
        <v>52399</v>
      </c>
      <c r="C4296" t="s">
        <v>18</v>
      </c>
      <c r="D4296">
        <v>64.14</v>
      </c>
      <c r="E4296">
        <v>3123</v>
      </c>
      <c r="F4296">
        <v>0</v>
      </c>
      <c r="G4296">
        <v>5</v>
      </c>
      <c r="H4296">
        <v>1</v>
      </c>
      <c r="I4296" t="s">
        <v>33</v>
      </c>
      <c r="J4296">
        <v>0</v>
      </c>
      <c r="K4296">
        <v>44</v>
      </c>
      <c r="L4296" t="s">
        <v>20</v>
      </c>
      <c r="M4296" t="s">
        <v>37</v>
      </c>
      <c r="N4296" t="s">
        <v>22</v>
      </c>
      <c r="O4296" t="s">
        <v>36</v>
      </c>
      <c r="P4296">
        <v>3.66</v>
      </c>
      <c r="Q4296" s="2" t="b">
        <f>FALSE()</f>
        <v>0</v>
      </c>
      <c r="R4296">
        <v>0</v>
      </c>
    </row>
    <row r="4297" spans="1:18" x14ac:dyDescent="0.25">
      <c r="A4297">
        <v>204296</v>
      </c>
      <c r="B4297">
        <v>55181</v>
      </c>
      <c r="C4297" t="s">
        <v>18</v>
      </c>
      <c r="D4297">
        <v>703.5</v>
      </c>
      <c r="E4297">
        <v>174</v>
      </c>
      <c r="F4297">
        <v>1</v>
      </c>
      <c r="G4297">
        <v>2</v>
      </c>
      <c r="H4297">
        <v>1</v>
      </c>
      <c r="I4297" t="s">
        <v>19</v>
      </c>
      <c r="J4297">
        <v>0</v>
      </c>
      <c r="K4297">
        <v>58</v>
      </c>
      <c r="L4297" t="s">
        <v>20</v>
      </c>
      <c r="M4297" t="s">
        <v>29</v>
      </c>
      <c r="N4297" t="s">
        <v>26</v>
      </c>
      <c r="O4297" t="s">
        <v>23</v>
      </c>
      <c r="P4297">
        <v>3.33</v>
      </c>
      <c r="Q4297" s="2" t="b">
        <f>FALSE()</f>
        <v>0</v>
      </c>
      <c r="R4297">
        <v>0</v>
      </c>
    </row>
    <row r="4298" spans="1:18" x14ac:dyDescent="0.25">
      <c r="A4298">
        <v>204297</v>
      </c>
      <c r="B4298">
        <v>53619</v>
      </c>
      <c r="C4298" t="s">
        <v>18</v>
      </c>
      <c r="D4298">
        <v>2501.9499999999998</v>
      </c>
      <c r="E4298">
        <v>1364</v>
      </c>
      <c r="F4298">
        <v>2</v>
      </c>
      <c r="G4298">
        <v>7</v>
      </c>
      <c r="H4298">
        <v>1</v>
      </c>
      <c r="I4298" t="s">
        <v>19</v>
      </c>
      <c r="J4298">
        <v>0</v>
      </c>
      <c r="K4298">
        <v>35</v>
      </c>
      <c r="L4298" t="s">
        <v>20</v>
      </c>
      <c r="M4298" t="s">
        <v>35</v>
      </c>
      <c r="N4298" t="s">
        <v>22</v>
      </c>
      <c r="O4298" t="s">
        <v>23</v>
      </c>
      <c r="P4298">
        <v>6.1</v>
      </c>
      <c r="Q4298" s="2" t="b">
        <f>FALSE()</f>
        <v>0</v>
      </c>
      <c r="R4298">
        <v>1</v>
      </c>
    </row>
    <row r="4299" spans="1:18" x14ac:dyDescent="0.25">
      <c r="A4299">
        <v>204298</v>
      </c>
      <c r="B4299">
        <v>50577</v>
      </c>
      <c r="C4299" t="s">
        <v>18</v>
      </c>
      <c r="D4299">
        <v>1855.83</v>
      </c>
      <c r="E4299">
        <v>1488</v>
      </c>
      <c r="F4299">
        <v>1</v>
      </c>
      <c r="G4299">
        <v>2</v>
      </c>
      <c r="H4299">
        <v>0</v>
      </c>
      <c r="I4299" t="s">
        <v>33</v>
      </c>
      <c r="J4299">
        <v>0</v>
      </c>
      <c r="K4299">
        <v>69</v>
      </c>
      <c r="L4299" t="s">
        <v>20</v>
      </c>
      <c r="M4299" t="s">
        <v>37</v>
      </c>
      <c r="N4299" t="s">
        <v>22</v>
      </c>
      <c r="O4299" t="s">
        <v>36</v>
      </c>
      <c r="P4299">
        <v>9.35</v>
      </c>
      <c r="Q4299" s="2" t="b">
        <f>FALSE()</f>
        <v>0</v>
      </c>
      <c r="R4299">
        <v>0</v>
      </c>
    </row>
    <row r="4300" spans="1:18" x14ac:dyDescent="0.25">
      <c r="A4300">
        <v>204299</v>
      </c>
      <c r="B4300">
        <v>54913</v>
      </c>
      <c r="C4300" t="s">
        <v>18</v>
      </c>
      <c r="D4300">
        <v>258.16000000000003</v>
      </c>
      <c r="E4300">
        <v>628</v>
      </c>
      <c r="F4300">
        <v>0</v>
      </c>
      <c r="G4300">
        <v>7</v>
      </c>
      <c r="H4300">
        <v>0</v>
      </c>
      <c r="I4300" t="s">
        <v>19</v>
      </c>
      <c r="J4300">
        <v>0</v>
      </c>
      <c r="K4300">
        <v>71</v>
      </c>
      <c r="L4300" t="s">
        <v>20</v>
      </c>
      <c r="M4300" t="s">
        <v>25</v>
      </c>
      <c r="N4300" t="s">
        <v>22</v>
      </c>
      <c r="O4300" t="s">
        <v>27</v>
      </c>
      <c r="P4300">
        <v>3.74</v>
      </c>
      <c r="Q4300" s="2" t="b">
        <f>FALSE()</f>
        <v>0</v>
      </c>
      <c r="R4300">
        <v>1</v>
      </c>
    </row>
    <row r="4301" spans="1:18" x14ac:dyDescent="0.25">
      <c r="A4301">
        <v>204300</v>
      </c>
      <c r="B4301">
        <v>51554</v>
      </c>
      <c r="C4301" t="s">
        <v>34</v>
      </c>
      <c r="D4301">
        <v>4456.22</v>
      </c>
      <c r="E4301">
        <v>2973</v>
      </c>
      <c r="F4301">
        <v>2</v>
      </c>
      <c r="G4301">
        <v>3</v>
      </c>
      <c r="H4301">
        <v>0</v>
      </c>
      <c r="I4301" t="s">
        <v>19</v>
      </c>
      <c r="J4301">
        <v>0</v>
      </c>
      <c r="K4301">
        <v>29</v>
      </c>
      <c r="L4301" t="s">
        <v>20</v>
      </c>
      <c r="M4301" t="s">
        <v>21</v>
      </c>
      <c r="N4301" t="s">
        <v>22</v>
      </c>
      <c r="O4301" t="s">
        <v>23</v>
      </c>
      <c r="P4301">
        <v>0.82</v>
      </c>
      <c r="Q4301" s="2" t="b">
        <f>FALSE()</f>
        <v>0</v>
      </c>
      <c r="R4301">
        <v>1</v>
      </c>
    </row>
    <row r="4302" spans="1:18" x14ac:dyDescent="0.25">
      <c r="A4302">
        <v>204301</v>
      </c>
      <c r="B4302">
        <v>50069</v>
      </c>
      <c r="C4302" t="s">
        <v>18</v>
      </c>
      <c r="D4302">
        <v>1285.4000000000001</v>
      </c>
      <c r="E4302">
        <v>2939</v>
      </c>
      <c r="F4302">
        <v>2</v>
      </c>
      <c r="G4302">
        <v>4</v>
      </c>
      <c r="H4302">
        <v>0</v>
      </c>
      <c r="I4302" t="s">
        <v>19</v>
      </c>
      <c r="J4302">
        <v>0</v>
      </c>
      <c r="K4302">
        <v>80</v>
      </c>
      <c r="L4302" t="s">
        <v>20</v>
      </c>
      <c r="M4302" t="s">
        <v>29</v>
      </c>
      <c r="N4302" t="s">
        <v>26</v>
      </c>
      <c r="O4302" t="s">
        <v>27</v>
      </c>
      <c r="P4302">
        <v>3.44</v>
      </c>
      <c r="Q4302" s="2" t="b">
        <f>FALSE()</f>
        <v>0</v>
      </c>
      <c r="R4302">
        <v>0</v>
      </c>
    </row>
    <row r="4303" spans="1:18" x14ac:dyDescent="0.25">
      <c r="A4303">
        <v>204302</v>
      </c>
      <c r="B4303">
        <v>54910</v>
      </c>
      <c r="C4303" t="s">
        <v>18</v>
      </c>
      <c r="D4303">
        <v>545.73</v>
      </c>
      <c r="E4303">
        <v>2468</v>
      </c>
      <c r="F4303">
        <v>0</v>
      </c>
      <c r="G4303">
        <v>4</v>
      </c>
      <c r="H4303">
        <v>0</v>
      </c>
      <c r="I4303" t="s">
        <v>19</v>
      </c>
      <c r="J4303">
        <v>0</v>
      </c>
      <c r="K4303">
        <v>82</v>
      </c>
      <c r="L4303" t="s">
        <v>24</v>
      </c>
      <c r="M4303" t="s">
        <v>37</v>
      </c>
      <c r="N4303" t="s">
        <v>22</v>
      </c>
      <c r="O4303" t="s">
        <v>36</v>
      </c>
      <c r="P4303">
        <v>3</v>
      </c>
      <c r="Q4303" s="2" t="b">
        <f>FALSE()</f>
        <v>0</v>
      </c>
      <c r="R4303">
        <v>0</v>
      </c>
    </row>
    <row r="4304" spans="1:18" x14ac:dyDescent="0.25">
      <c r="A4304">
        <v>204303</v>
      </c>
      <c r="B4304">
        <v>53773</v>
      </c>
      <c r="C4304" t="s">
        <v>18</v>
      </c>
      <c r="D4304">
        <v>2096.59</v>
      </c>
      <c r="E4304">
        <v>1114</v>
      </c>
      <c r="F4304">
        <v>1</v>
      </c>
      <c r="G4304">
        <v>6</v>
      </c>
      <c r="H4304">
        <v>0</v>
      </c>
      <c r="I4304" t="s">
        <v>19</v>
      </c>
      <c r="J4304">
        <v>0</v>
      </c>
      <c r="K4304">
        <v>38</v>
      </c>
      <c r="L4304" t="s">
        <v>20</v>
      </c>
      <c r="M4304" t="s">
        <v>37</v>
      </c>
      <c r="N4304" t="s">
        <v>30</v>
      </c>
      <c r="O4304" t="s">
        <v>27</v>
      </c>
      <c r="P4304">
        <v>5.0599999999999996</v>
      </c>
      <c r="Q4304" s="2" t="b">
        <f>FALSE()</f>
        <v>0</v>
      </c>
      <c r="R4304">
        <v>0</v>
      </c>
    </row>
    <row r="4305" spans="1:18" x14ac:dyDescent="0.25">
      <c r="A4305">
        <v>204304</v>
      </c>
      <c r="B4305">
        <v>53046</v>
      </c>
      <c r="C4305" t="s">
        <v>34</v>
      </c>
      <c r="D4305">
        <v>1362.54</v>
      </c>
      <c r="E4305">
        <v>2807</v>
      </c>
      <c r="F4305">
        <v>0</v>
      </c>
      <c r="G4305">
        <v>3</v>
      </c>
      <c r="H4305">
        <v>0</v>
      </c>
      <c r="I4305" t="s">
        <v>33</v>
      </c>
      <c r="J4305">
        <v>0</v>
      </c>
      <c r="K4305">
        <v>22</v>
      </c>
      <c r="L4305" t="s">
        <v>20</v>
      </c>
      <c r="M4305" t="s">
        <v>21</v>
      </c>
      <c r="N4305" t="s">
        <v>26</v>
      </c>
      <c r="O4305" t="s">
        <v>27</v>
      </c>
      <c r="P4305">
        <v>2.76</v>
      </c>
      <c r="Q4305" s="2" t="b">
        <f>FALSE()</f>
        <v>0</v>
      </c>
      <c r="R4305">
        <v>0</v>
      </c>
    </row>
    <row r="4306" spans="1:18" x14ac:dyDescent="0.25">
      <c r="A4306">
        <v>204305</v>
      </c>
      <c r="B4306">
        <v>54913</v>
      </c>
      <c r="C4306" t="s">
        <v>18</v>
      </c>
      <c r="D4306">
        <v>5429.11</v>
      </c>
      <c r="E4306">
        <v>1700</v>
      </c>
      <c r="F4306">
        <v>0</v>
      </c>
      <c r="G4306">
        <v>1</v>
      </c>
      <c r="H4306">
        <v>0</v>
      </c>
      <c r="I4306" t="s">
        <v>32</v>
      </c>
      <c r="J4306">
        <v>0</v>
      </c>
      <c r="K4306">
        <v>54</v>
      </c>
      <c r="L4306" t="s">
        <v>20</v>
      </c>
      <c r="M4306" t="s">
        <v>21</v>
      </c>
      <c r="N4306" t="s">
        <v>22</v>
      </c>
      <c r="O4306" t="s">
        <v>23</v>
      </c>
      <c r="P4306">
        <v>1.68</v>
      </c>
      <c r="Q4306" s="2" t="b">
        <f>FALSE()</f>
        <v>0</v>
      </c>
      <c r="R4306">
        <v>1</v>
      </c>
    </row>
    <row r="4307" spans="1:18" x14ac:dyDescent="0.25">
      <c r="A4307">
        <v>204306</v>
      </c>
      <c r="B4307">
        <v>50129</v>
      </c>
      <c r="C4307" t="s">
        <v>28</v>
      </c>
      <c r="D4307">
        <v>3906.24</v>
      </c>
      <c r="E4307">
        <v>1238</v>
      </c>
      <c r="F4307">
        <v>2</v>
      </c>
      <c r="G4307">
        <v>9</v>
      </c>
      <c r="H4307">
        <v>0</v>
      </c>
      <c r="I4307" t="s">
        <v>33</v>
      </c>
      <c r="J4307">
        <v>0</v>
      </c>
      <c r="K4307">
        <v>60</v>
      </c>
      <c r="L4307" t="s">
        <v>20</v>
      </c>
      <c r="M4307" t="s">
        <v>31</v>
      </c>
      <c r="N4307" t="s">
        <v>22</v>
      </c>
      <c r="O4307" t="s">
        <v>27</v>
      </c>
      <c r="P4307">
        <v>0.35</v>
      </c>
      <c r="Q4307" s="2" t="b">
        <f>FALSE()</f>
        <v>0</v>
      </c>
      <c r="R4307">
        <v>1</v>
      </c>
    </row>
    <row r="4308" spans="1:18" x14ac:dyDescent="0.25">
      <c r="A4308">
        <v>204307</v>
      </c>
      <c r="B4308">
        <v>50728</v>
      </c>
      <c r="C4308" t="s">
        <v>18</v>
      </c>
      <c r="D4308">
        <v>2769.75</v>
      </c>
      <c r="E4308">
        <v>2321</v>
      </c>
      <c r="F4308">
        <v>0</v>
      </c>
      <c r="G4308">
        <v>4</v>
      </c>
      <c r="H4308">
        <v>0</v>
      </c>
      <c r="I4308" t="s">
        <v>33</v>
      </c>
      <c r="J4308">
        <v>1</v>
      </c>
      <c r="K4308">
        <v>54</v>
      </c>
      <c r="L4308" t="s">
        <v>20</v>
      </c>
      <c r="M4308" t="s">
        <v>31</v>
      </c>
      <c r="N4308" t="s">
        <v>22</v>
      </c>
      <c r="O4308" t="s">
        <v>23</v>
      </c>
      <c r="P4308">
        <v>4.4400000000000004</v>
      </c>
      <c r="Q4308" s="2" t="b">
        <f>FALSE()</f>
        <v>0</v>
      </c>
      <c r="R4308">
        <v>0</v>
      </c>
    </row>
    <row r="4309" spans="1:18" x14ac:dyDescent="0.25">
      <c r="A4309">
        <v>204308</v>
      </c>
      <c r="B4309">
        <v>53269</v>
      </c>
      <c r="C4309" t="s">
        <v>34</v>
      </c>
      <c r="D4309">
        <v>7586.8</v>
      </c>
      <c r="E4309">
        <v>499</v>
      </c>
      <c r="F4309">
        <v>3</v>
      </c>
      <c r="G4309">
        <v>0</v>
      </c>
      <c r="H4309">
        <v>0</v>
      </c>
      <c r="I4309" t="s">
        <v>19</v>
      </c>
      <c r="J4309">
        <v>0</v>
      </c>
      <c r="K4309">
        <v>31</v>
      </c>
      <c r="L4309" t="s">
        <v>24</v>
      </c>
      <c r="M4309" t="s">
        <v>21</v>
      </c>
      <c r="N4309" t="s">
        <v>22</v>
      </c>
      <c r="O4309" t="s">
        <v>36</v>
      </c>
      <c r="P4309">
        <v>6.26</v>
      </c>
      <c r="Q4309" s="2" t="b">
        <f>TRUE()</f>
        <v>1</v>
      </c>
      <c r="R4309">
        <v>1</v>
      </c>
    </row>
    <row r="4310" spans="1:18" x14ac:dyDescent="0.25">
      <c r="A4310">
        <v>204309</v>
      </c>
      <c r="B4310">
        <v>50300</v>
      </c>
      <c r="C4310" t="s">
        <v>18</v>
      </c>
      <c r="D4310">
        <v>3474.83</v>
      </c>
      <c r="E4310">
        <v>1305</v>
      </c>
      <c r="F4310">
        <v>3</v>
      </c>
      <c r="G4310">
        <v>7</v>
      </c>
      <c r="H4310">
        <v>0</v>
      </c>
      <c r="I4310" t="s">
        <v>32</v>
      </c>
      <c r="J4310">
        <v>0</v>
      </c>
      <c r="K4310">
        <v>29</v>
      </c>
      <c r="L4310" t="s">
        <v>24</v>
      </c>
      <c r="M4310" t="s">
        <v>37</v>
      </c>
      <c r="N4310" t="s">
        <v>22</v>
      </c>
      <c r="O4310" t="s">
        <v>23</v>
      </c>
      <c r="P4310">
        <v>1.24</v>
      </c>
      <c r="Q4310" s="2" t="b">
        <f>FALSE()</f>
        <v>0</v>
      </c>
      <c r="R4310">
        <v>1</v>
      </c>
    </row>
    <row r="4311" spans="1:18" x14ac:dyDescent="0.25">
      <c r="A4311">
        <v>204310</v>
      </c>
      <c r="B4311">
        <v>55683</v>
      </c>
      <c r="C4311" t="s">
        <v>18</v>
      </c>
      <c r="D4311">
        <v>6163.45</v>
      </c>
      <c r="E4311">
        <v>2275</v>
      </c>
      <c r="F4311">
        <v>1</v>
      </c>
      <c r="G4311">
        <v>4</v>
      </c>
      <c r="H4311">
        <v>0</v>
      </c>
      <c r="I4311" t="s">
        <v>33</v>
      </c>
      <c r="J4311">
        <v>1</v>
      </c>
      <c r="K4311">
        <v>39</v>
      </c>
      <c r="L4311" t="s">
        <v>24</v>
      </c>
      <c r="M4311" t="s">
        <v>31</v>
      </c>
      <c r="N4311" t="s">
        <v>30</v>
      </c>
      <c r="O4311" t="s">
        <v>36</v>
      </c>
      <c r="P4311">
        <v>0.76</v>
      </c>
      <c r="Q4311" s="2" t="b">
        <f>FALSE()</f>
        <v>0</v>
      </c>
      <c r="R4311">
        <v>1</v>
      </c>
    </row>
    <row r="4312" spans="1:18" x14ac:dyDescent="0.25">
      <c r="A4312">
        <v>204311</v>
      </c>
      <c r="B4312">
        <v>54190</v>
      </c>
      <c r="C4312" t="s">
        <v>28</v>
      </c>
      <c r="D4312">
        <v>556.69000000000005</v>
      </c>
      <c r="E4312">
        <v>540</v>
      </c>
      <c r="F4312">
        <v>0</v>
      </c>
      <c r="G4312">
        <v>7</v>
      </c>
      <c r="H4312">
        <v>0</v>
      </c>
      <c r="I4312" t="s">
        <v>33</v>
      </c>
      <c r="J4312">
        <v>0</v>
      </c>
      <c r="K4312">
        <v>53</v>
      </c>
      <c r="L4312" t="s">
        <v>24</v>
      </c>
      <c r="M4312" t="s">
        <v>35</v>
      </c>
      <c r="N4312" t="s">
        <v>22</v>
      </c>
      <c r="O4312" t="s">
        <v>36</v>
      </c>
      <c r="P4312">
        <v>4.5999999999999996</v>
      </c>
      <c r="Q4312" s="2" t="b">
        <f>FALSE()</f>
        <v>0</v>
      </c>
      <c r="R4312">
        <v>1</v>
      </c>
    </row>
    <row r="4313" spans="1:18" x14ac:dyDescent="0.25">
      <c r="A4313">
        <v>204312</v>
      </c>
      <c r="B4313">
        <v>50546</v>
      </c>
      <c r="C4313" t="s">
        <v>34</v>
      </c>
      <c r="D4313">
        <v>947.84</v>
      </c>
      <c r="E4313">
        <v>2410</v>
      </c>
      <c r="F4313">
        <v>1</v>
      </c>
      <c r="G4313">
        <v>6</v>
      </c>
      <c r="H4313">
        <v>0</v>
      </c>
      <c r="I4313" t="s">
        <v>33</v>
      </c>
      <c r="J4313">
        <v>0</v>
      </c>
      <c r="K4313">
        <v>24</v>
      </c>
      <c r="L4313" t="s">
        <v>24</v>
      </c>
      <c r="M4313" t="s">
        <v>25</v>
      </c>
      <c r="N4313" t="s">
        <v>30</v>
      </c>
      <c r="O4313" t="s">
        <v>23</v>
      </c>
      <c r="P4313">
        <v>0.57999999999999996</v>
      </c>
      <c r="Q4313" s="2" t="b">
        <f>FALSE()</f>
        <v>0</v>
      </c>
      <c r="R4313">
        <v>0</v>
      </c>
    </row>
    <row r="4314" spans="1:18" x14ac:dyDescent="0.25">
      <c r="A4314">
        <v>204313</v>
      </c>
      <c r="B4314">
        <v>52598</v>
      </c>
      <c r="C4314" t="s">
        <v>18</v>
      </c>
      <c r="D4314">
        <v>1935.65</v>
      </c>
      <c r="E4314">
        <v>1082</v>
      </c>
      <c r="F4314">
        <v>1</v>
      </c>
      <c r="G4314">
        <v>2</v>
      </c>
      <c r="H4314">
        <v>0</v>
      </c>
      <c r="I4314" t="s">
        <v>32</v>
      </c>
      <c r="J4314">
        <v>0</v>
      </c>
      <c r="K4314">
        <v>41</v>
      </c>
      <c r="L4314" t="s">
        <v>20</v>
      </c>
      <c r="M4314" t="s">
        <v>21</v>
      </c>
      <c r="N4314" t="s">
        <v>26</v>
      </c>
      <c r="O4314" t="s">
        <v>36</v>
      </c>
      <c r="P4314">
        <v>4.12</v>
      </c>
      <c r="Q4314" s="2" t="b">
        <f>FALSE()</f>
        <v>0</v>
      </c>
      <c r="R4314">
        <v>0</v>
      </c>
    </row>
    <row r="4315" spans="1:18" x14ac:dyDescent="0.25">
      <c r="A4315">
        <v>204314</v>
      </c>
      <c r="B4315">
        <v>55074</v>
      </c>
      <c r="C4315" t="s">
        <v>18</v>
      </c>
      <c r="D4315">
        <v>3744.64</v>
      </c>
      <c r="E4315">
        <v>2229</v>
      </c>
      <c r="F4315">
        <v>0</v>
      </c>
      <c r="G4315">
        <v>2</v>
      </c>
      <c r="H4315">
        <v>0</v>
      </c>
      <c r="I4315" t="s">
        <v>19</v>
      </c>
      <c r="J4315">
        <v>0</v>
      </c>
      <c r="K4315">
        <v>78</v>
      </c>
      <c r="L4315" t="s">
        <v>24</v>
      </c>
      <c r="M4315" t="s">
        <v>25</v>
      </c>
      <c r="N4315" t="s">
        <v>22</v>
      </c>
      <c r="O4315" t="s">
        <v>36</v>
      </c>
      <c r="P4315">
        <v>0.3</v>
      </c>
      <c r="Q4315" s="2" t="b">
        <f>FALSE()</f>
        <v>0</v>
      </c>
      <c r="R4315">
        <v>1</v>
      </c>
    </row>
    <row r="4316" spans="1:18" x14ac:dyDescent="0.25">
      <c r="A4316">
        <v>204315</v>
      </c>
      <c r="B4316">
        <v>55212</v>
      </c>
      <c r="C4316" t="s">
        <v>34</v>
      </c>
      <c r="D4316">
        <v>2422.39</v>
      </c>
      <c r="E4316">
        <v>1328</v>
      </c>
      <c r="F4316">
        <v>0</v>
      </c>
      <c r="G4316">
        <v>2</v>
      </c>
      <c r="H4316">
        <v>0</v>
      </c>
      <c r="I4316" t="s">
        <v>19</v>
      </c>
      <c r="J4316">
        <v>1</v>
      </c>
      <c r="K4316">
        <v>79</v>
      </c>
      <c r="L4316" t="s">
        <v>24</v>
      </c>
      <c r="M4316" t="s">
        <v>21</v>
      </c>
      <c r="N4316" t="s">
        <v>26</v>
      </c>
      <c r="O4316" t="s">
        <v>23</v>
      </c>
      <c r="P4316">
        <v>1.77</v>
      </c>
      <c r="Q4316" s="2" t="b">
        <f>FALSE()</f>
        <v>0</v>
      </c>
      <c r="R4316">
        <v>0</v>
      </c>
    </row>
    <row r="4317" spans="1:18" x14ac:dyDescent="0.25">
      <c r="A4317">
        <v>204316</v>
      </c>
      <c r="B4317">
        <v>54671</v>
      </c>
      <c r="C4317" t="s">
        <v>18</v>
      </c>
      <c r="D4317">
        <v>1330.56</v>
      </c>
      <c r="E4317">
        <v>2660</v>
      </c>
      <c r="F4317">
        <v>2</v>
      </c>
      <c r="G4317">
        <v>5</v>
      </c>
      <c r="H4317">
        <v>0</v>
      </c>
      <c r="I4317" t="s">
        <v>19</v>
      </c>
      <c r="J4317">
        <v>0</v>
      </c>
      <c r="K4317">
        <v>38</v>
      </c>
      <c r="L4317" t="s">
        <v>24</v>
      </c>
      <c r="M4317" t="s">
        <v>29</v>
      </c>
      <c r="N4317" t="s">
        <v>22</v>
      </c>
      <c r="O4317" t="s">
        <v>27</v>
      </c>
      <c r="P4317">
        <v>1.79</v>
      </c>
      <c r="Q4317" s="2" t="b">
        <f>FALSE()</f>
        <v>0</v>
      </c>
      <c r="R4317">
        <v>0</v>
      </c>
    </row>
    <row r="4318" spans="1:18" x14ac:dyDescent="0.25">
      <c r="A4318">
        <v>204317</v>
      </c>
      <c r="B4318">
        <v>55564</v>
      </c>
      <c r="C4318" t="s">
        <v>34</v>
      </c>
      <c r="D4318">
        <v>4035.5</v>
      </c>
      <c r="E4318">
        <v>2166</v>
      </c>
      <c r="F4318">
        <v>0</v>
      </c>
      <c r="G4318">
        <v>2</v>
      </c>
      <c r="H4318">
        <v>1</v>
      </c>
      <c r="I4318" t="s">
        <v>19</v>
      </c>
      <c r="J4318">
        <v>0</v>
      </c>
      <c r="K4318">
        <v>37</v>
      </c>
      <c r="L4318" t="s">
        <v>24</v>
      </c>
      <c r="M4318" t="s">
        <v>37</v>
      </c>
      <c r="N4318" t="s">
        <v>22</v>
      </c>
      <c r="O4318" t="s">
        <v>36</v>
      </c>
      <c r="P4318">
        <v>7.37</v>
      </c>
      <c r="Q4318" s="2" t="b">
        <f>FALSE()</f>
        <v>0</v>
      </c>
      <c r="R4318">
        <v>1</v>
      </c>
    </row>
    <row r="4319" spans="1:18" x14ac:dyDescent="0.25">
      <c r="A4319">
        <v>204318</v>
      </c>
      <c r="B4319">
        <v>53984</v>
      </c>
      <c r="C4319" t="s">
        <v>34</v>
      </c>
      <c r="D4319">
        <v>4541.3999999999996</v>
      </c>
      <c r="E4319">
        <v>2947</v>
      </c>
      <c r="F4319">
        <v>2</v>
      </c>
      <c r="G4319">
        <v>6</v>
      </c>
      <c r="H4319">
        <v>0</v>
      </c>
      <c r="I4319" t="s">
        <v>33</v>
      </c>
      <c r="J4319">
        <v>0</v>
      </c>
      <c r="K4319">
        <v>54</v>
      </c>
      <c r="L4319" t="s">
        <v>24</v>
      </c>
      <c r="M4319" t="s">
        <v>35</v>
      </c>
      <c r="N4319" t="s">
        <v>22</v>
      </c>
      <c r="O4319" t="s">
        <v>36</v>
      </c>
      <c r="P4319">
        <v>5.33</v>
      </c>
      <c r="Q4319" s="2" t="b">
        <f>FALSE()</f>
        <v>0</v>
      </c>
      <c r="R4319">
        <v>1</v>
      </c>
    </row>
    <row r="4320" spans="1:18" x14ac:dyDescent="0.25">
      <c r="A4320">
        <v>204319</v>
      </c>
      <c r="B4320">
        <v>52274</v>
      </c>
      <c r="C4320" t="s">
        <v>28</v>
      </c>
      <c r="D4320">
        <v>1981.69</v>
      </c>
      <c r="E4320">
        <v>233</v>
      </c>
      <c r="F4320">
        <v>0</v>
      </c>
      <c r="G4320">
        <v>2</v>
      </c>
      <c r="H4320">
        <v>0</v>
      </c>
      <c r="I4320" t="s">
        <v>19</v>
      </c>
      <c r="J4320">
        <v>0</v>
      </c>
      <c r="K4320">
        <v>35</v>
      </c>
      <c r="L4320" t="s">
        <v>24</v>
      </c>
      <c r="M4320" t="s">
        <v>25</v>
      </c>
      <c r="N4320" t="s">
        <v>30</v>
      </c>
      <c r="O4320" t="s">
        <v>23</v>
      </c>
      <c r="P4320">
        <v>0.17</v>
      </c>
      <c r="Q4320" s="2" t="b">
        <f>FALSE()</f>
        <v>0</v>
      </c>
      <c r="R4320">
        <v>0</v>
      </c>
    </row>
    <row r="4321" spans="1:18" x14ac:dyDescent="0.25">
      <c r="A4321">
        <v>204320</v>
      </c>
      <c r="B4321">
        <v>51149</v>
      </c>
      <c r="C4321" t="s">
        <v>34</v>
      </c>
      <c r="D4321">
        <v>2755.46</v>
      </c>
      <c r="E4321">
        <v>1295</v>
      </c>
      <c r="F4321">
        <v>0</v>
      </c>
      <c r="G4321">
        <v>4</v>
      </c>
      <c r="H4321">
        <v>1</v>
      </c>
      <c r="I4321" t="s">
        <v>33</v>
      </c>
      <c r="J4321">
        <v>0</v>
      </c>
      <c r="K4321">
        <v>84</v>
      </c>
      <c r="L4321" t="s">
        <v>24</v>
      </c>
      <c r="M4321" t="s">
        <v>31</v>
      </c>
      <c r="N4321" t="s">
        <v>22</v>
      </c>
      <c r="O4321" t="s">
        <v>36</v>
      </c>
      <c r="P4321">
        <v>2.19</v>
      </c>
      <c r="Q4321" s="2" t="b">
        <f>FALSE()</f>
        <v>0</v>
      </c>
      <c r="R4321">
        <v>0</v>
      </c>
    </row>
    <row r="4322" spans="1:18" x14ac:dyDescent="0.25">
      <c r="A4322">
        <v>204321</v>
      </c>
      <c r="B4322">
        <v>50364</v>
      </c>
      <c r="C4322" t="s">
        <v>18</v>
      </c>
      <c r="D4322">
        <v>3724.89</v>
      </c>
      <c r="E4322">
        <v>2379</v>
      </c>
      <c r="F4322">
        <v>0</v>
      </c>
      <c r="G4322">
        <v>5</v>
      </c>
      <c r="H4322">
        <v>1</v>
      </c>
      <c r="I4322" t="s">
        <v>19</v>
      </c>
      <c r="J4322">
        <v>0</v>
      </c>
      <c r="K4322">
        <v>63</v>
      </c>
      <c r="L4322" t="s">
        <v>20</v>
      </c>
      <c r="M4322" t="s">
        <v>35</v>
      </c>
      <c r="N4322" t="s">
        <v>26</v>
      </c>
      <c r="O4322" t="s">
        <v>36</v>
      </c>
      <c r="P4322">
        <v>2.04</v>
      </c>
      <c r="Q4322" s="2" t="b">
        <f>FALSE()</f>
        <v>0</v>
      </c>
      <c r="R4322">
        <v>1</v>
      </c>
    </row>
    <row r="4323" spans="1:18" x14ac:dyDescent="0.25">
      <c r="A4323">
        <v>204322</v>
      </c>
      <c r="B4323">
        <v>53128</v>
      </c>
      <c r="C4323" t="s">
        <v>34</v>
      </c>
      <c r="D4323">
        <v>1548.47</v>
      </c>
      <c r="E4323">
        <v>1464</v>
      </c>
      <c r="F4323">
        <v>1</v>
      </c>
      <c r="G4323">
        <v>5</v>
      </c>
      <c r="H4323">
        <v>1</v>
      </c>
      <c r="I4323" t="s">
        <v>19</v>
      </c>
      <c r="J4323">
        <v>0</v>
      </c>
      <c r="K4323">
        <v>49</v>
      </c>
      <c r="L4323" t="s">
        <v>24</v>
      </c>
      <c r="M4323" t="s">
        <v>29</v>
      </c>
      <c r="N4323" t="s">
        <v>30</v>
      </c>
      <c r="O4323" t="s">
        <v>36</v>
      </c>
      <c r="P4323">
        <v>2.1</v>
      </c>
      <c r="Q4323" s="2" t="b">
        <f>FALSE()</f>
        <v>0</v>
      </c>
      <c r="R4323">
        <v>0</v>
      </c>
    </row>
    <row r="4324" spans="1:18" x14ac:dyDescent="0.25">
      <c r="A4324">
        <v>204323</v>
      </c>
      <c r="B4324">
        <v>50995</v>
      </c>
      <c r="C4324" t="s">
        <v>18</v>
      </c>
      <c r="D4324">
        <v>3374.39</v>
      </c>
      <c r="E4324">
        <v>1508</v>
      </c>
      <c r="F4324">
        <v>0</v>
      </c>
      <c r="G4324">
        <v>7</v>
      </c>
      <c r="H4324">
        <v>0</v>
      </c>
      <c r="I4324" t="s">
        <v>33</v>
      </c>
      <c r="J4324">
        <v>0</v>
      </c>
      <c r="K4324">
        <v>34</v>
      </c>
      <c r="L4324" t="s">
        <v>20</v>
      </c>
      <c r="M4324" t="s">
        <v>21</v>
      </c>
      <c r="N4324" t="s">
        <v>26</v>
      </c>
      <c r="O4324" t="s">
        <v>27</v>
      </c>
      <c r="P4324">
        <v>0.85</v>
      </c>
      <c r="Q4324" s="2" t="b">
        <f>FALSE()</f>
        <v>0</v>
      </c>
      <c r="R4324">
        <v>1</v>
      </c>
    </row>
    <row r="4325" spans="1:18" x14ac:dyDescent="0.25">
      <c r="A4325">
        <v>204324</v>
      </c>
      <c r="B4325">
        <v>51069</v>
      </c>
      <c r="C4325" t="s">
        <v>18</v>
      </c>
      <c r="D4325">
        <v>1412.19</v>
      </c>
      <c r="E4325">
        <v>2622</v>
      </c>
      <c r="F4325">
        <v>2</v>
      </c>
      <c r="G4325">
        <v>1</v>
      </c>
      <c r="H4325">
        <v>0</v>
      </c>
      <c r="I4325" t="s">
        <v>33</v>
      </c>
      <c r="J4325">
        <v>0</v>
      </c>
      <c r="K4325">
        <v>84</v>
      </c>
      <c r="L4325" t="s">
        <v>20</v>
      </c>
      <c r="M4325" t="s">
        <v>21</v>
      </c>
      <c r="N4325" t="s">
        <v>22</v>
      </c>
      <c r="O4325" t="s">
        <v>27</v>
      </c>
      <c r="P4325">
        <v>3.52</v>
      </c>
      <c r="Q4325" s="2" t="b">
        <f>FALSE()</f>
        <v>0</v>
      </c>
      <c r="R4325">
        <v>0</v>
      </c>
    </row>
    <row r="4326" spans="1:18" x14ac:dyDescent="0.25">
      <c r="A4326">
        <v>204325</v>
      </c>
      <c r="B4326">
        <v>54211</v>
      </c>
      <c r="C4326" t="s">
        <v>18</v>
      </c>
      <c r="D4326">
        <v>3193.93</v>
      </c>
      <c r="E4326">
        <v>2113</v>
      </c>
      <c r="F4326">
        <v>0</v>
      </c>
      <c r="G4326">
        <v>5</v>
      </c>
      <c r="H4326">
        <v>1</v>
      </c>
      <c r="I4326" t="s">
        <v>33</v>
      </c>
      <c r="J4326">
        <v>0</v>
      </c>
      <c r="K4326">
        <v>30</v>
      </c>
      <c r="L4326" t="s">
        <v>24</v>
      </c>
      <c r="M4326" t="s">
        <v>37</v>
      </c>
      <c r="N4326" t="s">
        <v>30</v>
      </c>
      <c r="O4326" t="s">
        <v>27</v>
      </c>
      <c r="P4326">
        <v>3.43</v>
      </c>
      <c r="Q4326" s="2" t="b">
        <f>FALSE()</f>
        <v>0</v>
      </c>
      <c r="R4326">
        <v>0</v>
      </c>
    </row>
    <row r="4327" spans="1:18" x14ac:dyDescent="0.25">
      <c r="A4327">
        <v>204326</v>
      </c>
      <c r="B4327">
        <v>52704</v>
      </c>
      <c r="C4327" t="s">
        <v>28</v>
      </c>
      <c r="D4327">
        <v>1297.19</v>
      </c>
      <c r="E4327">
        <v>2354</v>
      </c>
      <c r="F4327">
        <v>1</v>
      </c>
      <c r="G4327">
        <v>5</v>
      </c>
      <c r="H4327">
        <v>1</v>
      </c>
      <c r="I4327" t="s">
        <v>32</v>
      </c>
      <c r="J4327">
        <v>0</v>
      </c>
      <c r="K4327">
        <v>74</v>
      </c>
      <c r="L4327" t="s">
        <v>24</v>
      </c>
      <c r="M4327" t="s">
        <v>21</v>
      </c>
      <c r="N4327" t="s">
        <v>22</v>
      </c>
      <c r="O4327" t="s">
        <v>36</v>
      </c>
      <c r="P4327">
        <v>18.27</v>
      </c>
      <c r="Q4327" s="2" t="b">
        <f>FALSE()</f>
        <v>0</v>
      </c>
      <c r="R4327">
        <v>0</v>
      </c>
    </row>
    <row r="4328" spans="1:18" x14ac:dyDescent="0.25">
      <c r="A4328">
        <v>204327</v>
      </c>
      <c r="B4328">
        <v>53216</v>
      </c>
      <c r="C4328" t="s">
        <v>34</v>
      </c>
      <c r="D4328">
        <v>1211.55</v>
      </c>
      <c r="E4328">
        <v>1760</v>
      </c>
      <c r="F4328">
        <v>2</v>
      </c>
      <c r="G4328">
        <v>6</v>
      </c>
      <c r="H4328">
        <v>0</v>
      </c>
      <c r="I4328" t="s">
        <v>32</v>
      </c>
      <c r="J4328">
        <v>0</v>
      </c>
      <c r="K4328">
        <v>73</v>
      </c>
      <c r="L4328" t="s">
        <v>20</v>
      </c>
      <c r="M4328" t="s">
        <v>25</v>
      </c>
      <c r="N4328" t="s">
        <v>22</v>
      </c>
      <c r="O4328" t="s">
        <v>27</v>
      </c>
      <c r="P4328">
        <v>0.11</v>
      </c>
      <c r="Q4328" s="2" t="b">
        <f>FALSE()</f>
        <v>0</v>
      </c>
      <c r="R4328">
        <v>0</v>
      </c>
    </row>
    <row r="4329" spans="1:18" x14ac:dyDescent="0.25">
      <c r="A4329">
        <v>204328</v>
      </c>
      <c r="B4329">
        <v>52371</v>
      </c>
      <c r="C4329" t="s">
        <v>34</v>
      </c>
      <c r="D4329">
        <v>1737.48</v>
      </c>
      <c r="E4329">
        <v>1232</v>
      </c>
      <c r="F4329">
        <v>1</v>
      </c>
      <c r="G4329">
        <v>3</v>
      </c>
      <c r="H4329">
        <v>1</v>
      </c>
      <c r="I4329" t="s">
        <v>19</v>
      </c>
      <c r="J4329">
        <v>0</v>
      </c>
      <c r="K4329">
        <v>27</v>
      </c>
      <c r="L4329" t="s">
        <v>24</v>
      </c>
      <c r="M4329" t="s">
        <v>25</v>
      </c>
      <c r="N4329" t="s">
        <v>30</v>
      </c>
      <c r="O4329" t="s">
        <v>36</v>
      </c>
      <c r="P4329">
        <v>7.38</v>
      </c>
      <c r="Q4329" s="2" t="b">
        <f>FALSE()</f>
        <v>0</v>
      </c>
      <c r="R4329">
        <v>0</v>
      </c>
    </row>
    <row r="4330" spans="1:18" x14ac:dyDescent="0.25">
      <c r="A4330">
        <v>204329</v>
      </c>
      <c r="B4330">
        <v>51137</v>
      </c>
      <c r="C4330" t="s">
        <v>28</v>
      </c>
      <c r="D4330">
        <v>2165.04</v>
      </c>
      <c r="E4330">
        <v>823</v>
      </c>
      <c r="F4330">
        <v>1</v>
      </c>
      <c r="G4330">
        <v>1</v>
      </c>
      <c r="H4330">
        <v>1</v>
      </c>
      <c r="I4330" t="s">
        <v>33</v>
      </c>
      <c r="J4330">
        <v>0</v>
      </c>
      <c r="K4330">
        <v>28</v>
      </c>
      <c r="L4330" t="s">
        <v>24</v>
      </c>
      <c r="M4330" t="s">
        <v>35</v>
      </c>
      <c r="N4330" t="s">
        <v>26</v>
      </c>
      <c r="O4330" t="s">
        <v>36</v>
      </c>
      <c r="P4330">
        <v>1.07</v>
      </c>
      <c r="Q4330" s="2" t="b">
        <f>FALSE()</f>
        <v>0</v>
      </c>
      <c r="R4330">
        <v>0</v>
      </c>
    </row>
    <row r="4331" spans="1:18" x14ac:dyDescent="0.25">
      <c r="A4331">
        <v>204330</v>
      </c>
      <c r="B4331">
        <v>50462</v>
      </c>
      <c r="C4331" t="s">
        <v>28</v>
      </c>
      <c r="D4331">
        <v>1780.47</v>
      </c>
      <c r="E4331">
        <v>2588</v>
      </c>
      <c r="F4331">
        <v>2</v>
      </c>
      <c r="G4331">
        <v>9</v>
      </c>
      <c r="H4331">
        <v>0</v>
      </c>
      <c r="I4331" t="s">
        <v>19</v>
      </c>
      <c r="J4331">
        <v>0</v>
      </c>
      <c r="K4331">
        <v>63</v>
      </c>
      <c r="L4331" t="s">
        <v>24</v>
      </c>
      <c r="M4331" t="s">
        <v>37</v>
      </c>
      <c r="N4331" t="s">
        <v>26</v>
      </c>
      <c r="O4331" t="s">
        <v>36</v>
      </c>
      <c r="P4331">
        <v>0.14000000000000001</v>
      </c>
      <c r="Q4331" s="2" t="b">
        <f>FALSE()</f>
        <v>0</v>
      </c>
      <c r="R4331">
        <v>1</v>
      </c>
    </row>
    <row r="4332" spans="1:18" x14ac:dyDescent="0.25">
      <c r="A4332">
        <v>204331</v>
      </c>
      <c r="B4332">
        <v>54834</v>
      </c>
      <c r="C4332" t="s">
        <v>28</v>
      </c>
      <c r="D4332">
        <v>3917.56</v>
      </c>
      <c r="E4332">
        <v>724</v>
      </c>
      <c r="F4332">
        <v>1</v>
      </c>
      <c r="G4332">
        <v>2</v>
      </c>
      <c r="H4332">
        <v>1</v>
      </c>
      <c r="I4332" t="s">
        <v>33</v>
      </c>
      <c r="J4332">
        <v>0</v>
      </c>
      <c r="K4332">
        <v>72</v>
      </c>
      <c r="L4332" t="s">
        <v>20</v>
      </c>
      <c r="M4332" t="s">
        <v>31</v>
      </c>
      <c r="N4332" t="s">
        <v>22</v>
      </c>
      <c r="O4332" t="s">
        <v>27</v>
      </c>
      <c r="P4332">
        <v>2.4</v>
      </c>
      <c r="Q4332" s="2" t="b">
        <f>FALSE()</f>
        <v>0</v>
      </c>
      <c r="R4332">
        <v>1</v>
      </c>
    </row>
    <row r="4333" spans="1:18" x14ac:dyDescent="0.25">
      <c r="A4333">
        <v>204332</v>
      </c>
      <c r="B4333">
        <v>55292</v>
      </c>
      <c r="C4333" t="s">
        <v>18</v>
      </c>
      <c r="D4333">
        <v>1811.61</v>
      </c>
      <c r="E4333">
        <v>2014</v>
      </c>
      <c r="F4333">
        <v>5</v>
      </c>
      <c r="G4333">
        <v>5</v>
      </c>
      <c r="H4333">
        <v>0</v>
      </c>
      <c r="I4333" t="s">
        <v>33</v>
      </c>
      <c r="J4333">
        <v>0</v>
      </c>
      <c r="K4333">
        <v>18</v>
      </c>
      <c r="L4333" t="s">
        <v>20</v>
      </c>
      <c r="M4333" t="s">
        <v>35</v>
      </c>
      <c r="N4333" t="s">
        <v>22</v>
      </c>
      <c r="O4333" t="s">
        <v>36</v>
      </c>
      <c r="P4333">
        <v>1.88</v>
      </c>
      <c r="Q4333" s="2" t="b">
        <f>FALSE()</f>
        <v>0</v>
      </c>
      <c r="R4333">
        <v>1</v>
      </c>
    </row>
    <row r="4334" spans="1:18" x14ac:dyDescent="0.25">
      <c r="A4334">
        <v>204333</v>
      </c>
      <c r="B4334">
        <v>52397</v>
      </c>
      <c r="C4334" t="s">
        <v>34</v>
      </c>
      <c r="D4334">
        <v>613.42999999999995</v>
      </c>
      <c r="E4334">
        <v>2192</v>
      </c>
      <c r="F4334">
        <v>0</v>
      </c>
      <c r="G4334">
        <v>6</v>
      </c>
      <c r="H4334">
        <v>0</v>
      </c>
      <c r="I4334" t="s">
        <v>32</v>
      </c>
      <c r="J4334">
        <v>0</v>
      </c>
      <c r="K4334">
        <v>43</v>
      </c>
      <c r="L4334" t="s">
        <v>20</v>
      </c>
      <c r="M4334" t="s">
        <v>35</v>
      </c>
      <c r="N4334" t="s">
        <v>22</v>
      </c>
      <c r="O4334" t="s">
        <v>36</v>
      </c>
      <c r="P4334">
        <v>6.32</v>
      </c>
      <c r="Q4334" s="2" t="b">
        <f>FALSE()</f>
        <v>0</v>
      </c>
      <c r="R4334">
        <v>0</v>
      </c>
    </row>
    <row r="4335" spans="1:18" x14ac:dyDescent="0.25">
      <c r="A4335">
        <v>204334</v>
      </c>
      <c r="B4335">
        <v>53190</v>
      </c>
      <c r="C4335" t="s">
        <v>34</v>
      </c>
      <c r="D4335">
        <v>3779.74</v>
      </c>
      <c r="E4335">
        <v>1884</v>
      </c>
      <c r="F4335">
        <v>1</v>
      </c>
      <c r="G4335">
        <v>6</v>
      </c>
      <c r="H4335">
        <v>1</v>
      </c>
      <c r="I4335" t="s">
        <v>33</v>
      </c>
      <c r="J4335">
        <v>0</v>
      </c>
      <c r="K4335">
        <v>18</v>
      </c>
      <c r="L4335" t="s">
        <v>20</v>
      </c>
      <c r="M4335" t="s">
        <v>37</v>
      </c>
      <c r="N4335" t="s">
        <v>30</v>
      </c>
      <c r="O4335" t="s">
        <v>27</v>
      </c>
      <c r="P4335">
        <v>19.100000000000001</v>
      </c>
      <c r="Q4335" s="2" t="b">
        <f>FALSE()</f>
        <v>0</v>
      </c>
      <c r="R4335">
        <v>1</v>
      </c>
    </row>
    <row r="4336" spans="1:18" x14ac:dyDescent="0.25">
      <c r="A4336">
        <v>204335</v>
      </c>
      <c r="B4336">
        <v>54226</v>
      </c>
      <c r="C4336" t="s">
        <v>18</v>
      </c>
      <c r="D4336">
        <v>3492.79</v>
      </c>
      <c r="E4336">
        <v>1936</v>
      </c>
      <c r="F4336">
        <v>1</v>
      </c>
      <c r="G4336">
        <v>2</v>
      </c>
      <c r="H4336">
        <v>1</v>
      </c>
      <c r="I4336" t="s">
        <v>32</v>
      </c>
      <c r="J4336">
        <v>0</v>
      </c>
      <c r="K4336">
        <v>82</v>
      </c>
      <c r="L4336" t="s">
        <v>24</v>
      </c>
      <c r="M4336" t="s">
        <v>31</v>
      </c>
      <c r="N4336" t="s">
        <v>30</v>
      </c>
      <c r="O4336" t="s">
        <v>23</v>
      </c>
      <c r="P4336">
        <v>7.45</v>
      </c>
      <c r="Q4336" s="2" t="b">
        <f>FALSE()</f>
        <v>0</v>
      </c>
      <c r="R4336">
        <v>0</v>
      </c>
    </row>
    <row r="4337" spans="1:18" x14ac:dyDescent="0.25">
      <c r="A4337">
        <v>204336</v>
      </c>
      <c r="B4337">
        <v>51235</v>
      </c>
      <c r="C4337" t="s">
        <v>34</v>
      </c>
      <c r="D4337">
        <v>1053.1500000000001</v>
      </c>
      <c r="E4337">
        <v>1172</v>
      </c>
      <c r="F4337">
        <v>3</v>
      </c>
      <c r="G4337">
        <v>4</v>
      </c>
      <c r="H4337">
        <v>0</v>
      </c>
      <c r="I4337" t="s">
        <v>19</v>
      </c>
      <c r="J4337">
        <v>0</v>
      </c>
      <c r="K4337">
        <v>33</v>
      </c>
      <c r="L4337" t="s">
        <v>20</v>
      </c>
      <c r="M4337" t="s">
        <v>25</v>
      </c>
      <c r="N4337" t="s">
        <v>26</v>
      </c>
      <c r="O4337" t="s">
        <v>27</v>
      </c>
      <c r="P4337">
        <v>0.27</v>
      </c>
      <c r="Q4337" s="2" t="b">
        <f>FALSE()</f>
        <v>0</v>
      </c>
      <c r="R4337">
        <v>1</v>
      </c>
    </row>
    <row r="4338" spans="1:18" x14ac:dyDescent="0.25">
      <c r="A4338">
        <v>204337</v>
      </c>
      <c r="B4338">
        <v>52196</v>
      </c>
      <c r="C4338" t="s">
        <v>18</v>
      </c>
      <c r="D4338">
        <v>778.33</v>
      </c>
      <c r="E4338">
        <v>2428</v>
      </c>
      <c r="F4338">
        <v>1</v>
      </c>
      <c r="G4338">
        <v>1</v>
      </c>
      <c r="H4338">
        <v>0</v>
      </c>
      <c r="I4338" t="s">
        <v>19</v>
      </c>
      <c r="J4338">
        <v>0</v>
      </c>
      <c r="K4338">
        <v>47</v>
      </c>
      <c r="L4338" t="s">
        <v>20</v>
      </c>
      <c r="M4338" t="s">
        <v>35</v>
      </c>
      <c r="N4338" t="s">
        <v>22</v>
      </c>
      <c r="O4338" t="s">
        <v>27</v>
      </c>
      <c r="P4338">
        <v>3.98</v>
      </c>
      <c r="Q4338" s="2" t="b">
        <f>FALSE()</f>
        <v>0</v>
      </c>
      <c r="R4338">
        <v>0</v>
      </c>
    </row>
    <row r="4339" spans="1:18" x14ac:dyDescent="0.25">
      <c r="A4339">
        <v>204338</v>
      </c>
      <c r="B4339">
        <v>54237</v>
      </c>
      <c r="C4339" t="s">
        <v>18</v>
      </c>
      <c r="D4339">
        <v>1326.43</v>
      </c>
      <c r="E4339">
        <v>2203</v>
      </c>
      <c r="F4339">
        <v>2</v>
      </c>
      <c r="G4339">
        <v>3</v>
      </c>
      <c r="H4339">
        <v>0</v>
      </c>
      <c r="I4339" t="s">
        <v>19</v>
      </c>
      <c r="J4339">
        <v>0</v>
      </c>
      <c r="K4339">
        <v>32</v>
      </c>
      <c r="L4339" t="s">
        <v>24</v>
      </c>
      <c r="M4339" t="s">
        <v>25</v>
      </c>
      <c r="N4339" t="s">
        <v>30</v>
      </c>
      <c r="O4339" t="s">
        <v>27</v>
      </c>
      <c r="P4339">
        <v>8.1999999999999993</v>
      </c>
      <c r="Q4339" s="2" t="b">
        <f>FALSE()</f>
        <v>0</v>
      </c>
      <c r="R4339">
        <v>0</v>
      </c>
    </row>
    <row r="4340" spans="1:18" x14ac:dyDescent="0.25">
      <c r="A4340">
        <v>204339</v>
      </c>
      <c r="B4340">
        <v>53325</v>
      </c>
      <c r="C4340" t="s">
        <v>34</v>
      </c>
      <c r="D4340">
        <v>1283.08</v>
      </c>
      <c r="E4340">
        <v>2509</v>
      </c>
      <c r="F4340">
        <v>1</v>
      </c>
      <c r="G4340">
        <v>5</v>
      </c>
      <c r="H4340">
        <v>0</v>
      </c>
      <c r="I4340" t="s">
        <v>33</v>
      </c>
      <c r="J4340">
        <v>1</v>
      </c>
      <c r="K4340">
        <v>45</v>
      </c>
      <c r="L4340" t="s">
        <v>24</v>
      </c>
      <c r="M4340" t="s">
        <v>25</v>
      </c>
      <c r="N4340" t="s">
        <v>22</v>
      </c>
      <c r="O4340" t="s">
        <v>27</v>
      </c>
      <c r="P4340">
        <v>2</v>
      </c>
      <c r="Q4340" s="2" t="b">
        <f>FALSE()</f>
        <v>0</v>
      </c>
      <c r="R4340">
        <v>0</v>
      </c>
    </row>
    <row r="4341" spans="1:18" x14ac:dyDescent="0.25">
      <c r="A4341">
        <v>204340</v>
      </c>
      <c r="B4341">
        <v>52325</v>
      </c>
      <c r="C4341" t="s">
        <v>18</v>
      </c>
      <c r="D4341">
        <v>2200.23</v>
      </c>
      <c r="E4341">
        <v>2745</v>
      </c>
      <c r="F4341">
        <v>0</v>
      </c>
      <c r="G4341">
        <v>4</v>
      </c>
      <c r="H4341">
        <v>0</v>
      </c>
      <c r="I4341" t="s">
        <v>33</v>
      </c>
      <c r="J4341">
        <v>0</v>
      </c>
      <c r="K4341">
        <v>83</v>
      </c>
      <c r="L4341" t="s">
        <v>24</v>
      </c>
      <c r="M4341" t="s">
        <v>25</v>
      </c>
      <c r="N4341" t="s">
        <v>30</v>
      </c>
      <c r="O4341" t="s">
        <v>27</v>
      </c>
      <c r="P4341">
        <v>6.19</v>
      </c>
      <c r="Q4341" s="2" t="b">
        <f>FALSE()</f>
        <v>0</v>
      </c>
      <c r="R4341">
        <v>0</v>
      </c>
    </row>
    <row r="4342" spans="1:18" x14ac:dyDescent="0.25">
      <c r="A4342">
        <v>204341</v>
      </c>
      <c r="B4342">
        <v>52988</v>
      </c>
      <c r="C4342" t="s">
        <v>34</v>
      </c>
      <c r="D4342">
        <v>1751.72</v>
      </c>
      <c r="E4342">
        <v>2675</v>
      </c>
      <c r="F4342">
        <v>1</v>
      </c>
      <c r="G4342">
        <v>3</v>
      </c>
      <c r="H4342">
        <v>0</v>
      </c>
      <c r="I4342" t="s">
        <v>33</v>
      </c>
      <c r="J4342">
        <v>0</v>
      </c>
      <c r="K4342">
        <v>78</v>
      </c>
      <c r="L4342" t="s">
        <v>24</v>
      </c>
      <c r="M4342" t="s">
        <v>25</v>
      </c>
      <c r="N4342" t="s">
        <v>26</v>
      </c>
      <c r="O4342" t="s">
        <v>36</v>
      </c>
      <c r="P4342">
        <v>4.97</v>
      </c>
      <c r="Q4342" s="2" t="b">
        <f>FALSE()</f>
        <v>0</v>
      </c>
      <c r="R4342">
        <v>0</v>
      </c>
    </row>
    <row r="4343" spans="1:18" x14ac:dyDescent="0.25">
      <c r="A4343">
        <v>204342</v>
      </c>
      <c r="B4343">
        <v>54458</v>
      </c>
      <c r="C4343" t="s">
        <v>34</v>
      </c>
      <c r="D4343">
        <v>791.76</v>
      </c>
      <c r="E4343">
        <v>3142</v>
      </c>
      <c r="F4343">
        <v>2</v>
      </c>
      <c r="G4343">
        <v>4</v>
      </c>
      <c r="H4343">
        <v>0</v>
      </c>
      <c r="I4343" t="s">
        <v>33</v>
      </c>
      <c r="J4343">
        <v>0</v>
      </c>
      <c r="K4343">
        <v>73</v>
      </c>
      <c r="L4343" t="s">
        <v>24</v>
      </c>
      <c r="M4343" t="s">
        <v>37</v>
      </c>
      <c r="N4343" t="s">
        <v>30</v>
      </c>
      <c r="O4343" t="s">
        <v>27</v>
      </c>
      <c r="P4343">
        <v>0.77</v>
      </c>
      <c r="Q4343" s="2" t="b">
        <f>FALSE()</f>
        <v>0</v>
      </c>
      <c r="R4343">
        <v>0</v>
      </c>
    </row>
    <row r="4344" spans="1:18" x14ac:dyDescent="0.25">
      <c r="A4344">
        <v>204343</v>
      </c>
      <c r="B4344">
        <v>53551</v>
      </c>
      <c r="C4344" t="s">
        <v>28</v>
      </c>
      <c r="D4344">
        <v>976.21</v>
      </c>
      <c r="E4344">
        <v>2075</v>
      </c>
      <c r="F4344">
        <v>2</v>
      </c>
      <c r="G4344">
        <v>3</v>
      </c>
      <c r="H4344">
        <v>0</v>
      </c>
      <c r="I4344" t="s">
        <v>33</v>
      </c>
      <c r="J4344">
        <v>0</v>
      </c>
      <c r="K4344">
        <v>51</v>
      </c>
      <c r="L4344" t="s">
        <v>24</v>
      </c>
      <c r="M4344" t="s">
        <v>29</v>
      </c>
      <c r="N4344" t="s">
        <v>22</v>
      </c>
      <c r="O4344" t="s">
        <v>27</v>
      </c>
      <c r="P4344">
        <v>7.29</v>
      </c>
      <c r="Q4344" s="2" t="b">
        <f>FALSE()</f>
        <v>0</v>
      </c>
      <c r="R4344">
        <v>0</v>
      </c>
    </row>
    <row r="4345" spans="1:18" x14ac:dyDescent="0.25">
      <c r="A4345">
        <v>204344</v>
      </c>
      <c r="B4345">
        <v>54281</v>
      </c>
      <c r="C4345" t="s">
        <v>18</v>
      </c>
      <c r="D4345">
        <v>1610.41</v>
      </c>
      <c r="E4345">
        <v>637</v>
      </c>
      <c r="F4345">
        <v>0</v>
      </c>
      <c r="G4345">
        <v>2</v>
      </c>
      <c r="H4345">
        <v>0</v>
      </c>
      <c r="I4345" t="s">
        <v>19</v>
      </c>
      <c r="J4345">
        <v>0</v>
      </c>
      <c r="K4345">
        <v>62</v>
      </c>
      <c r="L4345" t="s">
        <v>20</v>
      </c>
      <c r="M4345" t="s">
        <v>37</v>
      </c>
      <c r="N4345" t="s">
        <v>22</v>
      </c>
      <c r="O4345" t="s">
        <v>27</v>
      </c>
      <c r="P4345">
        <v>13.4</v>
      </c>
      <c r="Q4345" s="2" t="b">
        <f>FALSE()</f>
        <v>0</v>
      </c>
      <c r="R4345">
        <v>0</v>
      </c>
    </row>
    <row r="4346" spans="1:18" x14ac:dyDescent="0.25">
      <c r="A4346">
        <v>204345</v>
      </c>
      <c r="B4346">
        <v>51576</v>
      </c>
      <c r="C4346" t="s">
        <v>18</v>
      </c>
      <c r="D4346">
        <v>2670.26</v>
      </c>
      <c r="E4346">
        <v>1631</v>
      </c>
      <c r="F4346">
        <v>0</v>
      </c>
      <c r="G4346">
        <v>7</v>
      </c>
      <c r="H4346">
        <v>0</v>
      </c>
      <c r="I4346" t="s">
        <v>19</v>
      </c>
      <c r="J4346">
        <v>0</v>
      </c>
      <c r="K4346">
        <v>66</v>
      </c>
      <c r="L4346" t="s">
        <v>20</v>
      </c>
      <c r="M4346" t="s">
        <v>31</v>
      </c>
      <c r="N4346" t="s">
        <v>22</v>
      </c>
      <c r="O4346" t="s">
        <v>36</v>
      </c>
      <c r="P4346">
        <v>2.54</v>
      </c>
      <c r="Q4346" s="2" t="b">
        <f>FALSE()</f>
        <v>0</v>
      </c>
      <c r="R4346">
        <v>1</v>
      </c>
    </row>
    <row r="4347" spans="1:18" x14ac:dyDescent="0.25">
      <c r="A4347">
        <v>204346</v>
      </c>
      <c r="B4347">
        <v>52717</v>
      </c>
      <c r="C4347" t="s">
        <v>18</v>
      </c>
      <c r="D4347">
        <v>1893.66</v>
      </c>
      <c r="E4347">
        <v>2658</v>
      </c>
      <c r="F4347">
        <v>0</v>
      </c>
      <c r="G4347">
        <v>4</v>
      </c>
      <c r="H4347">
        <v>0</v>
      </c>
      <c r="I4347" t="s">
        <v>33</v>
      </c>
      <c r="J4347">
        <v>0</v>
      </c>
      <c r="K4347">
        <v>56</v>
      </c>
      <c r="L4347" t="s">
        <v>24</v>
      </c>
      <c r="M4347" t="s">
        <v>31</v>
      </c>
      <c r="N4347" t="s">
        <v>22</v>
      </c>
      <c r="O4347" t="s">
        <v>36</v>
      </c>
      <c r="P4347">
        <v>1.05</v>
      </c>
      <c r="Q4347" s="2" t="b">
        <f>FALSE()</f>
        <v>0</v>
      </c>
      <c r="R4347">
        <v>0</v>
      </c>
    </row>
    <row r="4348" spans="1:18" x14ac:dyDescent="0.25">
      <c r="A4348">
        <v>204347</v>
      </c>
      <c r="B4348">
        <v>54360</v>
      </c>
      <c r="C4348" t="s">
        <v>18</v>
      </c>
      <c r="D4348">
        <v>2970.75</v>
      </c>
      <c r="E4348">
        <v>2411</v>
      </c>
      <c r="F4348">
        <v>0</v>
      </c>
      <c r="G4348">
        <v>4</v>
      </c>
      <c r="H4348">
        <v>1</v>
      </c>
      <c r="I4348" t="s">
        <v>33</v>
      </c>
      <c r="J4348">
        <v>1</v>
      </c>
      <c r="K4348">
        <v>29</v>
      </c>
      <c r="L4348" t="s">
        <v>20</v>
      </c>
      <c r="M4348" t="s">
        <v>35</v>
      </c>
      <c r="N4348" t="s">
        <v>30</v>
      </c>
      <c r="O4348" t="s">
        <v>27</v>
      </c>
      <c r="P4348">
        <v>2.62</v>
      </c>
      <c r="Q4348" s="2" t="b">
        <f>FALSE()</f>
        <v>0</v>
      </c>
      <c r="R4348">
        <v>0</v>
      </c>
    </row>
    <row r="4349" spans="1:18" x14ac:dyDescent="0.25">
      <c r="A4349">
        <v>204348</v>
      </c>
      <c r="B4349">
        <v>51837</v>
      </c>
      <c r="C4349" t="s">
        <v>28</v>
      </c>
      <c r="D4349">
        <v>3446.01</v>
      </c>
      <c r="E4349">
        <v>844</v>
      </c>
      <c r="F4349">
        <v>1</v>
      </c>
      <c r="G4349">
        <v>3</v>
      </c>
      <c r="H4349">
        <v>0</v>
      </c>
      <c r="I4349" t="s">
        <v>33</v>
      </c>
      <c r="J4349">
        <v>1</v>
      </c>
      <c r="K4349">
        <v>28</v>
      </c>
      <c r="L4349" t="s">
        <v>20</v>
      </c>
      <c r="M4349" t="s">
        <v>37</v>
      </c>
      <c r="N4349" t="s">
        <v>26</v>
      </c>
      <c r="O4349" t="s">
        <v>27</v>
      </c>
      <c r="P4349">
        <v>3.29</v>
      </c>
      <c r="Q4349" s="2" t="b">
        <f>FALSE()</f>
        <v>0</v>
      </c>
      <c r="R4349">
        <v>0</v>
      </c>
    </row>
    <row r="4350" spans="1:18" x14ac:dyDescent="0.25">
      <c r="A4350">
        <v>204349</v>
      </c>
      <c r="B4350">
        <v>55668</v>
      </c>
      <c r="C4350" t="s">
        <v>28</v>
      </c>
      <c r="D4350">
        <v>1601.13</v>
      </c>
      <c r="E4350">
        <v>556</v>
      </c>
      <c r="F4350">
        <v>2</v>
      </c>
      <c r="G4350">
        <v>3</v>
      </c>
      <c r="H4350">
        <v>0</v>
      </c>
      <c r="I4350" t="s">
        <v>33</v>
      </c>
      <c r="J4350">
        <v>0</v>
      </c>
      <c r="K4350">
        <v>52</v>
      </c>
      <c r="L4350" t="s">
        <v>24</v>
      </c>
      <c r="M4350" t="s">
        <v>31</v>
      </c>
      <c r="N4350" t="s">
        <v>26</v>
      </c>
      <c r="O4350" t="s">
        <v>23</v>
      </c>
      <c r="P4350">
        <v>3.46</v>
      </c>
      <c r="Q4350" s="2" t="b">
        <f>FALSE()</f>
        <v>0</v>
      </c>
      <c r="R4350">
        <v>0</v>
      </c>
    </row>
    <row r="4351" spans="1:18" x14ac:dyDescent="0.25">
      <c r="A4351">
        <v>204350</v>
      </c>
      <c r="B4351">
        <v>50849</v>
      </c>
      <c r="C4351" t="s">
        <v>34</v>
      </c>
      <c r="D4351">
        <v>4604.13</v>
      </c>
      <c r="E4351">
        <v>2099</v>
      </c>
      <c r="F4351">
        <v>0</v>
      </c>
      <c r="G4351">
        <v>3</v>
      </c>
      <c r="H4351">
        <v>0</v>
      </c>
      <c r="I4351" t="s">
        <v>32</v>
      </c>
      <c r="J4351">
        <v>0</v>
      </c>
      <c r="K4351">
        <v>43</v>
      </c>
      <c r="L4351" t="s">
        <v>24</v>
      </c>
      <c r="M4351" t="s">
        <v>25</v>
      </c>
      <c r="N4351" t="s">
        <v>22</v>
      </c>
      <c r="O4351" t="s">
        <v>27</v>
      </c>
      <c r="P4351">
        <v>4.4800000000000004</v>
      </c>
      <c r="Q4351" s="2" t="b">
        <f>FALSE()</f>
        <v>0</v>
      </c>
      <c r="R4351">
        <v>1</v>
      </c>
    </row>
    <row r="4352" spans="1:18" x14ac:dyDescent="0.25">
      <c r="A4352">
        <v>204351</v>
      </c>
      <c r="B4352">
        <v>52411</v>
      </c>
      <c r="C4352" t="s">
        <v>18</v>
      </c>
      <c r="D4352">
        <v>3155.57</v>
      </c>
      <c r="E4352">
        <v>596</v>
      </c>
      <c r="F4352">
        <v>1</v>
      </c>
      <c r="G4352">
        <v>3</v>
      </c>
      <c r="H4352">
        <v>1</v>
      </c>
      <c r="I4352" t="s">
        <v>19</v>
      </c>
      <c r="J4352">
        <v>0</v>
      </c>
      <c r="K4352">
        <v>72</v>
      </c>
      <c r="L4352" t="s">
        <v>24</v>
      </c>
      <c r="M4352" t="s">
        <v>37</v>
      </c>
      <c r="N4352" t="s">
        <v>22</v>
      </c>
      <c r="O4352" t="s">
        <v>23</v>
      </c>
      <c r="P4352">
        <v>1.85</v>
      </c>
      <c r="Q4352" s="2" t="b">
        <f>FALSE()</f>
        <v>0</v>
      </c>
      <c r="R4352">
        <v>0</v>
      </c>
    </row>
    <row r="4353" spans="1:18" x14ac:dyDescent="0.25">
      <c r="A4353">
        <v>204352</v>
      </c>
      <c r="B4353">
        <v>50633</v>
      </c>
      <c r="C4353" t="s">
        <v>18</v>
      </c>
      <c r="D4353">
        <v>8432.67</v>
      </c>
      <c r="E4353">
        <v>583</v>
      </c>
      <c r="F4353">
        <v>0</v>
      </c>
      <c r="G4353">
        <v>10</v>
      </c>
      <c r="H4353">
        <v>0</v>
      </c>
      <c r="I4353" t="s">
        <v>33</v>
      </c>
      <c r="J4353">
        <v>0</v>
      </c>
      <c r="K4353">
        <v>82</v>
      </c>
      <c r="L4353" t="s">
        <v>24</v>
      </c>
      <c r="M4353" t="s">
        <v>29</v>
      </c>
      <c r="N4353" t="s">
        <v>30</v>
      </c>
      <c r="O4353" t="s">
        <v>36</v>
      </c>
      <c r="P4353">
        <v>4</v>
      </c>
      <c r="Q4353" s="2" t="b">
        <f>TRUE()</f>
        <v>1</v>
      </c>
      <c r="R4353">
        <v>1</v>
      </c>
    </row>
    <row r="4354" spans="1:18" x14ac:dyDescent="0.25">
      <c r="A4354">
        <v>204353</v>
      </c>
      <c r="B4354">
        <v>54565</v>
      </c>
      <c r="C4354" t="s">
        <v>18</v>
      </c>
      <c r="D4354">
        <v>1889.77</v>
      </c>
      <c r="E4354">
        <v>1460</v>
      </c>
      <c r="F4354">
        <v>2</v>
      </c>
      <c r="G4354">
        <v>2</v>
      </c>
      <c r="H4354">
        <v>1</v>
      </c>
      <c r="I4354" t="s">
        <v>32</v>
      </c>
      <c r="J4354">
        <v>0</v>
      </c>
      <c r="K4354">
        <v>54</v>
      </c>
      <c r="L4354" t="s">
        <v>20</v>
      </c>
      <c r="M4354" t="s">
        <v>21</v>
      </c>
      <c r="N4354" t="s">
        <v>26</v>
      </c>
      <c r="O4354" t="s">
        <v>27</v>
      </c>
      <c r="P4354">
        <v>0.68</v>
      </c>
      <c r="Q4354" s="2" t="b">
        <f>FALSE()</f>
        <v>0</v>
      </c>
      <c r="R4354">
        <v>0</v>
      </c>
    </row>
    <row r="4355" spans="1:18" x14ac:dyDescent="0.25">
      <c r="A4355">
        <v>204354</v>
      </c>
      <c r="B4355">
        <v>52729</v>
      </c>
      <c r="C4355" t="s">
        <v>18</v>
      </c>
      <c r="D4355">
        <v>1580.71</v>
      </c>
      <c r="E4355">
        <v>3006</v>
      </c>
      <c r="F4355">
        <v>1</v>
      </c>
      <c r="G4355">
        <v>7</v>
      </c>
      <c r="H4355">
        <v>0</v>
      </c>
      <c r="I4355" t="s">
        <v>33</v>
      </c>
      <c r="J4355">
        <v>0</v>
      </c>
      <c r="K4355">
        <v>58</v>
      </c>
      <c r="L4355" t="s">
        <v>20</v>
      </c>
      <c r="M4355" t="s">
        <v>31</v>
      </c>
      <c r="N4355" t="s">
        <v>30</v>
      </c>
      <c r="O4355" t="s">
        <v>23</v>
      </c>
      <c r="P4355">
        <v>0.47</v>
      </c>
      <c r="Q4355" s="2" t="b">
        <f>FALSE()</f>
        <v>0</v>
      </c>
      <c r="R4355">
        <v>1</v>
      </c>
    </row>
    <row r="4356" spans="1:18" x14ac:dyDescent="0.25">
      <c r="A4356">
        <v>204355</v>
      </c>
      <c r="B4356">
        <v>52560</v>
      </c>
      <c r="C4356" t="s">
        <v>34</v>
      </c>
      <c r="D4356">
        <v>7329.14</v>
      </c>
      <c r="E4356">
        <v>1669</v>
      </c>
      <c r="F4356">
        <v>2</v>
      </c>
      <c r="G4356">
        <v>1</v>
      </c>
      <c r="H4356">
        <v>0</v>
      </c>
      <c r="I4356" t="s">
        <v>33</v>
      </c>
      <c r="J4356">
        <v>0</v>
      </c>
      <c r="K4356">
        <v>78</v>
      </c>
      <c r="L4356" t="s">
        <v>20</v>
      </c>
      <c r="M4356" t="s">
        <v>35</v>
      </c>
      <c r="N4356" t="s">
        <v>22</v>
      </c>
      <c r="O4356" t="s">
        <v>36</v>
      </c>
      <c r="P4356">
        <v>1.66</v>
      </c>
      <c r="Q4356" s="2" t="b">
        <f>TRUE()</f>
        <v>1</v>
      </c>
      <c r="R4356">
        <v>1</v>
      </c>
    </row>
    <row r="4357" spans="1:18" x14ac:dyDescent="0.25">
      <c r="A4357">
        <v>204356</v>
      </c>
      <c r="B4357">
        <v>53127</v>
      </c>
      <c r="C4357" t="s">
        <v>34</v>
      </c>
      <c r="D4357">
        <v>2690.66</v>
      </c>
      <c r="E4357">
        <v>2936</v>
      </c>
      <c r="F4357">
        <v>0</v>
      </c>
      <c r="G4357">
        <v>4</v>
      </c>
      <c r="H4357">
        <v>1</v>
      </c>
      <c r="I4357" t="s">
        <v>19</v>
      </c>
      <c r="J4357">
        <v>0</v>
      </c>
      <c r="K4357">
        <v>59</v>
      </c>
      <c r="L4357" t="s">
        <v>24</v>
      </c>
      <c r="M4357" t="s">
        <v>31</v>
      </c>
      <c r="N4357" t="s">
        <v>22</v>
      </c>
      <c r="O4357" t="s">
        <v>27</v>
      </c>
      <c r="P4357">
        <v>1.49</v>
      </c>
      <c r="Q4357" s="2" t="b">
        <f>FALSE()</f>
        <v>0</v>
      </c>
      <c r="R4357">
        <v>0</v>
      </c>
    </row>
    <row r="4358" spans="1:18" x14ac:dyDescent="0.25">
      <c r="A4358">
        <v>204357</v>
      </c>
      <c r="B4358">
        <v>50960</v>
      </c>
      <c r="C4358" t="s">
        <v>18</v>
      </c>
      <c r="D4358">
        <v>5472.29</v>
      </c>
      <c r="E4358">
        <v>2379</v>
      </c>
      <c r="F4358">
        <v>2</v>
      </c>
      <c r="G4358">
        <v>2</v>
      </c>
      <c r="H4358">
        <v>0</v>
      </c>
      <c r="I4358" t="s">
        <v>19</v>
      </c>
      <c r="J4358">
        <v>0</v>
      </c>
      <c r="K4358">
        <v>75</v>
      </c>
      <c r="L4358" t="s">
        <v>20</v>
      </c>
      <c r="M4358" t="s">
        <v>31</v>
      </c>
      <c r="N4358" t="s">
        <v>26</v>
      </c>
      <c r="O4358" t="s">
        <v>27</v>
      </c>
      <c r="P4358">
        <v>0.01</v>
      </c>
      <c r="Q4358" s="2" t="b">
        <f>FALSE()</f>
        <v>0</v>
      </c>
      <c r="R4358">
        <v>1</v>
      </c>
    </row>
    <row r="4359" spans="1:18" x14ac:dyDescent="0.25">
      <c r="A4359">
        <v>204358</v>
      </c>
      <c r="B4359">
        <v>55119</v>
      </c>
      <c r="C4359" t="s">
        <v>18</v>
      </c>
      <c r="D4359">
        <v>880.79</v>
      </c>
      <c r="E4359">
        <v>1092</v>
      </c>
      <c r="F4359">
        <v>0</v>
      </c>
      <c r="G4359">
        <v>5</v>
      </c>
      <c r="H4359">
        <v>0</v>
      </c>
      <c r="I4359" t="s">
        <v>32</v>
      </c>
      <c r="J4359">
        <v>0</v>
      </c>
      <c r="K4359">
        <v>37</v>
      </c>
      <c r="L4359" t="s">
        <v>20</v>
      </c>
      <c r="M4359" t="s">
        <v>31</v>
      </c>
      <c r="N4359" t="s">
        <v>30</v>
      </c>
      <c r="O4359" t="s">
        <v>36</v>
      </c>
      <c r="P4359">
        <v>1.17</v>
      </c>
      <c r="Q4359" s="2" t="b">
        <f>FALSE()</f>
        <v>0</v>
      </c>
      <c r="R4359">
        <v>0</v>
      </c>
    </row>
    <row r="4360" spans="1:18" x14ac:dyDescent="0.25">
      <c r="A4360">
        <v>204359</v>
      </c>
      <c r="B4360">
        <v>50224</v>
      </c>
      <c r="C4360" t="s">
        <v>18</v>
      </c>
      <c r="D4360">
        <v>1473.37</v>
      </c>
      <c r="E4360">
        <v>2111</v>
      </c>
      <c r="F4360">
        <v>3</v>
      </c>
      <c r="G4360">
        <v>4</v>
      </c>
      <c r="H4360">
        <v>0</v>
      </c>
      <c r="I4360" t="s">
        <v>19</v>
      </c>
      <c r="J4360">
        <v>0</v>
      </c>
      <c r="K4360">
        <v>20</v>
      </c>
      <c r="L4360" t="s">
        <v>38</v>
      </c>
      <c r="M4360" t="s">
        <v>37</v>
      </c>
      <c r="N4360" t="s">
        <v>22</v>
      </c>
      <c r="O4360" t="s">
        <v>27</v>
      </c>
      <c r="P4360">
        <v>10.83</v>
      </c>
      <c r="Q4360" s="2" t="b">
        <f>FALSE()</f>
        <v>0</v>
      </c>
      <c r="R4360">
        <v>1</v>
      </c>
    </row>
    <row r="4361" spans="1:18" x14ac:dyDescent="0.25">
      <c r="A4361">
        <v>204360</v>
      </c>
      <c r="B4361">
        <v>51137</v>
      </c>
      <c r="C4361" t="s">
        <v>18</v>
      </c>
      <c r="D4361">
        <v>5761.06</v>
      </c>
      <c r="E4361">
        <v>2496</v>
      </c>
      <c r="F4361">
        <v>0</v>
      </c>
      <c r="G4361">
        <v>4</v>
      </c>
      <c r="H4361">
        <v>0</v>
      </c>
      <c r="I4361" t="s">
        <v>33</v>
      </c>
      <c r="J4361">
        <v>1</v>
      </c>
      <c r="K4361">
        <v>61</v>
      </c>
      <c r="L4361" t="s">
        <v>20</v>
      </c>
      <c r="M4361" t="s">
        <v>29</v>
      </c>
      <c r="N4361" t="s">
        <v>22</v>
      </c>
      <c r="O4361" t="s">
        <v>36</v>
      </c>
      <c r="P4361">
        <v>2.3199999999999998</v>
      </c>
      <c r="Q4361" s="2" t="b">
        <f>FALSE()</f>
        <v>0</v>
      </c>
      <c r="R4361">
        <v>1</v>
      </c>
    </row>
    <row r="4362" spans="1:18" x14ac:dyDescent="0.25">
      <c r="A4362">
        <v>204361</v>
      </c>
      <c r="B4362">
        <v>52634</v>
      </c>
      <c r="C4362" t="s">
        <v>18</v>
      </c>
      <c r="D4362">
        <v>3310.73</v>
      </c>
      <c r="E4362">
        <v>333</v>
      </c>
      <c r="F4362">
        <v>1</v>
      </c>
      <c r="G4362">
        <v>3</v>
      </c>
      <c r="H4362">
        <v>0</v>
      </c>
      <c r="I4362" t="s">
        <v>33</v>
      </c>
      <c r="J4362">
        <v>0</v>
      </c>
      <c r="K4362">
        <v>61</v>
      </c>
      <c r="L4362" t="s">
        <v>20</v>
      </c>
      <c r="M4362" t="s">
        <v>21</v>
      </c>
      <c r="N4362" t="s">
        <v>30</v>
      </c>
      <c r="O4362" t="s">
        <v>27</v>
      </c>
      <c r="P4362">
        <v>0.21</v>
      </c>
      <c r="Q4362" s="2" t="b">
        <f>FALSE()</f>
        <v>0</v>
      </c>
      <c r="R4362">
        <v>0</v>
      </c>
    </row>
    <row r="4363" spans="1:18" x14ac:dyDescent="0.25">
      <c r="A4363">
        <v>204362</v>
      </c>
      <c r="B4363">
        <v>50414</v>
      </c>
      <c r="C4363" t="s">
        <v>34</v>
      </c>
      <c r="D4363">
        <v>1562.88</v>
      </c>
      <c r="E4363">
        <v>1561</v>
      </c>
      <c r="F4363">
        <v>3</v>
      </c>
      <c r="G4363">
        <v>4</v>
      </c>
      <c r="H4363">
        <v>0</v>
      </c>
      <c r="I4363" t="s">
        <v>33</v>
      </c>
      <c r="J4363">
        <v>1</v>
      </c>
      <c r="K4363">
        <v>22</v>
      </c>
      <c r="L4363" t="s">
        <v>24</v>
      </c>
      <c r="M4363" t="s">
        <v>31</v>
      </c>
      <c r="N4363" t="s">
        <v>22</v>
      </c>
      <c r="O4363" t="s">
        <v>27</v>
      </c>
      <c r="P4363">
        <v>2.76</v>
      </c>
      <c r="Q4363" s="2" t="b">
        <f>FALSE()</f>
        <v>0</v>
      </c>
      <c r="R4363">
        <v>1</v>
      </c>
    </row>
    <row r="4364" spans="1:18" x14ac:dyDescent="0.25">
      <c r="A4364">
        <v>204363</v>
      </c>
      <c r="B4364">
        <v>55006</v>
      </c>
      <c r="C4364" t="s">
        <v>34</v>
      </c>
      <c r="D4364">
        <v>2499.7600000000002</v>
      </c>
      <c r="E4364">
        <v>1853</v>
      </c>
      <c r="F4364">
        <v>1</v>
      </c>
      <c r="G4364">
        <v>5</v>
      </c>
      <c r="H4364">
        <v>0</v>
      </c>
      <c r="I4364" t="s">
        <v>32</v>
      </c>
      <c r="J4364">
        <v>0</v>
      </c>
      <c r="K4364">
        <v>60</v>
      </c>
      <c r="L4364" t="s">
        <v>38</v>
      </c>
      <c r="M4364" t="s">
        <v>31</v>
      </c>
      <c r="N4364" t="s">
        <v>30</v>
      </c>
      <c r="O4364" t="s">
        <v>27</v>
      </c>
      <c r="P4364">
        <v>5.35</v>
      </c>
      <c r="Q4364" s="2" t="b">
        <f>FALSE()</f>
        <v>0</v>
      </c>
      <c r="R4364">
        <v>0</v>
      </c>
    </row>
    <row r="4365" spans="1:18" x14ac:dyDescent="0.25">
      <c r="A4365">
        <v>204364</v>
      </c>
      <c r="B4365">
        <v>54409</v>
      </c>
      <c r="C4365" t="s">
        <v>34</v>
      </c>
      <c r="D4365">
        <v>1672.85</v>
      </c>
      <c r="E4365">
        <v>2882</v>
      </c>
      <c r="F4365">
        <v>3</v>
      </c>
      <c r="G4365">
        <v>3</v>
      </c>
      <c r="H4365">
        <v>0</v>
      </c>
      <c r="I4365" t="s">
        <v>19</v>
      </c>
      <c r="J4365">
        <v>0</v>
      </c>
      <c r="K4365">
        <v>20</v>
      </c>
      <c r="L4365" t="s">
        <v>24</v>
      </c>
      <c r="M4365" t="s">
        <v>31</v>
      </c>
      <c r="N4365" t="s">
        <v>22</v>
      </c>
      <c r="O4365" t="s">
        <v>27</v>
      </c>
      <c r="P4365">
        <v>7.56</v>
      </c>
      <c r="Q4365" s="2" t="b">
        <f>FALSE()</f>
        <v>0</v>
      </c>
      <c r="R4365">
        <v>1</v>
      </c>
    </row>
    <row r="4366" spans="1:18" x14ac:dyDescent="0.25">
      <c r="A4366">
        <v>204365</v>
      </c>
      <c r="B4366">
        <v>50139</v>
      </c>
      <c r="C4366" t="s">
        <v>34</v>
      </c>
      <c r="D4366">
        <v>1304.3</v>
      </c>
      <c r="E4366">
        <v>987</v>
      </c>
      <c r="F4366">
        <v>1</v>
      </c>
      <c r="G4366">
        <v>3</v>
      </c>
      <c r="H4366">
        <v>0</v>
      </c>
      <c r="I4366" t="s">
        <v>19</v>
      </c>
      <c r="J4366">
        <v>0</v>
      </c>
      <c r="K4366">
        <v>26</v>
      </c>
      <c r="L4366" t="s">
        <v>20</v>
      </c>
      <c r="M4366" t="s">
        <v>21</v>
      </c>
      <c r="N4366" t="s">
        <v>30</v>
      </c>
      <c r="O4366" t="s">
        <v>36</v>
      </c>
      <c r="P4366">
        <v>2.88</v>
      </c>
      <c r="Q4366" s="2" t="b">
        <f>FALSE()</f>
        <v>0</v>
      </c>
      <c r="R4366">
        <v>0</v>
      </c>
    </row>
    <row r="4367" spans="1:18" x14ac:dyDescent="0.25">
      <c r="A4367">
        <v>204366</v>
      </c>
      <c r="B4367">
        <v>55466</v>
      </c>
      <c r="C4367" t="s">
        <v>18</v>
      </c>
      <c r="D4367">
        <v>4355.67</v>
      </c>
      <c r="E4367">
        <v>971</v>
      </c>
      <c r="F4367">
        <v>0</v>
      </c>
      <c r="G4367">
        <v>3</v>
      </c>
      <c r="H4367">
        <v>0</v>
      </c>
      <c r="I4367" t="s">
        <v>33</v>
      </c>
      <c r="J4367">
        <v>0</v>
      </c>
      <c r="K4367">
        <v>29</v>
      </c>
      <c r="L4367" t="s">
        <v>24</v>
      </c>
      <c r="M4367" t="s">
        <v>35</v>
      </c>
      <c r="N4367" t="s">
        <v>30</v>
      </c>
      <c r="O4367" t="s">
        <v>27</v>
      </c>
      <c r="P4367">
        <v>0.32</v>
      </c>
      <c r="Q4367" s="2" t="b">
        <f>FALSE()</f>
        <v>0</v>
      </c>
      <c r="R4367">
        <v>1</v>
      </c>
    </row>
    <row r="4368" spans="1:18" x14ac:dyDescent="0.25">
      <c r="A4368">
        <v>204367</v>
      </c>
      <c r="B4368">
        <v>50662</v>
      </c>
      <c r="C4368" t="s">
        <v>18</v>
      </c>
      <c r="D4368">
        <v>2660.4</v>
      </c>
      <c r="E4368">
        <v>2628</v>
      </c>
      <c r="F4368">
        <v>3</v>
      </c>
      <c r="G4368">
        <v>8</v>
      </c>
      <c r="H4368">
        <v>0</v>
      </c>
      <c r="I4368" t="s">
        <v>19</v>
      </c>
      <c r="J4368">
        <v>0</v>
      </c>
      <c r="K4368">
        <v>48</v>
      </c>
      <c r="L4368" t="s">
        <v>24</v>
      </c>
      <c r="M4368" t="s">
        <v>21</v>
      </c>
      <c r="N4368" t="s">
        <v>22</v>
      </c>
      <c r="O4368" t="s">
        <v>23</v>
      </c>
      <c r="P4368">
        <v>4.42</v>
      </c>
      <c r="Q4368" s="2" t="b">
        <f>FALSE()</f>
        <v>0</v>
      </c>
      <c r="R4368">
        <v>1</v>
      </c>
    </row>
    <row r="4369" spans="1:18" x14ac:dyDescent="0.25">
      <c r="A4369">
        <v>204368</v>
      </c>
      <c r="B4369">
        <v>52047</v>
      </c>
      <c r="C4369" t="s">
        <v>18</v>
      </c>
      <c r="D4369">
        <v>2500.5700000000002</v>
      </c>
      <c r="E4369">
        <v>769</v>
      </c>
      <c r="F4369">
        <v>2</v>
      </c>
      <c r="G4369">
        <v>5</v>
      </c>
      <c r="H4369">
        <v>1</v>
      </c>
      <c r="I4369" t="s">
        <v>19</v>
      </c>
      <c r="J4369">
        <v>0</v>
      </c>
      <c r="K4369">
        <v>72</v>
      </c>
      <c r="L4369" t="s">
        <v>20</v>
      </c>
      <c r="M4369" t="s">
        <v>35</v>
      </c>
      <c r="N4369" t="s">
        <v>22</v>
      </c>
      <c r="O4369" t="s">
        <v>27</v>
      </c>
      <c r="P4369">
        <v>2.78</v>
      </c>
      <c r="Q4369" s="2" t="b">
        <f>FALSE()</f>
        <v>0</v>
      </c>
      <c r="R4369">
        <v>0</v>
      </c>
    </row>
    <row r="4370" spans="1:18" x14ac:dyDescent="0.25">
      <c r="A4370">
        <v>204369</v>
      </c>
      <c r="B4370">
        <v>55603</v>
      </c>
      <c r="C4370" t="s">
        <v>18</v>
      </c>
      <c r="D4370">
        <v>1675.9</v>
      </c>
      <c r="E4370">
        <v>1646</v>
      </c>
      <c r="F4370">
        <v>1</v>
      </c>
      <c r="G4370">
        <v>5</v>
      </c>
      <c r="H4370">
        <v>0</v>
      </c>
      <c r="I4370" t="s">
        <v>19</v>
      </c>
      <c r="J4370">
        <v>0</v>
      </c>
      <c r="K4370">
        <v>75</v>
      </c>
      <c r="L4370" t="s">
        <v>24</v>
      </c>
      <c r="M4370" t="s">
        <v>31</v>
      </c>
      <c r="N4370" t="s">
        <v>22</v>
      </c>
      <c r="O4370" t="s">
        <v>36</v>
      </c>
      <c r="P4370">
        <v>1.02</v>
      </c>
      <c r="Q4370" s="2" t="b">
        <f>FALSE()</f>
        <v>0</v>
      </c>
      <c r="R4370">
        <v>0</v>
      </c>
    </row>
    <row r="4371" spans="1:18" x14ac:dyDescent="0.25">
      <c r="A4371">
        <v>204370</v>
      </c>
      <c r="B4371">
        <v>51084</v>
      </c>
      <c r="C4371" t="s">
        <v>34</v>
      </c>
      <c r="D4371">
        <v>1888.56</v>
      </c>
      <c r="E4371">
        <v>1308</v>
      </c>
      <c r="F4371">
        <v>1</v>
      </c>
      <c r="G4371">
        <v>3</v>
      </c>
      <c r="H4371">
        <v>0</v>
      </c>
      <c r="I4371" t="s">
        <v>33</v>
      </c>
      <c r="J4371">
        <v>0</v>
      </c>
      <c r="K4371">
        <v>53</v>
      </c>
      <c r="L4371" t="s">
        <v>24</v>
      </c>
      <c r="M4371" t="s">
        <v>21</v>
      </c>
      <c r="N4371" t="s">
        <v>26</v>
      </c>
      <c r="O4371" t="s">
        <v>23</v>
      </c>
      <c r="P4371">
        <v>4.8099999999999996</v>
      </c>
      <c r="Q4371" s="2" t="b">
        <f>FALSE()</f>
        <v>0</v>
      </c>
      <c r="R4371">
        <v>0</v>
      </c>
    </row>
    <row r="4372" spans="1:18" x14ac:dyDescent="0.25">
      <c r="A4372">
        <v>204371</v>
      </c>
      <c r="B4372">
        <v>53671</v>
      </c>
      <c r="C4372" t="s">
        <v>18</v>
      </c>
      <c r="D4372">
        <v>2901.94</v>
      </c>
      <c r="E4372">
        <v>3005</v>
      </c>
      <c r="F4372">
        <v>2</v>
      </c>
      <c r="G4372">
        <v>3</v>
      </c>
      <c r="H4372">
        <v>0</v>
      </c>
      <c r="I4372" t="s">
        <v>19</v>
      </c>
      <c r="J4372">
        <v>0</v>
      </c>
      <c r="K4372">
        <v>45</v>
      </c>
      <c r="L4372" t="s">
        <v>20</v>
      </c>
      <c r="M4372" t="s">
        <v>25</v>
      </c>
      <c r="N4372" t="s">
        <v>22</v>
      </c>
      <c r="O4372" t="s">
        <v>23</v>
      </c>
      <c r="P4372">
        <v>0.92</v>
      </c>
      <c r="Q4372" s="2" t="b">
        <f>FALSE()</f>
        <v>0</v>
      </c>
      <c r="R4372">
        <v>0</v>
      </c>
    </row>
    <row r="4373" spans="1:18" x14ac:dyDescent="0.25">
      <c r="A4373">
        <v>204372</v>
      </c>
      <c r="B4373">
        <v>50783</v>
      </c>
      <c r="C4373" t="s">
        <v>18</v>
      </c>
      <c r="D4373">
        <v>3749.48</v>
      </c>
      <c r="E4373">
        <v>3026</v>
      </c>
      <c r="F4373">
        <v>0</v>
      </c>
      <c r="G4373">
        <v>1</v>
      </c>
      <c r="H4373">
        <v>0</v>
      </c>
      <c r="I4373" t="s">
        <v>33</v>
      </c>
      <c r="J4373">
        <v>0</v>
      </c>
      <c r="K4373">
        <v>66</v>
      </c>
      <c r="L4373" t="s">
        <v>24</v>
      </c>
      <c r="M4373" t="s">
        <v>35</v>
      </c>
      <c r="N4373" t="s">
        <v>22</v>
      </c>
      <c r="O4373" t="s">
        <v>27</v>
      </c>
      <c r="P4373">
        <v>1.87</v>
      </c>
      <c r="Q4373" s="2" t="b">
        <f>FALSE()</f>
        <v>0</v>
      </c>
      <c r="R4373">
        <v>1</v>
      </c>
    </row>
    <row r="4374" spans="1:18" x14ac:dyDescent="0.25">
      <c r="A4374">
        <v>204373</v>
      </c>
      <c r="B4374">
        <v>50779</v>
      </c>
      <c r="C4374" t="s">
        <v>18</v>
      </c>
      <c r="D4374">
        <v>2882.84</v>
      </c>
      <c r="E4374">
        <v>805</v>
      </c>
      <c r="F4374">
        <v>2</v>
      </c>
      <c r="G4374">
        <v>5</v>
      </c>
      <c r="H4374">
        <v>1</v>
      </c>
      <c r="I4374" t="s">
        <v>33</v>
      </c>
      <c r="J4374">
        <v>0</v>
      </c>
      <c r="K4374">
        <v>53</v>
      </c>
      <c r="L4374" t="s">
        <v>20</v>
      </c>
      <c r="M4374" t="s">
        <v>29</v>
      </c>
      <c r="N4374" t="s">
        <v>22</v>
      </c>
      <c r="O4374" t="s">
        <v>36</v>
      </c>
      <c r="P4374">
        <v>1.3</v>
      </c>
      <c r="Q4374" s="2" t="b">
        <f>FALSE()</f>
        <v>0</v>
      </c>
      <c r="R4374">
        <v>0</v>
      </c>
    </row>
    <row r="4375" spans="1:18" x14ac:dyDescent="0.25">
      <c r="A4375">
        <v>204374</v>
      </c>
      <c r="B4375">
        <v>51412</v>
      </c>
      <c r="C4375" t="s">
        <v>18</v>
      </c>
      <c r="D4375">
        <v>5509.01</v>
      </c>
      <c r="E4375">
        <v>863</v>
      </c>
      <c r="F4375">
        <v>3</v>
      </c>
      <c r="G4375">
        <v>5</v>
      </c>
      <c r="H4375">
        <v>0</v>
      </c>
      <c r="I4375" t="s">
        <v>32</v>
      </c>
      <c r="J4375">
        <v>1</v>
      </c>
      <c r="K4375">
        <v>25</v>
      </c>
      <c r="L4375" t="s">
        <v>20</v>
      </c>
      <c r="M4375" t="s">
        <v>37</v>
      </c>
      <c r="N4375" t="s">
        <v>22</v>
      </c>
      <c r="O4375" t="s">
        <v>27</v>
      </c>
      <c r="P4375">
        <v>1.64</v>
      </c>
      <c r="Q4375" s="2" t="b">
        <f>FALSE()</f>
        <v>0</v>
      </c>
      <c r="R4375">
        <v>1</v>
      </c>
    </row>
    <row r="4376" spans="1:18" x14ac:dyDescent="0.25">
      <c r="A4376">
        <v>204375</v>
      </c>
      <c r="B4376">
        <v>54032</v>
      </c>
      <c r="C4376" t="s">
        <v>34</v>
      </c>
      <c r="D4376">
        <v>4185.3100000000004</v>
      </c>
      <c r="E4376">
        <v>3033</v>
      </c>
      <c r="F4376">
        <v>1</v>
      </c>
      <c r="G4376">
        <v>3</v>
      </c>
      <c r="H4376">
        <v>0</v>
      </c>
      <c r="I4376" t="s">
        <v>19</v>
      </c>
      <c r="J4376">
        <v>1</v>
      </c>
      <c r="K4376">
        <v>46</v>
      </c>
      <c r="L4376" t="s">
        <v>24</v>
      </c>
      <c r="M4376" t="s">
        <v>25</v>
      </c>
      <c r="N4376" t="s">
        <v>30</v>
      </c>
      <c r="O4376" t="s">
        <v>36</v>
      </c>
      <c r="P4376">
        <v>1.69</v>
      </c>
      <c r="Q4376" s="2" t="b">
        <f>FALSE()</f>
        <v>0</v>
      </c>
      <c r="R4376">
        <v>1</v>
      </c>
    </row>
    <row r="4377" spans="1:18" x14ac:dyDescent="0.25">
      <c r="A4377">
        <v>204376</v>
      </c>
      <c r="B4377">
        <v>55441</v>
      </c>
      <c r="C4377" t="s">
        <v>18</v>
      </c>
      <c r="D4377">
        <v>4403.96</v>
      </c>
      <c r="E4377">
        <v>1374</v>
      </c>
      <c r="F4377">
        <v>1</v>
      </c>
      <c r="G4377">
        <v>6</v>
      </c>
      <c r="H4377">
        <v>0</v>
      </c>
      <c r="I4377" t="s">
        <v>32</v>
      </c>
      <c r="J4377">
        <v>0</v>
      </c>
      <c r="K4377">
        <v>44</v>
      </c>
      <c r="L4377" t="s">
        <v>24</v>
      </c>
      <c r="M4377" t="s">
        <v>37</v>
      </c>
      <c r="N4377" t="s">
        <v>22</v>
      </c>
      <c r="O4377" t="s">
        <v>23</v>
      </c>
      <c r="P4377">
        <v>0.05</v>
      </c>
      <c r="Q4377" s="2" t="b">
        <f>FALSE()</f>
        <v>0</v>
      </c>
      <c r="R4377">
        <v>1</v>
      </c>
    </row>
    <row r="4378" spans="1:18" x14ac:dyDescent="0.25">
      <c r="A4378">
        <v>204377</v>
      </c>
      <c r="B4378">
        <v>50923</v>
      </c>
      <c r="C4378" t="s">
        <v>28</v>
      </c>
      <c r="D4378">
        <v>3146.78</v>
      </c>
      <c r="E4378">
        <v>1150</v>
      </c>
      <c r="F4378">
        <v>0</v>
      </c>
      <c r="G4378">
        <v>4</v>
      </c>
      <c r="H4378">
        <v>0</v>
      </c>
      <c r="I4378" t="s">
        <v>32</v>
      </c>
      <c r="J4378">
        <v>1</v>
      </c>
      <c r="K4378">
        <v>72</v>
      </c>
      <c r="L4378" t="s">
        <v>24</v>
      </c>
      <c r="M4378" t="s">
        <v>35</v>
      </c>
      <c r="N4378" t="s">
        <v>30</v>
      </c>
      <c r="O4378" t="s">
        <v>23</v>
      </c>
      <c r="P4378">
        <v>3.08</v>
      </c>
      <c r="Q4378" s="2" t="b">
        <f>FALSE()</f>
        <v>0</v>
      </c>
      <c r="R4378">
        <v>0</v>
      </c>
    </row>
    <row r="4379" spans="1:18" x14ac:dyDescent="0.25">
      <c r="A4379">
        <v>204378</v>
      </c>
      <c r="B4379">
        <v>50129</v>
      </c>
      <c r="C4379" t="s">
        <v>34</v>
      </c>
      <c r="D4379">
        <v>829.58</v>
      </c>
      <c r="E4379">
        <v>2188</v>
      </c>
      <c r="F4379">
        <v>1</v>
      </c>
      <c r="G4379">
        <v>2</v>
      </c>
      <c r="H4379">
        <v>0</v>
      </c>
      <c r="I4379" t="s">
        <v>33</v>
      </c>
      <c r="J4379">
        <v>1</v>
      </c>
      <c r="K4379">
        <v>80</v>
      </c>
      <c r="L4379" t="s">
        <v>20</v>
      </c>
      <c r="M4379" t="s">
        <v>25</v>
      </c>
      <c r="N4379" t="s">
        <v>22</v>
      </c>
      <c r="O4379" t="s">
        <v>36</v>
      </c>
      <c r="P4379">
        <v>2.9</v>
      </c>
      <c r="Q4379" s="2" t="b">
        <f>FALSE()</f>
        <v>0</v>
      </c>
      <c r="R4379">
        <v>0</v>
      </c>
    </row>
    <row r="4380" spans="1:18" x14ac:dyDescent="0.25">
      <c r="A4380">
        <v>204379</v>
      </c>
      <c r="B4380">
        <v>51374</v>
      </c>
      <c r="C4380" t="s">
        <v>18</v>
      </c>
      <c r="D4380">
        <v>3132.12</v>
      </c>
      <c r="E4380">
        <v>647</v>
      </c>
      <c r="F4380">
        <v>0</v>
      </c>
      <c r="G4380">
        <v>5</v>
      </c>
      <c r="H4380">
        <v>0</v>
      </c>
      <c r="I4380" t="s">
        <v>33</v>
      </c>
      <c r="J4380">
        <v>0</v>
      </c>
      <c r="K4380">
        <v>42</v>
      </c>
      <c r="L4380" t="s">
        <v>20</v>
      </c>
      <c r="M4380" t="s">
        <v>21</v>
      </c>
      <c r="N4380" t="s">
        <v>22</v>
      </c>
      <c r="O4380" t="s">
        <v>36</v>
      </c>
      <c r="P4380">
        <v>0.15</v>
      </c>
      <c r="Q4380" s="2" t="b">
        <f>FALSE()</f>
        <v>0</v>
      </c>
      <c r="R4380">
        <v>0</v>
      </c>
    </row>
    <row r="4381" spans="1:18" x14ac:dyDescent="0.25">
      <c r="A4381">
        <v>204380</v>
      </c>
      <c r="B4381">
        <v>54101</v>
      </c>
      <c r="C4381" t="s">
        <v>18</v>
      </c>
      <c r="D4381">
        <v>3787.33</v>
      </c>
      <c r="E4381">
        <v>1310</v>
      </c>
      <c r="F4381">
        <v>3</v>
      </c>
      <c r="G4381">
        <v>6</v>
      </c>
      <c r="H4381">
        <v>0</v>
      </c>
      <c r="I4381" t="s">
        <v>33</v>
      </c>
      <c r="J4381">
        <v>0</v>
      </c>
      <c r="K4381">
        <v>21</v>
      </c>
      <c r="L4381" t="s">
        <v>20</v>
      </c>
      <c r="M4381" t="s">
        <v>35</v>
      </c>
      <c r="N4381" t="s">
        <v>22</v>
      </c>
      <c r="O4381" t="s">
        <v>23</v>
      </c>
      <c r="P4381">
        <v>2.7</v>
      </c>
      <c r="Q4381" s="2" t="b">
        <f>FALSE()</f>
        <v>0</v>
      </c>
      <c r="R4381">
        <v>1</v>
      </c>
    </row>
    <row r="4382" spans="1:18" x14ac:dyDescent="0.25">
      <c r="A4382">
        <v>204381</v>
      </c>
      <c r="B4382">
        <v>51767</v>
      </c>
      <c r="C4382" t="s">
        <v>18</v>
      </c>
      <c r="D4382">
        <v>1538.23</v>
      </c>
      <c r="E4382">
        <v>427</v>
      </c>
      <c r="F4382">
        <v>0</v>
      </c>
      <c r="G4382">
        <v>4</v>
      </c>
      <c r="H4382">
        <v>0</v>
      </c>
      <c r="I4382" t="s">
        <v>33</v>
      </c>
      <c r="J4382">
        <v>0</v>
      </c>
      <c r="K4382">
        <v>49</v>
      </c>
      <c r="L4382" t="s">
        <v>24</v>
      </c>
      <c r="M4382" t="s">
        <v>35</v>
      </c>
      <c r="N4382" t="s">
        <v>30</v>
      </c>
      <c r="O4382" t="s">
        <v>27</v>
      </c>
      <c r="P4382">
        <v>3.59</v>
      </c>
      <c r="Q4382" s="2" t="b">
        <f>FALSE()</f>
        <v>0</v>
      </c>
      <c r="R4382">
        <v>0</v>
      </c>
    </row>
    <row r="4383" spans="1:18" x14ac:dyDescent="0.25">
      <c r="A4383">
        <v>204382</v>
      </c>
      <c r="B4383">
        <v>52455</v>
      </c>
      <c r="C4383" t="s">
        <v>18</v>
      </c>
      <c r="D4383">
        <v>1549</v>
      </c>
      <c r="E4383">
        <v>3411</v>
      </c>
      <c r="F4383">
        <v>1</v>
      </c>
      <c r="G4383">
        <v>5</v>
      </c>
      <c r="H4383">
        <v>0</v>
      </c>
      <c r="I4383" t="s">
        <v>33</v>
      </c>
      <c r="J4383">
        <v>1</v>
      </c>
      <c r="K4383">
        <v>83</v>
      </c>
      <c r="L4383" t="s">
        <v>20</v>
      </c>
      <c r="M4383" t="s">
        <v>37</v>
      </c>
      <c r="N4383" t="s">
        <v>26</v>
      </c>
      <c r="O4383" t="s">
        <v>27</v>
      </c>
      <c r="P4383">
        <v>7.52</v>
      </c>
      <c r="Q4383" s="2" t="b">
        <f>FALSE()</f>
        <v>0</v>
      </c>
      <c r="R4383">
        <v>0</v>
      </c>
    </row>
    <row r="4384" spans="1:18" x14ac:dyDescent="0.25">
      <c r="A4384">
        <v>204383</v>
      </c>
      <c r="B4384">
        <v>50720</v>
      </c>
      <c r="C4384" t="s">
        <v>18</v>
      </c>
      <c r="D4384">
        <v>1879.14</v>
      </c>
      <c r="E4384">
        <v>2043</v>
      </c>
      <c r="F4384">
        <v>1</v>
      </c>
      <c r="G4384">
        <v>7</v>
      </c>
      <c r="H4384">
        <v>0</v>
      </c>
      <c r="I4384" t="s">
        <v>33</v>
      </c>
      <c r="J4384">
        <v>0</v>
      </c>
      <c r="K4384">
        <v>40</v>
      </c>
      <c r="L4384" t="s">
        <v>20</v>
      </c>
      <c r="M4384" t="s">
        <v>31</v>
      </c>
      <c r="N4384" t="s">
        <v>26</v>
      </c>
      <c r="O4384" t="s">
        <v>27</v>
      </c>
      <c r="P4384">
        <v>1.6</v>
      </c>
      <c r="Q4384" s="2" t="b">
        <f>FALSE()</f>
        <v>0</v>
      </c>
      <c r="R4384">
        <v>1</v>
      </c>
    </row>
    <row r="4385" spans="1:18" x14ac:dyDescent="0.25">
      <c r="A4385">
        <v>204384</v>
      </c>
      <c r="B4385">
        <v>52201</v>
      </c>
      <c r="C4385" t="s">
        <v>28</v>
      </c>
      <c r="D4385">
        <v>11172.18</v>
      </c>
      <c r="E4385">
        <v>837</v>
      </c>
      <c r="F4385">
        <v>3</v>
      </c>
      <c r="G4385">
        <v>1</v>
      </c>
      <c r="H4385">
        <v>1</v>
      </c>
      <c r="I4385" t="s">
        <v>19</v>
      </c>
      <c r="J4385">
        <v>0</v>
      </c>
      <c r="K4385">
        <v>76</v>
      </c>
      <c r="L4385" t="s">
        <v>20</v>
      </c>
      <c r="M4385" t="s">
        <v>31</v>
      </c>
      <c r="N4385" t="s">
        <v>22</v>
      </c>
      <c r="O4385" t="s">
        <v>27</v>
      </c>
      <c r="P4385">
        <v>5.5</v>
      </c>
      <c r="Q4385" s="2" t="b">
        <f>TRUE()</f>
        <v>1</v>
      </c>
      <c r="R4385">
        <v>1</v>
      </c>
    </row>
    <row r="4386" spans="1:18" x14ac:dyDescent="0.25">
      <c r="A4386">
        <v>204385</v>
      </c>
      <c r="B4386">
        <v>51274</v>
      </c>
      <c r="C4386" t="s">
        <v>18</v>
      </c>
      <c r="D4386">
        <v>2624.34</v>
      </c>
      <c r="E4386">
        <v>52</v>
      </c>
      <c r="F4386">
        <v>0</v>
      </c>
      <c r="G4386">
        <v>6</v>
      </c>
      <c r="H4386">
        <v>0</v>
      </c>
      <c r="I4386" t="s">
        <v>32</v>
      </c>
      <c r="J4386">
        <v>0</v>
      </c>
      <c r="K4386">
        <v>77</v>
      </c>
      <c r="L4386" t="s">
        <v>20</v>
      </c>
      <c r="M4386" t="s">
        <v>25</v>
      </c>
      <c r="N4386" t="s">
        <v>22</v>
      </c>
      <c r="O4386" t="s">
        <v>27</v>
      </c>
      <c r="P4386">
        <v>2.4300000000000002</v>
      </c>
      <c r="Q4386" s="2" t="b">
        <f>FALSE()</f>
        <v>0</v>
      </c>
      <c r="R4386">
        <v>0</v>
      </c>
    </row>
    <row r="4387" spans="1:18" x14ac:dyDescent="0.25">
      <c r="A4387">
        <v>204386</v>
      </c>
      <c r="B4387">
        <v>51263</v>
      </c>
      <c r="C4387" t="s">
        <v>34</v>
      </c>
      <c r="D4387">
        <v>1544.82</v>
      </c>
      <c r="E4387">
        <v>1168</v>
      </c>
      <c r="F4387">
        <v>1</v>
      </c>
      <c r="G4387">
        <v>1</v>
      </c>
      <c r="H4387">
        <v>0</v>
      </c>
      <c r="I4387" t="s">
        <v>33</v>
      </c>
      <c r="J4387">
        <v>1</v>
      </c>
      <c r="K4387">
        <v>64</v>
      </c>
      <c r="L4387" t="s">
        <v>20</v>
      </c>
      <c r="M4387" t="s">
        <v>35</v>
      </c>
      <c r="N4387" t="s">
        <v>22</v>
      </c>
      <c r="O4387" t="s">
        <v>27</v>
      </c>
      <c r="P4387">
        <v>0.79</v>
      </c>
      <c r="Q4387" s="2" t="b">
        <f>FALSE()</f>
        <v>0</v>
      </c>
      <c r="R4387">
        <v>0</v>
      </c>
    </row>
    <row r="4388" spans="1:18" x14ac:dyDescent="0.25">
      <c r="A4388">
        <v>204387</v>
      </c>
      <c r="B4388">
        <v>50417</v>
      </c>
      <c r="C4388" t="s">
        <v>34</v>
      </c>
      <c r="D4388">
        <v>771.75</v>
      </c>
      <c r="E4388">
        <v>2911</v>
      </c>
      <c r="F4388">
        <v>3</v>
      </c>
      <c r="G4388">
        <v>4</v>
      </c>
      <c r="H4388">
        <v>1</v>
      </c>
      <c r="I4388" t="s">
        <v>33</v>
      </c>
      <c r="J4388">
        <v>0</v>
      </c>
      <c r="K4388">
        <v>41</v>
      </c>
      <c r="L4388" t="s">
        <v>24</v>
      </c>
      <c r="M4388" t="s">
        <v>25</v>
      </c>
      <c r="N4388" t="s">
        <v>22</v>
      </c>
      <c r="O4388" t="s">
        <v>27</v>
      </c>
      <c r="P4388">
        <v>1.56</v>
      </c>
      <c r="Q4388" s="2" t="b">
        <f>FALSE()</f>
        <v>0</v>
      </c>
      <c r="R4388">
        <v>1</v>
      </c>
    </row>
    <row r="4389" spans="1:18" x14ac:dyDescent="0.25">
      <c r="A4389">
        <v>204388</v>
      </c>
      <c r="B4389">
        <v>54321</v>
      </c>
      <c r="C4389" t="s">
        <v>28</v>
      </c>
      <c r="D4389">
        <v>385.47</v>
      </c>
      <c r="E4389">
        <v>1812</v>
      </c>
      <c r="F4389">
        <v>1</v>
      </c>
      <c r="G4389">
        <v>7</v>
      </c>
      <c r="H4389">
        <v>0</v>
      </c>
      <c r="I4389" t="s">
        <v>19</v>
      </c>
      <c r="J4389">
        <v>0</v>
      </c>
      <c r="K4389">
        <v>43</v>
      </c>
      <c r="L4389" t="s">
        <v>20</v>
      </c>
      <c r="M4389" t="s">
        <v>29</v>
      </c>
      <c r="N4389" t="s">
        <v>26</v>
      </c>
      <c r="O4389" t="s">
        <v>27</v>
      </c>
      <c r="P4389">
        <v>6.49</v>
      </c>
      <c r="Q4389" s="2" t="b">
        <f>FALSE()</f>
        <v>0</v>
      </c>
      <c r="R4389">
        <v>1</v>
      </c>
    </row>
    <row r="4390" spans="1:18" x14ac:dyDescent="0.25">
      <c r="A4390">
        <v>204389</v>
      </c>
      <c r="B4390">
        <v>55658</v>
      </c>
      <c r="C4390" t="s">
        <v>34</v>
      </c>
      <c r="D4390">
        <v>3746.72</v>
      </c>
      <c r="E4390">
        <v>2073</v>
      </c>
      <c r="F4390">
        <v>1</v>
      </c>
      <c r="G4390">
        <v>5</v>
      </c>
      <c r="H4390">
        <v>0</v>
      </c>
      <c r="I4390" t="s">
        <v>33</v>
      </c>
      <c r="J4390">
        <v>0</v>
      </c>
      <c r="K4390">
        <v>51</v>
      </c>
      <c r="L4390" t="s">
        <v>24</v>
      </c>
      <c r="M4390" t="s">
        <v>37</v>
      </c>
      <c r="N4390" t="s">
        <v>26</v>
      </c>
      <c r="O4390" t="s">
        <v>36</v>
      </c>
      <c r="P4390">
        <v>0.03</v>
      </c>
      <c r="Q4390" s="2" t="b">
        <f>FALSE()</f>
        <v>0</v>
      </c>
      <c r="R4390">
        <v>1</v>
      </c>
    </row>
    <row r="4391" spans="1:18" x14ac:dyDescent="0.25">
      <c r="A4391">
        <v>204390</v>
      </c>
      <c r="B4391">
        <v>52685</v>
      </c>
      <c r="C4391" t="s">
        <v>28</v>
      </c>
      <c r="D4391">
        <v>1895.54</v>
      </c>
      <c r="E4391">
        <v>403</v>
      </c>
      <c r="F4391">
        <v>0</v>
      </c>
      <c r="G4391">
        <v>2</v>
      </c>
      <c r="H4391">
        <v>0</v>
      </c>
      <c r="I4391" t="s">
        <v>19</v>
      </c>
      <c r="J4391">
        <v>0</v>
      </c>
      <c r="K4391">
        <v>40</v>
      </c>
      <c r="L4391" t="s">
        <v>20</v>
      </c>
      <c r="M4391" t="s">
        <v>31</v>
      </c>
      <c r="N4391" t="s">
        <v>22</v>
      </c>
      <c r="O4391" t="s">
        <v>23</v>
      </c>
      <c r="P4391">
        <v>0.09</v>
      </c>
      <c r="Q4391" s="2" t="b">
        <f>FALSE()</f>
        <v>0</v>
      </c>
      <c r="R4391">
        <v>0</v>
      </c>
    </row>
    <row r="4392" spans="1:18" x14ac:dyDescent="0.25">
      <c r="A4392">
        <v>204391</v>
      </c>
      <c r="B4392">
        <v>53278</v>
      </c>
      <c r="C4392" t="s">
        <v>18</v>
      </c>
      <c r="D4392">
        <v>2413.25</v>
      </c>
      <c r="E4392">
        <v>1331</v>
      </c>
      <c r="F4392">
        <v>1</v>
      </c>
      <c r="G4392">
        <v>6</v>
      </c>
      <c r="H4392">
        <v>1</v>
      </c>
      <c r="I4392" t="s">
        <v>33</v>
      </c>
      <c r="J4392">
        <v>0</v>
      </c>
      <c r="K4392">
        <v>59</v>
      </c>
      <c r="L4392" t="s">
        <v>24</v>
      </c>
      <c r="M4392" t="s">
        <v>25</v>
      </c>
      <c r="N4392" t="s">
        <v>22</v>
      </c>
      <c r="O4392" t="s">
        <v>23</v>
      </c>
      <c r="P4392">
        <v>0.09</v>
      </c>
      <c r="Q4392" s="2" t="b">
        <f>FALSE()</f>
        <v>0</v>
      </c>
      <c r="R4392">
        <v>0</v>
      </c>
    </row>
    <row r="4393" spans="1:18" x14ac:dyDescent="0.25">
      <c r="A4393">
        <v>204392</v>
      </c>
      <c r="B4393">
        <v>52204</v>
      </c>
      <c r="C4393" t="s">
        <v>18</v>
      </c>
      <c r="D4393">
        <v>1798.13</v>
      </c>
      <c r="E4393">
        <v>1112</v>
      </c>
      <c r="F4393">
        <v>3</v>
      </c>
      <c r="G4393">
        <v>4</v>
      </c>
      <c r="H4393">
        <v>0</v>
      </c>
      <c r="I4393" t="s">
        <v>19</v>
      </c>
      <c r="J4393">
        <v>0</v>
      </c>
      <c r="K4393">
        <v>19</v>
      </c>
      <c r="L4393" t="s">
        <v>24</v>
      </c>
      <c r="M4393" t="s">
        <v>25</v>
      </c>
      <c r="N4393" t="s">
        <v>26</v>
      </c>
      <c r="O4393" t="s">
        <v>27</v>
      </c>
      <c r="P4393">
        <v>1.06</v>
      </c>
      <c r="Q4393" s="2" t="b">
        <f>FALSE()</f>
        <v>0</v>
      </c>
      <c r="R4393">
        <v>1</v>
      </c>
    </row>
    <row r="4394" spans="1:18" x14ac:dyDescent="0.25">
      <c r="A4394">
        <v>204393</v>
      </c>
      <c r="B4394">
        <v>55677</v>
      </c>
      <c r="C4394" t="s">
        <v>18</v>
      </c>
      <c r="D4394">
        <v>5844.13</v>
      </c>
      <c r="E4394">
        <v>26</v>
      </c>
      <c r="F4394">
        <v>3</v>
      </c>
      <c r="G4394">
        <v>3</v>
      </c>
      <c r="H4394">
        <v>1</v>
      </c>
      <c r="I4394" t="s">
        <v>33</v>
      </c>
      <c r="J4394">
        <v>0</v>
      </c>
      <c r="K4394">
        <v>45</v>
      </c>
      <c r="L4394" t="s">
        <v>20</v>
      </c>
      <c r="M4394" t="s">
        <v>29</v>
      </c>
      <c r="N4394" t="s">
        <v>22</v>
      </c>
      <c r="O4394" t="s">
        <v>36</v>
      </c>
      <c r="P4394">
        <v>8.91</v>
      </c>
      <c r="Q4394" s="2" t="b">
        <f>FALSE()</f>
        <v>0</v>
      </c>
      <c r="R4394">
        <v>1</v>
      </c>
    </row>
    <row r="4395" spans="1:18" x14ac:dyDescent="0.25">
      <c r="A4395">
        <v>204394</v>
      </c>
      <c r="B4395">
        <v>53486</v>
      </c>
      <c r="C4395" t="s">
        <v>18</v>
      </c>
      <c r="D4395">
        <v>2940.64</v>
      </c>
      <c r="E4395">
        <v>2490</v>
      </c>
      <c r="F4395">
        <v>2</v>
      </c>
      <c r="G4395">
        <v>3</v>
      </c>
      <c r="H4395">
        <v>0</v>
      </c>
      <c r="I4395" t="s">
        <v>33</v>
      </c>
      <c r="J4395">
        <v>0</v>
      </c>
      <c r="K4395">
        <v>23</v>
      </c>
      <c r="L4395" t="s">
        <v>20</v>
      </c>
      <c r="M4395" t="s">
        <v>29</v>
      </c>
      <c r="N4395" t="s">
        <v>30</v>
      </c>
      <c r="O4395" t="s">
        <v>23</v>
      </c>
      <c r="P4395">
        <v>1.04</v>
      </c>
      <c r="Q4395" s="2" t="b">
        <f>FALSE()</f>
        <v>0</v>
      </c>
      <c r="R4395">
        <v>0</v>
      </c>
    </row>
    <row r="4396" spans="1:18" x14ac:dyDescent="0.25">
      <c r="A4396">
        <v>204395</v>
      </c>
      <c r="B4396">
        <v>51922</v>
      </c>
      <c r="C4396" t="s">
        <v>18</v>
      </c>
      <c r="D4396">
        <v>1732.71</v>
      </c>
      <c r="E4396">
        <v>736</v>
      </c>
      <c r="F4396">
        <v>1</v>
      </c>
      <c r="G4396">
        <v>1</v>
      </c>
      <c r="H4396">
        <v>1</v>
      </c>
      <c r="I4396" t="s">
        <v>33</v>
      </c>
      <c r="J4396">
        <v>1</v>
      </c>
      <c r="K4396">
        <v>41</v>
      </c>
      <c r="L4396" t="s">
        <v>24</v>
      </c>
      <c r="M4396" t="s">
        <v>31</v>
      </c>
      <c r="N4396" t="s">
        <v>22</v>
      </c>
      <c r="O4396" t="s">
        <v>36</v>
      </c>
      <c r="P4396">
        <v>0.13</v>
      </c>
      <c r="Q4396" s="2" t="b">
        <f>FALSE()</f>
        <v>0</v>
      </c>
      <c r="R4396">
        <v>0</v>
      </c>
    </row>
    <row r="4397" spans="1:18" x14ac:dyDescent="0.25">
      <c r="A4397">
        <v>204396</v>
      </c>
      <c r="B4397">
        <v>53933</v>
      </c>
      <c r="C4397" t="s">
        <v>18</v>
      </c>
      <c r="D4397">
        <v>741.4</v>
      </c>
      <c r="E4397">
        <v>295</v>
      </c>
      <c r="F4397">
        <v>0</v>
      </c>
      <c r="G4397">
        <v>6</v>
      </c>
      <c r="H4397">
        <v>0</v>
      </c>
      <c r="I4397" t="s">
        <v>32</v>
      </c>
      <c r="J4397">
        <v>0</v>
      </c>
      <c r="K4397">
        <v>79</v>
      </c>
      <c r="L4397" t="s">
        <v>24</v>
      </c>
      <c r="M4397" t="s">
        <v>29</v>
      </c>
      <c r="N4397" t="s">
        <v>22</v>
      </c>
      <c r="O4397" t="s">
        <v>27</v>
      </c>
      <c r="P4397">
        <v>0.05</v>
      </c>
      <c r="Q4397" s="2" t="b">
        <f>FALSE()</f>
        <v>0</v>
      </c>
      <c r="R4397">
        <v>0</v>
      </c>
    </row>
    <row r="4398" spans="1:18" x14ac:dyDescent="0.25">
      <c r="A4398">
        <v>204397</v>
      </c>
      <c r="B4398">
        <v>50618</v>
      </c>
      <c r="C4398" t="s">
        <v>18</v>
      </c>
      <c r="D4398">
        <v>2011.88</v>
      </c>
      <c r="E4398">
        <v>2406</v>
      </c>
      <c r="F4398">
        <v>1</v>
      </c>
      <c r="G4398">
        <v>5</v>
      </c>
      <c r="H4398">
        <v>0</v>
      </c>
      <c r="I4398" t="s">
        <v>32</v>
      </c>
      <c r="J4398">
        <v>0</v>
      </c>
      <c r="K4398">
        <v>61</v>
      </c>
      <c r="L4398" t="s">
        <v>20</v>
      </c>
      <c r="M4398" t="s">
        <v>25</v>
      </c>
      <c r="N4398" t="s">
        <v>30</v>
      </c>
      <c r="O4398" t="s">
        <v>23</v>
      </c>
      <c r="P4398">
        <v>3.18</v>
      </c>
      <c r="Q4398" s="2" t="b">
        <f>FALSE()</f>
        <v>0</v>
      </c>
      <c r="R4398">
        <v>0</v>
      </c>
    </row>
    <row r="4399" spans="1:18" x14ac:dyDescent="0.25">
      <c r="A4399">
        <v>204398</v>
      </c>
      <c r="B4399">
        <v>52392</v>
      </c>
      <c r="C4399" t="s">
        <v>28</v>
      </c>
      <c r="D4399">
        <v>5407.68</v>
      </c>
      <c r="E4399">
        <v>931</v>
      </c>
      <c r="F4399">
        <v>1</v>
      </c>
      <c r="G4399">
        <v>5</v>
      </c>
      <c r="H4399">
        <v>1</v>
      </c>
      <c r="I4399" t="s">
        <v>32</v>
      </c>
      <c r="J4399">
        <v>1</v>
      </c>
      <c r="K4399">
        <v>81</v>
      </c>
      <c r="L4399" t="s">
        <v>24</v>
      </c>
      <c r="M4399" t="s">
        <v>37</v>
      </c>
      <c r="N4399" t="s">
        <v>26</v>
      </c>
      <c r="O4399" t="s">
        <v>27</v>
      </c>
      <c r="P4399">
        <v>0.77</v>
      </c>
      <c r="Q4399" s="2" t="b">
        <f>FALSE()</f>
        <v>0</v>
      </c>
      <c r="R4399">
        <v>1</v>
      </c>
    </row>
    <row r="4400" spans="1:18" x14ac:dyDescent="0.25">
      <c r="A4400">
        <v>204399</v>
      </c>
      <c r="B4400">
        <v>52133</v>
      </c>
      <c r="C4400" t="s">
        <v>34</v>
      </c>
      <c r="D4400">
        <v>3365.42</v>
      </c>
      <c r="E4400">
        <v>1781</v>
      </c>
      <c r="F4400">
        <v>0</v>
      </c>
      <c r="G4400">
        <v>4</v>
      </c>
      <c r="H4400">
        <v>0</v>
      </c>
      <c r="I4400" t="s">
        <v>33</v>
      </c>
      <c r="J4400">
        <v>0</v>
      </c>
      <c r="K4400">
        <v>22</v>
      </c>
      <c r="L4400" t="s">
        <v>24</v>
      </c>
      <c r="M4400" t="s">
        <v>21</v>
      </c>
      <c r="N4400" t="s">
        <v>22</v>
      </c>
      <c r="O4400" t="s">
        <v>36</v>
      </c>
      <c r="P4400">
        <v>8.5</v>
      </c>
      <c r="Q4400" s="2" t="b">
        <f>FALSE()</f>
        <v>0</v>
      </c>
      <c r="R4400">
        <v>0</v>
      </c>
    </row>
    <row r="4401" spans="1:18" x14ac:dyDescent="0.25">
      <c r="A4401">
        <v>204400</v>
      </c>
      <c r="B4401">
        <v>55273</v>
      </c>
      <c r="C4401" t="s">
        <v>18</v>
      </c>
      <c r="D4401">
        <v>1566.27</v>
      </c>
      <c r="E4401">
        <v>1344</v>
      </c>
      <c r="F4401">
        <v>1</v>
      </c>
      <c r="G4401">
        <v>4</v>
      </c>
      <c r="H4401">
        <v>0</v>
      </c>
      <c r="I4401" t="s">
        <v>33</v>
      </c>
      <c r="J4401">
        <v>0</v>
      </c>
      <c r="K4401">
        <v>77</v>
      </c>
      <c r="L4401" t="s">
        <v>20</v>
      </c>
      <c r="M4401" t="s">
        <v>21</v>
      </c>
      <c r="N4401" t="s">
        <v>30</v>
      </c>
      <c r="O4401" t="s">
        <v>27</v>
      </c>
      <c r="P4401">
        <v>0.41</v>
      </c>
      <c r="Q4401" s="2" t="b">
        <f>FALSE()</f>
        <v>0</v>
      </c>
      <c r="R4401">
        <v>0</v>
      </c>
    </row>
    <row r="4402" spans="1:18" x14ac:dyDescent="0.25">
      <c r="A4402">
        <v>204401</v>
      </c>
      <c r="B4402">
        <v>52503</v>
      </c>
      <c r="C4402" t="s">
        <v>34</v>
      </c>
      <c r="D4402">
        <v>2479.54</v>
      </c>
      <c r="E4402">
        <v>229</v>
      </c>
      <c r="F4402">
        <v>1</v>
      </c>
      <c r="G4402">
        <v>3</v>
      </c>
      <c r="H4402">
        <v>1</v>
      </c>
      <c r="I4402" t="s">
        <v>33</v>
      </c>
      <c r="J4402">
        <v>1</v>
      </c>
      <c r="K4402">
        <v>58</v>
      </c>
      <c r="L4402" t="s">
        <v>38</v>
      </c>
      <c r="M4402" t="s">
        <v>25</v>
      </c>
      <c r="N4402" t="s">
        <v>30</v>
      </c>
      <c r="O4402" t="s">
        <v>27</v>
      </c>
      <c r="P4402">
        <v>8.8000000000000007</v>
      </c>
      <c r="Q4402" s="2" t="b">
        <f>FALSE()</f>
        <v>0</v>
      </c>
      <c r="R4402">
        <v>0</v>
      </c>
    </row>
    <row r="4403" spans="1:18" x14ac:dyDescent="0.25">
      <c r="A4403">
        <v>204402</v>
      </c>
      <c r="B4403">
        <v>51811</v>
      </c>
      <c r="C4403" t="s">
        <v>34</v>
      </c>
      <c r="D4403">
        <v>3083.29</v>
      </c>
      <c r="E4403">
        <v>883</v>
      </c>
      <c r="F4403">
        <v>0</v>
      </c>
      <c r="G4403">
        <v>4</v>
      </c>
      <c r="H4403">
        <v>1</v>
      </c>
      <c r="I4403" t="s">
        <v>32</v>
      </c>
      <c r="J4403">
        <v>0</v>
      </c>
      <c r="K4403">
        <v>22</v>
      </c>
      <c r="L4403" t="s">
        <v>20</v>
      </c>
      <c r="M4403" t="s">
        <v>35</v>
      </c>
      <c r="N4403" t="s">
        <v>26</v>
      </c>
      <c r="O4403" t="s">
        <v>23</v>
      </c>
      <c r="P4403">
        <v>1.69</v>
      </c>
      <c r="Q4403" s="2" t="b">
        <f>FALSE()</f>
        <v>0</v>
      </c>
      <c r="R4403">
        <v>0</v>
      </c>
    </row>
    <row r="4404" spans="1:18" x14ac:dyDescent="0.25">
      <c r="A4404">
        <v>204403</v>
      </c>
      <c r="B4404">
        <v>52857</v>
      </c>
      <c r="C4404" t="s">
        <v>28</v>
      </c>
      <c r="D4404">
        <v>1794.35</v>
      </c>
      <c r="E4404">
        <v>2304</v>
      </c>
      <c r="F4404">
        <v>2</v>
      </c>
      <c r="G4404">
        <v>3</v>
      </c>
      <c r="H4404">
        <v>1</v>
      </c>
      <c r="I4404" t="s">
        <v>33</v>
      </c>
      <c r="J4404">
        <v>0</v>
      </c>
      <c r="K4404">
        <v>18</v>
      </c>
      <c r="L4404" t="s">
        <v>20</v>
      </c>
      <c r="M4404" t="s">
        <v>31</v>
      </c>
      <c r="N4404" t="s">
        <v>22</v>
      </c>
      <c r="O4404" t="s">
        <v>36</v>
      </c>
      <c r="P4404">
        <v>0.31</v>
      </c>
      <c r="Q4404" s="2" t="b">
        <f>FALSE()</f>
        <v>0</v>
      </c>
      <c r="R4404">
        <v>0</v>
      </c>
    </row>
    <row r="4405" spans="1:18" x14ac:dyDescent="0.25">
      <c r="A4405">
        <v>204404</v>
      </c>
      <c r="B4405">
        <v>52286</v>
      </c>
      <c r="C4405" t="s">
        <v>34</v>
      </c>
      <c r="D4405">
        <v>4574.41</v>
      </c>
      <c r="E4405">
        <v>714</v>
      </c>
      <c r="F4405">
        <v>3</v>
      </c>
      <c r="G4405">
        <v>4</v>
      </c>
      <c r="H4405">
        <v>0</v>
      </c>
      <c r="I4405" t="s">
        <v>19</v>
      </c>
      <c r="J4405">
        <v>0</v>
      </c>
      <c r="K4405">
        <v>42</v>
      </c>
      <c r="L4405" t="s">
        <v>20</v>
      </c>
      <c r="M4405" t="s">
        <v>35</v>
      </c>
      <c r="N4405" t="s">
        <v>22</v>
      </c>
      <c r="O4405" t="s">
        <v>23</v>
      </c>
      <c r="P4405">
        <v>0.33</v>
      </c>
      <c r="Q4405" s="2" t="b">
        <f>FALSE()</f>
        <v>0</v>
      </c>
      <c r="R4405">
        <v>1</v>
      </c>
    </row>
    <row r="4406" spans="1:18" x14ac:dyDescent="0.25">
      <c r="A4406">
        <v>204405</v>
      </c>
      <c r="B4406">
        <v>53305</v>
      </c>
      <c r="C4406" t="s">
        <v>34</v>
      </c>
      <c r="D4406">
        <v>2166.21</v>
      </c>
      <c r="E4406">
        <v>313</v>
      </c>
      <c r="F4406">
        <v>3</v>
      </c>
      <c r="G4406">
        <v>5</v>
      </c>
      <c r="H4406">
        <v>0</v>
      </c>
      <c r="I4406" t="s">
        <v>33</v>
      </c>
      <c r="J4406">
        <v>0</v>
      </c>
      <c r="K4406">
        <v>23</v>
      </c>
      <c r="L4406" t="s">
        <v>24</v>
      </c>
      <c r="M4406" t="s">
        <v>31</v>
      </c>
      <c r="N4406" t="s">
        <v>22</v>
      </c>
      <c r="O4406" t="s">
        <v>36</v>
      </c>
      <c r="P4406">
        <v>1.53</v>
      </c>
      <c r="Q4406" s="2" t="b">
        <f>FALSE()</f>
        <v>0</v>
      </c>
      <c r="R4406">
        <v>1</v>
      </c>
    </row>
    <row r="4407" spans="1:18" x14ac:dyDescent="0.25">
      <c r="A4407">
        <v>204406</v>
      </c>
      <c r="B4407">
        <v>50931</v>
      </c>
      <c r="C4407" t="s">
        <v>18</v>
      </c>
      <c r="D4407">
        <v>494.1</v>
      </c>
      <c r="E4407">
        <v>3530</v>
      </c>
      <c r="F4407">
        <v>1</v>
      </c>
      <c r="G4407">
        <v>4</v>
      </c>
      <c r="H4407">
        <v>1</v>
      </c>
      <c r="I4407" t="s">
        <v>33</v>
      </c>
      <c r="J4407">
        <v>0</v>
      </c>
      <c r="K4407">
        <v>53</v>
      </c>
      <c r="L4407" t="s">
        <v>24</v>
      </c>
      <c r="M4407" t="s">
        <v>29</v>
      </c>
      <c r="N4407" t="s">
        <v>22</v>
      </c>
      <c r="O4407" t="s">
        <v>36</v>
      </c>
      <c r="P4407">
        <v>6.33</v>
      </c>
      <c r="Q4407" s="2" t="b">
        <f>FALSE()</f>
        <v>0</v>
      </c>
      <c r="R4407">
        <v>0</v>
      </c>
    </row>
    <row r="4408" spans="1:18" x14ac:dyDescent="0.25">
      <c r="A4408">
        <v>204407</v>
      </c>
      <c r="B4408">
        <v>51342</v>
      </c>
      <c r="C4408" t="s">
        <v>28</v>
      </c>
      <c r="D4408">
        <v>1190.3900000000001</v>
      </c>
      <c r="E4408">
        <v>83</v>
      </c>
      <c r="F4408">
        <v>2</v>
      </c>
      <c r="G4408">
        <v>6</v>
      </c>
      <c r="H4408">
        <v>0</v>
      </c>
      <c r="I4408" t="s">
        <v>33</v>
      </c>
      <c r="J4408">
        <v>0</v>
      </c>
      <c r="K4408">
        <v>44</v>
      </c>
      <c r="L4408" t="s">
        <v>20</v>
      </c>
      <c r="M4408" t="s">
        <v>31</v>
      </c>
      <c r="N4408" t="s">
        <v>22</v>
      </c>
      <c r="O4408" t="s">
        <v>23</v>
      </c>
      <c r="P4408">
        <v>12.51</v>
      </c>
      <c r="Q4408" s="2" t="b">
        <f>FALSE()</f>
        <v>0</v>
      </c>
      <c r="R4408">
        <v>0</v>
      </c>
    </row>
    <row r="4409" spans="1:18" x14ac:dyDescent="0.25">
      <c r="A4409">
        <v>204408</v>
      </c>
      <c r="B4409">
        <v>55994</v>
      </c>
      <c r="C4409" t="s">
        <v>34</v>
      </c>
      <c r="D4409">
        <v>1157.3699999999999</v>
      </c>
      <c r="E4409">
        <v>1035</v>
      </c>
      <c r="F4409">
        <v>2</v>
      </c>
      <c r="G4409">
        <v>5</v>
      </c>
      <c r="H4409">
        <v>0</v>
      </c>
      <c r="I4409" t="s">
        <v>33</v>
      </c>
      <c r="J4409">
        <v>0</v>
      </c>
      <c r="K4409">
        <v>32</v>
      </c>
      <c r="L4409" t="s">
        <v>20</v>
      </c>
      <c r="M4409" t="s">
        <v>25</v>
      </c>
      <c r="N4409" t="s">
        <v>30</v>
      </c>
      <c r="O4409" t="s">
        <v>27</v>
      </c>
      <c r="P4409">
        <v>5.45</v>
      </c>
      <c r="Q4409" s="2" t="b">
        <f>FALSE()</f>
        <v>0</v>
      </c>
      <c r="R4409">
        <v>0</v>
      </c>
    </row>
    <row r="4410" spans="1:18" x14ac:dyDescent="0.25">
      <c r="A4410">
        <v>204409</v>
      </c>
      <c r="B4410">
        <v>53857</v>
      </c>
      <c r="C4410" t="s">
        <v>34</v>
      </c>
      <c r="D4410">
        <v>772.84</v>
      </c>
      <c r="E4410">
        <v>2146</v>
      </c>
      <c r="F4410">
        <v>5</v>
      </c>
      <c r="G4410">
        <v>5</v>
      </c>
      <c r="H4410">
        <v>1</v>
      </c>
      <c r="I4410" t="s">
        <v>32</v>
      </c>
      <c r="J4410">
        <v>0</v>
      </c>
      <c r="K4410">
        <v>57</v>
      </c>
      <c r="L4410" t="s">
        <v>24</v>
      </c>
      <c r="M4410" t="s">
        <v>35</v>
      </c>
      <c r="N4410" t="s">
        <v>26</v>
      </c>
      <c r="O4410" t="s">
        <v>36</v>
      </c>
      <c r="P4410">
        <v>3.78</v>
      </c>
      <c r="Q4410" s="2" t="b">
        <f>FALSE()</f>
        <v>0</v>
      </c>
      <c r="R4410">
        <v>1</v>
      </c>
    </row>
    <row r="4411" spans="1:18" x14ac:dyDescent="0.25">
      <c r="A4411">
        <v>204410</v>
      </c>
      <c r="B4411">
        <v>54355</v>
      </c>
      <c r="C4411" t="s">
        <v>34</v>
      </c>
      <c r="D4411">
        <v>3445.38</v>
      </c>
      <c r="E4411">
        <v>821</v>
      </c>
      <c r="F4411">
        <v>2</v>
      </c>
      <c r="G4411">
        <v>0</v>
      </c>
      <c r="H4411">
        <v>0</v>
      </c>
      <c r="I4411" t="s">
        <v>19</v>
      </c>
      <c r="J4411">
        <v>0</v>
      </c>
      <c r="K4411">
        <v>21</v>
      </c>
      <c r="L4411" t="s">
        <v>20</v>
      </c>
      <c r="M4411" t="s">
        <v>31</v>
      </c>
      <c r="N4411" t="s">
        <v>22</v>
      </c>
      <c r="O4411" t="s">
        <v>27</v>
      </c>
      <c r="P4411">
        <v>6.64</v>
      </c>
      <c r="Q4411" s="2" t="b">
        <f>FALSE()</f>
        <v>0</v>
      </c>
      <c r="R4411">
        <v>0</v>
      </c>
    </row>
    <row r="4412" spans="1:18" x14ac:dyDescent="0.25">
      <c r="A4412">
        <v>204411</v>
      </c>
      <c r="B4412">
        <v>50223</v>
      </c>
      <c r="C4412" t="s">
        <v>34</v>
      </c>
      <c r="D4412">
        <v>1772.87</v>
      </c>
      <c r="E4412">
        <v>3432</v>
      </c>
      <c r="F4412">
        <v>2</v>
      </c>
      <c r="G4412">
        <v>4</v>
      </c>
      <c r="H4412">
        <v>0</v>
      </c>
      <c r="I4412" t="s">
        <v>33</v>
      </c>
      <c r="J4412">
        <v>0</v>
      </c>
      <c r="K4412">
        <v>69</v>
      </c>
      <c r="L4412" t="s">
        <v>24</v>
      </c>
      <c r="M4412" t="s">
        <v>29</v>
      </c>
      <c r="N4412" t="s">
        <v>26</v>
      </c>
      <c r="O4412" t="s">
        <v>36</v>
      </c>
      <c r="P4412">
        <v>2.9</v>
      </c>
      <c r="Q4412" s="2" t="b">
        <f>FALSE()</f>
        <v>0</v>
      </c>
      <c r="R4412">
        <v>0</v>
      </c>
    </row>
    <row r="4413" spans="1:18" x14ac:dyDescent="0.25">
      <c r="A4413">
        <v>204412</v>
      </c>
      <c r="B4413">
        <v>51640</v>
      </c>
      <c r="C4413" t="s">
        <v>18</v>
      </c>
      <c r="D4413">
        <v>2525.9699999999998</v>
      </c>
      <c r="E4413">
        <v>805</v>
      </c>
      <c r="F4413">
        <v>2</v>
      </c>
      <c r="G4413">
        <v>3</v>
      </c>
      <c r="H4413">
        <v>0</v>
      </c>
      <c r="I4413" t="s">
        <v>32</v>
      </c>
      <c r="J4413">
        <v>1</v>
      </c>
      <c r="K4413">
        <v>29</v>
      </c>
      <c r="L4413" t="s">
        <v>20</v>
      </c>
      <c r="M4413" t="s">
        <v>31</v>
      </c>
      <c r="N4413" t="s">
        <v>22</v>
      </c>
      <c r="O4413" t="s">
        <v>23</v>
      </c>
      <c r="P4413">
        <v>3.28</v>
      </c>
      <c r="Q4413" s="2" t="b">
        <f>FALSE()</f>
        <v>0</v>
      </c>
      <c r="R4413">
        <v>0</v>
      </c>
    </row>
    <row r="4414" spans="1:18" x14ac:dyDescent="0.25">
      <c r="A4414">
        <v>204413</v>
      </c>
      <c r="B4414">
        <v>54681</v>
      </c>
      <c r="C4414" t="s">
        <v>18</v>
      </c>
      <c r="D4414">
        <v>3458.65</v>
      </c>
      <c r="E4414">
        <v>2020</v>
      </c>
      <c r="F4414">
        <v>0</v>
      </c>
      <c r="G4414">
        <v>5</v>
      </c>
      <c r="H4414">
        <v>0</v>
      </c>
      <c r="I4414" t="s">
        <v>33</v>
      </c>
      <c r="J4414">
        <v>0</v>
      </c>
      <c r="K4414">
        <v>64</v>
      </c>
      <c r="L4414" t="s">
        <v>24</v>
      </c>
      <c r="M4414" t="s">
        <v>35</v>
      </c>
      <c r="N4414" t="s">
        <v>22</v>
      </c>
      <c r="O4414" t="s">
        <v>36</v>
      </c>
      <c r="P4414">
        <v>1.6</v>
      </c>
      <c r="Q4414" s="2" t="b">
        <f>FALSE()</f>
        <v>0</v>
      </c>
      <c r="R4414">
        <v>0</v>
      </c>
    </row>
    <row r="4415" spans="1:18" x14ac:dyDescent="0.25">
      <c r="A4415">
        <v>204414</v>
      </c>
      <c r="B4415">
        <v>53694</v>
      </c>
      <c r="C4415" t="s">
        <v>28</v>
      </c>
      <c r="D4415">
        <v>1763.59</v>
      </c>
      <c r="E4415">
        <v>885</v>
      </c>
      <c r="F4415">
        <v>1</v>
      </c>
      <c r="G4415">
        <v>5</v>
      </c>
      <c r="H4415">
        <v>0</v>
      </c>
      <c r="I4415" t="s">
        <v>33</v>
      </c>
      <c r="J4415">
        <v>0</v>
      </c>
      <c r="K4415">
        <v>32</v>
      </c>
      <c r="L4415" t="s">
        <v>38</v>
      </c>
      <c r="M4415" t="s">
        <v>37</v>
      </c>
      <c r="N4415" t="s">
        <v>22</v>
      </c>
      <c r="O4415" t="s">
        <v>36</v>
      </c>
      <c r="P4415">
        <v>0.68</v>
      </c>
      <c r="Q4415" s="2" t="b">
        <f>FALSE()</f>
        <v>0</v>
      </c>
      <c r="R4415">
        <v>0</v>
      </c>
    </row>
    <row r="4416" spans="1:18" x14ac:dyDescent="0.25">
      <c r="A4416">
        <v>204415</v>
      </c>
      <c r="B4416">
        <v>53019</v>
      </c>
      <c r="C4416" t="s">
        <v>34</v>
      </c>
      <c r="D4416">
        <v>3197.56</v>
      </c>
      <c r="E4416">
        <v>1588</v>
      </c>
      <c r="F4416">
        <v>0</v>
      </c>
      <c r="G4416">
        <v>1</v>
      </c>
      <c r="H4416">
        <v>0</v>
      </c>
      <c r="I4416" t="s">
        <v>32</v>
      </c>
      <c r="J4416">
        <v>1</v>
      </c>
      <c r="K4416">
        <v>24</v>
      </c>
      <c r="L4416" t="s">
        <v>20</v>
      </c>
      <c r="M4416" t="s">
        <v>25</v>
      </c>
      <c r="N4416" t="s">
        <v>26</v>
      </c>
      <c r="O4416" t="s">
        <v>36</v>
      </c>
      <c r="P4416">
        <v>3.7</v>
      </c>
      <c r="Q4416" s="2" t="b">
        <f>FALSE()</f>
        <v>0</v>
      </c>
      <c r="R4416">
        <v>0</v>
      </c>
    </row>
    <row r="4417" spans="1:18" x14ac:dyDescent="0.25">
      <c r="A4417">
        <v>204416</v>
      </c>
      <c r="B4417">
        <v>55844</v>
      </c>
      <c r="C4417" t="s">
        <v>34</v>
      </c>
      <c r="D4417">
        <v>1946.6</v>
      </c>
      <c r="E4417">
        <v>195</v>
      </c>
      <c r="F4417">
        <v>1</v>
      </c>
      <c r="G4417">
        <v>6</v>
      </c>
      <c r="H4417">
        <v>0</v>
      </c>
      <c r="I4417" t="s">
        <v>32</v>
      </c>
      <c r="J4417">
        <v>0</v>
      </c>
      <c r="K4417">
        <v>26</v>
      </c>
      <c r="L4417" t="s">
        <v>20</v>
      </c>
      <c r="M4417" t="s">
        <v>21</v>
      </c>
      <c r="N4417" t="s">
        <v>30</v>
      </c>
      <c r="O4417" t="s">
        <v>27</v>
      </c>
      <c r="P4417">
        <v>3.26</v>
      </c>
      <c r="Q4417" s="2" t="b">
        <f>FALSE()</f>
        <v>0</v>
      </c>
      <c r="R4417">
        <v>0</v>
      </c>
    </row>
    <row r="4418" spans="1:18" x14ac:dyDescent="0.25">
      <c r="A4418">
        <v>204417</v>
      </c>
      <c r="B4418">
        <v>53125</v>
      </c>
      <c r="C4418" t="s">
        <v>18</v>
      </c>
      <c r="D4418">
        <v>702.81</v>
      </c>
      <c r="E4418">
        <v>3168</v>
      </c>
      <c r="F4418">
        <v>2</v>
      </c>
      <c r="G4418">
        <v>4</v>
      </c>
      <c r="H4418">
        <v>0</v>
      </c>
      <c r="I4418" t="s">
        <v>33</v>
      </c>
      <c r="J4418">
        <v>0</v>
      </c>
      <c r="K4418">
        <v>81</v>
      </c>
      <c r="L4418" t="s">
        <v>20</v>
      </c>
      <c r="M4418" t="s">
        <v>21</v>
      </c>
      <c r="N4418" t="s">
        <v>26</v>
      </c>
      <c r="O4418" t="s">
        <v>23</v>
      </c>
      <c r="P4418">
        <v>5.17</v>
      </c>
      <c r="Q4418" s="2" t="b">
        <f>FALSE()</f>
        <v>0</v>
      </c>
      <c r="R4418">
        <v>0</v>
      </c>
    </row>
    <row r="4419" spans="1:18" x14ac:dyDescent="0.25">
      <c r="A4419">
        <v>204418</v>
      </c>
      <c r="B4419">
        <v>55505</v>
      </c>
      <c r="C4419" t="s">
        <v>34</v>
      </c>
      <c r="D4419">
        <v>1320.4</v>
      </c>
      <c r="E4419">
        <v>3322</v>
      </c>
      <c r="F4419">
        <v>1</v>
      </c>
      <c r="G4419">
        <v>2</v>
      </c>
      <c r="H4419">
        <v>0</v>
      </c>
      <c r="I4419" t="s">
        <v>19</v>
      </c>
      <c r="J4419">
        <v>0</v>
      </c>
      <c r="K4419">
        <v>44</v>
      </c>
      <c r="L4419" t="s">
        <v>20</v>
      </c>
      <c r="M4419" t="s">
        <v>31</v>
      </c>
      <c r="N4419" t="s">
        <v>26</v>
      </c>
      <c r="O4419" t="s">
        <v>36</v>
      </c>
      <c r="P4419">
        <v>0.21</v>
      </c>
      <c r="Q4419" s="2" t="b">
        <f>FALSE()</f>
        <v>0</v>
      </c>
      <c r="R4419">
        <v>0</v>
      </c>
    </row>
    <row r="4420" spans="1:18" x14ac:dyDescent="0.25">
      <c r="A4420">
        <v>204419</v>
      </c>
      <c r="B4420">
        <v>50626</v>
      </c>
      <c r="C4420" t="s">
        <v>18</v>
      </c>
      <c r="D4420">
        <v>3870.81</v>
      </c>
      <c r="E4420">
        <v>808</v>
      </c>
      <c r="F4420">
        <v>0</v>
      </c>
      <c r="G4420">
        <v>2</v>
      </c>
      <c r="H4420">
        <v>0</v>
      </c>
      <c r="I4420" t="s">
        <v>33</v>
      </c>
      <c r="J4420">
        <v>0</v>
      </c>
      <c r="K4420">
        <v>22</v>
      </c>
      <c r="L4420" t="s">
        <v>24</v>
      </c>
      <c r="M4420" t="s">
        <v>35</v>
      </c>
      <c r="N4420" t="s">
        <v>22</v>
      </c>
      <c r="O4420" t="s">
        <v>27</v>
      </c>
      <c r="P4420">
        <v>1.1399999999999999</v>
      </c>
      <c r="Q4420" s="2" t="b">
        <f>FALSE()</f>
        <v>0</v>
      </c>
      <c r="R4420">
        <v>1</v>
      </c>
    </row>
    <row r="4421" spans="1:18" x14ac:dyDescent="0.25">
      <c r="A4421">
        <v>204420</v>
      </c>
      <c r="B4421">
        <v>50964</v>
      </c>
      <c r="C4421" t="s">
        <v>34</v>
      </c>
      <c r="D4421">
        <v>1971.96</v>
      </c>
      <c r="E4421">
        <v>1370</v>
      </c>
      <c r="F4421">
        <v>2</v>
      </c>
      <c r="G4421">
        <v>4</v>
      </c>
      <c r="H4421">
        <v>0</v>
      </c>
      <c r="I4421" t="s">
        <v>33</v>
      </c>
      <c r="J4421">
        <v>1</v>
      </c>
      <c r="K4421">
        <v>58</v>
      </c>
      <c r="L4421" t="s">
        <v>24</v>
      </c>
      <c r="M4421" t="s">
        <v>37</v>
      </c>
      <c r="N4421" t="s">
        <v>30</v>
      </c>
      <c r="O4421" t="s">
        <v>27</v>
      </c>
      <c r="P4421">
        <v>2.25</v>
      </c>
      <c r="Q4421" s="2" t="b">
        <f>FALSE()</f>
        <v>0</v>
      </c>
      <c r="R4421">
        <v>0</v>
      </c>
    </row>
    <row r="4422" spans="1:18" x14ac:dyDescent="0.25">
      <c r="A4422">
        <v>204421</v>
      </c>
      <c r="B4422">
        <v>50987</v>
      </c>
      <c r="C4422" t="s">
        <v>28</v>
      </c>
      <c r="D4422">
        <v>4067.63</v>
      </c>
      <c r="E4422">
        <v>2394</v>
      </c>
      <c r="F4422">
        <v>2</v>
      </c>
      <c r="G4422">
        <v>4</v>
      </c>
      <c r="H4422">
        <v>1</v>
      </c>
      <c r="I4422" t="s">
        <v>33</v>
      </c>
      <c r="J4422">
        <v>0</v>
      </c>
      <c r="K4422">
        <v>72</v>
      </c>
      <c r="L4422" t="s">
        <v>20</v>
      </c>
      <c r="M4422" t="s">
        <v>37</v>
      </c>
      <c r="N4422" t="s">
        <v>30</v>
      </c>
      <c r="O4422" t="s">
        <v>27</v>
      </c>
      <c r="P4422">
        <v>3.96</v>
      </c>
      <c r="Q4422" s="2" t="b">
        <f>FALSE()</f>
        <v>0</v>
      </c>
      <c r="R4422">
        <v>1</v>
      </c>
    </row>
    <row r="4423" spans="1:18" x14ac:dyDescent="0.25">
      <c r="A4423">
        <v>204422</v>
      </c>
      <c r="B4423">
        <v>50298</v>
      </c>
      <c r="C4423" t="s">
        <v>18</v>
      </c>
      <c r="D4423">
        <v>1786.5</v>
      </c>
      <c r="E4423">
        <v>1083</v>
      </c>
      <c r="F4423">
        <v>0</v>
      </c>
      <c r="G4423">
        <v>4</v>
      </c>
      <c r="H4423">
        <v>0</v>
      </c>
      <c r="I4423" t="s">
        <v>33</v>
      </c>
      <c r="J4423">
        <v>0</v>
      </c>
      <c r="K4423">
        <v>32</v>
      </c>
      <c r="L4423" t="s">
        <v>24</v>
      </c>
      <c r="M4423" t="s">
        <v>25</v>
      </c>
      <c r="N4423" t="s">
        <v>30</v>
      </c>
      <c r="O4423" t="s">
        <v>27</v>
      </c>
      <c r="P4423">
        <v>0.08</v>
      </c>
      <c r="Q4423" s="2" t="b">
        <f>FALSE()</f>
        <v>0</v>
      </c>
      <c r="R4423">
        <v>0</v>
      </c>
    </row>
    <row r="4424" spans="1:18" x14ac:dyDescent="0.25">
      <c r="A4424">
        <v>204423</v>
      </c>
      <c r="B4424">
        <v>51041</v>
      </c>
      <c r="C4424" t="s">
        <v>28</v>
      </c>
      <c r="D4424">
        <v>1713.99</v>
      </c>
      <c r="E4424">
        <v>3332</v>
      </c>
      <c r="F4424">
        <v>2</v>
      </c>
      <c r="G4424">
        <v>5</v>
      </c>
      <c r="H4424">
        <v>1</v>
      </c>
      <c r="I4424" t="s">
        <v>32</v>
      </c>
      <c r="J4424">
        <v>0</v>
      </c>
      <c r="K4424">
        <v>24</v>
      </c>
      <c r="L4424" t="s">
        <v>20</v>
      </c>
      <c r="M4424" t="s">
        <v>37</v>
      </c>
      <c r="N4424" t="s">
        <v>30</v>
      </c>
      <c r="O4424" t="s">
        <v>36</v>
      </c>
      <c r="P4424">
        <v>1.03</v>
      </c>
      <c r="Q4424" s="2" t="b">
        <f>FALSE()</f>
        <v>0</v>
      </c>
      <c r="R4424">
        <v>0</v>
      </c>
    </row>
    <row r="4425" spans="1:18" x14ac:dyDescent="0.25">
      <c r="A4425">
        <v>204424</v>
      </c>
      <c r="B4425">
        <v>55772</v>
      </c>
      <c r="C4425" t="s">
        <v>18</v>
      </c>
      <c r="D4425">
        <v>2005.94</v>
      </c>
      <c r="E4425">
        <v>2785</v>
      </c>
      <c r="F4425">
        <v>1</v>
      </c>
      <c r="G4425">
        <v>6</v>
      </c>
      <c r="H4425">
        <v>1</v>
      </c>
      <c r="I4425" t="s">
        <v>19</v>
      </c>
      <c r="J4425">
        <v>0</v>
      </c>
      <c r="K4425">
        <v>78</v>
      </c>
      <c r="L4425" t="s">
        <v>20</v>
      </c>
      <c r="M4425" t="s">
        <v>37</v>
      </c>
      <c r="N4425" t="s">
        <v>22</v>
      </c>
      <c r="O4425" t="s">
        <v>27</v>
      </c>
      <c r="P4425">
        <v>0.16</v>
      </c>
      <c r="Q4425" s="2" t="b">
        <f>FALSE()</f>
        <v>0</v>
      </c>
      <c r="R4425">
        <v>0</v>
      </c>
    </row>
    <row r="4426" spans="1:18" x14ac:dyDescent="0.25">
      <c r="A4426">
        <v>204425</v>
      </c>
      <c r="B4426">
        <v>52012</v>
      </c>
      <c r="C4426" t="s">
        <v>34</v>
      </c>
      <c r="D4426">
        <v>2867.9</v>
      </c>
      <c r="E4426">
        <v>165</v>
      </c>
      <c r="F4426">
        <v>2</v>
      </c>
      <c r="G4426">
        <v>3</v>
      </c>
      <c r="H4426">
        <v>0</v>
      </c>
      <c r="I4426" t="s">
        <v>33</v>
      </c>
      <c r="J4426">
        <v>0</v>
      </c>
      <c r="K4426">
        <v>25</v>
      </c>
      <c r="L4426" t="s">
        <v>24</v>
      </c>
      <c r="M4426" t="s">
        <v>29</v>
      </c>
      <c r="N4426" t="s">
        <v>22</v>
      </c>
      <c r="O4426" t="s">
        <v>27</v>
      </c>
      <c r="P4426">
        <v>0.78</v>
      </c>
      <c r="Q4426" s="2" t="b">
        <f>FALSE()</f>
        <v>0</v>
      </c>
      <c r="R4426">
        <v>0</v>
      </c>
    </row>
    <row r="4427" spans="1:18" x14ac:dyDescent="0.25">
      <c r="A4427">
        <v>204426</v>
      </c>
      <c r="B4427">
        <v>51196</v>
      </c>
      <c r="C4427" t="s">
        <v>18</v>
      </c>
      <c r="D4427">
        <v>977.97</v>
      </c>
      <c r="E4427">
        <v>2858</v>
      </c>
      <c r="F4427">
        <v>2</v>
      </c>
      <c r="G4427">
        <v>4</v>
      </c>
      <c r="H4427">
        <v>0</v>
      </c>
      <c r="I4427" t="s">
        <v>33</v>
      </c>
      <c r="J4427">
        <v>0</v>
      </c>
      <c r="K4427">
        <v>76</v>
      </c>
      <c r="L4427" t="s">
        <v>20</v>
      </c>
      <c r="M4427" t="s">
        <v>25</v>
      </c>
      <c r="N4427" t="s">
        <v>26</v>
      </c>
      <c r="O4427" t="s">
        <v>36</v>
      </c>
      <c r="P4427">
        <v>5.92</v>
      </c>
      <c r="Q4427" s="2" t="b">
        <f>FALSE()</f>
        <v>0</v>
      </c>
      <c r="R4427">
        <v>0</v>
      </c>
    </row>
    <row r="4428" spans="1:18" x14ac:dyDescent="0.25">
      <c r="A4428">
        <v>204427</v>
      </c>
      <c r="B4428">
        <v>53218</v>
      </c>
      <c r="C4428" t="s">
        <v>18</v>
      </c>
      <c r="D4428">
        <v>4608.4799999999996</v>
      </c>
      <c r="E4428">
        <v>570</v>
      </c>
      <c r="F4428">
        <v>1</v>
      </c>
      <c r="G4428">
        <v>5</v>
      </c>
      <c r="H4428">
        <v>0</v>
      </c>
      <c r="I4428" t="s">
        <v>32</v>
      </c>
      <c r="J4428">
        <v>1</v>
      </c>
      <c r="K4428">
        <v>72</v>
      </c>
      <c r="L4428" t="s">
        <v>24</v>
      </c>
      <c r="M4428" t="s">
        <v>37</v>
      </c>
      <c r="N4428" t="s">
        <v>22</v>
      </c>
      <c r="O4428" t="s">
        <v>36</v>
      </c>
      <c r="P4428">
        <v>0.57999999999999996</v>
      </c>
      <c r="Q4428" s="2" t="b">
        <f>FALSE()</f>
        <v>0</v>
      </c>
      <c r="R4428">
        <v>1</v>
      </c>
    </row>
    <row r="4429" spans="1:18" x14ac:dyDescent="0.25">
      <c r="A4429">
        <v>204428</v>
      </c>
      <c r="B4429">
        <v>52493</v>
      </c>
      <c r="C4429" t="s">
        <v>34</v>
      </c>
      <c r="D4429">
        <v>1963.17</v>
      </c>
      <c r="E4429">
        <v>191</v>
      </c>
      <c r="F4429">
        <v>0</v>
      </c>
      <c r="G4429">
        <v>2</v>
      </c>
      <c r="H4429">
        <v>0</v>
      </c>
      <c r="I4429" t="s">
        <v>33</v>
      </c>
      <c r="J4429">
        <v>0</v>
      </c>
      <c r="K4429">
        <v>18</v>
      </c>
      <c r="L4429" t="s">
        <v>20</v>
      </c>
      <c r="M4429" t="s">
        <v>35</v>
      </c>
      <c r="N4429" t="s">
        <v>30</v>
      </c>
      <c r="O4429" t="s">
        <v>27</v>
      </c>
      <c r="P4429">
        <v>0.03</v>
      </c>
      <c r="Q4429" s="2" t="b">
        <f>FALSE()</f>
        <v>0</v>
      </c>
      <c r="R4429">
        <v>0</v>
      </c>
    </row>
    <row r="4430" spans="1:18" x14ac:dyDescent="0.25">
      <c r="A4430">
        <v>204429</v>
      </c>
      <c r="B4430">
        <v>53050</v>
      </c>
      <c r="C4430" t="s">
        <v>28</v>
      </c>
      <c r="D4430">
        <v>431.26</v>
      </c>
      <c r="E4430">
        <v>1609</v>
      </c>
      <c r="F4430">
        <v>2</v>
      </c>
      <c r="G4430">
        <v>2</v>
      </c>
      <c r="H4430">
        <v>1</v>
      </c>
      <c r="I4430" t="s">
        <v>33</v>
      </c>
      <c r="J4430">
        <v>0</v>
      </c>
      <c r="K4430">
        <v>38</v>
      </c>
      <c r="L4430" t="s">
        <v>20</v>
      </c>
      <c r="M4430" t="s">
        <v>37</v>
      </c>
      <c r="N4430" t="s">
        <v>26</v>
      </c>
      <c r="O4430" t="s">
        <v>27</v>
      </c>
      <c r="P4430">
        <v>3.41</v>
      </c>
      <c r="Q4430" s="2" t="b">
        <f>FALSE()</f>
        <v>0</v>
      </c>
      <c r="R4430">
        <v>0</v>
      </c>
    </row>
    <row r="4431" spans="1:18" x14ac:dyDescent="0.25">
      <c r="A4431">
        <v>204430</v>
      </c>
      <c r="B4431">
        <v>52388</v>
      </c>
      <c r="C4431" t="s">
        <v>18</v>
      </c>
      <c r="D4431">
        <v>4314.62</v>
      </c>
      <c r="E4431">
        <v>741</v>
      </c>
      <c r="F4431">
        <v>0</v>
      </c>
      <c r="G4431">
        <v>5</v>
      </c>
      <c r="H4431">
        <v>0</v>
      </c>
      <c r="I4431" t="s">
        <v>32</v>
      </c>
      <c r="J4431">
        <v>0</v>
      </c>
      <c r="K4431">
        <v>68</v>
      </c>
      <c r="L4431" t="s">
        <v>24</v>
      </c>
      <c r="M4431" t="s">
        <v>21</v>
      </c>
      <c r="N4431" t="s">
        <v>26</v>
      </c>
      <c r="O4431" t="s">
        <v>36</v>
      </c>
      <c r="P4431">
        <v>0.24</v>
      </c>
      <c r="Q4431" s="2" t="b">
        <f>FALSE()</f>
        <v>0</v>
      </c>
      <c r="R4431">
        <v>1</v>
      </c>
    </row>
    <row r="4432" spans="1:18" x14ac:dyDescent="0.25">
      <c r="A4432">
        <v>204431</v>
      </c>
      <c r="B4432">
        <v>51713</v>
      </c>
      <c r="C4432" t="s">
        <v>18</v>
      </c>
      <c r="D4432">
        <v>4314.57</v>
      </c>
      <c r="E4432">
        <v>3625</v>
      </c>
      <c r="F4432">
        <v>1</v>
      </c>
      <c r="G4432">
        <v>3</v>
      </c>
      <c r="H4432">
        <v>0</v>
      </c>
      <c r="I4432" t="s">
        <v>19</v>
      </c>
      <c r="J4432">
        <v>1</v>
      </c>
      <c r="K4432">
        <v>47</v>
      </c>
      <c r="L4432" t="s">
        <v>20</v>
      </c>
      <c r="M4432" t="s">
        <v>21</v>
      </c>
      <c r="N4432" t="s">
        <v>22</v>
      </c>
      <c r="O4432" t="s">
        <v>27</v>
      </c>
      <c r="P4432">
        <v>3.78</v>
      </c>
      <c r="Q4432" s="2" t="b">
        <f>FALSE()</f>
        <v>0</v>
      </c>
      <c r="R4432">
        <v>1</v>
      </c>
    </row>
    <row r="4433" spans="1:18" x14ac:dyDescent="0.25">
      <c r="A4433">
        <v>204432</v>
      </c>
      <c r="B4433">
        <v>55923</v>
      </c>
      <c r="C4433" t="s">
        <v>28</v>
      </c>
      <c r="D4433">
        <v>234.71</v>
      </c>
      <c r="E4433">
        <v>2725</v>
      </c>
      <c r="F4433">
        <v>0</v>
      </c>
      <c r="G4433">
        <v>3</v>
      </c>
      <c r="H4433">
        <v>0</v>
      </c>
      <c r="I4433" t="s">
        <v>33</v>
      </c>
      <c r="J4433">
        <v>0</v>
      </c>
      <c r="K4433">
        <v>45</v>
      </c>
      <c r="L4433" t="s">
        <v>24</v>
      </c>
      <c r="M4433" t="s">
        <v>35</v>
      </c>
      <c r="N4433" t="s">
        <v>22</v>
      </c>
      <c r="O4433" t="s">
        <v>36</v>
      </c>
      <c r="P4433">
        <v>1.29</v>
      </c>
      <c r="Q4433" s="2" t="b">
        <f>FALSE()</f>
        <v>0</v>
      </c>
      <c r="R4433">
        <v>0</v>
      </c>
    </row>
    <row r="4434" spans="1:18" x14ac:dyDescent="0.25">
      <c r="A4434">
        <v>204433</v>
      </c>
      <c r="B4434">
        <v>50202</v>
      </c>
      <c r="C4434" t="s">
        <v>34</v>
      </c>
      <c r="D4434">
        <v>457.44</v>
      </c>
      <c r="E4434">
        <v>1743</v>
      </c>
      <c r="F4434">
        <v>2</v>
      </c>
      <c r="G4434">
        <v>3</v>
      </c>
      <c r="H4434">
        <v>0</v>
      </c>
      <c r="I4434" t="s">
        <v>19</v>
      </c>
      <c r="J4434">
        <v>1</v>
      </c>
      <c r="K4434">
        <v>42</v>
      </c>
      <c r="L4434" t="s">
        <v>20</v>
      </c>
      <c r="M4434" t="s">
        <v>21</v>
      </c>
      <c r="N4434" t="s">
        <v>26</v>
      </c>
      <c r="O4434" t="s">
        <v>36</v>
      </c>
      <c r="P4434">
        <v>0.93</v>
      </c>
      <c r="Q4434" s="2" t="b">
        <f>FALSE()</f>
        <v>0</v>
      </c>
      <c r="R4434">
        <v>0</v>
      </c>
    </row>
    <row r="4435" spans="1:18" x14ac:dyDescent="0.25">
      <c r="A4435">
        <v>204434</v>
      </c>
      <c r="B4435">
        <v>52712</v>
      </c>
      <c r="C4435" t="s">
        <v>34</v>
      </c>
      <c r="D4435">
        <v>967.31</v>
      </c>
      <c r="E4435">
        <v>662</v>
      </c>
      <c r="F4435">
        <v>1</v>
      </c>
      <c r="G4435">
        <v>6</v>
      </c>
      <c r="H4435">
        <v>0</v>
      </c>
      <c r="I4435" t="s">
        <v>33</v>
      </c>
      <c r="J4435">
        <v>0</v>
      </c>
      <c r="K4435">
        <v>53</v>
      </c>
      <c r="L4435" t="s">
        <v>20</v>
      </c>
      <c r="M4435" t="s">
        <v>25</v>
      </c>
      <c r="N4435" t="s">
        <v>22</v>
      </c>
      <c r="O4435" t="s">
        <v>23</v>
      </c>
      <c r="P4435">
        <v>1.84</v>
      </c>
      <c r="Q4435" s="2" t="b">
        <f>FALSE()</f>
        <v>0</v>
      </c>
      <c r="R4435">
        <v>0</v>
      </c>
    </row>
    <row r="4436" spans="1:18" x14ac:dyDescent="0.25">
      <c r="A4436">
        <v>204435</v>
      </c>
      <c r="B4436">
        <v>51395</v>
      </c>
      <c r="C4436" t="s">
        <v>18</v>
      </c>
      <c r="D4436">
        <v>661.45</v>
      </c>
      <c r="E4436">
        <v>896</v>
      </c>
      <c r="F4436">
        <v>1</v>
      </c>
      <c r="G4436">
        <v>2</v>
      </c>
      <c r="H4436">
        <v>0</v>
      </c>
      <c r="I4436" t="s">
        <v>33</v>
      </c>
      <c r="J4436">
        <v>0</v>
      </c>
      <c r="K4436">
        <v>48</v>
      </c>
      <c r="L4436" t="s">
        <v>24</v>
      </c>
      <c r="M4436" t="s">
        <v>25</v>
      </c>
      <c r="N4436" t="s">
        <v>30</v>
      </c>
      <c r="O4436" t="s">
        <v>23</v>
      </c>
      <c r="P4436">
        <v>3.19</v>
      </c>
      <c r="Q4436" s="2" t="b">
        <f>FALSE()</f>
        <v>0</v>
      </c>
      <c r="R4436">
        <v>0</v>
      </c>
    </row>
    <row r="4437" spans="1:18" x14ac:dyDescent="0.25">
      <c r="A4437">
        <v>204436</v>
      </c>
      <c r="B4437">
        <v>53544</v>
      </c>
      <c r="C4437" t="s">
        <v>18</v>
      </c>
      <c r="D4437">
        <v>617.32000000000005</v>
      </c>
      <c r="E4437">
        <v>3190</v>
      </c>
      <c r="F4437">
        <v>1</v>
      </c>
      <c r="G4437">
        <v>8</v>
      </c>
      <c r="H4437">
        <v>1</v>
      </c>
      <c r="I4437" t="s">
        <v>19</v>
      </c>
      <c r="J4437">
        <v>1</v>
      </c>
      <c r="K4437">
        <v>76</v>
      </c>
      <c r="L4437" t="s">
        <v>24</v>
      </c>
      <c r="M4437" t="s">
        <v>25</v>
      </c>
      <c r="N4437" t="s">
        <v>30</v>
      </c>
      <c r="O4437" t="s">
        <v>27</v>
      </c>
      <c r="P4437">
        <v>2.4700000000000002</v>
      </c>
      <c r="Q4437" s="2" t="b">
        <f>FALSE()</f>
        <v>0</v>
      </c>
      <c r="R4437">
        <v>1</v>
      </c>
    </row>
    <row r="4438" spans="1:18" x14ac:dyDescent="0.25">
      <c r="A4438">
        <v>204437</v>
      </c>
      <c r="B4438">
        <v>54394</v>
      </c>
      <c r="C4438" t="s">
        <v>18</v>
      </c>
      <c r="D4438">
        <v>2340.65</v>
      </c>
      <c r="E4438">
        <v>3240</v>
      </c>
      <c r="F4438">
        <v>5</v>
      </c>
      <c r="G4438">
        <v>4</v>
      </c>
      <c r="H4438">
        <v>0</v>
      </c>
      <c r="I4438" t="s">
        <v>32</v>
      </c>
      <c r="J4438">
        <v>1</v>
      </c>
      <c r="K4438">
        <v>20</v>
      </c>
      <c r="L4438" t="s">
        <v>20</v>
      </c>
      <c r="M4438" t="s">
        <v>35</v>
      </c>
      <c r="N4438" t="s">
        <v>22</v>
      </c>
      <c r="O4438" t="s">
        <v>36</v>
      </c>
      <c r="P4438">
        <v>0.74</v>
      </c>
      <c r="Q4438" s="2" t="b">
        <f>FALSE()</f>
        <v>0</v>
      </c>
      <c r="R4438">
        <v>1</v>
      </c>
    </row>
    <row r="4439" spans="1:18" x14ac:dyDescent="0.25">
      <c r="A4439">
        <v>204438</v>
      </c>
      <c r="B4439">
        <v>50983</v>
      </c>
      <c r="C4439" t="s">
        <v>28</v>
      </c>
      <c r="D4439">
        <v>2653.1</v>
      </c>
      <c r="E4439">
        <v>1118</v>
      </c>
      <c r="F4439">
        <v>2</v>
      </c>
      <c r="G4439">
        <v>2</v>
      </c>
      <c r="H4439">
        <v>1</v>
      </c>
      <c r="I4439" t="s">
        <v>32</v>
      </c>
      <c r="J4439">
        <v>0</v>
      </c>
      <c r="K4439">
        <v>81</v>
      </c>
      <c r="L4439" t="s">
        <v>24</v>
      </c>
      <c r="M4439" t="s">
        <v>37</v>
      </c>
      <c r="N4439" t="s">
        <v>30</v>
      </c>
      <c r="O4439" t="s">
        <v>36</v>
      </c>
      <c r="P4439">
        <v>1.4</v>
      </c>
      <c r="Q4439" s="2" t="b">
        <f>FALSE()</f>
        <v>0</v>
      </c>
      <c r="R4439">
        <v>0</v>
      </c>
    </row>
    <row r="4440" spans="1:18" x14ac:dyDescent="0.25">
      <c r="A4440">
        <v>204439</v>
      </c>
      <c r="B4440">
        <v>52840</v>
      </c>
      <c r="C4440" t="s">
        <v>18</v>
      </c>
      <c r="D4440">
        <v>4048.51</v>
      </c>
      <c r="E4440">
        <v>1997</v>
      </c>
      <c r="F4440">
        <v>2</v>
      </c>
      <c r="G4440">
        <v>3</v>
      </c>
      <c r="H4440">
        <v>1</v>
      </c>
      <c r="I4440" t="s">
        <v>33</v>
      </c>
      <c r="J4440">
        <v>0</v>
      </c>
      <c r="K4440">
        <v>42</v>
      </c>
      <c r="L4440" t="s">
        <v>24</v>
      </c>
      <c r="M4440" t="s">
        <v>29</v>
      </c>
      <c r="N4440" t="s">
        <v>26</v>
      </c>
      <c r="O4440" t="s">
        <v>36</v>
      </c>
      <c r="P4440">
        <v>5.09</v>
      </c>
      <c r="Q4440" s="2" t="b">
        <f>FALSE()</f>
        <v>0</v>
      </c>
      <c r="R4440">
        <v>1</v>
      </c>
    </row>
    <row r="4441" spans="1:18" x14ac:dyDescent="0.25">
      <c r="A4441">
        <v>204440</v>
      </c>
      <c r="B4441">
        <v>55643</v>
      </c>
      <c r="C4441" t="s">
        <v>34</v>
      </c>
      <c r="D4441">
        <v>2256.4499999999998</v>
      </c>
      <c r="E4441">
        <v>638</v>
      </c>
      <c r="F4441">
        <v>0</v>
      </c>
      <c r="G4441">
        <v>3</v>
      </c>
      <c r="H4441">
        <v>1</v>
      </c>
      <c r="I4441" t="s">
        <v>19</v>
      </c>
      <c r="J4441">
        <v>0</v>
      </c>
      <c r="K4441">
        <v>49</v>
      </c>
      <c r="L4441" t="s">
        <v>24</v>
      </c>
      <c r="M4441" t="s">
        <v>21</v>
      </c>
      <c r="N4441" t="s">
        <v>30</v>
      </c>
      <c r="O4441" t="s">
        <v>27</v>
      </c>
      <c r="P4441">
        <v>13.22</v>
      </c>
      <c r="Q4441" s="2" t="b">
        <f>FALSE()</f>
        <v>0</v>
      </c>
      <c r="R4441">
        <v>0</v>
      </c>
    </row>
    <row r="4442" spans="1:18" x14ac:dyDescent="0.25">
      <c r="A4442">
        <v>204441</v>
      </c>
      <c r="B4442">
        <v>53268</v>
      </c>
      <c r="C4442" t="s">
        <v>34</v>
      </c>
      <c r="D4442">
        <v>372.8</v>
      </c>
      <c r="E4442">
        <v>36</v>
      </c>
      <c r="F4442">
        <v>1</v>
      </c>
      <c r="G4442">
        <v>4</v>
      </c>
      <c r="H4442">
        <v>0</v>
      </c>
      <c r="I4442" t="s">
        <v>33</v>
      </c>
      <c r="J4442">
        <v>0</v>
      </c>
      <c r="K4442">
        <v>30</v>
      </c>
      <c r="L4442" t="s">
        <v>20</v>
      </c>
      <c r="M4442" t="s">
        <v>25</v>
      </c>
      <c r="N4442" t="s">
        <v>22</v>
      </c>
      <c r="O4442" t="s">
        <v>27</v>
      </c>
      <c r="P4442">
        <v>5.57</v>
      </c>
      <c r="Q4442" s="2" t="b">
        <f>FALSE()</f>
        <v>0</v>
      </c>
      <c r="R4442">
        <v>0</v>
      </c>
    </row>
    <row r="4443" spans="1:18" x14ac:dyDescent="0.25">
      <c r="A4443">
        <v>204442</v>
      </c>
      <c r="B4443">
        <v>54609</v>
      </c>
      <c r="C4443" t="s">
        <v>18</v>
      </c>
      <c r="D4443">
        <v>3201.95</v>
      </c>
      <c r="E4443">
        <v>240</v>
      </c>
      <c r="F4443">
        <v>2</v>
      </c>
      <c r="G4443">
        <v>1</v>
      </c>
      <c r="H4443">
        <v>0</v>
      </c>
      <c r="I4443" t="s">
        <v>33</v>
      </c>
      <c r="J4443">
        <v>0</v>
      </c>
      <c r="K4443">
        <v>78</v>
      </c>
      <c r="L4443" t="s">
        <v>24</v>
      </c>
      <c r="M4443" t="s">
        <v>37</v>
      </c>
      <c r="N4443" t="s">
        <v>30</v>
      </c>
      <c r="O4443" t="s">
        <v>27</v>
      </c>
      <c r="P4443">
        <v>1.74</v>
      </c>
      <c r="Q4443" s="2" t="b">
        <f>FALSE()</f>
        <v>0</v>
      </c>
      <c r="R4443">
        <v>0</v>
      </c>
    </row>
    <row r="4444" spans="1:18" x14ac:dyDescent="0.25">
      <c r="A4444">
        <v>204443</v>
      </c>
      <c r="B4444">
        <v>50210</v>
      </c>
      <c r="C4444" t="s">
        <v>18</v>
      </c>
      <c r="D4444">
        <v>2985.63</v>
      </c>
      <c r="E4444">
        <v>2882</v>
      </c>
      <c r="F4444">
        <v>1</v>
      </c>
      <c r="G4444">
        <v>5</v>
      </c>
      <c r="H4444">
        <v>0</v>
      </c>
      <c r="I4444" t="s">
        <v>33</v>
      </c>
      <c r="J4444">
        <v>0</v>
      </c>
      <c r="K4444">
        <v>44</v>
      </c>
      <c r="L4444" t="s">
        <v>24</v>
      </c>
      <c r="M4444" t="s">
        <v>25</v>
      </c>
      <c r="N4444" t="s">
        <v>22</v>
      </c>
      <c r="O4444" t="s">
        <v>36</v>
      </c>
      <c r="P4444">
        <v>0.7</v>
      </c>
      <c r="Q4444" s="2" t="b">
        <f>FALSE()</f>
        <v>0</v>
      </c>
      <c r="R4444">
        <v>0</v>
      </c>
    </row>
    <row r="4445" spans="1:18" x14ac:dyDescent="0.25">
      <c r="A4445">
        <v>204444</v>
      </c>
      <c r="B4445">
        <v>52058</v>
      </c>
      <c r="C4445" t="s">
        <v>28</v>
      </c>
      <c r="D4445">
        <v>7994.98</v>
      </c>
      <c r="E4445">
        <v>113</v>
      </c>
      <c r="F4445">
        <v>1</v>
      </c>
      <c r="G4445">
        <v>3</v>
      </c>
      <c r="H4445">
        <v>0</v>
      </c>
      <c r="I4445" t="s">
        <v>33</v>
      </c>
      <c r="J4445">
        <v>0</v>
      </c>
      <c r="K4445">
        <v>29</v>
      </c>
      <c r="L4445" t="s">
        <v>24</v>
      </c>
      <c r="M4445" t="s">
        <v>35</v>
      </c>
      <c r="N4445" t="s">
        <v>26</v>
      </c>
      <c r="O4445" t="s">
        <v>23</v>
      </c>
      <c r="P4445">
        <v>7.0000000000000007E-2</v>
      </c>
      <c r="Q4445" s="2" t="b">
        <f>TRUE()</f>
        <v>1</v>
      </c>
      <c r="R4445">
        <v>1</v>
      </c>
    </row>
    <row r="4446" spans="1:18" x14ac:dyDescent="0.25">
      <c r="A4446">
        <v>204445</v>
      </c>
      <c r="B4446">
        <v>51891</v>
      </c>
      <c r="C4446" t="s">
        <v>18</v>
      </c>
      <c r="D4446">
        <v>4889.74</v>
      </c>
      <c r="E4446">
        <v>1221</v>
      </c>
      <c r="F4446">
        <v>0</v>
      </c>
      <c r="G4446">
        <v>4</v>
      </c>
      <c r="H4446">
        <v>0</v>
      </c>
      <c r="I4446" t="s">
        <v>32</v>
      </c>
      <c r="J4446">
        <v>1</v>
      </c>
      <c r="K4446">
        <v>51</v>
      </c>
      <c r="L4446" t="s">
        <v>20</v>
      </c>
      <c r="M4446" t="s">
        <v>37</v>
      </c>
      <c r="N4446" t="s">
        <v>30</v>
      </c>
      <c r="O4446" t="s">
        <v>36</v>
      </c>
      <c r="P4446">
        <v>4.47</v>
      </c>
      <c r="Q4446" s="2" t="b">
        <f>FALSE()</f>
        <v>0</v>
      </c>
      <c r="R4446">
        <v>1</v>
      </c>
    </row>
    <row r="4447" spans="1:18" x14ac:dyDescent="0.25">
      <c r="A4447">
        <v>204446</v>
      </c>
      <c r="B4447">
        <v>51647</v>
      </c>
      <c r="C4447" t="s">
        <v>18</v>
      </c>
      <c r="D4447">
        <v>2273</v>
      </c>
      <c r="E4447">
        <v>1879</v>
      </c>
      <c r="F4447">
        <v>4</v>
      </c>
      <c r="G4447">
        <v>7</v>
      </c>
      <c r="H4447">
        <v>1</v>
      </c>
      <c r="I4447" t="s">
        <v>19</v>
      </c>
      <c r="J4447">
        <v>0</v>
      </c>
      <c r="K4447">
        <v>25</v>
      </c>
      <c r="L4447" t="s">
        <v>20</v>
      </c>
      <c r="M4447" t="s">
        <v>25</v>
      </c>
      <c r="N4447" t="s">
        <v>30</v>
      </c>
      <c r="O4447" t="s">
        <v>36</v>
      </c>
      <c r="P4447">
        <v>1.08</v>
      </c>
      <c r="Q4447" s="2" t="b">
        <f>FALSE()</f>
        <v>0</v>
      </c>
      <c r="R4447">
        <v>1</v>
      </c>
    </row>
    <row r="4448" spans="1:18" x14ac:dyDescent="0.25">
      <c r="A4448">
        <v>204447</v>
      </c>
      <c r="B4448">
        <v>55853</v>
      </c>
      <c r="C4448" t="s">
        <v>18</v>
      </c>
      <c r="D4448">
        <v>1208.83</v>
      </c>
      <c r="E4448">
        <v>2532</v>
      </c>
      <c r="F4448">
        <v>0</v>
      </c>
      <c r="G4448">
        <v>3</v>
      </c>
      <c r="H4448">
        <v>0</v>
      </c>
      <c r="I4448" t="s">
        <v>33</v>
      </c>
      <c r="J4448">
        <v>1</v>
      </c>
      <c r="K4448">
        <v>60</v>
      </c>
      <c r="L4448" t="s">
        <v>24</v>
      </c>
      <c r="M4448" t="s">
        <v>37</v>
      </c>
      <c r="N4448" t="s">
        <v>22</v>
      </c>
      <c r="O4448" t="s">
        <v>27</v>
      </c>
      <c r="P4448">
        <v>0.73</v>
      </c>
      <c r="Q4448" s="2" t="b">
        <f>FALSE()</f>
        <v>0</v>
      </c>
      <c r="R4448">
        <v>0</v>
      </c>
    </row>
    <row r="4449" spans="1:18" x14ac:dyDescent="0.25">
      <c r="A4449">
        <v>204448</v>
      </c>
      <c r="B4449">
        <v>55069</v>
      </c>
      <c r="C4449" t="s">
        <v>34</v>
      </c>
      <c r="D4449">
        <v>1283.68</v>
      </c>
      <c r="E4449">
        <v>1990</v>
      </c>
      <c r="F4449">
        <v>0</v>
      </c>
      <c r="G4449">
        <v>9</v>
      </c>
      <c r="H4449">
        <v>0</v>
      </c>
      <c r="I4449" t="s">
        <v>33</v>
      </c>
      <c r="J4449">
        <v>0</v>
      </c>
      <c r="K4449">
        <v>60</v>
      </c>
      <c r="L4449" t="s">
        <v>20</v>
      </c>
      <c r="M4449" t="s">
        <v>31</v>
      </c>
      <c r="N4449" t="s">
        <v>22</v>
      </c>
      <c r="O4449" t="s">
        <v>27</v>
      </c>
      <c r="P4449">
        <v>11.46</v>
      </c>
      <c r="Q4449" s="2" t="b">
        <f>FALSE()</f>
        <v>0</v>
      </c>
      <c r="R4449">
        <v>1</v>
      </c>
    </row>
    <row r="4450" spans="1:18" x14ac:dyDescent="0.25">
      <c r="A4450">
        <v>204449</v>
      </c>
      <c r="B4450">
        <v>50216</v>
      </c>
      <c r="C4450" t="s">
        <v>18</v>
      </c>
      <c r="D4450">
        <v>3479.08</v>
      </c>
      <c r="E4450">
        <v>563</v>
      </c>
      <c r="F4450">
        <v>1</v>
      </c>
      <c r="G4450">
        <v>4</v>
      </c>
      <c r="H4450">
        <v>1</v>
      </c>
      <c r="I4450" t="s">
        <v>19</v>
      </c>
      <c r="J4450">
        <v>1</v>
      </c>
      <c r="K4450">
        <v>36</v>
      </c>
      <c r="L4450" t="s">
        <v>24</v>
      </c>
      <c r="M4450" t="s">
        <v>25</v>
      </c>
      <c r="N4450" t="s">
        <v>22</v>
      </c>
      <c r="O4450" t="s">
        <v>23</v>
      </c>
      <c r="P4450">
        <v>2.34</v>
      </c>
      <c r="Q4450" s="2" t="b">
        <f>FALSE()</f>
        <v>0</v>
      </c>
      <c r="R4450">
        <v>0</v>
      </c>
    </row>
    <row r="4451" spans="1:18" x14ac:dyDescent="0.25">
      <c r="A4451">
        <v>204450</v>
      </c>
      <c r="B4451">
        <v>53944</v>
      </c>
      <c r="C4451" t="s">
        <v>34</v>
      </c>
      <c r="D4451">
        <v>1062.03</v>
      </c>
      <c r="E4451">
        <v>2325</v>
      </c>
      <c r="F4451">
        <v>1</v>
      </c>
      <c r="G4451">
        <v>3</v>
      </c>
      <c r="H4451">
        <v>1</v>
      </c>
      <c r="I4451" t="s">
        <v>19</v>
      </c>
      <c r="J4451">
        <v>1</v>
      </c>
      <c r="K4451">
        <v>55</v>
      </c>
      <c r="L4451" t="s">
        <v>24</v>
      </c>
      <c r="M4451" t="s">
        <v>29</v>
      </c>
      <c r="N4451" t="s">
        <v>30</v>
      </c>
      <c r="O4451" t="s">
        <v>23</v>
      </c>
      <c r="P4451">
        <v>1.6</v>
      </c>
      <c r="Q4451" s="2" t="b">
        <f>FALSE()</f>
        <v>0</v>
      </c>
      <c r="R4451">
        <v>0</v>
      </c>
    </row>
    <row r="4452" spans="1:18" x14ac:dyDescent="0.25">
      <c r="A4452">
        <v>204451</v>
      </c>
      <c r="B4452">
        <v>52255</v>
      </c>
      <c r="C4452" t="s">
        <v>18</v>
      </c>
      <c r="D4452">
        <v>4046.08</v>
      </c>
      <c r="E4452">
        <v>1385</v>
      </c>
      <c r="F4452">
        <v>1</v>
      </c>
      <c r="G4452">
        <v>4</v>
      </c>
      <c r="H4452">
        <v>0</v>
      </c>
      <c r="I4452" t="s">
        <v>19</v>
      </c>
      <c r="J4452">
        <v>1</v>
      </c>
      <c r="K4452">
        <v>79</v>
      </c>
      <c r="L4452" t="s">
        <v>24</v>
      </c>
      <c r="M4452" t="s">
        <v>25</v>
      </c>
      <c r="N4452" t="s">
        <v>30</v>
      </c>
      <c r="O4452" t="s">
        <v>23</v>
      </c>
      <c r="P4452">
        <v>5.2</v>
      </c>
      <c r="Q4452" s="2" t="b">
        <f>FALSE()</f>
        <v>0</v>
      </c>
      <c r="R4452">
        <v>1</v>
      </c>
    </row>
    <row r="4453" spans="1:18" x14ac:dyDescent="0.25">
      <c r="A4453">
        <v>204452</v>
      </c>
      <c r="B4453">
        <v>53622</v>
      </c>
      <c r="C4453" t="s">
        <v>18</v>
      </c>
      <c r="D4453">
        <v>1349.03</v>
      </c>
      <c r="E4453">
        <v>3049</v>
      </c>
      <c r="F4453">
        <v>0</v>
      </c>
      <c r="G4453">
        <v>8</v>
      </c>
      <c r="H4453">
        <v>0</v>
      </c>
      <c r="I4453" t="s">
        <v>33</v>
      </c>
      <c r="J4453">
        <v>0</v>
      </c>
      <c r="K4453">
        <v>57</v>
      </c>
      <c r="L4453" t="s">
        <v>24</v>
      </c>
      <c r="M4453" t="s">
        <v>25</v>
      </c>
      <c r="N4453" t="s">
        <v>22</v>
      </c>
      <c r="O4453" t="s">
        <v>27</v>
      </c>
      <c r="P4453">
        <v>1.6</v>
      </c>
      <c r="Q4453" s="2" t="b">
        <f>FALSE()</f>
        <v>0</v>
      </c>
      <c r="R4453">
        <v>1</v>
      </c>
    </row>
    <row r="4454" spans="1:18" x14ac:dyDescent="0.25">
      <c r="A4454">
        <v>204453</v>
      </c>
      <c r="B4454">
        <v>54708</v>
      </c>
      <c r="C4454" t="s">
        <v>18</v>
      </c>
      <c r="D4454">
        <v>2694.43</v>
      </c>
      <c r="E4454">
        <v>140</v>
      </c>
      <c r="F4454">
        <v>2</v>
      </c>
      <c r="G4454">
        <v>4</v>
      </c>
      <c r="H4454">
        <v>0</v>
      </c>
      <c r="I4454" t="s">
        <v>33</v>
      </c>
      <c r="J4454">
        <v>0</v>
      </c>
      <c r="K4454">
        <v>39</v>
      </c>
      <c r="L4454" t="s">
        <v>24</v>
      </c>
      <c r="M4454" t="s">
        <v>25</v>
      </c>
      <c r="N4454" t="s">
        <v>30</v>
      </c>
      <c r="O4454" t="s">
        <v>23</v>
      </c>
      <c r="P4454">
        <v>2.78</v>
      </c>
      <c r="Q4454" s="2" t="b">
        <f>FALSE()</f>
        <v>0</v>
      </c>
      <c r="R4454">
        <v>0</v>
      </c>
    </row>
    <row r="4455" spans="1:18" x14ac:dyDescent="0.25">
      <c r="A4455">
        <v>204454</v>
      </c>
      <c r="B4455">
        <v>50803</v>
      </c>
      <c r="C4455" t="s">
        <v>34</v>
      </c>
      <c r="D4455">
        <v>666.75</v>
      </c>
      <c r="E4455">
        <v>2340</v>
      </c>
      <c r="F4455">
        <v>2</v>
      </c>
      <c r="G4455">
        <v>6</v>
      </c>
      <c r="H4455">
        <v>0</v>
      </c>
      <c r="I4455" t="s">
        <v>33</v>
      </c>
      <c r="J4455">
        <v>0</v>
      </c>
      <c r="K4455">
        <v>64</v>
      </c>
      <c r="L4455" t="s">
        <v>20</v>
      </c>
      <c r="M4455" t="s">
        <v>31</v>
      </c>
      <c r="N4455" t="s">
        <v>26</v>
      </c>
      <c r="O4455" t="s">
        <v>27</v>
      </c>
      <c r="P4455">
        <v>0.99</v>
      </c>
      <c r="Q4455" s="2" t="b">
        <f>FALSE()</f>
        <v>0</v>
      </c>
      <c r="R4455">
        <v>0</v>
      </c>
    </row>
    <row r="4456" spans="1:18" x14ac:dyDescent="0.25">
      <c r="A4456">
        <v>204455</v>
      </c>
      <c r="B4456">
        <v>52838</v>
      </c>
      <c r="C4456" t="s">
        <v>18</v>
      </c>
      <c r="D4456">
        <v>1275.3800000000001</v>
      </c>
      <c r="E4456">
        <v>1544</v>
      </c>
      <c r="F4456">
        <v>0</v>
      </c>
      <c r="G4456">
        <v>2</v>
      </c>
      <c r="H4456">
        <v>0</v>
      </c>
      <c r="I4456" t="s">
        <v>19</v>
      </c>
      <c r="J4456">
        <v>0</v>
      </c>
      <c r="K4456">
        <v>82</v>
      </c>
      <c r="L4456" t="s">
        <v>24</v>
      </c>
      <c r="M4456" t="s">
        <v>31</v>
      </c>
      <c r="N4456" t="s">
        <v>26</v>
      </c>
      <c r="O4456" t="s">
        <v>27</v>
      </c>
      <c r="P4456">
        <v>3</v>
      </c>
      <c r="Q4456" s="2" t="b">
        <f>FALSE()</f>
        <v>0</v>
      </c>
      <c r="R4456">
        <v>0</v>
      </c>
    </row>
    <row r="4457" spans="1:18" x14ac:dyDescent="0.25">
      <c r="A4457">
        <v>204456</v>
      </c>
      <c r="B4457">
        <v>51275</v>
      </c>
      <c r="C4457" t="s">
        <v>34</v>
      </c>
      <c r="D4457">
        <v>2205.5100000000002</v>
      </c>
      <c r="E4457">
        <v>2566</v>
      </c>
      <c r="F4457">
        <v>1</v>
      </c>
      <c r="G4457">
        <v>4</v>
      </c>
      <c r="H4457">
        <v>1</v>
      </c>
      <c r="I4457" t="s">
        <v>33</v>
      </c>
      <c r="J4457">
        <v>0</v>
      </c>
      <c r="K4457">
        <v>18</v>
      </c>
      <c r="L4457" t="s">
        <v>20</v>
      </c>
      <c r="M4457" t="s">
        <v>21</v>
      </c>
      <c r="N4457" t="s">
        <v>30</v>
      </c>
      <c r="O4457" t="s">
        <v>36</v>
      </c>
      <c r="P4457">
        <v>1.52</v>
      </c>
      <c r="Q4457" s="2" t="b">
        <f>FALSE()</f>
        <v>0</v>
      </c>
      <c r="R4457">
        <v>0</v>
      </c>
    </row>
    <row r="4458" spans="1:18" x14ac:dyDescent="0.25">
      <c r="A4458">
        <v>204457</v>
      </c>
      <c r="B4458">
        <v>53190</v>
      </c>
      <c r="C4458" t="s">
        <v>34</v>
      </c>
      <c r="D4458">
        <v>645.01</v>
      </c>
      <c r="E4458">
        <v>997</v>
      </c>
      <c r="F4458">
        <v>1</v>
      </c>
      <c r="G4458">
        <v>3</v>
      </c>
      <c r="H4458">
        <v>0</v>
      </c>
      <c r="I4458" t="s">
        <v>33</v>
      </c>
      <c r="J4458">
        <v>0</v>
      </c>
      <c r="K4458">
        <v>46</v>
      </c>
      <c r="L4458" t="s">
        <v>24</v>
      </c>
      <c r="M4458" t="s">
        <v>25</v>
      </c>
      <c r="N4458" t="s">
        <v>30</v>
      </c>
      <c r="O4458" t="s">
        <v>36</v>
      </c>
      <c r="P4458">
        <v>0.13</v>
      </c>
      <c r="Q4458" s="2" t="b">
        <f>FALSE()</f>
        <v>0</v>
      </c>
      <c r="R4458">
        <v>0</v>
      </c>
    </row>
    <row r="4459" spans="1:18" x14ac:dyDescent="0.25">
      <c r="A4459">
        <v>204458</v>
      </c>
      <c r="B4459">
        <v>55055</v>
      </c>
      <c r="C4459" t="s">
        <v>34</v>
      </c>
      <c r="D4459">
        <v>2052.87</v>
      </c>
      <c r="E4459">
        <v>1115</v>
      </c>
      <c r="F4459">
        <v>1</v>
      </c>
      <c r="G4459">
        <v>3</v>
      </c>
      <c r="H4459">
        <v>0</v>
      </c>
      <c r="I4459" t="s">
        <v>33</v>
      </c>
      <c r="J4459">
        <v>0</v>
      </c>
      <c r="K4459">
        <v>78</v>
      </c>
      <c r="L4459" t="s">
        <v>20</v>
      </c>
      <c r="M4459" t="s">
        <v>37</v>
      </c>
      <c r="N4459" t="s">
        <v>30</v>
      </c>
      <c r="O4459" t="s">
        <v>36</v>
      </c>
      <c r="P4459">
        <v>0.19</v>
      </c>
      <c r="Q4459" s="2" t="b">
        <f>FALSE()</f>
        <v>0</v>
      </c>
      <c r="R4459">
        <v>0</v>
      </c>
    </row>
    <row r="4460" spans="1:18" x14ac:dyDescent="0.25">
      <c r="A4460">
        <v>204459</v>
      </c>
      <c r="B4460">
        <v>55493</v>
      </c>
      <c r="C4460" t="s">
        <v>18</v>
      </c>
      <c r="D4460">
        <v>4078.34</v>
      </c>
      <c r="E4460">
        <v>1313</v>
      </c>
      <c r="F4460">
        <v>1</v>
      </c>
      <c r="G4460">
        <v>4</v>
      </c>
      <c r="H4460">
        <v>0</v>
      </c>
      <c r="I4460" t="s">
        <v>33</v>
      </c>
      <c r="J4460">
        <v>0</v>
      </c>
      <c r="K4460">
        <v>56</v>
      </c>
      <c r="L4460" t="s">
        <v>38</v>
      </c>
      <c r="M4460" t="s">
        <v>21</v>
      </c>
      <c r="N4460" t="s">
        <v>30</v>
      </c>
      <c r="O4460" t="s">
        <v>23</v>
      </c>
      <c r="P4460">
        <v>3.5</v>
      </c>
      <c r="Q4460" s="2" t="b">
        <f>FALSE()</f>
        <v>0</v>
      </c>
      <c r="R4460">
        <v>1</v>
      </c>
    </row>
    <row r="4461" spans="1:18" x14ac:dyDescent="0.25">
      <c r="A4461">
        <v>204460</v>
      </c>
      <c r="B4461">
        <v>51560</v>
      </c>
      <c r="C4461" t="s">
        <v>18</v>
      </c>
      <c r="D4461">
        <v>841.84</v>
      </c>
      <c r="E4461">
        <v>1158</v>
      </c>
      <c r="F4461">
        <v>1</v>
      </c>
      <c r="G4461">
        <v>5</v>
      </c>
      <c r="H4461">
        <v>0</v>
      </c>
      <c r="I4461" t="s">
        <v>19</v>
      </c>
      <c r="J4461">
        <v>0</v>
      </c>
      <c r="K4461">
        <v>58</v>
      </c>
      <c r="L4461" t="s">
        <v>20</v>
      </c>
      <c r="M4461" t="s">
        <v>31</v>
      </c>
      <c r="N4461" t="s">
        <v>26</v>
      </c>
      <c r="O4461" t="s">
        <v>27</v>
      </c>
      <c r="P4461">
        <v>2.38</v>
      </c>
      <c r="Q4461" s="2" t="b">
        <f>FALSE()</f>
        <v>0</v>
      </c>
      <c r="R4461">
        <v>0</v>
      </c>
    </row>
    <row r="4462" spans="1:18" x14ac:dyDescent="0.25">
      <c r="A4462">
        <v>204461</v>
      </c>
      <c r="B4462">
        <v>55725</v>
      </c>
      <c r="C4462" t="s">
        <v>18</v>
      </c>
      <c r="D4462">
        <v>1111.5899999999999</v>
      </c>
      <c r="E4462">
        <v>3230</v>
      </c>
      <c r="F4462">
        <v>0</v>
      </c>
      <c r="G4462">
        <v>6</v>
      </c>
      <c r="H4462">
        <v>0</v>
      </c>
      <c r="I4462" t="s">
        <v>19</v>
      </c>
      <c r="J4462">
        <v>0</v>
      </c>
      <c r="K4462">
        <v>82</v>
      </c>
      <c r="L4462" t="s">
        <v>20</v>
      </c>
      <c r="M4462" t="s">
        <v>29</v>
      </c>
      <c r="N4462" t="s">
        <v>26</v>
      </c>
      <c r="O4462" t="s">
        <v>27</v>
      </c>
      <c r="P4462">
        <v>2.0299999999999998</v>
      </c>
      <c r="Q4462" s="2" t="b">
        <f>FALSE()</f>
        <v>0</v>
      </c>
      <c r="R4462">
        <v>0</v>
      </c>
    </row>
    <row r="4463" spans="1:18" x14ac:dyDescent="0.25">
      <c r="A4463">
        <v>204462</v>
      </c>
      <c r="B4463">
        <v>51286</v>
      </c>
      <c r="C4463" t="s">
        <v>34</v>
      </c>
      <c r="D4463">
        <v>2076.1999999999998</v>
      </c>
      <c r="E4463">
        <v>2681</v>
      </c>
      <c r="F4463">
        <v>1</v>
      </c>
      <c r="G4463">
        <v>8</v>
      </c>
      <c r="H4463">
        <v>0</v>
      </c>
      <c r="I4463" t="s">
        <v>33</v>
      </c>
      <c r="J4463">
        <v>0</v>
      </c>
      <c r="K4463">
        <v>80</v>
      </c>
      <c r="L4463" t="s">
        <v>20</v>
      </c>
      <c r="M4463" t="s">
        <v>37</v>
      </c>
      <c r="N4463" t="s">
        <v>30</v>
      </c>
      <c r="O4463" t="s">
        <v>27</v>
      </c>
      <c r="P4463">
        <v>1.1200000000000001</v>
      </c>
      <c r="Q4463" s="2" t="b">
        <f>FALSE()</f>
        <v>0</v>
      </c>
      <c r="R4463">
        <v>1</v>
      </c>
    </row>
    <row r="4464" spans="1:18" x14ac:dyDescent="0.25">
      <c r="A4464">
        <v>204463</v>
      </c>
      <c r="B4464">
        <v>52304</v>
      </c>
      <c r="C4464" t="s">
        <v>34</v>
      </c>
      <c r="D4464">
        <v>1740.53</v>
      </c>
      <c r="E4464">
        <v>2661</v>
      </c>
      <c r="F4464">
        <v>3</v>
      </c>
      <c r="G4464">
        <v>6</v>
      </c>
      <c r="H4464">
        <v>0</v>
      </c>
      <c r="I4464" t="s">
        <v>33</v>
      </c>
      <c r="J4464">
        <v>1</v>
      </c>
      <c r="K4464">
        <v>31</v>
      </c>
      <c r="L4464" t="s">
        <v>20</v>
      </c>
      <c r="M4464" t="s">
        <v>35</v>
      </c>
      <c r="N4464" t="s">
        <v>26</v>
      </c>
      <c r="O4464" t="s">
        <v>27</v>
      </c>
      <c r="P4464">
        <v>2.12</v>
      </c>
      <c r="Q4464" s="2" t="b">
        <f>FALSE()</f>
        <v>0</v>
      </c>
      <c r="R4464">
        <v>1</v>
      </c>
    </row>
    <row r="4465" spans="1:18" x14ac:dyDescent="0.25">
      <c r="A4465">
        <v>204464</v>
      </c>
      <c r="B4465">
        <v>50210</v>
      </c>
      <c r="C4465" t="s">
        <v>28</v>
      </c>
      <c r="D4465">
        <v>1812.97</v>
      </c>
      <c r="E4465">
        <v>3286</v>
      </c>
      <c r="F4465">
        <v>3</v>
      </c>
      <c r="G4465">
        <v>5</v>
      </c>
      <c r="H4465">
        <v>0</v>
      </c>
      <c r="I4465" t="s">
        <v>33</v>
      </c>
      <c r="J4465">
        <v>1</v>
      </c>
      <c r="K4465">
        <v>56</v>
      </c>
      <c r="L4465" t="s">
        <v>20</v>
      </c>
      <c r="M4465" t="s">
        <v>35</v>
      </c>
      <c r="N4465" t="s">
        <v>22</v>
      </c>
      <c r="O4465" t="s">
        <v>36</v>
      </c>
      <c r="P4465">
        <v>4.54</v>
      </c>
      <c r="Q4465" s="2" t="b">
        <f>FALSE()</f>
        <v>0</v>
      </c>
      <c r="R4465">
        <v>1</v>
      </c>
    </row>
    <row r="4466" spans="1:18" x14ac:dyDescent="0.25">
      <c r="A4466">
        <v>204465</v>
      </c>
      <c r="B4466">
        <v>51996</v>
      </c>
      <c r="C4466" t="s">
        <v>18</v>
      </c>
      <c r="D4466">
        <v>2971.95</v>
      </c>
      <c r="E4466">
        <v>3001</v>
      </c>
      <c r="F4466">
        <v>3</v>
      </c>
      <c r="G4466">
        <v>5</v>
      </c>
      <c r="H4466">
        <v>0</v>
      </c>
      <c r="I4466" t="s">
        <v>33</v>
      </c>
      <c r="J4466">
        <v>1</v>
      </c>
      <c r="K4466">
        <v>83</v>
      </c>
      <c r="L4466" t="s">
        <v>24</v>
      </c>
      <c r="M4466" t="s">
        <v>25</v>
      </c>
      <c r="N4466" t="s">
        <v>30</v>
      </c>
      <c r="O4466" t="s">
        <v>23</v>
      </c>
      <c r="P4466">
        <v>1.48</v>
      </c>
      <c r="Q4466" s="2" t="b">
        <f>FALSE()</f>
        <v>0</v>
      </c>
      <c r="R4466">
        <v>1</v>
      </c>
    </row>
    <row r="4467" spans="1:18" x14ac:dyDescent="0.25">
      <c r="A4467">
        <v>204466</v>
      </c>
      <c r="B4467">
        <v>51354</v>
      </c>
      <c r="C4467" t="s">
        <v>28</v>
      </c>
      <c r="D4467">
        <v>2121.9</v>
      </c>
      <c r="E4467">
        <v>2369</v>
      </c>
      <c r="F4467">
        <v>0</v>
      </c>
      <c r="G4467">
        <v>3</v>
      </c>
      <c r="H4467">
        <v>0</v>
      </c>
      <c r="I4467" t="s">
        <v>33</v>
      </c>
      <c r="J4467">
        <v>0</v>
      </c>
      <c r="K4467">
        <v>47</v>
      </c>
      <c r="L4467" t="s">
        <v>24</v>
      </c>
      <c r="M4467" t="s">
        <v>37</v>
      </c>
      <c r="N4467" t="s">
        <v>30</v>
      </c>
      <c r="O4467" t="s">
        <v>27</v>
      </c>
      <c r="P4467">
        <v>0.41</v>
      </c>
      <c r="Q4467" s="2" t="b">
        <f>FALSE()</f>
        <v>0</v>
      </c>
      <c r="R4467">
        <v>0</v>
      </c>
    </row>
    <row r="4468" spans="1:18" x14ac:dyDescent="0.25">
      <c r="A4468">
        <v>204467</v>
      </c>
      <c r="B4468">
        <v>53769</v>
      </c>
      <c r="C4468" t="s">
        <v>34</v>
      </c>
      <c r="D4468">
        <v>6124.08</v>
      </c>
      <c r="E4468">
        <v>2829</v>
      </c>
      <c r="F4468">
        <v>1</v>
      </c>
      <c r="G4468">
        <v>1</v>
      </c>
      <c r="H4468">
        <v>1</v>
      </c>
      <c r="I4468" t="s">
        <v>33</v>
      </c>
      <c r="J4468">
        <v>1</v>
      </c>
      <c r="K4468">
        <v>59</v>
      </c>
      <c r="L4468" t="s">
        <v>24</v>
      </c>
      <c r="M4468" t="s">
        <v>29</v>
      </c>
      <c r="N4468" t="s">
        <v>22</v>
      </c>
      <c r="O4468" t="s">
        <v>27</v>
      </c>
      <c r="P4468">
        <v>3.07</v>
      </c>
      <c r="Q4468" s="2" t="b">
        <f>FALSE()</f>
        <v>0</v>
      </c>
      <c r="R4468">
        <v>1</v>
      </c>
    </row>
    <row r="4469" spans="1:18" x14ac:dyDescent="0.25">
      <c r="A4469">
        <v>204468</v>
      </c>
      <c r="B4469">
        <v>50305</v>
      </c>
      <c r="C4469" t="s">
        <v>18</v>
      </c>
      <c r="D4469">
        <v>3378.7</v>
      </c>
      <c r="E4469">
        <v>1269</v>
      </c>
      <c r="F4469">
        <v>0</v>
      </c>
      <c r="G4469">
        <v>7</v>
      </c>
      <c r="H4469">
        <v>0</v>
      </c>
      <c r="I4469" t="s">
        <v>33</v>
      </c>
      <c r="J4469">
        <v>0</v>
      </c>
      <c r="K4469">
        <v>34</v>
      </c>
      <c r="L4469" t="s">
        <v>20</v>
      </c>
      <c r="M4469" t="s">
        <v>37</v>
      </c>
      <c r="N4469" t="s">
        <v>30</v>
      </c>
      <c r="O4469" t="s">
        <v>36</v>
      </c>
      <c r="P4469">
        <v>0.56999999999999995</v>
      </c>
      <c r="Q4469" s="2" t="b">
        <f>FALSE()</f>
        <v>0</v>
      </c>
      <c r="R4469">
        <v>1</v>
      </c>
    </row>
    <row r="4470" spans="1:18" x14ac:dyDescent="0.25">
      <c r="A4470">
        <v>204469</v>
      </c>
      <c r="B4470">
        <v>54513</v>
      </c>
      <c r="C4470" t="s">
        <v>28</v>
      </c>
      <c r="D4470">
        <v>3399.3</v>
      </c>
      <c r="E4470">
        <v>3503</v>
      </c>
      <c r="F4470">
        <v>2</v>
      </c>
      <c r="G4470">
        <v>3</v>
      </c>
      <c r="H4470">
        <v>0</v>
      </c>
      <c r="I4470" t="s">
        <v>33</v>
      </c>
      <c r="J4470">
        <v>0</v>
      </c>
      <c r="K4470">
        <v>18</v>
      </c>
      <c r="L4470" t="s">
        <v>20</v>
      </c>
      <c r="M4470" t="s">
        <v>37</v>
      </c>
      <c r="N4470" t="s">
        <v>30</v>
      </c>
      <c r="O4470" t="s">
        <v>36</v>
      </c>
      <c r="P4470">
        <v>2.4300000000000002</v>
      </c>
      <c r="Q4470" s="2" t="b">
        <f>FALSE()</f>
        <v>0</v>
      </c>
      <c r="R4470">
        <v>0</v>
      </c>
    </row>
    <row r="4471" spans="1:18" x14ac:dyDescent="0.25">
      <c r="A4471">
        <v>204470</v>
      </c>
      <c r="B4471">
        <v>51264</v>
      </c>
      <c r="C4471" t="s">
        <v>18</v>
      </c>
      <c r="D4471">
        <v>1066.93</v>
      </c>
      <c r="E4471">
        <v>657</v>
      </c>
      <c r="F4471">
        <v>0</v>
      </c>
      <c r="G4471">
        <v>7</v>
      </c>
      <c r="H4471">
        <v>0</v>
      </c>
      <c r="I4471" t="s">
        <v>33</v>
      </c>
      <c r="J4471">
        <v>1</v>
      </c>
      <c r="K4471">
        <v>23</v>
      </c>
      <c r="L4471" t="s">
        <v>24</v>
      </c>
      <c r="M4471" t="s">
        <v>25</v>
      </c>
      <c r="N4471" t="s">
        <v>30</v>
      </c>
      <c r="O4471" t="s">
        <v>23</v>
      </c>
      <c r="P4471">
        <v>9.5299999999999994</v>
      </c>
      <c r="Q4471" s="2" t="b">
        <f>FALSE()</f>
        <v>0</v>
      </c>
      <c r="R4471">
        <v>1</v>
      </c>
    </row>
    <row r="4472" spans="1:18" x14ac:dyDescent="0.25">
      <c r="A4472">
        <v>204471</v>
      </c>
      <c r="B4472">
        <v>51673</v>
      </c>
      <c r="C4472" t="s">
        <v>18</v>
      </c>
      <c r="D4472">
        <v>1199.8</v>
      </c>
      <c r="E4472">
        <v>2656</v>
      </c>
      <c r="F4472">
        <v>0</v>
      </c>
      <c r="G4472">
        <v>3</v>
      </c>
      <c r="H4472">
        <v>1</v>
      </c>
      <c r="I4472" t="s">
        <v>32</v>
      </c>
      <c r="J4472">
        <v>0</v>
      </c>
      <c r="K4472">
        <v>75</v>
      </c>
      <c r="L4472" t="s">
        <v>24</v>
      </c>
      <c r="M4472" t="s">
        <v>37</v>
      </c>
      <c r="N4472" t="s">
        <v>22</v>
      </c>
      <c r="O4472" t="s">
        <v>23</v>
      </c>
      <c r="P4472">
        <v>3.91</v>
      </c>
      <c r="Q4472" s="2" t="b">
        <f>FALSE()</f>
        <v>0</v>
      </c>
      <c r="R4472">
        <v>0</v>
      </c>
    </row>
    <row r="4473" spans="1:18" x14ac:dyDescent="0.25">
      <c r="A4473">
        <v>204472</v>
      </c>
      <c r="B4473">
        <v>53100</v>
      </c>
      <c r="C4473" t="s">
        <v>34</v>
      </c>
      <c r="D4473">
        <v>2336.08</v>
      </c>
      <c r="E4473">
        <v>1653</v>
      </c>
      <c r="F4473">
        <v>1</v>
      </c>
      <c r="G4473">
        <v>1</v>
      </c>
      <c r="H4473">
        <v>0</v>
      </c>
      <c r="I4473" t="s">
        <v>33</v>
      </c>
      <c r="J4473">
        <v>0</v>
      </c>
      <c r="K4473">
        <v>76</v>
      </c>
      <c r="L4473" t="s">
        <v>24</v>
      </c>
      <c r="M4473" t="s">
        <v>37</v>
      </c>
      <c r="N4473" t="s">
        <v>22</v>
      </c>
      <c r="O4473" t="s">
        <v>27</v>
      </c>
      <c r="P4473">
        <v>5.18</v>
      </c>
      <c r="Q4473" s="2" t="b">
        <f>FALSE()</f>
        <v>0</v>
      </c>
      <c r="R4473">
        <v>0</v>
      </c>
    </row>
    <row r="4474" spans="1:18" x14ac:dyDescent="0.25">
      <c r="A4474">
        <v>204473</v>
      </c>
      <c r="B4474">
        <v>52253</v>
      </c>
      <c r="C4474" t="s">
        <v>34</v>
      </c>
      <c r="D4474">
        <v>3060.43</v>
      </c>
      <c r="E4474">
        <v>2199</v>
      </c>
      <c r="F4474">
        <v>0</v>
      </c>
      <c r="G4474">
        <v>4</v>
      </c>
      <c r="H4474">
        <v>1</v>
      </c>
      <c r="I4474" t="s">
        <v>19</v>
      </c>
      <c r="J4474">
        <v>1</v>
      </c>
      <c r="K4474">
        <v>25</v>
      </c>
      <c r="L4474" t="s">
        <v>20</v>
      </c>
      <c r="M4474" t="s">
        <v>25</v>
      </c>
      <c r="N4474" t="s">
        <v>30</v>
      </c>
      <c r="O4474" t="s">
        <v>27</v>
      </c>
      <c r="P4474">
        <v>3.03</v>
      </c>
      <c r="Q4474" s="2" t="b">
        <f>FALSE()</f>
        <v>0</v>
      </c>
      <c r="R4474">
        <v>0</v>
      </c>
    </row>
    <row r="4475" spans="1:18" x14ac:dyDescent="0.25">
      <c r="A4475">
        <v>204474</v>
      </c>
      <c r="B4475">
        <v>51311</v>
      </c>
      <c r="C4475" t="s">
        <v>28</v>
      </c>
      <c r="D4475">
        <v>3122.6</v>
      </c>
      <c r="E4475">
        <v>1128</v>
      </c>
      <c r="F4475">
        <v>1</v>
      </c>
      <c r="G4475">
        <v>3</v>
      </c>
      <c r="H4475">
        <v>1</v>
      </c>
      <c r="I4475" t="s">
        <v>19</v>
      </c>
      <c r="J4475">
        <v>1</v>
      </c>
      <c r="K4475">
        <v>44</v>
      </c>
      <c r="L4475" t="s">
        <v>24</v>
      </c>
      <c r="M4475" t="s">
        <v>25</v>
      </c>
      <c r="N4475" t="s">
        <v>22</v>
      </c>
      <c r="O4475" t="s">
        <v>23</v>
      </c>
      <c r="P4475">
        <v>0.18</v>
      </c>
      <c r="Q4475" s="2" t="b">
        <f>FALSE()</f>
        <v>0</v>
      </c>
      <c r="R4475">
        <v>0</v>
      </c>
    </row>
    <row r="4476" spans="1:18" x14ac:dyDescent="0.25">
      <c r="A4476">
        <v>204475</v>
      </c>
      <c r="B4476">
        <v>53941</v>
      </c>
      <c r="C4476" t="s">
        <v>18</v>
      </c>
      <c r="D4476">
        <v>1992.2</v>
      </c>
      <c r="E4476">
        <v>3452</v>
      </c>
      <c r="F4476">
        <v>2</v>
      </c>
      <c r="G4476">
        <v>6</v>
      </c>
      <c r="H4476">
        <v>1</v>
      </c>
      <c r="I4476" t="s">
        <v>19</v>
      </c>
      <c r="J4476">
        <v>0</v>
      </c>
      <c r="K4476">
        <v>75</v>
      </c>
      <c r="L4476" t="s">
        <v>20</v>
      </c>
      <c r="M4476" t="s">
        <v>37</v>
      </c>
      <c r="N4476" t="s">
        <v>22</v>
      </c>
      <c r="O4476" t="s">
        <v>27</v>
      </c>
      <c r="P4476">
        <v>4.09</v>
      </c>
      <c r="Q4476" s="2" t="b">
        <f>FALSE()</f>
        <v>0</v>
      </c>
      <c r="R4476">
        <v>0</v>
      </c>
    </row>
    <row r="4477" spans="1:18" x14ac:dyDescent="0.25">
      <c r="A4477">
        <v>204476</v>
      </c>
      <c r="B4477">
        <v>55247</v>
      </c>
      <c r="C4477" t="s">
        <v>34</v>
      </c>
      <c r="D4477">
        <v>1532.87</v>
      </c>
      <c r="E4477">
        <v>1522</v>
      </c>
      <c r="F4477">
        <v>1</v>
      </c>
      <c r="G4477">
        <v>5</v>
      </c>
      <c r="H4477">
        <v>1</v>
      </c>
      <c r="I4477" t="s">
        <v>33</v>
      </c>
      <c r="J4477">
        <v>0</v>
      </c>
      <c r="K4477">
        <v>61</v>
      </c>
      <c r="L4477" t="s">
        <v>20</v>
      </c>
      <c r="M4477" t="s">
        <v>25</v>
      </c>
      <c r="N4477" t="s">
        <v>22</v>
      </c>
      <c r="O4477" t="s">
        <v>36</v>
      </c>
      <c r="P4477">
        <v>1.72</v>
      </c>
      <c r="Q4477" s="2" t="b">
        <f>FALSE()</f>
        <v>0</v>
      </c>
      <c r="R4477">
        <v>0</v>
      </c>
    </row>
    <row r="4478" spans="1:18" x14ac:dyDescent="0.25">
      <c r="A4478">
        <v>204477</v>
      </c>
      <c r="B4478">
        <v>51526</v>
      </c>
      <c r="C4478" t="s">
        <v>34</v>
      </c>
      <c r="D4478">
        <v>1245.21</v>
      </c>
      <c r="E4478">
        <v>2161</v>
      </c>
      <c r="F4478">
        <v>3</v>
      </c>
      <c r="G4478">
        <v>1</v>
      </c>
      <c r="H4478">
        <v>0</v>
      </c>
      <c r="I4478" t="s">
        <v>33</v>
      </c>
      <c r="J4478">
        <v>1</v>
      </c>
      <c r="K4478">
        <v>65</v>
      </c>
      <c r="L4478" t="s">
        <v>38</v>
      </c>
      <c r="M4478" t="s">
        <v>31</v>
      </c>
      <c r="N4478" t="s">
        <v>26</v>
      </c>
      <c r="O4478" t="s">
        <v>27</v>
      </c>
      <c r="P4478">
        <v>4.51</v>
      </c>
      <c r="Q4478" s="2" t="b">
        <f>FALSE()</f>
        <v>0</v>
      </c>
      <c r="R4478">
        <v>1</v>
      </c>
    </row>
    <row r="4479" spans="1:18" x14ac:dyDescent="0.25">
      <c r="A4479">
        <v>204478</v>
      </c>
      <c r="B4479">
        <v>55829</v>
      </c>
      <c r="C4479" t="s">
        <v>34</v>
      </c>
      <c r="D4479">
        <v>3126.83</v>
      </c>
      <c r="E4479">
        <v>1059</v>
      </c>
      <c r="F4479">
        <v>1</v>
      </c>
      <c r="G4479">
        <v>5</v>
      </c>
      <c r="H4479">
        <v>1</v>
      </c>
      <c r="I4479" t="s">
        <v>19</v>
      </c>
      <c r="J4479">
        <v>0</v>
      </c>
      <c r="K4479">
        <v>59</v>
      </c>
      <c r="L4479" t="s">
        <v>24</v>
      </c>
      <c r="M4479" t="s">
        <v>31</v>
      </c>
      <c r="N4479" t="s">
        <v>22</v>
      </c>
      <c r="O4479" t="s">
        <v>27</v>
      </c>
      <c r="P4479">
        <v>5.0599999999999996</v>
      </c>
      <c r="Q4479" s="2" t="b">
        <f>FALSE()</f>
        <v>0</v>
      </c>
      <c r="R4479">
        <v>0</v>
      </c>
    </row>
    <row r="4480" spans="1:18" x14ac:dyDescent="0.25">
      <c r="A4480">
        <v>204479</v>
      </c>
      <c r="B4480">
        <v>54668</v>
      </c>
      <c r="C4480" t="s">
        <v>18</v>
      </c>
      <c r="D4480">
        <v>2375.34</v>
      </c>
      <c r="E4480">
        <v>444</v>
      </c>
      <c r="F4480">
        <v>0</v>
      </c>
      <c r="G4480">
        <v>2</v>
      </c>
      <c r="H4480">
        <v>0</v>
      </c>
      <c r="I4480" t="s">
        <v>33</v>
      </c>
      <c r="J4480">
        <v>0</v>
      </c>
      <c r="K4480">
        <v>25</v>
      </c>
      <c r="L4480" t="s">
        <v>24</v>
      </c>
      <c r="M4480" t="s">
        <v>21</v>
      </c>
      <c r="N4480" t="s">
        <v>22</v>
      </c>
      <c r="O4480" t="s">
        <v>27</v>
      </c>
      <c r="P4480">
        <v>6.92</v>
      </c>
      <c r="Q4480" s="2" t="b">
        <f>FALSE()</f>
        <v>0</v>
      </c>
      <c r="R4480">
        <v>0</v>
      </c>
    </row>
    <row r="4481" spans="1:18" x14ac:dyDescent="0.25">
      <c r="A4481">
        <v>204480</v>
      </c>
      <c r="B4481">
        <v>55457</v>
      </c>
      <c r="C4481" t="s">
        <v>18</v>
      </c>
      <c r="D4481">
        <v>4486.76</v>
      </c>
      <c r="E4481">
        <v>689</v>
      </c>
      <c r="F4481">
        <v>2</v>
      </c>
      <c r="G4481">
        <v>1</v>
      </c>
      <c r="H4481">
        <v>0</v>
      </c>
      <c r="I4481" t="s">
        <v>33</v>
      </c>
      <c r="J4481">
        <v>0</v>
      </c>
      <c r="K4481">
        <v>38</v>
      </c>
      <c r="L4481" t="s">
        <v>20</v>
      </c>
      <c r="M4481" t="s">
        <v>35</v>
      </c>
      <c r="N4481" t="s">
        <v>22</v>
      </c>
      <c r="O4481" t="s">
        <v>27</v>
      </c>
      <c r="P4481">
        <v>10.33</v>
      </c>
      <c r="Q4481" s="2" t="b">
        <f>FALSE()</f>
        <v>0</v>
      </c>
      <c r="R4481">
        <v>1</v>
      </c>
    </row>
    <row r="4482" spans="1:18" x14ac:dyDescent="0.25">
      <c r="A4482">
        <v>204481</v>
      </c>
      <c r="B4482">
        <v>54686</v>
      </c>
      <c r="C4482" t="s">
        <v>18</v>
      </c>
      <c r="D4482">
        <v>1483.54</v>
      </c>
      <c r="E4482">
        <v>2291</v>
      </c>
      <c r="F4482">
        <v>1</v>
      </c>
      <c r="G4482">
        <v>1</v>
      </c>
      <c r="H4482">
        <v>0</v>
      </c>
      <c r="I4482" t="s">
        <v>19</v>
      </c>
      <c r="J4482">
        <v>0</v>
      </c>
      <c r="K4482">
        <v>33</v>
      </c>
      <c r="L4482" t="s">
        <v>20</v>
      </c>
      <c r="M4482" t="s">
        <v>35</v>
      </c>
      <c r="N4482" t="s">
        <v>30</v>
      </c>
      <c r="O4482" t="s">
        <v>36</v>
      </c>
      <c r="P4482">
        <v>3.53</v>
      </c>
      <c r="Q4482" s="2" t="b">
        <f>FALSE()</f>
        <v>0</v>
      </c>
      <c r="R4482">
        <v>0</v>
      </c>
    </row>
    <row r="4483" spans="1:18" x14ac:dyDescent="0.25">
      <c r="A4483">
        <v>204482</v>
      </c>
      <c r="B4483">
        <v>50423</v>
      </c>
      <c r="C4483" t="s">
        <v>18</v>
      </c>
      <c r="D4483">
        <v>4521.18</v>
      </c>
      <c r="E4483">
        <v>1876</v>
      </c>
      <c r="F4483">
        <v>0</v>
      </c>
      <c r="G4483">
        <v>4</v>
      </c>
      <c r="H4483">
        <v>0</v>
      </c>
      <c r="I4483" t="s">
        <v>32</v>
      </c>
      <c r="J4483">
        <v>0</v>
      </c>
      <c r="K4483">
        <v>76</v>
      </c>
      <c r="L4483" t="s">
        <v>20</v>
      </c>
      <c r="M4483" t="s">
        <v>25</v>
      </c>
      <c r="N4483" t="s">
        <v>30</v>
      </c>
      <c r="O4483" t="s">
        <v>36</v>
      </c>
      <c r="P4483">
        <v>1.91</v>
      </c>
      <c r="Q4483" s="2" t="b">
        <f>FALSE()</f>
        <v>0</v>
      </c>
      <c r="R4483">
        <v>1</v>
      </c>
    </row>
    <row r="4484" spans="1:18" x14ac:dyDescent="0.25">
      <c r="A4484">
        <v>204483</v>
      </c>
      <c r="B4484">
        <v>50774</v>
      </c>
      <c r="C4484" t="s">
        <v>34</v>
      </c>
      <c r="D4484">
        <v>7409.01</v>
      </c>
      <c r="E4484">
        <v>1616</v>
      </c>
      <c r="F4484">
        <v>0</v>
      </c>
      <c r="G4484">
        <v>5</v>
      </c>
      <c r="H4484">
        <v>0</v>
      </c>
      <c r="I4484" t="s">
        <v>33</v>
      </c>
      <c r="J4484">
        <v>1</v>
      </c>
      <c r="K4484">
        <v>50</v>
      </c>
      <c r="L4484" t="s">
        <v>20</v>
      </c>
      <c r="M4484" t="s">
        <v>35</v>
      </c>
      <c r="N4484" t="s">
        <v>22</v>
      </c>
      <c r="O4484" t="s">
        <v>27</v>
      </c>
      <c r="P4484">
        <v>7.98</v>
      </c>
      <c r="Q4484" s="2" t="b">
        <f>TRUE()</f>
        <v>1</v>
      </c>
      <c r="R4484">
        <v>1</v>
      </c>
    </row>
    <row r="4485" spans="1:18" x14ac:dyDescent="0.25">
      <c r="A4485">
        <v>204484</v>
      </c>
      <c r="B4485">
        <v>55423</v>
      </c>
      <c r="C4485" t="s">
        <v>34</v>
      </c>
      <c r="D4485">
        <v>2226.38</v>
      </c>
      <c r="E4485">
        <v>2064</v>
      </c>
      <c r="F4485">
        <v>0</v>
      </c>
      <c r="G4485">
        <v>3</v>
      </c>
      <c r="H4485">
        <v>0</v>
      </c>
      <c r="I4485" t="s">
        <v>32</v>
      </c>
      <c r="J4485">
        <v>0</v>
      </c>
      <c r="K4485">
        <v>68</v>
      </c>
      <c r="L4485" t="s">
        <v>20</v>
      </c>
      <c r="M4485" t="s">
        <v>31</v>
      </c>
      <c r="N4485" t="s">
        <v>22</v>
      </c>
      <c r="O4485" t="s">
        <v>23</v>
      </c>
      <c r="P4485">
        <v>2.35</v>
      </c>
      <c r="Q4485" s="2" t="b">
        <f>FALSE()</f>
        <v>0</v>
      </c>
      <c r="R4485">
        <v>0</v>
      </c>
    </row>
    <row r="4486" spans="1:18" x14ac:dyDescent="0.25">
      <c r="A4486">
        <v>204485</v>
      </c>
      <c r="B4486">
        <v>50555</v>
      </c>
      <c r="C4486" t="s">
        <v>34</v>
      </c>
      <c r="D4486">
        <v>4158.6099999999997</v>
      </c>
      <c r="E4486">
        <v>1759</v>
      </c>
      <c r="F4486">
        <v>1</v>
      </c>
      <c r="G4486">
        <v>5</v>
      </c>
      <c r="H4486">
        <v>1</v>
      </c>
      <c r="I4486" t="s">
        <v>33</v>
      </c>
      <c r="J4486">
        <v>0</v>
      </c>
      <c r="K4486">
        <v>71</v>
      </c>
      <c r="L4486" t="s">
        <v>24</v>
      </c>
      <c r="M4486" t="s">
        <v>29</v>
      </c>
      <c r="N4486" t="s">
        <v>30</v>
      </c>
      <c r="O4486" t="s">
        <v>27</v>
      </c>
      <c r="P4486">
        <v>0.13</v>
      </c>
      <c r="Q4486" s="2" t="b">
        <f>FALSE()</f>
        <v>0</v>
      </c>
      <c r="R4486">
        <v>1</v>
      </c>
    </row>
    <row r="4487" spans="1:18" x14ac:dyDescent="0.25">
      <c r="A4487">
        <v>204486</v>
      </c>
      <c r="B4487">
        <v>55930</v>
      </c>
      <c r="C4487" t="s">
        <v>34</v>
      </c>
      <c r="D4487">
        <v>3724.73</v>
      </c>
      <c r="E4487">
        <v>2263</v>
      </c>
      <c r="F4487">
        <v>2</v>
      </c>
      <c r="G4487">
        <v>8</v>
      </c>
      <c r="H4487">
        <v>1</v>
      </c>
      <c r="I4487" t="s">
        <v>32</v>
      </c>
      <c r="J4487">
        <v>1</v>
      </c>
      <c r="K4487">
        <v>82</v>
      </c>
      <c r="L4487" t="s">
        <v>24</v>
      </c>
      <c r="M4487" t="s">
        <v>21</v>
      </c>
      <c r="N4487" t="s">
        <v>30</v>
      </c>
      <c r="O4487" t="s">
        <v>27</v>
      </c>
      <c r="P4487">
        <v>4.83</v>
      </c>
      <c r="Q4487" s="2" t="b">
        <f>FALSE()</f>
        <v>0</v>
      </c>
      <c r="R4487">
        <v>1</v>
      </c>
    </row>
    <row r="4488" spans="1:18" x14ac:dyDescent="0.25">
      <c r="A4488">
        <v>204487</v>
      </c>
      <c r="B4488">
        <v>51916</v>
      </c>
      <c r="C4488" t="s">
        <v>34</v>
      </c>
      <c r="D4488">
        <v>1141.74</v>
      </c>
      <c r="E4488">
        <v>2002</v>
      </c>
      <c r="F4488">
        <v>2</v>
      </c>
      <c r="G4488">
        <v>4</v>
      </c>
      <c r="H4488">
        <v>0</v>
      </c>
      <c r="I4488" t="s">
        <v>33</v>
      </c>
      <c r="J4488">
        <v>0</v>
      </c>
      <c r="K4488">
        <v>65</v>
      </c>
      <c r="L4488" t="s">
        <v>20</v>
      </c>
      <c r="M4488" t="s">
        <v>21</v>
      </c>
      <c r="N4488" t="s">
        <v>30</v>
      </c>
      <c r="O4488" t="s">
        <v>27</v>
      </c>
      <c r="P4488">
        <v>14.93</v>
      </c>
      <c r="Q4488" s="2" t="b">
        <f>FALSE()</f>
        <v>0</v>
      </c>
      <c r="R4488">
        <v>0</v>
      </c>
    </row>
    <row r="4489" spans="1:18" x14ac:dyDescent="0.25">
      <c r="A4489">
        <v>204488</v>
      </c>
      <c r="B4489">
        <v>54921</v>
      </c>
      <c r="C4489" t="s">
        <v>18</v>
      </c>
      <c r="D4489">
        <v>1332.88</v>
      </c>
      <c r="E4489">
        <v>3111</v>
      </c>
      <c r="F4489">
        <v>2</v>
      </c>
      <c r="G4489">
        <v>4</v>
      </c>
      <c r="H4489">
        <v>1</v>
      </c>
      <c r="I4489" t="s">
        <v>19</v>
      </c>
      <c r="J4489">
        <v>1</v>
      </c>
      <c r="K4489">
        <v>59</v>
      </c>
      <c r="L4489" t="s">
        <v>20</v>
      </c>
      <c r="M4489" t="s">
        <v>25</v>
      </c>
      <c r="N4489" t="s">
        <v>22</v>
      </c>
      <c r="O4489" t="s">
        <v>36</v>
      </c>
      <c r="P4489">
        <v>4.87</v>
      </c>
      <c r="Q4489" s="2" t="b">
        <f>FALSE()</f>
        <v>0</v>
      </c>
      <c r="R4489">
        <v>0</v>
      </c>
    </row>
    <row r="4490" spans="1:18" x14ac:dyDescent="0.25">
      <c r="A4490">
        <v>204489</v>
      </c>
      <c r="B4490">
        <v>50070</v>
      </c>
      <c r="C4490" t="s">
        <v>18</v>
      </c>
      <c r="D4490">
        <v>2255.84</v>
      </c>
      <c r="E4490">
        <v>1254</v>
      </c>
      <c r="F4490">
        <v>0</v>
      </c>
      <c r="G4490">
        <v>3</v>
      </c>
      <c r="H4490">
        <v>0</v>
      </c>
      <c r="I4490" t="s">
        <v>33</v>
      </c>
      <c r="J4490">
        <v>1</v>
      </c>
      <c r="K4490">
        <v>57</v>
      </c>
      <c r="L4490" t="s">
        <v>24</v>
      </c>
      <c r="M4490" t="s">
        <v>31</v>
      </c>
      <c r="N4490" t="s">
        <v>22</v>
      </c>
      <c r="O4490" t="s">
        <v>36</v>
      </c>
      <c r="P4490">
        <v>8.39</v>
      </c>
      <c r="Q4490" s="2" t="b">
        <f>FALSE()</f>
        <v>0</v>
      </c>
      <c r="R4490">
        <v>0</v>
      </c>
    </row>
    <row r="4491" spans="1:18" x14ac:dyDescent="0.25">
      <c r="A4491">
        <v>204490</v>
      </c>
      <c r="B4491">
        <v>51046</v>
      </c>
      <c r="C4491" t="s">
        <v>18</v>
      </c>
      <c r="D4491">
        <v>3794.01</v>
      </c>
      <c r="E4491">
        <v>1331</v>
      </c>
      <c r="F4491">
        <v>0</v>
      </c>
      <c r="G4491">
        <v>6</v>
      </c>
      <c r="H4491">
        <v>0</v>
      </c>
      <c r="I4491" t="s">
        <v>33</v>
      </c>
      <c r="J4491">
        <v>0</v>
      </c>
      <c r="K4491">
        <v>57</v>
      </c>
      <c r="L4491" t="s">
        <v>20</v>
      </c>
      <c r="M4491" t="s">
        <v>25</v>
      </c>
      <c r="N4491" t="s">
        <v>22</v>
      </c>
      <c r="O4491" t="s">
        <v>36</v>
      </c>
      <c r="P4491">
        <v>4.79</v>
      </c>
      <c r="Q4491" s="2" t="b">
        <f>FALSE()</f>
        <v>0</v>
      </c>
      <c r="R4491">
        <v>1</v>
      </c>
    </row>
    <row r="4492" spans="1:18" x14ac:dyDescent="0.25">
      <c r="A4492">
        <v>204491</v>
      </c>
      <c r="B4492">
        <v>51907</v>
      </c>
      <c r="C4492" t="s">
        <v>28</v>
      </c>
      <c r="D4492">
        <v>2572.9899999999998</v>
      </c>
      <c r="E4492">
        <v>3188</v>
      </c>
      <c r="F4492">
        <v>1</v>
      </c>
      <c r="G4492">
        <v>1</v>
      </c>
      <c r="H4492">
        <v>0</v>
      </c>
      <c r="I4492" t="s">
        <v>19</v>
      </c>
      <c r="J4492">
        <v>0</v>
      </c>
      <c r="K4492">
        <v>79</v>
      </c>
      <c r="L4492" t="s">
        <v>24</v>
      </c>
      <c r="M4492" t="s">
        <v>31</v>
      </c>
      <c r="N4492" t="s">
        <v>30</v>
      </c>
      <c r="O4492" t="s">
        <v>36</v>
      </c>
      <c r="P4492">
        <v>4.51</v>
      </c>
      <c r="Q4492" s="2" t="b">
        <f>FALSE()</f>
        <v>0</v>
      </c>
      <c r="R4492">
        <v>0</v>
      </c>
    </row>
    <row r="4493" spans="1:18" x14ac:dyDescent="0.25">
      <c r="A4493">
        <v>204492</v>
      </c>
      <c r="B4493">
        <v>53689</v>
      </c>
      <c r="C4493" t="s">
        <v>34</v>
      </c>
      <c r="D4493">
        <v>3325.62</v>
      </c>
      <c r="E4493">
        <v>3110</v>
      </c>
      <c r="F4493">
        <v>1</v>
      </c>
      <c r="G4493">
        <v>9</v>
      </c>
      <c r="H4493">
        <v>0</v>
      </c>
      <c r="I4493" t="s">
        <v>19</v>
      </c>
      <c r="J4493">
        <v>0</v>
      </c>
      <c r="K4493">
        <v>37</v>
      </c>
      <c r="L4493" t="s">
        <v>20</v>
      </c>
      <c r="M4493" t="s">
        <v>29</v>
      </c>
      <c r="N4493" t="s">
        <v>22</v>
      </c>
      <c r="O4493" t="s">
        <v>36</v>
      </c>
      <c r="P4493">
        <v>8.48</v>
      </c>
      <c r="Q4493" s="2" t="b">
        <f>FALSE()</f>
        <v>0</v>
      </c>
      <c r="R4493">
        <v>1</v>
      </c>
    </row>
    <row r="4494" spans="1:18" x14ac:dyDescent="0.25">
      <c r="A4494">
        <v>204493</v>
      </c>
      <c r="B4494">
        <v>55685</v>
      </c>
      <c r="C4494" t="s">
        <v>34</v>
      </c>
      <c r="D4494">
        <v>979.21</v>
      </c>
      <c r="E4494">
        <v>1048</v>
      </c>
      <c r="F4494">
        <v>0</v>
      </c>
      <c r="G4494">
        <v>5</v>
      </c>
      <c r="H4494">
        <v>0</v>
      </c>
      <c r="I4494" t="s">
        <v>33</v>
      </c>
      <c r="J4494">
        <v>0</v>
      </c>
      <c r="K4494">
        <v>40</v>
      </c>
      <c r="L4494" t="s">
        <v>24</v>
      </c>
      <c r="M4494" t="s">
        <v>21</v>
      </c>
      <c r="N4494" t="s">
        <v>22</v>
      </c>
      <c r="O4494" t="s">
        <v>36</v>
      </c>
      <c r="P4494">
        <v>5.42</v>
      </c>
      <c r="Q4494" s="2" t="b">
        <f>FALSE()</f>
        <v>0</v>
      </c>
      <c r="R4494">
        <v>0</v>
      </c>
    </row>
    <row r="4495" spans="1:18" x14ac:dyDescent="0.25">
      <c r="A4495">
        <v>204494</v>
      </c>
      <c r="B4495">
        <v>50576</v>
      </c>
      <c r="C4495" t="s">
        <v>18</v>
      </c>
      <c r="D4495">
        <v>926.41</v>
      </c>
      <c r="E4495">
        <v>603</v>
      </c>
      <c r="F4495">
        <v>1</v>
      </c>
      <c r="G4495">
        <v>4</v>
      </c>
      <c r="H4495">
        <v>0</v>
      </c>
      <c r="I4495" t="s">
        <v>33</v>
      </c>
      <c r="J4495">
        <v>1</v>
      </c>
      <c r="K4495">
        <v>71</v>
      </c>
      <c r="L4495" t="s">
        <v>24</v>
      </c>
      <c r="M4495" t="s">
        <v>31</v>
      </c>
      <c r="N4495" t="s">
        <v>22</v>
      </c>
      <c r="O4495" t="s">
        <v>27</v>
      </c>
      <c r="P4495">
        <v>3.91</v>
      </c>
      <c r="Q4495" s="2" t="b">
        <f>FALSE()</f>
        <v>0</v>
      </c>
      <c r="R4495">
        <v>0</v>
      </c>
    </row>
    <row r="4496" spans="1:18" x14ac:dyDescent="0.25">
      <c r="A4496">
        <v>204495</v>
      </c>
      <c r="B4496">
        <v>51061</v>
      </c>
      <c r="C4496" t="s">
        <v>34</v>
      </c>
      <c r="D4496">
        <v>3844.67</v>
      </c>
      <c r="E4496">
        <v>2834</v>
      </c>
      <c r="F4496">
        <v>0</v>
      </c>
      <c r="G4496">
        <v>5</v>
      </c>
      <c r="H4496">
        <v>0</v>
      </c>
      <c r="I4496" t="s">
        <v>33</v>
      </c>
      <c r="J4496">
        <v>0</v>
      </c>
      <c r="K4496">
        <v>40</v>
      </c>
      <c r="L4496" t="s">
        <v>20</v>
      </c>
      <c r="M4496" t="s">
        <v>37</v>
      </c>
      <c r="N4496" t="s">
        <v>22</v>
      </c>
      <c r="O4496" t="s">
        <v>27</v>
      </c>
      <c r="P4496">
        <v>1.23</v>
      </c>
      <c r="Q4496" s="2" t="b">
        <f>FALSE()</f>
        <v>0</v>
      </c>
      <c r="R4496">
        <v>1</v>
      </c>
    </row>
    <row r="4497" spans="1:18" x14ac:dyDescent="0.25">
      <c r="A4497">
        <v>204496</v>
      </c>
      <c r="B4497">
        <v>50159</v>
      </c>
      <c r="C4497" t="s">
        <v>18</v>
      </c>
      <c r="D4497">
        <v>5563.44</v>
      </c>
      <c r="E4497">
        <v>1432</v>
      </c>
      <c r="F4497">
        <v>2</v>
      </c>
      <c r="G4497">
        <v>3</v>
      </c>
      <c r="H4497">
        <v>1</v>
      </c>
      <c r="I4497" t="s">
        <v>33</v>
      </c>
      <c r="J4497">
        <v>1</v>
      </c>
      <c r="K4497">
        <v>41</v>
      </c>
      <c r="L4497" t="s">
        <v>24</v>
      </c>
      <c r="M4497" t="s">
        <v>35</v>
      </c>
      <c r="N4497" t="s">
        <v>30</v>
      </c>
      <c r="O4497" t="s">
        <v>36</v>
      </c>
      <c r="P4497">
        <v>2.62</v>
      </c>
      <c r="Q4497" s="2" t="b">
        <f>FALSE()</f>
        <v>0</v>
      </c>
      <c r="R4497">
        <v>1</v>
      </c>
    </row>
    <row r="4498" spans="1:18" x14ac:dyDescent="0.25">
      <c r="A4498">
        <v>204497</v>
      </c>
      <c r="B4498">
        <v>53380</v>
      </c>
      <c r="C4498" t="s">
        <v>18</v>
      </c>
      <c r="D4498">
        <v>8747.34</v>
      </c>
      <c r="E4498">
        <v>1531</v>
      </c>
      <c r="F4498">
        <v>2</v>
      </c>
      <c r="G4498">
        <v>7</v>
      </c>
      <c r="H4498">
        <v>0</v>
      </c>
      <c r="I4498" t="s">
        <v>33</v>
      </c>
      <c r="J4498">
        <v>0</v>
      </c>
      <c r="K4498">
        <v>20</v>
      </c>
      <c r="L4498" t="s">
        <v>24</v>
      </c>
      <c r="M4498" t="s">
        <v>31</v>
      </c>
      <c r="N4498" t="s">
        <v>26</v>
      </c>
      <c r="O4498" t="s">
        <v>27</v>
      </c>
      <c r="P4498">
        <v>0.25</v>
      </c>
      <c r="Q4498" s="2" t="b">
        <f>TRUE()</f>
        <v>1</v>
      </c>
      <c r="R4498">
        <v>1</v>
      </c>
    </row>
    <row r="4499" spans="1:18" x14ac:dyDescent="0.25">
      <c r="A4499">
        <v>204498</v>
      </c>
      <c r="B4499">
        <v>52496</v>
      </c>
      <c r="C4499" t="s">
        <v>28</v>
      </c>
      <c r="D4499">
        <v>727.48</v>
      </c>
      <c r="E4499">
        <v>870</v>
      </c>
      <c r="F4499">
        <v>0</v>
      </c>
      <c r="G4499">
        <v>4</v>
      </c>
      <c r="H4499">
        <v>0</v>
      </c>
      <c r="I4499" t="s">
        <v>33</v>
      </c>
      <c r="J4499">
        <v>0</v>
      </c>
      <c r="K4499">
        <v>76</v>
      </c>
      <c r="L4499" t="s">
        <v>20</v>
      </c>
      <c r="M4499" t="s">
        <v>29</v>
      </c>
      <c r="N4499" t="s">
        <v>30</v>
      </c>
      <c r="O4499" t="s">
        <v>23</v>
      </c>
      <c r="P4499">
        <v>4.2699999999999996</v>
      </c>
      <c r="Q4499" s="2" t="b">
        <f>FALSE()</f>
        <v>0</v>
      </c>
      <c r="R4499">
        <v>0</v>
      </c>
    </row>
    <row r="4500" spans="1:18" x14ac:dyDescent="0.25">
      <c r="A4500">
        <v>204499</v>
      </c>
      <c r="B4500">
        <v>52312</v>
      </c>
      <c r="C4500" t="s">
        <v>34</v>
      </c>
      <c r="D4500">
        <v>1070.58</v>
      </c>
      <c r="E4500">
        <v>2692</v>
      </c>
      <c r="F4500">
        <v>1</v>
      </c>
      <c r="G4500">
        <v>1</v>
      </c>
      <c r="H4500">
        <v>0</v>
      </c>
      <c r="I4500" t="s">
        <v>32</v>
      </c>
      <c r="J4500">
        <v>0</v>
      </c>
      <c r="K4500">
        <v>18</v>
      </c>
      <c r="L4500" t="s">
        <v>24</v>
      </c>
      <c r="M4500" t="s">
        <v>29</v>
      </c>
      <c r="N4500" t="s">
        <v>22</v>
      </c>
      <c r="O4500" t="s">
        <v>36</v>
      </c>
      <c r="P4500">
        <v>3.23</v>
      </c>
      <c r="Q4500" s="2" t="b">
        <f>FALSE()</f>
        <v>0</v>
      </c>
      <c r="R4500">
        <v>0</v>
      </c>
    </row>
    <row r="4501" spans="1:18" x14ac:dyDescent="0.25">
      <c r="A4501">
        <v>204500</v>
      </c>
      <c r="B4501">
        <v>53280</v>
      </c>
      <c r="C4501" t="s">
        <v>18</v>
      </c>
      <c r="D4501">
        <v>3246.03</v>
      </c>
      <c r="E4501">
        <v>176</v>
      </c>
      <c r="F4501">
        <v>1</v>
      </c>
      <c r="G4501">
        <v>6</v>
      </c>
      <c r="H4501">
        <v>0</v>
      </c>
      <c r="I4501" t="s">
        <v>32</v>
      </c>
      <c r="J4501">
        <v>0</v>
      </c>
      <c r="K4501">
        <v>52</v>
      </c>
      <c r="L4501" t="s">
        <v>20</v>
      </c>
      <c r="M4501" t="s">
        <v>29</v>
      </c>
      <c r="N4501" t="s">
        <v>26</v>
      </c>
      <c r="O4501" t="s">
        <v>36</v>
      </c>
      <c r="P4501">
        <v>6.83</v>
      </c>
      <c r="Q4501" s="2" t="b">
        <f>FALSE()</f>
        <v>0</v>
      </c>
      <c r="R4501">
        <v>0</v>
      </c>
    </row>
    <row r="4502" spans="1:18" x14ac:dyDescent="0.25">
      <c r="A4502">
        <v>204501</v>
      </c>
      <c r="B4502">
        <v>50551</v>
      </c>
      <c r="C4502" t="s">
        <v>34</v>
      </c>
      <c r="D4502">
        <v>3202.57</v>
      </c>
      <c r="E4502">
        <v>681</v>
      </c>
      <c r="F4502">
        <v>2</v>
      </c>
      <c r="G4502">
        <v>5</v>
      </c>
      <c r="H4502">
        <v>0</v>
      </c>
      <c r="I4502" t="s">
        <v>19</v>
      </c>
      <c r="J4502">
        <v>0</v>
      </c>
      <c r="K4502">
        <v>70</v>
      </c>
      <c r="L4502" t="s">
        <v>24</v>
      </c>
      <c r="M4502" t="s">
        <v>29</v>
      </c>
      <c r="N4502" t="s">
        <v>22</v>
      </c>
      <c r="O4502" t="s">
        <v>36</v>
      </c>
      <c r="P4502">
        <v>3.26</v>
      </c>
      <c r="Q4502" s="2" t="b">
        <f>FALSE()</f>
        <v>0</v>
      </c>
      <c r="R4502">
        <v>0</v>
      </c>
    </row>
    <row r="4503" spans="1:18" x14ac:dyDescent="0.25">
      <c r="A4503">
        <v>204502</v>
      </c>
      <c r="B4503">
        <v>54250</v>
      </c>
      <c r="C4503" t="s">
        <v>34</v>
      </c>
      <c r="D4503">
        <v>4544.12</v>
      </c>
      <c r="E4503">
        <v>2430</v>
      </c>
      <c r="F4503">
        <v>2</v>
      </c>
      <c r="G4503">
        <v>4</v>
      </c>
      <c r="H4503">
        <v>1</v>
      </c>
      <c r="I4503" t="s">
        <v>33</v>
      </c>
      <c r="J4503">
        <v>0</v>
      </c>
      <c r="K4503">
        <v>67</v>
      </c>
      <c r="L4503" t="s">
        <v>24</v>
      </c>
      <c r="M4503" t="s">
        <v>37</v>
      </c>
      <c r="N4503" t="s">
        <v>26</v>
      </c>
      <c r="O4503" t="s">
        <v>23</v>
      </c>
      <c r="P4503">
        <v>3.98</v>
      </c>
      <c r="Q4503" s="2" t="b">
        <f>FALSE()</f>
        <v>0</v>
      </c>
      <c r="R4503">
        <v>1</v>
      </c>
    </row>
    <row r="4504" spans="1:18" x14ac:dyDescent="0.25">
      <c r="A4504">
        <v>204503</v>
      </c>
      <c r="B4504">
        <v>51854</v>
      </c>
      <c r="C4504" t="s">
        <v>34</v>
      </c>
      <c r="D4504">
        <v>986.33</v>
      </c>
      <c r="E4504">
        <v>2940</v>
      </c>
      <c r="F4504">
        <v>1</v>
      </c>
      <c r="G4504">
        <v>9</v>
      </c>
      <c r="H4504">
        <v>0</v>
      </c>
      <c r="I4504" t="s">
        <v>33</v>
      </c>
      <c r="J4504">
        <v>0</v>
      </c>
      <c r="K4504">
        <v>32</v>
      </c>
      <c r="L4504" t="s">
        <v>24</v>
      </c>
      <c r="M4504" t="s">
        <v>35</v>
      </c>
      <c r="N4504" t="s">
        <v>22</v>
      </c>
      <c r="O4504" t="s">
        <v>36</v>
      </c>
      <c r="P4504">
        <v>1.2</v>
      </c>
      <c r="Q4504" s="2" t="b">
        <f>FALSE()</f>
        <v>0</v>
      </c>
      <c r="R4504">
        <v>1</v>
      </c>
    </row>
    <row r="4505" spans="1:18" x14ac:dyDescent="0.25">
      <c r="A4505">
        <v>204504</v>
      </c>
      <c r="B4505">
        <v>54978</v>
      </c>
      <c r="C4505" t="s">
        <v>18</v>
      </c>
      <c r="D4505">
        <v>1579.39</v>
      </c>
      <c r="E4505">
        <v>447</v>
      </c>
      <c r="F4505">
        <v>0</v>
      </c>
      <c r="G4505">
        <v>4</v>
      </c>
      <c r="H4505">
        <v>1</v>
      </c>
      <c r="I4505" t="s">
        <v>19</v>
      </c>
      <c r="J4505">
        <v>0</v>
      </c>
      <c r="K4505">
        <v>20</v>
      </c>
      <c r="L4505" t="s">
        <v>20</v>
      </c>
      <c r="M4505" t="s">
        <v>29</v>
      </c>
      <c r="N4505" t="s">
        <v>22</v>
      </c>
      <c r="O4505" t="s">
        <v>36</v>
      </c>
      <c r="P4505">
        <v>1.1399999999999999</v>
      </c>
      <c r="Q4505" s="2" t="b">
        <f>FALSE()</f>
        <v>0</v>
      </c>
      <c r="R4505">
        <v>0</v>
      </c>
    </row>
    <row r="4506" spans="1:18" x14ac:dyDescent="0.25">
      <c r="A4506">
        <v>204505</v>
      </c>
      <c r="B4506">
        <v>55926</v>
      </c>
      <c r="C4506" t="s">
        <v>34</v>
      </c>
      <c r="D4506">
        <v>413.55</v>
      </c>
      <c r="E4506">
        <v>2638</v>
      </c>
      <c r="F4506">
        <v>0</v>
      </c>
      <c r="G4506">
        <v>6</v>
      </c>
      <c r="H4506">
        <v>1</v>
      </c>
      <c r="I4506" t="s">
        <v>19</v>
      </c>
      <c r="J4506">
        <v>0</v>
      </c>
      <c r="K4506">
        <v>67</v>
      </c>
      <c r="L4506" t="s">
        <v>24</v>
      </c>
      <c r="M4506" t="s">
        <v>21</v>
      </c>
      <c r="N4506" t="s">
        <v>22</v>
      </c>
      <c r="O4506" t="s">
        <v>23</v>
      </c>
      <c r="P4506">
        <v>1.58</v>
      </c>
      <c r="Q4506" s="2" t="b">
        <f>FALSE()</f>
        <v>0</v>
      </c>
      <c r="R4506">
        <v>0</v>
      </c>
    </row>
    <row r="4507" spans="1:18" x14ac:dyDescent="0.25">
      <c r="A4507">
        <v>204506</v>
      </c>
      <c r="B4507">
        <v>50841</v>
      </c>
      <c r="C4507" t="s">
        <v>18</v>
      </c>
      <c r="D4507">
        <v>1985.52</v>
      </c>
      <c r="E4507">
        <v>1002</v>
      </c>
      <c r="F4507">
        <v>0</v>
      </c>
      <c r="G4507">
        <v>2</v>
      </c>
      <c r="H4507">
        <v>1</v>
      </c>
      <c r="I4507" t="s">
        <v>33</v>
      </c>
      <c r="J4507">
        <v>0</v>
      </c>
      <c r="K4507">
        <v>64</v>
      </c>
      <c r="L4507" t="s">
        <v>20</v>
      </c>
      <c r="M4507" t="s">
        <v>21</v>
      </c>
      <c r="N4507" t="s">
        <v>22</v>
      </c>
      <c r="O4507" t="s">
        <v>36</v>
      </c>
      <c r="P4507">
        <v>5.78</v>
      </c>
      <c r="Q4507" s="2" t="b">
        <f>FALSE()</f>
        <v>0</v>
      </c>
      <c r="R4507">
        <v>0</v>
      </c>
    </row>
    <row r="4508" spans="1:18" x14ac:dyDescent="0.25">
      <c r="A4508">
        <v>204507</v>
      </c>
      <c r="B4508">
        <v>51817</v>
      </c>
      <c r="C4508" t="s">
        <v>18</v>
      </c>
      <c r="D4508">
        <v>1368.79</v>
      </c>
      <c r="E4508">
        <v>1170</v>
      </c>
      <c r="F4508">
        <v>0</v>
      </c>
      <c r="G4508">
        <v>2</v>
      </c>
      <c r="H4508">
        <v>0</v>
      </c>
      <c r="I4508" t="s">
        <v>33</v>
      </c>
      <c r="J4508">
        <v>0</v>
      </c>
      <c r="K4508">
        <v>71</v>
      </c>
      <c r="L4508" t="s">
        <v>20</v>
      </c>
      <c r="M4508" t="s">
        <v>31</v>
      </c>
      <c r="N4508" t="s">
        <v>26</v>
      </c>
      <c r="O4508" t="s">
        <v>36</v>
      </c>
      <c r="P4508">
        <v>2.77</v>
      </c>
      <c r="Q4508" s="2" t="b">
        <f>FALSE()</f>
        <v>0</v>
      </c>
      <c r="R4508">
        <v>0</v>
      </c>
    </row>
    <row r="4509" spans="1:18" x14ac:dyDescent="0.25">
      <c r="A4509">
        <v>204508</v>
      </c>
      <c r="B4509">
        <v>53810</v>
      </c>
      <c r="C4509" t="s">
        <v>18</v>
      </c>
      <c r="D4509">
        <v>2165.3000000000002</v>
      </c>
      <c r="E4509">
        <v>3231</v>
      </c>
      <c r="F4509">
        <v>1</v>
      </c>
      <c r="G4509">
        <v>3</v>
      </c>
      <c r="H4509">
        <v>0</v>
      </c>
      <c r="I4509" t="s">
        <v>33</v>
      </c>
      <c r="J4509">
        <v>0</v>
      </c>
      <c r="K4509">
        <v>28</v>
      </c>
      <c r="L4509" t="s">
        <v>24</v>
      </c>
      <c r="M4509" t="s">
        <v>37</v>
      </c>
      <c r="N4509" t="s">
        <v>22</v>
      </c>
      <c r="O4509" t="s">
        <v>27</v>
      </c>
      <c r="P4509">
        <v>2.91</v>
      </c>
      <c r="Q4509" s="2" t="b">
        <f>FALSE()</f>
        <v>0</v>
      </c>
      <c r="R4509">
        <v>0</v>
      </c>
    </row>
    <row r="4510" spans="1:18" x14ac:dyDescent="0.25">
      <c r="A4510">
        <v>204509</v>
      </c>
      <c r="B4510">
        <v>52646</v>
      </c>
      <c r="C4510" t="s">
        <v>28</v>
      </c>
      <c r="D4510">
        <v>1529.81</v>
      </c>
      <c r="E4510">
        <v>2624</v>
      </c>
      <c r="F4510">
        <v>1</v>
      </c>
      <c r="G4510">
        <v>2</v>
      </c>
      <c r="H4510">
        <v>0</v>
      </c>
      <c r="I4510" t="s">
        <v>19</v>
      </c>
      <c r="J4510">
        <v>0</v>
      </c>
      <c r="K4510">
        <v>80</v>
      </c>
      <c r="L4510" t="s">
        <v>24</v>
      </c>
      <c r="M4510" t="s">
        <v>21</v>
      </c>
      <c r="N4510" t="s">
        <v>22</v>
      </c>
      <c r="O4510" t="s">
        <v>27</v>
      </c>
      <c r="P4510">
        <v>0.35</v>
      </c>
      <c r="Q4510" s="2" t="b">
        <f>FALSE()</f>
        <v>0</v>
      </c>
      <c r="R4510">
        <v>0</v>
      </c>
    </row>
    <row r="4511" spans="1:18" x14ac:dyDescent="0.25">
      <c r="A4511">
        <v>204510</v>
      </c>
      <c r="B4511">
        <v>55314</v>
      </c>
      <c r="C4511" t="s">
        <v>34</v>
      </c>
      <c r="D4511">
        <v>3437.12</v>
      </c>
      <c r="E4511">
        <v>487</v>
      </c>
      <c r="F4511">
        <v>0</v>
      </c>
      <c r="G4511">
        <v>5</v>
      </c>
      <c r="H4511">
        <v>0</v>
      </c>
      <c r="I4511" t="s">
        <v>32</v>
      </c>
      <c r="J4511">
        <v>1</v>
      </c>
      <c r="K4511">
        <v>27</v>
      </c>
      <c r="L4511" t="s">
        <v>24</v>
      </c>
      <c r="M4511" t="s">
        <v>37</v>
      </c>
      <c r="N4511" t="s">
        <v>26</v>
      </c>
      <c r="O4511" t="s">
        <v>27</v>
      </c>
      <c r="P4511">
        <v>3.25</v>
      </c>
      <c r="Q4511" s="2" t="b">
        <f>FALSE()</f>
        <v>0</v>
      </c>
      <c r="R4511">
        <v>0</v>
      </c>
    </row>
    <row r="4512" spans="1:18" x14ac:dyDescent="0.25">
      <c r="A4512">
        <v>204511</v>
      </c>
      <c r="B4512">
        <v>54114</v>
      </c>
      <c r="C4512" t="s">
        <v>18</v>
      </c>
      <c r="D4512">
        <v>1512.08</v>
      </c>
      <c r="E4512">
        <v>1226</v>
      </c>
      <c r="F4512">
        <v>0</v>
      </c>
      <c r="G4512">
        <v>2</v>
      </c>
      <c r="H4512">
        <v>0</v>
      </c>
      <c r="I4512" t="s">
        <v>33</v>
      </c>
      <c r="J4512">
        <v>0</v>
      </c>
      <c r="K4512">
        <v>73</v>
      </c>
      <c r="L4512" t="s">
        <v>20</v>
      </c>
      <c r="M4512" t="s">
        <v>37</v>
      </c>
      <c r="N4512" t="s">
        <v>22</v>
      </c>
      <c r="O4512" t="s">
        <v>27</v>
      </c>
      <c r="P4512">
        <v>0.99</v>
      </c>
      <c r="Q4512" s="2" t="b">
        <f>FALSE()</f>
        <v>0</v>
      </c>
      <c r="R4512">
        <v>0</v>
      </c>
    </row>
    <row r="4513" spans="1:18" x14ac:dyDescent="0.25">
      <c r="A4513">
        <v>204512</v>
      </c>
      <c r="B4513">
        <v>51816</v>
      </c>
      <c r="C4513" t="s">
        <v>18</v>
      </c>
      <c r="D4513">
        <v>4922.66</v>
      </c>
      <c r="E4513">
        <v>956</v>
      </c>
      <c r="F4513">
        <v>0</v>
      </c>
      <c r="G4513">
        <v>5</v>
      </c>
      <c r="H4513">
        <v>0</v>
      </c>
      <c r="I4513" t="s">
        <v>33</v>
      </c>
      <c r="J4513">
        <v>1</v>
      </c>
      <c r="K4513">
        <v>77</v>
      </c>
      <c r="L4513" t="s">
        <v>20</v>
      </c>
      <c r="M4513" t="s">
        <v>21</v>
      </c>
      <c r="N4513" t="s">
        <v>30</v>
      </c>
      <c r="O4513" t="s">
        <v>36</v>
      </c>
      <c r="P4513">
        <v>0.56999999999999995</v>
      </c>
      <c r="Q4513" s="2" t="b">
        <f>FALSE()</f>
        <v>0</v>
      </c>
      <c r="R4513">
        <v>1</v>
      </c>
    </row>
    <row r="4514" spans="1:18" x14ac:dyDescent="0.25">
      <c r="A4514">
        <v>204513</v>
      </c>
      <c r="B4514">
        <v>54108</v>
      </c>
      <c r="C4514" t="s">
        <v>34</v>
      </c>
      <c r="D4514">
        <v>617.42999999999995</v>
      </c>
      <c r="E4514">
        <v>2377</v>
      </c>
      <c r="F4514">
        <v>1</v>
      </c>
      <c r="G4514">
        <v>5</v>
      </c>
      <c r="H4514">
        <v>0</v>
      </c>
      <c r="I4514" t="s">
        <v>19</v>
      </c>
      <c r="J4514">
        <v>0</v>
      </c>
      <c r="K4514">
        <v>45</v>
      </c>
      <c r="L4514" t="s">
        <v>20</v>
      </c>
      <c r="M4514" t="s">
        <v>35</v>
      </c>
      <c r="N4514" t="s">
        <v>22</v>
      </c>
      <c r="O4514" t="s">
        <v>27</v>
      </c>
      <c r="P4514">
        <v>1.85</v>
      </c>
      <c r="Q4514" s="2" t="b">
        <f>FALSE()</f>
        <v>0</v>
      </c>
      <c r="R4514">
        <v>0</v>
      </c>
    </row>
    <row r="4515" spans="1:18" x14ac:dyDescent="0.25">
      <c r="A4515">
        <v>204514</v>
      </c>
      <c r="B4515">
        <v>54795</v>
      </c>
      <c r="C4515" t="s">
        <v>18</v>
      </c>
      <c r="D4515">
        <v>629.73</v>
      </c>
      <c r="E4515">
        <v>94</v>
      </c>
      <c r="F4515">
        <v>2</v>
      </c>
      <c r="G4515">
        <v>7</v>
      </c>
      <c r="H4515">
        <v>1</v>
      </c>
      <c r="I4515" t="s">
        <v>19</v>
      </c>
      <c r="J4515">
        <v>1</v>
      </c>
      <c r="K4515">
        <v>45</v>
      </c>
      <c r="L4515" t="s">
        <v>20</v>
      </c>
      <c r="M4515" t="s">
        <v>37</v>
      </c>
      <c r="N4515" t="s">
        <v>30</v>
      </c>
      <c r="O4515" t="s">
        <v>23</v>
      </c>
      <c r="P4515">
        <v>0.11</v>
      </c>
      <c r="Q4515" s="2" t="b">
        <f>FALSE()</f>
        <v>0</v>
      </c>
      <c r="R4515">
        <v>1</v>
      </c>
    </row>
    <row r="4516" spans="1:18" x14ac:dyDescent="0.25">
      <c r="A4516">
        <v>204515</v>
      </c>
      <c r="B4516">
        <v>54894</v>
      </c>
      <c r="C4516" t="s">
        <v>28</v>
      </c>
      <c r="D4516">
        <v>1311.62</v>
      </c>
      <c r="E4516">
        <v>1466</v>
      </c>
      <c r="F4516">
        <v>0</v>
      </c>
      <c r="G4516">
        <v>5</v>
      </c>
      <c r="H4516">
        <v>1</v>
      </c>
      <c r="I4516" t="s">
        <v>33</v>
      </c>
      <c r="J4516">
        <v>0</v>
      </c>
      <c r="K4516">
        <v>28</v>
      </c>
      <c r="L4516" t="s">
        <v>20</v>
      </c>
      <c r="M4516" t="s">
        <v>35</v>
      </c>
      <c r="N4516" t="s">
        <v>22</v>
      </c>
      <c r="O4516" t="s">
        <v>27</v>
      </c>
      <c r="P4516">
        <v>1.62</v>
      </c>
      <c r="Q4516" s="2" t="b">
        <f>FALSE()</f>
        <v>0</v>
      </c>
      <c r="R4516">
        <v>0</v>
      </c>
    </row>
    <row r="4517" spans="1:18" x14ac:dyDescent="0.25">
      <c r="A4517">
        <v>204516</v>
      </c>
      <c r="B4517">
        <v>54019</v>
      </c>
      <c r="C4517" t="s">
        <v>34</v>
      </c>
      <c r="D4517">
        <v>3699.06</v>
      </c>
      <c r="E4517">
        <v>2009</v>
      </c>
      <c r="F4517">
        <v>0</v>
      </c>
      <c r="G4517">
        <v>3</v>
      </c>
      <c r="H4517">
        <v>0</v>
      </c>
      <c r="I4517" t="s">
        <v>33</v>
      </c>
      <c r="J4517">
        <v>0</v>
      </c>
      <c r="K4517">
        <v>37</v>
      </c>
      <c r="L4517" t="s">
        <v>24</v>
      </c>
      <c r="M4517" t="s">
        <v>35</v>
      </c>
      <c r="N4517" t="s">
        <v>22</v>
      </c>
      <c r="O4517" t="s">
        <v>23</v>
      </c>
      <c r="P4517">
        <v>2.33</v>
      </c>
      <c r="Q4517" s="2" t="b">
        <f>FALSE()</f>
        <v>0</v>
      </c>
      <c r="R4517">
        <v>1</v>
      </c>
    </row>
    <row r="4518" spans="1:18" x14ac:dyDescent="0.25">
      <c r="A4518">
        <v>204517</v>
      </c>
      <c r="B4518">
        <v>55370</v>
      </c>
      <c r="C4518" t="s">
        <v>18</v>
      </c>
      <c r="D4518">
        <v>5494.28</v>
      </c>
      <c r="E4518">
        <v>657</v>
      </c>
      <c r="F4518">
        <v>0</v>
      </c>
      <c r="G4518">
        <v>9</v>
      </c>
      <c r="H4518">
        <v>0</v>
      </c>
      <c r="I4518" t="s">
        <v>32</v>
      </c>
      <c r="J4518">
        <v>0</v>
      </c>
      <c r="K4518">
        <v>48</v>
      </c>
      <c r="L4518" t="s">
        <v>24</v>
      </c>
      <c r="M4518" t="s">
        <v>31</v>
      </c>
      <c r="N4518" t="s">
        <v>22</v>
      </c>
      <c r="O4518" t="s">
        <v>36</v>
      </c>
      <c r="P4518">
        <v>3.71</v>
      </c>
      <c r="Q4518" s="2" t="b">
        <f>FALSE()</f>
        <v>0</v>
      </c>
      <c r="R4518">
        <v>1</v>
      </c>
    </row>
    <row r="4519" spans="1:18" x14ac:dyDescent="0.25">
      <c r="A4519">
        <v>204518</v>
      </c>
      <c r="B4519">
        <v>53942</v>
      </c>
      <c r="C4519" t="s">
        <v>34</v>
      </c>
      <c r="D4519">
        <v>1024.0999999999999</v>
      </c>
      <c r="E4519">
        <v>152</v>
      </c>
      <c r="F4519">
        <v>1</v>
      </c>
      <c r="G4519">
        <v>5</v>
      </c>
      <c r="H4519">
        <v>1</v>
      </c>
      <c r="I4519" t="s">
        <v>33</v>
      </c>
      <c r="J4519">
        <v>0</v>
      </c>
      <c r="K4519">
        <v>57</v>
      </c>
      <c r="L4519" t="s">
        <v>20</v>
      </c>
      <c r="M4519" t="s">
        <v>25</v>
      </c>
      <c r="N4519" t="s">
        <v>30</v>
      </c>
      <c r="O4519" t="s">
        <v>27</v>
      </c>
      <c r="P4519">
        <v>0.03</v>
      </c>
      <c r="Q4519" s="2" t="b">
        <f>FALSE()</f>
        <v>0</v>
      </c>
      <c r="R4519">
        <v>0</v>
      </c>
    </row>
    <row r="4520" spans="1:18" x14ac:dyDescent="0.25">
      <c r="A4520">
        <v>204519</v>
      </c>
      <c r="B4520">
        <v>54257</v>
      </c>
      <c r="C4520" t="s">
        <v>18</v>
      </c>
      <c r="D4520">
        <v>2410.13</v>
      </c>
      <c r="E4520">
        <v>1840</v>
      </c>
      <c r="F4520">
        <v>0</v>
      </c>
      <c r="G4520">
        <v>1</v>
      </c>
      <c r="H4520">
        <v>0</v>
      </c>
      <c r="I4520" t="s">
        <v>19</v>
      </c>
      <c r="J4520">
        <v>0</v>
      </c>
      <c r="K4520">
        <v>65</v>
      </c>
      <c r="L4520" t="s">
        <v>20</v>
      </c>
      <c r="M4520" t="s">
        <v>31</v>
      </c>
      <c r="N4520" t="s">
        <v>22</v>
      </c>
      <c r="O4520" t="s">
        <v>27</v>
      </c>
      <c r="P4520">
        <v>1.72</v>
      </c>
      <c r="Q4520" s="2" t="b">
        <f>FALSE()</f>
        <v>0</v>
      </c>
      <c r="R4520">
        <v>0</v>
      </c>
    </row>
    <row r="4521" spans="1:18" x14ac:dyDescent="0.25">
      <c r="A4521">
        <v>204520</v>
      </c>
      <c r="B4521">
        <v>55277</v>
      </c>
      <c r="C4521" t="s">
        <v>34</v>
      </c>
      <c r="D4521">
        <v>243.28</v>
      </c>
      <c r="E4521">
        <v>927</v>
      </c>
      <c r="F4521">
        <v>0</v>
      </c>
      <c r="G4521">
        <v>7</v>
      </c>
      <c r="H4521">
        <v>0</v>
      </c>
      <c r="I4521" t="s">
        <v>19</v>
      </c>
      <c r="J4521">
        <v>0</v>
      </c>
      <c r="K4521">
        <v>60</v>
      </c>
      <c r="L4521" t="s">
        <v>24</v>
      </c>
      <c r="M4521" t="s">
        <v>37</v>
      </c>
      <c r="N4521" t="s">
        <v>30</v>
      </c>
      <c r="O4521" t="s">
        <v>36</v>
      </c>
      <c r="P4521">
        <v>0.95</v>
      </c>
      <c r="Q4521" s="2" t="b">
        <f>FALSE()</f>
        <v>0</v>
      </c>
      <c r="R4521">
        <v>1</v>
      </c>
    </row>
    <row r="4522" spans="1:18" x14ac:dyDescent="0.25">
      <c r="A4522">
        <v>204521</v>
      </c>
      <c r="B4522">
        <v>54505</v>
      </c>
      <c r="C4522" t="s">
        <v>18</v>
      </c>
      <c r="D4522">
        <v>2315.25</v>
      </c>
      <c r="E4522">
        <v>1803</v>
      </c>
      <c r="F4522">
        <v>2</v>
      </c>
      <c r="G4522">
        <v>4</v>
      </c>
      <c r="H4522">
        <v>1</v>
      </c>
      <c r="I4522" t="s">
        <v>19</v>
      </c>
      <c r="J4522">
        <v>0</v>
      </c>
      <c r="K4522">
        <v>33</v>
      </c>
      <c r="L4522" t="s">
        <v>20</v>
      </c>
      <c r="M4522" t="s">
        <v>29</v>
      </c>
      <c r="N4522" t="s">
        <v>22</v>
      </c>
      <c r="O4522" t="s">
        <v>36</v>
      </c>
      <c r="P4522">
        <v>2.2000000000000002</v>
      </c>
      <c r="Q4522" s="2" t="b">
        <f>FALSE()</f>
        <v>0</v>
      </c>
      <c r="R4522">
        <v>0</v>
      </c>
    </row>
    <row r="4523" spans="1:18" x14ac:dyDescent="0.25">
      <c r="A4523">
        <v>204522</v>
      </c>
      <c r="B4523">
        <v>50543</v>
      </c>
      <c r="C4523" t="s">
        <v>28</v>
      </c>
      <c r="D4523">
        <v>889.51</v>
      </c>
      <c r="E4523">
        <v>2268</v>
      </c>
      <c r="F4523">
        <v>0</v>
      </c>
      <c r="G4523">
        <v>5</v>
      </c>
      <c r="H4523">
        <v>1</v>
      </c>
      <c r="I4523" t="s">
        <v>33</v>
      </c>
      <c r="J4523">
        <v>0</v>
      </c>
      <c r="K4523">
        <v>68</v>
      </c>
      <c r="L4523" t="s">
        <v>20</v>
      </c>
      <c r="M4523" t="s">
        <v>35</v>
      </c>
      <c r="N4523" t="s">
        <v>22</v>
      </c>
      <c r="O4523" t="s">
        <v>36</v>
      </c>
      <c r="P4523">
        <v>2.8</v>
      </c>
      <c r="Q4523" s="2" t="b">
        <f>FALSE()</f>
        <v>0</v>
      </c>
      <c r="R4523">
        <v>0</v>
      </c>
    </row>
    <row r="4524" spans="1:18" x14ac:dyDescent="0.25">
      <c r="A4524">
        <v>204523</v>
      </c>
      <c r="B4524">
        <v>51084</v>
      </c>
      <c r="C4524" t="s">
        <v>34</v>
      </c>
      <c r="D4524">
        <v>3424.97</v>
      </c>
      <c r="E4524">
        <v>1258</v>
      </c>
      <c r="F4524">
        <v>1</v>
      </c>
      <c r="G4524">
        <v>5</v>
      </c>
      <c r="H4524">
        <v>1</v>
      </c>
      <c r="I4524" t="s">
        <v>32</v>
      </c>
      <c r="J4524">
        <v>0</v>
      </c>
      <c r="K4524">
        <v>33</v>
      </c>
      <c r="L4524" t="s">
        <v>20</v>
      </c>
      <c r="M4524" t="s">
        <v>37</v>
      </c>
      <c r="N4524" t="s">
        <v>22</v>
      </c>
      <c r="O4524" t="s">
        <v>36</v>
      </c>
      <c r="P4524">
        <v>0.12</v>
      </c>
      <c r="Q4524" s="2" t="b">
        <f>FALSE()</f>
        <v>0</v>
      </c>
      <c r="R4524">
        <v>0</v>
      </c>
    </row>
    <row r="4525" spans="1:18" x14ac:dyDescent="0.25">
      <c r="A4525">
        <v>204524</v>
      </c>
      <c r="B4525">
        <v>52824</v>
      </c>
      <c r="C4525" t="s">
        <v>28</v>
      </c>
      <c r="D4525">
        <v>6939.11</v>
      </c>
      <c r="E4525">
        <v>2360</v>
      </c>
      <c r="F4525">
        <v>0</v>
      </c>
      <c r="G4525">
        <v>4</v>
      </c>
      <c r="H4525">
        <v>0</v>
      </c>
      <c r="I4525" t="s">
        <v>33</v>
      </c>
      <c r="J4525">
        <v>0</v>
      </c>
      <c r="K4525">
        <v>48</v>
      </c>
      <c r="L4525" t="s">
        <v>24</v>
      </c>
      <c r="M4525" t="s">
        <v>25</v>
      </c>
      <c r="N4525" t="s">
        <v>22</v>
      </c>
      <c r="O4525" t="s">
        <v>23</v>
      </c>
      <c r="P4525">
        <v>0.74</v>
      </c>
      <c r="Q4525" s="2" t="b">
        <f>TRUE()</f>
        <v>1</v>
      </c>
      <c r="R4525">
        <v>1</v>
      </c>
    </row>
    <row r="4526" spans="1:18" x14ac:dyDescent="0.25">
      <c r="A4526">
        <v>204525</v>
      </c>
      <c r="B4526">
        <v>51742</v>
      </c>
      <c r="C4526" t="s">
        <v>34</v>
      </c>
      <c r="D4526">
        <v>2886.41</v>
      </c>
      <c r="E4526">
        <v>2524</v>
      </c>
      <c r="F4526">
        <v>1</v>
      </c>
      <c r="G4526">
        <v>5</v>
      </c>
      <c r="H4526">
        <v>0</v>
      </c>
      <c r="I4526" t="s">
        <v>32</v>
      </c>
      <c r="J4526">
        <v>0</v>
      </c>
      <c r="K4526">
        <v>31</v>
      </c>
      <c r="L4526" t="s">
        <v>24</v>
      </c>
      <c r="M4526" t="s">
        <v>31</v>
      </c>
      <c r="N4526" t="s">
        <v>22</v>
      </c>
      <c r="O4526" t="s">
        <v>36</v>
      </c>
      <c r="P4526">
        <v>2.37</v>
      </c>
      <c r="Q4526" s="2" t="b">
        <f>FALSE()</f>
        <v>0</v>
      </c>
      <c r="R4526">
        <v>0</v>
      </c>
    </row>
    <row r="4527" spans="1:18" x14ac:dyDescent="0.25">
      <c r="A4527">
        <v>204526</v>
      </c>
      <c r="B4527">
        <v>50383</v>
      </c>
      <c r="C4527" t="s">
        <v>34</v>
      </c>
      <c r="D4527">
        <v>2895.86</v>
      </c>
      <c r="E4527">
        <v>1243</v>
      </c>
      <c r="F4527">
        <v>1</v>
      </c>
      <c r="G4527">
        <v>6</v>
      </c>
      <c r="H4527">
        <v>0</v>
      </c>
      <c r="I4527" t="s">
        <v>33</v>
      </c>
      <c r="J4527">
        <v>1</v>
      </c>
      <c r="K4527">
        <v>28</v>
      </c>
      <c r="L4527" t="s">
        <v>24</v>
      </c>
      <c r="M4527" t="s">
        <v>31</v>
      </c>
      <c r="N4527" t="s">
        <v>22</v>
      </c>
      <c r="O4527" t="s">
        <v>23</v>
      </c>
      <c r="P4527">
        <v>0.74</v>
      </c>
      <c r="Q4527" s="2" t="b">
        <f>FALSE()</f>
        <v>0</v>
      </c>
      <c r="R4527">
        <v>0</v>
      </c>
    </row>
    <row r="4528" spans="1:18" x14ac:dyDescent="0.25">
      <c r="A4528">
        <v>204527</v>
      </c>
      <c r="B4528">
        <v>53023</v>
      </c>
      <c r="C4528" t="s">
        <v>18</v>
      </c>
      <c r="D4528">
        <v>1464.27</v>
      </c>
      <c r="E4528">
        <v>482</v>
      </c>
      <c r="F4528">
        <v>0</v>
      </c>
      <c r="G4528">
        <v>4</v>
      </c>
      <c r="H4528">
        <v>0</v>
      </c>
      <c r="I4528" t="s">
        <v>33</v>
      </c>
      <c r="J4528">
        <v>0</v>
      </c>
      <c r="K4528">
        <v>33</v>
      </c>
      <c r="L4528" t="s">
        <v>24</v>
      </c>
      <c r="M4528" t="s">
        <v>21</v>
      </c>
      <c r="N4528" t="s">
        <v>22</v>
      </c>
      <c r="O4528" t="s">
        <v>23</v>
      </c>
      <c r="P4528">
        <v>1.5</v>
      </c>
      <c r="Q4528" s="2" t="b">
        <f>FALSE()</f>
        <v>0</v>
      </c>
      <c r="R4528">
        <v>0</v>
      </c>
    </row>
    <row r="4529" spans="1:18" x14ac:dyDescent="0.25">
      <c r="A4529">
        <v>204528</v>
      </c>
      <c r="B4529">
        <v>50569</v>
      </c>
      <c r="C4529" t="s">
        <v>18</v>
      </c>
      <c r="D4529">
        <v>101.25</v>
      </c>
      <c r="E4529">
        <v>3530</v>
      </c>
      <c r="F4529">
        <v>1</v>
      </c>
      <c r="G4529">
        <v>5</v>
      </c>
      <c r="H4529">
        <v>1</v>
      </c>
      <c r="I4529" t="s">
        <v>33</v>
      </c>
      <c r="J4529">
        <v>1</v>
      </c>
      <c r="K4529">
        <v>75</v>
      </c>
      <c r="L4529" t="s">
        <v>24</v>
      </c>
      <c r="M4529" t="s">
        <v>21</v>
      </c>
      <c r="N4529" t="s">
        <v>26</v>
      </c>
      <c r="O4529" t="s">
        <v>36</v>
      </c>
      <c r="P4529">
        <v>3.39</v>
      </c>
      <c r="Q4529" s="2" t="b">
        <f>FALSE()</f>
        <v>0</v>
      </c>
      <c r="R4529">
        <v>0</v>
      </c>
    </row>
    <row r="4530" spans="1:18" x14ac:dyDescent="0.25">
      <c r="A4530">
        <v>204529</v>
      </c>
      <c r="B4530">
        <v>54050</v>
      </c>
      <c r="C4530" t="s">
        <v>18</v>
      </c>
      <c r="D4530">
        <v>1309.3499999999999</v>
      </c>
      <c r="E4530">
        <v>2291</v>
      </c>
      <c r="F4530">
        <v>0</v>
      </c>
      <c r="G4530">
        <v>6</v>
      </c>
      <c r="H4530">
        <v>1</v>
      </c>
      <c r="I4530" t="s">
        <v>33</v>
      </c>
      <c r="J4530">
        <v>0</v>
      </c>
      <c r="K4530">
        <v>30</v>
      </c>
      <c r="L4530" t="s">
        <v>20</v>
      </c>
      <c r="M4530" t="s">
        <v>29</v>
      </c>
      <c r="N4530" t="s">
        <v>22</v>
      </c>
      <c r="O4530" t="s">
        <v>36</v>
      </c>
      <c r="P4530">
        <v>1.07</v>
      </c>
      <c r="Q4530" s="2" t="b">
        <f>FALSE()</f>
        <v>0</v>
      </c>
      <c r="R4530">
        <v>0</v>
      </c>
    </row>
    <row r="4531" spans="1:18" x14ac:dyDescent="0.25">
      <c r="A4531">
        <v>204530</v>
      </c>
      <c r="B4531">
        <v>50939</v>
      </c>
      <c r="C4531" t="s">
        <v>18</v>
      </c>
      <c r="D4531">
        <v>1794.75</v>
      </c>
      <c r="E4531">
        <v>1705</v>
      </c>
      <c r="F4531">
        <v>1</v>
      </c>
      <c r="G4531">
        <v>5</v>
      </c>
      <c r="H4531">
        <v>0</v>
      </c>
      <c r="I4531" t="s">
        <v>33</v>
      </c>
      <c r="J4531">
        <v>0</v>
      </c>
      <c r="K4531">
        <v>69</v>
      </c>
      <c r="L4531" t="s">
        <v>20</v>
      </c>
      <c r="M4531" t="s">
        <v>35</v>
      </c>
      <c r="N4531" t="s">
        <v>30</v>
      </c>
      <c r="O4531" t="s">
        <v>23</v>
      </c>
      <c r="P4531">
        <v>8.3000000000000007</v>
      </c>
      <c r="Q4531" s="2" t="b">
        <f>FALSE()</f>
        <v>0</v>
      </c>
      <c r="R4531">
        <v>0</v>
      </c>
    </row>
    <row r="4532" spans="1:18" x14ac:dyDescent="0.25">
      <c r="A4532">
        <v>204531</v>
      </c>
      <c r="B4532">
        <v>50253</v>
      </c>
      <c r="C4532" t="s">
        <v>18</v>
      </c>
      <c r="D4532">
        <v>9153.7800000000007</v>
      </c>
      <c r="E4532">
        <v>2666</v>
      </c>
      <c r="F4532">
        <v>0</v>
      </c>
      <c r="G4532">
        <v>1</v>
      </c>
      <c r="H4532">
        <v>0</v>
      </c>
      <c r="I4532" t="s">
        <v>33</v>
      </c>
      <c r="J4532">
        <v>0</v>
      </c>
      <c r="K4532">
        <v>75</v>
      </c>
      <c r="L4532" t="s">
        <v>24</v>
      </c>
      <c r="M4532" t="s">
        <v>37</v>
      </c>
      <c r="N4532" t="s">
        <v>22</v>
      </c>
      <c r="O4532" t="s">
        <v>23</v>
      </c>
      <c r="P4532">
        <v>2.27</v>
      </c>
      <c r="Q4532" s="2" t="b">
        <f>TRUE()</f>
        <v>1</v>
      </c>
      <c r="R4532">
        <v>1</v>
      </c>
    </row>
    <row r="4533" spans="1:18" x14ac:dyDescent="0.25">
      <c r="A4533">
        <v>204532</v>
      </c>
      <c r="B4533">
        <v>50597</v>
      </c>
      <c r="C4533" t="s">
        <v>34</v>
      </c>
      <c r="D4533">
        <v>2525.17</v>
      </c>
      <c r="E4533">
        <v>3120</v>
      </c>
      <c r="F4533">
        <v>1</v>
      </c>
      <c r="G4533">
        <v>1</v>
      </c>
      <c r="H4533">
        <v>1</v>
      </c>
      <c r="I4533" t="s">
        <v>33</v>
      </c>
      <c r="J4533">
        <v>0</v>
      </c>
      <c r="K4533">
        <v>64</v>
      </c>
      <c r="L4533" t="s">
        <v>20</v>
      </c>
      <c r="M4533" t="s">
        <v>25</v>
      </c>
      <c r="N4533" t="s">
        <v>26</v>
      </c>
      <c r="O4533" t="s">
        <v>27</v>
      </c>
      <c r="P4533">
        <v>1.53</v>
      </c>
      <c r="Q4533" s="2" t="b">
        <f>FALSE()</f>
        <v>0</v>
      </c>
      <c r="R4533">
        <v>0</v>
      </c>
    </row>
    <row r="4534" spans="1:18" x14ac:dyDescent="0.25">
      <c r="A4534">
        <v>204533</v>
      </c>
      <c r="B4534">
        <v>51603</v>
      </c>
      <c r="C4534" t="s">
        <v>34</v>
      </c>
      <c r="D4534">
        <v>1576.05</v>
      </c>
      <c r="E4534">
        <v>127</v>
      </c>
      <c r="F4534">
        <v>0</v>
      </c>
      <c r="G4534">
        <v>4</v>
      </c>
      <c r="H4534">
        <v>0</v>
      </c>
      <c r="I4534" t="s">
        <v>33</v>
      </c>
      <c r="J4534">
        <v>0</v>
      </c>
      <c r="K4534">
        <v>54</v>
      </c>
      <c r="L4534" t="s">
        <v>20</v>
      </c>
      <c r="M4534" t="s">
        <v>29</v>
      </c>
      <c r="N4534" t="s">
        <v>22</v>
      </c>
      <c r="O4534" t="s">
        <v>27</v>
      </c>
      <c r="P4534">
        <v>1.81</v>
      </c>
      <c r="Q4534" s="2" t="b">
        <f>FALSE()</f>
        <v>0</v>
      </c>
      <c r="R4534">
        <v>0</v>
      </c>
    </row>
    <row r="4535" spans="1:18" x14ac:dyDescent="0.25">
      <c r="A4535">
        <v>204534</v>
      </c>
      <c r="B4535">
        <v>51987</v>
      </c>
      <c r="C4535" t="s">
        <v>34</v>
      </c>
      <c r="D4535">
        <v>428.01</v>
      </c>
      <c r="E4535">
        <v>3331</v>
      </c>
      <c r="F4535">
        <v>0</v>
      </c>
      <c r="G4535">
        <v>7</v>
      </c>
      <c r="H4535">
        <v>0</v>
      </c>
      <c r="I4535" t="s">
        <v>19</v>
      </c>
      <c r="J4535">
        <v>0</v>
      </c>
      <c r="K4535">
        <v>42</v>
      </c>
      <c r="L4535" t="s">
        <v>20</v>
      </c>
      <c r="M4535" t="s">
        <v>37</v>
      </c>
      <c r="N4535" t="s">
        <v>30</v>
      </c>
      <c r="O4535" t="s">
        <v>36</v>
      </c>
      <c r="P4535">
        <v>1.77</v>
      </c>
      <c r="Q4535" s="2" t="b">
        <f>FALSE()</f>
        <v>0</v>
      </c>
      <c r="R4535">
        <v>1</v>
      </c>
    </row>
    <row r="4536" spans="1:18" x14ac:dyDescent="0.25">
      <c r="A4536">
        <v>204535</v>
      </c>
      <c r="B4536">
        <v>52640</v>
      </c>
      <c r="C4536" t="s">
        <v>18</v>
      </c>
      <c r="D4536">
        <v>3989.11</v>
      </c>
      <c r="E4536">
        <v>99</v>
      </c>
      <c r="F4536">
        <v>0</v>
      </c>
      <c r="G4536">
        <v>4</v>
      </c>
      <c r="H4536">
        <v>0</v>
      </c>
      <c r="I4536" t="s">
        <v>19</v>
      </c>
      <c r="J4536">
        <v>0</v>
      </c>
      <c r="K4536">
        <v>74</v>
      </c>
      <c r="L4536" t="s">
        <v>24</v>
      </c>
      <c r="M4536" t="s">
        <v>35</v>
      </c>
      <c r="N4536" t="s">
        <v>22</v>
      </c>
      <c r="O4536" t="s">
        <v>23</v>
      </c>
      <c r="P4536">
        <v>2.7</v>
      </c>
      <c r="Q4536" s="2" t="b">
        <f>FALSE()</f>
        <v>0</v>
      </c>
      <c r="R4536">
        <v>1</v>
      </c>
    </row>
    <row r="4537" spans="1:18" x14ac:dyDescent="0.25">
      <c r="A4537">
        <v>204536</v>
      </c>
      <c r="B4537">
        <v>54320</v>
      </c>
      <c r="C4537" t="s">
        <v>18</v>
      </c>
      <c r="D4537">
        <v>2712.86</v>
      </c>
      <c r="E4537">
        <v>2087</v>
      </c>
      <c r="F4537">
        <v>2</v>
      </c>
      <c r="G4537">
        <v>5</v>
      </c>
      <c r="H4537">
        <v>0</v>
      </c>
      <c r="I4537" t="s">
        <v>33</v>
      </c>
      <c r="J4537">
        <v>0</v>
      </c>
      <c r="K4537">
        <v>54</v>
      </c>
      <c r="L4537" t="s">
        <v>24</v>
      </c>
      <c r="M4537" t="s">
        <v>31</v>
      </c>
      <c r="N4537" t="s">
        <v>22</v>
      </c>
      <c r="O4537" t="s">
        <v>36</v>
      </c>
      <c r="P4537">
        <v>2.08</v>
      </c>
      <c r="Q4537" s="2" t="b">
        <f>FALSE()</f>
        <v>0</v>
      </c>
      <c r="R4537">
        <v>0</v>
      </c>
    </row>
    <row r="4538" spans="1:18" x14ac:dyDescent="0.25">
      <c r="A4538">
        <v>204537</v>
      </c>
      <c r="B4538">
        <v>53367</v>
      </c>
      <c r="C4538" t="s">
        <v>18</v>
      </c>
      <c r="D4538">
        <v>1211.68</v>
      </c>
      <c r="E4538">
        <v>2254</v>
      </c>
      <c r="F4538">
        <v>0</v>
      </c>
      <c r="G4538">
        <v>4</v>
      </c>
      <c r="H4538">
        <v>0</v>
      </c>
      <c r="I4538" t="s">
        <v>33</v>
      </c>
      <c r="J4538">
        <v>0</v>
      </c>
      <c r="K4538">
        <v>51</v>
      </c>
      <c r="L4538" t="s">
        <v>24</v>
      </c>
      <c r="M4538" t="s">
        <v>25</v>
      </c>
      <c r="N4538" t="s">
        <v>30</v>
      </c>
      <c r="O4538" t="s">
        <v>36</v>
      </c>
      <c r="P4538">
        <v>2.72</v>
      </c>
      <c r="Q4538" s="2" t="b">
        <f>FALSE()</f>
        <v>0</v>
      </c>
      <c r="R4538">
        <v>0</v>
      </c>
    </row>
    <row r="4539" spans="1:18" x14ac:dyDescent="0.25">
      <c r="A4539">
        <v>204538</v>
      </c>
      <c r="B4539">
        <v>50885</v>
      </c>
      <c r="C4539" t="s">
        <v>18</v>
      </c>
      <c r="D4539">
        <v>968.62</v>
      </c>
      <c r="E4539">
        <v>89</v>
      </c>
      <c r="F4539">
        <v>5</v>
      </c>
      <c r="G4539">
        <v>5</v>
      </c>
      <c r="H4539">
        <v>0</v>
      </c>
      <c r="I4539" t="s">
        <v>19</v>
      </c>
      <c r="J4539">
        <v>1</v>
      </c>
      <c r="K4539">
        <v>84</v>
      </c>
      <c r="L4539" t="s">
        <v>38</v>
      </c>
      <c r="M4539" t="s">
        <v>37</v>
      </c>
      <c r="N4539" t="s">
        <v>22</v>
      </c>
      <c r="O4539" t="s">
        <v>36</v>
      </c>
      <c r="P4539">
        <v>5.1100000000000003</v>
      </c>
      <c r="Q4539" s="2" t="b">
        <f>FALSE()</f>
        <v>0</v>
      </c>
      <c r="R4539">
        <v>1</v>
      </c>
    </row>
    <row r="4540" spans="1:18" x14ac:dyDescent="0.25">
      <c r="A4540">
        <v>204539</v>
      </c>
      <c r="B4540">
        <v>52268</v>
      </c>
      <c r="C4540" t="s">
        <v>18</v>
      </c>
      <c r="D4540">
        <v>4592.37</v>
      </c>
      <c r="E4540">
        <v>2883</v>
      </c>
      <c r="F4540">
        <v>0</v>
      </c>
      <c r="G4540">
        <v>4</v>
      </c>
      <c r="H4540">
        <v>0</v>
      </c>
      <c r="I4540" t="s">
        <v>33</v>
      </c>
      <c r="J4540">
        <v>0</v>
      </c>
      <c r="K4540">
        <v>60</v>
      </c>
      <c r="L4540" t="s">
        <v>20</v>
      </c>
      <c r="M4540" t="s">
        <v>35</v>
      </c>
      <c r="N4540" t="s">
        <v>22</v>
      </c>
      <c r="O4540" t="s">
        <v>36</v>
      </c>
      <c r="P4540">
        <v>0.18</v>
      </c>
      <c r="Q4540" s="2" t="b">
        <f>FALSE()</f>
        <v>0</v>
      </c>
      <c r="R4540">
        <v>1</v>
      </c>
    </row>
    <row r="4541" spans="1:18" x14ac:dyDescent="0.25">
      <c r="A4541">
        <v>204540</v>
      </c>
      <c r="B4541">
        <v>51477</v>
      </c>
      <c r="C4541" t="s">
        <v>18</v>
      </c>
      <c r="D4541">
        <v>1111.3399999999999</v>
      </c>
      <c r="E4541">
        <v>1435</v>
      </c>
      <c r="F4541">
        <v>0</v>
      </c>
      <c r="G4541">
        <v>2</v>
      </c>
      <c r="H4541">
        <v>0</v>
      </c>
      <c r="I4541" t="s">
        <v>19</v>
      </c>
      <c r="J4541">
        <v>0</v>
      </c>
      <c r="K4541">
        <v>79</v>
      </c>
      <c r="L4541" t="s">
        <v>20</v>
      </c>
      <c r="M4541" t="s">
        <v>29</v>
      </c>
      <c r="N4541" t="s">
        <v>26</v>
      </c>
      <c r="O4541" t="s">
        <v>27</v>
      </c>
      <c r="P4541">
        <v>0.75</v>
      </c>
      <c r="Q4541" s="2" t="b">
        <f>FALSE()</f>
        <v>0</v>
      </c>
      <c r="R4541">
        <v>0</v>
      </c>
    </row>
    <row r="4542" spans="1:18" x14ac:dyDescent="0.25">
      <c r="A4542">
        <v>204541</v>
      </c>
      <c r="B4542">
        <v>55682</v>
      </c>
      <c r="C4542" t="s">
        <v>34</v>
      </c>
      <c r="D4542">
        <v>4415.26</v>
      </c>
      <c r="E4542">
        <v>802</v>
      </c>
      <c r="F4542">
        <v>1</v>
      </c>
      <c r="G4542">
        <v>5</v>
      </c>
      <c r="H4542">
        <v>0</v>
      </c>
      <c r="I4542" t="s">
        <v>33</v>
      </c>
      <c r="J4542">
        <v>0</v>
      </c>
      <c r="K4542">
        <v>43</v>
      </c>
      <c r="L4542" t="s">
        <v>24</v>
      </c>
      <c r="M4542" t="s">
        <v>25</v>
      </c>
      <c r="N4542" t="s">
        <v>30</v>
      </c>
      <c r="O4542" t="s">
        <v>27</v>
      </c>
      <c r="P4542">
        <v>2</v>
      </c>
      <c r="Q4542" s="2" t="b">
        <f>FALSE()</f>
        <v>0</v>
      </c>
      <c r="R4542">
        <v>1</v>
      </c>
    </row>
    <row r="4543" spans="1:18" x14ac:dyDescent="0.25">
      <c r="A4543">
        <v>204542</v>
      </c>
      <c r="B4543">
        <v>51470</v>
      </c>
      <c r="C4543" t="s">
        <v>34</v>
      </c>
      <c r="D4543">
        <v>1204.9100000000001</v>
      </c>
      <c r="E4543">
        <v>255</v>
      </c>
      <c r="F4543">
        <v>0</v>
      </c>
      <c r="G4543">
        <v>6</v>
      </c>
      <c r="H4543">
        <v>0</v>
      </c>
      <c r="I4543" t="s">
        <v>19</v>
      </c>
      <c r="J4543">
        <v>1</v>
      </c>
      <c r="K4543">
        <v>56</v>
      </c>
      <c r="L4543" t="s">
        <v>24</v>
      </c>
      <c r="M4543" t="s">
        <v>29</v>
      </c>
      <c r="N4543" t="s">
        <v>22</v>
      </c>
      <c r="O4543" t="s">
        <v>27</v>
      </c>
      <c r="P4543">
        <v>0.97</v>
      </c>
      <c r="Q4543" s="2" t="b">
        <f>FALSE()</f>
        <v>0</v>
      </c>
      <c r="R4543">
        <v>0</v>
      </c>
    </row>
    <row r="4544" spans="1:18" x14ac:dyDescent="0.25">
      <c r="A4544">
        <v>204543</v>
      </c>
      <c r="B4544">
        <v>53244</v>
      </c>
      <c r="C4544" t="s">
        <v>18</v>
      </c>
      <c r="D4544">
        <v>1982.32</v>
      </c>
      <c r="E4544">
        <v>1968</v>
      </c>
      <c r="F4544">
        <v>1</v>
      </c>
      <c r="G4544">
        <v>5</v>
      </c>
      <c r="H4544">
        <v>1</v>
      </c>
      <c r="I4544" t="s">
        <v>33</v>
      </c>
      <c r="J4544">
        <v>0</v>
      </c>
      <c r="K4544">
        <v>40</v>
      </c>
      <c r="L4544" t="s">
        <v>20</v>
      </c>
      <c r="M4544" t="s">
        <v>37</v>
      </c>
      <c r="N4544" t="s">
        <v>22</v>
      </c>
      <c r="O4544" t="s">
        <v>36</v>
      </c>
      <c r="P4544">
        <v>0.84</v>
      </c>
      <c r="Q4544" s="2" t="b">
        <f>FALSE()</f>
        <v>0</v>
      </c>
      <c r="R4544">
        <v>0</v>
      </c>
    </row>
    <row r="4545" spans="1:18" x14ac:dyDescent="0.25">
      <c r="A4545">
        <v>204544</v>
      </c>
      <c r="B4545">
        <v>54258</v>
      </c>
      <c r="C4545" t="s">
        <v>18</v>
      </c>
      <c r="D4545">
        <v>2526.25</v>
      </c>
      <c r="E4545">
        <v>3135</v>
      </c>
      <c r="F4545">
        <v>1</v>
      </c>
      <c r="G4545">
        <v>3</v>
      </c>
      <c r="H4545">
        <v>0</v>
      </c>
      <c r="I4545" t="s">
        <v>33</v>
      </c>
      <c r="J4545">
        <v>0</v>
      </c>
      <c r="K4545">
        <v>47</v>
      </c>
      <c r="L4545" t="s">
        <v>20</v>
      </c>
      <c r="M4545" t="s">
        <v>25</v>
      </c>
      <c r="N4545" t="s">
        <v>22</v>
      </c>
      <c r="O4545" t="s">
        <v>36</v>
      </c>
      <c r="P4545">
        <v>1.87</v>
      </c>
      <c r="Q4545" s="2" t="b">
        <f>FALSE()</f>
        <v>0</v>
      </c>
      <c r="R4545">
        <v>0</v>
      </c>
    </row>
    <row r="4546" spans="1:18" x14ac:dyDescent="0.25">
      <c r="A4546">
        <v>204545</v>
      </c>
      <c r="B4546">
        <v>53485</v>
      </c>
      <c r="C4546" t="s">
        <v>34</v>
      </c>
      <c r="D4546">
        <v>1923.43</v>
      </c>
      <c r="E4546">
        <v>3248</v>
      </c>
      <c r="F4546">
        <v>0</v>
      </c>
      <c r="G4546">
        <v>0</v>
      </c>
      <c r="H4546">
        <v>1</v>
      </c>
      <c r="I4546" t="s">
        <v>32</v>
      </c>
      <c r="J4546">
        <v>0</v>
      </c>
      <c r="K4546">
        <v>40</v>
      </c>
      <c r="L4546" t="s">
        <v>20</v>
      </c>
      <c r="M4546" t="s">
        <v>35</v>
      </c>
      <c r="N4546" t="s">
        <v>22</v>
      </c>
      <c r="O4546" t="s">
        <v>23</v>
      </c>
      <c r="P4546">
        <v>2.68</v>
      </c>
      <c r="Q4546" s="2" t="b">
        <f>FALSE()</f>
        <v>0</v>
      </c>
      <c r="R4546">
        <v>0</v>
      </c>
    </row>
    <row r="4547" spans="1:18" x14ac:dyDescent="0.25">
      <c r="A4547">
        <v>204546</v>
      </c>
      <c r="B4547">
        <v>51649</v>
      </c>
      <c r="C4547" t="s">
        <v>28</v>
      </c>
      <c r="D4547">
        <v>3063.48</v>
      </c>
      <c r="E4547">
        <v>190</v>
      </c>
      <c r="F4547">
        <v>1</v>
      </c>
      <c r="G4547">
        <v>4</v>
      </c>
      <c r="H4547">
        <v>0</v>
      </c>
      <c r="I4547" t="s">
        <v>33</v>
      </c>
      <c r="J4547">
        <v>0</v>
      </c>
      <c r="K4547">
        <v>63</v>
      </c>
      <c r="L4547" t="s">
        <v>20</v>
      </c>
      <c r="M4547" t="s">
        <v>37</v>
      </c>
      <c r="N4547" t="s">
        <v>22</v>
      </c>
      <c r="O4547" t="s">
        <v>36</v>
      </c>
      <c r="P4547">
        <v>4.9000000000000004</v>
      </c>
      <c r="Q4547" s="2" t="b">
        <f>FALSE()</f>
        <v>0</v>
      </c>
      <c r="R4547">
        <v>0</v>
      </c>
    </row>
    <row r="4548" spans="1:18" x14ac:dyDescent="0.25">
      <c r="A4548">
        <v>204547</v>
      </c>
      <c r="B4548">
        <v>51056</v>
      </c>
      <c r="C4548" t="s">
        <v>18</v>
      </c>
      <c r="D4548">
        <v>728.21</v>
      </c>
      <c r="E4548">
        <v>3434</v>
      </c>
      <c r="F4548">
        <v>0</v>
      </c>
      <c r="G4548">
        <v>5</v>
      </c>
      <c r="H4548">
        <v>0</v>
      </c>
      <c r="I4548" t="s">
        <v>33</v>
      </c>
      <c r="J4548">
        <v>1</v>
      </c>
      <c r="K4548">
        <v>75</v>
      </c>
      <c r="L4548" t="s">
        <v>20</v>
      </c>
      <c r="M4548" t="s">
        <v>37</v>
      </c>
      <c r="N4548" t="s">
        <v>22</v>
      </c>
      <c r="O4548" t="s">
        <v>23</v>
      </c>
      <c r="P4548">
        <v>2.87</v>
      </c>
      <c r="Q4548" s="2" t="b">
        <f>FALSE()</f>
        <v>0</v>
      </c>
      <c r="R4548">
        <v>0</v>
      </c>
    </row>
    <row r="4549" spans="1:18" x14ac:dyDescent="0.25">
      <c r="A4549">
        <v>204548</v>
      </c>
      <c r="B4549">
        <v>53715</v>
      </c>
      <c r="C4549" t="s">
        <v>18</v>
      </c>
      <c r="D4549">
        <v>3827.98</v>
      </c>
      <c r="E4549">
        <v>2396</v>
      </c>
      <c r="F4549">
        <v>1</v>
      </c>
      <c r="G4549">
        <v>6</v>
      </c>
      <c r="H4549">
        <v>0</v>
      </c>
      <c r="I4549" t="s">
        <v>32</v>
      </c>
      <c r="J4549">
        <v>1</v>
      </c>
      <c r="K4549">
        <v>63</v>
      </c>
      <c r="L4549" t="s">
        <v>24</v>
      </c>
      <c r="M4549" t="s">
        <v>35</v>
      </c>
      <c r="N4549" t="s">
        <v>30</v>
      </c>
      <c r="O4549" t="s">
        <v>36</v>
      </c>
      <c r="P4549">
        <v>0.65</v>
      </c>
      <c r="Q4549" s="2" t="b">
        <f>FALSE()</f>
        <v>0</v>
      </c>
      <c r="R4549">
        <v>1</v>
      </c>
    </row>
    <row r="4550" spans="1:18" x14ac:dyDescent="0.25">
      <c r="A4550">
        <v>204549</v>
      </c>
      <c r="B4550">
        <v>54936</v>
      </c>
      <c r="C4550" t="s">
        <v>34</v>
      </c>
      <c r="D4550">
        <v>4588.37</v>
      </c>
      <c r="E4550">
        <v>2524</v>
      </c>
      <c r="F4550">
        <v>2</v>
      </c>
      <c r="G4550">
        <v>3</v>
      </c>
      <c r="H4550">
        <v>0</v>
      </c>
      <c r="I4550" t="s">
        <v>32</v>
      </c>
      <c r="J4550">
        <v>0</v>
      </c>
      <c r="K4550">
        <v>66</v>
      </c>
      <c r="L4550" t="s">
        <v>20</v>
      </c>
      <c r="M4550" t="s">
        <v>25</v>
      </c>
      <c r="N4550" t="s">
        <v>22</v>
      </c>
      <c r="O4550" t="s">
        <v>27</v>
      </c>
      <c r="P4550">
        <v>10.01</v>
      </c>
      <c r="Q4550" s="2" t="b">
        <f>FALSE()</f>
        <v>0</v>
      </c>
      <c r="R4550">
        <v>1</v>
      </c>
    </row>
    <row r="4551" spans="1:18" x14ac:dyDescent="0.25">
      <c r="A4551">
        <v>204550</v>
      </c>
      <c r="B4551">
        <v>55171</v>
      </c>
      <c r="C4551" t="s">
        <v>18</v>
      </c>
      <c r="D4551">
        <v>6266.56</v>
      </c>
      <c r="E4551">
        <v>1123</v>
      </c>
      <c r="F4551">
        <v>2</v>
      </c>
      <c r="G4551">
        <v>2</v>
      </c>
      <c r="H4551">
        <v>0</v>
      </c>
      <c r="I4551" t="s">
        <v>33</v>
      </c>
      <c r="J4551">
        <v>0</v>
      </c>
      <c r="K4551">
        <v>78</v>
      </c>
      <c r="L4551" t="s">
        <v>24</v>
      </c>
      <c r="M4551" t="s">
        <v>37</v>
      </c>
      <c r="N4551" t="s">
        <v>22</v>
      </c>
      <c r="O4551" t="s">
        <v>36</v>
      </c>
      <c r="P4551">
        <v>4.58</v>
      </c>
      <c r="Q4551" s="2" t="b">
        <f>FALSE()</f>
        <v>0</v>
      </c>
      <c r="R4551">
        <v>1</v>
      </c>
    </row>
    <row r="4552" spans="1:18" x14ac:dyDescent="0.25">
      <c r="A4552">
        <v>204551</v>
      </c>
      <c r="B4552">
        <v>50410</v>
      </c>
      <c r="C4552" t="s">
        <v>18</v>
      </c>
      <c r="D4552">
        <v>2222.23</v>
      </c>
      <c r="E4552">
        <v>2400</v>
      </c>
      <c r="F4552">
        <v>2</v>
      </c>
      <c r="G4552">
        <v>4</v>
      </c>
      <c r="H4552">
        <v>0</v>
      </c>
      <c r="I4552" t="s">
        <v>33</v>
      </c>
      <c r="J4552">
        <v>0</v>
      </c>
      <c r="K4552">
        <v>39</v>
      </c>
      <c r="L4552" t="s">
        <v>20</v>
      </c>
      <c r="M4552" t="s">
        <v>25</v>
      </c>
      <c r="N4552" t="s">
        <v>30</v>
      </c>
      <c r="O4552" t="s">
        <v>27</v>
      </c>
      <c r="P4552">
        <v>4.37</v>
      </c>
      <c r="Q4552" s="2" t="b">
        <f>FALSE()</f>
        <v>0</v>
      </c>
      <c r="R4552">
        <v>0</v>
      </c>
    </row>
    <row r="4553" spans="1:18" x14ac:dyDescent="0.25">
      <c r="A4553">
        <v>204552</v>
      </c>
      <c r="B4553">
        <v>54492</v>
      </c>
      <c r="C4553" t="s">
        <v>18</v>
      </c>
      <c r="D4553">
        <v>2441.2800000000002</v>
      </c>
      <c r="E4553">
        <v>2265</v>
      </c>
      <c r="F4553">
        <v>1</v>
      </c>
      <c r="G4553">
        <v>4</v>
      </c>
      <c r="H4553">
        <v>0</v>
      </c>
      <c r="I4553" t="s">
        <v>33</v>
      </c>
      <c r="J4553">
        <v>0</v>
      </c>
      <c r="K4553">
        <v>77</v>
      </c>
      <c r="L4553" t="s">
        <v>20</v>
      </c>
      <c r="M4553" t="s">
        <v>31</v>
      </c>
      <c r="N4553" t="s">
        <v>26</v>
      </c>
      <c r="O4553" t="s">
        <v>36</v>
      </c>
      <c r="P4553">
        <v>1.4</v>
      </c>
      <c r="Q4553" s="2" t="b">
        <f>FALSE()</f>
        <v>0</v>
      </c>
      <c r="R4553">
        <v>0</v>
      </c>
    </row>
    <row r="4554" spans="1:18" x14ac:dyDescent="0.25">
      <c r="A4554">
        <v>204553</v>
      </c>
      <c r="B4554">
        <v>54407</v>
      </c>
      <c r="C4554" t="s">
        <v>34</v>
      </c>
      <c r="D4554">
        <v>6003.94</v>
      </c>
      <c r="E4554">
        <v>1900</v>
      </c>
      <c r="F4554">
        <v>1</v>
      </c>
      <c r="G4554">
        <v>6</v>
      </c>
      <c r="H4554">
        <v>0</v>
      </c>
      <c r="I4554" t="s">
        <v>19</v>
      </c>
      <c r="J4554">
        <v>0</v>
      </c>
      <c r="K4554">
        <v>42</v>
      </c>
      <c r="L4554" t="s">
        <v>24</v>
      </c>
      <c r="M4554" t="s">
        <v>31</v>
      </c>
      <c r="N4554" t="s">
        <v>30</v>
      </c>
      <c r="O4554" t="s">
        <v>36</v>
      </c>
      <c r="P4554">
        <v>1.34</v>
      </c>
      <c r="Q4554" s="2" t="b">
        <f>FALSE()</f>
        <v>0</v>
      </c>
      <c r="R4554">
        <v>1</v>
      </c>
    </row>
    <row r="4555" spans="1:18" x14ac:dyDescent="0.25">
      <c r="A4555">
        <v>204554</v>
      </c>
      <c r="B4555">
        <v>55328</v>
      </c>
      <c r="C4555" t="s">
        <v>18</v>
      </c>
      <c r="D4555">
        <v>2453.84</v>
      </c>
      <c r="E4555">
        <v>1914</v>
      </c>
      <c r="F4555">
        <v>2</v>
      </c>
      <c r="G4555">
        <v>5</v>
      </c>
      <c r="H4555">
        <v>1</v>
      </c>
      <c r="I4555" t="s">
        <v>19</v>
      </c>
      <c r="J4555">
        <v>0</v>
      </c>
      <c r="K4555">
        <v>80</v>
      </c>
      <c r="L4555" t="s">
        <v>20</v>
      </c>
      <c r="M4555" t="s">
        <v>21</v>
      </c>
      <c r="N4555" t="s">
        <v>30</v>
      </c>
      <c r="O4555" t="s">
        <v>36</v>
      </c>
      <c r="P4555">
        <v>0.32</v>
      </c>
      <c r="Q4555" s="2" t="b">
        <f>FALSE()</f>
        <v>0</v>
      </c>
      <c r="R4555">
        <v>0</v>
      </c>
    </row>
    <row r="4556" spans="1:18" x14ac:dyDescent="0.25">
      <c r="A4556">
        <v>204555</v>
      </c>
      <c r="B4556">
        <v>54151</v>
      </c>
      <c r="C4556" t="s">
        <v>18</v>
      </c>
      <c r="D4556">
        <v>4873.57</v>
      </c>
      <c r="E4556">
        <v>3508</v>
      </c>
      <c r="F4556">
        <v>0</v>
      </c>
      <c r="G4556">
        <v>3</v>
      </c>
      <c r="H4556">
        <v>0</v>
      </c>
      <c r="I4556" t="s">
        <v>32</v>
      </c>
      <c r="J4556">
        <v>0</v>
      </c>
      <c r="K4556">
        <v>19</v>
      </c>
      <c r="L4556" t="s">
        <v>24</v>
      </c>
      <c r="M4556" t="s">
        <v>21</v>
      </c>
      <c r="N4556" t="s">
        <v>26</v>
      </c>
      <c r="O4556" t="s">
        <v>27</v>
      </c>
      <c r="P4556">
        <v>0.11</v>
      </c>
      <c r="Q4556" s="2" t="b">
        <f>FALSE()</f>
        <v>0</v>
      </c>
      <c r="R4556">
        <v>1</v>
      </c>
    </row>
    <row r="4557" spans="1:18" x14ac:dyDescent="0.25">
      <c r="A4557">
        <v>204556</v>
      </c>
      <c r="B4557">
        <v>55445</v>
      </c>
      <c r="C4557" t="s">
        <v>18</v>
      </c>
      <c r="D4557">
        <v>1044.5</v>
      </c>
      <c r="E4557">
        <v>1566</v>
      </c>
      <c r="F4557">
        <v>1</v>
      </c>
      <c r="G4557">
        <v>7</v>
      </c>
      <c r="H4557">
        <v>1</v>
      </c>
      <c r="I4557" t="s">
        <v>33</v>
      </c>
      <c r="J4557">
        <v>1</v>
      </c>
      <c r="K4557">
        <v>70</v>
      </c>
      <c r="L4557" t="s">
        <v>20</v>
      </c>
      <c r="M4557" t="s">
        <v>29</v>
      </c>
      <c r="N4557" t="s">
        <v>22</v>
      </c>
      <c r="O4557" t="s">
        <v>27</v>
      </c>
      <c r="P4557">
        <v>2.41</v>
      </c>
      <c r="Q4557" s="2" t="b">
        <f>FALSE()</f>
        <v>0</v>
      </c>
      <c r="R4557">
        <v>1</v>
      </c>
    </row>
    <row r="4558" spans="1:18" x14ac:dyDescent="0.25">
      <c r="A4558">
        <v>204557</v>
      </c>
      <c r="B4558">
        <v>55952</v>
      </c>
      <c r="C4558" t="s">
        <v>34</v>
      </c>
      <c r="D4558">
        <v>1905.27</v>
      </c>
      <c r="E4558">
        <v>133</v>
      </c>
      <c r="F4558">
        <v>1</v>
      </c>
      <c r="G4558">
        <v>0</v>
      </c>
      <c r="H4558">
        <v>0</v>
      </c>
      <c r="I4558" t="s">
        <v>19</v>
      </c>
      <c r="J4558">
        <v>0</v>
      </c>
      <c r="K4558">
        <v>64</v>
      </c>
      <c r="L4558" t="s">
        <v>20</v>
      </c>
      <c r="M4558" t="s">
        <v>21</v>
      </c>
      <c r="N4558" t="s">
        <v>30</v>
      </c>
      <c r="O4558" t="s">
        <v>23</v>
      </c>
      <c r="P4558">
        <v>3.89</v>
      </c>
      <c r="Q4558" s="2" t="b">
        <f>FALSE()</f>
        <v>0</v>
      </c>
      <c r="R4558">
        <v>0</v>
      </c>
    </row>
    <row r="4559" spans="1:18" x14ac:dyDescent="0.25">
      <c r="A4559">
        <v>204558</v>
      </c>
      <c r="B4559">
        <v>51710</v>
      </c>
      <c r="C4559" t="s">
        <v>18</v>
      </c>
      <c r="D4559">
        <v>257.45999999999998</v>
      </c>
      <c r="E4559">
        <v>1843</v>
      </c>
      <c r="F4559">
        <v>1</v>
      </c>
      <c r="G4559">
        <v>3</v>
      </c>
      <c r="H4559">
        <v>1</v>
      </c>
      <c r="I4559" t="s">
        <v>33</v>
      </c>
      <c r="J4559">
        <v>0</v>
      </c>
      <c r="K4559">
        <v>31</v>
      </c>
      <c r="L4559" t="s">
        <v>24</v>
      </c>
      <c r="M4559" t="s">
        <v>29</v>
      </c>
      <c r="N4559" t="s">
        <v>22</v>
      </c>
      <c r="O4559" t="s">
        <v>27</v>
      </c>
      <c r="P4559">
        <v>2.1800000000000002</v>
      </c>
      <c r="Q4559" s="2" t="b">
        <f>FALSE()</f>
        <v>0</v>
      </c>
      <c r="R4559">
        <v>0</v>
      </c>
    </row>
    <row r="4560" spans="1:18" x14ac:dyDescent="0.25">
      <c r="A4560">
        <v>204559</v>
      </c>
      <c r="B4560">
        <v>53268</v>
      </c>
      <c r="C4560" t="s">
        <v>18</v>
      </c>
      <c r="D4560">
        <v>945.6</v>
      </c>
      <c r="E4560">
        <v>368</v>
      </c>
      <c r="F4560">
        <v>3</v>
      </c>
      <c r="G4560">
        <v>2</v>
      </c>
      <c r="H4560">
        <v>0</v>
      </c>
      <c r="I4560" t="s">
        <v>19</v>
      </c>
      <c r="J4560">
        <v>0</v>
      </c>
      <c r="K4560">
        <v>74</v>
      </c>
      <c r="L4560" t="s">
        <v>24</v>
      </c>
      <c r="M4560" t="s">
        <v>37</v>
      </c>
      <c r="N4560" t="s">
        <v>30</v>
      </c>
      <c r="O4560" t="s">
        <v>23</v>
      </c>
      <c r="P4560">
        <v>2.17</v>
      </c>
      <c r="Q4560" s="2" t="b">
        <f>FALSE()</f>
        <v>0</v>
      </c>
      <c r="R4560">
        <v>1</v>
      </c>
    </row>
    <row r="4561" spans="1:18" x14ac:dyDescent="0.25">
      <c r="A4561">
        <v>204560</v>
      </c>
      <c r="B4561">
        <v>55011</v>
      </c>
      <c r="C4561" t="s">
        <v>18</v>
      </c>
      <c r="D4561">
        <v>290.66000000000003</v>
      </c>
      <c r="E4561">
        <v>1888</v>
      </c>
      <c r="F4561">
        <v>0</v>
      </c>
      <c r="G4561">
        <v>8</v>
      </c>
      <c r="H4561">
        <v>0</v>
      </c>
      <c r="I4561" t="s">
        <v>33</v>
      </c>
      <c r="J4561">
        <v>0</v>
      </c>
      <c r="K4561">
        <v>24</v>
      </c>
      <c r="L4561" t="s">
        <v>24</v>
      </c>
      <c r="M4561" t="s">
        <v>35</v>
      </c>
      <c r="N4561" t="s">
        <v>22</v>
      </c>
      <c r="O4561" t="s">
        <v>36</v>
      </c>
      <c r="P4561">
        <v>4.83</v>
      </c>
      <c r="Q4561" s="2" t="b">
        <f>FALSE()</f>
        <v>0</v>
      </c>
      <c r="R4561">
        <v>1</v>
      </c>
    </row>
    <row r="4562" spans="1:18" x14ac:dyDescent="0.25">
      <c r="A4562">
        <v>204561</v>
      </c>
      <c r="B4562">
        <v>52474</v>
      </c>
      <c r="C4562" t="s">
        <v>28</v>
      </c>
      <c r="D4562">
        <v>4044.52</v>
      </c>
      <c r="E4562">
        <v>1788</v>
      </c>
      <c r="F4562">
        <v>0</v>
      </c>
      <c r="G4562">
        <v>3</v>
      </c>
      <c r="H4562">
        <v>0</v>
      </c>
      <c r="I4562" t="s">
        <v>33</v>
      </c>
      <c r="J4562">
        <v>0</v>
      </c>
      <c r="K4562">
        <v>62</v>
      </c>
      <c r="L4562" t="s">
        <v>24</v>
      </c>
      <c r="M4562" t="s">
        <v>29</v>
      </c>
      <c r="N4562" t="s">
        <v>30</v>
      </c>
      <c r="O4562" t="s">
        <v>27</v>
      </c>
      <c r="P4562">
        <v>2.08</v>
      </c>
      <c r="Q4562" s="2" t="b">
        <f>FALSE()</f>
        <v>0</v>
      </c>
      <c r="R4562">
        <v>1</v>
      </c>
    </row>
    <row r="4563" spans="1:18" x14ac:dyDescent="0.25">
      <c r="A4563">
        <v>204562</v>
      </c>
      <c r="B4563">
        <v>55147</v>
      </c>
      <c r="C4563" t="s">
        <v>18</v>
      </c>
      <c r="D4563">
        <v>2909.79</v>
      </c>
      <c r="E4563">
        <v>2037</v>
      </c>
      <c r="F4563">
        <v>1</v>
      </c>
      <c r="G4563">
        <v>5</v>
      </c>
      <c r="H4563">
        <v>0</v>
      </c>
      <c r="I4563" t="s">
        <v>33</v>
      </c>
      <c r="J4563">
        <v>0</v>
      </c>
      <c r="K4563">
        <v>41</v>
      </c>
      <c r="L4563" t="s">
        <v>24</v>
      </c>
      <c r="M4563" t="s">
        <v>29</v>
      </c>
      <c r="N4563" t="s">
        <v>26</v>
      </c>
      <c r="O4563" t="s">
        <v>27</v>
      </c>
      <c r="P4563">
        <v>1.0900000000000001</v>
      </c>
      <c r="Q4563" s="2" t="b">
        <f>FALSE()</f>
        <v>0</v>
      </c>
      <c r="R4563">
        <v>0</v>
      </c>
    </row>
    <row r="4564" spans="1:18" x14ac:dyDescent="0.25">
      <c r="A4564">
        <v>204563</v>
      </c>
      <c r="B4564">
        <v>51904</v>
      </c>
      <c r="C4564" t="s">
        <v>34</v>
      </c>
      <c r="D4564">
        <v>1831.65</v>
      </c>
      <c r="E4564">
        <v>616</v>
      </c>
      <c r="F4564">
        <v>1</v>
      </c>
      <c r="G4564">
        <v>5</v>
      </c>
      <c r="H4564">
        <v>0</v>
      </c>
      <c r="I4564" t="s">
        <v>33</v>
      </c>
      <c r="J4564">
        <v>0</v>
      </c>
      <c r="K4564">
        <v>54</v>
      </c>
      <c r="L4564" t="s">
        <v>20</v>
      </c>
      <c r="M4564" t="s">
        <v>31</v>
      </c>
      <c r="N4564" t="s">
        <v>30</v>
      </c>
      <c r="O4564" t="s">
        <v>36</v>
      </c>
      <c r="P4564">
        <v>1.73</v>
      </c>
      <c r="Q4564" s="2" t="b">
        <f>FALSE()</f>
        <v>0</v>
      </c>
      <c r="R4564">
        <v>0</v>
      </c>
    </row>
    <row r="4565" spans="1:18" x14ac:dyDescent="0.25">
      <c r="A4565">
        <v>204564</v>
      </c>
      <c r="B4565">
        <v>50587</v>
      </c>
      <c r="C4565" t="s">
        <v>18</v>
      </c>
      <c r="D4565">
        <v>3706.05</v>
      </c>
      <c r="E4565">
        <v>3534</v>
      </c>
      <c r="F4565">
        <v>0</v>
      </c>
      <c r="G4565">
        <v>2</v>
      </c>
      <c r="H4565">
        <v>1</v>
      </c>
      <c r="I4565" t="s">
        <v>33</v>
      </c>
      <c r="J4565">
        <v>0</v>
      </c>
      <c r="K4565">
        <v>67</v>
      </c>
      <c r="L4565" t="s">
        <v>20</v>
      </c>
      <c r="M4565" t="s">
        <v>35</v>
      </c>
      <c r="N4565" t="s">
        <v>30</v>
      </c>
      <c r="O4565" t="s">
        <v>36</v>
      </c>
      <c r="P4565">
        <v>0.55000000000000004</v>
      </c>
      <c r="Q4565" s="2" t="b">
        <f>FALSE()</f>
        <v>0</v>
      </c>
      <c r="R4565">
        <v>1</v>
      </c>
    </row>
    <row r="4566" spans="1:18" x14ac:dyDescent="0.25">
      <c r="A4566">
        <v>204565</v>
      </c>
      <c r="B4566">
        <v>52745</v>
      </c>
      <c r="C4566" t="s">
        <v>28</v>
      </c>
      <c r="D4566">
        <v>1645.75</v>
      </c>
      <c r="E4566">
        <v>3573</v>
      </c>
      <c r="F4566">
        <v>0</v>
      </c>
      <c r="G4566">
        <v>6</v>
      </c>
      <c r="H4566">
        <v>0</v>
      </c>
      <c r="I4566" t="s">
        <v>33</v>
      </c>
      <c r="J4566">
        <v>0</v>
      </c>
      <c r="K4566">
        <v>63</v>
      </c>
      <c r="L4566" t="s">
        <v>24</v>
      </c>
      <c r="M4566" t="s">
        <v>37</v>
      </c>
      <c r="N4566" t="s">
        <v>22</v>
      </c>
      <c r="O4566" t="s">
        <v>23</v>
      </c>
      <c r="P4566">
        <v>0.12</v>
      </c>
      <c r="Q4566" s="2" t="b">
        <f>FALSE()</f>
        <v>0</v>
      </c>
      <c r="R4566">
        <v>0</v>
      </c>
    </row>
    <row r="4567" spans="1:18" x14ac:dyDescent="0.25">
      <c r="A4567">
        <v>204566</v>
      </c>
      <c r="B4567">
        <v>52614</v>
      </c>
      <c r="C4567" t="s">
        <v>18</v>
      </c>
      <c r="D4567">
        <v>2642.66</v>
      </c>
      <c r="E4567">
        <v>2607</v>
      </c>
      <c r="F4567">
        <v>2</v>
      </c>
      <c r="G4567">
        <v>3</v>
      </c>
      <c r="H4567">
        <v>0</v>
      </c>
      <c r="I4567" t="s">
        <v>33</v>
      </c>
      <c r="J4567">
        <v>0</v>
      </c>
      <c r="K4567">
        <v>50</v>
      </c>
      <c r="L4567" t="s">
        <v>20</v>
      </c>
      <c r="M4567" t="s">
        <v>29</v>
      </c>
      <c r="N4567" t="s">
        <v>30</v>
      </c>
      <c r="O4567" t="s">
        <v>27</v>
      </c>
      <c r="P4567">
        <v>4.16</v>
      </c>
      <c r="Q4567" s="2" t="b">
        <f>FALSE()</f>
        <v>0</v>
      </c>
      <c r="R4567">
        <v>0</v>
      </c>
    </row>
    <row r="4568" spans="1:18" x14ac:dyDescent="0.25">
      <c r="A4568">
        <v>204567</v>
      </c>
      <c r="B4568">
        <v>55628</v>
      </c>
      <c r="C4568" t="s">
        <v>28</v>
      </c>
      <c r="D4568">
        <v>2331.39</v>
      </c>
      <c r="E4568">
        <v>410</v>
      </c>
      <c r="F4568">
        <v>1</v>
      </c>
      <c r="G4568">
        <v>3</v>
      </c>
      <c r="H4568">
        <v>0</v>
      </c>
      <c r="I4568" t="s">
        <v>32</v>
      </c>
      <c r="J4568">
        <v>0</v>
      </c>
      <c r="K4568">
        <v>49</v>
      </c>
      <c r="L4568" t="s">
        <v>38</v>
      </c>
      <c r="M4568" t="s">
        <v>31</v>
      </c>
      <c r="N4568" t="s">
        <v>22</v>
      </c>
      <c r="O4568" t="s">
        <v>27</v>
      </c>
      <c r="P4568">
        <v>0.39</v>
      </c>
      <c r="Q4568" s="2" t="b">
        <f>FALSE()</f>
        <v>0</v>
      </c>
      <c r="R4568">
        <v>0</v>
      </c>
    </row>
    <row r="4569" spans="1:18" x14ac:dyDescent="0.25">
      <c r="A4569">
        <v>204568</v>
      </c>
      <c r="B4569">
        <v>54489</v>
      </c>
      <c r="C4569" t="s">
        <v>34</v>
      </c>
      <c r="D4569">
        <v>1650.18</v>
      </c>
      <c r="E4569">
        <v>2012</v>
      </c>
      <c r="F4569">
        <v>1</v>
      </c>
      <c r="G4569">
        <v>7</v>
      </c>
      <c r="H4569">
        <v>0</v>
      </c>
      <c r="I4569" t="s">
        <v>19</v>
      </c>
      <c r="J4569">
        <v>0</v>
      </c>
      <c r="K4569">
        <v>44</v>
      </c>
      <c r="L4569" t="s">
        <v>20</v>
      </c>
      <c r="M4569" t="s">
        <v>25</v>
      </c>
      <c r="N4569" t="s">
        <v>22</v>
      </c>
      <c r="O4569" t="s">
        <v>36</v>
      </c>
      <c r="P4569">
        <v>2.27</v>
      </c>
      <c r="Q4569" s="2" t="b">
        <f>FALSE()</f>
        <v>0</v>
      </c>
      <c r="R4569">
        <v>1</v>
      </c>
    </row>
    <row r="4570" spans="1:18" x14ac:dyDescent="0.25">
      <c r="A4570">
        <v>204569</v>
      </c>
      <c r="B4570">
        <v>52363</v>
      </c>
      <c r="C4570" t="s">
        <v>18</v>
      </c>
      <c r="D4570">
        <v>1027.3800000000001</v>
      </c>
      <c r="E4570">
        <v>2638</v>
      </c>
      <c r="F4570">
        <v>0</v>
      </c>
      <c r="G4570">
        <v>3</v>
      </c>
      <c r="H4570">
        <v>0</v>
      </c>
      <c r="I4570" t="s">
        <v>33</v>
      </c>
      <c r="J4570">
        <v>0</v>
      </c>
      <c r="K4570">
        <v>77</v>
      </c>
      <c r="L4570" t="s">
        <v>24</v>
      </c>
      <c r="M4570" t="s">
        <v>29</v>
      </c>
      <c r="N4570" t="s">
        <v>22</v>
      </c>
      <c r="O4570" t="s">
        <v>36</v>
      </c>
      <c r="P4570">
        <v>5.19</v>
      </c>
      <c r="Q4570" s="2" t="b">
        <f>FALSE()</f>
        <v>0</v>
      </c>
      <c r="R4570">
        <v>0</v>
      </c>
    </row>
    <row r="4571" spans="1:18" x14ac:dyDescent="0.25">
      <c r="A4571">
        <v>204570</v>
      </c>
      <c r="B4571">
        <v>51758</v>
      </c>
      <c r="C4571" t="s">
        <v>18</v>
      </c>
      <c r="D4571">
        <v>2838.53</v>
      </c>
      <c r="E4571">
        <v>1837</v>
      </c>
      <c r="F4571">
        <v>3</v>
      </c>
      <c r="G4571">
        <v>5</v>
      </c>
      <c r="H4571">
        <v>1</v>
      </c>
      <c r="I4571" t="s">
        <v>33</v>
      </c>
      <c r="J4571">
        <v>1</v>
      </c>
      <c r="K4571">
        <v>28</v>
      </c>
      <c r="L4571" t="s">
        <v>20</v>
      </c>
      <c r="M4571" t="s">
        <v>21</v>
      </c>
      <c r="N4571" t="s">
        <v>22</v>
      </c>
      <c r="O4571" t="s">
        <v>23</v>
      </c>
      <c r="P4571">
        <v>4.46</v>
      </c>
      <c r="Q4571" s="2" t="b">
        <f>FALSE()</f>
        <v>0</v>
      </c>
      <c r="R4571">
        <v>1</v>
      </c>
    </row>
    <row r="4572" spans="1:18" x14ac:dyDescent="0.25">
      <c r="A4572">
        <v>204571</v>
      </c>
      <c r="B4572">
        <v>51894</v>
      </c>
      <c r="C4572" t="s">
        <v>18</v>
      </c>
      <c r="D4572">
        <v>4038.62</v>
      </c>
      <c r="E4572">
        <v>2312</v>
      </c>
      <c r="F4572">
        <v>2</v>
      </c>
      <c r="G4572">
        <v>1</v>
      </c>
      <c r="H4572">
        <v>1</v>
      </c>
      <c r="I4572" t="s">
        <v>19</v>
      </c>
      <c r="J4572">
        <v>0</v>
      </c>
      <c r="K4572">
        <v>24</v>
      </c>
      <c r="L4572" t="s">
        <v>20</v>
      </c>
      <c r="M4572" t="s">
        <v>25</v>
      </c>
      <c r="N4572" t="s">
        <v>22</v>
      </c>
      <c r="O4572" t="s">
        <v>23</v>
      </c>
      <c r="P4572">
        <v>0.03</v>
      </c>
      <c r="Q4572" s="2" t="b">
        <f>FALSE()</f>
        <v>0</v>
      </c>
      <c r="R4572">
        <v>1</v>
      </c>
    </row>
    <row r="4573" spans="1:18" x14ac:dyDescent="0.25">
      <c r="A4573">
        <v>204572</v>
      </c>
      <c r="B4573">
        <v>54652</v>
      </c>
      <c r="C4573" t="s">
        <v>28</v>
      </c>
      <c r="D4573">
        <v>4069.99</v>
      </c>
      <c r="E4573">
        <v>1765</v>
      </c>
      <c r="F4573">
        <v>0</v>
      </c>
      <c r="G4573">
        <v>3</v>
      </c>
      <c r="H4573">
        <v>0</v>
      </c>
      <c r="I4573" t="s">
        <v>33</v>
      </c>
      <c r="J4573">
        <v>0</v>
      </c>
      <c r="K4573">
        <v>21</v>
      </c>
      <c r="L4573" t="s">
        <v>20</v>
      </c>
      <c r="M4573" t="s">
        <v>21</v>
      </c>
      <c r="N4573" t="s">
        <v>26</v>
      </c>
      <c r="O4573" t="s">
        <v>23</v>
      </c>
      <c r="P4573">
        <v>0.71</v>
      </c>
      <c r="Q4573" s="2" t="b">
        <f>FALSE()</f>
        <v>0</v>
      </c>
      <c r="R4573">
        <v>1</v>
      </c>
    </row>
    <row r="4574" spans="1:18" x14ac:dyDescent="0.25">
      <c r="A4574">
        <v>204573</v>
      </c>
      <c r="B4574">
        <v>53959</v>
      </c>
      <c r="C4574" t="s">
        <v>34</v>
      </c>
      <c r="D4574">
        <v>1813.19</v>
      </c>
      <c r="E4574">
        <v>921</v>
      </c>
      <c r="F4574">
        <v>2</v>
      </c>
      <c r="G4574">
        <v>6</v>
      </c>
      <c r="H4574">
        <v>1</v>
      </c>
      <c r="I4574" t="s">
        <v>19</v>
      </c>
      <c r="J4574">
        <v>0</v>
      </c>
      <c r="K4574">
        <v>18</v>
      </c>
      <c r="L4574" t="s">
        <v>20</v>
      </c>
      <c r="M4574" t="s">
        <v>21</v>
      </c>
      <c r="N4574" t="s">
        <v>30</v>
      </c>
      <c r="O4574" t="s">
        <v>36</v>
      </c>
      <c r="P4574">
        <v>6.44</v>
      </c>
      <c r="Q4574" s="2" t="b">
        <f>FALSE()</f>
        <v>0</v>
      </c>
      <c r="R4574">
        <v>0</v>
      </c>
    </row>
    <row r="4575" spans="1:18" x14ac:dyDescent="0.25">
      <c r="A4575">
        <v>204574</v>
      </c>
      <c r="B4575">
        <v>53185</v>
      </c>
      <c r="C4575" t="s">
        <v>34</v>
      </c>
      <c r="D4575">
        <v>1521.17</v>
      </c>
      <c r="E4575">
        <v>3167</v>
      </c>
      <c r="F4575">
        <v>1</v>
      </c>
      <c r="G4575">
        <v>4</v>
      </c>
      <c r="H4575">
        <v>1</v>
      </c>
      <c r="I4575" t="s">
        <v>32</v>
      </c>
      <c r="J4575">
        <v>0</v>
      </c>
      <c r="K4575">
        <v>54</v>
      </c>
      <c r="L4575" t="s">
        <v>24</v>
      </c>
      <c r="M4575" t="s">
        <v>37</v>
      </c>
      <c r="N4575" t="s">
        <v>30</v>
      </c>
      <c r="O4575" t="s">
        <v>36</v>
      </c>
      <c r="P4575">
        <v>0.51</v>
      </c>
      <c r="Q4575" s="2" t="b">
        <f>FALSE()</f>
        <v>0</v>
      </c>
      <c r="R4575">
        <v>0</v>
      </c>
    </row>
    <row r="4576" spans="1:18" x14ac:dyDescent="0.25">
      <c r="A4576">
        <v>204575</v>
      </c>
      <c r="B4576">
        <v>51141</v>
      </c>
      <c r="C4576" t="s">
        <v>18</v>
      </c>
      <c r="D4576">
        <v>1732.73</v>
      </c>
      <c r="E4576">
        <v>181</v>
      </c>
      <c r="F4576">
        <v>1</v>
      </c>
      <c r="G4576">
        <v>1</v>
      </c>
      <c r="H4576">
        <v>0</v>
      </c>
      <c r="I4576" t="s">
        <v>19</v>
      </c>
      <c r="J4576">
        <v>0</v>
      </c>
      <c r="K4576">
        <v>19</v>
      </c>
      <c r="L4576" t="s">
        <v>20</v>
      </c>
      <c r="M4576" t="s">
        <v>21</v>
      </c>
      <c r="N4576" t="s">
        <v>26</v>
      </c>
      <c r="O4576" t="s">
        <v>36</v>
      </c>
      <c r="P4576">
        <v>6.02</v>
      </c>
      <c r="Q4576" s="2" t="b">
        <f>FALSE()</f>
        <v>0</v>
      </c>
      <c r="R4576">
        <v>0</v>
      </c>
    </row>
    <row r="4577" spans="1:18" x14ac:dyDescent="0.25">
      <c r="A4577">
        <v>204576</v>
      </c>
      <c r="B4577">
        <v>50907</v>
      </c>
      <c r="C4577" t="s">
        <v>34</v>
      </c>
      <c r="D4577">
        <v>1604.45</v>
      </c>
      <c r="E4577">
        <v>2768</v>
      </c>
      <c r="F4577">
        <v>1</v>
      </c>
      <c r="G4577">
        <v>5</v>
      </c>
      <c r="H4577">
        <v>0</v>
      </c>
      <c r="I4577" t="s">
        <v>19</v>
      </c>
      <c r="J4577">
        <v>0</v>
      </c>
      <c r="K4577">
        <v>70</v>
      </c>
      <c r="L4577" t="s">
        <v>24</v>
      </c>
      <c r="M4577" t="s">
        <v>31</v>
      </c>
      <c r="N4577" t="s">
        <v>30</v>
      </c>
      <c r="O4577" t="s">
        <v>23</v>
      </c>
      <c r="P4577">
        <v>9.41</v>
      </c>
      <c r="Q4577" s="2" t="b">
        <f>FALSE()</f>
        <v>0</v>
      </c>
      <c r="R4577">
        <v>0</v>
      </c>
    </row>
    <row r="4578" spans="1:18" x14ac:dyDescent="0.25">
      <c r="A4578">
        <v>204577</v>
      </c>
      <c r="B4578">
        <v>50399</v>
      </c>
      <c r="C4578" t="s">
        <v>28</v>
      </c>
      <c r="D4578">
        <v>367.59</v>
      </c>
      <c r="E4578">
        <v>1685</v>
      </c>
      <c r="F4578">
        <v>1</v>
      </c>
      <c r="G4578">
        <v>3</v>
      </c>
      <c r="H4578">
        <v>0</v>
      </c>
      <c r="I4578" t="s">
        <v>33</v>
      </c>
      <c r="J4578">
        <v>0</v>
      </c>
      <c r="K4578">
        <v>35</v>
      </c>
      <c r="L4578" t="s">
        <v>20</v>
      </c>
      <c r="M4578" t="s">
        <v>25</v>
      </c>
      <c r="N4578" t="s">
        <v>22</v>
      </c>
      <c r="O4578" t="s">
        <v>36</v>
      </c>
      <c r="P4578">
        <v>0.3</v>
      </c>
      <c r="Q4578" s="2" t="b">
        <f>FALSE()</f>
        <v>0</v>
      </c>
      <c r="R4578">
        <v>0</v>
      </c>
    </row>
    <row r="4579" spans="1:18" x14ac:dyDescent="0.25">
      <c r="A4579">
        <v>204578</v>
      </c>
      <c r="B4579">
        <v>54850</v>
      </c>
      <c r="C4579" t="s">
        <v>18</v>
      </c>
      <c r="D4579">
        <v>4768.16</v>
      </c>
      <c r="E4579">
        <v>3319</v>
      </c>
      <c r="F4579">
        <v>0</v>
      </c>
      <c r="G4579">
        <v>4</v>
      </c>
      <c r="H4579">
        <v>0</v>
      </c>
      <c r="I4579" t="s">
        <v>33</v>
      </c>
      <c r="J4579">
        <v>0</v>
      </c>
      <c r="K4579">
        <v>28</v>
      </c>
      <c r="L4579" t="s">
        <v>24</v>
      </c>
      <c r="M4579" t="s">
        <v>35</v>
      </c>
      <c r="N4579" t="s">
        <v>26</v>
      </c>
      <c r="O4579" t="s">
        <v>36</v>
      </c>
      <c r="P4579">
        <v>0.74</v>
      </c>
      <c r="Q4579" s="2" t="b">
        <f>FALSE()</f>
        <v>0</v>
      </c>
      <c r="R4579">
        <v>1</v>
      </c>
    </row>
    <row r="4580" spans="1:18" x14ac:dyDescent="0.25">
      <c r="A4580">
        <v>204579</v>
      </c>
      <c r="B4580">
        <v>52705</v>
      </c>
      <c r="C4580" t="s">
        <v>28</v>
      </c>
      <c r="D4580">
        <v>872.34</v>
      </c>
      <c r="E4580">
        <v>3580</v>
      </c>
      <c r="F4580">
        <v>0</v>
      </c>
      <c r="G4580">
        <v>5</v>
      </c>
      <c r="H4580">
        <v>0</v>
      </c>
      <c r="I4580" t="s">
        <v>19</v>
      </c>
      <c r="J4580">
        <v>0</v>
      </c>
      <c r="K4580">
        <v>21</v>
      </c>
      <c r="L4580" t="s">
        <v>20</v>
      </c>
      <c r="M4580" t="s">
        <v>35</v>
      </c>
      <c r="N4580" t="s">
        <v>22</v>
      </c>
      <c r="O4580" t="s">
        <v>36</v>
      </c>
      <c r="P4580">
        <v>3.03</v>
      </c>
      <c r="Q4580" s="2" t="b">
        <f>FALSE()</f>
        <v>0</v>
      </c>
      <c r="R4580">
        <v>0</v>
      </c>
    </row>
    <row r="4581" spans="1:18" x14ac:dyDescent="0.25">
      <c r="A4581">
        <v>204580</v>
      </c>
      <c r="B4581">
        <v>53295</v>
      </c>
      <c r="C4581" t="s">
        <v>18</v>
      </c>
      <c r="D4581">
        <v>1811.5</v>
      </c>
      <c r="E4581">
        <v>1272</v>
      </c>
      <c r="F4581">
        <v>1</v>
      </c>
      <c r="G4581">
        <v>4</v>
      </c>
      <c r="H4581">
        <v>1</v>
      </c>
      <c r="I4581" t="s">
        <v>33</v>
      </c>
      <c r="J4581">
        <v>1</v>
      </c>
      <c r="K4581">
        <v>67</v>
      </c>
      <c r="L4581" t="s">
        <v>24</v>
      </c>
      <c r="M4581" t="s">
        <v>37</v>
      </c>
      <c r="N4581" t="s">
        <v>22</v>
      </c>
      <c r="O4581" t="s">
        <v>23</v>
      </c>
      <c r="P4581">
        <v>7.33</v>
      </c>
      <c r="Q4581" s="2" t="b">
        <f>FALSE()</f>
        <v>0</v>
      </c>
      <c r="R4581">
        <v>0</v>
      </c>
    </row>
    <row r="4582" spans="1:18" x14ac:dyDescent="0.25">
      <c r="A4582">
        <v>204581</v>
      </c>
      <c r="B4582">
        <v>53903</v>
      </c>
      <c r="C4582" t="s">
        <v>28</v>
      </c>
      <c r="D4582">
        <v>815.5</v>
      </c>
      <c r="E4582">
        <v>1868</v>
      </c>
      <c r="F4582">
        <v>0</v>
      </c>
      <c r="G4582">
        <v>7</v>
      </c>
      <c r="H4582">
        <v>0</v>
      </c>
      <c r="I4582" t="s">
        <v>19</v>
      </c>
      <c r="J4582">
        <v>0</v>
      </c>
      <c r="K4582">
        <v>31</v>
      </c>
      <c r="L4582" t="s">
        <v>20</v>
      </c>
      <c r="M4582" t="s">
        <v>35</v>
      </c>
      <c r="N4582" t="s">
        <v>30</v>
      </c>
      <c r="O4582" t="s">
        <v>36</v>
      </c>
      <c r="P4582">
        <v>2.78</v>
      </c>
      <c r="Q4582" s="2" t="b">
        <f>FALSE()</f>
        <v>0</v>
      </c>
      <c r="R4582">
        <v>1</v>
      </c>
    </row>
    <row r="4583" spans="1:18" x14ac:dyDescent="0.25">
      <c r="A4583">
        <v>204582</v>
      </c>
      <c r="B4583">
        <v>53938</v>
      </c>
      <c r="C4583" t="s">
        <v>34</v>
      </c>
      <c r="D4583">
        <v>4462.6000000000004</v>
      </c>
      <c r="E4583">
        <v>1681</v>
      </c>
      <c r="F4583">
        <v>2</v>
      </c>
      <c r="G4583">
        <v>1</v>
      </c>
      <c r="H4583">
        <v>0</v>
      </c>
      <c r="I4583" t="s">
        <v>19</v>
      </c>
      <c r="J4583">
        <v>0</v>
      </c>
      <c r="K4583">
        <v>82</v>
      </c>
      <c r="L4583" t="s">
        <v>20</v>
      </c>
      <c r="M4583" t="s">
        <v>35</v>
      </c>
      <c r="N4583" t="s">
        <v>30</v>
      </c>
      <c r="O4583" t="s">
        <v>23</v>
      </c>
      <c r="P4583">
        <v>0.08</v>
      </c>
      <c r="Q4583" s="2" t="b">
        <f>FALSE()</f>
        <v>0</v>
      </c>
      <c r="R4583">
        <v>1</v>
      </c>
    </row>
    <row r="4584" spans="1:18" x14ac:dyDescent="0.25">
      <c r="A4584">
        <v>204583</v>
      </c>
      <c r="B4584">
        <v>51579</v>
      </c>
      <c r="C4584" t="s">
        <v>34</v>
      </c>
      <c r="D4584">
        <v>3109.44</v>
      </c>
      <c r="E4584">
        <v>1541</v>
      </c>
      <c r="F4584">
        <v>2</v>
      </c>
      <c r="G4584">
        <v>6</v>
      </c>
      <c r="H4584">
        <v>0</v>
      </c>
      <c r="I4584" t="s">
        <v>33</v>
      </c>
      <c r="J4584">
        <v>0</v>
      </c>
      <c r="K4584">
        <v>38</v>
      </c>
      <c r="L4584" t="s">
        <v>24</v>
      </c>
      <c r="M4584" t="s">
        <v>21</v>
      </c>
      <c r="N4584" t="s">
        <v>26</v>
      </c>
      <c r="O4584" t="s">
        <v>27</v>
      </c>
      <c r="P4584">
        <v>0.74</v>
      </c>
      <c r="Q4584" s="2" t="b">
        <f>FALSE()</f>
        <v>0</v>
      </c>
      <c r="R4584">
        <v>0</v>
      </c>
    </row>
    <row r="4585" spans="1:18" x14ac:dyDescent="0.25">
      <c r="A4585">
        <v>204584</v>
      </c>
      <c r="B4585">
        <v>55095</v>
      </c>
      <c r="C4585" t="s">
        <v>18</v>
      </c>
      <c r="D4585">
        <v>2630.42</v>
      </c>
      <c r="E4585">
        <v>2567</v>
      </c>
      <c r="F4585">
        <v>0</v>
      </c>
      <c r="G4585">
        <v>8</v>
      </c>
      <c r="H4585">
        <v>1</v>
      </c>
      <c r="I4585" t="s">
        <v>33</v>
      </c>
      <c r="J4585">
        <v>0</v>
      </c>
      <c r="K4585">
        <v>45</v>
      </c>
      <c r="L4585" t="s">
        <v>24</v>
      </c>
      <c r="M4585" t="s">
        <v>25</v>
      </c>
      <c r="N4585" t="s">
        <v>30</v>
      </c>
      <c r="O4585" t="s">
        <v>23</v>
      </c>
      <c r="P4585">
        <v>0.81</v>
      </c>
      <c r="Q4585" s="2" t="b">
        <f>FALSE()</f>
        <v>0</v>
      </c>
      <c r="R4585">
        <v>1</v>
      </c>
    </row>
    <row r="4586" spans="1:18" x14ac:dyDescent="0.25">
      <c r="A4586">
        <v>204585</v>
      </c>
      <c r="B4586">
        <v>52686</v>
      </c>
      <c r="C4586" t="s">
        <v>18</v>
      </c>
      <c r="D4586">
        <v>1313.17</v>
      </c>
      <c r="E4586">
        <v>1410</v>
      </c>
      <c r="F4586">
        <v>1</v>
      </c>
      <c r="G4586">
        <v>2</v>
      </c>
      <c r="H4586">
        <v>0</v>
      </c>
      <c r="I4586" t="s">
        <v>33</v>
      </c>
      <c r="J4586">
        <v>0</v>
      </c>
      <c r="K4586">
        <v>21</v>
      </c>
      <c r="L4586" t="s">
        <v>24</v>
      </c>
      <c r="M4586" t="s">
        <v>29</v>
      </c>
      <c r="N4586" t="s">
        <v>22</v>
      </c>
      <c r="O4586" t="s">
        <v>23</v>
      </c>
      <c r="P4586">
        <v>7.56</v>
      </c>
      <c r="Q4586" s="2" t="b">
        <f>FALSE()</f>
        <v>0</v>
      </c>
      <c r="R4586">
        <v>0</v>
      </c>
    </row>
    <row r="4587" spans="1:18" x14ac:dyDescent="0.25">
      <c r="A4587">
        <v>204586</v>
      </c>
      <c r="B4587">
        <v>53937</v>
      </c>
      <c r="C4587" t="s">
        <v>34</v>
      </c>
      <c r="D4587">
        <v>767.25</v>
      </c>
      <c r="E4587">
        <v>587</v>
      </c>
      <c r="F4587">
        <v>1</v>
      </c>
      <c r="G4587">
        <v>2</v>
      </c>
      <c r="H4587">
        <v>0</v>
      </c>
      <c r="I4587" t="s">
        <v>19</v>
      </c>
      <c r="J4587">
        <v>0</v>
      </c>
      <c r="K4587">
        <v>48</v>
      </c>
      <c r="L4587" t="s">
        <v>20</v>
      </c>
      <c r="M4587" t="s">
        <v>25</v>
      </c>
      <c r="N4587" t="s">
        <v>22</v>
      </c>
      <c r="O4587" t="s">
        <v>23</v>
      </c>
      <c r="P4587">
        <v>0.22</v>
      </c>
      <c r="Q4587" s="2" t="b">
        <f>FALSE()</f>
        <v>0</v>
      </c>
      <c r="R4587">
        <v>0</v>
      </c>
    </row>
    <row r="4588" spans="1:18" x14ac:dyDescent="0.25">
      <c r="A4588">
        <v>204587</v>
      </c>
      <c r="B4588">
        <v>51106</v>
      </c>
      <c r="C4588" t="s">
        <v>34</v>
      </c>
      <c r="D4588">
        <v>2516.3000000000002</v>
      </c>
      <c r="E4588">
        <v>2290</v>
      </c>
      <c r="F4588">
        <v>0</v>
      </c>
      <c r="G4588">
        <v>8</v>
      </c>
      <c r="H4588">
        <v>1</v>
      </c>
      <c r="I4588" t="s">
        <v>33</v>
      </c>
      <c r="J4588">
        <v>0</v>
      </c>
      <c r="K4588">
        <v>36</v>
      </c>
      <c r="L4588" t="s">
        <v>20</v>
      </c>
      <c r="M4588" t="s">
        <v>21</v>
      </c>
      <c r="N4588" t="s">
        <v>30</v>
      </c>
      <c r="O4588" t="s">
        <v>36</v>
      </c>
      <c r="P4588">
        <v>2.2599999999999998</v>
      </c>
      <c r="Q4588" s="2" t="b">
        <f>FALSE()</f>
        <v>0</v>
      </c>
      <c r="R4588">
        <v>1</v>
      </c>
    </row>
    <row r="4589" spans="1:18" x14ac:dyDescent="0.25">
      <c r="A4589">
        <v>204588</v>
      </c>
      <c r="B4589">
        <v>54708</v>
      </c>
      <c r="C4589" t="s">
        <v>18</v>
      </c>
      <c r="D4589">
        <v>2536.4</v>
      </c>
      <c r="E4589">
        <v>1278</v>
      </c>
      <c r="F4589">
        <v>1</v>
      </c>
      <c r="G4589">
        <v>4</v>
      </c>
      <c r="H4589">
        <v>0</v>
      </c>
      <c r="I4589" t="s">
        <v>33</v>
      </c>
      <c r="J4589">
        <v>0</v>
      </c>
      <c r="K4589">
        <v>56</v>
      </c>
      <c r="L4589" t="s">
        <v>20</v>
      </c>
      <c r="M4589" t="s">
        <v>35</v>
      </c>
      <c r="N4589" t="s">
        <v>22</v>
      </c>
      <c r="O4589" t="s">
        <v>27</v>
      </c>
      <c r="P4589">
        <v>4.9000000000000004</v>
      </c>
      <c r="Q4589" s="2" t="b">
        <f>FALSE()</f>
        <v>0</v>
      </c>
      <c r="R4589">
        <v>0</v>
      </c>
    </row>
    <row r="4590" spans="1:18" x14ac:dyDescent="0.25">
      <c r="A4590">
        <v>204589</v>
      </c>
      <c r="B4590">
        <v>55229</v>
      </c>
      <c r="C4590" t="s">
        <v>34</v>
      </c>
      <c r="D4590">
        <v>1937.23</v>
      </c>
      <c r="E4590">
        <v>1061</v>
      </c>
      <c r="F4590">
        <v>1</v>
      </c>
      <c r="G4590">
        <v>3</v>
      </c>
      <c r="H4590">
        <v>1</v>
      </c>
      <c r="I4590" t="s">
        <v>19</v>
      </c>
      <c r="J4590">
        <v>0</v>
      </c>
      <c r="K4590">
        <v>74</v>
      </c>
      <c r="L4590" t="s">
        <v>20</v>
      </c>
      <c r="M4590" t="s">
        <v>29</v>
      </c>
      <c r="N4590" t="s">
        <v>22</v>
      </c>
      <c r="O4590" t="s">
        <v>27</v>
      </c>
      <c r="P4590">
        <v>0.81</v>
      </c>
      <c r="Q4590" s="2" t="b">
        <f>FALSE()</f>
        <v>0</v>
      </c>
      <c r="R4590">
        <v>0</v>
      </c>
    </row>
    <row r="4591" spans="1:18" x14ac:dyDescent="0.25">
      <c r="A4591">
        <v>204590</v>
      </c>
      <c r="B4591">
        <v>52130</v>
      </c>
      <c r="C4591" t="s">
        <v>34</v>
      </c>
      <c r="D4591">
        <v>2201.6</v>
      </c>
      <c r="E4591">
        <v>1287</v>
      </c>
      <c r="F4591">
        <v>0</v>
      </c>
      <c r="G4591">
        <v>4</v>
      </c>
      <c r="H4591">
        <v>0</v>
      </c>
      <c r="I4591" t="s">
        <v>33</v>
      </c>
      <c r="J4591">
        <v>1</v>
      </c>
      <c r="K4591">
        <v>25</v>
      </c>
      <c r="L4591" t="s">
        <v>24</v>
      </c>
      <c r="M4591" t="s">
        <v>25</v>
      </c>
      <c r="N4591" t="s">
        <v>22</v>
      </c>
      <c r="O4591" t="s">
        <v>36</v>
      </c>
      <c r="P4591">
        <v>1.97</v>
      </c>
      <c r="Q4591" s="2" t="b">
        <f>FALSE()</f>
        <v>0</v>
      </c>
      <c r="R4591">
        <v>0</v>
      </c>
    </row>
    <row r="4592" spans="1:18" x14ac:dyDescent="0.25">
      <c r="A4592">
        <v>204591</v>
      </c>
      <c r="B4592">
        <v>53795</v>
      </c>
      <c r="C4592" t="s">
        <v>34</v>
      </c>
      <c r="D4592">
        <v>3749.1</v>
      </c>
      <c r="E4592">
        <v>2517</v>
      </c>
      <c r="F4592">
        <v>0</v>
      </c>
      <c r="G4592">
        <v>2</v>
      </c>
      <c r="H4592">
        <v>1</v>
      </c>
      <c r="I4592" t="s">
        <v>32</v>
      </c>
      <c r="J4592">
        <v>0</v>
      </c>
      <c r="K4592">
        <v>64</v>
      </c>
      <c r="L4592" t="s">
        <v>24</v>
      </c>
      <c r="M4592" t="s">
        <v>21</v>
      </c>
      <c r="N4592" t="s">
        <v>26</v>
      </c>
      <c r="O4592" t="s">
        <v>27</v>
      </c>
      <c r="P4592">
        <v>2.96</v>
      </c>
      <c r="Q4592" s="2" t="b">
        <f>FALSE()</f>
        <v>0</v>
      </c>
      <c r="R4592">
        <v>1</v>
      </c>
    </row>
    <row r="4593" spans="1:18" x14ac:dyDescent="0.25">
      <c r="A4593">
        <v>204592</v>
      </c>
      <c r="B4593">
        <v>52737</v>
      </c>
      <c r="C4593" t="s">
        <v>34</v>
      </c>
      <c r="D4593">
        <v>1944.69</v>
      </c>
      <c r="E4593">
        <v>3239</v>
      </c>
      <c r="F4593">
        <v>0</v>
      </c>
      <c r="G4593">
        <v>8</v>
      </c>
      <c r="H4593">
        <v>0</v>
      </c>
      <c r="I4593" t="s">
        <v>33</v>
      </c>
      <c r="J4593">
        <v>0</v>
      </c>
      <c r="K4593">
        <v>42</v>
      </c>
      <c r="L4593" t="s">
        <v>20</v>
      </c>
      <c r="M4593" t="s">
        <v>29</v>
      </c>
      <c r="N4593" t="s">
        <v>22</v>
      </c>
      <c r="O4593" t="s">
        <v>36</v>
      </c>
      <c r="P4593">
        <v>2.73</v>
      </c>
      <c r="Q4593" s="2" t="b">
        <f>FALSE()</f>
        <v>0</v>
      </c>
      <c r="R4593">
        <v>1</v>
      </c>
    </row>
    <row r="4594" spans="1:18" x14ac:dyDescent="0.25">
      <c r="A4594">
        <v>204593</v>
      </c>
      <c r="B4594">
        <v>51919</v>
      </c>
      <c r="C4594" t="s">
        <v>34</v>
      </c>
      <c r="D4594">
        <v>1309.58</v>
      </c>
      <c r="E4594">
        <v>2703</v>
      </c>
      <c r="F4594">
        <v>0</v>
      </c>
      <c r="G4594">
        <v>3</v>
      </c>
      <c r="H4594">
        <v>1</v>
      </c>
      <c r="I4594" t="s">
        <v>33</v>
      </c>
      <c r="J4594">
        <v>0</v>
      </c>
      <c r="K4594">
        <v>35</v>
      </c>
      <c r="L4594" t="s">
        <v>24</v>
      </c>
      <c r="M4594" t="s">
        <v>35</v>
      </c>
      <c r="N4594" t="s">
        <v>22</v>
      </c>
      <c r="O4594" t="s">
        <v>36</v>
      </c>
      <c r="P4594">
        <v>8.11</v>
      </c>
      <c r="Q4594" s="2" t="b">
        <f>FALSE()</f>
        <v>0</v>
      </c>
      <c r="R4594">
        <v>0</v>
      </c>
    </row>
    <row r="4595" spans="1:18" x14ac:dyDescent="0.25">
      <c r="A4595">
        <v>204594</v>
      </c>
      <c r="B4595">
        <v>54027</v>
      </c>
      <c r="C4595" t="s">
        <v>34</v>
      </c>
      <c r="D4595">
        <v>2175.61</v>
      </c>
      <c r="E4595">
        <v>1227</v>
      </c>
      <c r="F4595">
        <v>1</v>
      </c>
      <c r="G4595">
        <v>4</v>
      </c>
      <c r="H4595">
        <v>0</v>
      </c>
      <c r="I4595" t="s">
        <v>33</v>
      </c>
      <c r="J4595">
        <v>0</v>
      </c>
      <c r="K4595">
        <v>80</v>
      </c>
      <c r="L4595" t="s">
        <v>20</v>
      </c>
      <c r="M4595" t="s">
        <v>31</v>
      </c>
      <c r="N4595" t="s">
        <v>26</v>
      </c>
      <c r="O4595" t="s">
        <v>23</v>
      </c>
      <c r="P4595">
        <v>2.04</v>
      </c>
      <c r="Q4595" s="2" t="b">
        <f>FALSE()</f>
        <v>0</v>
      </c>
      <c r="R4595">
        <v>0</v>
      </c>
    </row>
    <row r="4596" spans="1:18" x14ac:dyDescent="0.25">
      <c r="A4596">
        <v>204595</v>
      </c>
      <c r="B4596">
        <v>54103</v>
      </c>
      <c r="C4596" t="s">
        <v>34</v>
      </c>
      <c r="D4596">
        <v>1047.32</v>
      </c>
      <c r="E4596">
        <v>2448</v>
      </c>
      <c r="F4596">
        <v>1</v>
      </c>
      <c r="G4596">
        <v>3</v>
      </c>
      <c r="H4596">
        <v>0</v>
      </c>
      <c r="I4596" t="s">
        <v>33</v>
      </c>
      <c r="J4596">
        <v>0</v>
      </c>
      <c r="K4596">
        <v>72</v>
      </c>
      <c r="L4596" t="s">
        <v>20</v>
      </c>
      <c r="M4596" t="s">
        <v>35</v>
      </c>
      <c r="N4596" t="s">
        <v>30</v>
      </c>
      <c r="O4596" t="s">
        <v>36</v>
      </c>
      <c r="P4596">
        <v>3.74</v>
      </c>
      <c r="Q4596" s="2" t="b">
        <f>FALSE()</f>
        <v>0</v>
      </c>
      <c r="R4596">
        <v>0</v>
      </c>
    </row>
    <row r="4597" spans="1:18" x14ac:dyDescent="0.25">
      <c r="A4597">
        <v>204596</v>
      </c>
      <c r="B4597">
        <v>52213</v>
      </c>
      <c r="C4597" t="s">
        <v>34</v>
      </c>
      <c r="D4597">
        <v>1913.57</v>
      </c>
      <c r="E4597">
        <v>634</v>
      </c>
      <c r="F4597">
        <v>1</v>
      </c>
      <c r="G4597">
        <v>4</v>
      </c>
      <c r="H4597">
        <v>0</v>
      </c>
      <c r="I4597" t="s">
        <v>33</v>
      </c>
      <c r="J4597">
        <v>0</v>
      </c>
      <c r="K4597">
        <v>43</v>
      </c>
      <c r="L4597" t="s">
        <v>20</v>
      </c>
      <c r="M4597" t="s">
        <v>25</v>
      </c>
      <c r="N4597" t="s">
        <v>22</v>
      </c>
      <c r="O4597" t="s">
        <v>23</v>
      </c>
      <c r="P4597">
        <v>2.63</v>
      </c>
      <c r="Q4597" s="2" t="b">
        <f>FALSE()</f>
        <v>0</v>
      </c>
      <c r="R4597">
        <v>0</v>
      </c>
    </row>
    <row r="4598" spans="1:18" x14ac:dyDescent="0.25">
      <c r="A4598">
        <v>204597</v>
      </c>
      <c r="B4598">
        <v>54108</v>
      </c>
      <c r="C4598" t="s">
        <v>18</v>
      </c>
      <c r="D4598">
        <v>1613.97</v>
      </c>
      <c r="E4598">
        <v>2204</v>
      </c>
      <c r="F4598">
        <v>3</v>
      </c>
      <c r="G4598">
        <v>6</v>
      </c>
      <c r="H4598">
        <v>1</v>
      </c>
      <c r="I4598" t="s">
        <v>33</v>
      </c>
      <c r="J4598">
        <v>1</v>
      </c>
      <c r="K4598">
        <v>60</v>
      </c>
      <c r="L4598" t="s">
        <v>20</v>
      </c>
      <c r="M4598" t="s">
        <v>21</v>
      </c>
      <c r="N4598" t="s">
        <v>22</v>
      </c>
      <c r="O4598" t="s">
        <v>23</v>
      </c>
      <c r="P4598">
        <v>6.32</v>
      </c>
      <c r="Q4598" s="2" t="b">
        <f>FALSE()</f>
        <v>0</v>
      </c>
      <c r="R4598">
        <v>1</v>
      </c>
    </row>
    <row r="4599" spans="1:18" x14ac:dyDescent="0.25">
      <c r="A4599">
        <v>204598</v>
      </c>
      <c r="B4599">
        <v>51109</v>
      </c>
      <c r="C4599" t="s">
        <v>34</v>
      </c>
      <c r="D4599">
        <v>2302.0300000000002</v>
      </c>
      <c r="E4599">
        <v>2192</v>
      </c>
      <c r="F4599">
        <v>2</v>
      </c>
      <c r="G4599">
        <v>3</v>
      </c>
      <c r="H4599">
        <v>1</v>
      </c>
      <c r="I4599" t="s">
        <v>32</v>
      </c>
      <c r="J4599">
        <v>0</v>
      </c>
      <c r="K4599">
        <v>31</v>
      </c>
      <c r="L4599" t="s">
        <v>24</v>
      </c>
      <c r="M4599" t="s">
        <v>21</v>
      </c>
      <c r="N4599" t="s">
        <v>22</v>
      </c>
      <c r="O4599" t="s">
        <v>27</v>
      </c>
      <c r="P4599">
        <v>1.35</v>
      </c>
      <c r="Q4599" s="2" t="b">
        <f>FALSE()</f>
        <v>0</v>
      </c>
      <c r="R4599">
        <v>0</v>
      </c>
    </row>
    <row r="4600" spans="1:18" x14ac:dyDescent="0.25">
      <c r="A4600">
        <v>204599</v>
      </c>
      <c r="B4600">
        <v>54965</v>
      </c>
      <c r="C4600" t="s">
        <v>18</v>
      </c>
      <c r="D4600">
        <v>607.22</v>
      </c>
      <c r="E4600">
        <v>1579</v>
      </c>
      <c r="F4600">
        <v>2</v>
      </c>
      <c r="G4600">
        <v>4</v>
      </c>
      <c r="H4600">
        <v>0</v>
      </c>
      <c r="I4600" t="s">
        <v>32</v>
      </c>
      <c r="J4600">
        <v>0</v>
      </c>
      <c r="K4600">
        <v>48</v>
      </c>
      <c r="L4600" t="s">
        <v>20</v>
      </c>
      <c r="M4600" t="s">
        <v>29</v>
      </c>
      <c r="N4600" t="s">
        <v>22</v>
      </c>
      <c r="O4600" t="s">
        <v>27</v>
      </c>
      <c r="P4600">
        <v>4.18</v>
      </c>
      <c r="Q4600" s="2" t="b">
        <f>FALSE()</f>
        <v>0</v>
      </c>
      <c r="R4600">
        <v>0</v>
      </c>
    </row>
    <row r="4601" spans="1:18" x14ac:dyDescent="0.25">
      <c r="A4601">
        <v>204600</v>
      </c>
      <c r="B4601">
        <v>51076</v>
      </c>
      <c r="C4601" t="s">
        <v>18</v>
      </c>
      <c r="D4601">
        <v>4015.91</v>
      </c>
      <c r="E4601">
        <v>2771</v>
      </c>
      <c r="F4601">
        <v>1</v>
      </c>
      <c r="G4601">
        <v>3</v>
      </c>
      <c r="H4601">
        <v>1</v>
      </c>
      <c r="I4601" t="s">
        <v>33</v>
      </c>
      <c r="J4601">
        <v>0</v>
      </c>
      <c r="K4601">
        <v>37</v>
      </c>
      <c r="L4601" t="s">
        <v>20</v>
      </c>
      <c r="M4601" t="s">
        <v>21</v>
      </c>
      <c r="N4601" t="s">
        <v>26</v>
      </c>
      <c r="O4601" t="s">
        <v>36</v>
      </c>
      <c r="P4601">
        <v>1.28</v>
      </c>
      <c r="Q4601" s="2" t="b">
        <f>FALSE()</f>
        <v>0</v>
      </c>
      <c r="R4601">
        <v>1</v>
      </c>
    </row>
    <row r="4602" spans="1:18" x14ac:dyDescent="0.25">
      <c r="A4602">
        <v>204601</v>
      </c>
      <c r="B4602">
        <v>50156</v>
      </c>
      <c r="C4602" t="s">
        <v>34</v>
      </c>
      <c r="D4602">
        <v>1398.96</v>
      </c>
      <c r="E4602">
        <v>2813</v>
      </c>
      <c r="F4602">
        <v>1</v>
      </c>
      <c r="G4602">
        <v>4</v>
      </c>
      <c r="H4602">
        <v>0</v>
      </c>
      <c r="I4602" t="s">
        <v>32</v>
      </c>
      <c r="J4602">
        <v>0</v>
      </c>
      <c r="K4602">
        <v>55</v>
      </c>
      <c r="L4602" t="s">
        <v>20</v>
      </c>
      <c r="M4602" t="s">
        <v>21</v>
      </c>
      <c r="N4602" t="s">
        <v>26</v>
      </c>
      <c r="O4602" t="s">
        <v>27</v>
      </c>
      <c r="P4602">
        <v>1.8</v>
      </c>
      <c r="Q4602" s="2" t="b">
        <f>FALSE()</f>
        <v>0</v>
      </c>
      <c r="R4602">
        <v>0</v>
      </c>
    </row>
    <row r="4603" spans="1:18" x14ac:dyDescent="0.25">
      <c r="A4603">
        <v>204602</v>
      </c>
      <c r="B4603">
        <v>54246</v>
      </c>
      <c r="C4603" t="s">
        <v>34</v>
      </c>
      <c r="D4603">
        <v>2345.6799999999998</v>
      </c>
      <c r="E4603">
        <v>865</v>
      </c>
      <c r="F4603">
        <v>2</v>
      </c>
      <c r="G4603">
        <v>3</v>
      </c>
      <c r="H4603">
        <v>1</v>
      </c>
      <c r="I4603" t="s">
        <v>33</v>
      </c>
      <c r="J4603">
        <v>0</v>
      </c>
      <c r="K4603">
        <v>65</v>
      </c>
      <c r="L4603" t="s">
        <v>24</v>
      </c>
      <c r="M4603" t="s">
        <v>35</v>
      </c>
      <c r="N4603" t="s">
        <v>22</v>
      </c>
      <c r="O4603" t="s">
        <v>36</v>
      </c>
      <c r="P4603">
        <v>0.78</v>
      </c>
      <c r="Q4603" s="2" t="b">
        <f>FALSE()</f>
        <v>0</v>
      </c>
      <c r="R4603">
        <v>0</v>
      </c>
    </row>
    <row r="4604" spans="1:18" x14ac:dyDescent="0.25">
      <c r="A4604">
        <v>204603</v>
      </c>
      <c r="B4604">
        <v>55949</v>
      </c>
      <c r="C4604" t="s">
        <v>34</v>
      </c>
      <c r="D4604">
        <v>841.65</v>
      </c>
      <c r="E4604">
        <v>1079</v>
      </c>
      <c r="F4604">
        <v>1</v>
      </c>
      <c r="G4604">
        <v>5</v>
      </c>
      <c r="H4604">
        <v>0</v>
      </c>
      <c r="I4604" t="s">
        <v>19</v>
      </c>
      <c r="J4604">
        <v>0</v>
      </c>
      <c r="K4604">
        <v>41</v>
      </c>
      <c r="L4604" t="s">
        <v>20</v>
      </c>
      <c r="M4604" t="s">
        <v>35</v>
      </c>
      <c r="N4604" t="s">
        <v>30</v>
      </c>
      <c r="O4604" t="s">
        <v>27</v>
      </c>
      <c r="P4604">
        <v>1.46</v>
      </c>
      <c r="Q4604" s="2" t="b">
        <f>FALSE()</f>
        <v>0</v>
      </c>
      <c r="R4604">
        <v>0</v>
      </c>
    </row>
    <row r="4605" spans="1:18" x14ac:dyDescent="0.25">
      <c r="A4605">
        <v>204604</v>
      </c>
      <c r="B4605">
        <v>55700</v>
      </c>
      <c r="C4605" t="s">
        <v>28</v>
      </c>
      <c r="D4605">
        <v>667.5</v>
      </c>
      <c r="E4605">
        <v>3494</v>
      </c>
      <c r="F4605">
        <v>2</v>
      </c>
      <c r="G4605">
        <v>3</v>
      </c>
      <c r="H4605">
        <v>1</v>
      </c>
      <c r="I4605" t="s">
        <v>32</v>
      </c>
      <c r="J4605">
        <v>0</v>
      </c>
      <c r="K4605">
        <v>59</v>
      </c>
      <c r="L4605" t="s">
        <v>20</v>
      </c>
      <c r="M4605" t="s">
        <v>21</v>
      </c>
      <c r="N4605" t="s">
        <v>30</v>
      </c>
      <c r="O4605" t="s">
        <v>23</v>
      </c>
      <c r="P4605">
        <v>1.86</v>
      </c>
      <c r="Q4605" s="2" t="b">
        <f>FALSE()</f>
        <v>0</v>
      </c>
      <c r="R4605">
        <v>0</v>
      </c>
    </row>
    <row r="4606" spans="1:18" x14ac:dyDescent="0.25">
      <c r="A4606">
        <v>204605</v>
      </c>
      <c r="B4606">
        <v>50497</v>
      </c>
      <c r="C4606" t="s">
        <v>18</v>
      </c>
      <c r="D4606">
        <v>2765.87</v>
      </c>
      <c r="E4606">
        <v>1614</v>
      </c>
      <c r="F4606">
        <v>0</v>
      </c>
      <c r="G4606">
        <v>3</v>
      </c>
      <c r="H4606">
        <v>0</v>
      </c>
      <c r="I4606" t="s">
        <v>32</v>
      </c>
      <c r="J4606">
        <v>0</v>
      </c>
      <c r="K4606">
        <v>52</v>
      </c>
      <c r="L4606" t="s">
        <v>24</v>
      </c>
      <c r="M4606" t="s">
        <v>31</v>
      </c>
      <c r="N4606" t="s">
        <v>26</v>
      </c>
      <c r="O4606" t="s">
        <v>27</v>
      </c>
      <c r="P4606">
        <v>2.74</v>
      </c>
      <c r="Q4606" s="2" t="b">
        <f>FALSE()</f>
        <v>0</v>
      </c>
      <c r="R4606">
        <v>0</v>
      </c>
    </row>
    <row r="4607" spans="1:18" x14ac:dyDescent="0.25">
      <c r="A4607">
        <v>204606</v>
      </c>
      <c r="B4607">
        <v>53016</v>
      </c>
      <c r="C4607" t="s">
        <v>34</v>
      </c>
      <c r="D4607">
        <v>3635.12</v>
      </c>
      <c r="E4607">
        <v>3434</v>
      </c>
      <c r="F4607">
        <v>0</v>
      </c>
      <c r="G4607">
        <v>2</v>
      </c>
      <c r="H4607">
        <v>0</v>
      </c>
      <c r="I4607" t="s">
        <v>32</v>
      </c>
      <c r="J4607">
        <v>0</v>
      </c>
      <c r="K4607">
        <v>48</v>
      </c>
      <c r="L4607" t="s">
        <v>20</v>
      </c>
      <c r="M4607" t="s">
        <v>25</v>
      </c>
      <c r="N4607" t="s">
        <v>30</v>
      </c>
      <c r="O4607" t="s">
        <v>27</v>
      </c>
      <c r="P4607">
        <v>0.9</v>
      </c>
      <c r="Q4607" s="2" t="b">
        <f>FALSE()</f>
        <v>0</v>
      </c>
      <c r="R4607">
        <v>1</v>
      </c>
    </row>
    <row r="4608" spans="1:18" x14ac:dyDescent="0.25">
      <c r="A4608">
        <v>204607</v>
      </c>
      <c r="B4608">
        <v>55526</v>
      </c>
      <c r="C4608" t="s">
        <v>34</v>
      </c>
      <c r="D4608">
        <v>706.12</v>
      </c>
      <c r="E4608">
        <v>2546</v>
      </c>
      <c r="F4608">
        <v>1</v>
      </c>
      <c r="G4608">
        <v>3</v>
      </c>
      <c r="H4608">
        <v>0</v>
      </c>
      <c r="I4608" t="s">
        <v>33</v>
      </c>
      <c r="J4608">
        <v>0</v>
      </c>
      <c r="K4608">
        <v>64</v>
      </c>
      <c r="L4608" t="s">
        <v>20</v>
      </c>
      <c r="M4608" t="s">
        <v>31</v>
      </c>
      <c r="N4608" t="s">
        <v>22</v>
      </c>
      <c r="O4608" t="s">
        <v>27</v>
      </c>
      <c r="P4608">
        <v>1.31</v>
      </c>
      <c r="Q4608" s="2" t="b">
        <f>FALSE()</f>
        <v>0</v>
      </c>
      <c r="R4608">
        <v>0</v>
      </c>
    </row>
    <row r="4609" spans="1:18" x14ac:dyDescent="0.25">
      <c r="A4609">
        <v>204608</v>
      </c>
      <c r="B4609">
        <v>51846</v>
      </c>
      <c r="C4609" t="s">
        <v>18</v>
      </c>
      <c r="D4609">
        <v>2527.89</v>
      </c>
      <c r="E4609">
        <v>3230</v>
      </c>
      <c r="F4609">
        <v>0</v>
      </c>
      <c r="G4609">
        <v>1</v>
      </c>
      <c r="H4609">
        <v>0</v>
      </c>
      <c r="I4609" t="s">
        <v>32</v>
      </c>
      <c r="J4609">
        <v>0</v>
      </c>
      <c r="K4609">
        <v>38</v>
      </c>
      <c r="L4609" t="s">
        <v>20</v>
      </c>
      <c r="M4609" t="s">
        <v>21</v>
      </c>
      <c r="N4609" t="s">
        <v>26</v>
      </c>
      <c r="O4609" t="s">
        <v>23</v>
      </c>
      <c r="P4609">
        <v>2.52</v>
      </c>
      <c r="Q4609" s="2" t="b">
        <f>FALSE()</f>
        <v>0</v>
      </c>
      <c r="R4609">
        <v>0</v>
      </c>
    </row>
    <row r="4610" spans="1:18" x14ac:dyDescent="0.25">
      <c r="A4610">
        <v>204609</v>
      </c>
      <c r="B4610">
        <v>53899</v>
      </c>
      <c r="C4610" t="s">
        <v>18</v>
      </c>
      <c r="D4610">
        <v>3967.34</v>
      </c>
      <c r="E4610">
        <v>895</v>
      </c>
      <c r="F4610">
        <v>2</v>
      </c>
      <c r="G4610">
        <v>3</v>
      </c>
      <c r="H4610">
        <v>0</v>
      </c>
      <c r="I4610" t="s">
        <v>32</v>
      </c>
      <c r="J4610">
        <v>0</v>
      </c>
      <c r="K4610">
        <v>57</v>
      </c>
      <c r="L4610" t="s">
        <v>20</v>
      </c>
      <c r="M4610" t="s">
        <v>29</v>
      </c>
      <c r="N4610" t="s">
        <v>30</v>
      </c>
      <c r="O4610" t="s">
        <v>27</v>
      </c>
      <c r="P4610">
        <v>1.24</v>
      </c>
      <c r="Q4610" s="2" t="b">
        <f>FALSE()</f>
        <v>0</v>
      </c>
      <c r="R4610">
        <v>1</v>
      </c>
    </row>
    <row r="4611" spans="1:18" x14ac:dyDescent="0.25">
      <c r="A4611">
        <v>204610</v>
      </c>
      <c r="B4611">
        <v>55302</v>
      </c>
      <c r="C4611" t="s">
        <v>18</v>
      </c>
      <c r="D4611">
        <v>2521.36</v>
      </c>
      <c r="E4611">
        <v>994</v>
      </c>
      <c r="F4611">
        <v>0</v>
      </c>
      <c r="G4611">
        <v>5</v>
      </c>
      <c r="H4611">
        <v>1</v>
      </c>
      <c r="I4611" t="s">
        <v>33</v>
      </c>
      <c r="J4611">
        <v>0</v>
      </c>
      <c r="K4611">
        <v>75</v>
      </c>
      <c r="L4611" t="s">
        <v>20</v>
      </c>
      <c r="M4611" t="s">
        <v>21</v>
      </c>
      <c r="N4611" t="s">
        <v>22</v>
      </c>
      <c r="O4611" t="s">
        <v>27</v>
      </c>
      <c r="P4611">
        <v>0.96</v>
      </c>
      <c r="Q4611" s="2" t="b">
        <f>FALSE()</f>
        <v>0</v>
      </c>
      <c r="R4611">
        <v>0</v>
      </c>
    </row>
    <row r="4612" spans="1:18" x14ac:dyDescent="0.25">
      <c r="A4612">
        <v>204611</v>
      </c>
      <c r="B4612">
        <v>53798</v>
      </c>
      <c r="C4612" t="s">
        <v>28</v>
      </c>
      <c r="D4612">
        <v>2414.2199999999998</v>
      </c>
      <c r="E4612">
        <v>217</v>
      </c>
      <c r="F4612">
        <v>0</v>
      </c>
      <c r="G4612">
        <v>4</v>
      </c>
      <c r="H4612">
        <v>1</v>
      </c>
      <c r="I4612" t="s">
        <v>19</v>
      </c>
      <c r="J4612">
        <v>0</v>
      </c>
      <c r="K4612">
        <v>60</v>
      </c>
      <c r="L4612" t="s">
        <v>24</v>
      </c>
      <c r="M4612" t="s">
        <v>29</v>
      </c>
      <c r="N4612" t="s">
        <v>22</v>
      </c>
      <c r="O4612" t="s">
        <v>36</v>
      </c>
      <c r="P4612">
        <v>8.32</v>
      </c>
      <c r="Q4612" s="2" t="b">
        <f>FALSE()</f>
        <v>0</v>
      </c>
      <c r="R4612">
        <v>0</v>
      </c>
    </row>
    <row r="4613" spans="1:18" x14ac:dyDescent="0.25">
      <c r="A4613">
        <v>204612</v>
      </c>
      <c r="B4613">
        <v>55719</v>
      </c>
      <c r="C4613" t="s">
        <v>34</v>
      </c>
      <c r="D4613">
        <v>2222.04</v>
      </c>
      <c r="E4613">
        <v>3184</v>
      </c>
      <c r="F4613">
        <v>4</v>
      </c>
      <c r="G4613">
        <v>1</v>
      </c>
      <c r="H4613">
        <v>1</v>
      </c>
      <c r="I4613" t="s">
        <v>33</v>
      </c>
      <c r="J4613">
        <v>1</v>
      </c>
      <c r="K4613">
        <v>67</v>
      </c>
      <c r="L4613" t="s">
        <v>24</v>
      </c>
      <c r="M4613" t="s">
        <v>21</v>
      </c>
      <c r="N4613" t="s">
        <v>26</v>
      </c>
      <c r="O4613" t="s">
        <v>36</v>
      </c>
      <c r="P4613">
        <v>3.19</v>
      </c>
      <c r="Q4613" s="2" t="b">
        <f>FALSE()</f>
        <v>0</v>
      </c>
      <c r="R4613">
        <v>1</v>
      </c>
    </row>
    <row r="4614" spans="1:18" x14ac:dyDescent="0.25">
      <c r="A4614">
        <v>204613</v>
      </c>
      <c r="B4614">
        <v>50524</v>
      </c>
      <c r="C4614" t="s">
        <v>18</v>
      </c>
      <c r="D4614">
        <v>2976</v>
      </c>
      <c r="E4614">
        <v>1885</v>
      </c>
      <c r="F4614">
        <v>1</v>
      </c>
      <c r="G4614">
        <v>6</v>
      </c>
      <c r="H4614">
        <v>0</v>
      </c>
      <c r="I4614" t="s">
        <v>33</v>
      </c>
      <c r="J4614">
        <v>0</v>
      </c>
      <c r="K4614">
        <v>58</v>
      </c>
      <c r="L4614" t="s">
        <v>20</v>
      </c>
      <c r="M4614" t="s">
        <v>35</v>
      </c>
      <c r="N4614" t="s">
        <v>26</v>
      </c>
      <c r="O4614" t="s">
        <v>36</v>
      </c>
      <c r="P4614">
        <v>0.81</v>
      </c>
      <c r="Q4614" s="2" t="b">
        <f>FALSE()</f>
        <v>0</v>
      </c>
      <c r="R4614">
        <v>0</v>
      </c>
    </row>
    <row r="4615" spans="1:18" x14ac:dyDescent="0.25">
      <c r="A4615">
        <v>204614</v>
      </c>
      <c r="B4615">
        <v>55922</v>
      </c>
      <c r="C4615" t="s">
        <v>18</v>
      </c>
      <c r="D4615">
        <v>3626.52</v>
      </c>
      <c r="E4615">
        <v>597</v>
      </c>
      <c r="F4615">
        <v>2</v>
      </c>
      <c r="G4615">
        <v>7</v>
      </c>
      <c r="H4615">
        <v>0</v>
      </c>
      <c r="I4615" t="s">
        <v>33</v>
      </c>
      <c r="J4615">
        <v>0</v>
      </c>
      <c r="K4615">
        <v>84</v>
      </c>
      <c r="L4615" t="s">
        <v>24</v>
      </c>
      <c r="M4615" t="s">
        <v>31</v>
      </c>
      <c r="N4615" t="s">
        <v>22</v>
      </c>
      <c r="O4615" t="s">
        <v>36</v>
      </c>
      <c r="P4615">
        <v>2.29</v>
      </c>
      <c r="Q4615" s="2" t="b">
        <f>FALSE()</f>
        <v>0</v>
      </c>
      <c r="R4615">
        <v>1</v>
      </c>
    </row>
    <row r="4616" spans="1:18" x14ac:dyDescent="0.25">
      <c r="A4616">
        <v>204615</v>
      </c>
      <c r="B4616">
        <v>54233</v>
      </c>
      <c r="C4616" t="s">
        <v>28</v>
      </c>
      <c r="D4616">
        <v>625.34</v>
      </c>
      <c r="E4616">
        <v>1369</v>
      </c>
      <c r="F4616">
        <v>3</v>
      </c>
      <c r="G4616">
        <v>1</v>
      </c>
      <c r="H4616">
        <v>0</v>
      </c>
      <c r="I4616" t="s">
        <v>32</v>
      </c>
      <c r="J4616">
        <v>0</v>
      </c>
      <c r="K4616">
        <v>84</v>
      </c>
      <c r="L4616" t="s">
        <v>20</v>
      </c>
      <c r="M4616" t="s">
        <v>25</v>
      </c>
      <c r="N4616" t="s">
        <v>30</v>
      </c>
      <c r="O4616" t="s">
        <v>36</v>
      </c>
      <c r="P4616">
        <v>0.79</v>
      </c>
      <c r="Q4616" s="2" t="b">
        <f>FALSE()</f>
        <v>0</v>
      </c>
      <c r="R4616">
        <v>1</v>
      </c>
    </row>
    <row r="4617" spans="1:18" x14ac:dyDescent="0.25">
      <c r="A4617">
        <v>204616</v>
      </c>
      <c r="B4617">
        <v>50948</v>
      </c>
      <c r="C4617" t="s">
        <v>18</v>
      </c>
      <c r="D4617">
        <v>1325.13</v>
      </c>
      <c r="E4617">
        <v>1191</v>
      </c>
      <c r="F4617">
        <v>2</v>
      </c>
      <c r="G4617">
        <v>3</v>
      </c>
      <c r="H4617">
        <v>0</v>
      </c>
      <c r="I4617" t="s">
        <v>33</v>
      </c>
      <c r="J4617">
        <v>0</v>
      </c>
      <c r="K4617">
        <v>40</v>
      </c>
      <c r="L4617" t="s">
        <v>20</v>
      </c>
      <c r="M4617" t="s">
        <v>37</v>
      </c>
      <c r="N4617" t="s">
        <v>22</v>
      </c>
      <c r="O4617" t="s">
        <v>27</v>
      </c>
      <c r="P4617">
        <v>7.06</v>
      </c>
      <c r="Q4617" s="2" t="b">
        <f>FALSE()</f>
        <v>0</v>
      </c>
      <c r="R4617">
        <v>0</v>
      </c>
    </row>
    <row r="4618" spans="1:18" x14ac:dyDescent="0.25">
      <c r="A4618">
        <v>204617</v>
      </c>
      <c r="B4618">
        <v>55935</v>
      </c>
      <c r="C4618" t="s">
        <v>28</v>
      </c>
      <c r="D4618">
        <v>4133.03</v>
      </c>
      <c r="E4618">
        <v>1352</v>
      </c>
      <c r="F4618">
        <v>0</v>
      </c>
      <c r="G4618">
        <v>0</v>
      </c>
      <c r="H4618">
        <v>0</v>
      </c>
      <c r="I4618" t="s">
        <v>33</v>
      </c>
      <c r="J4618">
        <v>0</v>
      </c>
      <c r="K4618">
        <v>64</v>
      </c>
      <c r="L4618" t="s">
        <v>24</v>
      </c>
      <c r="M4618" t="s">
        <v>21</v>
      </c>
      <c r="N4618" t="s">
        <v>22</v>
      </c>
      <c r="O4618" t="s">
        <v>36</v>
      </c>
      <c r="P4618">
        <v>13.6</v>
      </c>
      <c r="Q4618" s="2" t="b">
        <f>FALSE()</f>
        <v>0</v>
      </c>
      <c r="R4618">
        <v>1</v>
      </c>
    </row>
    <row r="4619" spans="1:18" x14ac:dyDescent="0.25">
      <c r="A4619">
        <v>204618</v>
      </c>
      <c r="B4619">
        <v>53897</v>
      </c>
      <c r="C4619" t="s">
        <v>34</v>
      </c>
      <c r="D4619">
        <v>1436.33</v>
      </c>
      <c r="E4619">
        <v>3566</v>
      </c>
      <c r="F4619">
        <v>3</v>
      </c>
      <c r="G4619">
        <v>2</v>
      </c>
      <c r="H4619">
        <v>0</v>
      </c>
      <c r="I4619" t="s">
        <v>19</v>
      </c>
      <c r="J4619">
        <v>0</v>
      </c>
      <c r="K4619">
        <v>26</v>
      </c>
      <c r="L4619" t="s">
        <v>24</v>
      </c>
      <c r="M4619" t="s">
        <v>37</v>
      </c>
      <c r="N4619" t="s">
        <v>30</v>
      </c>
      <c r="O4619" t="s">
        <v>36</v>
      </c>
      <c r="P4619">
        <v>2.42</v>
      </c>
      <c r="Q4619" s="2" t="b">
        <f>FALSE()</f>
        <v>0</v>
      </c>
      <c r="R4619">
        <v>1</v>
      </c>
    </row>
    <row r="4620" spans="1:18" x14ac:dyDescent="0.25">
      <c r="A4620">
        <v>204619</v>
      </c>
      <c r="B4620">
        <v>51733</v>
      </c>
      <c r="C4620" t="s">
        <v>28</v>
      </c>
      <c r="D4620">
        <v>1995.76</v>
      </c>
      <c r="E4620">
        <v>1581</v>
      </c>
      <c r="F4620">
        <v>0</v>
      </c>
      <c r="G4620">
        <v>2</v>
      </c>
      <c r="H4620">
        <v>1</v>
      </c>
      <c r="I4620" t="s">
        <v>33</v>
      </c>
      <c r="J4620">
        <v>0</v>
      </c>
      <c r="K4620">
        <v>49</v>
      </c>
      <c r="L4620" t="s">
        <v>20</v>
      </c>
      <c r="M4620" t="s">
        <v>37</v>
      </c>
      <c r="N4620" t="s">
        <v>22</v>
      </c>
      <c r="O4620" t="s">
        <v>36</v>
      </c>
      <c r="P4620">
        <v>2</v>
      </c>
      <c r="Q4620" s="2" t="b">
        <f>FALSE()</f>
        <v>0</v>
      </c>
      <c r="R4620">
        <v>0</v>
      </c>
    </row>
    <row r="4621" spans="1:18" x14ac:dyDescent="0.25">
      <c r="A4621">
        <v>204620</v>
      </c>
      <c r="B4621">
        <v>54141</v>
      </c>
      <c r="C4621" t="s">
        <v>34</v>
      </c>
      <c r="D4621">
        <v>1825.89</v>
      </c>
      <c r="E4621">
        <v>2154</v>
      </c>
      <c r="F4621">
        <v>1</v>
      </c>
      <c r="G4621">
        <v>4</v>
      </c>
      <c r="H4621">
        <v>1</v>
      </c>
      <c r="I4621" t="s">
        <v>33</v>
      </c>
      <c r="J4621">
        <v>1</v>
      </c>
      <c r="K4621">
        <v>81</v>
      </c>
      <c r="L4621" t="s">
        <v>24</v>
      </c>
      <c r="M4621" t="s">
        <v>35</v>
      </c>
      <c r="N4621" t="s">
        <v>22</v>
      </c>
      <c r="O4621" t="s">
        <v>23</v>
      </c>
      <c r="P4621">
        <v>0.78</v>
      </c>
      <c r="Q4621" s="2" t="b">
        <f>FALSE()</f>
        <v>0</v>
      </c>
      <c r="R4621">
        <v>0</v>
      </c>
    </row>
    <row r="4622" spans="1:18" x14ac:dyDescent="0.25">
      <c r="A4622">
        <v>204621</v>
      </c>
      <c r="B4622">
        <v>53829</v>
      </c>
      <c r="C4622" t="s">
        <v>34</v>
      </c>
      <c r="D4622">
        <v>3053.54</v>
      </c>
      <c r="E4622">
        <v>1045</v>
      </c>
      <c r="F4622">
        <v>2</v>
      </c>
      <c r="G4622">
        <v>3</v>
      </c>
      <c r="H4622">
        <v>1</v>
      </c>
      <c r="I4622" t="s">
        <v>33</v>
      </c>
      <c r="J4622">
        <v>0</v>
      </c>
      <c r="K4622">
        <v>54</v>
      </c>
      <c r="L4622" t="s">
        <v>20</v>
      </c>
      <c r="M4622" t="s">
        <v>37</v>
      </c>
      <c r="N4622" t="s">
        <v>22</v>
      </c>
      <c r="O4622" t="s">
        <v>27</v>
      </c>
      <c r="P4622">
        <v>0.56000000000000005</v>
      </c>
      <c r="Q4622" s="2" t="b">
        <f>FALSE()</f>
        <v>0</v>
      </c>
      <c r="R4622">
        <v>0</v>
      </c>
    </row>
    <row r="4623" spans="1:18" x14ac:dyDescent="0.25">
      <c r="A4623">
        <v>204622</v>
      </c>
      <c r="B4623">
        <v>54910</v>
      </c>
      <c r="C4623" t="s">
        <v>28</v>
      </c>
      <c r="D4623">
        <v>2686.83</v>
      </c>
      <c r="E4623">
        <v>2360</v>
      </c>
      <c r="F4623">
        <v>1</v>
      </c>
      <c r="G4623">
        <v>2</v>
      </c>
      <c r="H4623">
        <v>0</v>
      </c>
      <c r="I4623" t="s">
        <v>33</v>
      </c>
      <c r="J4623">
        <v>0</v>
      </c>
      <c r="K4623">
        <v>20</v>
      </c>
      <c r="L4623" t="s">
        <v>24</v>
      </c>
      <c r="M4623" t="s">
        <v>29</v>
      </c>
      <c r="N4623" t="s">
        <v>30</v>
      </c>
      <c r="O4623" t="s">
        <v>36</v>
      </c>
      <c r="P4623">
        <v>2</v>
      </c>
      <c r="Q4623" s="2" t="b">
        <f>FALSE()</f>
        <v>0</v>
      </c>
      <c r="R4623">
        <v>0</v>
      </c>
    </row>
    <row r="4624" spans="1:18" x14ac:dyDescent="0.25">
      <c r="A4624">
        <v>204623</v>
      </c>
      <c r="B4624">
        <v>50749</v>
      </c>
      <c r="C4624" t="s">
        <v>18</v>
      </c>
      <c r="D4624">
        <v>3238.24</v>
      </c>
      <c r="E4624">
        <v>301</v>
      </c>
      <c r="F4624">
        <v>0</v>
      </c>
      <c r="G4624">
        <v>4</v>
      </c>
      <c r="H4624">
        <v>1</v>
      </c>
      <c r="I4624" t="s">
        <v>19</v>
      </c>
      <c r="J4624">
        <v>0</v>
      </c>
      <c r="K4624">
        <v>38</v>
      </c>
      <c r="L4624" t="s">
        <v>20</v>
      </c>
      <c r="M4624" t="s">
        <v>31</v>
      </c>
      <c r="N4624" t="s">
        <v>26</v>
      </c>
      <c r="O4624" t="s">
        <v>36</v>
      </c>
      <c r="P4624">
        <v>0.61</v>
      </c>
      <c r="Q4624" s="2" t="b">
        <f>FALSE()</f>
        <v>0</v>
      </c>
      <c r="R4624">
        <v>0</v>
      </c>
    </row>
    <row r="4625" spans="1:18" x14ac:dyDescent="0.25">
      <c r="A4625">
        <v>204624</v>
      </c>
      <c r="B4625">
        <v>53892</v>
      </c>
      <c r="C4625" t="s">
        <v>18</v>
      </c>
      <c r="D4625">
        <v>3243.56</v>
      </c>
      <c r="E4625">
        <v>2805</v>
      </c>
      <c r="F4625">
        <v>1</v>
      </c>
      <c r="G4625">
        <v>5</v>
      </c>
      <c r="H4625">
        <v>0</v>
      </c>
      <c r="I4625" t="s">
        <v>33</v>
      </c>
      <c r="J4625">
        <v>0</v>
      </c>
      <c r="K4625">
        <v>31</v>
      </c>
      <c r="L4625" t="s">
        <v>20</v>
      </c>
      <c r="M4625" t="s">
        <v>31</v>
      </c>
      <c r="N4625" t="s">
        <v>30</v>
      </c>
      <c r="O4625" t="s">
        <v>27</v>
      </c>
      <c r="P4625">
        <v>3.91</v>
      </c>
      <c r="Q4625" s="2" t="b">
        <f>FALSE()</f>
        <v>0</v>
      </c>
      <c r="R4625">
        <v>0</v>
      </c>
    </row>
    <row r="4626" spans="1:18" x14ac:dyDescent="0.25">
      <c r="A4626">
        <v>204625</v>
      </c>
      <c r="B4626">
        <v>54617</v>
      </c>
      <c r="C4626" t="s">
        <v>18</v>
      </c>
      <c r="D4626">
        <v>2055.62</v>
      </c>
      <c r="E4626">
        <v>2510</v>
      </c>
      <c r="F4626">
        <v>0</v>
      </c>
      <c r="G4626">
        <v>4</v>
      </c>
      <c r="H4626">
        <v>1</v>
      </c>
      <c r="I4626" t="s">
        <v>33</v>
      </c>
      <c r="J4626">
        <v>0</v>
      </c>
      <c r="K4626">
        <v>43</v>
      </c>
      <c r="L4626" t="s">
        <v>24</v>
      </c>
      <c r="M4626" t="s">
        <v>31</v>
      </c>
      <c r="N4626" t="s">
        <v>22</v>
      </c>
      <c r="O4626" t="s">
        <v>36</v>
      </c>
      <c r="P4626">
        <v>0.45</v>
      </c>
      <c r="Q4626" s="2" t="b">
        <f>FALSE()</f>
        <v>0</v>
      </c>
      <c r="R4626">
        <v>0</v>
      </c>
    </row>
    <row r="4627" spans="1:18" x14ac:dyDescent="0.25">
      <c r="A4627">
        <v>204626</v>
      </c>
      <c r="B4627">
        <v>53487</v>
      </c>
      <c r="C4627" t="s">
        <v>18</v>
      </c>
      <c r="D4627">
        <v>5128.67</v>
      </c>
      <c r="E4627">
        <v>543</v>
      </c>
      <c r="F4627">
        <v>0</v>
      </c>
      <c r="G4627">
        <v>3</v>
      </c>
      <c r="H4627">
        <v>1</v>
      </c>
      <c r="I4627" t="s">
        <v>33</v>
      </c>
      <c r="J4627">
        <v>0</v>
      </c>
      <c r="K4627">
        <v>21</v>
      </c>
      <c r="L4627" t="s">
        <v>20</v>
      </c>
      <c r="M4627" t="s">
        <v>29</v>
      </c>
      <c r="N4627" t="s">
        <v>26</v>
      </c>
      <c r="O4627" t="s">
        <v>27</v>
      </c>
      <c r="P4627">
        <v>2.2400000000000002</v>
      </c>
      <c r="Q4627" s="2" t="b">
        <f>FALSE()</f>
        <v>0</v>
      </c>
      <c r="R4627">
        <v>1</v>
      </c>
    </row>
    <row r="4628" spans="1:18" x14ac:dyDescent="0.25">
      <c r="A4628">
        <v>204627</v>
      </c>
      <c r="B4628">
        <v>52191</v>
      </c>
      <c r="C4628" t="s">
        <v>34</v>
      </c>
      <c r="D4628">
        <v>1687.61</v>
      </c>
      <c r="E4628">
        <v>2752</v>
      </c>
      <c r="F4628">
        <v>2</v>
      </c>
      <c r="G4628">
        <v>2</v>
      </c>
      <c r="H4628">
        <v>0</v>
      </c>
      <c r="I4628" t="s">
        <v>33</v>
      </c>
      <c r="J4628">
        <v>0</v>
      </c>
      <c r="K4628">
        <v>69</v>
      </c>
      <c r="L4628" t="s">
        <v>20</v>
      </c>
      <c r="M4628" t="s">
        <v>35</v>
      </c>
      <c r="N4628" t="s">
        <v>22</v>
      </c>
      <c r="O4628" t="s">
        <v>27</v>
      </c>
      <c r="P4628">
        <v>4.24</v>
      </c>
      <c r="Q4628" s="2" t="b">
        <f>FALSE()</f>
        <v>0</v>
      </c>
      <c r="R4628">
        <v>0</v>
      </c>
    </row>
    <row r="4629" spans="1:18" x14ac:dyDescent="0.25">
      <c r="A4629">
        <v>204628</v>
      </c>
      <c r="B4629">
        <v>52337</v>
      </c>
      <c r="C4629" t="s">
        <v>18</v>
      </c>
      <c r="D4629">
        <v>4191.4399999999996</v>
      </c>
      <c r="E4629">
        <v>1951</v>
      </c>
      <c r="F4629">
        <v>0</v>
      </c>
      <c r="G4629">
        <v>7</v>
      </c>
      <c r="H4629">
        <v>1</v>
      </c>
      <c r="I4629" t="s">
        <v>19</v>
      </c>
      <c r="J4629">
        <v>1</v>
      </c>
      <c r="K4629">
        <v>25</v>
      </c>
      <c r="L4629" t="s">
        <v>24</v>
      </c>
      <c r="M4629" t="s">
        <v>37</v>
      </c>
      <c r="N4629" t="s">
        <v>26</v>
      </c>
      <c r="O4629" t="s">
        <v>36</v>
      </c>
      <c r="P4629">
        <v>3.84</v>
      </c>
      <c r="Q4629" s="2" t="b">
        <f>FALSE()</f>
        <v>0</v>
      </c>
      <c r="R4629">
        <v>1</v>
      </c>
    </row>
    <row r="4630" spans="1:18" x14ac:dyDescent="0.25">
      <c r="A4630">
        <v>204629</v>
      </c>
      <c r="B4630">
        <v>54296</v>
      </c>
      <c r="C4630" t="s">
        <v>34</v>
      </c>
      <c r="D4630">
        <v>1270.43</v>
      </c>
      <c r="E4630">
        <v>2404</v>
      </c>
      <c r="F4630">
        <v>1</v>
      </c>
      <c r="G4630">
        <v>3</v>
      </c>
      <c r="H4630">
        <v>0</v>
      </c>
      <c r="I4630" t="s">
        <v>19</v>
      </c>
      <c r="J4630">
        <v>0</v>
      </c>
      <c r="K4630">
        <v>82</v>
      </c>
      <c r="L4630" t="s">
        <v>20</v>
      </c>
      <c r="M4630" t="s">
        <v>31</v>
      </c>
      <c r="N4630" t="s">
        <v>30</v>
      </c>
      <c r="O4630" t="s">
        <v>36</v>
      </c>
      <c r="P4630">
        <v>2.59</v>
      </c>
      <c r="Q4630" s="2" t="b">
        <f>FALSE()</f>
        <v>0</v>
      </c>
      <c r="R4630">
        <v>0</v>
      </c>
    </row>
    <row r="4631" spans="1:18" x14ac:dyDescent="0.25">
      <c r="A4631">
        <v>204630</v>
      </c>
      <c r="B4631">
        <v>51958</v>
      </c>
      <c r="C4631" t="s">
        <v>18</v>
      </c>
      <c r="D4631">
        <v>1072.33</v>
      </c>
      <c r="E4631">
        <v>1208</v>
      </c>
      <c r="F4631">
        <v>1</v>
      </c>
      <c r="G4631">
        <v>7</v>
      </c>
      <c r="H4631">
        <v>1</v>
      </c>
      <c r="I4631" t="s">
        <v>33</v>
      </c>
      <c r="J4631">
        <v>0</v>
      </c>
      <c r="K4631">
        <v>83</v>
      </c>
      <c r="L4631" t="s">
        <v>24</v>
      </c>
      <c r="M4631" t="s">
        <v>25</v>
      </c>
      <c r="N4631" t="s">
        <v>22</v>
      </c>
      <c r="O4631" t="s">
        <v>36</v>
      </c>
      <c r="P4631">
        <v>0.56999999999999995</v>
      </c>
      <c r="Q4631" s="2" t="b">
        <f>FALSE()</f>
        <v>0</v>
      </c>
      <c r="R4631">
        <v>1</v>
      </c>
    </row>
    <row r="4632" spans="1:18" x14ac:dyDescent="0.25">
      <c r="A4632">
        <v>204631</v>
      </c>
      <c r="B4632">
        <v>55223</v>
      </c>
      <c r="C4632" t="s">
        <v>28</v>
      </c>
      <c r="D4632">
        <v>1181.75</v>
      </c>
      <c r="E4632">
        <v>2851</v>
      </c>
      <c r="F4632">
        <v>2</v>
      </c>
      <c r="G4632">
        <v>2</v>
      </c>
      <c r="H4632">
        <v>1</v>
      </c>
      <c r="I4632" t="s">
        <v>32</v>
      </c>
      <c r="J4632">
        <v>1</v>
      </c>
      <c r="K4632">
        <v>40</v>
      </c>
      <c r="L4632" t="s">
        <v>24</v>
      </c>
      <c r="M4632" t="s">
        <v>29</v>
      </c>
      <c r="N4632" t="s">
        <v>26</v>
      </c>
      <c r="O4632" t="s">
        <v>36</v>
      </c>
      <c r="P4632">
        <v>4.45</v>
      </c>
      <c r="Q4632" s="2" t="b">
        <f>FALSE()</f>
        <v>0</v>
      </c>
      <c r="R4632">
        <v>0</v>
      </c>
    </row>
    <row r="4633" spans="1:18" x14ac:dyDescent="0.25">
      <c r="A4633">
        <v>204632</v>
      </c>
      <c r="B4633">
        <v>53723</v>
      </c>
      <c r="C4633" t="s">
        <v>18</v>
      </c>
      <c r="D4633">
        <v>1654.14</v>
      </c>
      <c r="E4633">
        <v>3060</v>
      </c>
      <c r="F4633">
        <v>2</v>
      </c>
      <c r="G4633">
        <v>2</v>
      </c>
      <c r="H4633">
        <v>0</v>
      </c>
      <c r="I4633" t="s">
        <v>19</v>
      </c>
      <c r="J4633">
        <v>0</v>
      </c>
      <c r="K4633">
        <v>49</v>
      </c>
      <c r="L4633" t="s">
        <v>24</v>
      </c>
      <c r="M4633" t="s">
        <v>31</v>
      </c>
      <c r="N4633" t="s">
        <v>30</v>
      </c>
      <c r="O4633" t="s">
        <v>36</v>
      </c>
      <c r="P4633">
        <v>7.86</v>
      </c>
      <c r="Q4633" s="2" t="b">
        <f>FALSE()</f>
        <v>0</v>
      </c>
      <c r="R4633">
        <v>0</v>
      </c>
    </row>
    <row r="4634" spans="1:18" x14ac:dyDescent="0.25">
      <c r="A4634">
        <v>204633</v>
      </c>
      <c r="B4634">
        <v>52606</v>
      </c>
      <c r="C4634" t="s">
        <v>18</v>
      </c>
      <c r="D4634">
        <v>1488.94</v>
      </c>
      <c r="E4634">
        <v>3069</v>
      </c>
      <c r="F4634">
        <v>3</v>
      </c>
      <c r="G4634">
        <v>4</v>
      </c>
      <c r="H4634">
        <v>1</v>
      </c>
      <c r="I4634" t="s">
        <v>33</v>
      </c>
      <c r="J4634">
        <v>0</v>
      </c>
      <c r="K4634">
        <v>52</v>
      </c>
      <c r="L4634" t="s">
        <v>20</v>
      </c>
      <c r="M4634" t="s">
        <v>35</v>
      </c>
      <c r="N4634" t="s">
        <v>22</v>
      </c>
      <c r="O4634" t="s">
        <v>27</v>
      </c>
      <c r="P4634">
        <v>3.3</v>
      </c>
      <c r="Q4634" s="2" t="b">
        <f>FALSE()</f>
        <v>0</v>
      </c>
      <c r="R4634">
        <v>1</v>
      </c>
    </row>
    <row r="4635" spans="1:18" x14ac:dyDescent="0.25">
      <c r="A4635">
        <v>204634</v>
      </c>
      <c r="B4635">
        <v>52112</v>
      </c>
      <c r="C4635" t="s">
        <v>18</v>
      </c>
      <c r="D4635">
        <v>3246.63</v>
      </c>
      <c r="E4635">
        <v>3534</v>
      </c>
      <c r="F4635">
        <v>0</v>
      </c>
      <c r="G4635">
        <v>7</v>
      </c>
      <c r="H4635">
        <v>0</v>
      </c>
      <c r="I4635" t="s">
        <v>19</v>
      </c>
      <c r="J4635">
        <v>1</v>
      </c>
      <c r="K4635">
        <v>76</v>
      </c>
      <c r="L4635" t="s">
        <v>20</v>
      </c>
      <c r="M4635" t="s">
        <v>21</v>
      </c>
      <c r="N4635" t="s">
        <v>30</v>
      </c>
      <c r="O4635" t="s">
        <v>36</v>
      </c>
      <c r="P4635">
        <v>1.95</v>
      </c>
      <c r="Q4635" s="2" t="b">
        <f>FALSE()</f>
        <v>0</v>
      </c>
      <c r="R4635">
        <v>1</v>
      </c>
    </row>
    <row r="4636" spans="1:18" x14ac:dyDescent="0.25">
      <c r="A4636">
        <v>204635</v>
      </c>
      <c r="B4636">
        <v>50478</v>
      </c>
      <c r="C4636" t="s">
        <v>34</v>
      </c>
      <c r="D4636">
        <v>2391.09</v>
      </c>
      <c r="E4636">
        <v>142</v>
      </c>
      <c r="F4636">
        <v>1</v>
      </c>
      <c r="G4636">
        <v>2</v>
      </c>
      <c r="H4636">
        <v>1</v>
      </c>
      <c r="I4636" t="s">
        <v>33</v>
      </c>
      <c r="J4636">
        <v>0</v>
      </c>
      <c r="K4636">
        <v>41</v>
      </c>
      <c r="L4636" t="s">
        <v>20</v>
      </c>
      <c r="M4636" t="s">
        <v>31</v>
      </c>
      <c r="N4636" t="s">
        <v>22</v>
      </c>
      <c r="O4636" t="s">
        <v>27</v>
      </c>
      <c r="P4636">
        <v>3.29</v>
      </c>
      <c r="Q4636" s="2" t="b">
        <f>FALSE()</f>
        <v>0</v>
      </c>
      <c r="R4636">
        <v>0</v>
      </c>
    </row>
    <row r="4637" spans="1:18" x14ac:dyDescent="0.25">
      <c r="A4637">
        <v>204636</v>
      </c>
      <c r="B4637">
        <v>54476</v>
      </c>
      <c r="C4637" t="s">
        <v>18</v>
      </c>
      <c r="D4637">
        <v>2407.83</v>
      </c>
      <c r="E4637">
        <v>695</v>
      </c>
      <c r="F4637">
        <v>0</v>
      </c>
      <c r="G4637">
        <v>2</v>
      </c>
      <c r="H4637">
        <v>0</v>
      </c>
      <c r="I4637" t="s">
        <v>33</v>
      </c>
      <c r="J4637">
        <v>0</v>
      </c>
      <c r="K4637">
        <v>51</v>
      </c>
      <c r="L4637" t="s">
        <v>20</v>
      </c>
      <c r="M4637" t="s">
        <v>21</v>
      </c>
      <c r="N4637" t="s">
        <v>30</v>
      </c>
      <c r="O4637" t="s">
        <v>27</v>
      </c>
      <c r="P4637">
        <v>7.08</v>
      </c>
      <c r="Q4637" s="2" t="b">
        <f>FALSE()</f>
        <v>0</v>
      </c>
      <c r="R4637">
        <v>0</v>
      </c>
    </row>
    <row r="4638" spans="1:18" x14ac:dyDescent="0.25">
      <c r="A4638">
        <v>204637</v>
      </c>
      <c r="B4638">
        <v>55016</v>
      </c>
      <c r="C4638" t="s">
        <v>18</v>
      </c>
      <c r="D4638">
        <v>4064.66</v>
      </c>
      <c r="E4638">
        <v>2980</v>
      </c>
      <c r="F4638">
        <v>2</v>
      </c>
      <c r="G4638">
        <v>2</v>
      </c>
      <c r="H4638">
        <v>0</v>
      </c>
      <c r="I4638" t="s">
        <v>33</v>
      </c>
      <c r="J4638">
        <v>0</v>
      </c>
      <c r="K4638">
        <v>54</v>
      </c>
      <c r="L4638" t="s">
        <v>24</v>
      </c>
      <c r="M4638" t="s">
        <v>35</v>
      </c>
      <c r="N4638" t="s">
        <v>22</v>
      </c>
      <c r="O4638" t="s">
        <v>27</v>
      </c>
      <c r="P4638">
        <v>8.07</v>
      </c>
      <c r="Q4638" s="2" t="b">
        <f>FALSE()</f>
        <v>0</v>
      </c>
      <c r="R4638">
        <v>1</v>
      </c>
    </row>
    <row r="4639" spans="1:18" x14ac:dyDescent="0.25">
      <c r="A4639">
        <v>204638</v>
      </c>
      <c r="B4639">
        <v>53600</v>
      </c>
      <c r="C4639" t="s">
        <v>18</v>
      </c>
      <c r="D4639">
        <v>1234.07</v>
      </c>
      <c r="E4639">
        <v>3527</v>
      </c>
      <c r="F4639">
        <v>1</v>
      </c>
      <c r="G4639">
        <v>5</v>
      </c>
      <c r="H4639">
        <v>0</v>
      </c>
      <c r="I4639" t="s">
        <v>19</v>
      </c>
      <c r="J4639">
        <v>0</v>
      </c>
      <c r="K4639">
        <v>64</v>
      </c>
      <c r="L4639" t="s">
        <v>20</v>
      </c>
      <c r="M4639" t="s">
        <v>25</v>
      </c>
      <c r="N4639" t="s">
        <v>26</v>
      </c>
      <c r="O4639" t="s">
        <v>27</v>
      </c>
      <c r="P4639">
        <v>1.31</v>
      </c>
      <c r="Q4639" s="2" t="b">
        <f>FALSE()</f>
        <v>0</v>
      </c>
      <c r="R4639">
        <v>0</v>
      </c>
    </row>
    <row r="4640" spans="1:18" x14ac:dyDescent="0.25">
      <c r="A4640">
        <v>204639</v>
      </c>
      <c r="B4640">
        <v>53931</v>
      </c>
      <c r="C4640" t="s">
        <v>34</v>
      </c>
      <c r="D4640">
        <v>1786.25</v>
      </c>
      <c r="E4640">
        <v>447</v>
      </c>
      <c r="F4640">
        <v>0</v>
      </c>
      <c r="G4640">
        <v>3</v>
      </c>
      <c r="H4640">
        <v>0</v>
      </c>
      <c r="I4640" t="s">
        <v>32</v>
      </c>
      <c r="J4640">
        <v>0</v>
      </c>
      <c r="K4640">
        <v>46</v>
      </c>
      <c r="L4640" t="s">
        <v>24</v>
      </c>
      <c r="M4640" t="s">
        <v>21</v>
      </c>
      <c r="N4640" t="s">
        <v>26</v>
      </c>
      <c r="O4640" t="s">
        <v>27</v>
      </c>
      <c r="P4640">
        <v>4.47</v>
      </c>
      <c r="Q4640" s="2" t="b">
        <f>FALSE()</f>
        <v>0</v>
      </c>
      <c r="R4640">
        <v>0</v>
      </c>
    </row>
    <row r="4641" spans="1:18" x14ac:dyDescent="0.25">
      <c r="A4641">
        <v>204640</v>
      </c>
      <c r="B4641">
        <v>51189</v>
      </c>
      <c r="C4641" t="s">
        <v>34</v>
      </c>
      <c r="D4641">
        <v>2011.39</v>
      </c>
      <c r="E4641">
        <v>2303</v>
      </c>
      <c r="F4641">
        <v>0</v>
      </c>
      <c r="G4641">
        <v>4</v>
      </c>
      <c r="H4641">
        <v>1</v>
      </c>
      <c r="I4641" t="s">
        <v>33</v>
      </c>
      <c r="J4641">
        <v>0</v>
      </c>
      <c r="K4641">
        <v>19</v>
      </c>
      <c r="L4641" t="s">
        <v>20</v>
      </c>
      <c r="M4641" t="s">
        <v>21</v>
      </c>
      <c r="N4641" t="s">
        <v>30</v>
      </c>
      <c r="O4641" t="s">
        <v>27</v>
      </c>
      <c r="P4641">
        <v>0.6</v>
      </c>
      <c r="Q4641" s="2" t="b">
        <f>FALSE()</f>
        <v>0</v>
      </c>
      <c r="R4641">
        <v>0</v>
      </c>
    </row>
    <row r="4642" spans="1:18" x14ac:dyDescent="0.25">
      <c r="A4642">
        <v>204641</v>
      </c>
      <c r="B4642">
        <v>53981</v>
      </c>
      <c r="C4642" t="s">
        <v>18</v>
      </c>
      <c r="D4642">
        <v>2176.37</v>
      </c>
      <c r="E4642">
        <v>389</v>
      </c>
      <c r="F4642">
        <v>2</v>
      </c>
      <c r="G4642">
        <v>1</v>
      </c>
      <c r="H4642">
        <v>0</v>
      </c>
      <c r="I4642" t="s">
        <v>33</v>
      </c>
      <c r="J4642">
        <v>0</v>
      </c>
      <c r="K4642">
        <v>53</v>
      </c>
      <c r="L4642" t="s">
        <v>24</v>
      </c>
      <c r="M4642" t="s">
        <v>37</v>
      </c>
      <c r="N4642" t="s">
        <v>22</v>
      </c>
      <c r="O4642" t="s">
        <v>36</v>
      </c>
      <c r="P4642">
        <v>1.54</v>
      </c>
      <c r="Q4642" s="2" t="b">
        <f>FALSE()</f>
        <v>0</v>
      </c>
      <c r="R4642">
        <v>0</v>
      </c>
    </row>
    <row r="4643" spans="1:18" x14ac:dyDescent="0.25">
      <c r="A4643">
        <v>204642</v>
      </c>
      <c r="B4643">
        <v>50884</v>
      </c>
      <c r="C4643" t="s">
        <v>28</v>
      </c>
      <c r="D4643">
        <v>1514.27</v>
      </c>
      <c r="E4643">
        <v>2727</v>
      </c>
      <c r="F4643">
        <v>0</v>
      </c>
      <c r="G4643">
        <v>4</v>
      </c>
      <c r="H4643">
        <v>0</v>
      </c>
      <c r="I4643" t="s">
        <v>33</v>
      </c>
      <c r="J4643">
        <v>0</v>
      </c>
      <c r="K4643">
        <v>77</v>
      </c>
      <c r="L4643" t="s">
        <v>24</v>
      </c>
      <c r="M4643" t="s">
        <v>25</v>
      </c>
      <c r="N4643" t="s">
        <v>26</v>
      </c>
      <c r="O4643" t="s">
        <v>23</v>
      </c>
      <c r="P4643">
        <v>2.31</v>
      </c>
      <c r="Q4643" s="2" t="b">
        <f>FALSE()</f>
        <v>0</v>
      </c>
      <c r="R4643">
        <v>0</v>
      </c>
    </row>
    <row r="4644" spans="1:18" x14ac:dyDescent="0.25">
      <c r="A4644">
        <v>204643</v>
      </c>
      <c r="B4644">
        <v>53450</v>
      </c>
      <c r="C4644" t="s">
        <v>34</v>
      </c>
      <c r="D4644">
        <v>1855.15</v>
      </c>
      <c r="E4644">
        <v>319</v>
      </c>
      <c r="F4644">
        <v>1</v>
      </c>
      <c r="G4644">
        <v>1</v>
      </c>
      <c r="H4644">
        <v>1</v>
      </c>
      <c r="I4644" t="s">
        <v>33</v>
      </c>
      <c r="J4644">
        <v>0</v>
      </c>
      <c r="K4644">
        <v>46</v>
      </c>
      <c r="L4644" t="s">
        <v>20</v>
      </c>
      <c r="M4644" t="s">
        <v>35</v>
      </c>
      <c r="N4644" t="s">
        <v>30</v>
      </c>
      <c r="O4644" t="s">
        <v>36</v>
      </c>
      <c r="P4644">
        <v>9.2100000000000009</v>
      </c>
      <c r="Q4644" s="2" t="b">
        <f>FALSE()</f>
        <v>0</v>
      </c>
      <c r="R4644">
        <v>0</v>
      </c>
    </row>
    <row r="4645" spans="1:18" x14ac:dyDescent="0.25">
      <c r="A4645">
        <v>204644</v>
      </c>
      <c r="B4645">
        <v>53129</v>
      </c>
      <c r="C4645" t="s">
        <v>18</v>
      </c>
      <c r="D4645">
        <v>819.45</v>
      </c>
      <c r="E4645">
        <v>2441</v>
      </c>
      <c r="F4645">
        <v>2</v>
      </c>
      <c r="G4645">
        <v>8</v>
      </c>
      <c r="H4645">
        <v>0</v>
      </c>
      <c r="I4645" t="s">
        <v>33</v>
      </c>
      <c r="J4645">
        <v>0</v>
      </c>
      <c r="K4645">
        <v>35</v>
      </c>
      <c r="L4645" t="s">
        <v>20</v>
      </c>
      <c r="M4645" t="s">
        <v>21</v>
      </c>
      <c r="N4645" t="s">
        <v>30</v>
      </c>
      <c r="O4645" t="s">
        <v>23</v>
      </c>
      <c r="P4645">
        <v>0.35</v>
      </c>
      <c r="Q4645" s="2" t="b">
        <f>FALSE()</f>
        <v>0</v>
      </c>
      <c r="R4645">
        <v>1</v>
      </c>
    </row>
    <row r="4646" spans="1:18" x14ac:dyDescent="0.25">
      <c r="A4646">
        <v>204645</v>
      </c>
      <c r="B4646">
        <v>54276</v>
      </c>
      <c r="C4646" t="s">
        <v>18</v>
      </c>
      <c r="D4646">
        <v>795.09</v>
      </c>
      <c r="E4646">
        <v>2565</v>
      </c>
      <c r="F4646">
        <v>2</v>
      </c>
      <c r="G4646">
        <v>8</v>
      </c>
      <c r="H4646">
        <v>1</v>
      </c>
      <c r="I4646" t="s">
        <v>32</v>
      </c>
      <c r="J4646">
        <v>0</v>
      </c>
      <c r="K4646">
        <v>75</v>
      </c>
      <c r="L4646" t="s">
        <v>20</v>
      </c>
      <c r="M4646" t="s">
        <v>35</v>
      </c>
      <c r="N4646" t="s">
        <v>22</v>
      </c>
      <c r="O4646" t="s">
        <v>36</v>
      </c>
      <c r="P4646">
        <v>3.59</v>
      </c>
      <c r="Q4646" s="2" t="b">
        <f>FALSE()</f>
        <v>0</v>
      </c>
      <c r="R4646">
        <v>1</v>
      </c>
    </row>
    <row r="4647" spans="1:18" x14ac:dyDescent="0.25">
      <c r="A4647">
        <v>204646</v>
      </c>
      <c r="B4647">
        <v>54053</v>
      </c>
      <c r="C4647" t="s">
        <v>34</v>
      </c>
      <c r="D4647">
        <v>3672.91</v>
      </c>
      <c r="E4647">
        <v>1460</v>
      </c>
      <c r="F4647">
        <v>0</v>
      </c>
      <c r="G4647">
        <v>3</v>
      </c>
      <c r="H4647">
        <v>0</v>
      </c>
      <c r="I4647" t="s">
        <v>19</v>
      </c>
      <c r="J4647">
        <v>0</v>
      </c>
      <c r="K4647">
        <v>73</v>
      </c>
      <c r="L4647" t="s">
        <v>20</v>
      </c>
      <c r="M4647" t="s">
        <v>21</v>
      </c>
      <c r="N4647" t="s">
        <v>22</v>
      </c>
      <c r="O4647" t="s">
        <v>27</v>
      </c>
      <c r="P4647">
        <v>4.29</v>
      </c>
      <c r="Q4647" s="2" t="b">
        <f>FALSE()</f>
        <v>0</v>
      </c>
      <c r="R4647">
        <v>1</v>
      </c>
    </row>
    <row r="4648" spans="1:18" x14ac:dyDescent="0.25">
      <c r="A4648">
        <v>204647</v>
      </c>
      <c r="B4648">
        <v>50750</v>
      </c>
      <c r="C4648" t="s">
        <v>34</v>
      </c>
      <c r="D4648">
        <v>4532.5200000000004</v>
      </c>
      <c r="E4648">
        <v>2967</v>
      </c>
      <c r="F4648">
        <v>0</v>
      </c>
      <c r="G4648">
        <v>4</v>
      </c>
      <c r="H4648">
        <v>0</v>
      </c>
      <c r="I4648" t="s">
        <v>19</v>
      </c>
      <c r="J4648">
        <v>0</v>
      </c>
      <c r="K4648">
        <v>45</v>
      </c>
      <c r="L4648" t="s">
        <v>24</v>
      </c>
      <c r="M4648" t="s">
        <v>37</v>
      </c>
      <c r="N4648" t="s">
        <v>26</v>
      </c>
      <c r="O4648" t="s">
        <v>27</v>
      </c>
      <c r="P4648">
        <v>2.5299999999999998</v>
      </c>
      <c r="Q4648" s="2" t="b">
        <f>FALSE()</f>
        <v>0</v>
      </c>
      <c r="R4648">
        <v>1</v>
      </c>
    </row>
    <row r="4649" spans="1:18" x14ac:dyDescent="0.25">
      <c r="A4649">
        <v>204648</v>
      </c>
      <c r="B4649">
        <v>51077</v>
      </c>
      <c r="C4649" t="s">
        <v>34</v>
      </c>
      <c r="D4649">
        <v>4626.1400000000003</v>
      </c>
      <c r="E4649">
        <v>1257</v>
      </c>
      <c r="F4649">
        <v>1</v>
      </c>
      <c r="G4649">
        <v>2</v>
      </c>
      <c r="H4649">
        <v>0</v>
      </c>
      <c r="I4649" t="s">
        <v>32</v>
      </c>
      <c r="J4649">
        <v>0</v>
      </c>
      <c r="K4649">
        <v>39</v>
      </c>
      <c r="L4649" t="s">
        <v>20</v>
      </c>
      <c r="M4649" t="s">
        <v>21</v>
      </c>
      <c r="N4649" t="s">
        <v>22</v>
      </c>
      <c r="O4649" t="s">
        <v>27</v>
      </c>
      <c r="P4649">
        <v>1.21</v>
      </c>
      <c r="Q4649" s="2" t="b">
        <f>FALSE()</f>
        <v>0</v>
      </c>
      <c r="R4649">
        <v>1</v>
      </c>
    </row>
    <row r="4650" spans="1:18" x14ac:dyDescent="0.25">
      <c r="A4650">
        <v>204649</v>
      </c>
      <c r="B4650">
        <v>54759</v>
      </c>
      <c r="C4650" t="s">
        <v>34</v>
      </c>
      <c r="D4650">
        <v>2357.4</v>
      </c>
      <c r="E4650">
        <v>2954</v>
      </c>
      <c r="F4650">
        <v>0</v>
      </c>
      <c r="G4650">
        <v>8</v>
      </c>
      <c r="H4650">
        <v>0</v>
      </c>
      <c r="I4650" t="s">
        <v>19</v>
      </c>
      <c r="J4650">
        <v>0</v>
      </c>
      <c r="K4650">
        <v>78</v>
      </c>
      <c r="L4650" t="s">
        <v>24</v>
      </c>
      <c r="M4650" t="s">
        <v>37</v>
      </c>
      <c r="N4650" t="s">
        <v>30</v>
      </c>
      <c r="O4650" t="s">
        <v>23</v>
      </c>
      <c r="P4650">
        <v>3.16</v>
      </c>
      <c r="Q4650" s="2" t="b">
        <f>FALSE()</f>
        <v>0</v>
      </c>
      <c r="R4650">
        <v>1</v>
      </c>
    </row>
    <row r="4651" spans="1:18" x14ac:dyDescent="0.25">
      <c r="A4651">
        <v>204650</v>
      </c>
      <c r="B4651">
        <v>55704</v>
      </c>
      <c r="C4651" t="s">
        <v>34</v>
      </c>
      <c r="D4651">
        <v>2884.53</v>
      </c>
      <c r="E4651">
        <v>1830</v>
      </c>
      <c r="F4651">
        <v>1</v>
      </c>
      <c r="G4651">
        <v>4</v>
      </c>
      <c r="H4651">
        <v>0</v>
      </c>
      <c r="I4651" t="s">
        <v>33</v>
      </c>
      <c r="J4651">
        <v>0</v>
      </c>
      <c r="K4651">
        <v>43</v>
      </c>
      <c r="L4651" t="s">
        <v>24</v>
      </c>
      <c r="M4651" t="s">
        <v>25</v>
      </c>
      <c r="N4651" t="s">
        <v>26</v>
      </c>
      <c r="O4651" t="s">
        <v>23</v>
      </c>
      <c r="P4651">
        <v>0.62</v>
      </c>
      <c r="Q4651" s="2" t="b">
        <f>FALSE()</f>
        <v>0</v>
      </c>
      <c r="R4651">
        <v>0</v>
      </c>
    </row>
    <row r="4652" spans="1:18" x14ac:dyDescent="0.25">
      <c r="A4652">
        <v>204651</v>
      </c>
      <c r="B4652">
        <v>52225</v>
      </c>
      <c r="C4652" t="s">
        <v>18</v>
      </c>
      <c r="D4652">
        <v>1470.26</v>
      </c>
      <c r="E4652">
        <v>948</v>
      </c>
      <c r="F4652">
        <v>1</v>
      </c>
      <c r="G4652">
        <v>5</v>
      </c>
      <c r="H4652">
        <v>1</v>
      </c>
      <c r="I4652" t="s">
        <v>19</v>
      </c>
      <c r="J4652">
        <v>0</v>
      </c>
      <c r="K4652">
        <v>72</v>
      </c>
      <c r="L4652" t="s">
        <v>24</v>
      </c>
      <c r="M4652" t="s">
        <v>37</v>
      </c>
      <c r="N4652" t="s">
        <v>22</v>
      </c>
      <c r="O4652" t="s">
        <v>23</v>
      </c>
      <c r="P4652">
        <v>2.25</v>
      </c>
      <c r="Q4652" s="2" t="b">
        <f>FALSE()</f>
        <v>0</v>
      </c>
      <c r="R4652">
        <v>0</v>
      </c>
    </row>
    <row r="4653" spans="1:18" x14ac:dyDescent="0.25">
      <c r="A4653">
        <v>204652</v>
      </c>
      <c r="B4653">
        <v>51256</v>
      </c>
      <c r="C4653" t="s">
        <v>34</v>
      </c>
      <c r="D4653">
        <v>2803.13</v>
      </c>
      <c r="E4653">
        <v>2306</v>
      </c>
      <c r="F4653">
        <v>3</v>
      </c>
      <c r="G4653">
        <v>5</v>
      </c>
      <c r="H4653">
        <v>1</v>
      </c>
      <c r="I4653" t="s">
        <v>32</v>
      </c>
      <c r="J4653">
        <v>0</v>
      </c>
      <c r="K4653">
        <v>19</v>
      </c>
      <c r="L4653" t="s">
        <v>24</v>
      </c>
      <c r="M4653" t="s">
        <v>37</v>
      </c>
      <c r="N4653" t="s">
        <v>30</v>
      </c>
      <c r="O4653" t="s">
        <v>27</v>
      </c>
      <c r="P4653">
        <v>6.85</v>
      </c>
      <c r="Q4653" s="2" t="b">
        <f>FALSE()</f>
        <v>0</v>
      </c>
      <c r="R4653">
        <v>1</v>
      </c>
    </row>
    <row r="4654" spans="1:18" x14ac:dyDescent="0.25">
      <c r="A4654">
        <v>204653</v>
      </c>
      <c r="B4654">
        <v>55626</v>
      </c>
      <c r="C4654" t="s">
        <v>18</v>
      </c>
      <c r="D4654">
        <v>8275.0400000000009</v>
      </c>
      <c r="E4654">
        <v>2498</v>
      </c>
      <c r="F4654">
        <v>1</v>
      </c>
      <c r="G4654">
        <v>1</v>
      </c>
      <c r="H4654">
        <v>0</v>
      </c>
      <c r="I4654" t="s">
        <v>33</v>
      </c>
      <c r="J4654">
        <v>0</v>
      </c>
      <c r="K4654">
        <v>46</v>
      </c>
      <c r="L4654" t="s">
        <v>24</v>
      </c>
      <c r="M4654" t="s">
        <v>25</v>
      </c>
      <c r="N4654" t="s">
        <v>26</v>
      </c>
      <c r="O4654" t="s">
        <v>27</v>
      </c>
      <c r="P4654">
        <v>0.39</v>
      </c>
      <c r="Q4654" s="2" t="b">
        <f>TRUE()</f>
        <v>1</v>
      </c>
      <c r="R4654">
        <v>1</v>
      </c>
    </row>
    <row r="4655" spans="1:18" x14ac:dyDescent="0.25">
      <c r="A4655">
        <v>204654</v>
      </c>
      <c r="B4655">
        <v>53518</v>
      </c>
      <c r="C4655" t="s">
        <v>18</v>
      </c>
      <c r="D4655">
        <v>1516.83</v>
      </c>
      <c r="E4655">
        <v>373</v>
      </c>
      <c r="F4655">
        <v>0</v>
      </c>
      <c r="G4655">
        <v>2</v>
      </c>
      <c r="H4655">
        <v>0</v>
      </c>
      <c r="I4655" t="s">
        <v>19</v>
      </c>
      <c r="J4655">
        <v>1</v>
      </c>
      <c r="K4655">
        <v>32</v>
      </c>
      <c r="L4655" t="s">
        <v>24</v>
      </c>
      <c r="M4655" t="s">
        <v>29</v>
      </c>
      <c r="N4655" t="s">
        <v>22</v>
      </c>
      <c r="O4655" t="s">
        <v>36</v>
      </c>
      <c r="P4655">
        <v>4.51</v>
      </c>
      <c r="Q4655" s="2" t="b">
        <f>FALSE()</f>
        <v>0</v>
      </c>
      <c r="R4655">
        <v>0</v>
      </c>
    </row>
    <row r="4656" spans="1:18" x14ac:dyDescent="0.25">
      <c r="A4656">
        <v>204655</v>
      </c>
      <c r="B4656">
        <v>54951</v>
      </c>
      <c r="C4656" t="s">
        <v>28</v>
      </c>
      <c r="D4656">
        <v>2000.74</v>
      </c>
      <c r="E4656">
        <v>2597</v>
      </c>
      <c r="F4656">
        <v>1</v>
      </c>
      <c r="G4656">
        <v>3</v>
      </c>
      <c r="H4656">
        <v>1</v>
      </c>
      <c r="I4656" t="s">
        <v>19</v>
      </c>
      <c r="J4656">
        <v>0</v>
      </c>
      <c r="K4656">
        <v>23</v>
      </c>
      <c r="L4656" t="s">
        <v>24</v>
      </c>
      <c r="M4656" t="s">
        <v>25</v>
      </c>
      <c r="N4656" t="s">
        <v>22</v>
      </c>
      <c r="O4656" t="s">
        <v>36</v>
      </c>
      <c r="P4656">
        <v>3.07</v>
      </c>
      <c r="Q4656" s="2" t="b">
        <f>FALSE()</f>
        <v>0</v>
      </c>
      <c r="R4656">
        <v>0</v>
      </c>
    </row>
    <row r="4657" spans="1:18" x14ac:dyDescent="0.25">
      <c r="A4657">
        <v>204656</v>
      </c>
      <c r="B4657">
        <v>52198</v>
      </c>
      <c r="C4657" t="s">
        <v>18</v>
      </c>
      <c r="D4657">
        <v>5972.48</v>
      </c>
      <c r="E4657">
        <v>84</v>
      </c>
      <c r="F4657">
        <v>2</v>
      </c>
      <c r="G4657">
        <v>1</v>
      </c>
      <c r="H4657">
        <v>0</v>
      </c>
      <c r="I4657" t="s">
        <v>19</v>
      </c>
      <c r="J4657">
        <v>0</v>
      </c>
      <c r="K4657">
        <v>33</v>
      </c>
      <c r="L4657" t="s">
        <v>24</v>
      </c>
      <c r="M4657" t="s">
        <v>21</v>
      </c>
      <c r="N4657" t="s">
        <v>22</v>
      </c>
      <c r="O4657" t="s">
        <v>27</v>
      </c>
      <c r="P4657">
        <v>0.25</v>
      </c>
      <c r="Q4657" s="2" t="b">
        <f>FALSE()</f>
        <v>0</v>
      </c>
      <c r="R4657">
        <v>1</v>
      </c>
    </row>
    <row r="4658" spans="1:18" x14ac:dyDescent="0.25">
      <c r="A4658">
        <v>204657</v>
      </c>
      <c r="B4658">
        <v>51659</v>
      </c>
      <c r="C4658" t="s">
        <v>34</v>
      </c>
      <c r="D4658">
        <v>2439.8200000000002</v>
      </c>
      <c r="E4658">
        <v>1648</v>
      </c>
      <c r="F4658">
        <v>1</v>
      </c>
      <c r="G4658">
        <v>5</v>
      </c>
      <c r="H4658">
        <v>0</v>
      </c>
      <c r="I4658" t="s">
        <v>19</v>
      </c>
      <c r="J4658">
        <v>0</v>
      </c>
      <c r="K4658">
        <v>69</v>
      </c>
      <c r="L4658" t="s">
        <v>20</v>
      </c>
      <c r="M4658" t="s">
        <v>25</v>
      </c>
      <c r="N4658" t="s">
        <v>22</v>
      </c>
      <c r="O4658" t="s">
        <v>27</v>
      </c>
      <c r="P4658">
        <v>0.94</v>
      </c>
      <c r="Q4658" s="2" t="b">
        <f>FALSE()</f>
        <v>0</v>
      </c>
      <c r="R4658">
        <v>0</v>
      </c>
    </row>
    <row r="4659" spans="1:18" x14ac:dyDescent="0.25">
      <c r="A4659">
        <v>204658</v>
      </c>
      <c r="B4659">
        <v>50998</v>
      </c>
      <c r="C4659" t="s">
        <v>34</v>
      </c>
      <c r="D4659">
        <v>977.62</v>
      </c>
      <c r="E4659">
        <v>3189</v>
      </c>
      <c r="F4659">
        <v>1</v>
      </c>
      <c r="G4659">
        <v>1</v>
      </c>
      <c r="H4659">
        <v>0</v>
      </c>
      <c r="I4659" t="s">
        <v>19</v>
      </c>
      <c r="J4659">
        <v>1</v>
      </c>
      <c r="K4659">
        <v>83</v>
      </c>
      <c r="L4659" t="s">
        <v>20</v>
      </c>
      <c r="M4659" t="s">
        <v>37</v>
      </c>
      <c r="N4659" t="s">
        <v>30</v>
      </c>
      <c r="O4659" t="s">
        <v>27</v>
      </c>
      <c r="P4659">
        <v>8.98</v>
      </c>
      <c r="Q4659" s="2" t="b">
        <f>FALSE()</f>
        <v>0</v>
      </c>
      <c r="R4659">
        <v>0</v>
      </c>
    </row>
    <row r="4660" spans="1:18" x14ac:dyDescent="0.25">
      <c r="A4660">
        <v>204659</v>
      </c>
      <c r="B4660">
        <v>50792</v>
      </c>
      <c r="C4660" t="s">
        <v>18</v>
      </c>
      <c r="D4660">
        <v>1730.76</v>
      </c>
      <c r="E4660">
        <v>415</v>
      </c>
      <c r="F4660">
        <v>1</v>
      </c>
      <c r="G4660">
        <v>6</v>
      </c>
      <c r="H4660">
        <v>1</v>
      </c>
      <c r="I4660" t="s">
        <v>33</v>
      </c>
      <c r="J4660">
        <v>0</v>
      </c>
      <c r="K4660">
        <v>32</v>
      </c>
      <c r="L4660" t="s">
        <v>24</v>
      </c>
      <c r="M4660" t="s">
        <v>35</v>
      </c>
      <c r="N4660" t="s">
        <v>22</v>
      </c>
      <c r="O4660" t="s">
        <v>27</v>
      </c>
      <c r="P4660">
        <v>0.84</v>
      </c>
      <c r="Q4660" s="2" t="b">
        <f>FALSE()</f>
        <v>0</v>
      </c>
      <c r="R4660">
        <v>0</v>
      </c>
    </row>
    <row r="4661" spans="1:18" x14ac:dyDescent="0.25">
      <c r="A4661">
        <v>204660</v>
      </c>
      <c r="B4661">
        <v>52688</v>
      </c>
      <c r="C4661" t="s">
        <v>34</v>
      </c>
      <c r="D4661">
        <v>791.86</v>
      </c>
      <c r="E4661">
        <v>3556</v>
      </c>
      <c r="F4661">
        <v>0</v>
      </c>
      <c r="G4661">
        <v>3</v>
      </c>
      <c r="H4661">
        <v>0</v>
      </c>
      <c r="I4661" t="s">
        <v>32</v>
      </c>
      <c r="J4661">
        <v>1</v>
      </c>
      <c r="K4661">
        <v>31</v>
      </c>
      <c r="L4661" t="s">
        <v>24</v>
      </c>
      <c r="M4661" t="s">
        <v>31</v>
      </c>
      <c r="N4661" t="s">
        <v>30</v>
      </c>
      <c r="O4661" t="s">
        <v>23</v>
      </c>
      <c r="P4661">
        <v>0.08</v>
      </c>
      <c r="Q4661" s="2" t="b">
        <f>FALSE()</f>
        <v>0</v>
      </c>
      <c r="R4661">
        <v>0</v>
      </c>
    </row>
    <row r="4662" spans="1:18" x14ac:dyDescent="0.25">
      <c r="A4662">
        <v>204661</v>
      </c>
      <c r="B4662">
        <v>54244</v>
      </c>
      <c r="C4662" t="s">
        <v>18</v>
      </c>
      <c r="D4662">
        <v>1516.17</v>
      </c>
      <c r="E4662">
        <v>2845</v>
      </c>
      <c r="F4662">
        <v>0</v>
      </c>
      <c r="G4662">
        <v>4</v>
      </c>
      <c r="H4662">
        <v>0</v>
      </c>
      <c r="I4662" t="s">
        <v>19</v>
      </c>
      <c r="J4662">
        <v>0</v>
      </c>
      <c r="K4662">
        <v>38</v>
      </c>
      <c r="L4662" t="s">
        <v>20</v>
      </c>
      <c r="M4662" t="s">
        <v>29</v>
      </c>
      <c r="N4662" t="s">
        <v>22</v>
      </c>
      <c r="O4662" t="s">
        <v>27</v>
      </c>
      <c r="P4662">
        <v>0.41</v>
      </c>
      <c r="Q4662" s="2" t="b">
        <f>FALSE()</f>
        <v>0</v>
      </c>
      <c r="R4662">
        <v>0</v>
      </c>
    </row>
    <row r="4663" spans="1:18" x14ac:dyDescent="0.25">
      <c r="A4663">
        <v>204662</v>
      </c>
      <c r="B4663">
        <v>50898</v>
      </c>
      <c r="C4663" t="s">
        <v>34</v>
      </c>
      <c r="D4663">
        <v>2920.73</v>
      </c>
      <c r="E4663">
        <v>820</v>
      </c>
      <c r="F4663">
        <v>1</v>
      </c>
      <c r="G4663">
        <v>7</v>
      </c>
      <c r="H4663">
        <v>0</v>
      </c>
      <c r="I4663" t="s">
        <v>33</v>
      </c>
      <c r="J4663">
        <v>0</v>
      </c>
      <c r="K4663">
        <v>70</v>
      </c>
      <c r="L4663" t="s">
        <v>20</v>
      </c>
      <c r="M4663" t="s">
        <v>29</v>
      </c>
      <c r="N4663" t="s">
        <v>22</v>
      </c>
      <c r="O4663" t="s">
        <v>23</v>
      </c>
      <c r="P4663">
        <v>0.03</v>
      </c>
      <c r="Q4663" s="2" t="b">
        <f>FALSE()</f>
        <v>0</v>
      </c>
      <c r="R4663">
        <v>1</v>
      </c>
    </row>
    <row r="4664" spans="1:18" x14ac:dyDescent="0.25">
      <c r="A4664">
        <v>204663</v>
      </c>
      <c r="B4664">
        <v>54170</v>
      </c>
      <c r="C4664" t="s">
        <v>28</v>
      </c>
      <c r="D4664">
        <v>1623.4</v>
      </c>
      <c r="E4664">
        <v>1141</v>
      </c>
      <c r="F4664">
        <v>2</v>
      </c>
      <c r="G4664">
        <v>5</v>
      </c>
      <c r="H4664">
        <v>0</v>
      </c>
      <c r="I4664" t="s">
        <v>33</v>
      </c>
      <c r="J4664">
        <v>0</v>
      </c>
      <c r="K4664">
        <v>84</v>
      </c>
      <c r="L4664" t="s">
        <v>20</v>
      </c>
      <c r="M4664" t="s">
        <v>35</v>
      </c>
      <c r="N4664" t="s">
        <v>30</v>
      </c>
      <c r="O4664" t="s">
        <v>27</v>
      </c>
      <c r="P4664">
        <v>4.47</v>
      </c>
      <c r="Q4664" s="2" t="b">
        <f>FALSE()</f>
        <v>0</v>
      </c>
      <c r="R4664">
        <v>0</v>
      </c>
    </row>
    <row r="4665" spans="1:18" x14ac:dyDescent="0.25">
      <c r="A4665">
        <v>204664</v>
      </c>
      <c r="B4665">
        <v>50102</v>
      </c>
      <c r="C4665" t="s">
        <v>34</v>
      </c>
      <c r="D4665">
        <v>2590.5</v>
      </c>
      <c r="E4665">
        <v>769</v>
      </c>
      <c r="F4665">
        <v>2</v>
      </c>
      <c r="G4665">
        <v>3</v>
      </c>
      <c r="H4665">
        <v>1</v>
      </c>
      <c r="I4665" t="s">
        <v>33</v>
      </c>
      <c r="J4665">
        <v>0</v>
      </c>
      <c r="K4665">
        <v>83</v>
      </c>
      <c r="L4665" t="s">
        <v>24</v>
      </c>
      <c r="M4665" t="s">
        <v>31</v>
      </c>
      <c r="N4665" t="s">
        <v>30</v>
      </c>
      <c r="O4665" t="s">
        <v>36</v>
      </c>
      <c r="P4665">
        <v>1.63</v>
      </c>
      <c r="Q4665" s="2" t="b">
        <f>FALSE()</f>
        <v>0</v>
      </c>
      <c r="R4665">
        <v>0</v>
      </c>
    </row>
    <row r="4666" spans="1:18" x14ac:dyDescent="0.25">
      <c r="A4666">
        <v>204665</v>
      </c>
      <c r="B4666">
        <v>55163</v>
      </c>
      <c r="C4666" t="s">
        <v>34</v>
      </c>
      <c r="D4666">
        <v>3776.5</v>
      </c>
      <c r="E4666">
        <v>3068</v>
      </c>
      <c r="F4666">
        <v>1</v>
      </c>
      <c r="G4666">
        <v>2</v>
      </c>
      <c r="H4666">
        <v>0</v>
      </c>
      <c r="I4666" t="s">
        <v>32</v>
      </c>
      <c r="J4666">
        <v>1</v>
      </c>
      <c r="K4666">
        <v>36</v>
      </c>
      <c r="L4666" t="s">
        <v>20</v>
      </c>
      <c r="M4666" t="s">
        <v>29</v>
      </c>
      <c r="N4666" t="s">
        <v>30</v>
      </c>
      <c r="O4666" t="s">
        <v>36</v>
      </c>
      <c r="P4666">
        <v>0.11</v>
      </c>
      <c r="Q4666" s="2" t="b">
        <f>FALSE()</f>
        <v>0</v>
      </c>
      <c r="R4666">
        <v>1</v>
      </c>
    </row>
    <row r="4667" spans="1:18" x14ac:dyDescent="0.25">
      <c r="A4667">
        <v>204666</v>
      </c>
      <c r="B4667">
        <v>55532</v>
      </c>
      <c r="C4667" t="s">
        <v>18</v>
      </c>
      <c r="D4667">
        <v>6199.83</v>
      </c>
      <c r="E4667">
        <v>410</v>
      </c>
      <c r="F4667">
        <v>0</v>
      </c>
      <c r="G4667">
        <v>7</v>
      </c>
      <c r="H4667">
        <v>1</v>
      </c>
      <c r="I4667" t="s">
        <v>32</v>
      </c>
      <c r="J4667">
        <v>0</v>
      </c>
      <c r="K4667">
        <v>58</v>
      </c>
      <c r="L4667" t="s">
        <v>20</v>
      </c>
      <c r="M4667" t="s">
        <v>21</v>
      </c>
      <c r="N4667" t="s">
        <v>30</v>
      </c>
      <c r="O4667" t="s">
        <v>36</v>
      </c>
      <c r="P4667">
        <v>1.59</v>
      </c>
      <c r="Q4667" s="2" t="b">
        <f>FALSE()</f>
        <v>0</v>
      </c>
      <c r="R4667">
        <v>1</v>
      </c>
    </row>
    <row r="4668" spans="1:18" x14ac:dyDescent="0.25">
      <c r="A4668">
        <v>204667</v>
      </c>
      <c r="B4668">
        <v>51594</v>
      </c>
      <c r="C4668" t="s">
        <v>18</v>
      </c>
      <c r="D4668">
        <v>1330.98</v>
      </c>
      <c r="E4668">
        <v>2745</v>
      </c>
      <c r="F4668">
        <v>0</v>
      </c>
      <c r="G4668">
        <v>4</v>
      </c>
      <c r="H4668">
        <v>0</v>
      </c>
      <c r="I4668" t="s">
        <v>19</v>
      </c>
      <c r="J4668">
        <v>0</v>
      </c>
      <c r="K4668">
        <v>18</v>
      </c>
      <c r="L4668" t="s">
        <v>20</v>
      </c>
      <c r="M4668" t="s">
        <v>21</v>
      </c>
      <c r="N4668" t="s">
        <v>22</v>
      </c>
      <c r="O4668" t="s">
        <v>23</v>
      </c>
      <c r="P4668">
        <v>3.27</v>
      </c>
      <c r="Q4668" s="2" t="b">
        <f>FALSE()</f>
        <v>0</v>
      </c>
      <c r="R4668">
        <v>0</v>
      </c>
    </row>
    <row r="4669" spans="1:18" x14ac:dyDescent="0.25">
      <c r="A4669">
        <v>204668</v>
      </c>
      <c r="B4669">
        <v>55535</v>
      </c>
      <c r="C4669" t="s">
        <v>34</v>
      </c>
      <c r="D4669">
        <v>1453.24</v>
      </c>
      <c r="E4669">
        <v>3230</v>
      </c>
      <c r="F4669">
        <v>1</v>
      </c>
      <c r="G4669">
        <v>2</v>
      </c>
      <c r="H4669">
        <v>1</v>
      </c>
      <c r="I4669" t="s">
        <v>19</v>
      </c>
      <c r="J4669">
        <v>0</v>
      </c>
      <c r="K4669">
        <v>71</v>
      </c>
      <c r="L4669" t="s">
        <v>24</v>
      </c>
      <c r="M4669" t="s">
        <v>29</v>
      </c>
      <c r="N4669" t="s">
        <v>22</v>
      </c>
      <c r="O4669" t="s">
        <v>23</v>
      </c>
      <c r="P4669">
        <v>1.42</v>
      </c>
      <c r="Q4669" s="2" t="b">
        <f>FALSE()</f>
        <v>0</v>
      </c>
      <c r="R4669">
        <v>0</v>
      </c>
    </row>
    <row r="4670" spans="1:18" x14ac:dyDescent="0.25">
      <c r="A4670">
        <v>204669</v>
      </c>
      <c r="B4670">
        <v>55409</v>
      </c>
      <c r="C4670" t="s">
        <v>28</v>
      </c>
      <c r="D4670">
        <v>9397.5499999999993</v>
      </c>
      <c r="E4670">
        <v>769</v>
      </c>
      <c r="F4670">
        <v>0</v>
      </c>
      <c r="G4670">
        <v>7</v>
      </c>
      <c r="H4670">
        <v>0</v>
      </c>
      <c r="I4670" t="s">
        <v>32</v>
      </c>
      <c r="J4670">
        <v>0</v>
      </c>
      <c r="K4670">
        <v>23</v>
      </c>
      <c r="L4670" t="s">
        <v>20</v>
      </c>
      <c r="M4670" t="s">
        <v>35</v>
      </c>
      <c r="N4670" t="s">
        <v>26</v>
      </c>
      <c r="O4670" t="s">
        <v>27</v>
      </c>
      <c r="P4670">
        <v>5.37</v>
      </c>
      <c r="Q4670" s="2" t="b">
        <f>TRUE()</f>
        <v>1</v>
      </c>
      <c r="R4670">
        <v>1</v>
      </c>
    </row>
    <row r="4671" spans="1:18" x14ac:dyDescent="0.25">
      <c r="A4671">
        <v>204670</v>
      </c>
      <c r="B4671">
        <v>54105</v>
      </c>
      <c r="C4671" t="s">
        <v>34</v>
      </c>
      <c r="D4671">
        <v>3669.04</v>
      </c>
      <c r="E4671">
        <v>2973</v>
      </c>
      <c r="F4671">
        <v>1</v>
      </c>
      <c r="G4671">
        <v>10</v>
      </c>
      <c r="H4671">
        <v>0</v>
      </c>
      <c r="I4671" t="s">
        <v>33</v>
      </c>
      <c r="J4671">
        <v>0</v>
      </c>
      <c r="K4671">
        <v>70</v>
      </c>
      <c r="L4671" t="s">
        <v>20</v>
      </c>
      <c r="M4671" t="s">
        <v>21</v>
      </c>
      <c r="N4671" t="s">
        <v>22</v>
      </c>
      <c r="O4671" t="s">
        <v>23</v>
      </c>
      <c r="P4671">
        <v>0.93</v>
      </c>
      <c r="Q4671" s="2" t="b">
        <f>FALSE()</f>
        <v>0</v>
      </c>
      <c r="R4671">
        <v>1</v>
      </c>
    </row>
    <row r="4672" spans="1:18" x14ac:dyDescent="0.25">
      <c r="A4672">
        <v>204671</v>
      </c>
      <c r="B4672">
        <v>54007</v>
      </c>
      <c r="C4672" t="s">
        <v>18</v>
      </c>
      <c r="D4672">
        <v>3038.1</v>
      </c>
      <c r="E4672">
        <v>400</v>
      </c>
      <c r="F4672">
        <v>3</v>
      </c>
      <c r="G4672">
        <v>4</v>
      </c>
      <c r="H4672">
        <v>0</v>
      </c>
      <c r="I4672" t="s">
        <v>33</v>
      </c>
      <c r="J4672">
        <v>0</v>
      </c>
      <c r="K4672">
        <v>70</v>
      </c>
      <c r="L4672" t="s">
        <v>24</v>
      </c>
      <c r="M4672" t="s">
        <v>37</v>
      </c>
      <c r="N4672" t="s">
        <v>26</v>
      </c>
      <c r="O4672" t="s">
        <v>27</v>
      </c>
      <c r="P4672">
        <v>6.96</v>
      </c>
      <c r="Q4672" s="2" t="b">
        <f>FALSE()</f>
        <v>0</v>
      </c>
      <c r="R4672">
        <v>1</v>
      </c>
    </row>
    <row r="4673" spans="1:18" x14ac:dyDescent="0.25">
      <c r="A4673">
        <v>204672</v>
      </c>
      <c r="B4673">
        <v>54711</v>
      </c>
      <c r="C4673" t="s">
        <v>18</v>
      </c>
      <c r="D4673">
        <v>893.42</v>
      </c>
      <c r="E4673">
        <v>2099</v>
      </c>
      <c r="F4673">
        <v>1</v>
      </c>
      <c r="G4673">
        <v>4</v>
      </c>
      <c r="H4673">
        <v>0</v>
      </c>
      <c r="I4673" t="s">
        <v>33</v>
      </c>
      <c r="J4673">
        <v>0</v>
      </c>
      <c r="K4673">
        <v>18</v>
      </c>
      <c r="L4673" t="s">
        <v>20</v>
      </c>
      <c r="M4673" t="s">
        <v>29</v>
      </c>
      <c r="N4673" t="s">
        <v>22</v>
      </c>
      <c r="O4673" t="s">
        <v>27</v>
      </c>
      <c r="P4673">
        <v>2.5</v>
      </c>
      <c r="Q4673" s="2" t="b">
        <f>FALSE()</f>
        <v>0</v>
      </c>
      <c r="R4673">
        <v>0</v>
      </c>
    </row>
    <row r="4674" spans="1:18" x14ac:dyDescent="0.25">
      <c r="A4674">
        <v>204673</v>
      </c>
      <c r="B4674">
        <v>52558</v>
      </c>
      <c r="C4674" t="s">
        <v>18</v>
      </c>
      <c r="D4674">
        <v>347.93</v>
      </c>
      <c r="E4674">
        <v>1129</v>
      </c>
      <c r="F4674">
        <v>0</v>
      </c>
      <c r="G4674">
        <v>2</v>
      </c>
      <c r="H4674">
        <v>0</v>
      </c>
      <c r="I4674" t="s">
        <v>33</v>
      </c>
      <c r="J4674">
        <v>0</v>
      </c>
      <c r="K4674">
        <v>27</v>
      </c>
      <c r="L4674" t="s">
        <v>20</v>
      </c>
      <c r="M4674" t="s">
        <v>35</v>
      </c>
      <c r="N4674" t="s">
        <v>26</v>
      </c>
      <c r="O4674" t="s">
        <v>27</v>
      </c>
      <c r="P4674">
        <v>6.26</v>
      </c>
      <c r="Q4674" s="2" t="b">
        <f>FALSE()</f>
        <v>0</v>
      </c>
      <c r="R4674">
        <v>0</v>
      </c>
    </row>
    <row r="4675" spans="1:18" x14ac:dyDescent="0.25">
      <c r="A4675">
        <v>204674</v>
      </c>
      <c r="B4675">
        <v>52525</v>
      </c>
      <c r="C4675" t="s">
        <v>18</v>
      </c>
      <c r="D4675">
        <v>1008.96</v>
      </c>
      <c r="E4675">
        <v>2230</v>
      </c>
      <c r="F4675">
        <v>1</v>
      </c>
      <c r="G4675">
        <v>4</v>
      </c>
      <c r="H4675">
        <v>0</v>
      </c>
      <c r="I4675" t="s">
        <v>33</v>
      </c>
      <c r="J4675">
        <v>1</v>
      </c>
      <c r="K4675">
        <v>64</v>
      </c>
      <c r="L4675" t="s">
        <v>20</v>
      </c>
      <c r="M4675" t="s">
        <v>31</v>
      </c>
      <c r="N4675" t="s">
        <v>26</v>
      </c>
      <c r="O4675" t="s">
        <v>27</v>
      </c>
      <c r="P4675">
        <v>0.43</v>
      </c>
      <c r="Q4675" s="2" t="b">
        <f>FALSE()</f>
        <v>0</v>
      </c>
      <c r="R4675">
        <v>0</v>
      </c>
    </row>
    <row r="4676" spans="1:18" x14ac:dyDescent="0.25">
      <c r="A4676">
        <v>204675</v>
      </c>
      <c r="B4676">
        <v>53314</v>
      </c>
      <c r="C4676" t="s">
        <v>18</v>
      </c>
      <c r="D4676">
        <v>2418.5</v>
      </c>
      <c r="E4676">
        <v>878</v>
      </c>
      <c r="F4676">
        <v>0</v>
      </c>
      <c r="G4676">
        <v>7</v>
      </c>
      <c r="H4676">
        <v>0</v>
      </c>
      <c r="I4676" t="s">
        <v>33</v>
      </c>
      <c r="J4676">
        <v>0</v>
      </c>
      <c r="K4676">
        <v>21</v>
      </c>
      <c r="L4676" t="s">
        <v>24</v>
      </c>
      <c r="M4676" t="s">
        <v>25</v>
      </c>
      <c r="N4676" t="s">
        <v>22</v>
      </c>
      <c r="O4676" t="s">
        <v>27</v>
      </c>
      <c r="P4676">
        <v>8.23</v>
      </c>
      <c r="Q4676" s="2" t="b">
        <f>FALSE()</f>
        <v>0</v>
      </c>
      <c r="R4676">
        <v>1</v>
      </c>
    </row>
    <row r="4677" spans="1:18" x14ac:dyDescent="0.25">
      <c r="A4677">
        <v>204676</v>
      </c>
      <c r="B4677">
        <v>54163</v>
      </c>
      <c r="C4677" t="s">
        <v>34</v>
      </c>
      <c r="D4677">
        <v>5503.98</v>
      </c>
      <c r="E4677">
        <v>2843</v>
      </c>
      <c r="F4677">
        <v>2</v>
      </c>
      <c r="G4677">
        <v>7</v>
      </c>
      <c r="H4677">
        <v>1</v>
      </c>
      <c r="I4677" t="s">
        <v>19</v>
      </c>
      <c r="J4677">
        <v>0</v>
      </c>
      <c r="K4677">
        <v>64</v>
      </c>
      <c r="L4677" t="s">
        <v>24</v>
      </c>
      <c r="M4677" t="s">
        <v>21</v>
      </c>
      <c r="N4677" t="s">
        <v>22</v>
      </c>
      <c r="O4677" t="s">
        <v>23</v>
      </c>
      <c r="P4677">
        <v>1.26</v>
      </c>
      <c r="Q4677" s="2" t="b">
        <f>FALSE()</f>
        <v>0</v>
      </c>
      <c r="R4677">
        <v>1</v>
      </c>
    </row>
    <row r="4678" spans="1:18" x14ac:dyDescent="0.25">
      <c r="A4678">
        <v>204677</v>
      </c>
      <c r="B4678">
        <v>51616</v>
      </c>
      <c r="C4678" t="s">
        <v>18</v>
      </c>
      <c r="D4678">
        <v>3089.61</v>
      </c>
      <c r="E4678">
        <v>3392</v>
      </c>
      <c r="F4678">
        <v>1</v>
      </c>
      <c r="G4678">
        <v>2</v>
      </c>
      <c r="H4678">
        <v>1</v>
      </c>
      <c r="I4678" t="s">
        <v>33</v>
      </c>
      <c r="J4678">
        <v>0</v>
      </c>
      <c r="K4678">
        <v>79</v>
      </c>
      <c r="L4678" t="s">
        <v>24</v>
      </c>
      <c r="M4678" t="s">
        <v>31</v>
      </c>
      <c r="N4678" t="s">
        <v>30</v>
      </c>
      <c r="O4678" t="s">
        <v>23</v>
      </c>
      <c r="P4678">
        <v>2</v>
      </c>
      <c r="Q4678" s="2" t="b">
        <f>FALSE()</f>
        <v>0</v>
      </c>
      <c r="R4678">
        <v>0</v>
      </c>
    </row>
    <row r="4679" spans="1:18" x14ac:dyDescent="0.25">
      <c r="A4679">
        <v>204678</v>
      </c>
      <c r="B4679">
        <v>52261</v>
      </c>
      <c r="C4679" t="s">
        <v>34</v>
      </c>
      <c r="D4679">
        <v>3440.57</v>
      </c>
      <c r="E4679">
        <v>2761</v>
      </c>
      <c r="F4679">
        <v>3</v>
      </c>
      <c r="G4679">
        <v>6</v>
      </c>
      <c r="H4679">
        <v>0</v>
      </c>
      <c r="I4679" t="s">
        <v>33</v>
      </c>
      <c r="J4679">
        <v>0</v>
      </c>
      <c r="K4679">
        <v>78</v>
      </c>
      <c r="L4679" t="s">
        <v>24</v>
      </c>
      <c r="M4679" t="s">
        <v>25</v>
      </c>
      <c r="N4679" t="s">
        <v>22</v>
      </c>
      <c r="O4679" t="s">
        <v>36</v>
      </c>
      <c r="P4679">
        <v>1.03</v>
      </c>
      <c r="Q4679" s="2" t="b">
        <f>FALSE()</f>
        <v>0</v>
      </c>
      <c r="R4679">
        <v>1</v>
      </c>
    </row>
    <row r="4680" spans="1:18" x14ac:dyDescent="0.25">
      <c r="A4680">
        <v>204679</v>
      </c>
      <c r="B4680">
        <v>54887</v>
      </c>
      <c r="C4680" t="s">
        <v>18</v>
      </c>
      <c r="D4680">
        <v>2644.18</v>
      </c>
      <c r="E4680">
        <v>715</v>
      </c>
      <c r="F4680">
        <v>3</v>
      </c>
      <c r="G4680">
        <v>4</v>
      </c>
      <c r="H4680">
        <v>0</v>
      </c>
      <c r="I4680" t="s">
        <v>33</v>
      </c>
      <c r="J4680">
        <v>0</v>
      </c>
      <c r="K4680">
        <v>67</v>
      </c>
      <c r="L4680" t="s">
        <v>20</v>
      </c>
      <c r="M4680" t="s">
        <v>35</v>
      </c>
      <c r="N4680" t="s">
        <v>30</v>
      </c>
      <c r="O4680" t="s">
        <v>23</v>
      </c>
      <c r="P4680">
        <v>0.33</v>
      </c>
      <c r="Q4680" s="2" t="b">
        <f>FALSE()</f>
        <v>0</v>
      </c>
      <c r="R4680">
        <v>1</v>
      </c>
    </row>
    <row r="4681" spans="1:18" x14ac:dyDescent="0.25">
      <c r="A4681">
        <v>204680</v>
      </c>
      <c r="B4681">
        <v>50243</v>
      </c>
      <c r="C4681" t="s">
        <v>34</v>
      </c>
      <c r="D4681">
        <v>2530.69</v>
      </c>
      <c r="E4681">
        <v>3231</v>
      </c>
      <c r="F4681">
        <v>1</v>
      </c>
      <c r="G4681">
        <v>6</v>
      </c>
      <c r="H4681">
        <v>0</v>
      </c>
      <c r="I4681" t="s">
        <v>33</v>
      </c>
      <c r="J4681">
        <v>0</v>
      </c>
      <c r="K4681">
        <v>47</v>
      </c>
      <c r="L4681" t="s">
        <v>24</v>
      </c>
      <c r="M4681" t="s">
        <v>25</v>
      </c>
      <c r="N4681" t="s">
        <v>30</v>
      </c>
      <c r="O4681" t="s">
        <v>23</v>
      </c>
      <c r="P4681">
        <v>0.41</v>
      </c>
      <c r="Q4681" s="2" t="b">
        <f>FALSE()</f>
        <v>0</v>
      </c>
      <c r="R4681">
        <v>0</v>
      </c>
    </row>
    <row r="4682" spans="1:18" x14ac:dyDescent="0.25">
      <c r="A4682">
        <v>204681</v>
      </c>
      <c r="B4682">
        <v>53782</v>
      </c>
      <c r="C4682" t="s">
        <v>34</v>
      </c>
      <c r="D4682">
        <v>2310.17</v>
      </c>
      <c r="E4682">
        <v>86</v>
      </c>
      <c r="F4682">
        <v>0</v>
      </c>
      <c r="G4682">
        <v>4</v>
      </c>
      <c r="H4682">
        <v>0</v>
      </c>
      <c r="I4682" t="s">
        <v>33</v>
      </c>
      <c r="J4682">
        <v>0</v>
      </c>
      <c r="K4682">
        <v>22</v>
      </c>
      <c r="L4682" t="s">
        <v>20</v>
      </c>
      <c r="M4682" t="s">
        <v>21</v>
      </c>
      <c r="N4682" t="s">
        <v>22</v>
      </c>
      <c r="O4682" t="s">
        <v>36</v>
      </c>
      <c r="P4682">
        <v>2.62</v>
      </c>
      <c r="Q4682" s="2" t="b">
        <f>FALSE()</f>
        <v>0</v>
      </c>
      <c r="R4682">
        <v>0</v>
      </c>
    </row>
    <row r="4683" spans="1:18" x14ac:dyDescent="0.25">
      <c r="A4683">
        <v>204682</v>
      </c>
      <c r="B4683">
        <v>54725</v>
      </c>
      <c r="C4683" t="s">
        <v>34</v>
      </c>
      <c r="D4683">
        <v>2640.4</v>
      </c>
      <c r="E4683">
        <v>3272</v>
      </c>
      <c r="F4683">
        <v>0</v>
      </c>
      <c r="G4683">
        <v>2</v>
      </c>
      <c r="H4683">
        <v>1</v>
      </c>
      <c r="I4683" t="s">
        <v>33</v>
      </c>
      <c r="J4683">
        <v>0</v>
      </c>
      <c r="K4683">
        <v>41</v>
      </c>
      <c r="L4683" t="s">
        <v>24</v>
      </c>
      <c r="M4683" t="s">
        <v>31</v>
      </c>
      <c r="N4683" t="s">
        <v>30</v>
      </c>
      <c r="O4683" t="s">
        <v>23</v>
      </c>
      <c r="P4683">
        <v>5.04</v>
      </c>
      <c r="Q4683" s="2" t="b">
        <f>FALSE()</f>
        <v>0</v>
      </c>
      <c r="R4683">
        <v>0</v>
      </c>
    </row>
    <row r="4684" spans="1:18" x14ac:dyDescent="0.25">
      <c r="A4684">
        <v>204683</v>
      </c>
      <c r="B4684">
        <v>53286</v>
      </c>
      <c r="C4684" t="s">
        <v>34</v>
      </c>
      <c r="D4684">
        <v>4633.0200000000004</v>
      </c>
      <c r="E4684">
        <v>52</v>
      </c>
      <c r="F4684">
        <v>1</v>
      </c>
      <c r="G4684">
        <v>4</v>
      </c>
      <c r="H4684">
        <v>0</v>
      </c>
      <c r="I4684" t="s">
        <v>33</v>
      </c>
      <c r="J4684">
        <v>0</v>
      </c>
      <c r="K4684">
        <v>71</v>
      </c>
      <c r="L4684" t="s">
        <v>20</v>
      </c>
      <c r="M4684" t="s">
        <v>25</v>
      </c>
      <c r="N4684" t="s">
        <v>30</v>
      </c>
      <c r="O4684" t="s">
        <v>36</v>
      </c>
      <c r="P4684">
        <v>1.71</v>
      </c>
      <c r="Q4684" s="2" t="b">
        <f>FALSE()</f>
        <v>0</v>
      </c>
      <c r="R4684">
        <v>1</v>
      </c>
    </row>
    <row r="4685" spans="1:18" x14ac:dyDescent="0.25">
      <c r="A4685">
        <v>204684</v>
      </c>
      <c r="B4685">
        <v>50672</v>
      </c>
      <c r="C4685" t="s">
        <v>18</v>
      </c>
      <c r="D4685">
        <v>584.30999999999995</v>
      </c>
      <c r="E4685">
        <v>2958</v>
      </c>
      <c r="F4685">
        <v>1</v>
      </c>
      <c r="G4685">
        <v>3</v>
      </c>
      <c r="H4685">
        <v>0</v>
      </c>
      <c r="I4685" t="s">
        <v>33</v>
      </c>
      <c r="J4685">
        <v>0</v>
      </c>
      <c r="K4685">
        <v>39</v>
      </c>
      <c r="L4685" t="s">
        <v>24</v>
      </c>
      <c r="M4685" t="s">
        <v>29</v>
      </c>
      <c r="N4685" t="s">
        <v>22</v>
      </c>
      <c r="O4685" t="s">
        <v>27</v>
      </c>
      <c r="P4685">
        <v>0.46</v>
      </c>
      <c r="Q4685" s="2" t="b">
        <f>FALSE()</f>
        <v>0</v>
      </c>
      <c r="R4685">
        <v>0</v>
      </c>
    </row>
    <row r="4686" spans="1:18" x14ac:dyDescent="0.25">
      <c r="A4686">
        <v>204685</v>
      </c>
      <c r="B4686">
        <v>55340</v>
      </c>
      <c r="C4686" t="s">
        <v>18</v>
      </c>
      <c r="D4686">
        <v>1520.21</v>
      </c>
      <c r="E4686">
        <v>1388</v>
      </c>
      <c r="F4686">
        <v>1</v>
      </c>
      <c r="G4686">
        <v>3</v>
      </c>
      <c r="H4686">
        <v>1</v>
      </c>
      <c r="I4686" t="s">
        <v>19</v>
      </c>
      <c r="J4686">
        <v>0</v>
      </c>
      <c r="K4686">
        <v>19</v>
      </c>
      <c r="L4686" t="s">
        <v>20</v>
      </c>
      <c r="M4686" t="s">
        <v>25</v>
      </c>
      <c r="N4686" t="s">
        <v>22</v>
      </c>
      <c r="O4686" t="s">
        <v>23</v>
      </c>
      <c r="P4686">
        <v>3.05</v>
      </c>
      <c r="Q4686" s="2" t="b">
        <f>FALSE()</f>
        <v>0</v>
      </c>
      <c r="R4686">
        <v>0</v>
      </c>
    </row>
    <row r="4687" spans="1:18" x14ac:dyDescent="0.25">
      <c r="A4687">
        <v>204686</v>
      </c>
      <c r="B4687">
        <v>52589</v>
      </c>
      <c r="C4687" t="s">
        <v>28</v>
      </c>
      <c r="D4687">
        <v>4257.75</v>
      </c>
      <c r="E4687">
        <v>568</v>
      </c>
      <c r="F4687">
        <v>1</v>
      </c>
      <c r="G4687">
        <v>5</v>
      </c>
      <c r="H4687">
        <v>0</v>
      </c>
      <c r="I4687" t="s">
        <v>32</v>
      </c>
      <c r="J4687">
        <v>0</v>
      </c>
      <c r="K4687">
        <v>56</v>
      </c>
      <c r="L4687" t="s">
        <v>20</v>
      </c>
      <c r="M4687" t="s">
        <v>35</v>
      </c>
      <c r="N4687" t="s">
        <v>26</v>
      </c>
      <c r="O4687" t="s">
        <v>27</v>
      </c>
      <c r="P4687">
        <v>0.14000000000000001</v>
      </c>
      <c r="Q4687" s="2" t="b">
        <f>FALSE()</f>
        <v>0</v>
      </c>
      <c r="R4687">
        <v>1</v>
      </c>
    </row>
    <row r="4688" spans="1:18" x14ac:dyDescent="0.25">
      <c r="A4688">
        <v>204687</v>
      </c>
      <c r="B4688">
        <v>54927</v>
      </c>
      <c r="C4688" t="s">
        <v>18</v>
      </c>
      <c r="D4688">
        <v>2869.99</v>
      </c>
      <c r="E4688">
        <v>1540</v>
      </c>
      <c r="F4688">
        <v>0</v>
      </c>
      <c r="G4688">
        <v>6</v>
      </c>
      <c r="H4688">
        <v>0</v>
      </c>
      <c r="I4688" t="s">
        <v>33</v>
      </c>
      <c r="J4688">
        <v>0</v>
      </c>
      <c r="K4688">
        <v>48</v>
      </c>
      <c r="L4688" t="s">
        <v>20</v>
      </c>
      <c r="M4688" t="s">
        <v>31</v>
      </c>
      <c r="N4688" t="s">
        <v>22</v>
      </c>
      <c r="O4688" t="s">
        <v>36</v>
      </c>
      <c r="P4688">
        <v>2.12</v>
      </c>
      <c r="Q4688" s="2" t="b">
        <f>FALSE()</f>
        <v>0</v>
      </c>
      <c r="R4688">
        <v>0</v>
      </c>
    </row>
    <row r="4689" spans="1:18" x14ac:dyDescent="0.25">
      <c r="A4689">
        <v>204688</v>
      </c>
      <c r="B4689">
        <v>51543</v>
      </c>
      <c r="C4689" t="s">
        <v>18</v>
      </c>
      <c r="D4689">
        <v>3139.35</v>
      </c>
      <c r="E4689">
        <v>848</v>
      </c>
      <c r="F4689">
        <v>1</v>
      </c>
      <c r="G4689">
        <v>4</v>
      </c>
      <c r="H4689">
        <v>0</v>
      </c>
      <c r="I4689" t="s">
        <v>19</v>
      </c>
      <c r="J4689">
        <v>0</v>
      </c>
      <c r="K4689">
        <v>61</v>
      </c>
      <c r="L4689" t="s">
        <v>24</v>
      </c>
      <c r="M4689" t="s">
        <v>29</v>
      </c>
      <c r="N4689" t="s">
        <v>26</v>
      </c>
      <c r="O4689" t="s">
        <v>23</v>
      </c>
      <c r="P4689">
        <v>1.7</v>
      </c>
      <c r="Q4689" s="2" t="b">
        <f>FALSE()</f>
        <v>0</v>
      </c>
      <c r="R4689">
        <v>0</v>
      </c>
    </row>
    <row r="4690" spans="1:18" x14ac:dyDescent="0.25">
      <c r="A4690">
        <v>204689</v>
      </c>
      <c r="B4690">
        <v>51254</v>
      </c>
      <c r="C4690" t="s">
        <v>28</v>
      </c>
      <c r="D4690">
        <v>2856.4</v>
      </c>
      <c r="E4690">
        <v>2548</v>
      </c>
      <c r="F4690">
        <v>1</v>
      </c>
      <c r="G4690">
        <v>3</v>
      </c>
      <c r="H4690">
        <v>1</v>
      </c>
      <c r="I4690" t="s">
        <v>19</v>
      </c>
      <c r="J4690">
        <v>0</v>
      </c>
      <c r="K4690">
        <v>75</v>
      </c>
      <c r="L4690" t="s">
        <v>24</v>
      </c>
      <c r="M4690" t="s">
        <v>31</v>
      </c>
      <c r="N4690" t="s">
        <v>30</v>
      </c>
      <c r="O4690" t="s">
        <v>27</v>
      </c>
      <c r="P4690">
        <v>0.68</v>
      </c>
      <c r="Q4690" s="2" t="b">
        <f>FALSE()</f>
        <v>0</v>
      </c>
      <c r="R4690">
        <v>0</v>
      </c>
    </row>
    <row r="4691" spans="1:18" x14ac:dyDescent="0.25">
      <c r="A4691">
        <v>204690</v>
      </c>
      <c r="B4691">
        <v>54070</v>
      </c>
      <c r="C4691" t="s">
        <v>28</v>
      </c>
      <c r="D4691">
        <v>847.91</v>
      </c>
      <c r="E4691">
        <v>1649</v>
      </c>
      <c r="F4691">
        <v>1</v>
      </c>
      <c r="G4691">
        <v>5</v>
      </c>
      <c r="H4691">
        <v>0</v>
      </c>
      <c r="I4691" t="s">
        <v>33</v>
      </c>
      <c r="J4691">
        <v>0</v>
      </c>
      <c r="K4691">
        <v>64</v>
      </c>
      <c r="L4691" t="s">
        <v>20</v>
      </c>
      <c r="M4691" t="s">
        <v>35</v>
      </c>
      <c r="N4691" t="s">
        <v>22</v>
      </c>
      <c r="O4691" t="s">
        <v>36</v>
      </c>
      <c r="P4691">
        <v>3.68</v>
      </c>
      <c r="Q4691" s="2" t="b">
        <f>FALSE()</f>
        <v>0</v>
      </c>
      <c r="R4691">
        <v>0</v>
      </c>
    </row>
    <row r="4692" spans="1:18" x14ac:dyDescent="0.25">
      <c r="A4692">
        <v>204691</v>
      </c>
      <c r="B4692">
        <v>53238</v>
      </c>
      <c r="C4692" t="s">
        <v>18</v>
      </c>
      <c r="D4692">
        <v>5456.48</v>
      </c>
      <c r="E4692">
        <v>3352</v>
      </c>
      <c r="F4692">
        <v>3</v>
      </c>
      <c r="G4692">
        <v>2</v>
      </c>
      <c r="H4692">
        <v>0</v>
      </c>
      <c r="I4692" t="s">
        <v>33</v>
      </c>
      <c r="J4692">
        <v>0</v>
      </c>
      <c r="K4692">
        <v>64</v>
      </c>
      <c r="L4692" t="s">
        <v>24</v>
      </c>
      <c r="M4692" t="s">
        <v>21</v>
      </c>
      <c r="N4692" t="s">
        <v>22</v>
      </c>
      <c r="O4692" t="s">
        <v>36</v>
      </c>
      <c r="P4692">
        <v>0.09</v>
      </c>
      <c r="Q4692" s="2" t="b">
        <f>FALSE()</f>
        <v>0</v>
      </c>
      <c r="R4692">
        <v>1</v>
      </c>
    </row>
    <row r="4693" spans="1:18" x14ac:dyDescent="0.25">
      <c r="A4693">
        <v>204692</v>
      </c>
      <c r="B4693">
        <v>51430</v>
      </c>
      <c r="C4693" t="s">
        <v>28</v>
      </c>
      <c r="D4693">
        <v>3484.62</v>
      </c>
      <c r="E4693">
        <v>1452</v>
      </c>
      <c r="F4693">
        <v>0</v>
      </c>
      <c r="G4693">
        <v>2</v>
      </c>
      <c r="H4693">
        <v>0</v>
      </c>
      <c r="I4693" t="s">
        <v>19</v>
      </c>
      <c r="J4693">
        <v>1</v>
      </c>
      <c r="K4693">
        <v>22</v>
      </c>
      <c r="L4693" t="s">
        <v>24</v>
      </c>
      <c r="M4693" t="s">
        <v>29</v>
      </c>
      <c r="N4693" t="s">
        <v>22</v>
      </c>
      <c r="O4693" t="s">
        <v>27</v>
      </c>
      <c r="P4693">
        <v>0.23</v>
      </c>
      <c r="Q4693" s="2" t="b">
        <f>FALSE()</f>
        <v>0</v>
      </c>
      <c r="R4693">
        <v>0</v>
      </c>
    </row>
    <row r="4694" spans="1:18" x14ac:dyDescent="0.25">
      <c r="A4694">
        <v>204693</v>
      </c>
      <c r="B4694">
        <v>53685</v>
      </c>
      <c r="C4694" t="s">
        <v>34</v>
      </c>
      <c r="D4694">
        <v>1231.05</v>
      </c>
      <c r="E4694">
        <v>1219</v>
      </c>
      <c r="F4694">
        <v>1</v>
      </c>
      <c r="G4694">
        <v>3</v>
      </c>
      <c r="H4694">
        <v>0</v>
      </c>
      <c r="I4694" t="s">
        <v>33</v>
      </c>
      <c r="J4694">
        <v>1</v>
      </c>
      <c r="K4694">
        <v>39</v>
      </c>
      <c r="L4694" t="s">
        <v>24</v>
      </c>
      <c r="M4694" t="s">
        <v>37</v>
      </c>
      <c r="N4694" t="s">
        <v>22</v>
      </c>
      <c r="O4694" t="s">
        <v>27</v>
      </c>
      <c r="P4694">
        <v>0.71</v>
      </c>
      <c r="Q4694" s="2" t="b">
        <f>FALSE()</f>
        <v>0</v>
      </c>
      <c r="R4694">
        <v>0</v>
      </c>
    </row>
    <row r="4695" spans="1:18" x14ac:dyDescent="0.25">
      <c r="A4695">
        <v>204694</v>
      </c>
      <c r="B4695">
        <v>54021</v>
      </c>
      <c r="C4695" t="s">
        <v>34</v>
      </c>
      <c r="D4695">
        <v>4123</v>
      </c>
      <c r="E4695">
        <v>799</v>
      </c>
      <c r="F4695">
        <v>1</v>
      </c>
      <c r="G4695">
        <v>7</v>
      </c>
      <c r="H4695">
        <v>0</v>
      </c>
      <c r="I4695" t="s">
        <v>33</v>
      </c>
      <c r="J4695">
        <v>0</v>
      </c>
      <c r="K4695">
        <v>70</v>
      </c>
      <c r="L4695" t="s">
        <v>20</v>
      </c>
      <c r="M4695" t="s">
        <v>35</v>
      </c>
      <c r="N4695" t="s">
        <v>22</v>
      </c>
      <c r="O4695" t="s">
        <v>36</v>
      </c>
      <c r="P4695">
        <v>7.76</v>
      </c>
      <c r="Q4695" s="2" t="b">
        <f>FALSE()</f>
        <v>0</v>
      </c>
      <c r="R4695">
        <v>1</v>
      </c>
    </row>
    <row r="4696" spans="1:18" x14ac:dyDescent="0.25">
      <c r="A4696">
        <v>204695</v>
      </c>
      <c r="B4696">
        <v>51520</v>
      </c>
      <c r="C4696" t="s">
        <v>18</v>
      </c>
      <c r="D4696">
        <v>990.37</v>
      </c>
      <c r="E4696">
        <v>2203</v>
      </c>
      <c r="F4696">
        <v>2</v>
      </c>
      <c r="G4696">
        <v>1</v>
      </c>
      <c r="H4696">
        <v>1</v>
      </c>
      <c r="I4696" t="s">
        <v>33</v>
      </c>
      <c r="J4696">
        <v>0</v>
      </c>
      <c r="K4696">
        <v>51</v>
      </c>
      <c r="L4696" t="s">
        <v>24</v>
      </c>
      <c r="M4696" t="s">
        <v>31</v>
      </c>
      <c r="N4696" t="s">
        <v>22</v>
      </c>
      <c r="O4696" t="s">
        <v>27</v>
      </c>
      <c r="P4696">
        <v>0.14000000000000001</v>
      </c>
      <c r="Q4696" s="2" t="b">
        <f>FALSE()</f>
        <v>0</v>
      </c>
      <c r="R4696">
        <v>0</v>
      </c>
    </row>
    <row r="4697" spans="1:18" x14ac:dyDescent="0.25">
      <c r="A4697">
        <v>204696</v>
      </c>
      <c r="B4697">
        <v>52001</v>
      </c>
      <c r="C4697" t="s">
        <v>34</v>
      </c>
      <c r="D4697">
        <v>2442.54</v>
      </c>
      <c r="E4697">
        <v>2078</v>
      </c>
      <c r="F4697">
        <v>0</v>
      </c>
      <c r="G4697">
        <v>6</v>
      </c>
      <c r="H4697">
        <v>0</v>
      </c>
      <c r="I4697" t="s">
        <v>33</v>
      </c>
      <c r="J4697">
        <v>0</v>
      </c>
      <c r="K4697">
        <v>30</v>
      </c>
      <c r="L4697" t="s">
        <v>24</v>
      </c>
      <c r="M4697" t="s">
        <v>29</v>
      </c>
      <c r="N4697" t="s">
        <v>22</v>
      </c>
      <c r="O4697" t="s">
        <v>27</v>
      </c>
      <c r="P4697">
        <v>3.19</v>
      </c>
      <c r="Q4697" s="2" t="b">
        <f>FALSE()</f>
        <v>0</v>
      </c>
      <c r="R4697">
        <v>0</v>
      </c>
    </row>
    <row r="4698" spans="1:18" x14ac:dyDescent="0.25">
      <c r="A4698">
        <v>204697</v>
      </c>
      <c r="B4698">
        <v>52345</v>
      </c>
      <c r="C4698" t="s">
        <v>34</v>
      </c>
      <c r="D4698">
        <v>3343.37</v>
      </c>
      <c r="E4698">
        <v>2917</v>
      </c>
      <c r="F4698">
        <v>1</v>
      </c>
      <c r="G4698">
        <v>6</v>
      </c>
      <c r="H4698">
        <v>1</v>
      </c>
      <c r="I4698" t="s">
        <v>33</v>
      </c>
      <c r="J4698">
        <v>0</v>
      </c>
      <c r="K4698">
        <v>20</v>
      </c>
      <c r="L4698" t="s">
        <v>24</v>
      </c>
      <c r="M4698" t="s">
        <v>25</v>
      </c>
      <c r="N4698" t="s">
        <v>22</v>
      </c>
      <c r="O4698" t="s">
        <v>36</v>
      </c>
      <c r="P4698">
        <v>0.68</v>
      </c>
      <c r="Q4698" s="2" t="b">
        <f>FALSE()</f>
        <v>0</v>
      </c>
      <c r="R4698">
        <v>0</v>
      </c>
    </row>
    <row r="4699" spans="1:18" x14ac:dyDescent="0.25">
      <c r="A4699">
        <v>204698</v>
      </c>
      <c r="B4699">
        <v>54592</v>
      </c>
      <c r="C4699" t="s">
        <v>18</v>
      </c>
      <c r="D4699">
        <v>7461.3</v>
      </c>
      <c r="E4699">
        <v>1669</v>
      </c>
      <c r="F4699">
        <v>1</v>
      </c>
      <c r="G4699">
        <v>3</v>
      </c>
      <c r="H4699">
        <v>1</v>
      </c>
      <c r="I4699" t="s">
        <v>32</v>
      </c>
      <c r="J4699">
        <v>0</v>
      </c>
      <c r="K4699">
        <v>55</v>
      </c>
      <c r="L4699" t="s">
        <v>20</v>
      </c>
      <c r="M4699" t="s">
        <v>31</v>
      </c>
      <c r="N4699" t="s">
        <v>30</v>
      </c>
      <c r="O4699" t="s">
        <v>27</v>
      </c>
      <c r="P4699">
        <v>8.49</v>
      </c>
      <c r="Q4699" s="2" t="b">
        <f>TRUE()</f>
        <v>1</v>
      </c>
      <c r="R4699">
        <v>1</v>
      </c>
    </row>
    <row r="4700" spans="1:18" x14ac:dyDescent="0.25">
      <c r="A4700">
        <v>204699</v>
      </c>
      <c r="B4700">
        <v>54852</v>
      </c>
      <c r="C4700" t="s">
        <v>18</v>
      </c>
      <c r="D4700">
        <v>2969.81</v>
      </c>
      <c r="E4700">
        <v>180</v>
      </c>
      <c r="F4700">
        <v>1</v>
      </c>
      <c r="G4700">
        <v>4</v>
      </c>
      <c r="H4700">
        <v>0</v>
      </c>
      <c r="I4700" t="s">
        <v>19</v>
      </c>
      <c r="J4700">
        <v>0</v>
      </c>
      <c r="K4700">
        <v>34</v>
      </c>
      <c r="L4700" t="s">
        <v>24</v>
      </c>
      <c r="M4700" t="s">
        <v>21</v>
      </c>
      <c r="N4700" t="s">
        <v>22</v>
      </c>
      <c r="O4700" t="s">
        <v>36</v>
      </c>
      <c r="P4700">
        <v>2.2999999999999998</v>
      </c>
      <c r="Q4700" s="2" t="b">
        <f>FALSE()</f>
        <v>0</v>
      </c>
      <c r="R4700">
        <v>0</v>
      </c>
    </row>
    <row r="4701" spans="1:18" x14ac:dyDescent="0.25">
      <c r="A4701">
        <v>204700</v>
      </c>
      <c r="B4701">
        <v>55851</v>
      </c>
      <c r="C4701" t="s">
        <v>18</v>
      </c>
      <c r="D4701">
        <v>990.34</v>
      </c>
      <c r="E4701">
        <v>708</v>
      </c>
      <c r="F4701">
        <v>3</v>
      </c>
      <c r="G4701">
        <v>3</v>
      </c>
      <c r="H4701">
        <v>0</v>
      </c>
      <c r="I4701" t="s">
        <v>33</v>
      </c>
      <c r="J4701">
        <v>0</v>
      </c>
      <c r="K4701">
        <v>78</v>
      </c>
      <c r="L4701" t="s">
        <v>24</v>
      </c>
      <c r="M4701" t="s">
        <v>35</v>
      </c>
      <c r="N4701" t="s">
        <v>22</v>
      </c>
      <c r="O4701" t="s">
        <v>36</v>
      </c>
      <c r="P4701">
        <v>1.73</v>
      </c>
      <c r="Q4701" s="2" t="b">
        <f>FALSE()</f>
        <v>0</v>
      </c>
      <c r="R4701">
        <v>1</v>
      </c>
    </row>
    <row r="4702" spans="1:18" x14ac:dyDescent="0.25">
      <c r="A4702">
        <v>204701</v>
      </c>
      <c r="B4702">
        <v>53051</v>
      </c>
      <c r="C4702" t="s">
        <v>18</v>
      </c>
      <c r="D4702">
        <v>2426.41</v>
      </c>
      <c r="E4702">
        <v>1604</v>
      </c>
      <c r="F4702">
        <v>0</v>
      </c>
      <c r="G4702">
        <v>3</v>
      </c>
      <c r="H4702">
        <v>0</v>
      </c>
      <c r="I4702" t="s">
        <v>33</v>
      </c>
      <c r="J4702">
        <v>0</v>
      </c>
      <c r="K4702">
        <v>20</v>
      </c>
      <c r="L4702" t="s">
        <v>20</v>
      </c>
      <c r="M4702" t="s">
        <v>25</v>
      </c>
      <c r="N4702" t="s">
        <v>22</v>
      </c>
      <c r="O4702" t="s">
        <v>27</v>
      </c>
      <c r="P4702">
        <v>7.51</v>
      </c>
      <c r="Q4702" s="2" t="b">
        <f>FALSE()</f>
        <v>0</v>
      </c>
      <c r="R4702">
        <v>0</v>
      </c>
    </row>
    <row r="4703" spans="1:18" x14ac:dyDescent="0.25">
      <c r="A4703">
        <v>204702</v>
      </c>
      <c r="B4703">
        <v>51983</v>
      </c>
      <c r="C4703" t="s">
        <v>28</v>
      </c>
      <c r="D4703">
        <v>1916.01</v>
      </c>
      <c r="E4703">
        <v>1128</v>
      </c>
      <c r="F4703">
        <v>1</v>
      </c>
      <c r="G4703">
        <v>9</v>
      </c>
      <c r="H4703">
        <v>0</v>
      </c>
      <c r="I4703" t="s">
        <v>32</v>
      </c>
      <c r="J4703">
        <v>0</v>
      </c>
      <c r="K4703">
        <v>25</v>
      </c>
      <c r="L4703" t="s">
        <v>24</v>
      </c>
      <c r="M4703" t="s">
        <v>21</v>
      </c>
      <c r="N4703" t="s">
        <v>26</v>
      </c>
      <c r="O4703" t="s">
        <v>36</v>
      </c>
      <c r="P4703">
        <v>0.76</v>
      </c>
      <c r="Q4703" s="2" t="b">
        <f>FALSE()</f>
        <v>0</v>
      </c>
      <c r="R4703">
        <v>1</v>
      </c>
    </row>
    <row r="4704" spans="1:18" x14ac:dyDescent="0.25">
      <c r="A4704">
        <v>204703</v>
      </c>
      <c r="B4704">
        <v>53561</v>
      </c>
      <c r="C4704" t="s">
        <v>18</v>
      </c>
      <c r="D4704">
        <v>2628.46</v>
      </c>
      <c r="E4704">
        <v>1238</v>
      </c>
      <c r="F4704">
        <v>1</v>
      </c>
      <c r="G4704">
        <v>2</v>
      </c>
      <c r="H4704">
        <v>0</v>
      </c>
      <c r="I4704" t="s">
        <v>32</v>
      </c>
      <c r="J4704">
        <v>0</v>
      </c>
      <c r="K4704">
        <v>52</v>
      </c>
      <c r="L4704" t="s">
        <v>24</v>
      </c>
      <c r="M4704" t="s">
        <v>37</v>
      </c>
      <c r="N4704" t="s">
        <v>22</v>
      </c>
      <c r="O4704" t="s">
        <v>27</v>
      </c>
      <c r="P4704">
        <v>1.23</v>
      </c>
      <c r="Q4704" s="2" t="b">
        <f>FALSE()</f>
        <v>0</v>
      </c>
      <c r="R4704">
        <v>0</v>
      </c>
    </row>
    <row r="4705" spans="1:18" x14ac:dyDescent="0.25">
      <c r="A4705">
        <v>204704</v>
      </c>
      <c r="B4705">
        <v>50184</v>
      </c>
      <c r="C4705" t="s">
        <v>18</v>
      </c>
      <c r="D4705">
        <v>1519.82</v>
      </c>
      <c r="E4705">
        <v>1271</v>
      </c>
      <c r="F4705">
        <v>1</v>
      </c>
      <c r="G4705">
        <v>7</v>
      </c>
      <c r="H4705">
        <v>1</v>
      </c>
      <c r="I4705" t="s">
        <v>33</v>
      </c>
      <c r="J4705">
        <v>0</v>
      </c>
      <c r="K4705">
        <v>56</v>
      </c>
      <c r="L4705" t="s">
        <v>20</v>
      </c>
      <c r="M4705" t="s">
        <v>25</v>
      </c>
      <c r="N4705" t="s">
        <v>30</v>
      </c>
      <c r="O4705" t="s">
        <v>23</v>
      </c>
      <c r="P4705">
        <v>5.14</v>
      </c>
      <c r="Q4705" s="2" t="b">
        <f>FALSE()</f>
        <v>0</v>
      </c>
      <c r="R4705">
        <v>1</v>
      </c>
    </row>
    <row r="4706" spans="1:18" x14ac:dyDescent="0.25">
      <c r="A4706">
        <v>204705</v>
      </c>
      <c r="B4706">
        <v>54615</v>
      </c>
      <c r="C4706" t="s">
        <v>18</v>
      </c>
      <c r="D4706">
        <v>4149.3500000000004</v>
      </c>
      <c r="E4706">
        <v>583</v>
      </c>
      <c r="F4706">
        <v>0</v>
      </c>
      <c r="G4706">
        <v>6</v>
      </c>
      <c r="H4706">
        <v>0</v>
      </c>
      <c r="I4706" t="s">
        <v>32</v>
      </c>
      <c r="J4706">
        <v>0</v>
      </c>
      <c r="K4706">
        <v>54</v>
      </c>
      <c r="L4706" t="s">
        <v>24</v>
      </c>
      <c r="M4706" t="s">
        <v>25</v>
      </c>
      <c r="N4706" t="s">
        <v>22</v>
      </c>
      <c r="O4706" t="s">
        <v>36</v>
      </c>
      <c r="P4706">
        <v>1.84</v>
      </c>
      <c r="Q4706" s="2" t="b">
        <f>FALSE()</f>
        <v>0</v>
      </c>
      <c r="R4706">
        <v>1</v>
      </c>
    </row>
    <row r="4707" spans="1:18" x14ac:dyDescent="0.25">
      <c r="A4707">
        <v>204706</v>
      </c>
      <c r="B4707">
        <v>52934</v>
      </c>
      <c r="C4707" t="s">
        <v>28</v>
      </c>
      <c r="D4707">
        <v>1556.67</v>
      </c>
      <c r="E4707">
        <v>1568</v>
      </c>
      <c r="F4707">
        <v>0</v>
      </c>
      <c r="G4707">
        <v>7</v>
      </c>
      <c r="H4707">
        <v>0</v>
      </c>
      <c r="I4707" t="s">
        <v>19</v>
      </c>
      <c r="J4707">
        <v>0</v>
      </c>
      <c r="K4707">
        <v>37</v>
      </c>
      <c r="L4707" t="s">
        <v>20</v>
      </c>
      <c r="M4707" t="s">
        <v>31</v>
      </c>
      <c r="N4707" t="s">
        <v>22</v>
      </c>
      <c r="O4707" t="s">
        <v>23</v>
      </c>
      <c r="P4707">
        <v>2.0499999999999998</v>
      </c>
      <c r="Q4707" s="2" t="b">
        <f>FALSE()</f>
        <v>0</v>
      </c>
      <c r="R4707">
        <v>1</v>
      </c>
    </row>
    <row r="4708" spans="1:18" x14ac:dyDescent="0.25">
      <c r="A4708">
        <v>204707</v>
      </c>
      <c r="B4708">
        <v>52368</v>
      </c>
      <c r="C4708" t="s">
        <v>18</v>
      </c>
      <c r="D4708">
        <v>4554.38</v>
      </c>
      <c r="E4708">
        <v>363</v>
      </c>
      <c r="F4708">
        <v>1</v>
      </c>
      <c r="G4708">
        <v>2</v>
      </c>
      <c r="H4708">
        <v>1</v>
      </c>
      <c r="I4708" t="s">
        <v>33</v>
      </c>
      <c r="J4708">
        <v>0</v>
      </c>
      <c r="K4708">
        <v>45</v>
      </c>
      <c r="L4708" t="s">
        <v>24</v>
      </c>
      <c r="M4708" t="s">
        <v>29</v>
      </c>
      <c r="N4708" t="s">
        <v>22</v>
      </c>
      <c r="O4708" t="s">
        <v>23</v>
      </c>
      <c r="P4708">
        <v>3.68</v>
      </c>
      <c r="Q4708" s="2" t="b">
        <f>FALSE()</f>
        <v>0</v>
      </c>
      <c r="R4708">
        <v>1</v>
      </c>
    </row>
    <row r="4709" spans="1:18" x14ac:dyDescent="0.25">
      <c r="A4709">
        <v>204708</v>
      </c>
      <c r="B4709">
        <v>50003</v>
      </c>
      <c r="C4709" t="s">
        <v>34</v>
      </c>
      <c r="D4709">
        <v>1701.01</v>
      </c>
      <c r="E4709">
        <v>2873</v>
      </c>
      <c r="F4709">
        <v>1</v>
      </c>
      <c r="G4709">
        <v>3</v>
      </c>
      <c r="H4709">
        <v>0</v>
      </c>
      <c r="I4709" t="s">
        <v>19</v>
      </c>
      <c r="J4709">
        <v>0</v>
      </c>
      <c r="K4709">
        <v>67</v>
      </c>
      <c r="L4709" t="s">
        <v>20</v>
      </c>
      <c r="M4709" t="s">
        <v>25</v>
      </c>
      <c r="N4709" t="s">
        <v>26</v>
      </c>
      <c r="O4709" t="s">
        <v>27</v>
      </c>
      <c r="P4709">
        <v>0.04</v>
      </c>
      <c r="Q4709" s="2" t="b">
        <f>FALSE()</f>
        <v>0</v>
      </c>
      <c r="R4709">
        <v>0</v>
      </c>
    </row>
    <row r="4710" spans="1:18" x14ac:dyDescent="0.25">
      <c r="A4710">
        <v>204709</v>
      </c>
      <c r="B4710">
        <v>51266</v>
      </c>
      <c r="C4710" t="s">
        <v>34</v>
      </c>
      <c r="D4710">
        <v>3178.63</v>
      </c>
      <c r="E4710">
        <v>3088</v>
      </c>
      <c r="F4710">
        <v>1</v>
      </c>
      <c r="G4710">
        <v>4</v>
      </c>
      <c r="H4710">
        <v>0</v>
      </c>
      <c r="I4710" t="s">
        <v>19</v>
      </c>
      <c r="J4710">
        <v>0</v>
      </c>
      <c r="K4710">
        <v>58</v>
      </c>
      <c r="L4710" t="s">
        <v>24</v>
      </c>
      <c r="M4710" t="s">
        <v>35</v>
      </c>
      <c r="N4710" t="s">
        <v>30</v>
      </c>
      <c r="O4710" t="s">
        <v>27</v>
      </c>
      <c r="P4710">
        <v>1.46</v>
      </c>
      <c r="Q4710" s="2" t="b">
        <f>FALSE()</f>
        <v>0</v>
      </c>
      <c r="R4710">
        <v>0</v>
      </c>
    </row>
    <row r="4711" spans="1:18" x14ac:dyDescent="0.25">
      <c r="A4711">
        <v>204710</v>
      </c>
      <c r="B4711">
        <v>50098</v>
      </c>
      <c r="C4711" t="s">
        <v>34</v>
      </c>
      <c r="D4711">
        <v>3143.33</v>
      </c>
      <c r="E4711">
        <v>2319</v>
      </c>
      <c r="F4711">
        <v>1</v>
      </c>
      <c r="G4711">
        <v>6</v>
      </c>
      <c r="H4711">
        <v>0</v>
      </c>
      <c r="I4711" t="s">
        <v>33</v>
      </c>
      <c r="J4711">
        <v>0</v>
      </c>
      <c r="K4711">
        <v>66</v>
      </c>
      <c r="L4711" t="s">
        <v>24</v>
      </c>
      <c r="M4711" t="s">
        <v>25</v>
      </c>
      <c r="N4711" t="s">
        <v>30</v>
      </c>
      <c r="O4711" t="s">
        <v>36</v>
      </c>
      <c r="P4711">
        <v>2.8</v>
      </c>
      <c r="Q4711" s="2" t="b">
        <f>FALSE()</f>
        <v>0</v>
      </c>
      <c r="R4711">
        <v>0</v>
      </c>
    </row>
    <row r="4712" spans="1:18" x14ac:dyDescent="0.25">
      <c r="A4712">
        <v>204711</v>
      </c>
      <c r="B4712">
        <v>51697</v>
      </c>
      <c r="C4712" t="s">
        <v>18</v>
      </c>
      <c r="D4712">
        <v>691.16</v>
      </c>
      <c r="E4712">
        <v>1157</v>
      </c>
      <c r="F4712">
        <v>2</v>
      </c>
      <c r="G4712">
        <v>9</v>
      </c>
      <c r="H4712">
        <v>0</v>
      </c>
      <c r="I4712" t="s">
        <v>19</v>
      </c>
      <c r="J4712">
        <v>0</v>
      </c>
      <c r="K4712">
        <v>45</v>
      </c>
      <c r="L4712" t="s">
        <v>20</v>
      </c>
      <c r="M4712" t="s">
        <v>37</v>
      </c>
      <c r="N4712" t="s">
        <v>30</v>
      </c>
      <c r="O4712" t="s">
        <v>36</v>
      </c>
      <c r="P4712">
        <v>1.1000000000000001</v>
      </c>
      <c r="Q4712" s="2" t="b">
        <f>FALSE()</f>
        <v>0</v>
      </c>
      <c r="R4712">
        <v>1</v>
      </c>
    </row>
    <row r="4713" spans="1:18" x14ac:dyDescent="0.25">
      <c r="A4713">
        <v>204712</v>
      </c>
      <c r="B4713">
        <v>53924</v>
      </c>
      <c r="C4713" t="s">
        <v>18</v>
      </c>
      <c r="D4713">
        <v>2792.55</v>
      </c>
      <c r="E4713">
        <v>939</v>
      </c>
      <c r="F4713">
        <v>1</v>
      </c>
      <c r="G4713">
        <v>2</v>
      </c>
      <c r="H4713">
        <v>1</v>
      </c>
      <c r="I4713" t="s">
        <v>33</v>
      </c>
      <c r="J4713">
        <v>0</v>
      </c>
      <c r="K4713">
        <v>20</v>
      </c>
      <c r="L4713" t="s">
        <v>24</v>
      </c>
      <c r="M4713" t="s">
        <v>37</v>
      </c>
      <c r="N4713" t="s">
        <v>30</v>
      </c>
      <c r="O4713" t="s">
        <v>36</v>
      </c>
      <c r="P4713">
        <v>0.62</v>
      </c>
      <c r="Q4713" s="2" t="b">
        <f>FALSE()</f>
        <v>0</v>
      </c>
      <c r="R4713">
        <v>0</v>
      </c>
    </row>
    <row r="4714" spans="1:18" x14ac:dyDescent="0.25">
      <c r="A4714">
        <v>204713</v>
      </c>
      <c r="B4714">
        <v>54636</v>
      </c>
      <c r="C4714" t="s">
        <v>18</v>
      </c>
      <c r="D4714">
        <v>1177.9000000000001</v>
      </c>
      <c r="E4714">
        <v>1328</v>
      </c>
      <c r="F4714">
        <v>1</v>
      </c>
      <c r="G4714">
        <v>5</v>
      </c>
      <c r="H4714">
        <v>0</v>
      </c>
      <c r="I4714" t="s">
        <v>32</v>
      </c>
      <c r="J4714">
        <v>0</v>
      </c>
      <c r="K4714">
        <v>58</v>
      </c>
      <c r="L4714" t="s">
        <v>24</v>
      </c>
      <c r="M4714" t="s">
        <v>29</v>
      </c>
      <c r="N4714" t="s">
        <v>26</v>
      </c>
      <c r="O4714" t="s">
        <v>23</v>
      </c>
      <c r="P4714">
        <v>6.42</v>
      </c>
      <c r="Q4714" s="2" t="b">
        <f>FALSE()</f>
        <v>0</v>
      </c>
      <c r="R4714">
        <v>0</v>
      </c>
    </row>
    <row r="4715" spans="1:18" x14ac:dyDescent="0.25">
      <c r="A4715">
        <v>204714</v>
      </c>
      <c r="B4715">
        <v>53181</v>
      </c>
      <c r="C4715" t="s">
        <v>18</v>
      </c>
      <c r="D4715">
        <v>1279.31</v>
      </c>
      <c r="E4715">
        <v>3509</v>
      </c>
      <c r="F4715">
        <v>2</v>
      </c>
      <c r="G4715">
        <v>5</v>
      </c>
      <c r="H4715">
        <v>0</v>
      </c>
      <c r="I4715" t="s">
        <v>33</v>
      </c>
      <c r="J4715">
        <v>1</v>
      </c>
      <c r="K4715">
        <v>52</v>
      </c>
      <c r="L4715" t="s">
        <v>20</v>
      </c>
      <c r="M4715" t="s">
        <v>21</v>
      </c>
      <c r="N4715" t="s">
        <v>30</v>
      </c>
      <c r="O4715" t="s">
        <v>36</v>
      </c>
      <c r="P4715">
        <v>1.1100000000000001</v>
      </c>
      <c r="Q4715" s="2" t="b">
        <f>FALSE()</f>
        <v>0</v>
      </c>
      <c r="R4715">
        <v>0</v>
      </c>
    </row>
    <row r="4716" spans="1:18" x14ac:dyDescent="0.25">
      <c r="A4716">
        <v>204715</v>
      </c>
      <c r="B4716">
        <v>53548</v>
      </c>
      <c r="C4716" t="s">
        <v>18</v>
      </c>
      <c r="D4716">
        <v>3335.09</v>
      </c>
      <c r="E4716">
        <v>218</v>
      </c>
      <c r="F4716">
        <v>1</v>
      </c>
      <c r="G4716">
        <v>4</v>
      </c>
      <c r="H4716">
        <v>0</v>
      </c>
      <c r="I4716" t="s">
        <v>33</v>
      </c>
      <c r="J4716">
        <v>0</v>
      </c>
      <c r="K4716">
        <v>37</v>
      </c>
      <c r="L4716" t="s">
        <v>20</v>
      </c>
      <c r="M4716" t="s">
        <v>21</v>
      </c>
      <c r="N4716" t="s">
        <v>30</v>
      </c>
      <c r="O4716" t="s">
        <v>36</v>
      </c>
      <c r="P4716">
        <v>4.6900000000000004</v>
      </c>
      <c r="Q4716" s="2" t="b">
        <f>FALSE()</f>
        <v>0</v>
      </c>
      <c r="R4716">
        <v>0</v>
      </c>
    </row>
    <row r="4717" spans="1:18" x14ac:dyDescent="0.25">
      <c r="A4717">
        <v>204716</v>
      </c>
      <c r="B4717">
        <v>51797</v>
      </c>
      <c r="C4717" t="s">
        <v>34</v>
      </c>
      <c r="D4717">
        <v>2697.8</v>
      </c>
      <c r="E4717">
        <v>1147</v>
      </c>
      <c r="F4717">
        <v>0</v>
      </c>
      <c r="G4717">
        <v>7</v>
      </c>
      <c r="H4717">
        <v>1</v>
      </c>
      <c r="I4717" t="s">
        <v>32</v>
      </c>
      <c r="J4717">
        <v>0</v>
      </c>
      <c r="K4717">
        <v>44</v>
      </c>
      <c r="L4717" t="s">
        <v>20</v>
      </c>
      <c r="M4717" t="s">
        <v>37</v>
      </c>
      <c r="N4717" t="s">
        <v>22</v>
      </c>
      <c r="O4717" t="s">
        <v>36</v>
      </c>
      <c r="P4717">
        <v>0.78</v>
      </c>
      <c r="Q4717" s="2" t="b">
        <f>FALSE()</f>
        <v>0</v>
      </c>
      <c r="R4717">
        <v>1</v>
      </c>
    </row>
    <row r="4718" spans="1:18" x14ac:dyDescent="0.25">
      <c r="A4718">
        <v>204717</v>
      </c>
      <c r="B4718">
        <v>55723</v>
      </c>
      <c r="C4718" t="s">
        <v>18</v>
      </c>
      <c r="D4718">
        <v>964.87</v>
      </c>
      <c r="E4718">
        <v>254</v>
      </c>
      <c r="F4718">
        <v>2</v>
      </c>
      <c r="G4718">
        <v>5</v>
      </c>
      <c r="H4718">
        <v>1</v>
      </c>
      <c r="I4718" t="s">
        <v>32</v>
      </c>
      <c r="J4718">
        <v>0</v>
      </c>
      <c r="K4718">
        <v>84</v>
      </c>
      <c r="L4718" t="s">
        <v>24</v>
      </c>
      <c r="M4718" t="s">
        <v>37</v>
      </c>
      <c r="N4718" t="s">
        <v>26</v>
      </c>
      <c r="O4718" t="s">
        <v>36</v>
      </c>
      <c r="P4718">
        <v>1.82</v>
      </c>
      <c r="Q4718" s="2" t="b">
        <f>FALSE()</f>
        <v>0</v>
      </c>
      <c r="R4718">
        <v>0</v>
      </c>
    </row>
    <row r="4719" spans="1:18" x14ac:dyDescent="0.25">
      <c r="A4719">
        <v>204718</v>
      </c>
      <c r="B4719">
        <v>53894</v>
      </c>
      <c r="C4719" t="s">
        <v>34</v>
      </c>
      <c r="D4719">
        <v>4168.1400000000003</v>
      </c>
      <c r="E4719">
        <v>1977</v>
      </c>
      <c r="F4719">
        <v>0</v>
      </c>
      <c r="G4719">
        <v>3</v>
      </c>
      <c r="H4719">
        <v>0</v>
      </c>
      <c r="I4719" t="s">
        <v>33</v>
      </c>
      <c r="J4719">
        <v>0</v>
      </c>
      <c r="K4719">
        <v>82</v>
      </c>
      <c r="L4719" t="s">
        <v>24</v>
      </c>
      <c r="M4719" t="s">
        <v>29</v>
      </c>
      <c r="N4719" t="s">
        <v>22</v>
      </c>
      <c r="O4719" t="s">
        <v>36</v>
      </c>
      <c r="P4719">
        <v>3.16</v>
      </c>
      <c r="Q4719" s="2" t="b">
        <f>FALSE()</f>
        <v>0</v>
      </c>
      <c r="R4719">
        <v>1</v>
      </c>
    </row>
    <row r="4720" spans="1:18" x14ac:dyDescent="0.25">
      <c r="A4720">
        <v>204719</v>
      </c>
      <c r="B4720">
        <v>54469</v>
      </c>
      <c r="C4720" t="s">
        <v>18</v>
      </c>
      <c r="D4720">
        <v>2316.2399999999998</v>
      </c>
      <c r="E4720">
        <v>2978</v>
      </c>
      <c r="F4720">
        <v>2</v>
      </c>
      <c r="G4720">
        <v>4</v>
      </c>
      <c r="H4720">
        <v>0</v>
      </c>
      <c r="I4720" t="s">
        <v>33</v>
      </c>
      <c r="J4720">
        <v>0</v>
      </c>
      <c r="K4720">
        <v>44</v>
      </c>
      <c r="L4720" t="s">
        <v>20</v>
      </c>
      <c r="M4720" t="s">
        <v>29</v>
      </c>
      <c r="N4720" t="s">
        <v>22</v>
      </c>
      <c r="O4720" t="s">
        <v>36</v>
      </c>
      <c r="P4720">
        <v>0.51</v>
      </c>
      <c r="Q4720" s="2" t="b">
        <f>FALSE()</f>
        <v>0</v>
      </c>
      <c r="R4720">
        <v>0</v>
      </c>
    </row>
    <row r="4721" spans="1:18" x14ac:dyDescent="0.25">
      <c r="A4721">
        <v>204720</v>
      </c>
      <c r="B4721">
        <v>53537</v>
      </c>
      <c r="C4721" t="s">
        <v>34</v>
      </c>
      <c r="D4721">
        <v>2722.13</v>
      </c>
      <c r="E4721">
        <v>1866</v>
      </c>
      <c r="F4721">
        <v>3</v>
      </c>
      <c r="G4721">
        <v>9</v>
      </c>
      <c r="H4721">
        <v>0</v>
      </c>
      <c r="I4721" t="s">
        <v>19</v>
      </c>
      <c r="J4721">
        <v>1</v>
      </c>
      <c r="K4721">
        <v>48</v>
      </c>
      <c r="L4721" t="s">
        <v>20</v>
      </c>
      <c r="M4721" t="s">
        <v>25</v>
      </c>
      <c r="N4721" t="s">
        <v>22</v>
      </c>
      <c r="O4721" t="s">
        <v>36</v>
      </c>
      <c r="P4721">
        <v>0.63</v>
      </c>
      <c r="Q4721" s="2" t="b">
        <f>FALSE()</f>
        <v>0</v>
      </c>
      <c r="R4721">
        <v>1</v>
      </c>
    </row>
    <row r="4722" spans="1:18" x14ac:dyDescent="0.25">
      <c r="A4722">
        <v>204721</v>
      </c>
      <c r="B4722">
        <v>51292</v>
      </c>
      <c r="C4722" t="s">
        <v>18</v>
      </c>
      <c r="D4722">
        <v>2923.09</v>
      </c>
      <c r="E4722">
        <v>1457</v>
      </c>
      <c r="F4722">
        <v>2</v>
      </c>
      <c r="G4722">
        <v>4</v>
      </c>
      <c r="H4722">
        <v>1</v>
      </c>
      <c r="I4722" t="s">
        <v>33</v>
      </c>
      <c r="J4722">
        <v>0</v>
      </c>
      <c r="K4722">
        <v>69</v>
      </c>
      <c r="L4722" t="s">
        <v>20</v>
      </c>
      <c r="M4722" t="s">
        <v>31</v>
      </c>
      <c r="N4722" t="s">
        <v>22</v>
      </c>
      <c r="O4722" t="s">
        <v>36</v>
      </c>
      <c r="P4722">
        <v>6.78</v>
      </c>
      <c r="Q4722" s="2" t="b">
        <f>FALSE()</f>
        <v>0</v>
      </c>
      <c r="R4722">
        <v>0</v>
      </c>
    </row>
    <row r="4723" spans="1:18" x14ac:dyDescent="0.25">
      <c r="A4723">
        <v>204722</v>
      </c>
      <c r="B4723">
        <v>54708</v>
      </c>
      <c r="C4723" t="s">
        <v>18</v>
      </c>
      <c r="D4723">
        <v>808.31</v>
      </c>
      <c r="E4723">
        <v>1111</v>
      </c>
      <c r="F4723">
        <v>3</v>
      </c>
      <c r="G4723">
        <v>3</v>
      </c>
      <c r="H4723">
        <v>1</v>
      </c>
      <c r="I4723" t="s">
        <v>33</v>
      </c>
      <c r="J4723">
        <v>0</v>
      </c>
      <c r="K4723">
        <v>80</v>
      </c>
      <c r="L4723" t="s">
        <v>20</v>
      </c>
      <c r="M4723" t="s">
        <v>25</v>
      </c>
      <c r="N4723" t="s">
        <v>30</v>
      </c>
      <c r="O4723" t="s">
        <v>23</v>
      </c>
      <c r="P4723">
        <v>1.35</v>
      </c>
      <c r="Q4723" s="2" t="b">
        <f>FALSE()</f>
        <v>0</v>
      </c>
      <c r="R4723">
        <v>1</v>
      </c>
    </row>
    <row r="4724" spans="1:18" x14ac:dyDescent="0.25">
      <c r="A4724">
        <v>204723</v>
      </c>
      <c r="B4724">
        <v>52417</v>
      </c>
      <c r="C4724" t="s">
        <v>18</v>
      </c>
      <c r="D4724">
        <v>2615.96</v>
      </c>
      <c r="E4724">
        <v>1923</v>
      </c>
      <c r="F4724">
        <v>3</v>
      </c>
      <c r="G4724">
        <v>1</v>
      </c>
      <c r="H4724">
        <v>0</v>
      </c>
      <c r="I4724" t="s">
        <v>19</v>
      </c>
      <c r="J4724">
        <v>0</v>
      </c>
      <c r="K4724">
        <v>66</v>
      </c>
      <c r="L4724" t="s">
        <v>24</v>
      </c>
      <c r="M4724" t="s">
        <v>37</v>
      </c>
      <c r="N4724" t="s">
        <v>22</v>
      </c>
      <c r="O4724" t="s">
        <v>23</v>
      </c>
      <c r="P4724">
        <v>3.79</v>
      </c>
      <c r="Q4724" s="2" t="b">
        <f>FALSE()</f>
        <v>0</v>
      </c>
      <c r="R4724">
        <v>1</v>
      </c>
    </row>
    <row r="4725" spans="1:18" x14ac:dyDescent="0.25">
      <c r="A4725">
        <v>204724</v>
      </c>
      <c r="B4725">
        <v>54938</v>
      </c>
      <c r="C4725" t="s">
        <v>18</v>
      </c>
      <c r="D4725">
        <v>2686.81</v>
      </c>
      <c r="E4725">
        <v>1045</v>
      </c>
      <c r="F4725">
        <v>2</v>
      </c>
      <c r="G4725">
        <v>2</v>
      </c>
      <c r="H4725">
        <v>0</v>
      </c>
      <c r="I4725" t="s">
        <v>33</v>
      </c>
      <c r="J4725">
        <v>0</v>
      </c>
      <c r="K4725">
        <v>25</v>
      </c>
      <c r="L4725" t="s">
        <v>20</v>
      </c>
      <c r="M4725" t="s">
        <v>21</v>
      </c>
      <c r="N4725" t="s">
        <v>30</v>
      </c>
      <c r="O4725" t="s">
        <v>27</v>
      </c>
      <c r="P4725">
        <v>2.6</v>
      </c>
      <c r="Q4725" s="2" t="b">
        <f>FALSE()</f>
        <v>0</v>
      </c>
      <c r="R4725">
        <v>0</v>
      </c>
    </row>
    <row r="4726" spans="1:18" x14ac:dyDescent="0.25">
      <c r="A4726">
        <v>204725</v>
      </c>
      <c r="B4726">
        <v>50539</v>
      </c>
      <c r="C4726" t="s">
        <v>34</v>
      </c>
      <c r="D4726">
        <v>3868.03</v>
      </c>
      <c r="E4726">
        <v>1456</v>
      </c>
      <c r="F4726">
        <v>1</v>
      </c>
      <c r="G4726">
        <v>3</v>
      </c>
      <c r="H4726">
        <v>0</v>
      </c>
      <c r="I4726" t="s">
        <v>33</v>
      </c>
      <c r="J4726">
        <v>0</v>
      </c>
      <c r="K4726">
        <v>59</v>
      </c>
      <c r="L4726" t="s">
        <v>24</v>
      </c>
      <c r="M4726" t="s">
        <v>29</v>
      </c>
      <c r="N4726" t="s">
        <v>30</v>
      </c>
      <c r="O4726" t="s">
        <v>27</v>
      </c>
      <c r="P4726">
        <v>1.89</v>
      </c>
      <c r="Q4726" s="2" t="b">
        <f>FALSE()</f>
        <v>0</v>
      </c>
      <c r="R4726">
        <v>1</v>
      </c>
    </row>
    <row r="4727" spans="1:18" x14ac:dyDescent="0.25">
      <c r="A4727">
        <v>204726</v>
      </c>
      <c r="B4727">
        <v>53978</v>
      </c>
      <c r="C4727" t="s">
        <v>34</v>
      </c>
      <c r="D4727">
        <v>201.69</v>
      </c>
      <c r="E4727">
        <v>1454</v>
      </c>
      <c r="F4727">
        <v>0</v>
      </c>
      <c r="G4727">
        <v>2</v>
      </c>
      <c r="H4727">
        <v>0</v>
      </c>
      <c r="I4727" t="s">
        <v>33</v>
      </c>
      <c r="J4727">
        <v>0</v>
      </c>
      <c r="K4727">
        <v>39</v>
      </c>
      <c r="L4727" t="s">
        <v>24</v>
      </c>
      <c r="M4727" t="s">
        <v>35</v>
      </c>
      <c r="N4727" t="s">
        <v>22</v>
      </c>
      <c r="O4727" t="s">
        <v>27</v>
      </c>
      <c r="P4727">
        <v>3.76</v>
      </c>
      <c r="Q4727" s="2" t="b">
        <f>FALSE()</f>
        <v>0</v>
      </c>
      <c r="R4727">
        <v>0</v>
      </c>
    </row>
    <row r="4728" spans="1:18" x14ac:dyDescent="0.25">
      <c r="A4728">
        <v>204727</v>
      </c>
      <c r="B4728">
        <v>50357</v>
      </c>
      <c r="C4728" t="s">
        <v>18</v>
      </c>
      <c r="D4728">
        <v>1717.52</v>
      </c>
      <c r="E4728">
        <v>606</v>
      </c>
      <c r="F4728">
        <v>1</v>
      </c>
      <c r="G4728">
        <v>4</v>
      </c>
      <c r="H4728">
        <v>0</v>
      </c>
      <c r="I4728" t="s">
        <v>19</v>
      </c>
      <c r="J4728">
        <v>0</v>
      </c>
      <c r="K4728">
        <v>40</v>
      </c>
      <c r="L4728" t="s">
        <v>24</v>
      </c>
      <c r="M4728" t="s">
        <v>29</v>
      </c>
      <c r="N4728" t="s">
        <v>26</v>
      </c>
      <c r="O4728" t="s">
        <v>27</v>
      </c>
      <c r="P4728">
        <v>2.61</v>
      </c>
      <c r="Q4728" s="2" t="b">
        <f>FALSE()</f>
        <v>0</v>
      </c>
      <c r="R4728">
        <v>0</v>
      </c>
    </row>
    <row r="4729" spans="1:18" x14ac:dyDescent="0.25">
      <c r="A4729">
        <v>204728</v>
      </c>
      <c r="B4729">
        <v>51462</v>
      </c>
      <c r="C4729" t="s">
        <v>28</v>
      </c>
      <c r="D4729">
        <v>4250.45</v>
      </c>
      <c r="E4729">
        <v>1469</v>
      </c>
      <c r="F4729">
        <v>0</v>
      </c>
      <c r="G4729">
        <v>5</v>
      </c>
      <c r="H4729">
        <v>0</v>
      </c>
      <c r="I4729" t="s">
        <v>19</v>
      </c>
      <c r="J4729">
        <v>0</v>
      </c>
      <c r="K4729">
        <v>46</v>
      </c>
      <c r="L4729" t="s">
        <v>24</v>
      </c>
      <c r="M4729" t="s">
        <v>31</v>
      </c>
      <c r="N4729" t="s">
        <v>30</v>
      </c>
      <c r="O4729" t="s">
        <v>27</v>
      </c>
      <c r="P4729">
        <v>3.73</v>
      </c>
      <c r="Q4729" s="2" t="b">
        <f>FALSE()</f>
        <v>0</v>
      </c>
      <c r="R4729">
        <v>1</v>
      </c>
    </row>
    <row r="4730" spans="1:18" x14ac:dyDescent="0.25">
      <c r="A4730">
        <v>204729</v>
      </c>
      <c r="B4730">
        <v>55272</v>
      </c>
      <c r="C4730" t="s">
        <v>34</v>
      </c>
      <c r="D4730">
        <v>3017.42</v>
      </c>
      <c r="E4730">
        <v>2700</v>
      </c>
      <c r="F4730">
        <v>2</v>
      </c>
      <c r="G4730">
        <v>2</v>
      </c>
      <c r="H4730">
        <v>0</v>
      </c>
      <c r="I4730" t="s">
        <v>33</v>
      </c>
      <c r="J4730">
        <v>0</v>
      </c>
      <c r="K4730">
        <v>69</v>
      </c>
      <c r="L4730" t="s">
        <v>20</v>
      </c>
      <c r="M4730" t="s">
        <v>31</v>
      </c>
      <c r="N4730" t="s">
        <v>22</v>
      </c>
      <c r="O4730" t="s">
        <v>36</v>
      </c>
      <c r="P4730">
        <v>0.8</v>
      </c>
      <c r="Q4730" s="2" t="b">
        <f>FALSE()</f>
        <v>0</v>
      </c>
      <c r="R4730">
        <v>0</v>
      </c>
    </row>
    <row r="4731" spans="1:18" x14ac:dyDescent="0.25">
      <c r="A4731">
        <v>204730</v>
      </c>
      <c r="B4731">
        <v>51419</v>
      </c>
      <c r="C4731" t="s">
        <v>28</v>
      </c>
      <c r="D4731">
        <v>3342.02</v>
      </c>
      <c r="E4731">
        <v>2975</v>
      </c>
      <c r="F4731">
        <v>1</v>
      </c>
      <c r="G4731">
        <v>6</v>
      </c>
      <c r="H4731">
        <v>0</v>
      </c>
      <c r="I4731" t="s">
        <v>32</v>
      </c>
      <c r="J4731">
        <v>0</v>
      </c>
      <c r="K4731">
        <v>65</v>
      </c>
      <c r="L4731" t="s">
        <v>24</v>
      </c>
      <c r="M4731" t="s">
        <v>29</v>
      </c>
      <c r="N4731" t="s">
        <v>26</v>
      </c>
      <c r="O4731" t="s">
        <v>27</v>
      </c>
      <c r="P4731">
        <v>1.03</v>
      </c>
      <c r="Q4731" s="2" t="b">
        <f>FALSE()</f>
        <v>0</v>
      </c>
      <c r="R4731">
        <v>0</v>
      </c>
    </row>
    <row r="4732" spans="1:18" x14ac:dyDescent="0.25">
      <c r="A4732">
        <v>204731</v>
      </c>
      <c r="B4732">
        <v>55394</v>
      </c>
      <c r="C4732" t="s">
        <v>34</v>
      </c>
      <c r="D4732">
        <v>1557.44</v>
      </c>
      <c r="E4732">
        <v>1123</v>
      </c>
      <c r="F4732">
        <v>1</v>
      </c>
      <c r="G4732">
        <v>5</v>
      </c>
      <c r="H4732">
        <v>0</v>
      </c>
      <c r="I4732" t="s">
        <v>33</v>
      </c>
      <c r="J4732">
        <v>1</v>
      </c>
      <c r="K4732">
        <v>81</v>
      </c>
      <c r="L4732" t="s">
        <v>24</v>
      </c>
      <c r="M4732" t="s">
        <v>25</v>
      </c>
      <c r="N4732" t="s">
        <v>30</v>
      </c>
      <c r="O4732" t="s">
        <v>36</v>
      </c>
      <c r="P4732">
        <v>5.49</v>
      </c>
      <c r="Q4732" s="2" t="b">
        <f>FALSE()</f>
        <v>0</v>
      </c>
      <c r="R4732">
        <v>0</v>
      </c>
    </row>
    <row r="4733" spans="1:18" x14ac:dyDescent="0.25">
      <c r="A4733">
        <v>204732</v>
      </c>
      <c r="B4733">
        <v>54736</v>
      </c>
      <c r="C4733" t="s">
        <v>18</v>
      </c>
      <c r="D4733">
        <v>976.58</v>
      </c>
      <c r="E4733">
        <v>1039</v>
      </c>
      <c r="F4733">
        <v>0</v>
      </c>
      <c r="G4733">
        <v>4</v>
      </c>
      <c r="H4733">
        <v>0</v>
      </c>
      <c r="I4733" t="s">
        <v>33</v>
      </c>
      <c r="J4733">
        <v>0</v>
      </c>
      <c r="K4733">
        <v>45</v>
      </c>
      <c r="L4733" t="s">
        <v>24</v>
      </c>
      <c r="M4733" t="s">
        <v>25</v>
      </c>
      <c r="N4733" t="s">
        <v>26</v>
      </c>
      <c r="O4733" t="s">
        <v>27</v>
      </c>
      <c r="P4733">
        <v>0.19</v>
      </c>
      <c r="Q4733" s="2" t="b">
        <f>FALSE()</f>
        <v>0</v>
      </c>
      <c r="R4733">
        <v>0</v>
      </c>
    </row>
    <row r="4734" spans="1:18" x14ac:dyDescent="0.25">
      <c r="A4734">
        <v>204733</v>
      </c>
      <c r="B4734">
        <v>55842</v>
      </c>
      <c r="C4734" t="s">
        <v>18</v>
      </c>
      <c r="D4734">
        <v>2277.5100000000002</v>
      </c>
      <c r="E4734">
        <v>1747</v>
      </c>
      <c r="F4734">
        <v>0</v>
      </c>
      <c r="G4734">
        <v>4</v>
      </c>
      <c r="H4734">
        <v>0</v>
      </c>
      <c r="I4734" t="s">
        <v>19</v>
      </c>
      <c r="J4734">
        <v>0</v>
      </c>
      <c r="K4734">
        <v>18</v>
      </c>
      <c r="L4734" t="s">
        <v>24</v>
      </c>
      <c r="M4734" t="s">
        <v>35</v>
      </c>
      <c r="N4734" t="s">
        <v>22</v>
      </c>
      <c r="O4734" t="s">
        <v>36</v>
      </c>
      <c r="P4734">
        <v>1.3</v>
      </c>
      <c r="Q4734" s="2" t="b">
        <f>FALSE()</f>
        <v>0</v>
      </c>
      <c r="R4734">
        <v>0</v>
      </c>
    </row>
    <row r="4735" spans="1:18" x14ac:dyDescent="0.25">
      <c r="A4735">
        <v>204734</v>
      </c>
      <c r="B4735">
        <v>55819</v>
      </c>
      <c r="C4735" t="s">
        <v>18</v>
      </c>
      <c r="D4735">
        <v>2251.38</v>
      </c>
      <c r="E4735">
        <v>3099</v>
      </c>
      <c r="F4735">
        <v>1</v>
      </c>
      <c r="G4735">
        <v>7</v>
      </c>
      <c r="H4735">
        <v>0</v>
      </c>
      <c r="I4735" t="s">
        <v>33</v>
      </c>
      <c r="J4735">
        <v>0</v>
      </c>
      <c r="K4735">
        <v>52</v>
      </c>
      <c r="L4735" t="s">
        <v>24</v>
      </c>
      <c r="M4735" t="s">
        <v>25</v>
      </c>
      <c r="N4735" t="s">
        <v>22</v>
      </c>
      <c r="O4735" t="s">
        <v>36</v>
      </c>
      <c r="P4735">
        <v>0.18</v>
      </c>
      <c r="Q4735" s="2" t="b">
        <f>FALSE()</f>
        <v>0</v>
      </c>
      <c r="R4735">
        <v>1</v>
      </c>
    </row>
    <row r="4736" spans="1:18" x14ac:dyDescent="0.25">
      <c r="A4736">
        <v>204735</v>
      </c>
      <c r="B4736">
        <v>55357</v>
      </c>
      <c r="C4736" t="s">
        <v>18</v>
      </c>
      <c r="D4736">
        <v>1968.8</v>
      </c>
      <c r="E4736">
        <v>661</v>
      </c>
      <c r="F4736">
        <v>2</v>
      </c>
      <c r="G4736">
        <v>8</v>
      </c>
      <c r="H4736">
        <v>0</v>
      </c>
      <c r="I4736" t="s">
        <v>33</v>
      </c>
      <c r="J4736">
        <v>0</v>
      </c>
      <c r="K4736">
        <v>73</v>
      </c>
      <c r="L4736" t="s">
        <v>20</v>
      </c>
      <c r="M4736" t="s">
        <v>25</v>
      </c>
      <c r="N4736" t="s">
        <v>26</v>
      </c>
      <c r="O4736" t="s">
        <v>27</v>
      </c>
      <c r="P4736">
        <v>3.91</v>
      </c>
      <c r="Q4736" s="2" t="b">
        <f>FALSE()</f>
        <v>0</v>
      </c>
      <c r="R4736">
        <v>1</v>
      </c>
    </row>
    <row r="4737" spans="1:18" x14ac:dyDescent="0.25">
      <c r="A4737">
        <v>204736</v>
      </c>
      <c r="B4737">
        <v>51820</v>
      </c>
      <c r="C4737" t="s">
        <v>18</v>
      </c>
      <c r="D4737">
        <v>6127.31</v>
      </c>
      <c r="E4737">
        <v>117</v>
      </c>
      <c r="F4737">
        <v>0</v>
      </c>
      <c r="G4737">
        <v>2</v>
      </c>
      <c r="H4737">
        <v>1</v>
      </c>
      <c r="I4737" t="s">
        <v>19</v>
      </c>
      <c r="J4737">
        <v>0</v>
      </c>
      <c r="K4737">
        <v>49</v>
      </c>
      <c r="L4737" t="s">
        <v>24</v>
      </c>
      <c r="M4737" t="s">
        <v>35</v>
      </c>
      <c r="N4737" t="s">
        <v>26</v>
      </c>
      <c r="O4737" t="s">
        <v>23</v>
      </c>
      <c r="P4737">
        <v>1.78</v>
      </c>
      <c r="Q4737" s="2" t="b">
        <f>FALSE()</f>
        <v>0</v>
      </c>
      <c r="R4737">
        <v>1</v>
      </c>
    </row>
    <row r="4738" spans="1:18" x14ac:dyDescent="0.25">
      <c r="A4738">
        <v>204737</v>
      </c>
      <c r="B4738">
        <v>54411</v>
      </c>
      <c r="C4738" t="s">
        <v>34</v>
      </c>
      <c r="D4738">
        <v>2512.88</v>
      </c>
      <c r="E4738">
        <v>1635</v>
      </c>
      <c r="F4738">
        <v>2</v>
      </c>
      <c r="G4738">
        <v>5</v>
      </c>
      <c r="H4738">
        <v>0</v>
      </c>
      <c r="I4738" t="s">
        <v>19</v>
      </c>
      <c r="J4738">
        <v>0</v>
      </c>
      <c r="K4738">
        <v>51</v>
      </c>
      <c r="L4738" t="s">
        <v>20</v>
      </c>
      <c r="M4738" t="s">
        <v>37</v>
      </c>
      <c r="N4738" t="s">
        <v>22</v>
      </c>
      <c r="O4738" t="s">
        <v>27</v>
      </c>
      <c r="P4738">
        <v>1.68</v>
      </c>
      <c r="Q4738" s="2" t="b">
        <f>FALSE()</f>
        <v>0</v>
      </c>
      <c r="R4738">
        <v>0</v>
      </c>
    </row>
    <row r="4739" spans="1:18" x14ac:dyDescent="0.25">
      <c r="A4739">
        <v>204738</v>
      </c>
      <c r="B4739">
        <v>51795</v>
      </c>
      <c r="C4739" t="s">
        <v>34</v>
      </c>
      <c r="D4739">
        <v>2272.42</v>
      </c>
      <c r="E4739">
        <v>950</v>
      </c>
      <c r="F4739">
        <v>1</v>
      </c>
      <c r="G4739">
        <v>6</v>
      </c>
      <c r="H4739">
        <v>0</v>
      </c>
      <c r="I4739" t="s">
        <v>33</v>
      </c>
      <c r="J4739">
        <v>0</v>
      </c>
      <c r="K4739">
        <v>46</v>
      </c>
      <c r="L4739" t="s">
        <v>20</v>
      </c>
      <c r="M4739" t="s">
        <v>35</v>
      </c>
      <c r="N4739" t="s">
        <v>22</v>
      </c>
      <c r="O4739" t="s">
        <v>36</v>
      </c>
      <c r="P4739">
        <v>0.22</v>
      </c>
      <c r="Q4739" s="2" t="b">
        <f>FALSE()</f>
        <v>0</v>
      </c>
      <c r="R4739">
        <v>0</v>
      </c>
    </row>
    <row r="4740" spans="1:18" x14ac:dyDescent="0.25">
      <c r="A4740">
        <v>204739</v>
      </c>
      <c r="B4740">
        <v>55647</v>
      </c>
      <c r="C4740" t="s">
        <v>34</v>
      </c>
      <c r="D4740">
        <v>3973.89</v>
      </c>
      <c r="E4740">
        <v>694</v>
      </c>
      <c r="F4740">
        <v>1</v>
      </c>
      <c r="G4740">
        <v>3</v>
      </c>
      <c r="H4740">
        <v>0</v>
      </c>
      <c r="I4740" t="s">
        <v>33</v>
      </c>
      <c r="J4740">
        <v>0</v>
      </c>
      <c r="K4740">
        <v>71</v>
      </c>
      <c r="L4740" t="s">
        <v>24</v>
      </c>
      <c r="M4740" t="s">
        <v>29</v>
      </c>
      <c r="N4740" t="s">
        <v>26</v>
      </c>
      <c r="O4740" t="s">
        <v>27</v>
      </c>
      <c r="P4740">
        <v>2.09</v>
      </c>
      <c r="Q4740" s="2" t="b">
        <f>FALSE()</f>
        <v>0</v>
      </c>
      <c r="R4740">
        <v>1</v>
      </c>
    </row>
    <row r="4741" spans="1:18" x14ac:dyDescent="0.25">
      <c r="A4741">
        <v>204740</v>
      </c>
      <c r="B4741">
        <v>52723</v>
      </c>
      <c r="C4741" t="s">
        <v>34</v>
      </c>
      <c r="D4741">
        <v>1225.46</v>
      </c>
      <c r="E4741">
        <v>3513</v>
      </c>
      <c r="F4741">
        <v>4</v>
      </c>
      <c r="G4741">
        <v>0</v>
      </c>
      <c r="H4741">
        <v>0</v>
      </c>
      <c r="I4741" t="s">
        <v>33</v>
      </c>
      <c r="J4741">
        <v>0</v>
      </c>
      <c r="K4741">
        <v>63</v>
      </c>
      <c r="L4741" t="s">
        <v>20</v>
      </c>
      <c r="M4741" t="s">
        <v>21</v>
      </c>
      <c r="N4741" t="s">
        <v>22</v>
      </c>
      <c r="O4741" t="s">
        <v>23</v>
      </c>
      <c r="P4741">
        <v>0.48</v>
      </c>
      <c r="Q4741" s="2" t="b">
        <f>FALSE()</f>
        <v>0</v>
      </c>
      <c r="R4741">
        <v>1</v>
      </c>
    </row>
    <row r="4742" spans="1:18" x14ac:dyDescent="0.25">
      <c r="A4742">
        <v>204741</v>
      </c>
      <c r="B4742">
        <v>55007</v>
      </c>
      <c r="C4742" t="s">
        <v>18</v>
      </c>
      <c r="D4742">
        <v>1309.54</v>
      </c>
      <c r="E4742">
        <v>2001</v>
      </c>
      <c r="F4742">
        <v>1</v>
      </c>
      <c r="G4742">
        <v>5</v>
      </c>
      <c r="H4742">
        <v>0</v>
      </c>
      <c r="I4742" t="s">
        <v>19</v>
      </c>
      <c r="J4742">
        <v>1</v>
      </c>
      <c r="K4742">
        <v>36</v>
      </c>
      <c r="L4742" t="s">
        <v>24</v>
      </c>
      <c r="M4742" t="s">
        <v>37</v>
      </c>
      <c r="N4742" t="s">
        <v>30</v>
      </c>
      <c r="O4742" t="s">
        <v>23</v>
      </c>
      <c r="P4742">
        <v>0.61</v>
      </c>
      <c r="Q4742" s="2" t="b">
        <f>FALSE()</f>
        <v>0</v>
      </c>
      <c r="R4742">
        <v>0</v>
      </c>
    </row>
    <row r="4743" spans="1:18" x14ac:dyDescent="0.25">
      <c r="A4743">
        <v>204742</v>
      </c>
      <c r="B4743">
        <v>52932</v>
      </c>
      <c r="C4743" t="s">
        <v>18</v>
      </c>
      <c r="D4743">
        <v>1210.3399999999999</v>
      </c>
      <c r="E4743">
        <v>1487</v>
      </c>
      <c r="F4743">
        <v>0</v>
      </c>
      <c r="G4743">
        <v>5</v>
      </c>
      <c r="H4743">
        <v>0</v>
      </c>
      <c r="I4743" t="s">
        <v>33</v>
      </c>
      <c r="J4743">
        <v>0</v>
      </c>
      <c r="K4743">
        <v>49</v>
      </c>
      <c r="L4743" t="s">
        <v>20</v>
      </c>
      <c r="M4743" t="s">
        <v>29</v>
      </c>
      <c r="N4743" t="s">
        <v>22</v>
      </c>
      <c r="O4743" t="s">
        <v>27</v>
      </c>
      <c r="P4743">
        <v>0.17</v>
      </c>
      <c r="Q4743" s="2" t="b">
        <f>FALSE()</f>
        <v>0</v>
      </c>
      <c r="R4743">
        <v>0</v>
      </c>
    </row>
    <row r="4744" spans="1:18" x14ac:dyDescent="0.25">
      <c r="A4744">
        <v>204743</v>
      </c>
      <c r="B4744">
        <v>51617</v>
      </c>
      <c r="C4744" t="s">
        <v>28</v>
      </c>
      <c r="D4744">
        <v>319.66000000000003</v>
      </c>
      <c r="E4744">
        <v>2053</v>
      </c>
      <c r="F4744">
        <v>1</v>
      </c>
      <c r="G4744">
        <v>2</v>
      </c>
      <c r="H4744">
        <v>1</v>
      </c>
      <c r="I4744" t="s">
        <v>33</v>
      </c>
      <c r="J4744">
        <v>0</v>
      </c>
      <c r="K4744">
        <v>79</v>
      </c>
      <c r="L4744" t="s">
        <v>24</v>
      </c>
      <c r="M4744" t="s">
        <v>21</v>
      </c>
      <c r="N4744" t="s">
        <v>30</v>
      </c>
      <c r="O4744" t="s">
        <v>36</v>
      </c>
      <c r="P4744">
        <v>3.24</v>
      </c>
      <c r="Q4744" s="2" t="b">
        <f>FALSE()</f>
        <v>0</v>
      </c>
      <c r="R4744">
        <v>0</v>
      </c>
    </row>
    <row r="4745" spans="1:18" x14ac:dyDescent="0.25">
      <c r="A4745">
        <v>204744</v>
      </c>
      <c r="B4745">
        <v>50165</v>
      </c>
      <c r="C4745" t="s">
        <v>18</v>
      </c>
      <c r="D4745">
        <v>2093.2600000000002</v>
      </c>
      <c r="E4745">
        <v>1116</v>
      </c>
      <c r="F4745">
        <v>1</v>
      </c>
      <c r="G4745">
        <v>2</v>
      </c>
      <c r="H4745">
        <v>1</v>
      </c>
      <c r="I4745" t="s">
        <v>33</v>
      </c>
      <c r="J4745">
        <v>0</v>
      </c>
      <c r="K4745">
        <v>72</v>
      </c>
      <c r="L4745" t="s">
        <v>24</v>
      </c>
      <c r="M4745" t="s">
        <v>31</v>
      </c>
      <c r="N4745" t="s">
        <v>22</v>
      </c>
      <c r="O4745" t="s">
        <v>23</v>
      </c>
      <c r="P4745">
        <v>1.17</v>
      </c>
      <c r="Q4745" s="2" t="b">
        <f>FALSE()</f>
        <v>0</v>
      </c>
      <c r="R4745">
        <v>0</v>
      </c>
    </row>
    <row r="4746" spans="1:18" x14ac:dyDescent="0.25">
      <c r="A4746">
        <v>204745</v>
      </c>
      <c r="B4746">
        <v>51405</v>
      </c>
      <c r="C4746" t="s">
        <v>28</v>
      </c>
      <c r="D4746">
        <v>3229.16</v>
      </c>
      <c r="E4746">
        <v>2789</v>
      </c>
      <c r="F4746">
        <v>1</v>
      </c>
      <c r="G4746">
        <v>3</v>
      </c>
      <c r="H4746">
        <v>0</v>
      </c>
      <c r="I4746" t="s">
        <v>19</v>
      </c>
      <c r="J4746">
        <v>0</v>
      </c>
      <c r="K4746">
        <v>27</v>
      </c>
      <c r="L4746" t="s">
        <v>24</v>
      </c>
      <c r="M4746" t="s">
        <v>37</v>
      </c>
      <c r="N4746" t="s">
        <v>22</v>
      </c>
      <c r="O4746" t="s">
        <v>27</v>
      </c>
      <c r="P4746">
        <v>1.92</v>
      </c>
      <c r="Q4746" s="2" t="b">
        <f>FALSE()</f>
        <v>0</v>
      </c>
      <c r="R4746">
        <v>0</v>
      </c>
    </row>
    <row r="4747" spans="1:18" x14ac:dyDescent="0.25">
      <c r="A4747">
        <v>204746</v>
      </c>
      <c r="B4747">
        <v>50998</v>
      </c>
      <c r="C4747" t="s">
        <v>34</v>
      </c>
      <c r="D4747">
        <v>1214.8</v>
      </c>
      <c r="E4747">
        <v>992</v>
      </c>
      <c r="F4747">
        <v>0</v>
      </c>
      <c r="G4747">
        <v>3</v>
      </c>
      <c r="H4747">
        <v>0</v>
      </c>
      <c r="I4747" t="s">
        <v>19</v>
      </c>
      <c r="J4747">
        <v>1</v>
      </c>
      <c r="K4747">
        <v>51</v>
      </c>
      <c r="L4747" t="s">
        <v>20</v>
      </c>
      <c r="M4747" t="s">
        <v>21</v>
      </c>
      <c r="N4747" t="s">
        <v>26</v>
      </c>
      <c r="O4747" t="s">
        <v>36</v>
      </c>
      <c r="P4747">
        <v>1.3</v>
      </c>
      <c r="Q4747" s="2" t="b">
        <f>FALSE()</f>
        <v>0</v>
      </c>
      <c r="R4747">
        <v>0</v>
      </c>
    </row>
    <row r="4748" spans="1:18" x14ac:dyDescent="0.25">
      <c r="A4748">
        <v>204747</v>
      </c>
      <c r="B4748">
        <v>51279</v>
      </c>
      <c r="C4748" t="s">
        <v>18</v>
      </c>
      <c r="D4748">
        <v>2754.98</v>
      </c>
      <c r="E4748">
        <v>1825</v>
      </c>
      <c r="F4748">
        <v>0</v>
      </c>
      <c r="G4748">
        <v>3</v>
      </c>
      <c r="H4748">
        <v>0</v>
      </c>
      <c r="I4748" t="s">
        <v>19</v>
      </c>
      <c r="J4748">
        <v>0</v>
      </c>
      <c r="K4748">
        <v>19</v>
      </c>
      <c r="L4748" t="s">
        <v>20</v>
      </c>
      <c r="M4748" t="s">
        <v>35</v>
      </c>
      <c r="N4748" t="s">
        <v>26</v>
      </c>
      <c r="O4748" t="s">
        <v>27</v>
      </c>
      <c r="P4748">
        <v>0.06</v>
      </c>
      <c r="Q4748" s="2" t="b">
        <f>FALSE()</f>
        <v>0</v>
      </c>
      <c r="R4748">
        <v>0</v>
      </c>
    </row>
    <row r="4749" spans="1:18" x14ac:dyDescent="0.25">
      <c r="A4749">
        <v>204748</v>
      </c>
      <c r="B4749">
        <v>53131</v>
      </c>
      <c r="C4749" t="s">
        <v>18</v>
      </c>
      <c r="D4749">
        <v>1793.97</v>
      </c>
      <c r="E4749">
        <v>839</v>
      </c>
      <c r="F4749">
        <v>2</v>
      </c>
      <c r="G4749">
        <v>2</v>
      </c>
      <c r="H4749">
        <v>0</v>
      </c>
      <c r="I4749" t="s">
        <v>33</v>
      </c>
      <c r="J4749">
        <v>0</v>
      </c>
      <c r="K4749">
        <v>62</v>
      </c>
      <c r="L4749" t="s">
        <v>20</v>
      </c>
      <c r="M4749" t="s">
        <v>37</v>
      </c>
      <c r="N4749" t="s">
        <v>22</v>
      </c>
      <c r="O4749" t="s">
        <v>27</v>
      </c>
      <c r="P4749">
        <v>4.7300000000000004</v>
      </c>
      <c r="Q4749" s="2" t="b">
        <f>FALSE()</f>
        <v>0</v>
      </c>
      <c r="R4749">
        <v>0</v>
      </c>
    </row>
    <row r="4750" spans="1:18" x14ac:dyDescent="0.25">
      <c r="A4750">
        <v>204749</v>
      </c>
      <c r="B4750">
        <v>51653</v>
      </c>
      <c r="C4750" t="s">
        <v>18</v>
      </c>
      <c r="D4750">
        <v>2230.88</v>
      </c>
      <c r="E4750">
        <v>3453</v>
      </c>
      <c r="F4750">
        <v>2</v>
      </c>
      <c r="G4750">
        <v>1</v>
      </c>
      <c r="H4750">
        <v>0</v>
      </c>
      <c r="I4750" t="s">
        <v>19</v>
      </c>
      <c r="J4750">
        <v>0</v>
      </c>
      <c r="K4750">
        <v>62</v>
      </c>
      <c r="L4750" t="s">
        <v>20</v>
      </c>
      <c r="M4750" t="s">
        <v>35</v>
      </c>
      <c r="N4750" t="s">
        <v>30</v>
      </c>
      <c r="O4750" t="s">
        <v>27</v>
      </c>
      <c r="P4750">
        <v>2.09</v>
      </c>
      <c r="Q4750" s="2" t="b">
        <f>FALSE()</f>
        <v>0</v>
      </c>
      <c r="R4750">
        <v>0</v>
      </c>
    </row>
    <row r="4751" spans="1:18" x14ac:dyDescent="0.25">
      <c r="A4751">
        <v>204750</v>
      </c>
      <c r="B4751">
        <v>55074</v>
      </c>
      <c r="C4751" t="s">
        <v>18</v>
      </c>
      <c r="D4751">
        <v>1692.09</v>
      </c>
      <c r="E4751">
        <v>1337</v>
      </c>
      <c r="F4751">
        <v>0</v>
      </c>
      <c r="G4751">
        <v>2</v>
      </c>
      <c r="H4751">
        <v>1</v>
      </c>
      <c r="I4751" t="s">
        <v>32</v>
      </c>
      <c r="J4751">
        <v>0</v>
      </c>
      <c r="K4751">
        <v>81</v>
      </c>
      <c r="L4751" t="s">
        <v>20</v>
      </c>
      <c r="M4751" t="s">
        <v>29</v>
      </c>
      <c r="N4751" t="s">
        <v>30</v>
      </c>
      <c r="O4751" t="s">
        <v>36</v>
      </c>
      <c r="P4751">
        <v>3.72</v>
      </c>
      <c r="Q4751" s="2" t="b">
        <f>FALSE()</f>
        <v>0</v>
      </c>
      <c r="R4751">
        <v>0</v>
      </c>
    </row>
    <row r="4752" spans="1:18" x14ac:dyDescent="0.25">
      <c r="A4752">
        <v>204751</v>
      </c>
      <c r="B4752">
        <v>50153</v>
      </c>
      <c r="C4752" t="s">
        <v>18</v>
      </c>
      <c r="D4752">
        <v>4828.7700000000004</v>
      </c>
      <c r="E4752">
        <v>3019</v>
      </c>
      <c r="F4752">
        <v>4</v>
      </c>
      <c r="G4752">
        <v>5</v>
      </c>
      <c r="H4752">
        <v>0</v>
      </c>
      <c r="I4752" t="s">
        <v>33</v>
      </c>
      <c r="J4752">
        <v>0</v>
      </c>
      <c r="K4752">
        <v>71</v>
      </c>
      <c r="L4752" t="s">
        <v>20</v>
      </c>
      <c r="M4752" t="s">
        <v>29</v>
      </c>
      <c r="N4752" t="s">
        <v>30</v>
      </c>
      <c r="O4752" t="s">
        <v>27</v>
      </c>
      <c r="P4752">
        <v>1.53</v>
      </c>
      <c r="Q4752" s="2" t="b">
        <f>FALSE()</f>
        <v>0</v>
      </c>
      <c r="R4752">
        <v>1</v>
      </c>
    </row>
    <row r="4753" spans="1:18" x14ac:dyDescent="0.25">
      <c r="A4753">
        <v>204752</v>
      </c>
      <c r="B4753">
        <v>50366</v>
      </c>
      <c r="C4753" t="s">
        <v>34</v>
      </c>
      <c r="D4753">
        <v>1864.4</v>
      </c>
      <c r="E4753">
        <v>1241</v>
      </c>
      <c r="F4753">
        <v>2</v>
      </c>
      <c r="G4753">
        <v>5</v>
      </c>
      <c r="H4753">
        <v>0</v>
      </c>
      <c r="I4753" t="s">
        <v>33</v>
      </c>
      <c r="J4753">
        <v>0</v>
      </c>
      <c r="K4753">
        <v>33</v>
      </c>
      <c r="L4753" t="s">
        <v>20</v>
      </c>
      <c r="M4753" t="s">
        <v>25</v>
      </c>
      <c r="N4753" t="s">
        <v>22</v>
      </c>
      <c r="O4753" t="s">
        <v>27</v>
      </c>
      <c r="P4753">
        <v>1.92</v>
      </c>
      <c r="Q4753" s="2" t="b">
        <f>FALSE()</f>
        <v>0</v>
      </c>
      <c r="R4753">
        <v>0</v>
      </c>
    </row>
    <row r="4754" spans="1:18" x14ac:dyDescent="0.25">
      <c r="A4754">
        <v>204753</v>
      </c>
      <c r="B4754">
        <v>50128</v>
      </c>
      <c r="C4754" t="s">
        <v>18</v>
      </c>
      <c r="D4754">
        <v>2683.32</v>
      </c>
      <c r="E4754">
        <v>2475</v>
      </c>
      <c r="F4754">
        <v>2</v>
      </c>
      <c r="G4754">
        <v>3</v>
      </c>
      <c r="H4754">
        <v>0</v>
      </c>
      <c r="I4754" t="s">
        <v>19</v>
      </c>
      <c r="J4754">
        <v>0</v>
      </c>
      <c r="K4754">
        <v>44</v>
      </c>
      <c r="L4754" t="s">
        <v>20</v>
      </c>
      <c r="M4754" t="s">
        <v>31</v>
      </c>
      <c r="N4754" t="s">
        <v>22</v>
      </c>
      <c r="O4754" t="s">
        <v>27</v>
      </c>
      <c r="P4754">
        <v>1.89</v>
      </c>
      <c r="Q4754" s="2" t="b">
        <f>FALSE()</f>
        <v>0</v>
      </c>
      <c r="R4754">
        <v>0</v>
      </c>
    </row>
    <row r="4755" spans="1:18" x14ac:dyDescent="0.25">
      <c r="A4755">
        <v>204754</v>
      </c>
      <c r="B4755">
        <v>52000</v>
      </c>
      <c r="C4755" t="s">
        <v>18</v>
      </c>
      <c r="D4755">
        <v>4623.22</v>
      </c>
      <c r="E4755">
        <v>2505</v>
      </c>
      <c r="F4755">
        <v>0</v>
      </c>
      <c r="G4755">
        <v>7</v>
      </c>
      <c r="H4755">
        <v>0</v>
      </c>
      <c r="I4755" t="s">
        <v>33</v>
      </c>
      <c r="J4755">
        <v>0</v>
      </c>
      <c r="K4755">
        <v>54</v>
      </c>
      <c r="L4755" t="s">
        <v>24</v>
      </c>
      <c r="M4755" t="s">
        <v>31</v>
      </c>
      <c r="N4755" t="s">
        <v>30</v>
      </c>
      <c r="O4755" t="s">
        <v>23</v>
      </c>
      <c r="P4755">
        <v>3.45</v>
      </c>
      <c r="Q4755" s="2" t="b">
        <f>FALSE()</f>
        <v>0</v>
      </c>
      <c r="R4755">
        <v>1</v>
      </c>
    </row>
    <row r="4756" spans="1:18" x14ac:dyDescent="0.25">
      <c r="A4756">
        <v>204755</v>
      </c>
      <c r="B4756">
        <v>50020</v>
      </c>
      <c r="C4756" t="s">
        <v>18</v>
      </c>
      <c r="D4756">
        <v>764.55</v>
      </c>
      <c r="E4756">
        <v>507</v>
      </c>
      <c r="F4756">
        <v>3</v>
      </c>
      <c r="G4756">
        <v>4</v>
      </c>
      <c r="H4756">
        <v>0</v>
      </c>
      <c r="I4756" t="s">
        <v>33</v>
      </c>
      <c r="J4756">
        <v>0</v>
      </c>
      <c r="K4756">
        <v>74</v>
      </c>
      <c r="L4756" t="s">
        <v>24</v>
      </c>
      <c r="M4756" t="s">
        <v>37</v>
      </c>
      <c r="N4756" t="s">
        <v>22</v>
      </c>
      <c r="O4756" t="s">
        <v>27</v>
      </c>
      <c r="P4756">
        <v>3.75</v>
      </c>
      <c r="Q4756" s="2" t="b">
        <f>FALSE()</f>
        <v>0</v>
      </c>
      <c r="R4756">
        <v>1</v>
      </c>
    </row>
    <row r="4757" spans="1:18" x14ac:dyDescent="0.25">
      <c r="A4757">
        <v>204756</v>
      </c>
      <c r="B4757">
        <v>50484</v>
      </c>
      <c r="C4757" t="s">
        <v>28</v>
      </c>
      <c r="D4757">
        <v>1599.93</v>
      </c>
      <c r="E4757">
        <v>657</v>
      </c>
      <c r="F4757">
        <v>1</v>
      </c>
      <c r="G4757">
        <v>5</v>
      </c>
      <c r="H4757">
        <v>0</v>
      </c>
      <c r="I4757" t="s">
        <v>19</v>
      </c>
      <c r="J4757">
        <v>0</v>
      </c>
      <c r="K4757">
        <v>31</v>
      </c>
      <c r="L4757" t="s">
        <v>24</v>
      </c>
      <c r="M4757" t="s">
        <v>31</v>
      </c>
      <c r="N4757" t="s">
        <v>30</v>
      </c>
      <c r="O4757" t="s">
        <v>27</v>
      </c>
      <c r="P4757">
        <v>0.64</v>
      </c>
      <c r="Q4757" s="2" t="b">
        <f>FALSE()</f>
        <v>0</v>
      </c>
      <c r="R4757">
        <v>0</v>
      </c>
    </row>
    <row r="4758" spans="1:18" x14ac:dyDescent="0.25">
      <c r="A4758">
        <v>204757</v>
      </c>
      <c r="B4758">
        <v>54754</v>
      </c>
      <c r="C4758" t="s">
        <v>18</v>
      </c>
      <c r="D4758">
        <v>1467.51</v>
      </c>
      <c r="E4758">
        <v>573</v>
      </c>
      <c r="F4758">
        <v>0</v>
      </c>
      <c r="G4758">
        <v>5</v>
      </c>
      <c r="H4758">
        <v>0</v>
      </c>
      <c r="I4758" t="s">
        <v>19</v>
      </c>
      <c r="J4758">
        <v>1</v>
      </c>
      <c r="K4758">
        <v>23</v>
      </c>
      <c r="L4758" t="s">
        <v>24</v>
      </c>
      <c r="M4758" t="s">
        <v>29</v>
      </c>
      <c r="N4758" t="s">
        <v>26</v>
      </c>
      <c r="O4758" t="s">
        <v>23</v>
      </c>
      <c r="P4758">
        <v>1.1399999999999999</v>
      </c>
      <c r="Q4758" s="2" t="b">
        <f>FALSE()</f>
        <v>0</v>
      </c>
      <c r="R4758">
        <v>0</v>
      </c>
    </row>
    <row r="4759" spans="1:18" x14ac:dyDescent="0.25">
      <c r="A4759">
        <v>204758</v>
      </c>
      <c r="B4759">
        <v>50012</v>
      </c>
      <c r="C4759" t="s">
        <v>18</v>
      </c>
      <c r="D4759">
        <v>3821</v>
      </c>
      <c r="E4759">
        <v>2005</v>
      </c>
      <c r="F4759">
        <v>3</v>
      </c>
      <c r="G4759">
        <v>4</v>
      </c>
      <c r="H4759">
        <v>0</v>
      </c>
      <c r="I4759" t="s">
        <v>33</v>
      </c>
      <c r="J4759">
        <v>0</v>
      </c>
      <c r="K4759">
        <v>25</v>
      </c>
      <c r="L4759" t="s">
        <v>24</v>
      </c>
      <c r="M4759" t="s">
        <v>37</v>
      </c>
      <c r="N4759" t="s">
        <v>26</v>
      </c>
      <c r="O4759" t="s">
        <v>36</v>
      </c>
      <c r="P4759">
        <v>2.63</v>
      </c>
      <c r="Q4759" s="2" t="b">
        <f>FALSE()</f>
        <v>0</v>
      </c>
      <c r="R4759">
        <v>1</v>
      </c>
    </row>
    <row r="4760" spans="1:18" x14ac:dyDescent="0.25">
      <c r="A4760">
        <v>204759</v>
      </c>
      <c r="B4760">
        <v>55322</v>
      </c>
      <c r="C4760" t="s">
        <v>34</v>
      </c>
      <c r="D4760">
        <v>4107.78</v>
      </c>
      <c r="E4760">
        <v>638</v>
      </c>
      <c r="F4760">
        <v>1</v>
      </c>
      <c r="G4760">
        <v>2</v>
      </c>
      <c r="H4760">
        <v>0</v>
      </c>
      <c r="I4760" t="s">
        <v>33</v>
      </c>
      <c r="J4760">
        <v>0</v>
      </c>
      <c r="K4760">
        <v>74</v>
      </c>
      <c r="L4760" t="s">
        <v>20</v>
      </c>
      <c r="M4760" t="s">
        <v>25</v>
      </c>
      <c r="N4760" t="s">
        <v>22</v>
      </c>
      <c r="O4760" t="s">
        <v>23</v>
      </c>
      <c r="P4760">
        <v>1.39</v>
      </c>
      <c r="Q4760" s="2" t="b">
        <f>FALSE()</f>
        <v>0</v>
      </c>
      <c r="R4760">
        <v>1</v>
      </c>
    </row>
    <row r="4761" spans="1:18" x14ac:dyDescent="0.25">
      <c r="A4761">
        <v>204760</v>
      </c>
      <c r="B4761">
        <v>51431</v>
      </c>
      <c r="C4761" t="s">
        <v>34</v>
      </c>
      <c r="D4761">
        <v>2461.5500000000002</v>
      </c>
      <c r="E4761">
        <v>2676</v>
      </c>
      <c r="F4761">
        <v>0</v>
      </c>
      <c r="G4761">
        <v>5</v>
      </c>
      <c r="H4761">
        <v>0</v>
      </c>
      <c r="I4761" t="s">
        <v>33</v>
      </c>
      <c r="J4761">
        <v>0</v>
      </c>
      <c r="K4761">
        <v>63</v>
      </c>
      <c r="L4761" t="s">
        <v>24</v>
      </c>
      <c r="M4761" t="s">
        <v>29</v>
      </c>
      <c r="N4761" t="s">
        <v>26</v>
      </c>
      <c r="O4761" t="s">
        <v>23</v>
      </c>
      <c r="P4761">
        <v>1.45</v>
      </c>
      <c r="Q4761" s="2" t="b">
        <f>FALSE()</f>
        <v>0</v>
      </c>
      <c r="R4761">
        <v>0</v>
      </c>
    </row>
    <row r="4762" spans="1:18" x14ac:dyDescent="0.25">
      <c r="A4762">
        <v>204761</v>
      </c>
      <c r="B4762">
        <v>53798</v>
      </c>
      <c r="C4762" t="s">
        <v>28</v>
      </c>
      <c r="D4762">
        <v>3136.03</v>
      </c>
      <c r="E4762">
        <v>1474</v>
      </c>
      <c r="F4762">
        <v>1</v>
      </c>
      <c r="G4762">
        <v>11</v>
      </c>
      <c r="H4762">
        <v>0</v>
      </c>
      <c r="I4762" t="s">
        <v>33</v>
      </c>
      <c r="J4762">
        <v>0</v>
      </c>
      <c r="K4762">
        <v>42</v>
      </c>
      <c r="L4762" t="s">
        <v>20</v>
      </c>
      <c r="M4762" t="s">
        <v>25</v>
      </c>
      <c r="N4762" t="s">
        <v>22</v>
      </c>
      <c r="O4762" t="s">
        <v>23</v>
      </c>
      <c r="P4762">
        <v>0.16</v>
      </c>
      <c r="Q4762" s="2" t="b">
        <f>FALSE()</f>
        <v>0</v>
      </c>
      <c r="R4762">
        <v>1</v>
      </c>
    </row>
    <row r="4763" spans="1:18" x14ac:dyDescent="0.25">
      <c r="A4763">
        <v>204762</v>
      </c>
      <c r="B4763">
        <v>52910</v>
      </c>
      <c r="C4763" t="s">
        <v>34</v>
      </c>
      <c r="D4763">
        <v>2160.63</v>
      </c>
      <c r="E4763">
        <v>2749</v>
      </c>
      <c r="F4763">
        <v>0</v>
      </c>
      <c r="G4763">
        <v>3</v>
      </c>
      <c r="H4763">
        <v>1</v>
      </c>
      <c r="I4763" t="s">
        <v>33</v>
      </c>
      <c r="J4763">
        <v>0</v>
      </c>
      <c r="K4763">
        <v>82</v>
      </c>
      <c r="L4763" t="s">
        <v>24</v>
      </c>
      <c r="M4763" t="s">
        <v>29</v>
      </c>
      <c r="N4763" t="s">
        <v>30</v>
      </c>
      <c r="O4763" t="s">
        <v>23</v>
      </c>
      <c r="P4763">
        <v>2.37</v>
      </c>
      <c r="Q4763" s="2" t="b">
        <f>FALSE()</f>
        <v>0</v>
      </c>
      <c r="R4763">
        <v>0</v>
      </c>
    </row>
    <row r="4764" spans="1:18" x14ac:dyDescent="0.25">
      <c r="A4764">
        <v>204763</v>
      </c>
      <c r="B4764">
        <v>52390</v>
      </c>
      <c r="C4764" t="s">
        <v>18</v>
      </c>
      <c r="D4764">
        <v>3666.59</v>
      </c>
      <c r="E4764">
        <v>3177</v>
      </c>
      <c r="F4764">
        <v>0</v>
      </c>
      <c r="G4764">
        <v>4</v>
      </c>
      <c r="H4764">
        <v>0</v>
      </c>
      <c r="I4764" t="s">
        <v>33</v>
      </c>
      <c r="J4764">
        <v>0</v>
      </c>
      <c r="K4764">
        <v>21</v>
      </c>
      <c r="L4764" t="s">
        <v>24</v>
      </c>
      <c r="M4764" t="s">
        <v>35</v>
      </c>
      <c r="N4764" t="s">
        <v>30</v>
      </c>
      <c r="O4764" t="s">
        <v>36</v>
      </c>
      <c r="P4764">
        <v>1.58</v>
      </c>
      <c r="Q4764" s="2" t="b">
        <f>FALSE()</f>
        <v>0</v>
      </c>
      <c r="R4764">
        <v>1</v>
      </c>
    </row>
    <row r="4765" spans="1:18" x14ac:dyDescent="0.25">
      <c r="A4765">
        <v>204764</v>
      </c>
      <c r="B4765">
        <v>55990</v>
      </c>
      <c r="C4765" t="s">
        <v>18</v>
      </c>
      <c r="D4765">
        <v>1495.49</v>
      </c>
      <c r="E4765">
        <v>59</v>
      </c>
      <c r="F4765">
        <v>1</v>
      </c>
      <c r="G4765">
        <v>3</v>
      </c>
      <c r="H4765">
        <v>0</v>
      </c>
      <c r="I4765" t="s">
        <v>19</v>
      </c>
      <c r="J4765">
        <v>0</v>
      </c>
      <c r="K4765">
        <v>36</v>
      </c>
      <c r="L4765" t="s">
        <v>20</v>
      </c>
      <c r="M4765" t="s">
        <v>37</v>
      </c>
      <c r="N4765" t="s">
        <v>26</v>
      </c>
      <c r="O4765" t="s">
        <v>36</v>
      </c>
      <c r="P4765">
        <v>0.03</v>
      </c>
      <c r="Q4765" s="2" t="b">
        <f>FALSE()</f>
        <v>0</v>
      </c>
      <c r="R4765">
        <v>0</v>
      </c>
    </row>
    <row r="4766" spans="1:18" x14ac:dyDescent="0.25">
      <c r="A4766">
        <v>204765</v>
      </c>
      <c r="B4766">
        <v>54144</v>
      </c>
      <c r="C4766" t="s">
        <v>18</v>
      </c>
      <c r="D4766">
        <v>921.82</v>
      </c>
      <c r="E4766">
        <v>1899</v>
      </c>
      <c r="F4766">
        <v>3</v>
      </c>
      <c r="G4766">
        <v>3</v>
      </c>
      <c r="H4766">
        <v>1</v>
      </c>
      <c r="I4766" t="s">
        <v>19</v>
      </c>
      <c r="J4766">
        <v>0</v>
      </c>
      <c r="K4766">
        <v>60</v>
      </c>
      <c r="L4766" t="s">
        <v>20</v>
      </c>
      <c r="M4766" t="s">
        <v>25</v>
      </c>
      <c r="N4766" t="s">
        <v>30</v>
      </c>
      <c r="O4766" t="s">
        <v>23</v>
      </c>
      <c r="P4766">
        <v>3.46</v>
      </c>
      <c r="Q4766" s="2" t="b">
        <f>FALSE()</f>
        <v>0</v>
      </c>
      <c r="R4766">
        <v>1</v>
      </c>
    </row>
    <row r="4767" spans="1:18" x14ac:dyDescent="0.25">
      <c r="A4767">
        <v>204766</v>
      </c>
      <c r="B4767">
        <v>54668</v>
      </c>
      <c r="C4767" t="s">
        <v>34</v>
      </c>
      <c r="D4767">
        <v>1838.37</v>
      </c>
      <c r="E4767">
        <v>1551</v>
      </c>
      <c r="F4767">
        <v>1</v>
      </c>
      <c r="G4767">
        <v>1</v>
      </c>
      <c r="H4767">
        <v>0</v>
      </c>
      <c r="I4767" t="s">
        <v>33</v>
      </c>
      <c r="J4767">
        <v>0</v>
      </c>
      <c r="K4767">
        <v>60</v>
      </c>
      <c r="L4767" t="s">
        <v>20</v>
      </c>
      <c r="M4767" t="s">
        <v>21</v>
      </c>
      <c r="N4767" t="s">
        <v>30</v>
      </c>
      <c r="O4767" t="s">
        <v>36</v>
      </c>
      <c r="P4767">
        <v>0.4</v>
      </c>
      <c r="Q4767" s="2" t="b">
        <f>FALSE()</f>
        <v>0</v>
      </c>
      <c r="R4767">
        <v>0</v>
      </c>
    </row>
    <row r="4768" spans="1:18" x14ac:dyDescent="0.25">
      <c r="A4768">
        <v>204767</v>
      </c>
      <c r="B4768">
        <v>52950</v>
      </c>
      <c r="C4768" t="s">
        <v>34</v>
      </c>
      <c r="D4768">
        <v>1883.38</v>
      </c>
      <c r="E4768">
        <v>484</v>
      </c>
      <c r="F4768">
        <v>0</v>
      </c>
      <c r="G4768">
        <v>8</v>
      </c>
      <c r="H4768">
        <v>0</v>
      </c>
      <c r="I4768" t="s">
        <v>33</v>
      </c>
      <c r="J4768">
        <v>0</v>
      </c>
      <c r="K4768">
        <v>50</v>
      </c>
      <c r="L4768" t="s">
        <v>24</v>
      </c>
      <c r="M4768" t="s">
        <v>35</v>
      </c>
      <c r="N4768" t="s">
        <v>30</v>
      </c>
      <c r="O4768" t="s">
        <v>36</v>
      </c>
      <c r="P4768">
        <v>2.35</v>
      </c>
      <c r="Q4768" s="2" t="b">
        <f>FALSE()</f>
        <v>0</v>
      </c>
      <c r="R4768">
        <v>1</v>
      </c>
    </row>
    <row r="4769" spans="1:18" x14ac:dyDescent="0.25">
      <c r="A4769">
        <v>204768</v>
      </c>
      <c r="B4769">
        <v>51693</v>
      </c>
      <c r="C4769" t="s">
        <v>18</v>
      </c>
      <c r="D4769">
        <v>2344.34</v>
      </c>
      <c r="E4769">
        <v>2150</v>
      </c>
      <c r="F4769">
        <v>0</v>
      </c>
      <c r="G4769">
        <v>4</v>
      </c>
      <c r="H4769">
        <v>0</v>
      </c>
      <c r="I4769" t="s">
        <v>19</v>
      </c>
      <c r="J4769">
        <v>0</v>
      </c>
      <c r="K4769">
        <v>57</v>
      </c>
      <c r="L4769" t="s">
        <v>24</v>
      </c>
      <c r="M4769" t="s">
        <v>37</v>
      </c>
      <c r="N4769" t="s">
        <v>30</v>
      </c>
      <c r="O4769" t="s">
        <v>36</v>
      </c>
      <c r="P4769">
        <v>3.17</v>
      </c>
      <c r="Q4769" s="2" t="b">
        <f>FALSE()</f>
        <v>0</v>
      </c>
      <c r="R4769">
        <v>0</v>
      </c>
    </row>
    <row r="4770" spans="1:18" x14ac:dyDescent="0.25">
      <c r="A4770">
        <v>204769</v>
      </c>
      <c r="B4770">
        <v>51030</v>
      </c>
      <c r="C4770" t="s">
        <v>18</v>
      </c>
      <c r="D4770">
        <v>2675.73</v>
      </c>
      <c r="E4770">
        <v>2822</v>
      </c>
      <c r="F4770">
        <v>0</v>
      </c>
      <c r="G4770">
        <v>5</v>
      </c>
      <c r="H4770">
        <v>0</v>
      </c>
      <c r="I4770" t="s">
        <v>33</v>
      </c>
      <c r="J4770">
        <v>1</v>
      </c>
      <c r="K4770">
        <v>29</v>
      </c>
      <c r="L4770" t="s">
        <v>24</v>
      </c>
      <c r="M4770" t="s">
        <v>29</v>
      </c>
      <c r="N4770" t="s">
        <v>22</v>
      </c>
      <c r="O4770" t="s">
        <v>36</v>
      </c>
      <c r="P4770">
        <v>1.72</v>
      </c>
      <c r="Q4770" s="2" t="b">
        <f>FALSE()</f>
        <v>0</v>
      </c>
      <c r="R4770">
        <v>0</v>
      </c>
    </row>
    <row r="4771" spans="1:18" x14ac:dyDescent="0.25">
      <c r="A4771">
        <v>204770</v>
      </c>
      <c r="B4771">
        <v>53605</v>
      </c>
      <c r="C4771" t="s">
        <v>28</v>
      </c>
      <c r="D4771">
        <v>2528.4899999999998</v>
      </c>
      <c r="E4771">
        <v>1240</v>
      </c>
      <c r="F4771">
        <v>0</v>
      </c>
      <c r="G4771">
        <v>0</v>
      </c>
      <c r="H4771">
        <v>1</v>
      </c>
      <c r="I4771" t="s">
        <v>33</v>
      </c>
      <c r="J4771">
        <v>1</v>
      </c>
      <c r="K4771">
        <v>35</v>
      </c>
      <c r="L4771" t="s">
        <v>24</v>
      </c>
      <c r="M4771" t="s">
        <v>37</v>
      </c>
      <c r="N4771" t="s">
        <v>26</v>
      </c>
      <c r="O4771" t="s">
        <v>27</v>
      </c>
      <c r="P4771">
        <v>2.58</v>
      </c>
      <c r="Q4771" s="2" t="b">
        <f>FALSE()</f>
        <v>0</v>
      </c>
      <c r="R4771">
        <v>0</v>
      </c>
    </row>
    <row r="4772" spans="1:18" x14ac:dyDescent="0.25">
      <c r="A4772">
        <v>204771</v>
      </c>
      <c r="B4772">
        <v>54067</v>
      </c>
      <c r="C4772" t="s">
        <v>34</v>
      </c>
      <c r="D4772">
        <v>3988.5</v>
      </c>
      <c r="E4772">
        <v>1814</v>
      </c>
      <c r="F4772">
        <v>0</v>
      </c>
      <c r="G4772">
        <v>5</v>
      </c>
      <c r="H4772">
        <v>1</v>
      </c>
      <c r="I4772" t="s">
        <v>19</v>
      </c>
      <c r="J4772">
        <v>0</v>
      </c>
      <c r="K4772">
        <v>80</v>
      </c>
      <c r="L4772" t="s">
        <v>24</v>
      </c>
      <c r="M4772" t="s">
        <v>25</v>
      </c>
      <c r="N4772" t="s">
        <v>30</v>
      </c>
      <c r="O4772" t="s">
        <v>27</v>
      </c>
      <c r="P4772">
        <v>2.15</v>
      </c>
      <c r="Q4772" s="2" t="b">
        <f>FALSE()</f>
        <v>0</v>
      </c>
      <c r="R4772">
        <v>1</v>
      </c>
    </row>
    <row r="4773" spans="1:18" x14ac:dyDescent="0.25">
      <c r="A4773">
        <v>204772</v>
      </c>
      <c r="B4773">
        <v>50684</v>
      </c>
      <c r="C4773" t="s">
        <v>34</v>
      </c>
      <c r="D4773">
        <v>439.17</v>
      </c>
      <c r="E4773">
        <v>3437</v>
      </c>
      <c r="F4773">
        <v>1</v>
      </c>
      <c r="G4773">
        <v>3</v>
      </c>
      <c r="H4773">
        <v>0</v>
      </c>
      <c r="I4773" t="s">
        <v>19</v>
      </c>
      <c r="J4773">
        <v>0</v>
      </c>
      <c r="K4773">
        <v>48</v>
      </c>
      <c r="L4773" t="s">
        <v>24</v>
      </c>
      <c r="M4773" t="s">
        <v>21</v>
      </c>
      <c r="N4773" t="s">
        <v>22</v>
      </c>
      <c r="O4773" t="s">
        <v>27</v>
      </c>
      <c r="P4773">
        <v>0.73</v>
      </c>
      <c r="Q4773" s="2" t="b">
        <f>FALSE()</f>
        <v>0</v>
      </c>
      <c r="R4773">
        <v>0</v>
      </c>
    </row>
    <row r="4774" spans="1:18" x14ac:dyDescent="0.25">
      <c r="A4774">
        <v>204773</v>
      </c>
      <c r="B4774">
        <v>51411</v>
      </c>
      <c r="C4774" t="s">
        <v>34</v>
      </c>
      <c r="D4774">
        <v>5508.77</v>
      </c>
      <c r="E4774">
        <v>748</v>
      </c>
      <c r="F4774">
        <v>1</v>
      </c>
      <c r="G4774">
        <v>1</v>
      </c>
      <c r="H4774">
        <v>1</v>
      </c>
      <c r="I4774" t="s">
        <v>19</v>
      </c>
      <c r="J4774">
        <v>0</v>
      </c>
      <c r="K4774">
        <v>79</v>
      </c>
      <c r="L4774" t="s">
        <v>20</v>
      </c>
      <c r="M4774" t="s">
        <v>29</v>
      </c>
      <c r="N4774" t="s">
        <v>22</v>
      </c>
      <c r="O4774" t="s">
        <v>23</v>
      </c>
      <c r="P4774">
        <v>2.2400000000000002</v>
      </c>
      <c r="Q4774" s="2" t="b">
        <f>FALSE()</f>
        <v>0</v>
      </c>
      <c r="R4774">
        <v>1</v>
      </c>
    </row>
    <row r="4775" spans="1:18" x14ac:dyDescent="0.25">
      <c r="A4775">
        <v>204774</v>
      </c>
      <c r="B4775">
        <v>54044</v>
      </c>
      <c r="C4775" t="s">
        <v>28</v>
      </c>
      <c r="D4775">
        <v>1231.0999999999999</v>
      </c>
      <c r="E4775">
        <v>1226</v>
      </c>
      <c r="F4775">
        <v>2</v>
      </c>
      <c r="G4775">
        <v>5</v>
      </c>
      <c r="H4775">
        <v>0</v>
      </c>
      <c r="I4775" t="s">
        <v>19</v>
      </c>
      <c r="J4775">
        <v>0</v>
      </c>
      <c r="K4775">
        <v>26</v>
      </c>
      <c r="L4775" t="s">
        <v>24</v>
      </c>
      <c r="M4775" t="s">
        <v>37</v>
      </c>
      <c r="N4775" t="s">
        <v>22</v>
      </c>
      <c r="O4775" t="s">
        <v>27</v>
      </c>
      <c r="P4775">
        <v>1.95</v>
      </c>
      <c r="Q4775" s="2" t="b">
        <f>FALSE()</f>
        <v>0</v>
      </c>
      <c r="R4775">
        <v>0</v>
      </c>
    </row>
    <row r="4776" spans="1:18" x14ac:dyDescent="0.25">
      <c r="A4776">
        <v>204775</v>
      </c>
      <c r="B4776">
        <v>55949</v>
      </c>
      <c r="C4776" t="s">
        <v>34</v>
      </c>
      <c r="D4776">
        <v>3182.76</v>
      </c>
      <c r="E4776">
        <v>3035</v>
      </c>
      <c r="F4776">
        <v>1</v>
      </c>
      <c r="G4776">
        <v>9</v>
      </c>
      <c r="H4776">
        <v>1</v>
      </c>
      <c r="I4776" t="s">
        <v>19</v>
      </c>
      <c r="J4776">
        <v>0</v>
      </c>
      <c r="K4776">
        <v>79</v>
      </c>
      <c r="L4776" t="s">
        <v>20</v>
      </c>
      <c r="M4776" t="s">
        <v>29</v>
      </c>
      <c r="N4776" t="s">
        <v>26</v>
      </c>
      <c r="O4776" t="s">
        <v>27</v>
      </c>
      <c r="P4776">
        <v>1.7</v>
      </c>
      <c r="Q4776" s="2" t="b">
        <f>FALSE()</f>
        <v>0</v>
      </c>
      <c r="R4776">
        <v>1</v>
      </c>
    </row>
    <row r="4777" spans="1:18" x14ac:dyDescent="0.25">
      <c r="A4777">
        <v>204776</v>
      </c>
      <c r="B4777">
        <v>55201</v>
      </c>
      <c r="C4777" t="s">
        <v>34</v>
      </c>
      <c r="D4777">
        <v>1652.5</v>
      </c>
      <c r="E4777">
        <v>3140</v>
      </c>
      <c r="F4777">
        <v>1</v>
      </c>
      <c r="G4777">
        <v>4</v>
      </c>
      <c r="H4777">
        <v>1</v>
      </c>
      <c r="I4777" t="s">
        <v>33</v>
      </c>
      <c r="J4777">
        <v>0</v>
      </c>
      <c r="K4777">
        <v>21</v>
      </c>
      <c r="L4777" t="s">
        <v>24</v>
      </c>
      <c r="M4777" t="s">
        <v>31</v>
      </c>
      <c r="N4777" t="s">
        <v>22</v>
      </c>
      <c r="O4777" t="s">
        <v>27</v>
      </c>
      <c r="P4777">
        <v>0.9</v>
      </c>
      <c r="Q4777" s="2" t="b">
        <f>FALSE()</f>
        <v>0</v>
      </c>
      <c r="R4777">
        <v>0</v>
      </c>
    </row>
    <row r="4778" spans="1:18" x14ac:dyDescent="0.25">
      <c r="A4778">
        <v>204777</v>
      </c>
      <c r="B4778">
        <v>50961</v>
      </c>
      <c r="C4778" t="s">
        <v>18</v>
      </c>
      <c r="D4778">
        <v>3040.39</v>
      </c>
      <c r="E4778">
        <v>1249</v>
      </c>
      <c r="F4778">
        <v>1</v>
      </c>
      <c r="G4778">
        <v>2</v>
      </c>
      <c r="H4778">
        <v>0</v>
      </c>
      <c r="I4778" t="s">
        <v>32</v>
      </c>
      <c r="J4778">
        <v>0</v>
      </c>
      <c r="K4778">
        <v>22</v>
      </c>
      <c r="L4778" t="s">
        <v>24</v>
      </c>
      <c r="M4778" t="s">
        <v>21</v>
      </c>
      <c r="N4778" t="s">
        <v>22</v>
      </c>
      <c r="O4778" t="s">
        <v>23</v>
      </c>
      <c r="P4778">
        <v>3.78</v>
      </c>
      <c r="Q4778" s="2" t="b">
        <f>FALSE()</f>
        <v>0</v>
      </c>
      <c r="R4778">
        <v>0</v>
      </c>
    </row>
    <row r="4779" spans="1:18" x14ac:dyDescent="0.25">
      <c r="A4779">
        <v>204778</v>
      </c>
      <c r="B4779">
        <v>54439</v>
      </c>
      <c r="C4779" t="s">
        <v>18</v>
      </c>
      <c r="D4779">
        <v>922.58</v>
      </c>
      <c r="E4779">
        <v>2462</v>
      </c>
      <c r="F4779">
        <v>2</v>
      </c>
      <c r="G4779">
        <v>4</v>
      </c>
      <c r="H4779">
        <v>0</v>
      </c>
      <c r="I4779" t="s">
        <v>33</v>
      </c>
      <c r="J4779">
        <v>0</v>
      </c>
      <c r="K4779">
        <v>61</v>
      </c>
      <c r="L4779" t="s">
        <v>20</v>
      </c>
      <c r="M4779" t="s">
        <v>29</v>
      </c>
      <c r="N4779" t="s">
        <v>22</v>
      </c>
      <c r="O4779" t="s">
        <v>27</v>
      </c>
      <c r="P4779">
        <v>8.14</v>
      </c>
      <c r="Q4779" s="2" t="b">
        <f>FALSE()</f>
        <v>0</v>
      </c>
      <c r="R4779">
        <v>0</v>
      </c>
    </row>
    <row r="4780" spans="1:18" x14ac:dyDescent="0.25">
      <c r="A4780">
        <v>204779</v>
      </c>
      <c r="B4780">
        <v>52557</v>
      </c>
      <c r="C4780" t="s">
        <v>18</v>
      </c>
      <c r="D4780">
        <v>2555.2800000000002</v>
      </c>
      <c r="E4780">
        <v>2899</v>
      </c>
      <c r="F4780">
        <v>0</v>
      </c>
      <c r="G4780">
        <v>3</v>
      </c>
      <c r="H4780">
        <v>0</v>
      </c>
      <c r="I4780" t="s">
        <v>33</v>
      </c>
      <c r="J4780">
        <v>0</v>
      </c>
      <c r="K4780">
        <v>32</v>
      </c>
      <c r="L4780" t="s">
        <v>38</v>
      </c>
      <c r="M4780" t="s">
        <v>31</v>
      </c>
      <c r="N4780" t="s">
        <v>22</v>
      </c>
      <c r="O4780" t="s">
        <v>36</v>
      </c>
      <c r="P4780">
        <v>2.13</v>
      </c>
      <c r="Q4780" s="2" t="b">
        <f>FALSE()</f>
        <v>0</v>
      </c>
      <c r="R4780">
        <v>0</v>
      </c>
    </row>
    <row r="4781" spans="1:18" x14ac:dyDescent="0.25">
      <c r="A4781">
        <v>204780</v>
      </c>
      <c r="B4781">
        <v>53675</v>
      </c>
      <c r="C4781" t="s">
        <v>18</v>
      </c>
      <c r="D4781">
        <v>1007.18</v>
      </c>
      <c r="E4781">
        <v>2519</v>
      </c>
      <c r="F4781">
        <v>1</v>
      </c>
      <c r="G4781">
        <v>4</v>
      </c>
      <c r="H4781">
        <v>0</v>
      </c>
      <c r="I4781" t="s">
        <v>33</v>
      </c>
      <c r="J4781">
        <v>0</v>
      </c>
      <c r="K4781">
        <v>18</v>
      </c>
      <c r="L4781" t="s">
        <v>24</v>
      </c>
      <c r="M4781" t="s">
        <v>37</v>
      </c>
      <c r="N4781" t="s">
        <v>22</v>
      </c>
      <c r="O4781" t="s">
        <v>27</v>
      </c>
      <c r="P4781">
        <v>2.58</v>
      </c>
      <c r="Q4781" s="2" t="b">
        <f>FALSE()</f>
        <v>0</v>
      </c>
      <c r="R4781">
        <v>0</v>
      </c>
    </row>
    <row r="4782" spans="1:18" x14ac:dyDescent="0.25">
      <c r="A4782">
        <v>204781</v>
      </c>
      <c r="B4782">
        <v>50077</v>
      </c>
      <c r="C4782" t="s">
        <v>34</v>
      </c>
      <c r="D4782">
        <v>2383.63</v>
      </c>
      <c r="E4782">
        <v>1829</v>
      </c>
      <c r="F4782">
        <v>0</v>
      </c>
      <c r="G4782">
        <v>4</v>
      </c>
      <c r="H4782">
        <v>1</v>
      </c>
      <c r="I4782" t="s">
        <v>19</v>
      </c>
      <c r="J4782">
        <v>0</v>
      </c>
      <c r="K4782">
        <v>58</v>
      </c>
      <c r="L4782" t="s">
        <v>24</v>
      </c>
      <c r="M4782" t="s">
        <v>21</v>
      </c>
      <c r="N4782" t="s">
        <v>26</v>
      </c>
      <c r="O4782" t="s">
        <v>23</v>
      </c>
      <c r="P4782">
        <v>0.33</v>
      </c>
      <c r="Q4782" s="2" t="b">
        <f>FALSE()</f>
        <v>0</v>
      </c>
      <c r="R4782">
        <v>0</v>
      </c>
    </row>
    <row r="4783" spans="1:18" x14ac:dyDescent="0.25">
      <c r="A4783">
        <v>204782</v>
      </c>
      <c r="B4783">
        <v>51676</v>
      </c>
      <c r="C4783" t="s">
        <v>34</v>
      </c>
      <c r="D4783">
        <v>2601.56</v>
      </c>
      <c r="E4783">
        <v>271</v>
      </c>
      <c r="F4783">
        <v>1</v>
      </c>
      <c r="G4783">
        <v>5</v>
      </c>
      <c r="H4783">
        <v>1</v>
      </c>
      <c r="I4783" t="s">
        <v>33</v>
      </c>
      <c r="J4783">
        <v>0</v>
      </c>
      <c r="K4783">
        <v>32</v>
      </c>
      <c r="L4783" t="s">
        <v>20</v>
      </c>
      <c r="M4783" t="s">
        <v>21</v>
      </c>
      <c r="N4783" t="s">
        <v>22</v>
      </c>
      <c r="O4783" t="s">
        <v>23</v>
      </c>
      <c r="P4783">
        <v>0.62</v>
      </c>
      <c r="Q4783" s="2" t="b">
        <f>FALSE()</f>
        <v>0</v>
      </c>
      <c r="R4783">
        <v>0</v>
      </c>
    </row>
    <row r="4784" spans="1:18" x14ac:dyDescent="0.25">
      <c r="A4784">
        <v>204783</v>
      </c>
      <c r="B4784">
        <v>52623</v>
      </c>
      <c r="C4784" t="s">
        <v>34</v>
      </c>
      <c r="D4784">
        <v>1383.76</v>
      </c>
      <c r="E4784">
        <v>2230</v>
      </c>
      <c r="F4784">
        <v>0</v>
      </c>
      <c r="G4784">
        <v>5</v>
      </c>
      <c r="H4784">
        <v>1</v>
      </c>
      <c r="I4784" t="s">
        <v>33</v>
      </c>
      <c r="J4784">
        <v>0</v>
      </c>
      <c r="K4784">
        <v>80</v>
      </c>
      <c r="L4784" t="s">
        <v>20</v>
      </c>
      <c r="M4784" t="s">
        <v>37</v>
      </c>
      <c r="N4784" t="s">
        <v>22</v>
      </c>
      <c r="O4784" t="s">
        <v>36</v>
      </c>
      <c r="P4784">
        <v>4.83</v>
      </c>
      <c r="Q4784" s="2" t="b">
        <f>FALSE()</f>
        <v>0</v>
      </c>
      <c r="R4784">
        <v>0</v>
      </c>
    </row>
    <row r="4785" spans="1:18" x14ac:dyDescent="0.25">
      <c r="A4785">
        <v>204784</v>
      </c>
      <c r="B4785">
        <v>55328</v>
      </c>
      <c r="C4785" t="s">
        <v>18</v>
      </c>
      <c r="D4785">
        <v>2093.1</v>
      </c>
      <c r="E4785">
        <v>2572</v>
      </c>
      <c r="F4785">
        <v>0</v>
      </c>
      <c r="G4785">
        <v>6</v>
      </c>
      <c r="H4785">
        <v>0</v>
      </c>
      <c r="I4785" t="s">
        <v>33</v>
      </c>
      <c r="J4785">
        <v>0</v>
      </c>
      <c r="K4785">
        <v>70</v>
      </c>
      <c r="L4785" t="s">
        <v>20</v>
      </c>
      <c r="M4785" t="s">
        <v>35</v>
      </c>
      <c r="N4785" t="s">
        <v>30</v>
      </c>
      <c r="O4785" t="s">
        <v>23</v>
      </c>
      <c r="P4785">
        <v>1.61</v>
      </c>
      <c r="Q4785" s="2" t="b">
        <f>FALSE()</f>
        <v>0</v>
      </c>
      <c r="R4785">
        <v>0</v>
      </c>
    </row>
    <row r="4786" spans="1:18" x14ac:dyDescent="0.25">
      <c r="A4786">
        <v>204785</v>
      </c>
      <c r="B4786">
        <v>54841</v>
      </c>
      <c r="C4786" t="s">
        <v>34</v>
      </c>
      <c r="D4786">
        <v>1497.97</v>
      </c>
      <c r="E4786">
        <v>2699</v>
      </c>
      <c r="F4786">
        <v>0</v>
      </c>
      <c r="G4786">
        <v>6</v>
      </c>
      <c r="H4786">
        <v>0</v>
      </c>
      <c r="I4786" t="s">
        <v>33</v>
      </c>
      <c r="J4786">
        <v>0</v>
      </c>
      <c r="K4786">
        <v>20</v>
      </c>
      <c r="L4786" t="s">
        <v>20</v>
      </c>
      <c r="M4786" t="s">
        <v>31</v>
      </c>
      <c r="N4786" t="s">
        <v>22</v>
      </c>
      <c r="O4786" t="s">
        <v>36</v>
      </c>
      <c r="P4786">
        <v>0.56999999999999995</v>
      </c>
      <c r="Q4786" s="2" t="b">
        <f>FALSE()</f>
        <v>0</v>
      </c>
      <c r="R4786">
        <v>0</v>
      </c>
    </row>
    <row r="4787" spans="1:18" x14ac:dyDescent="0.25">
      <c r="A4787">
        <v>204786</v>
      </c>
      <c r="B4787">
        <v>55566</v>
      </c>
      <c r="C4787" t="s">
        <v>34</v>
      </c>
      <c r="D4787">
        <v>1554.05</v>
      </c>
      <c r="E4787">
        <v>590</v>
      </c>
      <c r="F4787">
        <v>0</v>
      </c>
      <c r="G4787">
        <v>4</v>
      </c>
      <c r="H4787">
        <v>0</v>
      </c>
      <c r="I4787" t="s">
        <v>19</v>
      </c>
      <c r="J4787">
        <v>0</v>
      </c>
      <c r="K4787">
        <v>39</v>
      </c>
      <c r="L4787" t="s">
        <v>24</v>
      </c>
      <c r="M4787" t="s">
        <v>37</v>
      </c>
      <c r="N4787" t="s">
        <v>26</v>
      </c>
      <c r="O4787" t="s">
        <v>36</v>
      </c>
      <c r="P4787">
        <v>8.67</v>
      </c>
      <c r="Q4787" s="2" t="b">
        <f>FALSE()</f>
        <v>0</v>
      </c>
      <c r="R4787">
        <v>0</v>
      </c>
    </row>
    <row r="4788" spans="1:18" x14ac:dyDescent="0.25">
      <c r="A4788">
        <v>204787</v>
      </c>
      <c r="B4788">
        <v>54634</v>
      </c>
      <c r="C4788" t="s">
        <v>18</v>
      </c>
      <c r="D4788">
        <v>3073.97</v>
      </c>
      <c r="E4788">
        <v>2810</v>
      </c>
      <c r="F4788">
        <v>0</v>
      </c>
      <c r="G4788">
        <v>7</v>
      </c>
      <c r="H4788">
        <v>0</v>
      </c>
      <c r="I4788" t="s">
        <v>32</v>
      </c>
      <c r="J4788">
        <v>1</v>
      </c>
      <c r="K4788">
        <v>75</v>
      </c>
      <c r="L4788" t="s">
        <v>20</v>
      </c>
      <c r="M4788" t="s">
        <v>25</v>
      </c>
      <c r="N4788" t="s">
        <v>26</v>
      </c>
      <c r="O4788" t="s">
        <v>27</v>
      </c>
      <c r="P4788">
        <v>0.46</v>
      </c>
      <c r="Q4788" s="2" t="b">
        <f>FALSE()</f>
        <v>0</v>
      </c>
      <c r="R4788">
        <v>1</v>
      </c>
    </row>
    <row r="4789" spans="1:18" x14ac:dyDescent="0.25">
      <c r="A4789">
        <v>204788</v>
      </c>
      <c r="B4789">
        <v>54033</v>
      </c>
      <c r="C4789" t="s">
        <v>18</v>
      </c>
      <c r="D4789">
        <v>7531.79</v>
      </c>
      <c r="E4789">
        <v>2407</v>
      </c>
      <c r="F4789">
        <v>1</v>
      </c>
      <c r="G4789">
        <v>5</v>
      </c>
      <c r="H4789">
        <v>0</v>
      </c>
      <c r="I4789" t="s">
        <v>33</v>
      </c>
      <c r="J4789">
        <v>0</v>
      </c>
      <c r="K4789">
        <v>41</v>
      </c>
      <c r="L4789" t="s">
        <v>20</v>
      </c>
      <c r="M4789" t="s">
        <v>31</v>
      </c>
      <c r="N4789" t="s">
        <v>26</v>
      </c>
      <c r="O4789" t="s">
        <v>27</v>
      </c>
      <c r="P4789">
        <v>1.0900000000000001</v>
      </c>
      <c r="Q4789" s="2" t="b">
        <f>TRUE()</f>
        <v>1</v>
      </c>
      <c r="R4789">
        <v>1</v>
      </c>
    </row>
    <row r="4790" spans="1:18" x14ac:dyDescent="0.25">
      <c r="A4790">
        <v>204789</v>
      </c>
      <c r="B4790">
        <v>50440</v>
      </c>
      <c r="C4790" t="s">
        <v>18</v>
      </c>
      <c r="D4790">
        <v>3174.33</v>
      </c>
      <c r="E4790">
        <v>571</v>
      </c>
      <c r="F4790">
        <v>1</v>
      </c>
      <c r="G4790">
        <v>2</v>
      </c>
      <c r="H4790">
        <v>0</v>
      </c>
      <c r="I4790" t="s">
        <v>33</v>
      </c>
      <c r="J4790">
        <v>0</v>
      </c>
      <c r="K4790">
        <v>56</v>
      </c>
      <c r="L4790" t="s">
        <v>20</v>
      </c>
      <c r="M4790" t="s">
        <v>25</v>
      </c>
      <c r="N4790" t="s">
        <v>30</v>
      </c>
      <c r="O4790" t="s">
        <v>23</v>
      </c>
      <c r="P4790">
        <v>3.76</v>
      </c>
      <c r="Q4790" s="2" t="b">
        <f>FALSE()</f>
        <v>0</v>
      </c>
      <c r="R4790">
        <v>0</v>
      </c>
    </row>
    <row r="4791" spans="1:18" x14ac:dyDescent="0.25">
      <c r="A4791">
        <v>204790</v>
      </c>
      <c r="B4791">
        <v>53802</v>
      </c>
      <c r="C4791" t="s">
        <v>18</v>
      </c>
      <c r="D4791">
        <v>7181.19</v>
      </c>
      <c r="E4791">
        <v>3518</v>
      </c>
      <c r="F4791">
        <v>0</v>
      </c>
      <c r="G4791">
        <v>4</v>
      </c>
      <c r="H4791">
        <v>0</v>
      </c>
      <c r="I4791" t="s">
        <v>19</v>
      </c>
      <c r="J4791">
        <v>0</v>
      </c>
      <c r="K4791">
        <v>35</v>
      </c>
      <c r="L4791" t="s">
        <v>20</v>
      </c>
      <c r="M4791" t="s">
        <v>37</v>
      </c>
      <c r="N4791" t="s">
        <v>22</v>
      </c>
      <c r="O4791" t="s">
        <v>36</v>
      </c>
      <c r="P4791">
        <v>1.96</v>
      </c>
      <c r="Q4791" s="2" t="b">
        <f>TRUE()</f>
        <v>1</v>
      </c>
      <c r="R4791">
        <v>1</v>
      </c>
    </row>
    <row r="4792" spans="1:18" x14ac:dyDescent="0.25">
      <c r="A4792">
        <v>204791</v>
      </c>
      <c r="B4792">
        <v>55155</v>
      </c>
      <c r="C4792" t="s">
        <v>34</v>
      </c>
      <c r="D4792">
        <v>4808.08</v>
      </c>
      <c r="E4792">
        <v>1689</v>
      </c>
      <c r="F4792">
        <v>1</v>
      </c>
      <c r="G4792">
        <v>3</v>
      </c>
      <c r="H4792">
        <v>0</v>
      </c>
      <c r="I4792" t="s">
        <v>33</v>
      </c>
      <c r="J4792">
        <v>0</v>
      </c>
      <c r="K4792">
        <v>76</v>
      </c>
      <c r="L4792" t="s">
        <v>24</v>
      </c>
      <c r="M4792" t="s">
        <v>37</v>
      </c>
      <c r="N4792" t="s">
        <v>26</v>
      </c>
      <c r="O4792" t="s">
        <v>27</v>
      </c>
      <c r="P4792">
        <v>0.36</v>
      </c>
      <c r="Q4792" s="2" t="b">
        <f>FALSE()</f>
        <v>0</v>
      </c>
      <c r="R4792">
        <v>1</v>
      </c>
    </row>
    <row r="4793" spans="1:18" x14ac:dyDescent="0.25">
      <c r="A4793">
        <v>204792</v>
      </c>
      <c r="B4793">
        <v>51805</v>
      </c>
      <c r="C4793" t="s">
        <v>18</v>
      </c>
      <c r="D4793">
        <v>2051.98</v>
      </c>
      <c r="E4793">
        <v>3385</v>
      </c>
      <c r="F4793">
        <v>0</v>
      </c>
      <c r="G4793">
        <v>4</v>
      </c>
      <c r="H4793">
        <v>0</v>
      </c>
      <c r="I4793" t="s">
        <v>19</v>
      </c>
      <c r="J4793">
        <v>1</v>
      </c>
      <c r="K4793">
        <v>22</v>
      </c>
      <c r="L4793" t="s">
        <v>20</v>
      </c>
      <c r="M4793" t="s">
        <v>21</v>
      </c>
      <c r="N4793" t="s">
        <v>22</v>
      </c>
      <c r="O4793" t="s">
        <v>36</v>
      </c>
      <c r="P4793">
        <v>0.79</v>
      </c>
      <c r="Q4793" s="2" t="b">
        <f>FALSE()</f>
        <v>0</v>
      </c>
      <c r="R4793">
        <v>0</v>
      </c>
    </row>
    <row r="4794" spans="1:18" x14ac:dyDescent="0.25">
      <c r="A4794">
        <v>204793</v>
      </c>
      <c r="B4794">
        <v>53456</v>
      </c>
      <c r="C4794" t="s">
        <v>18</v>
      </c>
      <c r="D4794">
        <v>3431.49</v>
      </c>
      <c r="E4794">
        <v>3631</v>
      </c>
      <c r="F4794">
        <v>2</v>
      </c>
      <c r="G4794">
        <v>2</v>
      </c>
      <c r="H4794">
        <v>0</v>
      </c>
      <c r="I4794" t="s">
        <v>19</v>
      </c>
      <c r="J4794">
        <v>0</v>
      </c>
      <c r="K4794">
        <v>38</v>
      </c>
      <c r="L4794" t="s">
        <v>20</v>
      </c>
      <c r="M4794" t="s">
        <v>31</v>
      </c>
      <c r="N4794" t="s">
        <v>26</v>
      </c>
      <c r="O4794" t="s">
        <v>27</v>
      </c>
      <c r="P4794">
        <v>3.52</v>
      </c>
      <c r="Q4794" s="2" t="b">
        <f>FALSE()</f>
        <v>0</v>
      </c>
      <c r="R4794">
        <v>0</v>
      </c>
    </row>
    <row r="4795" spans="1:18" x14ac:dyDescent="0.25">
      <c r="A4795">
        <v>204794</v>
      </c>
      <c r="B4795">
        <v>54473</v>
      </c>
      <c r="C4795" t="s">
        <v>34</v>
      </c>
      <c r="D4795">
        <v>1393.91</v>
      </c>
      <c r="E4795">
        <v>589</v>
      </c>
      <c r="F4795">
        <v>1</v>
      </c>
      <c r="G4795">
        <v>5</v>
      </c>
      <c r="H4795">
        <v>1</v>
      </c>
      <c r="I4795" t="s">
        <v>19</v>
      </c>
      <c r="J4795">
        <v>0</v>
      </c>
      <c r="K4795">
        <v>78</v>
      </c>
      <c r="L4795" t="s">
        <v>38</v>
      </c>
      <c r="M4795" t="s">
        <v>37</v>
      </c>
      <c r="N4795" t="s">
        <v>22</v>
      </c>
      <c r="O4795" t="s">
        <v>23</v>
      </c>
      <c r="P4795">
        <v>2.16</v>
      </c>
      <c r="Q4795" s="2" t="b">
        <f>FALSE()</f>
        <v>0</v>
      </c>
      <c r="R4795">
        <v>0</v>
      </c>
    </row>
    <row r="4796" spans="1:18" x14ac:dyDescent="0.25">
      <c r="A4796">
        <v>204795</v>
      </c>
      <c r="B4796">
        <v>52440</v>
      </c>
      <c r="C4796" t="s">
        <v>18</v>
      </c>
      <c r="D4796">
        <v>1232.8900000000001</v>
      </c>
      <c r="E4796">
        <v>3400</v>
      </c>
      <c r="F4796">
        <v>1</v>
      </c>
      <c r="G4796">
        <v>5</v>
      </c>
      <c r="H4796">
        <v>0</v>
      </c>
      <c r="I4796" t="s">
        <v>19</v>
      </c>
      <c r="J4796">
        <v>0</v>
      </c>
      <c r="K4796">
        <v>75</v>
      </c>
      <c r="L4796" t="s">
        <v>24</v>
      </c>
      <c r="M4796" t="s">
        <v>21</v>
      </c>
      <c r="N4796" t="s">
        <v>30</v>
      </c>
      <c r="O4796" t="s">
        <v>27</v>
      </c>
      <c r="P4796">
        <v>2.37</v>
      </c>
      <c r="Q4796" s="2" t="b">
        <f>FALSE()</f>
        <v>0</v>
      </c>
      <c r="R4796">
        <v>0</v>
      </c>
    </row>
    <row r="4797" spans="1:18" x14ac:dyDescent="0.25">
      <c r="A4797">
        <v>204796</v>
      </c>
      <c r="B4797">
        <v>51637</v>
      </c>
      <c r="C4797" t="s">
        <v>34</v>
      </c>
      <c r="D4797">
        <v>2242.3000000000002</v>
      </c>
      <c r="E4797">
        <v>2793</v>
      </c>
      <c r="F4797">
        <v>0</v>
      </c>
      <c r="G4797">
        <v>2</v>
      </c>
      <c r="H4797">
        <v>0</v>
      </c>
      <c r="I4797" t="s">
        <v>19</v>
      </c>
      <c r="J4797">
        <v>0</v>
      </c>
      <c r="K4797">
        <v>23</v>
      </c>
      <c r="L4797" t="s">
        <v>24</v>
      </c>
      <c r="M4797" t="s">
        <v>31</v>
      </c>
      <c r="N4797" t="s">
        <v>22</v>
      </c>
      <c r="O4797" t="s">
        <v>23</v>
      </c>
      <c r="P4797">
        <v>2.33</v>
      </c>
      <c r="Q4797" s="2" t="b">
        <f>FALSE()</f>
        <v>0</v>
      </c>
      <c r="R4797">
        <v>0</v>
      </c>
    </row>
    <row r="4798" spans="1:18" x14ac:dyDescent="0.25">
      <c r="A4798">
        <v>204797</v>
      </c>
      <c r="B4798">
        <v>51283</v>
      </c>
      <c r="C4798" t="s">
        <v>18</v>
      </c>
      <c r="D4798">
        <v>2025.74</v>
      </c>
      <c r="E4798">
        <v>3063</v>
      </c>
      <c r="F4798">
        <v>0</v>
      </c>
      <c r="G4798">
        <v>4</v>
      </c>
      <c r="H4798">
        <v>0</v>
      </c>
      <c r="I4798" t="s">
        <v>33</v>
      </c>
      <c r="J4798">
        <v>0</v>
      </c>
      <c r="K4798">
        <v>69</v>
      </c>
      <c r="L4798" t="s">
        <v>24</v>
      </c>
      <c r="M4798" t="s">
        <v>37</v>
      </c>
      <c r="N4798" t="s">
        <v>26</v>
      </c>
      <c r="O4798" t="s">
        <v>36</v>
      </c>
      <c r="P4798">
        <v>1.1299999999999999</v>
      </c>
      <c r="Q4798" s="2" t="b">
        <f>FALSE()</f>
        <v>0</v>
      </c>
      <c r="R4798">
        <v>0</v>
      </c>
    </row>
    <row r="4799" spans="1:18" x14ac:dyDescent="0.25">
      <c r="A4799">
        <v>204798</v>
      </c>
      <c r="B4799">
        <v>52635</v>
      </c>
      <c r="C4799" t="s">
        <v>18</v>
      </c>
      <c r="D4799">
        <v>3527.94</v>
      </c>
      <c r="E4799">
        <v>3003</v>
      </c>
      <c r="F4799">
        <v>0</v>
      </c>
      <c r="G4799">
        <v>2</v>
      </c>
      <c r="H4799">
        <v>0</v>
      </c>
      <c r="I4799" t="s">
        <v>33</v>
      </c>
      <c r="J4799">
        <v>0</v>
      </c>
      <c r="K4799">
        <v>45</v>
      </c>
      <c r="L4799" t="s">
        <v>24</v>
      </c>
      <c r="M4799" t="s">
        <v>31</v>
      </c>
      <c r="N4799" t="s">
        <v>26</v>
      </c>
      <c r="O4799" t="s">
        <v>27</v>
      </c>
      <c r="P4799">
        <v>0.05</v>
      </c>
      <c r="Q4799" s="2" t="b">
        <f>FALSE()</f>
        <v>0</v>
      </c>
      <c r="R4799">
        <v>0</v>
      </c>
    </row>
    <row r="4800" spans="1:18" x14ac:dyDescent="0.25">
      <c r="A4800">
        <v>204799</v>
      </c>
      <c r="B4800">
        <v>53404</v>
      </c>
      <c r="C4800" t="s">
        <v>18</v>
      </c>
      <c r="D4800">
        <v>3474.55</v>
      </c>
      <c r="E4800">
        <v>64</v>
      </c>
      <c r="F4800">
        <v>2</v>
      </c>
      <c r="G4800">
        <v>5</v>
      </c>
      <c r="H4800">
        <v>0</v>
      </c>
      <c r="I4800" t="s">
        <v>33</v>
      </c>
      <c r="J4800">
        <v>1</v>
      </c>
      <c r="K4800">
        <v>40</v>
      </c>
      <c r="L4800" t="s">
        <v>20</v>
      </c>
      <c r="M4800" t="s">
        <v>37</v>
      </c>
      <c r="N4800" t="s">
        <v>22</v>
      </c>
      <c r="O4800" t="s">
        <v>36</v>
      </c>
      <c r="P4800">
        <v>0.76</v>
      </c>
      <c r="Q4800" s="2" t="b">
        <f>FALSE()</f>
        <v>0</v>
      </c>
      <c r="R4800">
        <v>0</v>
      </c>
    </row>
    <row r="4801" spans="1:18" x14ac:dyDescent="0.25">
      <c r="A4801">
        <v>204800</v>
      </c>
      <c r="B4801">
        <v>54214</v>
      </c>
      <c r="C4801" t="s">
        <v>34</v>
      </c>
      <c r="D4801">
        <v>1038.43</v>
      </c>
      <c r="E4801">
        <v>180</v>
      </c>
      <c r="F4801">
        <v>1</v>
      </c>
      <c r="G4801">
        <v>3</v>
      </c>
      <c r="H4801">
        <v>0</v>
      </c>
      <c r="I4801" t="s">
        <v>19</v>
      </c>
      <c r="J4801">
        <v>0</v>
      </c>
      <c r="K4801">
        <v>34</v>
      </c>
      <c r="L4801" t="s">
        <v>24</v>
      </c>
      <c r="M4801" t="s">
        <v>37</v>
      </c>
      <c r="N4801" t="s">
        <v>26</v>
      </c>
      <c r="O4801" t="s">
        <v>36</v>
      </c>
      <c r="P4801">
        <v>1.53</v>
      </c>
      <c r="Q4801" s="2" t="b">
        <f>FALSE()</f>
        <v>0</v>
      </c>
      <c r="R4801">
        <v>0</v>
      </c>
    </row>
    <row r="4802" spans="1:18" x14ac:dyDescent="0.25">
      <c r="A4802">
        <v>204801</v>
      </c>
      <c r="B4802">
        <v>53188</v>
      </c>
      <c r="C4802" t="s">
        <v>28</v>
      </c>
      <c r="D4802">
        <v>4301.6099999999997</v>
      </c>
      <c r="E4802">
        <v>3108</v>
      </c>
      <c r="F4802">
        <v>1</v>
      </c>
      <c r="G4802">
        <v>3</v>
      </c>
      <c r="H4802">
        <v>0</v>
      </c>
      <c r="I4802" t="s">
        <v>19</v>
      </c>
      <c r="J4802">
        <v>0</v>
      </c>
      <c r="K4802">
        <v>26</v>
      </c>
      <c r="L4802" t="s">
        <v>24</v>
      </c>
      <c r="M4802" t="s">
        <v>25</v>
      </c>
      <c r="N4802" t="s">
        <v>30</v>
      </c>
      <c r="O4802" t="s">
        <v>27</v>
      </c>
      <c r="P4802">
        <v>3.32</v>
      </c>
      <c r="Q4802" s="2" t="b">
        <f>FALSE()</f>
        <v>0</v>
      </c>
      <c r="R4802">
        <v>1</v>
      </c>
    </row>
    <row r="4803" spans="1:18" x14ac:dyDescent="0.25">
      <c r="A4803">
        <v>204802</v>
      </c>
      <c r="B4803">
        <v>50150</v>
      </c>
      <c r="C4803" t="s">
        <v>18</v>
      </c>
      <c r="D4803">
        <v>1124.98</v>
      </c>
      <c r="E4803">
        <v>2089</v>
      </c>
      <c r="F4803">
        <v>2</v>
      </c>
      <c r="G4803">
        <v>4</v>
      </c>
      <c r="H4803">
        <v>0</v>
      </c>
      <c r="I4803" t="s">
        <v>33</v>
      </c>
      <c r="J4803">
        <v>0</v>
      </c>
      <c r="K4803">
        <v>53</v>
      </c>
      <c r="L4803" t="s">
        <v>20</v>
      </c>
      <c r="M4803" t="s">
        <v>37</v>
      </c>
      <c r="N4803" t="s">
        <v>26</v>
      </c>
      <c r="O4803" t="s">
        <v>23</v>
      </c>
      <c r="P4803">
        <v>1.22</v>
      </c>
      <c r="Q4803" s="2" t="b">
        <f>FALSE()</f>
        <v>0</v>
      </c>
      <c r="R4803">
        <v>0</v>
      </c>
    </row>
    <row r="4804" spans="1:18" x14ac:dyDescent="0.25">
      <c r="A4804">
        <v>204803</v>
      </c>
      <c r="B4804">
        <v>54408</v>
      </c>
      <c r="C4804" t="s">
        <v>34</v>
      </c>
      <c r="D4804">
        <v>3410.84</v>
      </c>
      <c r="E4804">
        <v>403</v>
      </c>
      <c r="F4804">
        <v>0</v>
      </c>
      <c r="G4804">
        <v>4</v>
      </c>
      <c r="H4804">
        <v>1</v>
      </c>
      <c r="I4804" t="s">
        <v>33</v>
      </c>
      <c r="J4804">
        <v>0</v>
      </c>
      <c r="K4804">
        <v>56</v>
      </c>
      <c r="L4804" t="s">
        <v>24</v>
      </c>
      <c r="M4804" t="s">
        <v>25</v>
      </c>
      <c r="N4804" t="s">
        <v>30</v>
      </c>
      <c r="O4804" t="s">
        <v>27</v>
      </c>
      <c r="P4804">
        <v>19.05</v>
      </c>
      <c r="Q4804" s="2" t="b">
        <f>FALSE()</f>
        <v>0</v>
      </c>
      <c r="R4804">
        <v>0</v>
      </c>
    </row>
    <row r="4805" spans="1:18" x14ac:dyDescent="0.25">
      <c r="A4805">
        <v>204804</v>
      </c>
      <c r="B4805">
        <v>52190</v>
      </c>
      <c r="C4805" t="s">
        <v>18</v>
      </c>
      <c r="D4805">
        <v>2913.83</v>
      </c>
      <c r="E4805">
        <v>1656</v>
      </c>
      <c r="F4805">
        <v>0</v>
      </c>
      <c r="G4805">
        <v>1</v>
      </c>
      <c r="H4805">
        <v>1</v>
      </c>
      <c r="I4805" t="s">
        <v>33</v>
      </c>
      <c r="J4805">
        <v>1</v>
      </c>
      <c r="K4805">
        <v>35</v>
      </c>
      <c r="L4805" t="s">
        <v>20</v>
      </c>
      <c r="M4805" t="s">
        <v>37</v>
      </c>
      <c r="N4805" t="s">
        <v>22</v>
      </c>
      <c r="O4805" t="s">
        <v>23</v>
      </c>
      <c r="P4805">
        <v>5.86</v>
      </c>
      <c r="Q4805" s="2" t="b">
        <f>FALSE()</f>
        <v>0</v>
      </c>
      <c r="R4805">
        <v>0</v>
      </c>
    </row>
    <row r="4806" spans="1:18" x14ac:dyDescent="0.25">
      <c r="A4806">
        <v>204805</v>
      </c>
      <c r="B4806">
        <v>51688</v>
      </c>
      <c r="C4806" t="s">
        <v>18</v>
      </c>
      <c r="D4806">
        <v>2292.48</v>
      </c>
      <c r="E4806">
        <v>3248</v>
      </c>
      <c r="F4806">
        <v>1</v>
      </c>
      <c r="G4806">
        <v>0</v>
      </c>
      <c r="H4806">
        <v>0</v>
      </c>
      <c r="I4806" t="s">
        <v>19</v>
      </c>
      <c r="J4806">
        <v>1</v>
      </c>
      <c r="K4806">
        <v>60</v>
      </c>
      <c r="L4806" t="s">
        <v>38</v>
      </c>
      <c r="M4806" t="s">
        <v>31</v>
      </c>
      <c r="N4806" t="s">
        <v>30</v>
      </c>
      <c r="O4806" t="s">
        <v>36</v>
      </c>
      <c r="P4806">
        <v>6.1</v>
      </c>
      <c r="Q4806" s="2" t="b">
        <f>FALSE()</f>
        <v>0</v>
      </c>
      <c r="R4806">
        <v>0</v>
      </c>
    </row>
    <row r="4807" spans="1:18" x14ac:dyDescent="0.25">
      <c r="A4807">
        <v>204806</v>
      </c>
      <c r="B4807">
        <v>54300</v>
      </c>
      <c r="C4807" t="s">
        <v>18</v>
      </c>
      <c r="D4807">
        <v>1219.19</v>
      </c>
      <c r="E4807">
        <v>2180</v>
      </c>
      <c r="F4807">
        <v>0</v>
      </c>
      <c r="G4807">
        <v>2</v>
      </c>
      <c r="H4807">
        <v>0</v>
      </c>
      <c r="I4807" t="s">
        <v>19</v>
      </c>
      <c r="J4807">
        <v>0</v>
      </c>
      <c r="K4807">
        <v>33</v>
      </c>
      <c r="L4807" t="s">
        <v>24</v>
      </c>
      <c r="M4807" t="s">
        <v>35</v>
      </c>
      <c r="N4807" t="s">
        <v>30</v>
      </c>
      <c r="O4807" t="s">
        <v>27</v>
      </c>
      <c r="P4807">
        <v>6.1</v>
      </c>
      <c r="Q4807" s="2" t="b">
        <f>FALSE()</f>
        <v>0</v>
      </c>
      <c r="R4807">
        <v>0</v>
      </c>
    </row>
    <row r="4808" spans="1:18" x14ac:dyDescent="0.25">
      <c r="A4808">
        <v>204807</v>
      </c>
      <c r="B4808">
        <v>54002</v>
      </c>
      <c r="C4808" t="s">
        <v>34</v>
      </c>
      <c r="D4808">
        <v>3443.35</v>
      </c>
      <c r="E4808">
        <v>724</v>
      </c>
      <c r="F4808">
        <v>1</v>
      </c>
      <c r="G4808">
        <v>5</v>
      </c>
      <c r="H4808">
        <v>0</v>
      </c>
      <c r="I4808" t="s">
        <v>33</v>
      </c>
      <c r="J4808">
        <v>1</v>
      </c>
      <c r="K4808">
        <v>39</v>
      </c>
      <c r="L4808" t="s">
        <v>24</v>
      </c>
      <c r="M4808" t="s">
        <v>37</v>
      </c>
      <c r="N4808" t="s">
        <v>30</v>
      </c>
      <c r="O4808" t="s">
        <v>27</v>
      </c>
      <c r="P4808">
        <v>2.0099999999999998</v>
      </c>
      <c r="Q4808" s="2" t="b">
        <f>FALSE()</f>
        <v>0</v>
      </c>
      <c r="R4808">
        <v>0</v>
      </c>
    </row>
    <row r="4809" spans="1:18" x14ac:dyDescent="0.25">
      <c r="A4809">
        <v>204808</v>
      </c>
      <c r="B4809">
        <v>52877</v>
      </c>
      <c r="C4809" t="s">
        <v>28</v>
      </c>
      <c r="D4809">
        <v>4912.82</v>
      </c>
      <c r="E4809">
        <v>179</v>
      </c>
      <c r="F4809">
        <v>0</v>
      </c>
      <c r="G4809">
        <v>5</v>
      </c>
      <c r="H4809">
        <v>0</v>
      </c>
      <c r="I4809" t="s">
        <v>33</v>
      </c>
      <c r="J4809">
        <v>1</v>
      </c>
      <c r="K4809">
        <v>73</v>
      </c>
      <c r="L4809" t="s">
        <v>20</v>
      </c>
      <c r="M4809" t="s">
        <v>25</v>
      </c>
      <c r="N4809" t="s">
        <v>22</v>
      </c>
      <c r="O4809" t="s">
        <v>36</v>
      </c>
      <c r="P4809">
        <v>0.05</v>
      </c>
      <c r="Q4809" s="2" t="b">
        <f>FALSE()</f>
        <v>0</v>
      </c>
      <c r="R4809">
        <v>1</v>
      </c>
    </row>
    <row r="4810" spans="1:18" x14ac:dyDescent="0.25">
      <c r="A4810">
        <v>204809</v>
      </c>
      <c r="B4810">
        <v>51607</v>
      </c>
      <c r="C4810" t="s">
        <v>18</v>
      </c>
      <c r="D4810">
        <v>2468.69</v>
      </c>
      <c r="E4810">
        <v>2652</v>
      </c>
      <c r="F4810">
        <v>0</v>
      </c>
      <c r="G4810">
        <v>3</v>
      </c>
      <c r="H4810">
        <v>1</v>
      </c>
      <c r="I4810" t="s">
        <v>33</v>
      </c>
      <c r="J4810">
        <v>0</v>
      </c>
      <c r="K4810">
        <v>19</v>
      </c>
      <c r="L4810" t="s">
        <v>24</v>
      </c>
      <c r="M4810" t="s">
        <v>37</v>
      </c>
      <c r="N4810" t="s">
        <v>26</v>
      </c>
      <c r="O4810" t="s">
        <v>36</v>
      </c>
      <c r="P4810">
        <v>4.13</v>
      </c>
      <c r="Q4810" s="2" t="b">
        <f>FALSE()</f>
        <v>0</v>
      </c>
      <c r="R4810">
        <v>0</v>
      </c>
    </row>
    <row r="4811" spans="1:18" x14ac:dyDescent="0.25">
      <c r="A4811">
        <v>204810</v>
      </c>
      <c r="B4811">
        <v>54441</v>
      </c>
      <c r="C4811" t="s">
        <v>18</v>
      </c>
      <c r="D4811">
        <v>2741.94</v>
      </c>
      <c r="E4811">
        <v>1934</v>
      </c>
      <c r="F4811">
        <v>0</v>
      </c>
      <c r="G4811">
        <v>2</v>
      </c>
      <c r="H4811">
        <v>0</v>
      </c>
      <c r="I4811" t="s">
        <v>32</v>
      </c>
      <c r="J4811">
        <v>0</v>
      </c>
      <c r="K4811">
        <v>39</v>
      </c>
      <c r="L4811" t="s">
        <v>24</v>
      </c>
      <c r="M4811" t="s">
        <v>29</v>
      </c>
      <c r="N4811" t="s">
        <v>30</v>
      </c>
      <c r="O4811" t="s">
        <v>36</v>
      </c>
      <c r="P4811">
        <v>4.46</v>
      </c>
      <c r="Q4811" s="2" t="b">
        <f>FALSE()</f>
        <v>0</v>
      </c>
      <c r="R4811">
        <v>0</v>
      </c>
    </row>
    <row r="4812" spans="1:18" x14ac:dyDescent="0.25">
      <c r="A4812">
        <v>204811</v>
      </c>
      <c r="B4812">
        <v>50554</v>
      </c>
      <c r="C4812" t="s">
        <v>34</v>
      </c>
      <c r="D4812">
        <v>3851.52</v>
      </c>
      <c r="E4812">
        <v>3403</v>
      </c>
      <c r="F4812">
        <v>0</v>
      </c>
      <c r="G4812">
        <v>3</v>
      </c>
      <c r="H4812">
        <v>0</v>
      </c>
      <c r="I4812" t="s">
        <v>19</v>
      </c>
      <c r="J4812">
        <v>0</v>
      </c>
      <c r="K4812">
        <v>60</v>
      </c>
      <c r="L4812" t="s">
        <v>20</v>
      </c>
      <c r="M4812" t="s">
        <v>35</v>
      </c>
      <c r="N4812" t="s">
        <v>22</v>
      </c>
      <c r="O4812" t="s">
        <v>36</v>
      </c>
      <c r="P4812">
        <v>5.58</v>
      </c>
      <c r="Q4812" s="2" t="b">
        <f>FALSE()</f>
        <v>0</v>
      </c>
      <c r="R4812">
        <v>1</v>
      </c>
    </row>
    <row r="4813" spans="1:18" x14ac:dyDescent="0.25">
      <c r="A4813">
        <v>204812</v>
      </c>
      <c r="B4813">
        <v>53104</v>
      </c>
      <c r="C4813" t="s">
        <v>18</v>
      </c>
      <c r="D4813">
        <v>967.59</v>
      </c>
      <c r="E4813">
        <v>1387</v>
      </c>
      <c r="F4813">
        <v>2</v>
      </c>
      <c r="G4813">
        <v>8</v>
      </c>
      <c r="H4813">
        <v>1</v>
      </c>
      <c r="I4813" t="s">
        <v>32</v>
      </c>
      <c r="J4813">
        <v>0</v>
      </c>
      <c r="K4813">
        <v>59</v>
      </c>
      <c r="L4813" t="s">
        <v>24</v>
      </c>
      <c r="M4813" t="s">
        <v>29</v>
      </c>
      <c r="N4813" t="s">
        <v>22</v>
      </c>
      <c r="O4813" t="s">
        <v>27</v>
      </c>
      <c r="P4813">
        <v>0.49</v>
      </c>
      <c r="Q4813" s="2" t="b">
        <f>FALSE()</f>
        <v>0</v>
      </c>
      <c r="R4813">
        <v>1</v>
      </c>
    </row>
    <row r="4814" spans="1:18" x14ac:dyDescent="0.25">
      <c r="A4814">
        <v>204813</v>
      </c>
      <c r="B4814">
        <v>52940</v>
      </c>
      <c r="C4814" t="s">
        <v>18</v>
      </c>
      <c r="D4814">
        <v>2779.01</v>
      </c>
      <c r="E4814">
        <v>1068</v>
      </c>
      <c r="F4814">
        <v>0</v>
      </c>
      <c r="G4814">
        <v>2</v>
      </c>
      <c r="H4814">
        <v>0</v>
      </c>
      <c r="I4814" t="s">
        <v>32</v>
      </c>
      <c r="J4814">
        <v>0</v>
      </c>
      <c r="K4814">
        <v>34</v>
      </c>
      <c r="L4814" t="s">
        <v>24</v>
      </c>
      <c r="M4814" t="s">
        <v>35</v>
      </c>
      <c r="N4814" t="s">
        <v>30</v>
      </c>
      <c r="O4814" t="s">
        <v>27</v>
      </c>
      <c r="P4814">
        <v>0.59</v>
      </c>
      <c r="Q4814" s="2" t="b">
        <f>FALSE()</f>
        <v>0</v>
      </c>
      <c r="R4814">
        <v>0</v>
      </c>
    </row>
    <row r="4815" spans="1:18" x14ac:dyDescent="0.25">
      <c r="A4815">
        <v>204814</v>
      </c>
      <c r="B4815">
        <v>52810</v>
      </c>
      <c r="C4815" t="s">
        <v>18</v>
      </c>
      <c r="D4815">
        <v>1418.5</v>
      </c>
      <c r="E4815">
        <v>2970</v>
      </c>
      <c r="F4815">
        <v>0</v>
      </c>
      <c r="G4815">
        <v>3</v>
      </c>
      <c r="H4815">
        <v>0</v>
      </c>
      <c r="I4815" t="s">
        <v>19</v>
      </c>
      <c r="J4815">
        <v>0</v>
      </c>
      <c r="K4815">
        <v>25</v>
      </c>
      <c r="L4815" t="s">
        <v>20</v>
      </c>
      <c r="M4815" t="s">
        <v>29</v>
      </c>
      <c r="N4815" t="s">
        <v>26</v>
      </c>
      <c r="O4815" t="s">
        <v>36</v>
      </c>
      <c r="P4815">
        <v>0.12</v>
      </c>
      <c r="Q4815" s="2" t="b">
        <f>FALSE()</f>
        <v>0</v>
      </c>
      <c r="R4815">
        <v>0</v>
      </c>
    </row>
    <row r="4816" spans="1:18" x14ac:dyDescent="0.25">
      <c r="A4816">
        <v>204815</v>
      </c>
      <c r="B4816">
        <v>52079</v>
      </c>
      <c r="C4816" t="s">
        <v>34</v>
      </c>
      <c r="D4816">
        <v>1474.3</v>
      </c>
      <c r="E4816">
        <v>1967</v>
      </c>
      <c r="F4816">
        <v>1</v>
      </c>
      <c r="G4816">
        <v>4</v>
      </c>
      <c r="H4816">
        <v>1</v>
      </c>
      <c r="I4816" t="s">
        <v>32</v>
      </c>
      <c r="J4816">
        <v>0</v>
      </c>
      <c r="K4816">
        <v>29</v>
      </c>
      <c r="L4816" t="s">
        <v>20</v>
      </c>
      <c r="M4816" t="s">
        <v>31</v>
      </c>
      <c r="N4816" t="s">
        <v>22</v>
      </c>
      <c r="O4816" t="s">
        <v>23</v>
      </c>
      <c r="P4816">
        <v>3.06</v>
      </c>
      <c r="Q4816" s="2" t="b">
        <f>FALSE()</f>
        <v>0</v>
      </c>
      <c r="R4816">
        <v>0</v>
      </c>
    </row>
    <row r="4817" spans="1:18" x14ac:dyDescent="0.25">
      <c r="A4817">
        <v>204816</v>
      </c>
      <c r="B4817">
        <v>51844</v>
      </c>
      <c r="C4817" t="s">
        <v>34</v>
      </c>
      <c r="D4817">
        <v>949.68</v>
      </c>
      <c r="E4817">
        <v>44</v>
      </c>
      <c r="F4817">
        <v>1</v>
      </c>
      <c r="G4817">
        <v>4</v>
      </c>
      <c r="H4817">
        <v>0</v>
      </c>
      <c r="I4817" t="s">
        <v>33</v>
      </c>
      <c r="J4817">
        <v>0</v>
      </c>
      <c r="K4817">
        <v>36</v>
      </c>
      <c r="L4817" t="s">
        <v>20</v>
      </c>
      <c r="M4817" t="s">
        <v>37</v>
      </c>
      <c r="N4817" t="s">
        <v>22</v>
      </c>
      <c r="O4817" t="s">
        <v>36</v>
      </c>
      <c r="P4817">
        <v>3.45</v>
      </c>
      <c r="Q4817" s="2" t="b">
        <f>FALSE()</f>
        <v>0</v>
      </c>
      <c r="R4817">
        <v>0</v>
      </c>
    </row>
    <row r="4818" spans="1:18" x14ac:dyDescent="0.25">
      <c r="A4818">
        <v>204817</v>
      </c>
      <c r="B4818">
        <v>53969</v>
      </c>
      <c r="C4818" t="s">
        <v>34</v>
      </c>
      <c r="D4818">
        <v>774.23</v>
      </c>
      <c r="E4818">
        <v>3542</v>
      </c>
      <c r="F4818">
        <v>0</v>
      </c>
      <c r="G4818">
        <v>6</v>
      </c>
      <c r="H4818">
        <v>1</v>
      </c>
      <c r="I4818" t="s">
        <v>32</v>
      </c>
      <c r="J4818">
        <v>1</v>
      </c>
      <c r="K4818">
        <v>51</v>
      </c>
      <c r="L4818" t="s">
        <v>20</v>
      </c>
      <c r="M4818" t="s">
        <v>31</v>
      </c>
      <c r="N4818" t="s">
        <v>22</v>
      </c>
      <c r="O4818" t="s">
        <v>36</v>
      </c>
      <c r="P4818">
        <v>11.17</v>
      </c>
      <c r="Q4818" s="2" t="b">
        <f>FALSE()</f>
        <v>0</v>
      </c>
      <c r="R4818">
        <v>0</v>
      </c>
    </row>
    <row r="4819" spans="1:18" x14ac:dyDescent="0.25">
      <c r="A4819">
        <v>204818</v>
      </c>
      <c r="B4819">
        <v>51189</v>
      </c>
      <c r="C4819" t="s">
        <v>28</v>
      </c>
      <c r="D4819">
        <v>1958.83</v>
      </c>
      <c r="E4819">
        <v>1208</v>
      </c>
      <c r="F4819">
        <v>3</v>
      </c>
      <c r="G4819">
        <v>4</v>
      </c>
      <c r="H4819">
        <v>0</v>
      </c>
      <c r="I4819" t="s">
        <v>33</v>
      </c>
      <c r="J4819">
        <v>1</v>
      </c>
      <c r="K4819">
        <v>84</v>
      </c>
      <c r="L4819" t="s">
        <v>20</v>
      </c>
      <c r="M4819" t="s">
        <v>35</v>
      </c>
      <c r="N4819" t="s">
        <v>30</v>
      </c>
      <c r="O4819" t="s">
        <v>36</v>
      </c>
      <c r="P4819">
        <v>4.38</v>
      </c>
      <c r="Q4819" s="2" t="b">
        <f>FALSE()</f>
        <v>0</v>
      </c>
      <c r="R4819">
        <v>1</v>
      </c>
    </row>
    <row r="4820" spans="1:18" x14ac:dyDescent="0.25">
      <c r="A4820">
        <v>204819</v>
      </c>
      <c r="B4820">
        <v>52287</v>
      </c>
      <c r="C4820" t="s">
        <v>18</v>
      </c>
      <c r="D4820">
        <v>4634.95</v>
      </c>
      <c r="E4820">
        <v>261</v>
      </c>
      <c r="F4820">
        <v>4</v>
      </c>
      <c r="G4820">
        <v>4</v>
      </c>
      <c r="H4820">
        <v>1</v>
      </c>
      <c r="I4820" t="s">
        <v>32</v>
      </c>
      <c r="J4820">
        <v>0</v>
      </c>
      <c r="K4820">
        <v>63</v>
      </c>
      <c r="L4820" t="s">
        <v>20</v>
      </c>
      <c r="M4820" t="s">
        <v>29</v>
      </c>
      <c r="N4820" t="s">
        <v>30</v>
      </c>
      <c r="O4820" t="s">
        <v>27</v>
      </c>
      <c r="P4820">
        <v>6.01</v>
      </c>
      <c r="Q4820" s="2" t="b">
        <f>FALSE()</f>
        <v>0</v>
      </c>
      <c r="R4820">
        <v>1</v>
      </c>
    </row>
    <row r="4821" spans="1:18" x14ac:dyDescent="0.25">
      <c r="A4821">
        <v>204820</v>
      </c>
      <c r="B4821">
        <v>53052</v>
      </c>
      <c r="C4821" t="s">
        <v>34</v>
      </c>
      <c r="D4821">
        <v>2315.0300000000002</v>
      </c>
      <c r="E4821">
        <v>2824</v>
      </c>
      <c r="F4821">
        <v>2</v>
      </c>
      <c r="G4821">
        <v>6</v>
      </c>
      <c r="H4821">
        <v>0</v>
      </c>
      <c r="I4821" t="s">
        <v>33</v>
      </c>
      <c r="J4821">
        <v>0</v>
      </c>
      <c r="K4821">
        <v>27</v>
      </c>
      <c r="L4821" t="s">
        <v>24</v>
      </c>
      <c r="M4821" t="s">
        <v>29</v>
      </c>
      <c r="N4821" t="s">
        <v>30</v>
      </c>
      <c r="O4821" t="s">
        <v>36</v>
      </c>
      <c r="P4821">
        <v>6.61</v>
      </c>
      <c r="Q4821" s="2" t="b">
        <f>FALSE()</f>
        <v>0</v>
      </c>
      <c r="R4821">
        <v>0</v>
      </c>
    </row>
    <row r="4822" spans="1:18" x14ac:dyDescent="0.25">
      <c r="A4822">
        <v>204821</v>
      </c>
      <c r="B4822">
        <v>55136</v>
      </c>
      <c r="C4822" t="s">
        <v>34</v>
      </c>
      <c r="D4822">
        <v>4798.45</v>
      </c>
      <c r="E4822">
        <v>193</v>
      </c>
      <c r="F4822">
        <v>0</v>
      </c>
      <c r="G4822">
        <v>2</v>
      </c>
      <c r="H4822">
        <v>0</v>
      </c>
      <c r="I4822" t="s">
        <v>19</v>
      </c>
      <c r="J4822">
        <v>0</v>
      </c>
      <c r="K4822">
        <v>22</v>
      </c>
      <c r="L4822" t="s">
        <v>20</v>
      </c>
      <c r="M4822" t="s">
        <v>37</v>
      </c>
      <c r="N4822" t="s">
        <v>30</v>
      </c>
      <c r="O4822" t="s">
        <v>36</v>
      </c>
      <c r="P4822">
        <v>0.42</v>
      </c>
      <c r="Q4822" s="2" t="b">
        <f>FALSE()</f>
        <v>0</v>
      </c>
      <c r="R4822">
        <v>1</v>
      </c>
    </row>
    <row r="4823" spans="1:18" x14ac:dyDescent="0.25">
      <c r="A4823">
        <v>204822</v>
      </c>
      <c r="B4823">
        <v>55320</v>
      </c>
      <c r="C4823" t="s">
        <v>18</v>
      </c>
      <c r="D4823">
        <v>1193.69</v>
      </c>
      <c r="E4823">
        <v>2357</v>
      </c>
      <c r="F4823">
        <v>1</v>
      </c>
      <c r="G4823">
        <v>1</v>
      </c>
      <c r="H4823">
        <v>0</v>
      </c>
      <c r="I4823" t="s">
        <v>32</v>
      </c>
      <c r="J4823">
        <v>0</v>
      </c>
      <c r="K4823">
        <v>83</v>
      </c>
      <c r="L4823" t="s">
        <v>24</v>
      </c>
      <c r="M4823" t="s">
        <v>31</v>
      </c>
      <c r="N4823" t="s">
        <v>26</v>
      </c>
      <c r="O4823" t="s">
        <v>23</v>
      </c>
      <c r="P4823">
        <v>4.66</v>
      </c>
      <c r="Q4823" s="2" t="b">
        <f>FALSE()</f>
        <v>0</v>
      </c>
      <c r="R4823">
        <v>0</v>
      </c>
    </row>
    <row r="4824" spans="1:18" x14ac:dyDescent="0.25">
      <c r="A4824">
        <v>204823</v>
      </c>
      <c r="B4824">
        <v>55733</v>
      </c>
      <c r="C4824" t="s">
        <v>18</v>
      </c>
      <c r="D4824">
        <v>4432.6400000000003</v>
      </c>
      <c r="E4824">
        <v>3611</v>
      </c>
      <c r="F4824">
        <v>4</v>
      </c>
      <c r="G4824">
        <v>5</v>
      </c>
      <c r="H4824">
        <v>0</v>
      </c>
      <c r="I4824" t="s">
        <v>33</v>
      </c>
      <c r="J4824">
        <v>0</v>
      </c>
      <c r="K4824">
        <v>76</v>
      </c>
      <c r="L4824" t="s">
        <v>24</v>
      </c>
      <c r="M4824" t="s">
        <v>35</v>
      </c>
      <c r="N4824" t="s">
        <v>30</v>
      </c>
      <c r="O4824" t="s">
        <v>27</v>
      </c>
      <c r="P4824">
        <v>0.18</v>
      </c>
      <c r="Q4824" s="2" t="b">
        <f>FALSE()</f>
        <v>0</v>
      </c>
      <c r="R4824">
        <v>1</v>
      </c>
    </row>
    <row r="4825" spans="1:18" x14ac:dyDescent="0.25">
      <c r="A4825">
        <v>204824</v>
      </c>
      <c r="B4825">
        <v>54893</v>
      </c>
      <c r="C4825" t="s">
        <v>18</v>
      </c>
      <c r="D4825">
        <v>3666.01</v>
      </c>
      <c r="E4825">
        <v>473</v>
      </c>
      <c r="F4825">
        <v>1</v>
      </c>
      <c r="G4825">
        <v>5</v>
      </c>
      <c r="H4825">
        <v>1</v>
      </c>
      <c r="I4825" t="s">
        <v>33</v>
      </c>
      <c r="J4825">
        <v>0</v>
      </c>
      <c r="K4825">
        <v>62</v>
      </c>
      <c r="L4825" t="s">
        <v>24</v>
      </c>
      <c r="M4825" t="s">
        <v>25</v>
      </c>
      <c r="N4825" t="s">
        <v>22</v>
      </c>
      <c r="O4825" t="s">
        <v>23</v>
      </c>
      <c r="P4825">
        <v>2.94</v>
      </c>
      <c r="Q4825" s="2" t="b">
        <f>FALSE()</f>
        <v>0</v>
      </c>
      <c r="R4825">
        <v>1</v>
      </c>
    </row>
    <row r="4826" spans="1:18" x14ac:dyDescent="0.25">
      <c r="A4826">
        <v>204825</v>
      </c>
      <c r="B4826">
        <v>55124</v>
      </c>
      <c r="C4826" t="s">
        <v>28</v>
      </c>
      <c r="D4826">
        <v>1742.94</v>
      </c>
      <c r="E4826">
        <v>957</v>
      </c>
      <c r="F4826">
        <v>1</v>
      </c>
      <c r="G4826">
        <v>3</v>
      </c>
      <c r="H4826">
        <v>1</v>
      </c>
      <c r="I4826" t="s">
        <v>19</v>
      </c>
      <c r="J4826">
        <v>0</v>
      </c>
      <c r="K4826">
        <v>42</v>
      </c>
      <c r="L4826" t="s">
        <v>20</v>
      </c>
      <c r="M4826" t="s">
        <v>35</v>
      </c>
      <c r="N4826" t="s">
        <v>26</v>
      </c>
      <c r="O4826" t="s">
        <v>27</v>
      </c>
      <c r="P4826">
        <v>1</v>
      </c>
      <c r="Q4826" s="2" t="b">
        <f>FALSE()</f>
        <v>0</v>
      </c>
      <c r="R4826">
        <v>0</v>
      </c>
    </row>
    <row r="4827" spans="1:18" x14ac:dyDescent="0.25">
      <c r="A4827">
        <v>204826</v>
      </c>
      <c r="B4827">
        <v>52751</v>
      </c>
      <c r="C4827" t="s">
        <v>34</v>
      </c>
      <c r="D4827">
        <v>841.59</v>
      </c>
      <c r="E4827">
        <v>2325</v>
      </c>
      <c r="F4827">
        <v>0</v>
      </c>
      <c r="G4827">
        <v>4</v>
      </c>
      <c r="H4827">
        <v>0</v>
      </c>
      <c r="I4827" t="s">
        <v>33</v>
      </c>
      <c r="J4827">
        <v>0</v>
      </c>
      <c r="K4827">
        <v>33</v>
      </c>
      <c r="L4827" t="s">
        <v>20</v>
      </c>
      <c r="M4827" t="s">
        <v>21</v>
      </c>
      <c r="N4827" t="s">
        <v>30</v>
      </c>
      <c r="O4827" t="s">
        <v>36</v>
      </c>
      <c r="P4827">
        <v>1.1200000000000001</v>
      </c>
      <c r="Q4827" s="2" t="b">
        <f>FALSE()</f>
        <v>0</v>
      </c>
      <c r="R4827">
        <v>0</v>
      </c>
    </row>
    <row r="4828" spans="1:18" x14ac:dyDescent="0.25">
      <c r="A4828">
        <v>204827</v>
      </c>
      <c r="B4828">
        <v>55380</v>
      </c>
      <c r="C4828" t="s">
        <v>34</v>
      </c>
      <c r="D4828">
        <v>3560.53</v>
      </c>
      <c r="E4828">
        <v>356</v>
      </c>
      <c r="F4828">
        <v>1</v>
      </c>
      <c r="G4828">
        <v>5</v>
      </c>
      <c r="H4828">
        <v>0</v>
      </c>
      <c r="I4828" t="s">
        <v>33</v>
      </c>
      <c r="J4828">
        <v>0</v>
      </c>
      <c r="K4828">
        <v>36</v>
      </c>
      <c r="L4828" t="s">
        <v>24</v>
      </c>
      <c r="M4828" t="s">
        <v>29</v>
      </c>
      <c r="N4828" t="s">
        <v>22</v>
      </c>
      <c r="O4828" t="s">
        <v>27</v>
      </c>
      <c r="P4828">
        <v>8.68</v>
      </c>
      <c r="Q4828" s="2" t="b">
        <f>FALSE()</f>
        <v>0</v>
      </c>
      <c r="R4828">
        <v>0</v>
      </c>
    </row>
    <row r="4829" spans="1:18" x14ac:dyDescent="0.25">
      <c r="A4829">
        <v>204828</v>
      </c>
      <c r="B4829">
        <v>53695</v>
      </c>
      <c r="C4829" t="s">
        <v>18</v>
      </c>
      <c r="D4829">
        <v>5306.93</v>
      </c>
      <c r="E4829">
        <v>2153</v>
      </c>
      <c r="F4829">
        <v>3</v>
      </c>
      <c r="G4829">
        <v>4</v>
      </c>
      <c r="H4829">
        <v>0</v>
      </c>
      <c r="I4829" t="s">
        <v>19</v>
      </c>
      <c r="J4829">
        <v>0</v>
      </c>
      <c r="K4829">
        <v>43</v>
      </c>
      <c r="L4829" t="s">
        <v>20</v>
      </c>
      <c r="M4829" t="s">
        <v>37</v>
      </c>
      <c r="N4829" t="s">
        <v>22</v>
      </c>
      <c r="O4829" t="s">
        <v>36</v>
      </c>
      <c r="P4829">
        <v>0.77</v>
      </c>
      <c r="Q4829" s="2" t="b">
        <f>FALSE()</f>
        <v>0</v>
      </c>
      <c r="R4829">
        <v>1</v>
      </c>
    </row>
    <row r="4830" spans="1:18" x14ac:dyDescent="0.25">
      <c r="A4830">
        <v>204829</v>
      </c>
      <c r="B4830">
        <v>55962</v>
      </c>
      <c r="C4830" t="s">
        <v>34</v>
      </c>
      <c r="D4830">
        <v>2133.33</v>
      </c>
      <c r="E4830">
        <v>3540</v>
      </c>
      <c r="F4830">
        <v>2</v>
      </c>
      <c r="G4830">
        <v>4</v>
      </c>
      <c r="H4830">
        <v>0</v>
      </c>
      <c r="I4830" t="s">
        <v>19</v>
      </c>
      <c r="J4830">
        <v>0</v>
      </c>
      <c r="K4830">
        <v>74</v>
      </c>
      <c r="L4830" t="s">
        <v>24</v>
      </c>
      <c r="M4830" t="s">
        <v>37</v>
      </c>
      <c r="N4830" t="s">
        <v>26</v>
      </c>
      <c r="O4830" t="s">
        <v>23</v>
      </c>
      <c r="P4830">
        <v>0.02</v>
      </c>
      <c r="Q4830" s="2" t="b">
        <f>FALSE()</f>
        <v>0</v>
      </c>
      <c r="R4830">
        <v>0</v>
      </c>
    </row>
    <row r="4831" spans="1:18" x14ac:dyDescent="0.25">
      <c r="A4831">
        <v>204830</v>
      </c>
      <c r="B4831">
        <v>54940</v>
      </c>
      <c r="C4831" t="s">
        <v>18</v>
      </c>
      <c r="D4831">
        <v>3939.57</v>
      </c>
      <c r="E4831">
        <v>2740</v>
      </c>
      <c r="F4831">
        <v>0</v>
      </c>
      <c r="G4831">
        <v>5</v>
      </c>
      <c r="H4831">
        <v>1</v>
      </c>
      <c r="I4831" t="s">
        <v>32</v>
      </c>
      <c r="J4831">
        <v>0</v>
      </c>
      <c r="K4831">
        <v>53</v>
      </c>
      <c r="L4831" t="s">
        <v>24</v>
      </c>
      <c r="M4831" t="s">
        <v>21</v>
      </c>
      <c r="N4831" t="s">
        <v>30</v>
      </c>
      <c r="O4831" t="s">
        <v>36</v>
      </c>
      <c r="P4831">
        <v>0.46</v>
      </c>
      <c r="Q4831" s="2" t="b">
        <f>FALSE()</f>
        <v>0</v>
      </c>
      <c r="R4831">
        <v>1</v>
      </c>
    </row>
    <row r="4832" spans="1:18" x14ac:dyDescent="0.25">
      <c r="A4832">
        <v>204831</v>
      </c>
      <c r="B4832">
        <v>54495</v>
      </c>
      <c r="C4832" t="s">
        <v>34</v>
      </c>
      <c r="D4832">
        <v>10253.44</v>
      </c>
      <c r="E4832">
        <v>865</v>
      </c>
      <c r="F4832">
        <v>0</v>
      </c>
      <c r="G4832">
        <v>4</v>
      </c>
      <c r="H4832">
        <v>0</v>
      </c>
      <c r="I4832" t="s">
        <v>33</v>
      </c>
      <c r="J4832">
        <v>0</v>
      </c>
      <c r="K4832">
        <v>21</v>
      </c>
      <c r="L4832" t="s">
        <v>20</v>
      </c>
      <c r="M4832" t="s">
        <v>37</v>
      </c>
      <c r="N4832" t="s">
        <v>26</v>
      </c>
      <c r="O4832" t="s">
        <v>36</v>
      </c>
      <c r="P4832">
        <v>1.22</v>
      </c>
      <c r="Q4832" s="2" t="b">
        <f>TRUE()</f>
        <v>1</v>
      </c>
      <c r="R4832">
        <v>1</v>
      </c>
    </row>
    <row r="4833" spans="1:18" x14ac:dyDescent="0.25">
      <c r="A4833">
        <v>204832</v>
      </c>
      <c r="B4833">
        <v>51410</v>
      </c>
      <c r="C4833" t="s">
        <v>34</v>
      </c>
      <c r="D4833">
        <v>2133.89</v>
      </c>
      <c r="E4833">
        <v>3255</v>
      </c>
      <c r="F4833">
        <v>0</v>
      </c>
      <c r="G4833">
        <v>4</v>
      </c>
      <c r="H4833">
        <v>0</v>
      </c>
      <c r="I4833" t="s">
        <v>33</v>
      </c>
      <c r="J4833">
        <v>0</v>
      </c>
      <c r="K4833">
        <v>70</v>
      </c>
      <c r="L4833" t="s">
        <v>20</v>
      </c>
      <c r="M4833" t="s">
        <v>21</v>
      </c>
      <c r="N4833" t="s">
        <v>26</v>
      </c>
      <c r="O4833" t="s">
        <v>27</v>
      </c>
      <c r="P4833">
        <v>1.61</v>
      </c>
      <c r="Q4833" s="2" t="b">
        <f>FALSE()</f>
        <v>0</v>
      </c>
      <c r="R4833">
        <v>0</v>
      </c>
    </row>
    <row r="4834" spans="1:18" x14ac:dyDescent="0.25">
      <c r="A4834">
        <v>204833</v>
      </c>
      <c r="B4834">
        <v>55873</v>
      </c>
      <c r="C4834" t="s">
        <v>18</v>
      </c>
      <c r="D4834">
        <v>1035.68</v>
      </c>
      <c r="E4834">
        <v>3285</v>
      </c>
      <c r="F4834">
        <v>0</v>
      </c>
      <c r="G4834">
        <v>3</v>
      </c>
      <c r="H4834">
        <v>0</v>
      </c>
      <c r="I4834" t="s">
        <v>19</v>
      </c>
      <c r="J4834">
        <v>0</v>
      </c>
      <c r="K4834">
        <v>55</v>
      </c>
      <c r="L4834" t="s">
        <v>24</v>
      </c>
      <c r="M4834" t="s">
        <v>21</v>
      </c>
      <c r="N4834" t="s">
        <v>26</v>
      </c>
      <c r="O4834" t="s">
        <v>36</v>
      </c>
      <c r="P4834">
        <v>4.9800000000000004</v>
      </c>
      <c r="Q4834" s="2" t="b">
        <f>FALSE()</f>
        <v>0</v>
      </c>
      <c r="R4834">
        <v>0</v>
      </c>
    </row>
    <row r="4835" spans="1:18" x14ac:dyDescent="0.25">
      <c r="A4835">
        <v>204834</v>
      </c>
      <c r="B4835">
        <v>50284</v>
      </c>
      <c r="C4835" t="s">
        <v>18</v>
      </c>
      <c r="D4835">
        <v>886.9</v>
      </c>
      <c r="E4835">
        <v>2583</v>
      </c>
      <c r="F4835">
        <v>1</v>
      </c>
      <c r="G4835">
        <v>4</v>
      </c>
      <c r="H4835">
        <v>0</v>
      </c>
      <c r="I4835" t="s">
        <v>33</v>
      </c>
      <c r="J4835">
        <v>1</v>
      </c>
      <c r="K4835">
        <v>63</v>
      </c>
      <c r="L4835" t="s">
        <v>20</v>
      </c>
      <c r="M4835" t="s">
        <v>37</v>
      </c>
      <c r="N4835" t="s">
        <v>26</v>
      </c>
      <c r="O4835" t="s">
        <v>23</v>
      </c>
      <c r="P4835">
        <v>5.23</v>
      </c>
      <c r="Q4835" s="2" t="b">
        <f>FALSE()</f>
        <v>0</v>
      </c>
      <c r="R4835">
        <v>0</v>
      </c>
    </row>
    <row r="4836" spans="1:18" x14ac:dyDescent="0.25">
      <c r="A4836">
        <v>204835</v>
      </c>
      <c r="B4836">
        <v>54195</v>
      </c>
      <c r="C4836" t="s">
        <v>18</v>
      </c>
      <c r="D4836">
        <v>428.12</v>
      </c>
      <c r="E4836">
        <v>756</v>
      </c>
      <c r="F4836">
        <v>1</v>
      </c>
      <c r="G4836">
        <v>3</v>
      </c>
      <c r="H4836">
        <v>0</v>
      </c>
      <c r="I4836" t="s">
        <v>33</v>
      </c>
      <c r="J4836">
        <v>0</v>
      </c>
      <c r="K4836">
        <v>54</v>
      </c>
      <c r="L4836" t="s">
        <v>20</v>
      </c>
      <c r="M4836" t="s">
        <v>21</v>
      </c>
      <c r="N4836" t="s">
        <v>22</v>
      </c>
      <c r="O4836" t="s">
        <v>36</v>
      </c>
      <c r="P4836">
        <v>1.32</v>
      </c>
      <c r="Q4836" s="2" t="b">
        <f>FALSE()</f>
        <v>0</v>
      </c>
      <c r="R4836">
        <v>0</v>
      </c>
    </row>
    <row r="4837" spans="1:18" x14ac:dyDescent="0.25">
      <c r="A4837">
        <v>204836</v>
      </c>
      <c r="B4837">
        <v>51206</v>
      </c>
      <c r="C4837" t="s">
        <v>34</v>
      </c>
      <c r="D4837">
        <v>5332.81</v>
      </c>
      <c r="E4837">
        <v>3227</v>
      </c>
      <c r="F4837">
        <v>3</v>
      </c>
      <c r="G4837">
        <v>5</v>
      </c>
      <c r="H4837">
        <v>0</v>
      </c>
      <c r="I4837" t="s">
        <v>32</v>
      </c>
      <c r="J4837">
        <v>0</v>
      </c>
      <c r="K4837">
        <v>83</v>
      </c>
      <c r="L4837" t="s">
        <v>24</v>
      </c>
      <c r="M4837" t="s">
        <v>31</v>
      </c>
      <c r="N4837" t="s">
        <v>30</v>
      </c>
      <c r="O4837" t="s">
        <v>23</v>
      </c>
      <c r="P4837">
        <v>3.9</v>
      </c>
      <c r="Q4837" s="2" t="b">
        <f>FALSE()</f>
        <v>0</v>
      </c>
      <c r="R4837">
        <v>1</v>
      </c>
    </row>
    <row r="4838" spans="1:18" x14ac:dyDescent="0.25">
      <c r="A4838">
        <v>204837</v>
      </c>
      <c r="B4838">
        <v>51618</v>
      </c>
      <c r="C4838" t="s">
        <v>18</v>
      </c>
      <c r="D4838">
        <v>2467.39</v>
      </c>
      <c r="E4838">
        <v>127</v>
      </c>
      <c r="F4838">
        <v>4</v>
      </c>
      <c r="G4838">
        <v>1</v>
      </c>
      <c r="H4838">
        <v>0</v>
      </c>
      <c r="I4838" t="s">
        <v>33</v>
      </c>
      <c r="J4838">
        <v>0</v>
      </c>
      <c r="K4838">
        <v>62</v>
      </c>
      <c r="L4838" t="s">
        <v>20</v>
      </c>
      <c r="M4838" t="s">
        <v>31</v>
      </c>
      <c r="N4838" t="s">
        <v>22</v>
      </c>
      <c r="O4838" t="s">
        <v>36</v>
      </c>
      <c r="P4838">
        <v>0.44</v>
      </c>
      <c r="Q4838" s="2" t="b">
        <f>FALSE()</f>
        <v>0</v>
      </c>
      <c r="R4838">
        <v>1</v>
      </c>
    </row>
    <row r="4839" spans="1:18" x14ac:dyDescent="0.25">
      <c r="A4839">
        <v>204838</v>
      </c>
      <c r="B4839">
        <v>54256</v>
      </c>
      <c r="C4839" t="s">
        <v>18</v>
      </c>
      <c r="D4839">
        <v>8506</v>
      </c>
      <c r="E4839">
        <v>1369</v>
      </c>
      <c r="F4839">
        <v>3</v>
      </c>
      <c r="G4839">
        <v>3</v>
      </c>
      <c r="H4839">
        <v>1</v>
      </c>
      <c r="I4839" t="s">
        <v>32</v>
      </c>
      <c r="J4839">
        <v>0</v>
      </c>
      <c r="K4839">
        <v>84</v>
      </c>
      <c r="L4839" t="s">
        <v>20</v>
      </c>
      <c r="M4839" t="s">
        <v>31</v>
      </c>
      <c r="N4839" t="s">
        <v>26</v>
      </c>
      <c r="O4839" t="s">
        <v>27</v>
      </c>
      <c r="P4839">
        <v>6.1</v>
      </c>
      <c r="Q4839" s="2" t="b">
        <f>TRUE()</f>
        <v>1</v>
      </c>
      <c r="R4839">
        <v>1</v>
      </c>
    </row>
    <row r="4840" spans="1:18" x14ac:dyDescent="0.25">
      <c r="A4840">
        <v>204839</v>
      </c>
      <c r="B4840">
        <v>51377</v>
      </c>
      <c r="C4840" t="s">
        <v>34</v>
      </c>
      <c r="D4840">
        <v>1850.75</v>
      </c>
      <c r="E4840">
        <v>3319</v>
      </c>
      <c r="F4840">
        <v>0</v>
      </c>
      <c r="G4840">
        <v>4</v>
      </c>
      <c r="H4840">
        <v>0</v>
      </c>
      <c r="I4840" t="s">
        <v>33</v>
      </c>
      <c r="J4840">
        <v>0</v>
      </c>
      <c r="K4840">
        <v>78</v>
      </c>
      <c r="L4840" t="s">
        <v>24</v>
      </c>
      <c r="M4840" t="s">
        <v>31</v>
      </c>
      <c r="N4840" t="s">
        <v>22</v>
      </c>
      <c r="O4840" t="s">
        <v>27</v>
      </c>
      <c r="P4840">
        <v>3.46</v>
      </c>
      <c r="Q4840" s="2" t="b">
        <f>FALSE()</f>
        <v>0</v>
      </c>
      <c r="R4840">
        <v>0</v>
      </c>
    </row>
    <row r="4841" spans="1:18" x14ac:dyDescent="0.25">
      <c r="A4841">
        <v>204840</v>
      </c>
      <c r="B4841">
        <v>54326</v>
      </c>
      <c r="C4841" t="s">
        <v>34</v>
      </c>
      <c r="D4841">
        <v>906.13</v>
      </c>
      <c r="E4841">
        <v>253</v>
      </c>
      <c r="F4841">
        <v>1</v>
      </c>
      <c r="G4841">
        <v>5</v>
      </c>
      <c r="H4841">
        <v>0</v>
      </c>
      <c r="I4841" t="s">
        <v>33</v>
      </c>
      <c r="J4841">
        <v>0</v>
      </c>
      <c r="K4841">
        <v>27</v>
      </c>
      <c r="L4841" t="s">
        <v>38</v>
      </c>
      <c r="M4841" t="s">
        <v>29</v>
      </c>
      <c r="N4841" t="s">
        <v>22</v>
      </c>
      <c r="O4841" t="s">
        <v>36</v>
      </c>
      <c r="P4841">
        <v>0.19</v>
      </c>
      <c r="Q4841" s="2" t="b">
        <f>FALSE()</f>
        <v>0</v>
      </c>
      <c r="R4841">
        <v>0</v>
      </c>
    </row>
    <row r="4842" spans="1:18" x14ac:dyDescent="0.25">
      <c r="A4842">
        <v>204841</v>
      </c>
      <c r="B4842">
        <v>54014</v>
      </c>
      <c r="C4842" t="s">
        <v>18</v>
      </c>
      <c r="D4842">
        <v>891.97</v>
      </c>
      <c r="E4842">
        <v>763</v>
      </c>
      <c r="F4842">
        <v>1</v>
      </c>
      <c r="G4842">
        <v>4</v>
      </c>
      <c r="H4842">
        <v>0</v>
      </c>
      <c r="I4842" t="s">
        <v>32</v>
      </c>
      <c r="J4842">
        <v>1</v>
      </c>
      <c r="K4842">
        <v>21</v>
      </c>
      <c r="L4842" t="s">
        <v>20</v>
      </c>
      <c r="M4842" t="s">
        <v>31</v>
      </c>
      <c r="N4842" t="s">
        <v>26</v>
      </c>
      <c r="O4842" t="s">
        <v>36</v>
      </c>
      <c r="P4842">
        <v>2.21</v>
      </c>
      <c r="Q4842" s="2" t="b">
        <f>FALSE()</f>
        <v>0</v>
      </c>
      <c r="R4842">
        <v>0</v>
      </c>
    </row>
    <row r="4843" spans="1:18" x14ac:dyDescent="0.25">
      <c r="A4843">
        <v>204842</v>
      </c>
      <c r="B4843">
        <v>52833</v>
      </c>
      <c r="C4843" t="s">
        <v>34</v>
      </c>
      <c r="D4843">
        <v>2202.62</v>
      </c>
      <c r="E4843">
        <v>3191</v>
      </c>
      <c r="F4843">
        <v>3</v>
      </c>
      <c r="G4843">
        <v>1</v>
      </c>
      <c r="H4843">
        <v>1</v>
      </c>
      <c r="I4843" t="s">
        <v>19</v>
      </c>
      <c r="J4843">
        <v>0</v>
      </c>
      <c r="K4843">
        <v>66</v>
      </c>
      <c r="L4843" t="s">
        <v>24</v>
      </c>
      <c r="M4843" t="s">
        <v>21</v>
      </c>
      <c r="N4843" t="s">
        <v>22</v>
      </c>
      <c r="O4843" t="s">
        <v>27</v>
      </c>
      <c r="P4843">
        <v>8.8800000000000008</v>
      </c>
      <c r="Q4843" s="2" t="b">
        <f>FALSE()</f>
        <v>0</v>
      </c>
      <c r="R4843">
        <v>1</v>
      </c>
    </row>
    <row r="4844" spans="1:18" x14ac:dyDescent="0.25">
      <c r="A4844">
        <v>204843</v>
      </c>
      <c r="B4844">
        <v>53858</v>
      </c>
      <c r="C4844" t="s">
        <v>34</v>
      </c>
      <c r="D4844">
        <v>3104.2</v>
      </c>
      <c r="E4844">
        <v>359</v>
      </c>
      <c r="F4844">
        <v>0</v>
      </c>
      <c r="G4844">
        <v>3</v>
      </c>
      <c r="H4844">
        <v>0</v>
      </c>
      <c r="I4844" t="s">
        <v>33</v>
      </c>
      <c r="J4844">
        <v>0</v>
      </c>
      <c r="K4844">
        <v>78</v>
      </c>
      <c r="L4844" t="s">
        <v>24</v>
      </c>
      <c r="M4844" t="s">
        <v>35</v>
      </c>
      <c r="N4844" t="s">
        <v>22</v>
      </c>
      <c r="O4844" t="s">
        <v>36</v>
      </c>
      <c r="P4844">
        <v>0.34</v>
      </c>
      <c r="Q4844" s="2" t="b">
        <f>FALSE()</f>
        <v>0</v>
      </c>
      <c r="R4844">
        <v>0</v>
      </c>
    </row>
    <row r="4845" spans="1:18" x14ac:dyDescent="0.25">
      <c r="A4845">
        <v>204844</v>
      </c>
      <c r="B4845">
        <v>53121</v>
      </c>
      <c r="C4845" t="s">
        <v>18</v>
      </c>
      <c r="D4845">
        <v>1582.84</v>
      </c>
      <c r="E4845">
        <v>2440</v>
      </c>
      <c r="F4845">
        <v>1</v>
      </c>
      <c r="G4845">
        <v>2</v>
      </c>
      <c r="H4845">
        <v>0</v>
      </c>
      <c r="I4845" t="s">
        <v>19</v>
      </c>
      <c r="J4845">
        <v>1</v>
      </c>
      <c r="K4845">
        <v>60</v>
      </c>
      <c r="L4845" t="s">
        <v>24</v>
      </c>
      <c r="M4845" t="s">
        <v>37</v>
      </c>
      <c r="N4845" t="s">
        <v>22</v>
      </c>
      <c r="O4845" t="s">
        <v>27</v>
      </c>
      <c r="P4845">
        <v>2.5299999999999998</v>
      </c>
      <c r="Q4845" s="2" t="b">
        <f>FALSE()</f>
        <v>0</v>
      </c>
      <c r="R4845">
        <v>0</v>
      </c>
    </row>
    <row r="4846" spans="1:18" x14ac:dyDescent="0.25">
      <c r="A4846">
        <v>204845</v>
      </c>
      <c r="B4846">
        <v>53513</v>
      </c>
      <c r="C4846" t="s">
        <v>34</v>
      </c>
      <c r="D4846">
        <v>5468.92</v>
      </c>
      <c r="E4846">
        <v>568</v>
      </c>
      <c r="F4846">
        <v>1</v>
      </c>
      <c r="G4846">
        <v>7</v>
      </c>
      <c r="H4846">
        <v>0</v>
      </c>
      <c r="I4846" t="s">
        <v>19</v>
      </c>
      <c r="J4846">
        <v>0</v>
      </c>
      <c r="K4846">
        <v>21</v>
      </c>
      <c r="L4846" t="s">
        <v>24</v>
      </c>
      <c r="M4846" t="s">
        <v>25</v>
      </c>
      <c r="N4846" t="s">
        <v>26</v>
      </c>
      <c r="O4846" t="s">
        <v>23</v>
      </c>
      <c r="P4846">
        <v>0.54</v>
      </c>
      <c r="Q4846" s="2" t="b">
        <f>FALSE()</f>
        <v>0</v>
      </c>
      <c r="R4846">
        <v>1</v>
      </c>
    </row>
    <row r="4847" spans="1:18" x14ac:dyDescent="0.25">
      <c r="A4847">
        <v>204846</v>
      </c>
      <c r="B4847">
        <v>53956</v>
      </c>
      <c r="C4847" t="s">
        <v>34</v>
      </c>
      <c r="D4847">
        <v>3184.96</v>
      </c>
      <c r="E4847">
        <v>2604</v>
      </c>
      <c r="F4847">
        <v>5</v>
      </c>
      <c r="G4847">
        <v>4</v>
      </c>
      <c r="H4847">
        <v>1</v>
      </c>
      <c r="I4847" t="s">
        <v>33</v>
      </c>
      <c r="J4847">
        <v>0</v>
      </c>
      <c r="K4847">
        <v>69</v>
      </c>
      <c r="L4847" t="s">
        <v>20</v>
      </c>
      <c r="M4847" t="s">
        <v>21</v>
      </c>
      <c r="N4847" t="s">
        <v>30</v>
      </c>
      <c r="O4847" t="s">
        <v>27</v>
      </c>
      <c r="P4847">
        <v>0.09</v>
      </c>
      <c r="Q4847" s="2" t="b">
        <f>FALSE()</f>
        <v>0</v>
      </c>
      <c r="R4847">
        <v>1</v>
      </c>
    </row>
    <row r="4848" spans="1:18" x14ac:dyDescent="0.25">
      <c r="A4848">
        <v>204847</v>
      </c>
      <c r="B4848">
        <v>55157</v>
      </c>
      <c r="C4848" t="s">
        <v>18</v>
      </c>
      <c r="D4848">
        <v>6064.74</v>
      </c>
      <c r="E4848">
        <v>2085</v>
      </c>
      <c r="F4848">
        <v>3</v>
      </c>
      <c r="G4848">
        <v>6</v>
      </c>
      <c r="H4848">
        <v>0</v>
      </c>
      <c r="I4848" t="s">
        <v>33</v>
      </c>
      <c r="J4848">
        <v>0</v>
      </c>
      <c r="K4848">
        <v>80</v>
      </c>
      <c r="L4848" t="s">
        <v>20</v>
      </c>
      <c r="M4848" t="s">
        <v>21</v>
      </c>
      <c r="N4848" t="s">
        <v>26</v>
      </c>
      <c r="O4848" t="s">
        <v>23</v>
      </c>
      <c r="P4848">
        <v>3.91</v>
      </c>
      <c r="Q4848" s="2" t="b">
        <f>FALSE()</f>
        <v>0</v>
      </c>
      <c r="R4848">
        <v>1</v>
      </c>
    </row>
    <row r="4849" spans="1:18" x14ac:dyDescent="0.25">
      <c r="A4849">
        <v>204848</v>
      </c>
      <c r="B4849">
        <v>55485</v>
      </c>
      <c r="C4849" t="s">
        <v>34</v>
      </c>
      <c r="D4849">
        <v>2370.0300000000002</v>
      </c>
      <c r="E4849">
        <v>2469</v>
      </c>
      <c r="F4849">
        <v>2</v>
      </c>
      <c r="G4849">
        <v>8</v>
      </c>
      <c r="H4849">
        <v>1</v>
      </c>
      <c r="I4849" t="s">
        <v>19</v>
      </c>
      <c r="J4849">
        <v>1</v>
      </c>
      <c r="K4849">
        <v>54</v>
      </c>
      <c r="L4849" t="s">
        <v>24</v>
      </c>
      <c r="M4849" t="s">
        <v>25</v>
      </c>
      <c r="N4849" t="s">
        <v>22</v>
      </c>
      <c r="O4849" t="s">
        <v>23</v>
      </c>
      <c r="P4849">
        <v>0.57999999999999996</v>
      </c>
      <c r="Q4849" s="2" t="b">
        <f>FALSE()</f>
        <v>0</v>
      </c>
      <c r="R4849">
        <v>1</v>
      </c>
    </row>
    <row r="4850" spans="1:18" x14ac:dyDescent="0.25">
      <c r="A4850">
        <v>204849</v>
      </c>
      <c r="B4850">
        <v>53821</v>
      </c>
      <c r="C4850" t="s">
        <v>34</v>
      </c>
      <c r="D4850">
        <v>1962.15</v>
      </c>
      <c r="E4850">
        <v>3311</v>
      </c>
      <c r="F4850">
        <v>1</v>
      </c>
      <c r="G4850">
        <v>3</v>
      </c>
      <c r="H4850">
        <v>0</v>
      </c>
      <c r="I4850" t="s">
        <v>32</v>
      </c>
      <c r="J4850">
        <v>0</v>
      </c>
      <c r="K4850">
        <v>26</v>
      </c>
      <c r="L4850" t="s">
        <v>24</v>
      </c>
      <c r="M4850" t="s">
        <v>31</v>
      </c>
      <c r="N4850" t="s">
        <v>30</v>
      </c>
      <c r="O4850" t="s">
        <v>36</v>
      </c>
      <c r="P4850">
        <v>1.58</v>
      </c>
      <c r="Q4850" s="2" t="b">
        <f>FALSE()</f>
        <v>0</v>
      </c>
      <c r="R4850">
        <v>0</v>
      </c>
    </row>
    <row r="4851" spans="1:18" x14ac:dyDescent="0.25">
      <c r="A4851">
        <v>204850</v>
      </c>
      <c r="B4851">
        <v>54890</v>
      </c>
      <c r="C4851" t="s">
        <v>28</v>
      </c>
      <c r="D4851">
        <v>1971.09</v>
      </c>
      <c r="E4851">
        <v>3370</v>
      </c>
      <c r="F4851">
        <v>1</v>
      </c>
      <c r="G4851">
        <v>6</v>
      </c>
      <c r="H4851">
        <v>1</v>
      </c>
      <c r="I4851" t="s">
        <v>19</v>
      </c>
      <c r="J4851">
        <v>1</v>
      </c>
      <c r="K4851">
        <v>44</v>
      </c>
      <c r="L4851" t="s">
        <v>24</v>
      </c>
      <c r="M4851" t="s">
        <v>29</v>
      </c>
      <c r="N4851" t="s">
        <v>30</v>
      </c>
      <c r="O4851" t="s">
        <v>36</v>
      </c>
      <c r="P4851">
        <v>2.72</v>
      </c>
      <c r="Q4851" s="2" t="b">
        <f>FALSE()</f>
        <v>0</v>
      </c>
      <c r="R4851">
        <v>0</v>
      </c>
    </row>
    <row r="4852" spans="1:18" x14ac:dyDescent="0.25">
      <c r="A4852">
        <v>204851</v>
      </c>
      <c r="B4852">
        <v>53818</v>
      </c>
      <c r="C4852" t="s">
        <v>34</v>
      </c>
      <c r="D4852">
        <v>1530.51</v>
      </c>
      <c r="E4852">
        <v>2811</v>
      </c>
      <c r="F4852">
        <v>0</v>
      </c>
      <c r="G4852">
        <v>5</v>
      </c>
      <c r="H4852">
        <v>0</v>
      </c>
      <c r="I4852" t="s">
        <v>19</v>
      </c>
      <c r="J4852">
        <v>0</v>
      </c>
      <c r="K4852">
        <v>26</v>
      </c>
      <c r="L4852" t="s">
        <v>24</v>
      </c>
      <c r="M4852" t="s">
        <v>37</v>
      </c>
      <c r="N4852" t="s">
        <v>26</v>
      </c>
      <c r="O4852" t="s">
        <v>27</v>
      </c>
      <c r="P4852">
        <v>1.02</v>
      </c>
      <c r="Q4852" s="2" t="b">
        <f>FALSE()</f>
        <v>0</v>
      </c>
      <c r="R4852">
        <v>0</v>
      </c>
    </row>
    <row r="4853" spans="1:18" x14ac:dyDescent="0.25">
      <c r="A4853">
        <v>204852</v>
      </c>
      <c r="B4853">
        <v>50683</v>
      </c>
      <c r="C4853" t="s">
        <v>18</v>
      </c>
      <c r="D4853">
        <v>1678.34</v>
      </c>
      <c r="E4853">
        <v>2987</v>
      </c>
      <c r="F4853">
        <v>1</v>
      </c>
      <c r="G4853">
        <v>2</v>
      </c>
      <c r="H4853">
        <v>1</v>
      </c>
      <c r="I4853" t="s">
        <v>19</v>
      </c>
      <c r="J4853">
        <v>0</v>
      </c>
      <c r="K4853">
        <v>73</v>
      </c>
      <c r="L4853" t="s">
        <v>24</v>
      </c>
      <c r="M4853" t="s">
        <v>35</v>
      </c>
      <c r="N4853" t="s">
        <v>30</v>
      </c>
      <c r="O4853" t="s">
        <v>36</v>
      </c>
      <c r="P4853">
        <v>8.1300000000000008</v>
      </c>
      <c r="Q4853" s="2" t="b">
        <f>FALSE()</f>
        <v>0</v>
      </c>
      <c r="R4853">
        <v>0</v>
      </c>
    </row>
    <row r="4854" spans="1:18" x14ac:dyDescent="0.25">
      <c r="A4854">
        <v>204853</v>
      </c>
      <c r="B4854">
        <v>55301</v>
      </c>
      <c r="C4854" t="s">
        <v>34</v>
      </c>
      <c r="D4854">
        <v>2238.13</v>
      </c>
      <c r="E4854">
        <v>1500</v>
      </c>
      <c r="F4854">
        <v>1</v>
      </c>
      <c r="G4854">
        <v>5</v>
      </c>
      <c r="H4854">
        <v>0</v>
      </c>
      <c r="I4854" t="s">
        <v>32</v>
      </c>
      <c r="J4854">
        <v>1</v>
      </c>
      <c r="K4854">
        <v>34</v>
      </c>
      <c r="L4854" t="s">
        <v>20</v>
      </c>
      <c r="M4854" t="s">
        <v>37</v>
      </c>
      <c r="N4854" t="s">
        <v>22</v>
      </c>
      <c r="O4854" t="s">
        <v>36</v>
      </c>
      <c r="P4854">
        <v>10.07</v>
      </c>
      <c r="Q4854" s="2" t="b">
        <f>FALSE()</f>
        <v>0</v>
      </c>
      <c r="R4854">
        <v>0</v>
      </c>
    </row>
    <row r="4855" spans="1:18" x14ac:dyDescent="0.25">
      <c r="A4855">
        <v>204854</v>
      </c>
      <c r="B4855">
        <v>50170</v>
      </c>
      <c r="C4855" t="s">
        <v>18</v>
      </c>
      <c r="D4855">
        <v>789.64</v>
      </c>
      <c r="E4855">
        <v>2901</v>
      </c>
      <c r="F4855">
        <v>1</v>
      </c>
      <c r="G4855">
        <v>5</v>
      </c>
      <c r="H4855">
        <v>0</v>
      </c>
      <c r="I4855" t="s">
        <v>19</v>
      </c>
      <c r="J4855">
        <v>1</v>
      </c>
      <c r="K4855">
        <v>33</v>
      </c>
      <c r="L4855" t="s">
        <v>20</v>
      </c>
      <c r="M4855" t="s">
        <v>37</v>
      </c>
      <c r="N4855" t="s">
        <v>26</v>
      </c>
      <c r="O4855" t="s">
        <v>23</v>
      </c>
      <c r="P4855">
        <v>0.68</v>
      </c>
      <c r="Q4855" s="2" t="b">
        <f>FALSE()</f>
        <v>0</v>
      </c>
      <c r="R4855">
        <v>0</v>
      </c>
    </row>
    <row r="4856" spans="1:18" x14ac:dyDescent="0.25">
      <c r="A4856">
        <v>204855</v>
      </c>
      <c r="B4856">
        <v>50478</v>
      </c>
      <c r="C4856" t="s">
        <v>18</v>
      </c>
      <c r="D4856">
        <v>4067.84</v>
      </c>
      <c r="E4856">
        <v>946</v>
      </c>
      <c r="F4856">
        <v>2</v>
      </c>
      <c r="G4856">
        <v>5</v>
      </c>
      <c r="H4856">
        <v>0</v>
      </c>
      <c r="I4856" t="s">
        <v>32</v>
      </c>
      <c r="J4856">
        <v>0</v>
      </c>
      <c r="K4856">
        <v>24</v>
      </c>
      <c r="L4856" t="s">
        <v>20</v>
      </c>
      <c r="M4856" t="s">
        <v>35</v>
      </c>
      <c r="N4856" t="s">
        <v>26</v>
      </c>
      <c r="O4856" t="s">
        <v>36</v>
      </c>
      <c r="P4856">
        <v>2.48</v>
      </c>
      <c r="Q4856" s="2" t="b">
        <f>FALSE()</f>
        <v>0</v>
      </c>
      <c r="R4856">
        <v>1</v>
      </c>
    </row>
    <row r="4857" spans="1:18" x14ac:dyDescent="0.25">
      <c r="A4857">
        <v>204856</v>
      </c>
      <c r="B4857">
        <v>53422</v>
      </c>
      <c r="C4857" t="s">
        <v>34</v>
      </c>
      <c r="D4857">
        <v>1904.99</v>
      </c>
      <c r="E4857">
        <v>2499</v>
      </c>
      <c r="F4857">
        <v>0</v>
      </c>
      <c r="G4857">
        <v>1</v>
      </c>
      <c r="H4857">
        <v>0</v>
      </c>
      <c r="I4857" t="s">
        <v>33</v>
      </c>
      <c r="J4857">
        <v>0</v>
      </c>
      <c r="K4857">
        <v>30</v>
      </c>
      <c r="L4857" t="s">
        <v>24</v>
      </c>
      <c r="M4857" t="s">
        <v>29</v>
      </c>
      <c r="N4857" t="s">
        <v>26</v>
      </c>
      <c r="O4857" t="s">
        <v>36</v>
      </c>
      <c r="P4857">
        <v>1.51</v>
      </c>
      <c r="Q4857" s="2" t="b">
        <f>FALSE()</f>
        <v>0</v>
      </c>
      <c r="R4857">
        <v>0</v>
      </c>
    </row>
    <row r="4858" spans="1:18" x14ac:dyDescent="0.25">
      <c r="A4858">
        <v>204857</v>
      </c>
      <c r="B4858">
        <v>50728</v>
      </c>
      <c r="C4858" t="s">
        <v>18</v>
      </c>
      <c r="D4858">
        <v>4785.42</v>
      </c>
      <c r="E4858">
        <v>770</v>
      </c>
      <c r="F4858">
        <v>1</v>
      </c>
      <c r="G4858">
        <v>2</v>
      </c>
      <c r="H4858">
        <v>1</v>
      </c>
      <c r="I4858" t="s">
        <v>33</v>
      </c>
      <c r="J4858">
        <v>1</v>
      </c>
      <c r="K4858">
        <v>78</v>
      </c>
      <c r="L4858" t="s">
        <v>24</v>
      </c>
      <c r="M4858" t="s">
        <v>35</v>
      </c>
      <c r="N4858" t="s">
        <v>30</v>
      </c>
      <c r="O4858" t="s">
        <v>36</v>
      </c>
      <c r="P4858">
        <v>4.63</v>
      </c>
      <c r="Q4858" s="2" t="b">
        <f>FALSE()</f>
        <v>0</v>
      </c>
      <c r="R4858">
        <v>1</v>
      </c>
    </row>
    <row r="4859" spans="1:18" x14ac:dyDescent="0.25">
      <c r="A4859">
        <v>204858</v>
      </c>
      <c r="B4859">
        <v>52874</v>
      </c>
      <c r="C4859" t="s">
        <v>34</v>
      </c>
      <c r="D4859">
        <v>1815.75</v>
      </c>
      <c r="E4859">
        <v>955</v>
      </c>
      <c r="F4859">
        <v>0</v>
      </c>
      <c r="G4859">
        <v>1</v>
      </c>
      <c r="H4859">
        <v>0</v>
      </c>
      <c r="I4859" t="s">
        <v>19</v>
      </c>
      <c r="J4859">
        <v>0</v>
      </c>
      <c r="K4859">
        <v>79</v>
      </c>
      <c r="L4859" t="s">
        <v>24</v>
      </c>
      <c r="M4859" t="s">
        <v>29</v>
      </c>
      <c r="N4859" t="s">
        <v>26</v>
      </c>
      <c r="O4859" t="s">
        <v>23</v>
      </c>
      <c r="P4859">
        <v>3.22</v>
      </c>
      <c r="Q4859" s="2" t="b">
        <f>FALSE()</f>
        <v>0</v>
      </c>
      <c r="R4859">
        <v>0</v>
      </c>
    </row>
    <row r="4860" spans="1:18" x14ac:dyDescent="0.25">
      <c r="A4860">
        <v>204859</v>
      </c>
      <c r="B4860">
        <v>54360</v>
      </c>
      <c r="C4860" t="s">
        <v>28</v>
      </c>
      <c r="D4860">
        <v>999.96</v>
      </c>
      <c r="E4860">
        <v>1044</v>
      </c>
      <c r="F4860">
        <v>1</v>
      </c>
      <c r="G4860">
        <v>1</v>
      </c>
      <c r="H4860">
        <v>1</v>
      </c>
      <c r="I4860" t="s">
        <v>33</v>
      </c>
      <c r="J4860">
        <v>0</v>
      </c>
      <c r="K4860">
        <v>76</v>
      </c>
      <c r="L4860" t="s">
        <v>20</v>
      </c>
      <c r="M4860" t="s">
        <v>29</v>
      </c>
      <c r="N4860" t="s">
        <v>22</v>
      </c>
      <c r="O4860" t="s">
        <v>23</v>
      </c>
      <c r="P4860">
        <v>1.51</v>
      </c>
      <c r="Q4860" s="2" t="b">
        <f>FALSE()</f>
        <v>0</v>
      </c>
      <c r="R4860">
        <v>0</v>
      </c>
    </row>
    <row r="4861" spans="1:18" x14ac:dyDescent="0.25">
      <c r="A4861">
        <v>204860</v>
      </c>
      <c r="B4861">
        <v>55334</v>
      </c>
      <c r="C4861" t="s">
        <v>28</v>
      </c>
      <c r="D4861">
        <v>699.57</v>
      </c>
      <c r="E4861">
        <v>2067</v>
      </c>
      <c r="F4861">
        <v>1</v>
      </c>
      <c r="G4861">
        <v>9</v>
      </c>
      <c r="H4861">
        <v>0</v>
      </c>
      <c r="I4861" t="s">
        <v>33</v>
      </c>
      <c r="J4861">
        <v>0</v>
      </c>
      <c r="K4861">
        <v>56</v>
      </c>
      <c r="L4861" t="s">
        <v>24</v>
      </c>
      <c r="M4861" t="s">
        <v>37</v>
      </c>
      <c r="N4861" t="s">
        <v>30</v>
      </c>
      <c r="O4861" t="s">
        <v>27</v>
      </c>
      <c r="P4861">
        <v>2.64</v>
      </c>
      <c r="Q4861" s="2" t="b">
        <f>FALSE()</f>
        <v>0</v>
      </c>
      <c r="R4861">
        <v>1</v>
      </c>
    </row>
    <row r="4862" spans="1:18" x14ac:dyDescent="0.25">
      <c r="A4862">
        <v>204861</v>
      </c>
      <c r="B4862">
        <v>50133</v>
      </c>
      <c r="C4862" t="s">
        <v>34</v>
      </c>
      <c r="D4862">
        <v>4024.02</v>
      </c>
      <c r="E4862">
        <v>3466</v>
      </c>
      <c r="F4862">
        <v>0</v>
      </c>
      <c r="G4862">
        <v>6</v>
      </c>
      <c r="H4862">
        <v>1</v>
      </c>
      <c r="I4862" t="s">
        <v>32</v>
      </c>
      <c r="J4862">
        <v>0</v>
      </c>
      <c r="K4862">
        <v>19</v>
      </c>
      <c r="L4862" t="s">
        <v>20</v>
      </c>
      <c r="M4862" t="s">
        <v>35</v>
      </c>
      <c r="N4862" t="s">
        <v>22</v>
      </c>
      <c r="O4862" t="s">
        <v>36</v>
      </c>
      <c r="P4862">
        <v>9.56</v>
      </c>
      <c r="Q4862" s="2" t="b">
        <f>FALSE()</f>
        <v>0</v>
      </c>
      <c r="R4862">
        <v>1</v>
      </c>
    </row>
    <row r="4863" spans="1:18" x14ac:dyDescent="0.25">
      <c r="A4863">
        <v>204862</v>
      </c>
      <c r="B4863">
        <v>53380</v>
      </c>
      <c r="C4863" t="s">
        <v>34</v>
      </c>
      <c r="D4863">
        <v>2835.04</v>
      </c>
      <c r="E4863">
        <v>1501</v>
      </c>
      <c r="F4863">
        <v>1</v>
      </c>
      <c r="G4863">
        <v>8</v>
      </c>
      <c r="H4863">
        <v>1</v>
      </c>
      <c r="I4863" t="s">
        <v>19</v>
      </c>
      <c r="J4863">
        <v>0</v>
      </c>
      <c r="K4863">
        <v>39</v>
      </c>
      <c r="L4863" t="s">
        <v>20</v>
      </c>
      <c r="M4863" t="s">
        <v>21</v>
      </c>
      <c r="N4863" t="s">
        <v>30</v>
      </c>
      <c r="O4863" t="s">
        <v>23</v>
      </c>
      <c r="P4863">
        <v>2.81</v>
      </c>
      <c r="Q4863" s="2" t="b">
        <f>FALSE()</f>
        <v>0</v>
      </c>
      <c r="R4863">
        <v>1</v>
      </c>
    </row>
    <row r="4864" spans="1:18" x14ac:dyDescent="0.25">
      <c r="A4864">
        <v>204863</v>
      </c>
      <c r="B4864">
        <v>50217</v>
      </c>
      <c r="C4864" t="s">
        <v>18</v>
      </c>
      <c r="D4864">
        <v>2689.53</v>
      </c>
      <c r="E4864">
        <v>2201</v>
      </c>
      <c r="F4864">
        <v>1</v>
      </c>
      <c r="G4864">
        <v>4</v>
      </c>
      <c r="H4864">
        <v>0</v>
      </c>
      <c r="I4864" t="s">
        <v>33</v>
      </c>
      <c r="J4864">
        <v>0</v>
      </c>
      <c r="K4864">
        <v>57</v>
      </c>
      <c r="L4864" t="s">
        <v>24</v>
      </c>
      <c r="M4864" t="s">
        <v>37</v>
      </c>
      <c r="N4864" t="s">
        <v>22</v>
      </c>
      <c r="O4864" t="s">
        <v>36</v>
      </c>
      <c r="P4864">
        <v>3.73</v>
      </c>
      <c r="Q4864" s="2" t="b">
        <f>FALSE()</f>
        <v>0</v>
      </c>
      <c r="R4864">
        <v>0</v>
      </c>
    </row>
    <row r="4865" spans="1:18" x14ac:dyDescent="0.25">
      <c r="A4865">
        <v>204864</v>
      </c>
      <c r="B4865">
        <v>55438</v>
      </c>
      <c r="C4865" t="s">
        <v>18</v>
      </c>
      <c r="D4865">
        <v>2436.67</v>
      </c>
      <c r="E4865">
        <v>3106</v>
      </c>
      <c r="F4865">
        <v>2</v>
      </c>
      <c r="G4865">
        <v>6</v>
      </c>
      <c r="H4865">
        <v>0</v>
      </c>
      <c r="I4865" t="s">
        <v>33</v>
      </c>
      <c r="J4865">
        <v>0</v>
      </c>
      <c r="K4865">
        <v>61</v>
      </c>
      <c r="L4865" t="s">
        <v>24</v>
      </c>
      <c r="M4865" t="s">
        <v>21</v>
      </c>
      <c r="N4865" t="s">
        <v>30</v>
      </c>
      <c r="O4865" t="s">
        <v>36</v>
      </c>
      <c r="P4865">
        <v>3.44</v>
      </c>
      <c r="Q4865" s="2" t="b">
        <f>FALSE()</f>
        <v>0</v>
      </c>
      <c r="R4865">
        <v>0</v>
      </c>
    </row>
    <row r="4866" spans="1:18" x14ac:dyDescent="0.25">
      <c r="A4866">
        <v>204865</v>
      </c>
      <c r="B4866">
        <v>51526</v>
      </c>
      <c r="C4866" t="s">
        <v>34</v>
      </c>
      <c r="D4866">
        <v>1108.3499999999999</v>
      </c>
      <c r="E4866">
        <v>438</v>
      </c>
      <c r="F4866">
        <v>0</v>
      </c>
      <c r="G4866">
        <v>3</v>
      </c>
      <c r="H4866">
        <v>0</v>
      </c>
      <c r="I4866" t="s">
        <v>33</v>
      </c>
      <c r="J4866">
        <v>0</v>
      </c>
      <c r="K4866">
        <v>20</v>
      </c>
      <c r="L4866" t="s">
        <v>20</v>
      </c>
      <c r="M4866" t="s">
        <v>35</v>
      </c>
      <c r="N4866" t="s">
        <v>22</v>
      </c>
      <c r="O4866" t="s">
        <v>23</v>
      </c>
      <c r="P4866">
        <v>2.41</v>
      </c>
      <c r="Q4866" s="2" t="b">
        <f>FALSE()</f>
        <v>0</v>
      </c>
      <c r="R4866">
        <v>0</v>
      </c>
    </row>
    <row r="4867" spans="1:18" x14ac:dyDescent="0.25">
      <c r="A4867">
        <v>204866</v>
      </c>
      <c r="B4867">
        <v>51193</v>
      </c>
      <c r="C4867" t="s">
        <v>34</v>
      </c>
      <c r="D4867">
        <v>3873.24</v>
      </c>
      <c r="E4867">
        <v>1363</v>
      </c>
      <c r="F4867">
        <v>1</v>
      </c>
      <c r="G4867">
        <v>5</v>
      </c>
      <c r="H4867">
        <v>1</v>
      </c>
      <c r="I4867" t="s">
        <v>32</v>
      </c>
      <c r="J4867">
        <v>1</v>
      </c>
      <c r="K4867">
        <v>18</v>
      </c>
      <c r="L4867" t="s">
        <v>20</v>
      </c>
      <c r="M4867" t="s">
        <v>31</v>
      </c>
      <c r="N4867" t="s">
        <v>26</v>
      </c>
      <c r="O4867" t="s">
        <v>36</v>
      </c>
      <c r="P4867">
        <v>0</v>
      </c>
      <c r="Q4867" s="2" t="b">
        <f>FALSE()</f>
        <v>0</v>
      </c>
      <c r="R4867">
        <v>1</v>
      </c>
    </row>
    <row r="4868" spans="1:18" x14ac:dyDescent="0.25">
      <c r="A4868">
        <v>204867</v>
      </c>
      <c r="B4868">
        <v>50322</v>
      </c>
      <c r="C4868" t="s">
        <v>18</v>
      </c>
      <c r="D4868">
        <v>1318.77</v>
      </c>
      <c r="E4868">
        <v>1114</v>
      </c>
      <c r="F4868">
        <v>1</v>
      </c>
      <c r="G4868">
        <v>4</v>
      </c>
      <c r="H4868">
        <v>1</v>
      </c>
      <c r="I4868" t="s">
        <v>19</v>
      </c>
      <c r="J4868">
        <v>0</v>
      </c>
      <c r="K4868">
        <v>20</v>
      </c>
      <c r="L4868" t="s">
        <v>24</v>
      </c>
      <c r="M4868" t="s">
        <v>35</v>
      </c>
      <c r="N4868" t="s">
        <v>30</v>
      </c>
      <c r="O4868" t="s">
        <v>36</v>
      </c>
      <c r="P4868">
        <v>4.59</v>
      </c>
      <c r="Q4868" s="2" t="b">
        <f>FALSE()</f>
        <v>0</v>
      </c>
      <c r="R4868">
        <v>0</v>
      </c>
    </row>
    <row r="4869" spans="1:18" x14ac:dyDescent="0.25">
      <c r="A4869">
        <v>204868</v>
      </c>
      <c r="B4869">
        <v>51877</v>
      </c>
      <c r="C4869" t="s">
        <v>28</v>
      </c>
      <c r="D4869">
        <v>1062.92</v>
      </c>
      <c r="E4869">
        <v>1939</v>
      </c>
      <c r="F4869">
        <v>2</v>
      </c>
      <c r="G4869">
        <v>4</v>
      </c>
      <c r="H4869">
        <v>1</v>
      </c>
      <c r="I4869" t="s">
        <v>32</v>
      </c>
      <c r="J4869">
        <v>0</v>
      </c>
      <c r="K4869">
        <v>28</v>
      </c>
      <c r="L4869" t="s">
        <v>24</v>
      </c>
      <c r="M4869" t="s">
        <v>25</v>
      </c>
      <c r="N4869" t="s">
        <v>30</v>
      </c>
      <c r="O4869" t="s">
        <v>27</v>
      </c>
      <c r="P4869">
        <v>2.9</v>
      </c>
      <c r="Q4869" s="2" t="b">
        <f>FALSE()</f>
        <v>0</v>
      </c>
      <c r="R4869">
        <v>0</v>
      </c>
    </row>
    <row r="4870" spans="1:18" x14ac:dyDescent="0.25">
      <c r="A4870">
        <v>204869</v>
      </c>
      <c r="B4870">
        <v>50192</v>
      </c>
      <c r="C4870" t="s">
        <v>28</v>
      </c>
      <c r="D4870">
        <v>4024.16</v>
      </c>
      <c r="E4870">
        <v>401</v>
      </c>
      <c r="F4870">
        <v>1</v>
      </c>
      <c r="G4870">
        <v>0</v>
      </c>
      <c r="H4870">
        <v>0</v>
      </c>
      <c r="I4870" t="s">
        <v>33</v>
      </c>
      <c r="J4870">
        <v>1</v>
      </c>
      <c r="K4870">
        <v>57</v>
      </c>
      <c r="L4870" t="s">
        <v>20</v>
      </c>
      <c r="M4870" t="s">
        <v>29</v>
      </c>
      <c r="N4870" t="s">
        <v>22</v>
      </c>
      <c r="O4870" t="s">
        <v>36</v>
      </c>
      <c r="P4870">
        <v>6.4</v>
      </c>
      <c r="Q4870" s="2" t="b">
        <f>FALSE()</f>
        <v>0</v>
      </c>
      <c r="R4870">
        <v>1</v>
      </c>
    </row>
    <row r="4871" spans="1:18" x14ac:dyDescent="0.25">
      <c r="A4871">
        <v>204870</v>
      </c>
      <c r="B4871">
        <v>53904</v>
      </c>
      <c r="C4871" t="s">
        <v>18</v>
      </c>
      <c r="D4871">
        <v>1741.23</v>
      </c>
      <c r="E4871">
        <v>3239</v>
      </c>
      <c r="F4871">
        <v>0</v>
      </c>
      <c r="G4871">
        <v>5</v>
      </c>
      <c r="H4871">
        <v>0</v>
      </c>
      <c r="I4871" t="s">
        <v>33</v>
      </c>
      <c r="J4871">
        <v>0</v>
      </c>
      <c r="K4871">
        <v>45</v>
      </c>
      <c r="L4871" t="s">
        <v>20</v>
      </c>
      <c r="M4871" t="s">
        <v>35</v>
      </c>
      <c r="N4871" t="s">
        <v>30</v>
      </c>
      <c r="O4871" t="s">
        <v>36</v>
      </c>
      <c r="P4871">
        <v>2.2999999999999998</v>
      </c>
      <c r="Q4871" s="2" t="b">
        <f>FALSE()</f>
        <v>0</v>
      </c>
      <c r="R4871">
        <v>0</v>
      </c>
    </row>
    <row r="4872" spans="1:18" x14ac:dyDescent="0.25">
      <c r="A4872">
        <v>204871</v>
      </c>
      <c r="B4872">
        <v>55719</v>
      </c>
      <c r="C4872" t="s">
        <v>34</v>
      </c>
      <c r="D4872">
        <v>623.46</v>
      </c>
      <c r="E4872">
        <v>1550</v>
      </c>
      <c r="F4872">
        <v>1</v>
      </c>
      <c r="G4872">
        <v>3</v>
      </c>
      <c r="H4872">
        <v>0</v>
      </c>
      <c r="I4872" t="s">
        <v>19</v>
      </c>
      <c r="J4872">
        <v>0</v>
      </c>
      <c r="K4872">
        <v>49</v>
      </c>
      <c r="L4872" t="s">
        <v>20</v>
      </c>
      <c r="M4872" t="s">
        <v>21</v>
      </c>
      <c r="N4872" t="s">
        <v>30</v>
      </c>
      <c r="O4872" t="s">
        <v>27</v>
      </c>
      <c r="P4872">
        <v>6.05</v>
      </c>
      <c r="Q4872" s="2" t="b">
        <f>FALSE()</f>
        <v>0</v>
      </c>
      <c r="R4872">
        <v>0</v>
      </c>
    </row>
    <row r="4873" spans="1:18" x14ac:dyDescent="0.25">
      <c r="A4873">
        <v>204872</v>
      </c>
      <c r="B4873">
        <v>54873</v>
      </c>
      <c r="C4873" t="s">
        <v>18</v>
      </c>
      <c r="D4873">
        <v>1660.35</v>
      </c>
      <c r="E4873">
        <v>1758</v>
      </c>
      <c r="F4873">
        <v>0</v>
      </c>
      <c r="G4873">
        <v>4</v>
      </c>
      <c r="H4873">
        <v>0</v>
      </c>
      <c r="I4873" t="s">
        <v>33</v>
      </c>
      <c r="J4873">
        <v>0</v>
      </c>
      <c r="K4873">
        <v>45</v>
      </c>
      <c r="L4873" t="s">
        <v>24</v>
      </c>
      <c r="M4873" t="s">
        <v>31</v>
      </c>
      <c r="N4873" t="s">
        <v>26</v>
      </c>
      <c r="O4873" t="s">
        <v>27</v>
      </c>
      <c r="P4873">
        <v>0.79</v>
      </c>
      <c r="Q4873" s="2" t="b">
        <f>FALSE()</f>
        <v>0</v>
      </c>
      <c r="R4873">
        <v>0</v>
      </c>
    </row>
    <row r="4874" spans="1:18" x14ac:dyDescent="0.25">
      <c r="A4874">
        <v>204873</v>
      </c>
      <c r="B4874">
        <v>54831</v>
      </c>
      <c r="C4874" t="s">
        <v>34</v>
      </c>
      <c r="D4874">
        <v>637.88</v>
      </c>
      <c r="E4874">
        <v>3082</v>
      </c>
      <c r="F4874">
        <v>1</v>
      </c>
      <c r="G4874">
        <v>7</v>
      </c>
      <c r="H4874">
        <v>1</v>
      </c>
      <c r="I4874" t="s">
        <v>32</v>
      </c>
      <c r="J4874">
        <v>0</v>
      </c>
      <c r="K4874">
        <v>27</v>
      </c>
      <c r="L4874" t="s">
        <v>24</v>
      </c>
      <c r="M4874" t="s">
        <v>29</v>
      </c>
      <c r="N4874" t="s">
        <v>30</v>
      </c>
      <c r="O4874" t="s">
        <v>23</v>
      </c>
      <c r="P4874">
        <v>0.36</v>
      </c>
      <c r="Q4874" s="2" t="b">
        <f>FALSE()</f>
        <v>0</v>
      </c>
      <c r="R4874">
        <v>1</v>
      </c>
    </row>
    <row r="4875" spans="1:18" x14ac:dyDescent="0.25">
      <c r="A4875">
        <v>204874</v>
      </c>
      <c r="B4875">
        <v>55073</v>
      </c>
      <c r="C4875" t="s">
        <v>28</v>
      </c>
      <c r="D4875">
        <v>1465.41</v>
      </c>
      <c r="E4875">
        <v>1883</v>
      </c>
      <c r="F4875">
        <v>0</v>
      </c>
      <c r="G4875">
        <v>4</v>
      </c>
      <c r="H4875">
        <v>0</v>
      </c>
      <c r="I4875" t="s">
        <v>32</v>
      </c>
      <c r="J4875">
        <v>0</v>
      </c>
      <c r="K4875">
        <v>54</v>
      </c>
      <c r="L4875" t="s">
        <v>20</v>
      </c>
      <c r="M4875" t="s">
        <v>35</v>
      </c>
      <c r="N4875" t="s">
        <v>26</v>
      </c>
      <c r="O4875" t="s">
        <v>27</v>
      </c>
      <c r="P4875">
        <v>1.84</v>
      </c>
      <c r="Q4875" s="2" t="b">
        <f>FALSE()</f>
        <v>0</v>
      </c>
      <c r="R4875">
        <v>0</v>
      </c>
    </row>
    <row r="4876" spans="1:18" x14ac:dyDescent="0.25">
      <c r="A4876">
        <v>204875</v>
      </c>
      <c r="B4876">
        <v>54988</v>
      </c>
      <c r="C4876" t="s">
        <v>18</v>
      </c>
      <c r="D4876">
        <v>6538.15</v>
      </c>
      <c r="E4876">
        <v>186</v>
      </c>
      <c r="F4876">
        <v>1</v>
      </c>
      <c r="G4876">
        <v>1</v>
      </c>
      <c r="H4876">
        <v>0</v>
      </c>
      <c r="I4876" t="s">
        <v>19</v>
      </c>
      <c r="J4876">
        <v>0</v>
      </c>
      <c r="K4876">
        <v>48</v>
      </c>
      <c r="L4876" t="s">
        <v>20</v>
      </c>
      <c r="M4876" t="s">
        <v>31</v>
      </c>
      <c r="N4876" t="s">
        <v>30</v>
      </c>
      <c r="O4876" t="s">
        <v>36</v>
      </c>
      <c r="P4876">
        <v>2.36</v>
      </c>
      <c r="Q4876" s="2" t="b">
        <f>FALSE()</f>
        <v>0</v>
      </c>
      <c r="R4876">
        <v>1</v>
      </c>
    </row>
    <row r="4877" spans="1:18" x14ac:dyDescent="0.25">
      <c r="A4877">
        <v>204876</v>
      </c>
      <c r="B4877">
        <v>50349</v>
      </c>
      <c r="C4877" t="s">
        <v>18</v>
      </c>
      <c r="D4877">
        <v>4204.21</v>
      </c>
      <c r="E4877">
        <v>2787</v>
      </c>
      <c r="F4877">
        <v>1</v>
      </c>
      <c r="G4877">
        <v>2</v>
      </c>
      <c r="H4877">
        <v>0</v>
      </c>
      <c r="I4877" t="s">
        <v>19</v>
      </c>
      <c r="J4877">
        <v>0</v>
      </c>
      <c r="K4877">
        <v>46</v>
      </c>
      <c r="L4877" t="s">
        <v>20</v>
      </c>
      <c r="M4877" t="s">
        <v>31</v>
      </c>
      <c r="N4877" t="s">
        <v>26</v>
      </c>
      <c r="O4877" t="s">
        <v>36</v>
      </c>
      <c r="P4877">
        <v>1.32</v>
      </c>
      <c r="Q4877" s="2" t="b">
        <f>FALSE()</f>
        <v>0</v>
      </c>
      <c r="R4877">
        <v>1</v>
      </c>
    </row>
    <row r="4878" spans="1:18" x14ac:dyDescent="0.25">
      <c r="A4878">
        <v>204877</v>
      </c>
      <c r="B4878">
        <v>51783</v>
      </c>
      <c r="C4878" t="s">
        <v>18</v>
      </c>
      <c r="D4878">
        <v>1681.46</v>
      </c>
      <c r="E4878">
        <v>174</v>
      </c>
      <c r="F4878">
        <v>2</v>
      </c>
      <c r="G4878">
        <v>6</v>
      </c>
      <c r="H4878">
        <v>0</v>
      </c>
      <c r="I4878" t="s">
        <v>33</v>
      </c>
      <c r="J4878">
        <v>0</v>
      </c>
      <c r="K4878">
        <v>79</v>
      </c>
      <c r="L4878" t="s">
        <v>24</v>
      </c>
      <c r="M4878" t="s">
        <v>29</v>
      </c>
      <c r="N4878" t="s">
        <v>22</v>
      </c>
      <c r="O4878" t="s">
        <v>27</v>
      </c>
      <c r="P4878">
        <v>1.58</v>
      </c>
      <c r="Q4878" s="2" t="b">
        <f>FALSE()</f>
        <v>0</v>
      </c>
      <c r="R4878">
        <v>0</v>
      </c>
    </row>
    <row r="4879" spans="1:18" x14ac:dyDescent="0.25">
      <c r="A4879">
        <v>204878</v>
      </c>
      <c r="B4879">
        <v>52601</v>
      </c>
      <c r="C4879" t="s">
        <v>18</v>
      </c>
      <c r="D4879">
        <v>10146.799999999999</v>
      </c>
      <c r="E4879">
        <v>623</v>
      </c>
      <c r="F4879">
        <v>1</v>
      </c>
      <c r="G4879">
        <v>4</v>
      </c>
      <c r="H4879">
        <v>0</v>
      </c>
      <c r="I4879" t="s">
        <v>32</v>
      </c>
      <c r="J4879">
        <v>0</v>
      </c>
      <c r="K4879">
        <v>32</v>
      </c>
      <c r="L4879" t="s">
        <v>20</v>
      </c>
      <c r="M4879" t="s">
        <v>35</v>
      </c>
      <c r="N4879" t="s">
        <v>22</v>
      </c>
      <c r="O4879" t="s">
        <v>36</v>
      </c>
      <c r="P4879">
        <v>8.19</v>
      </c>
      <c r="Q4879" s="2" t="b">
        <f>TRUE()</f>
        <v>1</v>
      </c>
      <c r="R4879">
        <v>1</v>
      </c>
    </row>
    <row r="4880" spans="1:18" x14ac:dyDescent="0.25">
      <c r="A4880">
        <v>204879</v>
      </c>
      <c r="B4880">
        <v>53212</v>
      </c>
      <c r="C4880" t="s">
        <v>28</v>
      </c>
      <c r="D4880">
        <v>3568.47</v>
      </c>
      <c r="E4880">
        <v>1364</v>
      </c>
      <c r="F4880">
        <v>2</v>
      </c>
      <c r="G4880">
        <v>3</v>
      </c>
      <c r="H4880">
        <v>0</v>
      </c>
      <c r="I4880" t="s">
        <v>19</v>
      </c>
      <c r="J4880">
        <v>0</v>
      </c>
      <c r="K4880">
        <v>26</v>
      </c>
      <c r="L4880" t="s">
        <v>24</v>
      </c>
      <c r="M4880" t="s">
        <v>37</v>
      </c>
      <c r="N4880" t="s">
        <v>26</v>
      </c>
      <c r="O4880" t="s">
        <v>27</v>
      </c>
      <c r="P4880">
        <v>6.72</v>
      </c>
      <c r="Q4880" s="2" t="b">
        <f>FALSE()</f>
        <v>0</v>
      </c>
      <c r="R4880">
        <v>0</v>
      </c>
    </row>
    <row r="4881" spans="1:18" x14ac:dyDescent="0.25">
      <c r="A4881">
        <v>204880</v>
      </c>
      <c r="B4881">
        <v>53209</v>
      </c>
      <c r="C4881" t="s">
        <v>28</v>
      </c>
      <c r="D4881">
        <v>2395.9299999999998</v>
      </c>
      <c r="E4881">
        <v>1895</v>
      </c>
      <c r="F4881">
        <v>0</v>
      </c>
      <c r="G4881">
        <v>2</v>
      </c>
      <c r="H4881">
        <v>1</v>
      </c>
      <c r="I4881" t="s">
        <v>33</v>
      </c>
      <c r="J4881">
        <v>0</v>
      </c>
      <c r="K4881">
        <v>48</v>
      </c>
      <c r="L4881" t="s">
        <v>24</v>
      </c>
      <c r="M4881" t="s">
        <v>29</v>
      </c>
      <c r="N4881" t="s">
        <v>26</v>
      </c>
      <c r="O4881" t="s">
        <v>23</v>
      </c>
      <c r="P4881">
        <v>0.97</v>
      </c>
      <c r="Q4881" s="2" t="b">
        <f>FALSE()</f>
        <v>0</v>
      </c>
      <c r="R4881">
        <v>0</v>
      </c>
    </row>
    <row r="4882" spans="1:18" x14ac:dyDescent="0.25">
      <c r="A4882">
        <v>204881</v>
      </c>
      <c r="B4882">
        <v>50367</v>
      </c>
      <c r="C4882" t="s">
        <v>18</v>
      </c>
      <c r="D4882">
        <v>1386.45</v>
      </c>
      <c r="E4882">
        <v>2394</v>
      </c>
      <c r="F4882">
        <v>1</v>
      </c>
      <c r="G4882">
        <v>1</v>
      </c>
      <c r="H4882">
        <v>1</v>
      </c>
      <c r="I4882" t="s">
        <v>33</v>
      </c>
      <c r="J4882">
        <v>1</v>
      </c>
      <c r="K4882">
        <v>50</v>
      </c>
      <c r="L4882" t="s">
        <v>20</v>
      </c>
      <c r="M4882" t="s">
        <v>37</v>
      </c>
      <c r="N4882" t="s">
        <v>22</v>
      </c>
      <c r="O4882" t="s">
        <v>36</v>
      </c>
      <c r="P4882">
        <v>1.78</v>
      </c>
      <c r="Q4882" s="2" t="b">
        <f>FALSE()</f>
        <v>0</v>
      </c>
      <c r="R4882">
        <v>0</v>
      </c>
    </row>
    <row r="4883" spans="1:18" x14ac:dyDescent="0.25">
      <c r="A4883">
        <v>204882</v>
      </c>
      <c r="B4883">
        <v>53843</v>
      </c>
      <c r="C4883" t="s">
        <v>18</v>
      </c>
      <c r="D4883">
        <v>1461.42</v>
      </c>
      <c r="E4883">
        <v>1988</v>
      </c>
      <c r="F4883">
        <v>0</v>
      </c>
      <c r="G4883">
        <v>2</v>
      </c>
      <c r="H4883">
        <v>0</v>
      </c>
      <c r="I4883" t="s">
        <v>32</v>
      </c>
      <c r="J4883">
        <v>0</v>
      </c>
      <c r="K4883">
        <v>33</v>
      </c>
      <c r="L4883" t="s">
        <v>24</v>
      </c>
      <c r="M4883" t="s">
        <v>31</v>
      </c>
      <c r="N4883" t="s">
        <v>30</v>
      </c>
      <c r="O4883" t="s">
        <v>27</v>
      </c>
      <c r="P4883">
        <v>5.49</v>
      </c>
      <c r="Q4883" s="2" t="b">
        <f>FALSE()</f>
        <v>0</v>
      </c>
      <c r="R4883">
        <v>0</v>
      </c>
    </row>
    <row r="4884" spans="1:18" x14ac:dyDescent="0.25">
      <c r="A4884">
        <v>204883</v>
      </c>
      <c r="B4884">
        <v>51368</v>
      </c>
      <c r="C4884" t="s">
        <v>18</v>
      </c>
      <c r="D4884">
        <v>2675.9</v>
      </c>
      <c r="E4884">
        <v>2201</v>
      </c>
      <c r="F4884">
        <v>1</v>
      </c>
      <c r="G4884">
        <v>3</v>
      </c>
      <c r="H4884">
        <v>1</v>
      </c>
      <c r="I4884" t="s">
        <v>33</v>
      </c>
      <c r="J4884">
        <v>1</v>
      </c>
      <c r="K4884">
        <v>25</v>
      </c>
      <c r="L4884" t="s">
        <v>20</v>
      </c>
      <c r="M4884" t="s">
        <v>35</v>
      </c>
      <c r="N4884" t="s">
        <v>22</v>
      </c>
      <c r="O4884" t="s">
        <v>27</v>
      </c>
      <c r="P4884">
        <v>0.21</v>
      </c>
      <c r="Q4884" s="2" t="b">
        <f>FALSE()</f>
        <v>0</v>
      </c>
      <c r="R4884">
        <v>0</v>
      </c>
    </row>
    <row r="4885" spans="1:18" x14ac:dyDescent="0.25">
      <c r="A4885">
        <v>204884</v>
      </c>
      <c r="B4885">
        <v>53278</v>
      </c>
      <c r="C4885" t="s">
        <v>18</v>
      </c>
      <c r="D4885">
        <v>1649.53</v>
      </c>
      <c r="E4885">
        <v>394</v>
      </c>
      <c r="F4885">
        <v>2</v>
      </c>
      <c r="G4885">
        <v>0</v>
      </c>
      <c r="H4885">
        <v>0</v>
      </c>
      <c r="I4885" t="s">
        <v>19</v>
      </c>
      <c r="J4885">
        <v>1</v>
      </c>
      <c r="K4885">
        <v>31</v>
      </c>
      <c r="L4885" t="s">
        <v>38</v>
      </c>
      <c r="M4885" t="s">
        <v>29</v>
      </c>
      <c r="N4885" t="s">
        <v>30</v>
      </c>
      <c r="O4885" t="s">
        <v>27</v>
      </c>
      <c r="P4885">
        <v>6.42</v>
      </c>
      <c r="Q4885" s="2" t="b">
        <f>FALSE()</f>
        <v>0</v>
      </c>
      <c r="R4885">
        <v>0</v>
      </c>
    </row>
    <row r="4886" spans="1:18" x14ac:dyDescent="0.25">
      <c r="A4886">
        <v>204885</v>
      </c>
      <c r="B4886">
        <v>50633</v>
      </c>
      <c r="C4886" t="s">
        <v>18</v>
      </c>
      <c r="D4886">
        <v>433.33</v>
      </c>
      <c r="E4886">
        <v>785</v>
      </c>
      <c r="F4886">
        <v>1</v>
      </c>
      <c r="G4886">
        <v>3</v>
      </c>
      <c r="H4886">
        <v>0</v>
      </c>
      <c r="I4886" t="s">
        <v>32</v>
      </c>
      <c r="J4886">
        <v>1</v>
      </c>
      <c r="K4886">
        <v>48</v>
      </c>
      <c r="L4886" t="s">
        <v>20</v>
      </c>
      <c r="M4886" t="s">
        <v>21</v>
      </c>
      <c r="N4886" t="s">
        <v>26</v>
      </c>
      <c r="O4886" t="s">
        <v>27</v>
      </c>
      <c r="P4886">
        <v>1.18</v>
      </c>
      <c r="Q4886" s="2" t="b">
        <f>FALSE()</f>
        <v>0</v>
      </c>
      <c r="R4886">
        <v>0</v>
      </c>
    </row>
    <row r="4887" spans="1:18" x14ac:dyDescent="0.25">
      <c r="A4887">
        <v>204886</v>
      </c>
      <c r="B4887">
        <v>53354</v>
      </c>
      <c r="C4887" t="s">
        <v>34</v>
      </c>
      <c r="D4887">
        <v>2726.84</v>
      </c>
      <c r="E4887">
        <v>27</v>
      </c>
      <c r="F4887">
        <v>1</v>
      </c>
      <c r="G4887">
        <v>5</v>
      </c>
      <c r="H4887">
        <v>0</v>
      </c>
      <c r="I4887" t="s">
        <v>19</v>
      </c>
      <c r="J4887">
        <v>1</v>
      </c>
      <c r="K4887">
        <v>61</v>
      </c>
      <c r="L4887" t="s">
        <v>24</v>
      </c>
      <c r="M4887" t="s">
        <v>31</v>
      </c>
      <c r="N4887" t="s">
        <v>30</v>
      </c>
      <c r="O4887" t="s">
        <v>27</v>
      </c>
      <c r="P4887">
        <v>0.15</v>
      </c>
      <c r="Q4887" s="2" t="b">
        <f>FALSE()</f>
        <v>0</v>
      </c>
      <c r="R4887">
        <v>0</v>
      </c>
    </row>
    <row r="4888" spans="1:18" x14ac:dyDescent="0.25">
      <c r="A4888">
        <v>204887</v>
      </c>
      <c r="B4888">
        <v>55629</v>
      </c>
      <c r="C4888" t="s">
        <v>34</v>
      </c>
      <c r="D4888">
        <v>808.25</v>
      </c>
      <c r="E4888">
        <v>2100</v>
      </c>
      <c r="F4888">
        <v>1</v>
      </c>
      <c r="G4888">
        <v>4</v>
      </c>
      <c r="H4888">
        <v>1</v>
      </c>
      <c r="I4888" t="s">
        <v>19</v>
      </c>
      <c r="J4888">
        <v>0</v>
      </c>
      <c r="K4888">
        <v>40</v>
      </c>
      <c r="L4888" t="s">
        <v>38</v>
      </c>
      <c r="M4888" t="s">
        <v>29</v>
      </c>
      <c r="N4888" t="s">
        <v>22</v>
      </c>
      <c r="O4888" t="s">
        <v>36</v>
      </c>
      <c r="P4888">
        <v>3.94</v>
      </c>
      <c r="Q4888" s="2" t="b">
        <f>FALSE()</f>
        <v>0</v>
      </c>
      <c r="R4888">
        <v>0</v>
      </c>
    </row>
    <row r="4889" spans="1:18" x14ac:dyDescent="0.25">
      <c r="A4889">
        <v>204888</v>
      </c>
      <c r="B4889">
        <v>50555</v>
      </c>
      <c r="C4889" t="s">
        <v>18</v>
      </c>
      <c r="D4889">
        <v>3140.04</v>
      </c>
      <c r="E4889">
        <v>3551</v>
      </c>
      <c r="F4889">
        <v>2</v>
      </c>
      <c r="G4889">
        <v>0</v>
      </c>
      <c r="H4889">
        <v>0</v>
      </c>
      <c r="I4889" t="s">
        <v>33</v>
      </c>
      <c r="J4889">
        <v>0</v>
      </c>
      <c r="K4889">
        <v>68</v>
      </c>
      <c r="L4889" t="s">
        <v>24</v>
      </c>
      <c r="M4889" t="s">
        <v>25</v>
      </c>
      <c r="N4889" t="s">
        <v>26</v>
      </c>
      <c r="O4889" t="s">
        <v>36</v>
      </c>
      <c r="P4889">
        <v>0.99</v>
      </c>
      <c r="Q4889" s="2" t="b">
        <f>FALSE()</f>
        <v>0</v>
      </c>
      <c r="R4889">
        <v>0</v>
      </c>
    </row>
    <row r="4890" spans="1:18" x14ac:dyDescent="0.25">
      <c r="A4890">
        <v>204889</v>
      </c>
      <c r="B4890">
        <v>51344</v>
      </c>
      <c r="C4890" t="s">
        <v>18</v>
      </c>
      <c r="D4890">
        <v>2297.69</v>
      </c>
      <c r="E4890">
        <v>852</v>
      </c>
      <c r="F4890">
        <v>1</v>
      </c>
      <c r="G4890">
        <v>2</v>
      </c>
      <c r="H4890">
        <v>0</v>
      </c>
      <c r="I4890" t="s">
        <v>33</v>
      </c>
      <c r="J4890">
        <v>0</v>
      </c>
      <c r="K4890">
        <v>49</v>
      </c>
      <c r="L4890" t="s">
        <v>24</v>
      </c>
      <c r="M4890" t="s">
        <v>25</v>
      </c>
      <c r="N4890" t="s">
        <v>22</v>
      </c>
      <c r="O4890" t="s">
        <v>27</v>
      </c>
      <c r="P4890">
        <v>0.55000000000000004</v>
      </c>
      <c r="Q4890" s="2" t="b">
        <f>FALSE()</f>
        <v>0</v>
      </c>
      <c r="R4890">
        <v>0</v>
      </c>
    </row>
    <row r="4891" spans="1:18" x14ac:dyDescent="0.25">
      <c r="A4891">
        <v>204890</v>
      </c>
      <c r="B4891">
        <v>53862</v>
      </c>
      <c r="C4891" t="s">
        <v>18</v>
      </c>
      <c r="D4891">
        <v>2791.4</v>
      </c>
      <c r="E4891">
        <v>2068</v>
      </c>
      <c r="F4891">
        <v>0</v>
      </c>
      <c r="G4891">
        <v>3</v>
      </c>
      <c r="H4891">
        <v>1</v>
      </c>
      <c r="I4891" t="s">
        <v>19</v>
      </c>
      <c r="J4891">
        <v>1</v>
      </c>
      <c r="K4891">
        <v>73</v>
      </c>
      <c r="L4891" t="s">
        <v>24</v>
      </c>
      <c r="M4891" t="s">
        <v>21</v>
      </c>
      <c r="N4891" t="s">
        <v>30</v>
      </c>
      <c r="O4891" t="s">
        <v>27</v>
      </c>
      <c r="P4891">
        <v>0.54</v>
      </c>
      <c r="Q4891" s="2" t="b">
        <f>FALSE()</f>
        <v>0</v>
      </c>
      <c r="R4891">
        <v>0</v>
      </c>
    </row>
    <row r="4892" spans="1:18" x14ac:dyDescent="0.25">
      <c r="A4892">
        <v>204891</v>
      </c>
      <c r="B4892">
        <v>50836</v>
      </c>
      <c r="C4892" t="s">
        <v>34</v>
      </c>
      <c r="D4892">
        <v>1731.6</v>
      </c>
      <c r="E4892">
        <v>3511</v>
      </c>
      <c r="F4892">
        <v>2</v>
      </c>
      <c r="G4892">
        <v>1</v>
      </c>
      <c r="H4892">
        <v>1</v>
      </c>
      <c r="I4892" t="s">
        <v>33</v>
      </c>
      <c r="J4892">
        <v>0</v>
      </c>
      <c r="K4892">
        <v>52</v>
      </c>
      <c r="L4892" t="s">
        <v>20</v>
      </c>
      <c r="M4892" t="s">
        <v>31</v>
      </c>
      <c r="N4892" t="s">
        <v>22</v>
      </c>
      <c r="O4892" t="s">
        <v>27</v>
      </c>
      <c r="P4892">
        <v>2.87</v>
      </c>
      <c r="Q4892" s="2" t="b">
        <f>FALSE()</f>
        <v>0</v>
      </c>
      <c r="R4892">
        <v>0</v>
      </c>
    </row>
    <row r="4893" spans="1:18" x14ac:dyDescent="0.25">
      <c r="A4893">
        <v>204892</v>
      </c>
      <c r="B4893">
        <v>50840</v>
      </c>
      <c r="C4893" t="s">
        <v>18</v>
      </c>
      <c r="D4893">
        <v>2580.37</v>
      </c>
      <c r="E4893">
        <v>1226</v>
      </c>
      <c r="F4893">
        <v>2</v>
      </c>
      <c r="G4893">
        <v>8</v>
      </c>
      <c r="H4893">
        <v>0</v>
      </c>
      <c r="I4893" t="s">
        <v>33</v>
      </c>
      <c r="J4893">
        <v>1</v>
      </c>
      <c r="K4893">
        <v>41</v>
      </c>
      <c r="L4893" t="s">
        <v>24</v>
      </c>
      <c r="M4893" t="s">
        <v>35</v>
      </c>
      <c r="N4893" t="s">
        <v>30</v>
      </c>
      <c r="O4893" t="s">
        <v>36</v>
      </c>
      <c r="P4893">
        <v>9.15</v>
      </c>
      <c r="Q4893" s="2" t="b">
        <f>FALSE()</f>
        <v>0</v>
      </c>
      <c r="R4893">
        <v>1</v>
      </c>
    </row>
    <row r="4894" spans="1:18" x14ac:dyDescent="0.25">
      <c r="A4894">
        <v>204893</v>
      </c>
      <c r="B4894">
        <v>54456</v>
      </c>
      <c r="C4894" t="s">
        <v>18</v>
      </c>
      <c r="D4894">
        <v>2113.14</v>
      </c>
      <c r="E4894">
        <v>1840</v>
      </c>
      <c r="F4894">
        <v>0</v>
      </c>
      <c r="G4894">
        <v>6</v>
      </c>
      <c r="H4894">
        <v>0</v>
      </c>
      <c r="I4894" t="s">
        <v>33</v>
      </c>
      <c r="J4894">
        <v>0</v>
      </c>
      <c r="K4894">
        <v>34</v>
      </c>
      <c r="L4894" t="s">
        <v>24</v>
      </c>
      <c r="M4894" t="s">
        <v>25</v>
      </c>
      <c r="N4894" t="s">
        <v>30</v>
      </c>
      <c r="O4894" t="s">
        <v>36</v>
      </c>
      <c r="P4894">
        <v>0.61</v>
      </c>
      <c r="Q4894" s="2" t="b">
        <f>FALSE()</f>
        <v>0</v>
      </c>
      <c r="R4894">
        <v>0</v>
      </c>
    </row>
    <row r="4895" spans="1:18" x14ac:dyDescent="0.25">
      <c r="A4895">
        <v>204894</v>
      </c>
      <c r="B4895">
        <v>53067</v>
      </c>
      <c r="C4895" t="s">
        <v>18</v>
      </c>
      <c r="D4895">
        <v>1873.59</v>
      </c>
      <c r="E4895">
        <v>2523</v>
      </c>
      <c r="F4895">
        <v>1</v>
      </c>
      <c r="G4895">
        <v>2</v>
      </c>
      <c r="H4895">
        <v>1</v>
      </c>
      <c r="I4895" t="s">
        <v>19</v>
      </c>
      <c r="J4895">
        <v>0</v>
      </c>
      <c r="K4895">
        <v>33</v>
      </c>
      <c r="L4895" t="s">
        <v>24</v>
      </c>
      <c r="M4895" t="s">
        <v>31</v>
      </c>
      <c r="N4895" t="s">
        <v>22</v>
      </c>
      <c r="O4895" t="s">
        <v>36</v>
      </c>
      <c r="P4895">
        <v>0.4</v>
      </c>
      <c r="Q4895" s="2" t="b">
        <f>FALSE()</f>
        <v>0</v>
      </c>
      <c r="R4895">
        <v>0</v>
      </c>
    </row>
    <row r="4896" spans="1:18" x14ac:dyDescent="0.25">
      <c r="A4896">
        <v>204895</v>
      </c>
      <c r="B4896">
        <v>52752</v>
      </c>
      <c r="C4896" t="s">
        <v>18</v>
      </c>
      <c r="D4896">
        <v>3777.29</v>
      </c>
      <c r="E4896">
        <v>2540</v>
      </c>
      <c r="F4896">
        <v>1</v>
      </c>
      <c r="G4896">
        <v>3</v>
      </c>
      <c r="H4896">
        <v>1</v>
      </c>
      <c r="I4896" t="s">
        <v>19</v>
      </c>
      <c r="J4896">
        <v>0</v>
      </c>
      <c r="K4896">
        <v>32</v>
      </c>
      <c r="L4896" t="s">
        <v>20</v>
      </c>
      <c r="M4896" t="s">
        <v>31</v>
      </c>
      <c r="N4896" t="s">
        <v>26</v>
      </c>
      <c r="O4896" t="s">
        <v>36</v>
      </c>
      <c r="P4896">
        <v>2.02</v>
      </c>
      <c r="Q4896" s="2" t="b">
        <f>FALSE()</f>
        <v>0</v>
      </c>
      <c r="R4896">
        <v>1</v>
      </c>
    </row>
    <row r="4897" spans="1:18" x14ac:dyDescent="0.25">
      <c r="A4897">
        <v>204896</v>
      </c>
      <c r="B4897">
        <v>55022</v>
      </c>
      <c r="C4897" t="s">
        <v>18</v>
      </c>
      <c r="D4897">
        <v>1705.2</v>
      </c>
      <c r="E4897">
        <v>2566</v>
      </c>
      <c r="F4897">
        <v>1</v>
      </c>
      <c r="G4897">
        <v>5</v>
      </c>
      <c r="H4897">
        <v>0</v>
      </c>
      <c r="I4897" t="s">
        <v>19</v>
      </c>
      <c r="J4897">
        <v>0</v>
      </c>
      <c r="K4897">
        <v>18</v>
      </c>
      <c r="L4897" t="s">
        <v>24</v>
      </c>
      <c r="M4897" t="s">
        <v>31</v>
      </c>
      <c r="N4897" t="s">
        <v>30</v>
      </c>
      <c r="O4897" t="s">
        <v>23</v>
      </c>
      <c r="P4897">
        <v>0.75</v>
      </c>
      <c r="Q4897" s="2" t="b">
        <f>FALSE()</f>
        <v>0</v>
      </c>
      <c r="R4897">
        <v>0</v>
      </c>
    </row>
    <row r="4898" spans="1:18" x14ac:dyDescent="0.25">
      <c r="A4898">
        <v>204897</v>
      </c>
      <c r="B4898">
        <v>54252</v>
      </c>
      <c r="C4898" t="s">
        <v>34</v>
      </c>
      <c r="D4898">
        <v>1085.04</v>
      </c>
      <c r="E4898">
        <v>3278</v>
      </c>
      <c r="F4898">
        <v>2</v>
      </c>
      <c r="G4898">
        <v>4</v>
      </c>
      <c r="H4898">
        <v>0</v>
      </c>
      <c r="I4898" t="s">
        <v>33</v>
      </c>
      <c r="J4898">
        <v>0</v>
      </c>
      <c r="K4898">
        <v>21</v>
      </c>
      <c r="L4898" t="s">
        <v>24</v>
      </c>
      <c r="M4898" t="s">
        <v>21</v>
      </c>
      <c r="N4898" t="s">
        <v>30</v>
      </c>
      <c r="O4898" t="s">
        <v>27</v>
      </c>
      <c r="P4898">
        <v>1.18</v>
      </c>
      <c r="Q4898" s="2" t="b">
        <f>FALSE()</f>
        <v>0</v>
      </c>
      <c r="R4898">
        <v>0</v>
      </c>
    </row>
    <row r="4899" spans="1:18" x14ac:dyDescent="0.25">
      <c r="A4899">
        <v>204898</v>
      </c>
      <c r="B4899">
        <v>54640</v>
      </c>
      <c r="C4899" t="s">
        <v>28</v>
      </c>
      <c r="D4899">
        <v>2616.7399999999998</v>
      </c>
      <c r="E4899">
        <v>1871</v>
      </c>
      <c r="F4899">
        <v>1</v>
      </c>
      <c r="G4899">
        <v>4</v>
      </c>
      <c r="H4899">
        <v>1</v>
      </c>
      <c r="I4899" t="s">
        <v>19</v>
      </c>
      <c r="J4899">
        <v>1</v>
      </c>
      <c r="K4899">
        <v>76</v>
      </c>
      <c r="L4899" t="s">
        <v>24</v>
      </c>
      <c r="M4899" t="s">
        <v>25</v>
      </c>
      <c r="N4899" t="s">
        <v>22</v>
      </c>
      <c r="O4899" t="s">
        <v>27</v>
      </c>
      <c r="P4899">
        <v>3.85</v>
      </c>
      <c r="Q4899" s="2" t="b">
        <f>FALSE()</f>
        <v>0</v>
      </c>
      <c r="R4899">
        <v>0</v>
      </c>
    </row>
    <row r="4900" spans="1:18" x14ac:dyDescent="0.25">
      <c r="A4900">
        <v>204899</v>
      </c>
      <c r="B4900">
        <v>53048</v>
      </c>
      <c r="C4900" t="s">
        <v>34</v>
      </c>
      <c r="D4900">
        <v>1001.22</v>
      </c>
      <c r="E4900">
        <v>750</v>
      </c>
      <c r="F4900">
        <v>0</v>
      </c>
      <c r="G4900">
        <v>6</v>
      </c>
      <c r="H4900">
        <v>1</v>
      </c>
      <c r="I4900" t="s">
        <v>33</v>
      </c>
      <c r="J4900">
        <v>0</v>
      </c>
      <c r="K4900">
        <v>52</v>
      </c>
      <c r="L4900" t="s">
        <v>24</v>
      </c>
      <c r="M4900" t="s">
        <v>25</v>
      </c>
      <c r="N4900" t="s">
        <v>22</v>
      </c>
      <c r="O4900" t="s">
        <v>36</v>
      </c>
      <c r="P4900">
        <v>7.1</v>
      </c>
      <c r="Q4900" s="2" t="b">
        <f>FALSE()</f>
        <v>0</v>
      </c>
      <c r="R4900">
        <v>0</v>
      </c>
    </row>
    <row r="4901" spans="1:18" x14ac:dyDescent="0.25">
      <c r="A4901">
        <v>204900</v>
      </c>
      <c r="B4901">
        <v>52156</v>
      </c>
      <c r="C4901" t="s">
        <v>28</v>
      </c>
      <c r="D4901">
        <v>2422.58</v>
      </c>
      <c r="E4901">
        <v>2622</v>
      </c>
      <c r="F4901">
        <v>2</v>
      </c>
      <c r="G4901">
        <v>12</v>
      </c>
      <c r="H4901">
        <v>1</v>
      </c>
      <c r="I4901" t="s">
        <v>33</v>
      </c>
      <c r="J4901">
        <v>0</v>
      </c>
      <c r="K4901">
        <v>81</v>
      </c>
      <c r="L4901" t="s">
        <v>20</v>
      </c>
      <c r="M4901" t="s">
        <v>29</v>
      </c>
      <c r="N4901" t="s">
        <v>22</v>
      </c>
      <c r="O4901" t="s">
        <v>23</v>
      </c>
      <c r="P4901">
        <v>3.58</v>
      </c>
      <c r="Q4901" s="2" t="b">
        <f>FALSE()</f>
        <v>0</v>
      </c>
      <c r="R4901">
        <v>1</v>
      </c>
    </row>
    <row r="4902" spans="1:18" x14ac:dyDescent="0.25">
      <c r="A4902">
        <v>204901</v>
      </c>
      <c r="B4902">
        <v>51946</v>
      </c>
      <c r="C4902" t="s">
        <v>34</v>
      </c>
      <c r="D4902">
        <v>2962.58</v>
      </c>
      <c r="E4902">
        <v>1565</v>
      </c>
      <c r="F4902">
        <v>0</v>
      </c>
      <c r="G4902">
        <v>3</v>
      </c>
      <c r="H4902">
        <v>0</v>
      </c>
      <c r="I4902" t="s">
        <v>33</v>
      </c>
      <c r="J4902">
        <v>0</v>
      </c>
      <c r="K4902">
        <v>73</v>
      </c>
      <c r="L4902" t="s">
        <v>20</v>
      </c>
      <c r="M4902" t="s">
        <v>31</v>
      </c>
      <c r="N4902" t="s">
        <v>30</v>
      </c>
      <c r="O4902" t="s">
        <v>36</v>
      </c>
      <c r="P4902">
        <v>0.42</v>
      </c>
      <c r="Q4902" s="2" t="b">
        <f>FALSE()</f>
        <v>0</v>
      </c>
      <c r="R4902">
        <v>0</v>
      </c>
    </row>
    <row r="4903" spans="1:18" x14ac:dyDescent="0.25">
      <c r="A4903">
        <v>204902</v>
      </c>
      <c r="B4903">
        <v>52032</v>
      </c>
      <c r="C4903" t="s">
        <v>28</v>
      </c>
      <c r="D4903">
        <v>1011.33</v>
      </c>
      <c r="E4903">
        <v>1328</v>
      </c>
      <c r="F4903">
        <v>1</v>
      </c>
      <c r="G4903">
        <v>4</v>
      </c>
      <c r="H4903">
        <v>1</v>
      </c>
      <c r="I4903" t="s">
        <v>33</v>
      </c>
      <c r="J4903">
        <v>0</v>
      </c>
      <c r="K4903">
        <v>47</v>
      </c>
      <c r="L4903" t="s">
        <v>24</v>
      </c>
      <c r="M4903" t="s">
        <v>25</v>
      </c>
      <c r="N4903" t="s">
        <v>26</v>
      </c>
      <c r="O4903" t="s">
        <v>23</v>
      </c>
      <c r="P4903">
        <v>2.11</v>
      </c>
      <c r="Q4903" s="2" t="b">
        <f>FALSE()</f>
        <v>0</v>
      </c>
      <c r="R4903">
        <v>0</v>
      </c>
    </row>
    <row r="4904" spans="1:18" x14ac:dyDescent="0.25">
      <c r="A4904">
        <v>204903</v>
      </c>
      <c r="B4904">
        <v>50860</v>
      </c>
      <c r="C4904" t="s">
        <v>18</v>
      </c>
      <c r="D4904">
        <v>2935.25</v>
      </c>
      <c r="E4904">
        <v>2190</v>
      </c>
      <c r="F4904">
        <v>1</v>
      </c>
      <c r="G4904">
        <v>4</v>
      </c>
      <c r="H4904">
        <v>0</v>
      </c>
      <c r="I4904" t="s">
        <v>33</v>
      </c>
      <c r="J4904">
        <v>0</v>
      </c>
      <c r="K4904">
        <v>36</v>
      </c>
      <c r="L4904" t="s">
        <v>24</v>
      </c>
      <c r="M4904" t="s">
        <v>35</v>
      </c>
      <c r="N4904" t="s">
        <v>26</v>
      </c>
      <c r="O4904" t="s">
        <v>36</v>
      </c>
      <c r="P4904">
        <v>1.23</v>
      </c>
      <c r="Q4904" s="2" t="b">
        <f>FALSE()</f>
        <v>0</v>
      </c>
      <c r="R4904">
        <v>0</v>
      </c>
    </row>
    <row r="4905" spans="1:18" x14ac:dyDescent="0.25">
      <c r="A4905">
        <v>204904</v>
      </c>
      <c r="B4905">
        <v>51452</v>
      </c>
      <c r="C4905" t="s">
        <v>34</v>
      </c>
      <c r="D4905">
        <v>3070.73</v>
      </c>
      <c r="E4905">
        <v>2243</v>
      </c>
      <c r="F4905">
        <v>1</v>
      </c>
      <c r="G4905">
        <v>6</v>
      </c>
      <c r="H4905">
        <v>0</v>
      </c>
      <c r="I4905" t="s">
        <v>19</v>
      </c>
      <c r="J4905">
        <v>0</v>
      </c>
      <c r="K4905">
        <v>25</v>
      </c>
      <c r="L4905" t="s">
        <v>24</v>
      </c>
      <c r="M4905" t="s">
        <v>37</v>
      </c>
      <c r="N4905" t="s">
        <v>22</v>
      </c>
      <c r="O4905" t="s">
        <v>36</v>
      </c>
      <c r="P4905">
        <v>7.57</v>
      </c>
      <c r="Q4905" s="2" t="b">
        <f>FALSE()</f>
        <v>0</v>
      </c>
      <c r="R4905">
        <v>0</v>
      </c>
    </row>
    <row r="4906" spans="1:18" x14ac:dyDescent="0.25">
      <c r="A4906">
        <v>204905</v>
      </c>
      <c r="B4906">
        <v>55934</v>
      </c>
      <c r="C4906" t="s">
        <v>18</v>
      </c>
      <c r="D4906">
        <v>3973.91</v>
      </c>
      <c r="E4906">
        <v>1914</v>
      </c>
      <c r="F4906">
        <v>2</v>
      </c>
      <c r="G4906">
        <v>3</v>
      </c>
      <c r="H4906">
        <v>0</v>
      </c>
      <c r="I4906" t="s">
        <v>33</v>
      </c>
      <c r="J4906">
        <v>0</v>
      </c>
      <c r="K4906">
        <v>22</v>
      </c>
      <c r="L4906" t="s">
        <v>20</v>
      </c>
      <c r="M4906" t="s">
        <v>37</v>
      </c>
      <c r="N4906" t="s">
        <v>22</v>
      </c>
      <c r="O4906" t="s">
        <v>27</v>
      </c>
      <c r="P4906">
        <v>3.34</v>
      </c>
      <c r="Q4906" s="2" t="b">
        <f>FALSE()</f>
        <v>0</v>
      </c>
      <c r="R4906">
        <v>1</v>
      </c>
    </row>
    <row r="4907" spans="1:18" x14ac:dyDescent="0.25">
      <c r="A4907">
        <v>204906</v>
      </c>
      <c r="B4907">
        <v>55429</v>
      </c>
      <c r="C4907" t="s">
        <v>18</v>
      </c>
      <c r="D4907">
        <v>815.14</v>
      </c>
      <c r="E4907">
        <v>3071</v>
      </c>
      <c r="F4907">
        <v>0</v>
      </c>
      <c r="G4907">
        <v>3</v>
      </c>
      <c r="H4907">
        <v>0</v>
      </c>
      <c r="I4907" t="s">
        <v>33</v>
      </c>
      <c r="J4907">
        <v>0</v>
      </c>
      <c r="K4907">
        <v>37</v>
      </c>
      <c r="L4907" t="s">
        <v>24</v>
      </c>
      <c r="M4907" t="s">
        <v>29</v>
      </c>
      <c r="N4907" t="s">
        <v>22</v>
      </c>
      <c r="O4907" t="s">
        <v>27</v>
      </c>
      <c r="P4907">
        <v>2.64</v>
      </c>
      <c r="Q4907" s="2" t="b">
        <f>FALSE()</f>
        <v>0</v>
      </c>
      <c r="R4907">
        <v>0</v>
      </c>
    </row>
    <row r="4908" spans="1:18" x14ac:dyDescent="0.25">
      <c r="A4908">
        <v>204907</v>
      </c>
      <c r="B4908">
        <v>54664</v>
      </c>
      <c r="C4908" t="s">
        <v>18</v>
      </c>
      <c r="D4908">
        <v>2437.31</v>
      </c>
      <c r="E4908">
        <v>1173</v>
      </c>
      <c r="F4908">
        <v>0</v>
      </c>
      <c r="G4908">
        <v>2</v>
      </c>
      <c r="H4908">
        <v>0</v>
      </c>
      <c r="I4908" t="s">
        <v>19</v>
      </c>
      <c r="J4908">
        <v>0</v>
      </c>
      <c r="K4908">
        <v>56</v>
      </c>
      <c r="L4908" t="s">
        <v>20</v>
      </c>
      <c r="M4908" t="s">
        <v>29</v>
      </c>
      <c r="N4908" t="s">
        <v>30</v>
      </c>
      <c r="O4908" t="s">
        <v>36</v>
      </c>
      <c r="P4908">
        <v>2.91</v>
      </c>
      <c r="Q4908" s="2" t="b">
        <f>FALSE()</f>
        <v>0</v>
      </c>
      <c r="R4908">
        <v>0</v>
      </c>
    </row>
    <row r="4909" spans="1:18" x14ac:dyDescent="0.25">
      <c r="A4909">
        <v>204908</v>
      </c>
      <c r="B4909">
        <v>55944</v>
      </c>
      <c r="C4909" t="s">
        <v>18</v>
      </c>
      <c r="D4909">
        <v>684.99</v>
      </c>
      <c r="E4909">
        <v>1712</v>
      </c>
      <c r="F4909">
        <v>2</v>
      </c>
      <c r="G4909">
        <v>9</v>
      </c>
      <c r="H4909">
        <v>1</v>
      </c>
      <c r="I4909" t="s">
        <v>33</v>
      </c>
      <c r="J4909">
        <v>0</v>
      </c>
      <c r="K4909">
        <v>65</v>
      </c>
      <c r="L4909" t="s">
        <v>24</v>
      </c>
      <c r="M4909" t="s">
        <v>37</v>
      </c>
      <c r="N4909" t="s">
        <v>30</v>
      </c>
      <c r="O4909" t="s">
        <v>36</v>
      </c>
      <c r="P4909">
        <v>2.39</v>
      </c>
      <c r="Q4909" s="2" t="b">
        <f>FALSE()</f>
        <v>0</v>
      </c>
      <c r="R4909">
        <v>1</v>
      </c>
    </row>
    <row r="4910" spans="1:18" x14ac:dyDescent="0.25">
      <c r="A4910">
        <v>204909</v>
      </c>
      <c r="B4910">
        <v>50606</v>
      </c>
      <c r="C4910" t="s">
        <v>18</v>
      </c>
      <c r="D4910">
        <v>2295.2399999999998</v>
      </c>
      <c r="E4910">
        <v>2281</v>
      </c>
      <c r="F4910">
        <v>1</v>
      </c>
      <c r="G4910">
        <v>4</v>
      </c>
      <c r="H4910">
        <v>0</v>
      </c>
      <c r="I4910" t="s">
        <v>19</v>
      </c>
      <c r="J4910">
        <v>0</v>
      </c>
      <c r="K4910">
        <v>58</v>
      </c>
      <c r="L4910" t="s">
        <v>20</v>
      </c>
      <c r="M4910" t="s">
        <v>35</v>
      </c>
      <c r="N4910" t="s">
        <v>30</v>
      </c>
      <c r="O4910" t="s">
        <v>27</v>
      </c>
      <c r="P4910">
        <v>5.03</v>
      </c>
      <c r="Q4910" s="2" t="b">
        <f>FALSE()</f>
        <v>0</v>
      </c>
      <c r="R4910">
        <v>0</v>
      </c>
    </row>
    <row r="4911" spans="1:18" x14ac:dyDescent="0.25">
      <c r="A4911">
        <v>204910</v>
      </c>
      <c r="B4911">
        <v>53367</v>
      </c>
      <c r="C4911" t="s">
        <v>34</v>
      </c>
      <c r="D4911">
        <v>6108.02</v>
      </c>
      <c r="E4911">
        <v>1097</v>
      </c>
      <c r="F4911">
        <v>0</v>
      </c>
      <c r="G4911">
        <v>4</v>
      </c>
      <c r="H4911">
        <v>0</v>
      </c>
      <c r="I4911" t="s">
        <v>33</v>
      </c>
      <c r="J4911">
        <v>0</v>
      </c>
      <c r="K4911">
        <v>40</v>
      </c>
      <c r="L4911" t="s">
        <v>20</v>
      </c>
      <c r="M4911" t="s">
        <v>37</v>
      </c>
      <c r="N4911" t="s">
        <v>26</v>
      </c>
      <c r="O4911" t="s">
        <v>23</v>
      </c>
      <c r="P4911">
        <v>7.49</v>
      </c>
      <c r="Q4911" s="2" t="b">
        <f>FALSE()</f>
        <v>0</v>
      </c>
      <c r="R4911">
        <v>1</v>
      </c>
    </row>
    <row r="4912" spans="1:18" x14ac:dyDescent="0.25">
      <c r="A4912">
        <v>204911</v>
      </c>
      <c r="B4912">
        <v>55653</v>
      </c>
      <c r="C4912" t="s">
        <v>18</v>
      </c>
      <c r="D4912">
        <v>2425.42</v>
      </c>
      <c r="E4912">
        <v>2797</v>
      </c>
      <c r="F4912">
        <v>0</v>
      </c>
      <c r="G4912">
        <v>4</v>
      </c>
      <c r="H4912">
        <v>1</v>
      </c>
      <c r="I4912" t="s">
        <v>32</v>
      </c>
      <c r="J4912">
        <v>1</v>
      </c>
      <c r="K4912">
        <v>59</v>
      </c>
      <c r="L4912" t="s">
        <v>24</v>
      </c>
      <c r="M4912" t="s">
        <v>31</v>
      </c>
      <c r="N4912" t="s">
        <v>22</v>
      </c>
      <c r="O4912" t="s">
        <v>27</v>
      </c>
      <c r="P4912">
        <v>0.03</v>
      </c>
      <c r="Q4912" s="2" t="b">
        <f>FALSE()</f>
        <v>0</v>
      </c>
      <c r="R4912">
        <v>0</v>
      </c>
    </row>
    <row r="4913" spans="1:18" x14ac:dyDescent="0.25">
      <c r="A4913">
        <v>204912</v>
      </c>
      <c r="B4913">
        <v>55620</v>
      </c>
      <c r="C4913" t="s">
        <v>34</v>
      </c>
      <c r="D4913">
        <v>3772.66</v>
      </c>
      <c r="E4913">
        <v>3321</v>
      </c>
      <c r="F4913">
        <v>1</v>
      </c>
      <c r="G4913">
        <v>6</v>
      </c>
      <c r="H4913">
        <v>0</v>
      </c>
      <c r="I4913" t="s">
        <v>32</v>
      </c>
      <c r="J4913">
        <v>0</v>
      </c>
      <c r="K4913">
        <v>77</v>
      </c>
      <c r="L4913" t="s">
        <v>20</v>
      </c>
      <c r="M4913" t="s">
        <v>37</v>
      </c>
      <c r="N4913" t="s">
        <v>22</v>
      </c>
      <c r="O4913" t="s">
        <v>36</v>
      </c>
      <c r="P4913">
        <v>0.13</v>
      </c>
      <c r="Q4913" s="2" t="b">
        <f>FALSE()</f>
        <v>0</v>
      </c>
      <c r="R4913">
        <v>1</v>
      </c>
    </row>
    <row r="4914" spans="1:18" x14ac:dyDescent="0.25">
      <c r="A4914">
        <v>204913</v>
      </c>
      <c r="B4914">
        <v>50571</v>
      </c>
      <c r="C4914" t="s">
        <v>18</v>
      </c>
      <c r="D4914">
        <v>1932.25</v>
      </c>
      <c r="E4914">
        <v>120</v>
      </c>
      <c r="F4914">
        <v>1</v>
      </c>
      <c r="G4914">
        <v>2</v>
      </c>
      <c r="H4914">
        <v>1</v>
      </c>
      <c r="I4914" t="s">
        <v>33</v>
      </c>
      <c r="J4914">
        <v>0</v>
      </c>
      <c r="K4914">
        <v>34</v>
      </c>
      <c r="L4914" t="s">
        <v>24</v>
      </c>
      <c r="M4914" t="s">
        <v>35</v>
      </c>
      <c r="N4914" t="s">
        <v>30</v>
      </c>
      <c r="O4914" t="s">
        <v>27</v>
      </c>
      <c r="P4914">
        <v>2.66</v>
      </c>
      <c r="Q4914" s="2" t="b">
        <f>FALSE()</f>
        <v>0</v>
      </c>
      <c r="R4914">
        <v>0</v>
      </c>
    </row>
    <row r="4915" spans="1:18" x14ac:dyDescent="0.25">
      <c r="A4915">
        <v>204914</v>
      </c>
      <c r="B4915">
        <v>53241</v>
      </c>
      <c r="C4915" t="s">
        <v>18</v>
      </c>
      <c r="D4915">
        <v>480.47</v>
      </c>
      <c r="E4915">
        <v>3241</v>
      </c>
      <c r="F4915">
        <v>0</v>
      </c>
      <c r="G4915">
        <v>3</v>
      </c>
      <c r="H4915">
        <v>0</v>
      </c>
      <c r="I4915" t="s">
        <v>33</v>
      </c>
      <c r="J4915">
        <v>0</v>
      </c>
      <c r="K4915">
        <v>36</v>
      </c>
      <c r="L4915" t="s">
        <v>24</v>
      </c>
      <c r="M4915" t="s">
        <v>35</v>
      </c>
      <c r="N4915" t="s">
        <v>26</v>
      </c>
      <c r="O4915" t="s">
        <v>27</v>
      </c>
      <c r="P4915">
        <v>0.92</v>
      </c>
      <c r="Q4915" s="2" t="b">
        <f>FALSE()</f>
        <v>0</v>
      </c>
      <c r="R4915">
        <v>0</v>
      </c>
    </row>
    <row r="4916" spans="1:18" x14ac:dyDescent="0.25">
      <c r="A4916">
        <v>204915</v>
      </c>
      <c r="B4916">
        <v>55548</v>
      </c>
      <c r="C4916" t="s">
        <v>18</v>
      </c>
      <c r="D4916">
        <v>1818.47</v>
      </c>
      <c r="E4916">
        <v>2370</v>
      </c>
      <c r="F4916">
        <v>0</v>
      </c>
      <c r="G4916">
        <v>9</v>
      </c>
      <c r="H4916">
        <v>0</v>
      </c>
      <c r="I4916" t="s">
        <v>32</v>
      </c>
      <c r="J4916">
        <v>0</v>
      </c>
      <c r="K4916">
        <v>80</v>
      </c>
      <c r="L4916" t="s">
        <v>24</v>
      </c>
      <c r="M4916" t="s">
        <v>37</v>
      </c>
      <c r="N4916" t="s">
        <v>26</v>
      </c>
      <c r="O4916" t="s">
        <v>27</v>
      </c>
      <c r="P4916">
        <v>11.96</v>
      </c>
      <c r="Q4916" s="2" t="b">
        <f>FALSE()</f>
        <v>0</v>
      </c>
      <c r="R4916">
        <v>1</v>
      </c>
    </row>
    <row r="4917" spans="1:18" x14ac:dyDescent="0.25">
      <c r="A4917">
        <v>204916</v>
      </c>
      <c r="B4917">
        <v>55624</v>
      </c>
      <c r="C4917" t="s">
        <v>34</v>
      </c>
      <c r="D4917">
        <v>1557.87</v>
      </c>
      <c r="E4917">
        <v>181</v>
      </c>
      <c r="F4917">
        <v>2</v>
      </c>
      <c r="G4917">
        <v>6</v>
      </c>
      <c r="H4917">
        <v>0</v>
      </c>
      <c r="I4917" t="s">
        <v>33</v>
      </c>
      <c r="J4917">
        <v>0</v>
      </c>
      <c r="K4917">
        <v>40</v>
      </c>
      <c r="L4917" t="s">
        <v>20</v>
      </c>
      <c r="M4917" t="s">
        <v>25</v>
      </c>
      <c r="N4917" t="s">
        <v>30</v>
      </c>
      <c r="O4917" t="s">
        <v>27</v>
      </c>
      <c r="P4917">
        <v>11.37</v>
      </c>
      <c r="Q4917" s="2" t="b">
        <f>FALSE()</f>
        <v>0</v>
      </c>
      <c r="R4917">
        <v>0</v>
      </c>
    </row>
    <row r="4918" spans="1:18" x14ac:dyDescent="0.25">
      <c r="A4918">
        <v>204917</v>
      </c>
      <c r="B4918">
        <v>52602</v>
      </c>
      <c r="C4918" t="s">
        <v>18</v>
      </c>
      <c r="D4918">
        <v>566.65</v>
      </c>
      <c r="E4918">
        <v>3011</v>
      </c>
      <c r="F4918">
        <v>1</v>
      </c>
      <c r="G4918">
        <v>1</v>
      </c>
      <c r="H4918">
        <v>0</v>
      </c>
      <c r="I4918" t="s">
        <v>19</v>
      </c>
      <c r="J4918">
        <v>1</v>
      </c>
      <c r="K4918">
        <v>24</v>
      </c>
      <c r="L4918" t="s">
        <v>20</v>
      </c>
      <c r="M4918" t="s">
        <v>25</v>
      </c>
      <c r="N4918" t="s">
        <v>26</v>
      </c>
      <c r="O4918" t="s">
        <v>23</v>
      </c>
      <c r="P4918">
        <v>0.34</v>
      </c>
      <c r="Q4918" s="2" t="b">
        <f>FALSE()</f>
        <v>0</v>
      </c>
      <c r="R4918">
        <v>0</v>
      </c>
    </row>
    <row r="4919" spans="1:18" x14ac:dyDescent="0.25">
      <c r="A4919">
        <v>204918</v>
      </c>
      <c r="B4919">
        <v>54300</v>
      </c>
      <c r="C4919" t="s">
        <v>28</v>
      </c>
      <c r="D4919">
        <v>285.61</v>
      </c>
      <c r="E4919">
        <v>2473</v>
      </c>
      <c r="F4919">
        <v>1</v>
      </c>
      <c r="G4919">
        <v>2</v>
      </c>
      <c r="H4919">
        <v>0</v>
      </c>
      <c r="I4919" t="s">
        <v>32</v>
      </c>
      <c r="J4919">
        <v>0</v>
      </c>
      <c r="K4919">
        <v>76</v>
      </c>
      <c r="L4919" t="s">
        <v>20</v>
      </c>
      <c r="M4919" t="s">
        <v>31</v>
      </c>
      <c r="N4919" t="s">
        <v>22</v>
      </c>
      <c r="O4919" t="s">
        <v>36</v>
      </c>
      <c r="P4919">
        <v>2.0099999999999998</v>
      </c>
      <c r="Q4919" s="2" t="b">
        <f>FALSE()</f>
        <v>0</v>
      </c>
      <c r="R4919">
        <v>0</v>
      </c>
    </row>
    <row r="4920" spans="1:18" x14ac:dyDescent="0.25">
      <c r="A4920">
        <v>204919</v>
      </c>
      <c r="B4920">
        <v>51875</v>
      </c>
      <c r="C4920" t="s">
        <v>18</v>
      </c>
      <c r="D4920">
        <v>1159.44</v>
      </c>
      <c r="E4920">
        <v>2000</v>
      </c>
      <c r="F4920">
        <v>1</v>
      </c>
      <c r="G4920">
        <v>2</v>
      </c>
      <c r="H4920">
        <v>0</v>
      </c>
      <c r="I4920" t="s">
        <v>19</v>
      </c>
      <c r="J4920">
        <v>0</v>
      </c>
      <c r="K4920">
        <v>84</v>
      </c>
      <c r="L4920" t="s">
        <v>24</v>
      </c>
      <c r="M4920" t="s">
        <v>37</v>
      </c>
      <c r="N4920" t="s">
        <v>26</v>
      </c>
      <c r="O4920" t="s">
        <v>27</v>
      </c>
      <c r="P4920">
        <v>10.31</v>
      </c>
      <c r="Q4920" s="2" t="b">
        <f>FALSE()</f>
        <v>0</v>
      </c>
      <c r="R4920">
        <v>0</v>
      </c>
    </row>
    <row r="4921" spans="1:18" x14ac:dyDescent="0.25">
      <c r="A4921">
        <v>204920</v>
      </c>
      <c r="B4921">
        <v>53835</v>
      </c>
      <c r="C4921" t="s">
        <v>18</v>
      </c>
      <c r="D4921">
        <v>4284.07</v>
      </c>
      <c r="E4921">
        <v>262</v>
      </c>
      <c r="F4921">
        <v>1</v>
      </c>
      <c r="G4921">
        <v>0</v>
      </c>
      <c r="H4921">
        <v>0</v>
      </c>
      <c r="I4921" t="s">
        <v>33</v>
      </c>
      <c r="J4921">
        <v>0</v>
      </c>
      <c r="K4921">
        <v>46</v>
      </c>
      <c r="L4921" t="s">
        <v>20</v>
      </c>
      <c r="M4921" t="s">
        <v>25</v>
      </c>
      <c r="N4921" t="s">
        <v>30</v>
      </c>
      <c r="O4921" t="s">
        <v>27</v>
      </c>
      <c r="P4921">
        <v>6.8</v>
      </c>
      <c r="Q4921" s="2" t="b">
        <f>FALSE()</f>
        <v>0</v>
      </c>
      <c r="R4921">
        <v>1</v>
      </c>
    </row>
    <row r="4922" spans="1:18" x14ac:dyDescent="0.25">
      <c r="A4922">
        <v>204921</v>
      </c>
      <c r="B4922">
        <v>53942</v>
      </c>
      <c r="C4922" t="s">
        <v>18</v>
      </c>
      <c r="D4922">
        <v>5677.57</v>
      </c>
      <c r="E4922">
        <v>228</v>
      </c>
      <c r="F4922">
        <v>1</v>
      </c>
      <c r="G4922">
        <v>0</v>
      </c>
      <c r="H4922">
        <v>0</v>
      </c>
      <c r="I4922" t="s">
        <v>19</v>
      </c>
      <c r="J4922">
        <v>0</v>
      </c>
      <c r="K4922">
        <v>52</v>
      </c>
      <c r="L4922" t="s">
        <v>20</v>
      </c>
      <c r="M4922" t="s">
        <v>31</v>
      </c>
      <c r="N4922" t="s">
        <v>22</v>
      </c>
      <c r="O4922" t="s">
        <v>36</v>
      </c>
      <c r="P4922">
        <v>5.54</v>
      </c>
      <c r="Q4922" s="2" t="b">
        <f>FALSE()</f>
        <v>0</v>
      </c>
      <c r="R4922">
        <v>1</v>
      </c>
    </row>
    <row r="4923" spans="1:18" x14ac:dyDescent="0.25">
      <c r="A4923">
        <v>204922</v>
      </c>
      <c r="B4923">
        <v>53606</v>
      </c>
      <c r="C4923" t="s">
        <v>34</v>
      </c>
      <c r="D4923">
        <v>3768.63</v>
      </c>
      <c r="E4923">
        <v>1399</v>
      </c>
      <c r="F4923">
        <v>1</v>
      </c>
      <c r="G4923">
        <v>2</v>
      </c>
      <c r="H4923">
        <v>0</v>
      </c>
      <c r="I4923" t="s">
        <v>19</v>
      </c>
      <c r="J4923">
        <v>0</v>
      </c>
      <c r="K4923">
        <v>75</v>
      </c>
      <c r="L4923" t="s">
        <v>24</v>
      </c>
      <c r="M4923" t="s">
        <v>21</v>
      </c>
      <c r="N4923" t="s">
        <v>22</v>
      </c>
      <c r="O4923" t="s">
        <v>27</v>
      </c>
      <c r="P4923">
        <v>3.05</v>
      </c>
      <c r="Q4923" s="2" t="b">
        <f>FALSE()</f>
        <v>0</v>
      </c>
      <c r="R4923">
        <v>1</v>
      </c>
    </row>
    <row r="4924" spans="1:18" x14ac:dyDescent="0.25">
      <c r="A4924">
        <v>204923</v>
      </c>
      <c r="B4924">
        <v>54555</v>
      </c>
      <c r="C4924" t="s">
        <v>18</v>
      </c>
      <c r="D4924">
        <v>1628.07</v>
      </c>
      <c r="E4924">
        <v>119</v>
      </c>
      <c r="F4924">
        <v>2</v>
      </c>
      <c r="G4924">
        <v>5</v>
      </c>
      <c r="H4924">
        <v>0</v>
      </c>
      <c r="I4924" t="s">
        <v>33</v>
      </c>
      <c r="J4924">
        <v>0</v>
      </c>
      <c r="K4924">
        <v>83</v>
      </c>
      <c r="L4924" t="s">
        <v>20</v>
      </c>
      <c r="M4924" t="s">
        <v>29</v>
      </c>
      <c r="N4924" t="s">
        <v>30</v>
      </c>
      <c r="O4924" t="s">
        <v>23</v>
      </c>
      <c r="P4924">
        <v>4.2300000000000004</v>
      </c>
      <c r="Q4924" s="2" t="b">
        <f>FALSE()</f>
        <v>0</v>
      </c>
      <c r="R4924">
        <v>0</v>
      </c>
    </row>
    <row r="4925" spans="1:18" x14ac:dyDescent="0.25">
      <c r="A4925">
        <v>204924</v>
      </c>
      <c r="B4925">
        <v>53613</v>
      </c>
      <c r="C4925" t="s">
        <v>34</v>
      </c>
      <c r="D4925">
        <v>3124.69</v>
      </c>
      <c r="E4925">
        <v>889</v>
      </c>
      <c r="F4925">
        <v>3</v>
      </c>
      <c r="G4925">
        <v>5</v>
      </c>
      <c r="H4925">
        <v>0</v>
      </c>
      <c r="I4925" t="s">
        <v>33</v>
      </c>
      <c r="J4925">
        <v>1</v>
      </c>
      <c r="K4925">
        <v>57</v>
      </c>
      <c r="L4925" t="s">
        <v>24</v>
      </c>
      <c r="M4925" t="s">
        <v>29</v>
      </c>
      <c r="N4925" t="s">
        <v>22</v>
      </c>
      <c r="O4925" t="s">
        <v>23</v>
      </c>
      <c r="P4925">
        <v>2.0299999999999998</v>
      </c>
      <c r="Q4925" s="2" t="b">
        <f>FALSE()</f>
        <v>0</v>
      </c>
      <c r="R4925">
        <v>1</v>
      </c>
    </row>
    <row r="4926" spans="1:18" x14ac:dyDescent="0.25">
      <c r="A4926">
        <v>204925</v>
      </c>
      <c r="B4926">
        <v>50458</v>
      </c>
      <c r="C4926" t="s">
        <v>18</v>
      </c>
      <c r="D4926">
        <v>1135.99</v>
      </c>
      <c r="E4926">
        <v>2417</v>
      </c>
      <c r="F4926">
        <v>1</v>
      </c>
      <c r="G4926">
        <v>1</v>
      </c>
      <c r="H4926">
        <v>1</v>
      </c>
      <c r="I4926" t="s">
        <v>33</v>
      </c>
      <c r="J4926">
        <v>0</v>
      </c>
      <c r="K4926">
        <v>22</v>
      </c>
      <c r="L4926" t="s">
        <v>20</v>
      </c>
      <c r="M4926" t="s">
        <v>29</v>
      </c>
      <c r="N4926" t="s">
        <v>30</v>
      </c>
      <c r="O4926" t="s">
        <v>36</v>
      </c>
      <c r="P4926">
        <v>0.68</v>
      </c>
      <c r="Q4926" s="2" t="b">
        <f>FALSE()</f>
        <v>0</v>
      </c>
      <c r="R4926">
        <v>0</v>
      </c>
    </row>
    <row r="4927" spans="1:18" x14ac:dyDescent="0.25">
      <c r="A4927">
        <v>204926</v>
      </c>
      <c r="B4927">
        <v>54770</v>
      </c>
      <c r="C4927" t="s">
        <v>34</v>
      </c>
      <c r="D4927">
        <v>3354.78</v>
      </c>
      <c r="E4927">
        <v>3014</v>
      </c>
      <c r="F4927">
        <v>1</v>
      </c>
      <c r="G4927">
        <v>3</v>
      </c>
      <c r="H4927">
        <v>0</v>
      </c>
      <c r="I4927" t="s">
        <v>19</v>
      </c>
      <c r="J4927">
        <v>0</v>
      </c>
      <c r="K4927">
        <v>65</v>
      </c>
      <c r="L4927" t="s">
        <v>24</v>
      </c>
      <c r="M4927" t="s">
        <v>25</v>
      </c>
      <c r="N4927" t="s">
        <v>30</v>
      </c>
      <c r="O4927" t="s">
        <v>27</v>
      </c>
      <c r="P4927">
        <v>4.88</v>
      </c>
      <c r="Q4927" s="2" t="b">
        <f>FALSE()</f>
        <v>0</v>
      </c>
      <c r="R4927">
        <v>0</v>
      </c>
    </row>
    <row r="4928" spans="1:18" x14ac:dyDescent="0.25">
      <c r="A4928">
        <v>204927</v>
      </c>
      <c r="B4928">
        <v>54668</v>
      </c>
      <c r="C4928" t="s">
        <v>18</v>
      </c>
      <c r="D4928">
        <v>2727.88</v>
      </c>
      <c r="E4928">
        <v>3575</v>
      </c>
      <c r="F4928">
        <v>1</v>
      </c>
      <c r="G4928">
        <v>7</v>
      </c>
      <c r="H4928">
        <v>0</v>
      </c>
      <c r="I4928" t="s">
        <v>32</v>
      </c>
      <c r="J4928">
        <v>1</v>
      </c>
      <c r="K4928">
        <v>70</v>
      </c>
      <c r="L4928" t="s">
        <v>20</v>
      </c>
      <c r="M4928" t="s">
        <v>25</v>
      </c>
      <c r="N4928" t="s">
        <v>30</v>
      </c>
      <c r="O4928" t="s">
        <v>36</v>
      </c>
      <c r="P4928">
        <v>0.8</v>
      </c>
      <c r="Q4928" s="2" t="b">
        <f>FALSE()</f>
        <v>0</v>
      </c>
      <c r="R4928">
        <v>1</v>
      </c>
    </row>
    <row r="4929" spans="1:18" x14ac:dyDescent="0.25">
      <c r="A4929">
        <v>204928</v>
      </c>
      <c r="B4929">
        <v>51046</v>
      </c>
      <c r="C4929" t="s">
        <v>34</v>
      </c>
      <c r="D4929">
        <v>3353.04</v>
      </c>
      <c r="E4929">
        <v>879</v>
      </c>
      <c r="F4929">
        <v>1</v>
      </c>
      <c r="G4929">
        <v>5</v>
      </c>
      <c r="H4929">
        <v>0</v>
      </c>
      <c r="I4929" t="s">
        <v>19</v>
      </c>
      <c r="J4929">
        <v>1</v>
      </c>
      <c r="K4929">
        <v>80</v>
      </c>
      <c r="L4929" t="s">
        <v>20</v>
      </c>
      <c r="M4929" t="s">
        <v>37</v>
      </c>
      <c r="N4929" t="s">
        <v>26</v>
      </c>
      <c r="O4929" t="s">
        <v>36</v>
      </c>
      <c r="P4929">
        <v>2.2799999999999998</v>
      </c>
      <c r="Q4929" s="2" t="b">
        <f>FALSE()</f>
        <v>0</v>
      </c>
      <c r="R4929">
        <v>0</v>
      </c>
    </row>
    <row r="4930" spans="1:18" x14ac:dyDescent="0.25">
      <c r="A4930">
        <v>204929</v>
      </c>
      <c r="B4930">
        <v>54015</v>
      </c>
      <c r="C4930" t="s">
        <v>18</v>
      </c>
      <c r="D4930">
        <v>2755.21</v>
      </c>
      <c r="E4930">
        <v>1543</v>
      </c>
      <c r="F4930">
        <v>2</v>
      </c>
      <c r="G4930">
        <v>5</v>
      </c>
      <c r="H4930">
        <v>0</v>
      </c>
      <c r="I4930" t="s">
        <v>19</v>
      </c>
      <c r="J4930">
        <v>0</v>
      </c>
      <c r="K4930">
        <v>67</v>
      </c>
      <c r="L4930" t="s">
        <v>24</v>
      </c>
      <c r="M4930" t="s">
        <v>21</v>
      </c>
      <c r="N4930" t="s">
        <v>26</v>
      </c>
      <c r="O4930" t="s">
        <v>36</v>
      </c>
      <c r="P4930">
        <v>0.92</v>
      </c>
      <c r="Q4930" s="2" t="b">
        <f>FALSE()</f>
        <v>0</v>
      </c>
      <c r="R4930">
        <v>0</v>
      </c>
    </row>
    <row r="4931" spans="1:18" x14ac:dyDescent="0.25">
      <c r="A4931">
        <v>204930</v>
      </c>
      <c r="B4931">
        <v>54950</v>
      </c>
      <c r="C4931" t="s">
        <v>34</v>
      </c>
      <c r="D4931">
        <v>5683.24</v>
      </c>
      <c r="E4931">
        <v>3606</v>
      </c>
      <c r="F4931">
        <v>2</v>
      </c>
      <c r="G4931">
        <v>3</v>
      </c>
      <c r="H4931">
        <v>0</v>
      </c>
      <c r="I4931" t="s">
        <v>19</v>
      </c>
      <c r="J4931">
        <v>0</v>
      </c>
      <c r="K4931">
        <v>71</v>
      </c>
      <c r="L4931" t="s">
        <v>24</v>
      </c>
      <c r="M4931" t="s">
        <v>37</v>
      </c>
      <c r="N4931" t="s">
        <v>22</v>
      </c>
      <c r="O4931" t="s">
        <v>23</v>
      </c>
      <c r="P4931">
        <v>0.28999999999999998</v>
      </c>
      <c r="Q4931" s="2" t="b">
        <f>FALSE()</f>
        <v>0</v>
      </c>
      <c r="R4931">
        <v>1</v>
      </c>
    </row>
    <row r="4932" spans="1:18" x14ac:dyDescent="0.25">
      <c r="A4932">
        <v>204931</v>
      </c>
      <c r="B4932">
        <v>51678</v>
      </c>
      <c r="C4932" t="s">
        <v>28</v>
      </c>
      <c r="D4932">
        <v>4030.01</v>
      </c>
      <c r="E4932">
        <v>2951</v>
      </c>
      <c r="F4932">
        <v>2</v>
      </c>
      <c r="G4932">
        <v>5</v>
      </c>
      <c r="H4932">
        <v>0</v>
      </c>
      <c r="I4932" t="s">
        <v>19</v>
      </c>
      <c r="J4932">
        <v>1</v>
      </c>
      <c r="K4932">
        <v>58</v>
      </c>
      <c r="L4932" t="s">
        <v>38</v>
      </c>
      <c r="M4932" t="s">
        <v>25</v>
      </c>
      <c r="N4932" t="s">
        <v>22</v>
      </c>
      <c r="O4932" t="s">
        <v>27</v>
      </c>
      <c r="P4932">
        <v>5.77</v>
      </c>
      <c r="Q4932" s="2" t="b">
        <f>FALSE()</f>
        <v>0</v>
      </c>
      <c r="R4932">
        <v>1</v>
      </c>
    </row>
    <row r="4933" spans="1:18" x14ac:dyDescent="0.25">
      <c r="A4933">
        <v>204932</v>
      </c>
      <c r="B4933">
        <v>52040</v>
      </c>
      <c r="C4933" t="s">
        <v>18</v>
      </c>
      <c r="D4933">
        <v>4050.35</v>
      </c>
      <c r="E4933">
        <v>1620</v>
      </c>
      <c r="F4933">
        <v>1</v>
      </c>
      <c r="G4933">
        <v>4</v>
      </c>
      <c r="H4933">
        <v>0</v>
      </c>
      <c r="I4933" t="s">
        <v>19</v>
      </c>
      <c r="J4933">
        <v>0</v>
      </c>
      <c r="K4933">
        <v>80</v>
      </c>
      <c r="L4933" t="s">
        <v>24</v>
      </c>
      <c r="M4933" t="s">
        <v>25</v>
      </c>
      <c r="N4933" t="s">
        <v>22</v>
      </c>
      <c r="O4933" t="s">
        <v>27</v>
      </c>
      <c r="P4933">
        <v>3.02</v>
      </c>
      <c r="Q4933" s="2" t="b">
        <f>FALSE()</f>
        <v>0</v>
      </c>
      <c r="R4933">
        <v>1</v>
      </c>
    </row>
    <row r="4934" spans="1:18" x14ac:dyDescent="0.25">
      <c r="A4934">
        <v>204933</v>
      </c>
      <c r="B4934">
        <v>53561</v>
      </c>
      <c r="C4934" t="s">
        <v>18</v>
      </c>
      <c r="D4934">
        <v>4113.53</v>
      </c>
      <c r="E4934">
        <v>368</v>
      </c>
      <c r="F4934">
        <v>0</v>
      </c>
      <c r="G4934">
        <v>2</v>
      </c>
      <c r="H4934">
        <v>0</v>
      </c>
      <c r="I4934" t="s">
        <v>32</v>
      </c>
      <c r="J4934">
        <v>0</v>
      </c>
      <c r="K4934">
        <v>41</v>
      </c>
      <c r="L4934" t="s">
        <v>20</v>
      </c>
      <c r="M4934" t="s">
        <v>29</v>
      </c>
      <c r="N4934" t="s">
        <v>26</v>
      </c>
      <c r="O4934" t="s">
        <v>36</v>
      </c>
      <c r="P4934">
        <v>0.37</v>
      </c>
      <c r="Q4934" s="2" t="b">
        <f>FALSE()</f>
        <v>0</v>
      </c>
      <c r="R4934">
        <v>1</v>
      </c>
    </row>
    <row r="4935" spans="1:18" x14ac:dyDescent="0.25">
      <c r="A4935">
        <v>204934</v>
      </c>
      <c r="B4935">
        <v>51088</v>
      </c>
      <c r="C4935" t="s">
        <v>18</v>
      </c>
      <c r="D4935">
        <v>5401.22</v>
      </c>
      <c r="E4935">
        <v>2691</v>
      </c>
      <c r="F4935">
        <v>1</v>
      </c>
      <c r="G4935">
        <v>4</v>
      </c>
      <c r="H4935">
        <v>1</v>
      </c>
      <c r="I4935" t="s">
        <v>32</v>
      </c>
      <c r="J4935">
        <v>0</v>
      </c>
      <c r="K4935">
        <v>30</v>
      </c>
      <c r="L4935" t="s">
        <v>20</v>
      </c>
      <c r="M4935" t="s">
        <v>35</v>
      </c>
      <c r="N4935" t="s">
        <v>30</v>
      </c>
      <c r="O4935" t="s">
        <v>27</v>
      </c>
      <c r="P4935">
        <v>1.41</v>
      </c>
      <c r="Q4935" s="2" t="b">
        <f>FALSE()</f>
        <v>0</v>
      </c>
      <c r="R4935">
        <v>1</v>
      </c>
    </row>
    <row r="4936" spans="1:18" x14ac:dyDescent="0.25">
      <c r="A4936">
        <v>204935</v>
      </c>
      <c r="B4936">
        <v>54032</v>
      </c>
      <c r="C4936" t="s">
        <v>34</v>
      </c>
      <c r="D4936">
        <v>1783.76</v>
      </c>
      <c r="E4936">
        <v>2543</v>
      </c>
      <c r="F4936">
        <v>1</v>
      </c>
      <c r="G4936">
        <v>4</v>
      </c>
      <c r="H4936">
        <v>0</v>
      </c>
      <c r="I4936" t="s">
        <v>19</v>
      </c>
      <c r="J4936">
        <v>0</v>
      </c>
      <c r="K4936">
        <v>34</v>
      </c>
      <c r="L4936" t="s">
        <v>20</v>
      </c>
      <c r="M4936" t="s">
        <v>21</v>
      </c>
      <c r="N4936" t="s">
        <v>22</v>
      </c>
      <c r="O4936" t="s">
        <v>27</v>
      </c>
      <c r="P4936">
        <v>3.41</v>
      </c>
      <c r="Q4936" s="2" t="b">
        <f>FALSE()</f>
        <v>0</v>
      </c>
      <c r="R4936">
        <v>0</v>
      </c>
    </row>
    <row r="4937" spans="1:18" x14ac:dyDescent="0.25">
      <c r="A4937">
        <v>204936</v>
      </c>
      <c r="B4937">
        <v>55599</v>
      </c>
      <c r="C4937" t="s">
        <v>18</v>
      </c>
      <c r="D4937">
        <v>3859.17</v>
      </c>
      <c r="E4937">
        <v>1948</v>
      </c>
      <c r="F4937">
        <v>1</v>
      </c>
      <c r="G4937">
        <v>2</v>
      </c>
      <c r="H4937">
        <v>0</v>
      </c>
      <c r="I4937" t="s">
        <v>33</v>
      </c>
      <c r="J4937">
        <v>0</v>
      </c>
      <c r="K4937">
        <v>55</v>
      </c>
      <c r="L4937" t="s">
        <v>24</v>
      </c>
      <c r="M4937" t="s">
        <v>21</v>
      </c>
      <c r="N4937" t="s">
        <v>26</v>
      </c>
      <c r="O4937" t="s">
        <v>23</v>
      </c>
      <c r="P4937">
        <v>6.98</v>
      </c>
      <c r="Q4937" s="2" t="b">
        <f>FALSE()</f>
        <v>0</v>
      </c>
      <c r="R4937">
        <v>1</v>
      </c>
    </row>
    <row r="4938" spans="1:18" x14ac:dyDescent="0.25">
      <c r="A4938">
        <v>204937</v>
      </c>
      <c r="B4938">
        <v>52522</v>
      </c>
      <c r="C4938" t="s">
        <v>18</v>
      </c>
      <c r="D4938">
        <v>714.86</v>
      </c>
      <c r="E4938">
        <v>2374</v>
      </c>
      <c r="F4938">
        <v>0</v>
      </c>
      <c r="G4938">
        <v>1</v>
      </c>
      <c r="H4938">
        <v>0</v>
      </c>
      <c r="I4938" t="s">
        <v>32</v>
      </c>
      <c r="J4938">
        <v>0</v>
      </c>
      <c r="K4938">
        <v>21</v>
      </c>
      <c r="L4938" t="s">
        <v>24</v>
      </c>
      <c r="M4938" t="s">
        <v>25</v>
      </c>
      <c r="N4938" t="s">
        <v>22</v>
      </c>
      <c r="O4938" t="s">
        <v>36</v>
      </c>
      <c r="P4938">
        <v>0.65</v>
      </c>
      <c r="Q4938" s="2" t="b">
        <f>FALSE()</f>
        <v>0</v>
      </c>
      <c r="R4938">
        <v>0</v>
      </c>
    </row>
    <row r="4939" spans="1:18" x14ac:dyDescent="0.25">
      <c r="A4939">
        <v>204938</v>
      </c>
      <c r="B4939">
        <v>54729</v>
      </c>
      <c r="C4939" t="s">
        <v>18</v>
      </c>
      <c r="D4939">
        <v>2267.3200000000002</v>
      </c>
      <c r="E4939">
        <v>125</v>
      </c>
      <c r="F4939">
        <v>2</v>
      </c>
      <c r="G4939">
        <v>6</v>
      </c>
      <c r="H4939">
        <v>0</v>
      </c>
      <c r="I4939" t="s">
        <v>33</v>
      </c>
      <c r="J4939">
        <v>0</v>
      </c>
      <c r="K4939">
        <v>74</v>
      </c>
      <c r="L4939" t="s">
        <v>24</v>
      </c>
      <c r="M4939" t="s">
        <v>21</v>
      </c>
      <c r="N4939" t="s">
        <v>30</v>
      </c>
      <c r="O4939" t="s">
        <v>36</v>
      </c>
      <c r="P4939">
        <v>0.96</v>
      </c>
      <c r="Q4939" s="2" t="b">
        <f>FALSE()</f>
        <v>0</v>
      </c>
      <c r="R4939">
        <v>0</v>
      </c>
    </row>
    <row r="4940" spans="1:18" x14ac:dyDescent="0.25">
      <c r="A4940">
        <v>204939</v>
      </c>
      <c r="B4940">
        <v>50686</v>
      </c>
      <c r="C4940" t="s">
        <v>28</v>
      </c>
      <c r="D4940">
        <v>1499.34</v>
      </c>
      <c r="E4940">
        <v>3155</v>
      </c>
      <c r="F4940">
        <v>2</v>
      </c>
      <c r="G4940">
        <v>5</v>
      </c>
      <c r="H4940">
        <v>0</v>
      </c>
      <c r="I4940" t="s">
        <v>33</v>
      </c>
      <c r="J4940">
        <v>1</v>
      </c>
      <c r="K4940">
        <v>57</v>
      </c>
      <c r="L4940" t="s">
        <v>20</v>
      </c>
      <c r="M4940" t="s">
        <v>21</v>
      </c>
      <c r="N4940" t="s">
        <v>30</v>
      </c>
      <c r="O4940" t="s">
        <v>36</v>
      </c>
      <c r="P4940">
        <v>0</v>
      </c>
      <c r="Q4940" s="2" t="b">
        <f>FALSE()</f>
        <v>0</v>
      </c>
      <c r="R4940">
        <v>0</v>
      </c>
    </row>
    <row r="4941" spans="1:18" x14ac:dyDescent="0.25">
      <c r="A4941">
        <v>204940</v>
      </c>
      <c r="B4941">
        <v>54079</v>
      </c>
      <c r="C4941" t="s">
        <v>18</v>
      </c>
      <c r="D4941">
        <v>386.64</v>
      </c>
      <c r="E4941">
        <v>1513</v>
      </c>
      <c r="F4941">
        <v>0</v>
      </c>
      <c r="G4941">
        <v>4</v>
      </c>
      <c r="H4941">
        <v>0</v>
      </c>
      <c r="I4941" t="s">
        <v>32</v>
      </c>
      <c r="J4941">
        <v>0</v>
      </c>
      <c r="K4941">
        <v>73</v>
      </c>
      <c r="L4941" t="s">
        <v>20</v>
      </c>
      <c r="M4941" t="s">
        <v>29</v>
      </c>
      <c r="N4941" t="s">
        <v>30</v>
      </c>
      <c r="O4941" t="s">
        <v>36</v>
      </c>
      <c r="P4941">
        <v>0.32</v>
      </c>
      <c r="Q4941" s="2" t="b">
        <f>FALSE()</f>
        <v>0</v>
      </c>
      <c r="R4941">
        <v>0</v>
      </c>
    </row>
    <row r="4942" spans="1:18" x14ac:dyDescent="0.25">
      <c r="A4942">
        <v>204941</v>
      </c>
      <c r="B4942">
        <v>51199</v>
      </c>
      <c r="C4942" t="s">
        <v>18</v>
      </c>
      <c r="D4942">
        <v>3107.31</v>
      </c>
      <c r="E4942">
        <v>2955</v>
      </c>
      <c r="F4942">
        <v>2</v>
      </c>
      <c r="G4942">
        <v>4</v>
      </c>
      <c r="H4942">
        <v>1</v>
      </c>
      <c r="I4942" t="s">
        <v>33</v>
      </c>
      <c r="J4942">
        <v>0</v>
      </c>
      <c r="K4942">
        <v>33</v>
      </c>
      <c r="L4942" t="s">
        <v>24</v>
      </c>
      <c r="M4942" t="s">
        <v>31</v>
      </c>
      <c r="N4942" t="s">
        <v>22</v>
      </c>
      <c r="O4942" t="s">
        <v>27</v>
      </c>
      <c r="P4942">
        <v>1.17</v>
      </c>
      <c r="Q4942" s="2" t="b">
        <f>FALSE()</f>
        <v>0</v>
      </c>
      <c r="R4942">
        <v>0</v>
      </c>
    </row>
    <row r="4943" spans="1:18" x14ac:dyDescent="0.25">
      <c r="A4943">
        <v>204942</v>
      </c>
      <c r="B4943">
        <v>52091</v>
      </c>
      <c r="C4943" t="s">
        <v>18</v>
      </c>
      <c r="D4943">
        <v>2640.53</v>
      </c>
      <c r="E4943">
        <v>996</v>
      </c>
      <c r="F4943">
        <v>1</v>
      </c>
      <c r="G4943">
        <v>4</v>
      </c>
      <c r="H4943">
        <v>0</v>
      </c>
      <c r="I4943" t="s">
        <v>33</v>
      </c>
      <c r="J4943">
        <v>0</v>
      </c>
      <c r="K4943">
        <v>33</v>
      </c>
      <c r="L4943" t="s">
        <v>20</v>
      </c>
      <c r="M4943" t="s">
        <v>29</v>
      </c>
      <c r="N4943" t="s">
        <v>30</v>
      </c>
      <c r="O4943" t="s">
        <v>27</v>
      </c>
      <c r="P4943">
        <v>6.07</v>
      </c>
      <c r="Q4943" s="2" t="b">
        <f>FALSE()</f>
        <v>0</v>
      </c>
      <c r="R4943">
        <v>0</v>
      </c>
    </row>
    <row r="4944" spans="1:18" x14ac:dyDescent="0.25">
      <c r="A4944">
        <v>204943</v>
      </c>
      <c r="B4944">
        <v>51905</v>
      </c>
      <c r="C4944" t="s">
        <v>18</v>
      </c>
      <c r="D4944">
        <v>942.79</v>
      </c>
      <c r="E4944">
        <v>492</v>
      </c>
      <c r="F4944">
        <v>2</v>
      </c>
      <c r="G4944">
        <v>5</v>
      </c>
      <c r="H4944">
        <v>1</v>
      </c>
      <c r="I4944" t="s">
        <v>33</v>
      </c>
      <c r="J4944">
        <v>0</v>
      </c>
      <c r="K4944">
        <v>34</v>
      </c>
      <c r="L4944" t="s">
        <v>20</v>
      </c>
      <c r="M4944" t="s">
        <v>25</v>
      </c>
      <c r="N4944" t="s">
        <v>22</v>
      </c>
      <c r="O4944" t="s">
        <v>27</v>
      </c>
      <c r="P4944">
        <v>5.93</v>
      </c>
      <c r="Q4944" s="2" t="b">
        <f>FALSE()</f>
        <v>0</v>
      </c>
      <c r="R4944">
        <v>0</v>
      </c>
    </row>
    <row r="4945" spans="1:18" x14ac:dyDescent="0.25">
      <c r="A4945">
        <v>204944</v>
      </c>
      <c r="B4945">
        <v>51933</v>
      </c>
      <c r="C4945" t="s">
        <v>28</v>
      </c>
      <c r="D4945">
        <v>3501.46</v>
      </c>
      <c r="E4945">
        <v>3039</v>
      </c>
      <c r="F4945">
        <v>3</v>
      </c>
      <c r="G4945">
        <v>3</v>
      </c>
      <c r="H4945">
        <v>1</v>
      </c>
      <c r="I4945" t="s">
        <v>33</v>
      </c>
      <c r="J4945">
        <v>0</v>
      </c>
      <c r="K4945">
        <v>49</v>
      </c>
      <c r="L4945" t="s">
        <v>20</v>
      </c>
      <c r="M4945" t="s">
        <v>31</v>
      </c>
      <c r="N4945" t="s">
        <v>30</v>
      </c>
      <c r="O4945" t="s">
        <v>27</v>
      </c>
      <c r="P4945">
        <v>4.8099999999999996</v>
      </c>
      <c r="Q4945" s="2" t="b">
        <f>FALSE()</f>
        <v>0</v>
      </c>
      <c r="R4945">
        <v>1</v>
      </c>
    </row>
    <row r="4946" spans="1:18" x14ac:dyDescent="0.25">
      <c r="A4946">
        <v>204945</v>
      </c>
      <c r="B4946">
        <v>51930</v>
      </c>
      <c r="C4946" t="s">
        <v>18</v>
      </c>
      <c r="D4946">
        <v>3693.41</v>
      </c>
      <c r="E4946">
        <v>855</v>
      </c>
      <c r="F4946">
        <v>1</v>
      </c>
      <c r="G4946">
        <v>1</v>
      </c>
      <c r="H4946">
        <v>0</v>
      </c>
      <c r="I4946" t="s">
        <v>33</v>
      </c>
      <c r="J4946">
        <v>0</v>
      </c>
      <c r="K4946">
        <v>52</v>
      </c>
      <c r="L4946" t="s">
        <v>20</v>
      </c>
      <c r="M4946" t="s">
        <v>35</v>
      </c>
      <c r="N4946" t="s">
        <v>22</v>
      </c>
      <c r="O4946" t="s">
        <v>23</v>
      </c>
      <c r="P4946">
        <v>2.08</v>
      </c>
      <c r="Q4946" s="2" t="b">
        <f>FALSE()</f>
        <v>0</v>
      </c>
      <c r="R4946">
        <v>1</v>
      </c>
    </row>
    <row r="4947" spans="1:18" x14ac:dyDescent="0.25">
      <c r="A4947">
        <v>204946</v>
      </c>
      <c r="B4947">
        <v>55469</v>
      </c>
      <c r="C4947" t="s">
        <v>18</v>
      </c>
      <c r="D4947">
        <v>2275.21</v>
      </c>
      <c r="E4947">
        <v>1602</v>
      </c>
      <c r="F4947">
        <v>1</v>
      </c>
      <c r="G4947">
        <v>5</v>
      </c>
      <c r="H4947">
        <v>0</v>
      </c>
      <c r="I4947" t="s">
        <v>33</v>
      </c>
      <c r="J4947">
        <v>0</v>
      </c>
      <c r="K4947">
        <v>69</v>
      </c>
      <c r="L4947" t="s">
        <v>38</v>
      </c>
      <c r="M4947" t="s">
        <v>25</v>
      </c>
      <c r="N4947" t="s">
        <v>26</v>
      </c>
      <c r="O4947" t="s">
        <v>23</v>
      </c>
      <c r="P4947">
        <v>0.24</v>
      </c>
      <c r="Q4947" s="2" t="b">
        <f>FALSE()</f>
        <v>0</v>
      </c>
      <c r="R4947">
        <v>0</v>
      </c>
    </row>
    <row r="4948" spans="1:18" x14ac:dyDescent="0.25">
      <c r="A4948">
        <v>204947</v>
      </c>
      <c r="B4948">
        <v>55999</v>
      </c>
      <c r="C4948" t="s">
        <v>34</v>
      </c>
      <c r="D4948">
        <v>3942.07</v>
      </c>
      <c r="E4948">
        <v>2396</v>
      </c>
      <c r="F4948">
        <v>0</v>
      </c>
      <c r="G4948">
        <v>3</v>
      </c>
      <c r="H4948">
        <v>0</v>
      </c>
      <c r="I4948" t="s">
        <v>33</v>
      </c>
      <c r="J4948">
        <v>0</v>
      </c>
      <c r="K4948">
        <v>46</v>
      </c>
      <c r="L4948" t="s">
        <v>20</v>
      </c>
      <c r="M4948" t="s">
        <v>37</v>
      </c>
      <c r="N4948" t="s">
        <v>22</v>
      </c>
      <c r="O4948" t="s">
        <v>36</v>
      </c>
      <c r="P4948">
        <v>0.08</v>
      </c>
      <c r="Q4948" s="2" t="b">
        <f>FALSE()</f>
        <v>0</v>
      </c>
      <c r="R4948">
        <v>1</v>
      </c>
    </row>
    <row r="4949" spans="1:18" x14ac:dyDescent="0.25">
      <c r="A4949">
        <v>204948</v>
      </c>
      <c r="B4949">
        <v>54155</v>
      </c>
      <c r="C4949" t="s">
        <v>18</v>
      </c>
      <c r="D4949">
        <v>1927.76</v>
      </c>
      <c r="E4949">
        <v>2</v>
      </c>
      <c r="F4949">
        <v>1</v>
      </c>
      <c r="G4949">
        <v>5</v>
      </c>
      <c r="H4949">
        <v>0</v>
      </c>
      <c r="I4949" t="s">
        <v>33</v>
      </c>
      <c r="J4949">
        <v>1</v>
      </c>
      <c r="K4949">
        <v>28</v>
      </c>
      <c r="L4949" t="s">
        <v>20</v>
      </c>
      <c r="M4949" t="s">
        <v>31</v>
      </c>
      <c r="N4949" t="s">
        <v>22</v>
      </c>
      <c r="O4949" t="s">
        <v>27</v>
      </c>
      <c r="P4949">
        <v>8.09</v>
      </c>
      <c r="Q4949" s="2" t="b">
        <f>FALSE()</f>
        <v>0</v>
      </c>
      <c r="R4949">
        <v>0</v>
      </c>
    </row>
    <row r="4950" spans="1:18" x14ac:dyDescent="0.25">
      <c r="A4950">
        <v>204949</v>
      </c>
      <c r="B4950">
        <v>55329</v>
      </c>
      <c r="C4950" t="s">
        <v>34</v>
      </c>
      <c r="D4950">
        <v>1998.88</v>
      </c>
      <c r="E4950">
        <v>1074</v>
      </c>
      <c r="F4950">
        <v>1</v>
      </c>
      <c r="G4950">
        <v>2</v>
      </c>
      <c r="H4950">
        <v>0</v>
      </c>
      <c r="I4950" t="s">
        <v>19</v>
      </c>
      <c r="J4950">
        <v>1</v>
      </c>
      <c r="K4950">
        <v>69</v>
      </c>
      <c r="L4950" t="s">
        <v>20</v>
      </c>
      <c r="M4950" t="s">
        <v>29</v>
      </c>
      <c r="N4950" t="s">
        <v>22</v>
      </c>
      <c r="O4950" t="s">
        <v>27</v>
      </c>
      <c r="P4950">
        <v>0.7</v>
      </c>
      <c r="Q4950" s="2" t="b">
        <f>FALSE()</f>
        <v>0</v>
      </c>
      <c r="R4950">
        <v>0</v>
      </c>
    </row>
    <row r="4951" spans="1:18" x14ac:dyDescent="0.25">
      <c r="A4951">
        <v>204950</v>
      </c>
      <c r="B4951">
        <v>50943</v>
      </c>
      <c r="C4951" t="s">
        <v>18</v>
      </c>
      <c r="D4951">
        <v>3031.47</v>
      </c>
      <c r="E4951">
        <v>2384</v>
      </c>
      <c r="F4951">
        <v>3</v>
      </c>
      <c r="G4951">
        <v>4</v>
      </c>
      <c r="H4951">
        <v>0</v>
      </c>
      <c r="I4951" t="s">
        <v>19</v>
      </c>
      <c r="J4951">
        <v>0</v>
      </c>
      <c r="K4951">
        <v>49</v>
      </c>
      <c r="L4951" t="s">
        <v>20</v>
      </c>
      <c r="M4951" t="s">
        <v>31</v>
      </c>
      <c r="N4951" t="s">
        <v>22</v>
      </c>
      <c r="O4951" t="s">
        <v>23</v>
      </c>
      <c r="P4951">
        <v>4.26</v>
      </c>
      <c r="Q4951" s="2" t="b">
        <f>FALSE()</f>
        <v>0</v>
      </c>
      <c r="R4951">
        <v>1</v>
      </c>
    </row>
    <row r="4952" spans="1:18" x14ac:dyDescent="0.25">
      <c r="A4952">
        <v>204951</v>
      </c>
      <c r="B4952">
        <v>54910</v>
      </c>
      <c r="C4952" t="s">
        <v>34</v>
      </c>
      <c r="D4952">
        <v>4714.49</v>
      </c>
      <c r="E4952">
        <v>2353</v>
      </c>
      <c r="F4952">
        <v>1</v>
      </c>
      <c r="G4952">
        <v>2</v>
      </c>
      <c r="H4952">
        <v>1</v>
      </c>
      <c r="I4952" t="s">
        <v>33</v>
      </c>
      <c r="J4952">
        <v>0</v>
      </c>
      <c r="K4952">
        <v>44</v>
      </c>
      <c r="L4952" t="s">
        <v>20</v>
      </c>
      <c r="M4952" t="s">
        <v>21</v>
      </c>
      <c r="N4952" t="s">
        <v>22</v>
      </c>
      <c r="O4952" t="s">
        <v>36</v>
      </c>
      <c r="P4952">
        <v>8.07</v>
      </c>
      <c r="Q4952" s="2" t="b">
        <f>FALSE()</f>
        <v>0</v>
      </c>
      <c r="R4952">
        <v>1</v>
      </c>
    </row>
    <row r="4953" spans="1:18" x14ac:dyDescent="0.25">
      <c r="A4953">
        <v>204952</v>
      </c>
      <c r="B4953">
        <v>52686</v>
      </c>
      <c r="C4953" t="s">
        <v>34</v>
      </c>
      <c r="D4953">
        <v>1524.77</v>
      </c>
      <c r="E4953">
        <v>255</v>
      </c>
      <c r="F4953">
        <v>1</v>
      </c>
      <c r="G4953">
        <v>6</v>
      </c>
      <c r="H4953">
        <v>0</v>
      </c>
      <c r="I4953" t="s">
        <v>33</v>
      </c>
      <c r="J4953">
        <v>1</v>
      </c>
      <c r="K4953">
        <v>25</v>
      </c>
      <c r="L4953" t="s">
        <v>20</v>
      </c>
      <c r="M4953" t="s">
        <v>37</v>
      </c>
      <c r="N4953" t="s">
        <v>30</v>
      </c>
      <c r="O4953" t="s">
        <v>27</v>
      </c>
      <c r="P4953">
        <v>2.91</v>
      </c>
      <c r="Q4953" s="2" t="b">
        <f>FALSE()</f>
        <v>0</v>
      </c>
      <c r="R4953">
        <v>0</v>
      </c>
    </row>
    <row r="4954" spans="1:18" x14ac:dyDescent="0.25">
      <c r="A4954">
        <v>204953</v>
      </c>
      <c r="B4954">
        <v>54576</v>
      </c>
      <c r="C4954" t="s">
        <v>18</v>
      </c>
      <c r="D4954">
        <v>1315.64</v>
      </c>
      <c r="E4954">
        <v>1015</v>
      </c>
      <c r="F4954">
        <v>1</v>
      </c>
      <c r="G4954">
        <v>5</v>
      </c>
      <c r="H4954">
        <v>0</v>
      </c>
      <c r="I4954" t="s">
        <v>32</v>
      </c>
      <c r="J4954">
        <v>0</v>
      </c>
      <c r="K4954">
        <v>37</v>
      </c>
      <c r="L4954" t="s">
        <v>20</v>
      </c>
      <c r="M4954" t="s">
        <v>31</v>
      </c>
      <c r="N4954" t="s">
        <v>30</v>
      </c>
      <c r="O4954" t="s">
        <v>36</v>
      </c>
      <c r="P4954">
        <v>0.11</v>
      </c>
      <c r="Q4954" s="2" t="b">
        <f>FALSE()</f>
        <v>0</v>
      </c>
      <c r="R4954">
        <v>0</v>
      </c>
    </row>
    <row r="4955" spans="1:18" x14ac:dyDescent="0.25">
      <c r="A4955">
        <v>204954</v>
      </c>
      <c r="B4955">
        <v>50296</v>
      </c>
      <c r="C4955" t="s">
        <v>18</v>
      </c>
      <c r="D4955">
        <v>290.13</v>
      </c>
      <c r="E4955">
        <v>1605</v>
      </c>
      <c r="F4955">
        <v>1</v>
      </c>
      <c r="G4955">
        <v>3</v>
      </c>
      <c r="H4955">
        <v>0</v>
      </c>
      <c r="I4955" t="s">
        <v>33</v>
      </c>
      <c r="J4955">
        <v>0</v>
      </c>
      <c r="K4955">
        <v>40</v>
      </c>
      <c r="L4955" t="s">
        <v>20</v>
      </c>
      <c r="M4955" t="s">
        <v>31</v>
      </c>
      <c r="N4955" t="s">
        <v>30</v>
      </c>
      <c r="O4955" t="s">
        <v>36</v>
      </c>
      <c r="P4955">
        <v>4.08</v>
      </c>
      <c r="Q4955" s="2" t="b">
        <f>FALSE()</f>
        <v>0</v>
      </c>
      <c r="R4955">
        <v>0</v>
      </c>
    </row>
    <row r="4956" spans="1:18" x14ac:dyDescent="0.25">
      <c r="A4956">
        <v>204955</v>
      </c>
      <c r="B4956">
        <v>50025</v>
      </c>
      <c r="C4956" t="s">
        <v>18</v>
      </c>
      <c r="D4956">
        <v>3256.05</v>
      </c>
      <c r="E4956">
        <v>813</v>
      </c>
      <c r="F4956">
        <v>2</v>
      </c>
      <c r="G4956">
        <v>4</v>
      </c>
      <c r="H4956">
        <v>1</v>
      </c>
      <c r="I4956" t="s">
        <v>19</v>
      </c>
      <c r="J4956">
        <v>0</v>
      </c>
      <c r="K4956">
        <v>69</v>
      </c>
      <c r="L4956" t="s">
        <v>24</v>
      </c>
      <c r="M4956" t="s">
        <v>21</v>
      </c>
      <c r="N4956" t="s">
        <v>30</v>
      </c>
      <c r="O4956" t="s">
        <v>27</v>
      </c>
      <c r="P4956">
        <v>1.39</v>
      </c>
      <c r="Q4956" s="2" t="b">
        <f>FALSE()</f>
        <v>0</v>
      </c>
      <c r="R4956">
        <v>0</v>
      </c>
    </row>
    <row r="4957" spans="1:18" x14ac:dyDescent="0.25">
      <c r="A4957">
        <v>204956</v>
      </c>
      <c r="B4957">
        <v>51347</v>
      </c>
      <c r="C4957" t="s">
        <v>18</v>
      </c>
      <c r="D4957">
        <v>1148.3499999999999</v>
      </c>
      <c r="E4957">
        <v>2283</v>
      </c>
      <c r="F4957">
        <v>1</v>
      </c>
      <c r="G4957">
        <v>3</v>
      </c>
      <c r="H4957">
        <v>0</v>
      </c>
      <c r="I4957" t="s">
        <v>33</v>
      </c>
      <c r="J4957">
        <v>0</v>
      </c>
      <c r="K4957">
        <v>18</v>
      </c>
      <c r="L4957" t="s">
        <v>24</v>
      </c>
      <c r="M4957" t="s">
        <v>21</v>
      </c>
      <c r="N4957" t="s">
        <v>22</v>
      </c>
      <c r="O4957" t="s">
        <v>27</v>
      </c>
      <c r="P4957">
        <v>0.55000000000000004</v>
      </c>
      <c r="Q4957" s="2" t="b">
        <f>FALSE()</f>
        <v>0</v>
      </c>
      <c r="R4957">
        <v>0</v>
      </c>
    </row>
    <row r="4958" spans="1:18" x14ac:dyDescent="0.25">
      <c r="A4958">
        <v>204957</v>
      </c>
      <c r="B4958">
        <v>52851</v>
      </c>
      <c r="C4958" t="s">
        <v>34</v>
      </c>
      <c r="D4958">
        <v>1430.04</v>
      </c>
      <c r="E4958">
        <v>1793</v>
      </c>
      <c r="F4958">
        <v>0</v>
      </c>
      <c r="G4958">
        <v>3</v>
      </c>
      <c r="H4958">
        <v>0</v>
      </c>
      <c r="I4958" t="s">
        <v>32</v>
      </c>
      <c r="J4958">
        <v>0</v>
      </c>
      <c r="K4958">
        <v>65</v>
      </c>
      <c r="L4958" t="s">
        <v>20</v>
      </c>
      <c r="M4958" t="s">
        <v>31</v>
      </c>
      <c r="N4958" t="s">
        <v>26</v>
      </c>
      <c r="O4958" t="s">
        <v>27</v>
      </c>
      <c r="P4958">
        <v>2.86</v>
      </c>
      <c r="Q4958" s="2" t="b">
        <f>FALSE()</f>
        <v>0</v>
      </c>
      <c r="R4958">
        <v>0</v>
      </c>
    </row>
    <row r="4959" spans="1:18" x14ac:dyDescent="0.25">
      <c r="A4959">
        <v>204958</v>
      </c>
      <c r="B4959">
        <v>54588</v>
      </c>
      <c r="C4959" t="s">
        <v>18</v>
      </c>
      <c r="D4959">
        <v>451.79</v>
      </c>
      <c r="E4959">
        <v>657</v>
      </c>
      <c r="F4959">
        <v>0</v>
      </c>
      <c r="G4959">
        <v>9</v>
      </c>
      <c r="H4959">
        <v>1</v>
      </c>
      <c r="I4959" t="s">
        <v>19</v>
      </c>
      <c r="J4959">
        <v>0</v>
      </c>
      <c r="K4959">
        <v>51</v>
      </c>
      <c r="L4959" t="s">
        <v>20</v>
      </c>
      <c r="M4959" t="s">
        <v>25</v>
      </c>
      <c r="N4959" t="s">
        <v>26</v>
      </c>
      <c r="O4959" t="s">
        <v>23</v>
      </c>
      <c r="P4959">
        <v>4.47</v>
      </c>
      <c r="Q4959" s="2" t="b">
        <f>FALSE()</f>
        <v>0</v>
      </c>
      <c r="R4959">
        <v>1</v>
      </c>
    </row>
    <row r="4960" spans="1:18" x14ac:dyDescent="0.25">
      <c r="A4960">
        <v>204959</v>
      </c>
      <c r="B4960">
        <v>50162</v>
      </c>
      <c r="C4960" t="s">
        <v>34</v>
      </c>
      <c r="D4960">
        <v>4389.2</v>
      </c>
      <c r="E4960">
        <v>2736</v>
      </c>
      <c r="F4960">
        <v>1</v>
      </c>
      <c r="G4960">
        <v>0</v>
      </c>
      <c r="H4960">
        <v>0</v>
      </c>
      <c r="I4960" t="s">
        <v>33</v>
      </c>
      <c r="J4960">
        <v>1</v>
      </c>
      <c r="K4960">
        <v>39</v>
      </c>
      <c r="L4960" t="s">
        <v>24</v>
      </c>
      <c r="M4960" t="s">
        <v>31</v>
      </c>
      <c r="N4960" t="s">
        <v>22</v>
      </c>
      <c r="O4960" t="s">
        <v>27</v>
      </c>
      <c r="P4960">
        <v>2.34</v>
      </c>
      <c r="Q4960" s="2" t="b">
        <f>FALSE()</f>
        <v>0</v>
      </c>
      <c r="R4960">
        <v>1</v>
      </c>
    </row>
    <row r="4961" spans="1:18" x14ac:dyDescent="0.25">
      <c r="A4961">
        <v>204960</v>
      </c>
      <c r="B4961">
        <v>52204</v>
      </c>
      <c r="C4961" t="s">
        <v>34</v>
      </c>
      <c r="D4961">
        <v>5801.07</v>
      </c>
      <c r="E4961">
        <v>2393</v>
      </c>
      <c r="F4961">
        <v>2</v>
      </c>
      <c r="G4961">
        <v>2</v>
      </c>
      <c r="H4961">
        <v>1</v>
      </c>
      <c r="I4961" t="s">
        <v>33</v>
      </c>
      <c r="J4961">
        <v>1</v>
      </c>
      <c r="K4961">
        <v>52</v>
      </c>
      <c r="L4961" t="s">
        <v>24</v>
      </c>
      <c r="M4961" t="s">
        <v>35</v>
      </c>
      <c r="N4961" t="s">
        <v>30</v>
      </c>
      <c r="O4961" t="s">
        <v>36</v>
      </c>
      <c r="P4961">
        <v>3.73</v>
      </c>
      <c r="Q4961" s="2" t="b">
        <f>FALSE()</f>
        <v>0</v>
      </c>
      <c r="R4961">
        <v>1</v>
      </c>
    </row>
    <row r="4962" spans="1:18" x14ac:dyDescent="0.25">
      <c r="A4962">
        <v>204961</v>
      </c>
      <c r="B4962">
        <v>53802</v>
      </c>
      <c r="C4962" t="s">
        <v>34</v>
      </c>
      <c r="D4962">
        <v>2353.71</v>
      </c>
      <c r="E4962">
        <v>2552</v>
      </c>
      <c r="F4962">
        <v>1</v>
      </c>
      <c r="G4962">
        <v>4</v>
      </c>
      <c r="H4962">
        <v>0</v>
      </c>
      <c r="I4962" t="s">
        <v>33</v>
      </c>
      <c r="J4962">
        <v>1</v>
      </c>
      <c r="K4962">
        <v>43</v>
      </c>
      <c r="L4962" t="s">
        <v>20</v>
      </c>
      <c r="M4962" t="s">
        <v>35</v>
      </c>
      <c r="N4962" t="s">
        <v>26</v>
      </c>
      <c r="O4962" t="s">
        <v>36</v>
      </c>
      <c r="P4962">
        <v>7.01</v>
      </c>
      <c r="Q4962" s="2" t="b">
        <f>FALSE()</f>
        <v>0</v>
      </c>
      <c r="R4962">
        <v>0</v>
      </c>
    </row>
    <row r="4963" spans="1:18" x14ac:dyDescent="0.25">
      <c r="A4963">
        <v>204962</v>
      </c>
      <c r="B4963">
        <v>54439</v>
      </c>
      <c r="C4963" t="s">
        <v>28</v>
      </c>
      <c r="D4963">
        <v>2676.22</v>
      </c>
      <c r="E4963">
        <v>1431</v>
      </c>
      <c r="F4963">
        <v>2</v>
      </c>
      <c r="G4963">
        <v>0</v>
      </c>
      <c r="H4963">
        <v>1</v>
      </c>
      <c r="I4963" t="s">
        <v>33</v>
      </c>
      <c r="J4963">
        <v>1</v>
      </c>
      <c r="K4963">
        <v>54</v>
      </c>
      <c r="L4963" t="s">
        <v>24</v>
      </c>
      <c r="M4963" t="s">
        <v>25</v>
      </c>
      <c r="N4963" t="s">
        <v>22</v>
      </c>
      <c r="O4963" t="s">
        <v>23</v>
      </c>
      <c r="P4963">
        <v>4.17</v>
      </c>
      <c r="Q4963" s="2" t="b">
        <f>FALSE()</f>
        <v>0</v>
      </c>
      <c r="R4963">
        <v>0</v>
      </c>
    </row>
    <row r="4964" spans="1:18" x14ac:dyDescent="0.25">
      <c r="A4964">
        <v>204963</v>
      </c>
      <c r="B4964">
        <v>54614</v>
      </c>
      <c r="C4964" t="s">
        <v>28</v>
      </c>
      <c r="D4964">
        <v>1392</v>
      </c>
      <c r="E4964">
        <v>2416</v>
      </c>
      <c r="F4964">
        <v>2</v>
      </c>
      <c r="G4964">
        <v>1</v>
      </c>
      <c r="H4964">
        <v>1</v>
      </c>
      <c r="I4964" t="s">
        <v>33</v>
      </c>
      <c r="J4964">
        <v>0</v>
      </c>
      <c r="K4964">
        <v>38</v>
      </c>
      <c r="L4964" t="s">
        <v>24</v>
      </c>
      <c r="M4964" t="s">
        <v>31</v>
      </c>
      <c r="N4964" t="s">
        <v>30</v>
      </c>
      <c r="O4964" t="s">
        <v>36</v>
      </c>
      <c r="P4964">
        <v>3.39</v>
      </c>
      <c r="Q4964" s="2" t="b">
        <f>FALSE()</f>
        <v>0</v>
      </c>
      <c r="R4964">
        <v>0</v>
      </c>
    </row>
    <row r="4965" spans="1:18" x14ac:dyDescent="0.25">
      <c r="A4965">
        <v>204964</v>
      </c>
      <c r="B4965">
        <v>50982</v>
      </c>
      <c r="C4965" t="s">
        <v>18</v>
      </c>
      <c r="D4965">
        <v>1691.29</v>
      </c>
      <c r="E4965">
        <v>2272</v>
      </c>
      <c r="F4965">
        <v>1</v>
      </c>
      <c r="G4965">
        <v>3</v>
      </c>
      <c r="H4965">
        <v>1</v>
      </c>
      <c r="I4965" t="s">
        <v>33</v>
      </c>
      <c r="J4965">
        <v>1</v>
      </c>
      <c r="K4965">
        <v>71</v>
      </c>
      <c r="L4965" t="s">
        <v>20</v>
      </c>
      <c r="M4965" t="s">
        <v>29</v>
      </c>
      <c r="N4965" t="s">
        <v>22</v>
      </c>
      <c r="O4965" t="s">
        <v>27</v>
      </c>
      <c r="P4965">
        <v>0.63</v>
      </c>
      <c r="Q4965" s="2" t="b">
        <f>FALSE()</f>
        <v>0</v>
      </c>
      <c r="R4965">
        <v>0</v>
      </c>
    </row>
    <row r="4966" spans="1:18" x14ac:dyDescent="0.25">
      <c r="A4966">
        <v>204965</v>
      </c>
      <c r="B4966">
        <v>50854</v>
      </c>
      <c r="C4966" t="s">
        <v>34</v>
      </c>
      <c r="D4966">
        <v>2680.08</v>
      </c>
      <c r="E4966">
        <v>1887</v>
      </c>
      <c r="F4966">
        <v>1</v>
      </c>
      <c r="G4966">
        <v>1</v>
      </c>
      <c r="H4966">
        <v>0</v>
      </c>
      <c r="I4966" t="s">
        <v>19</v>
      </c>
      <c r="J4966">
        <v>0</v>
      </c>
      <c r="K4966">
        <v>24</v>
      </c>
      <c r="L4966" t="s">
        <v>24</v>
      </c>
      <c r="M4966" t="s">
        <v>37</v>
      </c>
      <c r="N4966" t="s">
        <v>22</v>
      </c>
      <c r="O4966" t="s">
        <v>36</v>
      </c>
      <c r="P4966">
        <v>0.26</v>
      </c>
      <c r="Q4966" s="2" t="b">
        <f>FALSE()</f>
        <v>0</v>
      </c>
      <c r="R4966">
        <v>0</v>
      </c>
    </row>
    <row r="4967" spans="1:18" x14ac:dyDescent="0.25">
      <c r="A4967">
        <v>204966</v>
      </c>
      <c r="B4967">
        <v>52892</v>
      </c>
      <c r="C4967" t="s">
        <v>34</v>
      </c>
      <c r="D4967">
        <v>1496.22</v>
      </c>
      <c r="E4967">
        <v>563</v>
      </c>
      <c r="F4967">
        <v>1</v>
      </c>
      <c r="G4967">
        <v>5</v>
      </c>
      <c r="H4967">
        <v>1</v>
      </c>
      <c r="I4967" t="s">
        <v>33</v>
      </c>
      <c r="J4967">
        <v>1</v>
      </c>
      <c r="K4967">
        <v>27</v>
      </c>
      <c r="L4967" t="s">
        <v>24</v>
      </c>
      <c r="M4967" t="s">
        <v>31</v>
      </c>
      <c r="N4967" t="s">
        <v>22</v>
      </c>
      <c r="O4967" t="s">
        <v>27</v>
      </c>
      <c r="P4967">
        <v>1.1100000000000001</v>
      </c>
      <c r="Q4967" s="2" t="b">
        <f>FALSE()</f>
        <v>0</v>
      </c>
      <c r="R4967">
        <v>0</v>
      </c>
    </row>
    <row r="4968" spans="1:18" x14ac:dyDescent="0.25">
      <c r="A4968">
        <v>204967</v>
      </c>
      <c r="B4968">
        <v>51872</v>
      </c>
      <c r="C4968" t="s">
        <v>18</v>
      </c>
      <c r="D4968">
        <v>2031.33</v>
      </c>
      <c r="E4968">
        <v>848</v>
      </c>
      <c r="F4968">
        <v>1</v>
      </c>
      <c r="G4968">
        <v>3</v>
      </c>
      <c r="H4968">
        <v>1</v>
      </c>
      <c r="I4968" t="s">
        <v>33</v>
      </c>
      <c r="J4968">
        <v>0</v>
      </c>
      <c r="K4968">
        <v>63</v>
      </c>
      <c r="L4968" t="s">
        <v>24</v>
      </c>
      <c r="M4968" t="s">
        <v>37</v>
      </c>
      <c r="N4968" t="s">
        <v>30</v>
      </c>
      <c r="O4968" t="s">
        <v>36</v>
      </c>
      <c r="P4968">
        <v>2.99</v>
      </c>
      <c r="Q4968" s="2" t="b">
        <f>FALSE()</f>
        <v>0</v>
      </c>
      <c r="R4968">
        <v>0</v>
      </c>
    </row>
    <row r="4969" spans="1:18" x14ac:dyDescent="0.25">
      <c r="A4969">
        <v>204968</v>
      </c>
      <c r="B4969">
        <v>52905</v>
      </c>
      <c r="C4969" t="s">
        <v>18</v>
      </c>
      <c r="D4969">
        <v>393.78</v>
      </c>
      <c r="E4969">
        <v>1130</v>
      </c>
      <c r="F4969">
        <v>0</v>
      </c>
      <c r="G4969">
        <v>7</v>
      </c>
      <c r="H4969">
        <v>1</v>
      </c>
      <c r="I4969" t="s">
        <v>19</v>
      </c>
      <c r="J4969">
        <v>0</v>
      </c>
      <c r="K4969">
        <v>66</v>
      </c>
      <c r="L4969" t="s">
        <v>24</v>
      </c>
      <c r="M4969" t="s">
        <v>21</v>
      </c>
      <c r="N4969" t="s">
        <v>22</v>
      </c>
      <c r="O4969" t="s">
        <v>23</v>
      </c>
      <c r="P4969">
        <v>2.65</v>
      </c>
      <c r="Q4969" s="2" t="b">
        <f>FALSE()</f>
        <v>0</v>
      </c>
      <c r="R4969">
        <v>1</v>
      </c>
    </row>
    <row r="4970" spans="1:18" x14ac:dyDescent="0.25">
      <c r="A4970">
        <v>204969</v>
      </c>
      <c r="B4970">
        <v>50799</v>
      </c>
      <c r="C4970" t="s">
        <v>34</v>
      </c>
      <c r="D4970">
        <v>2070.2800000000002</v>
      </c>
      <c r="E4970">
        <v>581</v>
      </c>
      <c r="F4970">
        <v>3</v>
      </c>
      <c r="G4970">
        <v>5</v>
      </c>
      <c r="H4970">
        <v>1</v>
      </c>
      <c r="I4970" t="s">
        <v>33</v>
      </c>
      <c r="J4970">
        <v>1</v>
      </c>
      <c r="K4970">
        <v>44</v>
      </c>
      <c r="L4970" t="s">
        <v>20</v>
      </c>
      <c r="M4970" t="s">
        <v>29</v>
      </c>
      <c r="N4970" t="s">
        <v>22</v>
      </c>
      <c r="O4970" t="s">
        <v>36</v>
      </c>
      <c r="P4970">
        <v>0.65</v>
      </c>
      <c r="Q4970" s="2" t="b">
        <f>FALSE()</f>
        <v>0</v>
      </c>
      <c r="R4970">
        <v>1</v>
      </c>
    </row>
    <row r="4971" spans="1:18" x14ac:dyDescent="0.25">
      <c r="A4971">
        <v>204970</v>
      </c>
      <c r="B4971">
        <v>52711</v>
      </c>
      <c r="C4971" t="s">
        <v>34</v>
      </c>
      <c r="D4971">
        <v>3632.35</v>
      </c>
      <c r="E4971">
        <v>166</v>
      </c>
      <c r="F4971">
        <v>0</v>
      </c>
      <c r="G4971">
        <v>3</v>
      </c>
      <c r="H4971">
        <v>0</v>
      </c>
      <c r="I4971" t="s">
        <v>33</v>
      </c>
      <c r="J4971">
        <v>0</v>
      </c>
      <c r="K4971">
        <v>60</v>
      </c>
      <c r="L4971" t="s">
        <v>24</v>
      </c>
      <c r="M4971" t="s">
        <v>29</v>
      </c>
      <c r="N4971" t="s">
        <v>22</v>
      </c>
      <c r="O4971" t="s">
        <v>36</v>
      </c>
      <c r="P4971">
        <v>0.34</v>
      </c>
      <c r="Q4971" s="2" t="b">
        <f>FALSE()</f>
        <v>0</v>
      </c>
      <c r="R4971">
        <v>1</v>
      </c>
    </row>
    <row r="4972" spans="1:18" x14ac:dyDescent="0.25">
      <c r="A4972">
        <v>204971</v>
      </c>
      <c r="B4972">
        <v>53703</v>
      </c>
      <c r="C4972" t="s">
        <v>34</v>
      </c>
      <c r="D4972">
        <v>704.1</v>
      </c>
      <c r="E4972">
        <v>382</v>
      </c>
      <c r="F4972">
        <v>2</v>
      </c>
      <c r="G4972">
        <v>1</v>
      </c>
      <c r="H4972">
        <v>1</v>
      </c>
      <c r="I4972" t="s">
        <v>33</v>
      </c>
      <c r="J4972">
        <v>0</v>
      </c>
      <c r="K4972">
        <v>55</v>
      </c>
      <c r="L4972" t="s">
        <v>20</v>
      </c>
      <c r="M4972" t="s">
        <v>29</v>
      </c>
      <c r="N4972" t="s">
        <v>22</v>
      </c>
      <c r="O4972" t="s">
        <v>27</v>
      </c>
      <c r="P4972">
        <v>1.63</v>
      </c>
      <c r="Q4972" s="2" t="b">
        <f>FALSE()</f>
        <v>0</v>
      </c>
      <c r="R4972">
        <v>0</v>
      </c>
    </row>
    <row r="4973" spans="1:18" x14ac:dyDescent="0.25">
      <c r="A4973">
        <v>204972</v>
      </c>
      <c r="B4973">
        <v>51131</v>
      </c>
      <c r="C4973" t="s">
        <v>18</v>
      </c>
      <c r="D4973">
        <v>1134.5899999999999</v>
      </c>
      <c r="E4973">
        <v>1515</v>
      </c>
      <c r="F4973">
        <v>1</v>
      </c>
      <c r="G4973">
        <v>8</v>
      </c>
      <c r="H4973">
        <v>0</v>
      </c>
      <c r="I4973" t="s">
        <v>33</v>
      </c>
      <c r="J4973">
        <v>1</v>
      </c>
      <c r="K4973">
        <v>46</v>
      </c>
      <c r="L4973" t="s">
        <v>24</v>
      </c>
      <c r="M4973" t="s">
        <v>35</v>
      </c>
      <c r="N4973" t="s">
        <v>30</v>
      </c>
      <c r="O4973" t="s">
        <v>23</v>
      </c>
      <c r="P4973">
        <v>1.47</v>
      </c>
      <c r="Q4973" s="2" t="b">
        <f>FALSE()</f>
        <v>0</v>
      </c>
      <c r="R4973">
        <v>1</v>
      </c>
    </row>
    <row r="4974" spans="1:18" x14ac:dyDescent="0.25">
      <c r="A4974">
        <v>204973</v>
      </c>
      <c r="B4974">
        <v>50522</v>
      </c>
      <c r="C4974" t="s">
        <v>34</v>
      </c>
      <c r="D4974">
        <v>4172.21</v>
      </c>
      <c r="E4974">
        <v>1276</v>
      </c>
      <c r="F4974">
        <v>2</v>
      </c>
      <c r="G4974">
        <v>1</v>
      </c>
      <c r="H4974">
        <v>0</v>
      </c>
      <c r="I4974" t="s">
        <v>33</v>
      </c>
      <c r="J4974">
        <v>0</v>
      </c>
      <c r="K4974">
        <v>18</v>
      </c>
      <c r="L4974" t="s">
        <v>20</v>
      </c>
      <c r="M4974" t="s">
        <v>37</v>
      </c>
      <c r="N4974" t="s">
        <v>30</v>
      </c>
      <c r="O4974" t="s">
        <v>27</v>
      </c>
      <c r="P4974">
        <v>0.84</v>
      </c>
      <c r="Q4974" s="2" t="b">
        <f>FALSE()</f>
        <v>0</v>
      </c>
      <c r="R4974">
        <v>1</v>
      </c>
    </row>
    <row r="4975" spans="1:18" x14ac:dyDescent="0.25">
      <c r="A4975">
        <v>204974</v>
      </c>
      <c r="B4975">
        <v>53785</v>
      </c>
      <c r="C4975" t="s">
        <v>34</v>
      </c>
      <c r="D4975">
        <v>2095.33</v>
      </c>
      <c r="E4975">
        <v>876</v>
      </c>
      <c r="F4975">
        <v>0</v>
      </c>
      <c r="G4975">
        <v>6</v>
      </c>
      <c r="H4975">
        <v>0</v>
      </c>
      <c r="I4975" t="s">
        <v>19</v>
      </c>
      <c r="J4975">
        <v>0</v>
      </c>
      <c r="K4975">
        <v>49</v>
      </c>
      <c r="L4975" t="s">
        <v>20</v>
      </c>
      <c r="M4975" t="s">
        <v>25</v>
      </c>
      <c r="N4975" t="s">
        <v>30</v>
      </c>
      <c r="O4975" t="s">
        <v>36</v>
      </c>
      <c r="P4975">
        <v>6.35</v>
      </c>
      <c r="Q4975" s="2" t="b">
        <f>FALSE()</f>
        <v>0</v>
      </c>
      <c r="R4975">
        <v>0</v>
      </c>
    </row>
    <row r="4976" spans="1:18" x14ac:dyDescent="0.25">
      <c r="A4976">
        <v>204975</v>
      </c>
      <c r="B4976">
        <v>52016</v>
      </c>
      <c r="C4976" t="s">
        <v>34</v>
      </c>
      <c r="D4976">
        <v>2152.42</v>
      </c>
      <c r="E4976">
        <v>1647</v>
      </c>
      <c r="F4976">
        <v>2</v>
      </c>
      <c r="G4976">
        <v>2</v>
      </c>
      <c r="H4976">
        <v>0</v>
      </c>
      <c r="I4976" t="s">
        <v>33</v>
      </c>
      <c r="J4976">
        <v>1</v>
      </c>
      <c r="K4976">
        <v>80</v>
      </c>
      <c r="L4976" t="s">
        <v>20</v>
      </c>
      <c r="M4976" t="s">
        <v>25</v>
      </c>
      <c r="N4976" t="s">
        <v>30</v>
      </c>
      <c r="O4976" t="s">
        <v>27</v>
      </c>
      <c r="P4976">
        <v>0.32</v>
      </c>
      <c r="Q4976" s="2" t="b">
        <f>FALSE()</f>
        <v>0</v>
      </c>
      <c r="R4976">
        <v>0</v>
      </c>
    </row>
    <row r="4977" spans="1:18" x14ac:dyDescent="0.25">
      <c r="A4977">
        <v>204976</v>
      </c>
      <c r="B4977">
        <v>55238</v>
      </c>
      <c r="C4977" t="s">
        <v>34</v>
      </c>
      <c r="D4977">
        <v>5577.3</v>
      </c>
      <c r="E4977">
        <v>1756</v>
      </c>
      <c r="F4977">
        <v>2</v>
      </c>
      <c r="G4977">
        <v>4</v>
      </c>
      <c r="H4977">
        <v>0</v>
      </c>
      <c r="I4977" t="s">
        <v>33</v>
      </c>
      <c r="J4977">
        <v>1</v>
      </c>
      <c r="K4977">
        <v>36</v>
      </c>
      <c r="L4977" t="s">
        <v>20</v>
      </c>
      <c r="M4977" t="s">
        <v>29</v>
      </c>
      <c r="N4977" t="s">
        <v>22</v>
      </c>
      <c r="O4977" t="s">
        <v>27</v>
      </c>
      <c r="P4977">
        <v>0.03</v>
      </c>
      <c r="Q4977" s="2" t="b">
        <f>FALSE()</f>
        <v>0</v>
      </c>
      <c r="R4977">
        <v>1</v>
      </c>
    </row>
    <row r="4978" spans="1:18" x14ac:dyDescent="0.25">
      <c r="A4978">
        <v>204977</v>
      </c>
      <c r="B4978">
        <v>53264</v>
      </c>
      <c r="C4978" t="s">
        <v>28</v>
      </c>
      <c r="D4978">
        <v>3186.52</v>
      </c>
      <c r="E4978">
        <v>652</v>
      </c>
      <c r="F4978">
        <v>1</v>
      </c>
      <c r="G4978">
        <v>1</v>
      </c>
      <c r="H4978">
        <v>0</v>
      </c>
      <c r="I4978" t="s">
        <v>32</v>
      </c>
      <c r="J4978">
        <v>0</v>
      </c>
      <c r="K4978">
        <v>46</v>
      </c>
      <c r="L4978" t="s">
        <v>38</v>
      </c>
      <c r="M4978" t="s">
        <v>31</v>
      </c>
      <c r="N4978" t="s">
        <v>22</v>
      </c>
      <c r="O4978" t="s">
        <v>27</v>
      </c>
      <c r="P4978">
        <v>0.76</v>
      </c>
      <c r="Q4978" s="2" t="b">
        <f>FALSE()</f>
        <v>0</v>
      </c>
      <c r="R4978">
        <v>0</v>
      </c>
    </row>
    <row r="4979" spans="1:18" x14ac:dyDescent="0.25">
      <c r="A4979">
        <v>204978</v>
      </c>
      <c r="B4979">
        <v>55308</v>
      </c>
      <c r="C4979" t="s">
        <v>34</v>
      </c>
      <c r="D4979">
        <v>2983.02</v>
      </c>
      <c r="E4979">
        <v>3053</v>
      </c>
      <c r="F4979">
        <v>2</v>
      </c>
      <c r="G4979">
        <v>8</v>
      </c>
      <c r="H4979">
        <v>1</v>
      </c>
      <c r="I4979" t="s">
        <v>33</v>
      </c>
      <c r="J4979">
        <v>0</v>
      </c>
      <c r="K4979">
        <v>34</v>
      </c>
      <c r="L4979" t="s">
        <v>20</v>
      </c>
      <c r="M4979" t="s">
        <v>25</v>
      </c>
      <c r="N4979" t="s">
        <v>22</v>
      </c>
      <c r="O4979" t="s">
        <v>23</v>
      </c>
      <c r="P4979">
        <v>4.88</v>
      </c>
      <c r="Q4979" s="2" t="b">
        <f>FALSE()</f>
        <v>0</v>
      </c>
      <c r="R4979">
        <v>1</v>
      </c>
    </row>
    <row r="4980" spans="1:18" x14ac:dyDescent="0.25">
      <c r="A4980">
        <v>204979</v>
      </c>
      <c r="B4980">
        <v>51366</v>
      </c>
      <c r="C4980" t="s">
        <v>18</v>
      </c>
      <c r="D4980">
        <v>4357.67</v>
      </c>
      <c r="E4980">
        <v>704</v>
      </c>
      <c r="F4980">
        <v>1</v>
      </c>
      <c r="G4980">
        <v>8</v>
      </c>
      <c r="H4980">
        <v>0</v>
      </c>
      <c r="I4980" t="s">
        <v>19</v>
      </c>
      <c r="J4980">
        <v>1</v>
      </c>
      <c r="K4980">
        <v>30</v>
      </c>
      <c r="L4980" t="s">
        <v>24</v>
      </c>
      <c r="M4980" t="s">
        <v>25</v>
      </c>
      <c r="N4980" t="s">
        <v>22</v>
      </c>
      <c r="O4980" t="s">
        <v>27</v>
      </c>
      <c r="P4980">
        <v>5.63</v>
      </c>
      <c r="Q4980" s="2" t="b">
        <f>FALSE()</f>
        <v>0</v>
      </c>
      <c r="R4980">
        <v>1</v>
      </c>
    </row>
    <row r="4981" spans="1:18" x14ac:dyDescent="0.25">
      <c r="A4981">
        <v>204980</v>
      </c>
      <c r="B4981">
        <v>50926</v>
      </c>
      <c r="C4981" t="s">
        <v>34</v>
      </c>
      <c r="D4981">
        <v>487.68</v>
      </c>
      <c r="E4981">
        <v>1409</v>
      </c>
      <c r="F4981">
        <v>0</v>
      </c>
      <c r="G4981">
        <v>3</v>
      </c>
      <c r="H4981">
        <v>0</v>
      </c>
      <c r="I4981" t="s">
        <v>32</v>
      </c>
      <c r="J4981">
        <v>1</v>
      </c>
      <c r="K4981">
        <v>42</v>
      </c>
      <c r="L4981" t="s">
        <v>24</v>
      </c>
      <c r="M4981" t="s">
        <v>31</v>
      </c>
      <c r="N4981" t="s">
        <v>22</v>
      </c>
      <c r="O4981" t="s">
        <v>36</v>
      </c>
      <c r="P4981">
        <v>0.44</v>
      </c>
      <c r="Q4981" s="2" t="b">
        <f>FALSE()</f>
        <v>0</v>
      </c>
      <c r="R4981">
        <v>0</v>
      </c>
    </row>
    <row r="4982" spans="1:18" x14ac:dyDescent="0.25">
      <c r="A4982">
        <v>204981</v>
      </c>
      <c r="B4982">
        <v>54295</v>
      </c>
      <c r="C4982" t="s">
        <v>18</v>
      </c>
      <c r="D4982">
        <v>1355.58</v>
      </c>
      <c r="E4982">
        <v>1984</v>
      </c>
      <c r="F4982">
        <v>2</v>
      </c>
      <c r="G4982">
        <v>4</v>
      </c>
      <c r="H4982">
        <v>0</v>
      </c>
      <c r="I4982" t="s">
        <v>33</v>
      </c>
      <c r="J4982">
        <v>0</v>
      </c>
      <c r="K4982">
        <v>65</v>
      </c>
      <c r="L4982" t="s">
        <v>20</v>
      </c>
      <c r="M4982" t="s">
        <v>31</v>
      </c>
      <c r="N4982" t="s">
        <v>26</v>
      </c>
      <c r="O4982" t="s">
        <v>36</v>
      </c>
      <c r="P4982">
        <v>5.3</v>
      </c>
      <c r="Q4982" s="2" t="b">
        <f>FALSE()</f>
        <v>0</v>
      </c>
      <c r="R4982">
        <v>0</v>
      </c>
    </row>
    <row r="4983" spans="1:18" x14ac:dyDescent="0.25">
      <c r="A4983">
        <v>204982</v>
      </c>
      <c r="B4983">
        <v>54733</v>
      </c>
      <c r="C4983" t="s">
        <v>28</v>
      </c>
      <c r="D4983">
        <v>2599.71</v>
      </c>
      <c r="E4983">
        <v>250</v>
      </c>
      <c r="F4983">
        <v>0</v>
      </c>
      <c r="G4983">
        <v>8</v>
      </c>
      <c r="H4983">
        <v>1</v>
      </c>
      <c r="I4983" t="s">
        <v>32</v>
      </c>
      <c r="J4983">
        <v>0</v>
      </c>
      <c r="K4983">
        <v>51</v>
      </c>
      <c r="L4983" t="s">
        <v>20</v>
      </c>
      <c r="M4983" t="s">
        <v>25</v>
      </c>
      <c r="N4983" t="s">
        <v>30</v>
      </c>
      <c r="O4983" t="s">
        <v>23</v>
      </c>
      <c r="P4983">
        <v>0.85</v>
      </c>
      <c r="Q4983" s="2" t="b">
        <f>FALSE()</f>
        <v>0</v>
      </c>
      <c r="R4983">
        <v>1</v>
      </c>
    </row>
    <row r="4984" spans="1:18" x14ac:dyDescent="0.25">
      <c r="A4984">
        <v>204983</v>
      </c>
      <c r="B4984">
        <v>51224</v>
      </c>
      <c r="C4984" t="s">
        <v>18</v>
      </c>
      <c r="D4984">
        <v>355.7</v>
      </c>
      <c r="E4984">
        <v>2890</v>
      </c>
      <c r="F4984">
        <v>3</v>
      </c>
      <c r="G4984">
        <v>6</v>
      </c>
      <c r="H4984">
        <v>0</v>
      </c>
      <c r="I4984" t="s">
        <v>33</v>
      </c>
      <c r="J4984">
        <v>1</v>
      </c>
      <c r="K4984">
        <v>49</v>
      </c>
      <c r="L4984" t="s">
        <v>20</v>
      </c>
      <c r="M4984" t="s">
        <v>21</v>
      </c>
      <c r="N4984" t="s">
        <v>22</v>
      </c>
      <c r="O4984" t="s">
        <v>36</v>
      </c>
      <c r="P4984">
        <v>1.29</v>
      </c>
      <c r="Q4984" s="2" t="b">
        <f>FALSE()</f>
        <v>0</v>
      </c>
      <c r="R4984">
        <v>1</v>
      </c>
    </row>
    <row r="4985" spans="1:18" x14ac:dyDescent="0.25">
      <c r="A4985">
        <v>204984</v>
      </c>
      <c r="B4985">
        <v>55134</v>
      </c>
      <c r="C4985" t="s">
        <v>18</v>
      </c>
      <c r="D4985">
        <v>304.23</v>
      </c>
      <c r="E4985">
        <v>57</v>
      </c>
      <c r="F4985">
        <v>1</v>
      </c>
      <c r="G4985">
        <v>4</v>
      </c>
      <c r="H4985">
        <v>1</v>
      </c>
      <c r="I4985" t="s">
        <v>33</v>
      </c>
      <c r="J4985">
        <v>1</v>
      </c>
      <c r="K4985">
        <v>60</v>
      </c>
      <c r="L4985" t="s">
        <v>24</v>
      </c>
      <c r="M4985" t="s">
        <v>35</v>
      </c>
      <c r="N4985" t="s">
        <v>26</v>
      </c>
      <c r="O4985" t="s">
        <v>27</v>
      </c>
      <c r="P4985">
        <v>0.64</v>
      </c>
      <c r="Q4985" s="2" t="b">
        <f>FALSE()</f>
        <v>0</v>
      </c>
      <c r="R4985">
        <v>0</v>
      </c>
    </row>
    <row r="4986" spans="1:18" x14ac:dyDescent="0.25">
      <c r="A4986">
        <v>204985</v>
      </c>
      <c r="B4986">
        <v>54303</v>
      </c>
      <c r="C4986" t="s">
        <v>34</v>
      </c>
      <c r="D4986">
        <v>762.6</v>
      </c>
      <c r="E4986">
        <v>1969</v>
      </c>
      <c r="F4986">
        <v>3</v>
      </c>
      <c r="G4986">
        <v>6</v>
      </c>
      <c r="H4986">
        <v>1</v>
      </c>
      <c r="I4986" t="s">
        <v>33</v>
      </c>
      <c r="J4986">
        <v>0</v>
      </c>
      <c r="K4986">
        <v>60</v>
      </c>
      <c r="L4986" t="s">
        <v>20</v>
      </c>
      <c r="M4986" t="s">
        <v>35</v>
      </c>
      <c r="N4986" t="s">
        <v>22</v>
      </c>
      <c r="O4986" t="s">
        <v>36</v>
      </c>
      <c r="P4986">
        <v>1.1000000000000001</v>
      </c>
      <c r="Q4986" s="2" t="b">
        <f>FALSE()</f>
        <v>0</v>
      </c>
      <c r="R4986">
        <v>1</v>
      </c>
    </row>
    <row r="4987" spans="1:18" x14ac:dyDescent="0.25">
      <c r="A4987">
        <v>204986</v>
      </c>
      <c r="B4987">
        <v>53291</v>
      </c>
      <c r="C4987" t="s">
        <v>34</v>
      </c>
      <c r="D4987">
        <v>4146.41</v>
      </c>
      <c r="E4987">
        <v>642</v>
      </c>
      <c r="F4987">
        <v>0</v>
      </c>
      <c r="G4987">
        <v>4</v>
      </c>
      <c r="H4987">
        <v>0</v>
      </c>
      <c r="I4987" t="s">
        <v>33</v>
      </c>
      <c r="J4987">
        <v>0</v>
      </c>
      <c r="K4987">
        <v>32</v>
      </c>
      <c r="L4987" t="s">
        <v>24</v>
      </c>
      <c r="M4987" t="s">
        <v>31</v>
      </c>
      <c r="N4987" t="s">
        <v>22</v>
      </c>
      <c r="O4987" t="s">
        <v>36</v>
      </c>
      <c r="P4987">
        <v>4.0999999999999996</v>
      </c>
      <c r="Q4987" s="2" t="b">
        <f>FALSE()</f>
        <v>0</v>
      </c>
      <c r="R4987">
        <v>1</v>
      </c>
    </row>
    <row r="4988" spans="1:18" x14ac:dyDescent="0.25">
      <c r="A4988">
        <v>204987</v>
      </c>
      <c r="B4988">
        <v>52303</v>
      </c>
      <c r="C4988" t="s">
        <v>34</v>
      </c>
      <c r="D4988">
        <v>1452.92</v>
      </c>
      <c r="E4988">
        <v>1287</v>
      </c>
      <c r="F4988">
        <v>1</v>
      </c>
      <c r="G4988">
        <v>6</v>
      </c>
      <c r="H4988">
        <v>0</v>
      </c>
      <c r="I4988" t="s">
        <v>33</v>
      </c>
      <c r="J4988">
        <v>0</v>
      </c>
      <c r="K4988">
        <v>51</v>
      </c>
      <c r="L4988" t="s">
        <v>24</v>
      </c>
      <c r="M4988" t="s">
        <v>21</v>
      </c>
      <c r="N4988" t="s">
        <v>30</v>
      </c>
      <c r="O4988" t="s">
        <v>36</v>
      </c>
      <c r="P4988">
        <v>2.62</v>
      </c>
      <c r="Q4988" s="2" t="b">
        <f>FALSE()</f>
        <v>0</v>
      </c>
      <c r="R4988">
        <v>0</v>
      </c>
    </row>
    <row r="4989" spans="1:18" x14ac:dyDescent="0.25">
      <c r="A4989">
        <v>204988</v>
      </c>
      <c r="B4989">
        <v>53980</v>
      </c>
      <c r="C4989" t="s">
        <v>34</v>
      </c>
      <c r="D4989">
        <v>1263.56</v>
      </c>
      <c r="E4989">
        <v>1990</v>
      </c>
      <c r="F4989">
        <v>0</v>
      </c>
      <c r="G4989">
        <v>3</v>
      </c>
      <c r="H4989">
        <v>0</v>
      </c>
      <c r="I4989" t="s">
        <v>33</v>
      </c>
      <c r="J4989">
        <v>1</v>
      </c>
      <c r="K4989">
        <v>69</v>
      </c>
      <c r="L4989" t="s">
        <v>24</v>
      </c>
      <c r="M4989" t="s">
        <v>37</v>
      </c>
      <c r="N4989" t="s">
        <v>22</v>
      </c>
      <c r="O4989" t="s">
        <v>23</v>
      </c>
      <c r="P4989">
        <v>6.2</v>
      </c>
      <c r="Q4989" s="2" t="b">
        <f>FALSE()</f>
        <v>0</v>
      </c>
      <c r="R4989">
        <v>0</v>
      </c>
    </row>
    <row r="4990" spans="1:18" x14ac:dyDescent="0.25">
      <c r="A4990">
        <v>204989</v>
      </c>
      <c r="B4990">
        <v>50199</v>
      </c>
      <c r="C4990" t="s">
        <v>34</v>
      </c>
      <c r="D4990">
        <v>2991.14</v>
      </c>
      <c r="E4990">
        <v>1431</v>
      </c>
      <c r="F4990">
        <v>2</v>
      </c>
      <c r="G4990">
        <v>1</v>
      </c>
      <c r="H4990">
        <v>0</v>
      </c>
      <c r="I4990" t="s">
        <v>32</v>
      </c>
      <c r="J4990">
        <v>0</v>
      </c>
      <c r="K4990">
        <v>81</v>
      </c>
      <c r="L4990" t="s">
        <v>20</v>
      </c>
      <c r="M4990" t="s">
        <v>29</v>
      </c>
      <c r="N4990" t="s">
        <v>22</v>
      </c>
      <c r="O4990" t="s">
        <v>27</v>
      </c>
      <c r="P4990">
        <v>8.94</v>
      </c>
      <c r="Q4990" s="2" t="b">
        <f>FALSE()</f>
        <v>0</v>
      </c>
      <c r="R4990">
        <v>0</v>
      </c>
    </row>
    <row r="4991" spans="1:18" x14ac:dyDescent="0.25">
      <c r="A4991">
        <v>204990</v>
      </c>
      <c r="B4991">
        <v>52622</v>
      </c>
      <c r="C4991" t="s">
        <v>28</v>
      </c>
      <c r="D4991">
        <v>1414.09</v>
      </c>
      <c r="E4991">
        <v>655</v>
      </c>
      <c r="F4991">
        <v>0</v>
      </c>
      <c r="G4991">
        <v>2</v>
      </c>
      <c r="H4991">
        <v>0</v>
      </c>
      <c r="I4991" t="s">
        <v>33</v>
      </c>
      <c r="J4991">
        <v>0</v>
      </c>
      <c r="K4991">
        <v>26</v>
      </c>
      <c r="L4991" t="s">
        <v>24</v>
      </c>
      <c r="M4991" t="s">
        <v>37</v>
      </c>
      <c r="N4991" t="s">
        <v>30</v>
      </c>
      <c r="O4991" t="s">
        <v>36</v>
      </c>
      <c r="P4991">
        <v>0.24</v>
      </c>
      <c r="Q4991" s="2" t="b">
        <f>FALSE()</f>
        <v>0</v>
      </c>
      <c r="R4991">
        <v>0</v>
      </c>
    </row>
    <row r="4992" spans="1:18" x14ac:dyDescent="0.25">
      <c r="A4992">
        <v>204991</v>
      </c>
      <c r="B4992">
        <v>55927</v>
      </c>
      <c r="C4992" t="s">
        <v>34</v>
      </c>
      <c r="D4992">
        <v>1283.8</v>
      </c>
      <c r="E4992">
        <v>2862</v>
      </c>
      <c r="F4992">
        <v>5</v>
      </c>
      <c r="G4992">
        <v>5</v>
      </c>
      <c r="H4992">
        <v>0</v>
      </c>
      <c r="I4992" t="s">
        <v>33</v>
      </c>
      <c r="J4992">
        <v>0</v>
      </c>
      <c r="K4992">
        <v>67</v>
      </c>
      <c r="L4992" t="s">
        <v>20</v>
      </c>
      <c r="M4992" t="s">
        <v>31</v>
      </c>
      <c r="N4992" t="s">
        <v>26</v>
      </c>
      <c r="O4992" t="s">
        <v>36</v>
      </c>
      <c r="P4992">
        <v>4.0999999999999996</v>
      </c>
      <c r="Q4992" s="2" t="b">
        <f>FALSE()</f>
        <v>0</v>
      </c>
      <c r="R4992">
        <v>1</v>
      </c>
    </row>
    <row r="4993" spans="1:18" x14ac:dyDescent="0.25">
      <c r="A4993">
        <v>204992</v>
      </c>
      <c r="B4993">
        <v>55367</v>
      </c>
      <c r="C4993" t="s">
        <v>18</v>
      </c>
      <c r="D4993">
        <v>3880.79</v>
      </c>
      <c r="E4993">
        <v>1317</v>
      </c>
      <c r="F4993">
        <v>1</v>
      </c>
      <c r="G4993">
        <v>8</v>
      </c>
      <c r="H4993">
        <v>0</v>
      </c>
      <c r="I4993" t="s">
        <v>33</v>
      </c>
      <c r="J4993">
        <v>0</v>
      </c>
      <c r="K4993">
        <v>76</v>
      </c>
      <c r="L4993" t="s">
        <v>20</v>
      </c>
      <c r="M4993" t="s">
        <v>21</v>
      </c>
      <c r="N4993" t="s">
        <v>26</v>
      </c>
      <c r="O4993" t="s">
        <v>36</v>
      </c>
      <c r="P4993">
        <v>1.42</v>
      </c>
      <c r="Q4993" s="2" t="b">
        <f>FALSE()</f>
        <v>0</v>
      </c>
      <c r="R4993">
        <v>1</v>
      </c>
    </row>
    <row r="4994" spans="1:18" x14ac:dyDescent="0.25">
      <c r="A4994">
        <v>204993</v>
      </c>
      <c r="B4994">
        <v>55657</v>
      </c>
      <c r="C4994" t="s">
        <v>18</v>
      </c>
      <c r="D4994">
        <v>3833.72</v>
      </c>
      <c r="E4994">
        <v>3443</v>
      </c>
      <c r="F4994">
        <v>1</v>
      </c>
      <c r="G4994">
        <v>2</v>
      </c>
      <c r="H4994">
        <v>1</v>
      </c>
      <c r="I4994" t="s">
        <v>33</v>
      </c>
      <c r="J4994">
        <v>0</v>
      </c>
      <c r="K4994">
        <v>76</v>
      </c>
      <c r="L4994" t="s">
        <v>24</v>
      </c>
      <c r="M4994" t="s">
        <v>29</v>
      </c>
      <c r="N4994" t="s">
        <v>26</v>
      </c>
      <c r="O4994" t="s">
        <v>36</v>
      </c>
      <c r="P4994">
        <v>6.47</v>
      </c>
      <c r="Q4994" s="2" t="b">
        <f>FALSE()</f>
        <v>0</v>
      </c>
      <c r="R4994">
        <v>1</v>
      </c>
    </row>
    <row r="4995" spans="1:18" x14ac:dyDescent="0.25">
      <c r="A4995">
        <v>204994</v>
      </c>
      <c r="B4995">
        <v>52325</v>
      </c>
      <c r="C4995" t="s">
        <v>28</v>
      </c>
      <c r="D4995">
        <v>507.19</v>
      </c>
      <c r="E4995">
        <v>1064</v>
      </c>
      <c r="F4995">
        <v>0</v>
      </c>
      <c r="G4995">
        <v>6</v>
      </c>
      <c r="H4995">
        <v>0</v>
      </c>
      <c r="I4995" t="s">
        <v>19</v>
      </c>
      <c r="J4995">
        <v>0</v>
      </c>
      <c r="K4995">
        <v>83</v>
      </c>
      <c r="L4995" t="s">
        <v>24</v>
      </c>
      <c r="M4995" t="s">
        <v>31</v>
      </c>
      <c r="N4995" t="s">
        <v>26</v>
      </c>
      <c r="O4995" t="s">
        <v>36</v>
      </c>
      <c r="P4995">
        <v>1.04</v>
      </c>
      <c r="Q4995" s="2" t="b">
        <f>FALSE()</f>
        <v>0</v>
      </c>
      <c r="R4995">
        <v>0</v>
      </c>
    </row>
    <row r="4996" spans="1:18" x14ac:dyDescent="0.25">
      <c r="A4996">
        <v>204995</v>
      </c>
      <c r="B4996">
        <v>51638</v>
      </c>
      <c r="C4996" t="s">
        <v>18</v>
      </c>
      <c r="D4996">
        <v>977.24</v>
      </c>
      <c r="E4996">
        <v>1828</v>
      </c>
      <c r="F4996">
        <v>1</v>
      </c>
      <c r="G4996">
        <v>2</v>
      </c>
      <c r="H4996">
        <v>1</v>
      </c>
      <c r="I4996" t="s">
        <v>19</v>
      </c>
      <c r="J4996">
        <v>0</v>
      </c>
      <c r="K4996">
        <v>20</v>
      </c>
      <c r="L4996" t="s">
        <v>20</v>
      </c>
      <c r="M4996" t="s">
        <v>35</v>
      </c>
      <c r="N4996" t="s">
        <v>22</v>
      </c>
      <c r="O4996" t="s">
        <v>27</v>
      </c>
      <c r="P4996">
        <v>2.9</v>
      </c>
      <c r="Q4996" s="2" t="b">
        <f>FALSE()</f>
        <v>0</v>
      </c>
      <c r="R4996">
        <v>0</v>
      </c>
    </row>
    <row r="4997" spans="1:18" x14ac:dyDescent="0.25">
      <c r="A4997">
        <v>204996</v>
      </c>
      <c r="B4997">
        <v>53820</v>
      </c>
      <c r="C4997" t="s">
        <v>18</v>
      </c>
      <c r="D4997">
        <v>1726.28</v>
      </c>
      <c r="E4997">
        <v>267</v>
      </c>
      <c r="F4997">
        <v>1</v>
      </c>
      <c r="G4997">
        <v>6</v>
      </c>
      <c r="H4997">
        <v>0</v>
      </c>
      <c r="I4997" t="s">
        <v>33</v>
      </c>
      <c r="J4997">
        <v>0</v>
      </c>
      <c r="K4997">
        <v>53</v>
      </c>
      <c r="L4997" t="s">
        <v>20</v>
      </c>
      <c r="M4997" t="s">
        <v>29</v>
      </c>
      <c r="N4997" t="s">
        <v>30</v>
      </c>
      <c r="O4997" t="s">
        <v>27</v>
      </c>
      <c r="P4997">
        <v>0.78</v>
      </c>
      <c r="Q4997" s="2" t="b">
        <f>FALSE()</f>
        <v>0</v>
      </c>
      <c r="R4997">
        <v>0</v>
      </c>
    </row>
    <row r="4998" spans="1:18" x14ac:dyDescent="0.25">
      <c r="A4998">
        <v>204997</v>
      </c>
      <c r="B4998">
        <v>51079</v>
      </c>
      <c r="C4998" t="s">
        <v>18</v>
      </c>
      <c r="D4998">
        <v>4246.58</v>
      </c>
      <c r="E4998">
        <v>2326</v>
      </c>
      <c r="F4998">
        <v>2</v>
      </c>
      <c r="G4998">
        <v>2</v>
      </c>
      <c r="H4998">
        <v>1</v>
      </c>
      <c r="I4998" t="s">
        <v>33</v>
      </c>
      <c r="J4998">
        <v>0</v>
      </c>
      <c r="K4998">
        <v>59</v>
      </c>
      <c r="L4998" t="s">
        <v>24</v>
      </c>
      <c r="M4998" t="s">
        <v>31</v>
      </c>
      <c r="N4998" t="s">
        <v>22</v>
      </c>
      <c r="O4998" t="s">
        <v>36</v>
      </c>
      <c r="P4998">
        <v>7.82</v>
      </c>
      <c r="Q4998" s="2" t="b">
        <f>FALSE()</f>
        <v>0</v>
      </c>
      <c r="R4998">
        <v>1</v>
      </c>
    </row>
    <row r="4999" spans="1:18" x14ac:dyDescent="0.25">
      <c r="A4999">
        <v>204998</v>
      </c>
      <c r="B4999">
        <v>53139</v>
      </c>
      <c r="C4999" t="s">
        <v>18</v>
      </c>
      <c r="D4999">
        <v>2586.46</v>
      </c>
      <c r="E4999">
        <v>2906</v>
      </c>
      <c r="F4999">
        <v>0</v>
      </c>
      <c r="G4999">
        <v>4</v>
      </c>
      <c r="H4999">
        <v>0</v>
      </c>
      <c r="I4999" t="s">
        <v>19</v>
      </c>
      <c r="J4999">
        <v>0</v>
      </c>
      <c r="K4999">
        <v>66</v>
      </c>
      <c r="L4999" t="s">
        <v>24</v>
      </c>
      <c r="M4999" t="s">
        <v>35</v>
      </c>
      <c r="N4999" t="s">
        <v>22</v>
      </c>
      <c r="O4999" t="s">
        <v>36</v>
      </c>
      <c r="P4999">
        <v>0.81</v>
      </c>
      <c r="Q4999" s="2" t="b">
        <f>FALSE()</f>
        <v>0</v>
      </c>
      <c r="R4999">
        <v>0</v>
      </c>
    </row>
    <row r="5000" spans="1:18" x14ac:dyDescent="0.25">
      <c r="A5000">
        <v>204999</v>
      </c>
      <c r="B5000">
        <v>54534</v>
      </c>
      <c r="C5000" t="s">
        <v>18</v>
      </c>
      <c r="D5000">
        <v>1641.4</v>
      </c>
      <c r="E5000">
        <v>1329</v>
      </c>
      <c r="F5000">
        <v>1</v>
      </c>
      <c r="G5000">
        <v>4</v>
      </c>
      <c r="H5000">
        <v>1</v>
      </c>
      <c r="I5000" t="s">
        <v>32</v>
      </c>
      <c r="J5000">
        <v>0</v>
      </c>
      <c r="K5000">
        <v>43</v>
      </c>
      <c r="L5000" t="s">
        <v>24</v>
      </c>
      <c r="M5000" t="s">
        <v>31</v>
      </c>
      <c r="N5000" t="s">
        <v>30</v>
      </c>
      <c r="O5000" t="s">
        <v>23</v>
      </c>
      <c r="P5000">
        <v>5.85</v>
      </c>
      <c r="Q5000" s="2" t="b">
        <f>FALSE()</f>
        <v>0</v>
      </c>
      <c r="R5000">
        <v>0</v>
      </c>
    </row>
    <row r="5001" spans="1:18" x14ac:dyDescent="0.25">
      <c r="A5001">
        <v>205000</v>
      </c>
      <c r="B5001">
        <v>52044</v>
      </c>
      <c r="C5001" t="s">
        <v>18</v>
      </c>
      <c r="D5001">
        <v>3124.5</v>
      </c>
      <c r="E5001">
        <v>2236</v>
      </c>
      <c r="F5001">
        <v>0</v>
      </c>
      <c r="G5001">
        <v>3</v>
      </c>
      <c r="H5001">
        <v>0</v>
      </c>
      <c r="I5001" t="s">
        <v>33</v>
      </c>
      <c r="J5001">
        <v>1</v>
      </c>
      <c r="K5001">
        <v>29</v>
      </c>
      <c r="L5001" t="s">
        <v>24</v>
      </c>
      <c r="M5001" t="s">
        <v>29</v>
      </c>
      <c r="N5001" t="s">
        <v>26</v>
      </c>
      <c r="O5001" t="s">
        <v>27</v>
      </c>
      <c r="P5001">
        <v>2.58</v>
      </c>
      <c r="Q5001" s="2" t="b">
        <f>FALSE()</f>
        <v>0</v>
      </c>
      <c r="R5001">
        <v>0</v>
      </c>
    </row>
    <row r="5002" spans="1:18" x14ac:dyDescent="0.25">
      <c r="A5002">
        <v>205001</v>
      </c>
      <c r="B5002">
        <v>52446</v>
      </c>
      <c r="C5002" t="s">
        <v>28</v>
      </c>
      <c r="D5002">
        <v>1600.61</v>
      </c>
      <c r="E5002">
        <v>2291</v>
      </c>
      <c r="F5002">
        <v>1</v>
      </c>
      <c r="G5002">
        <v>3</v>
      </c>
      <c r="H5002">
        <v>0</v>
      </c>
      <c r="I5002" t="s">
        <v>33</v>
      </c>
      <c r="J5002">
        <v>0</v>
      </c>
      <c r="K5002">
        <v>18</v>
      </c>
      <c r="L5002" t="s">
        <v>20</v>
      </c>
      <c r="M5002" t="s">
        <v>25</v>
      </c>
      <c r="N5002" t="s">
        <v>22</v>
      </c>
      <c r="O5002" t="s">
        <v>36</v>
      </c>
      <c r="P5002">
        <v>2.67</v>
      </c>
      <c r="Q5002" s="2" t="b">
        <f>FALSE()</f>
        <v>0</v>
      </c>
      <c r="R5002">
        <v>0</v>
      </c>
    </row>
    <row r="5003" spans="1:18" x14ac:dyDescent="0.25">
      <c r="A5003">
        <v>205002</v>
      </c>
      <c r="B5003">
        <v>55932</v>
      </c>
      <c r="C5003" t="s">
        <v>18</v>
      </c>
      <c r="D5003">
        <v>717.29</v>
      </c>
      <c r="E5003">
        <v>1186</v>
      </c>
      <c r="F5003">
        <v>0</v>
      </c>
      <c r="G5003">
        <v>5</v>
      </c>
      <c r="H5003">
        <v>0</v>
      </c>
      <c r="I5003" t="s">
        <v>19</v>
      </c>
      <c r="J5003">
        <v>0</v>
      </c>
      <c r="K5003">
        <v>22</v>
      </c>
      <c r="L5003" t="s">
        <v>24</v>
      </c>
      <c r="M5003" t="s">
        <v>37</v>
      </c>
      <c r="N5003" t="s">
        <v>26</v>
      </c>
      <c r="O5003" t="s">
        <v>27</v>
      </c>
      <c r="P5003">
        <v>1.1499999999999999</v>
      </c>
      <c r="Q5003" s="2" t="b">
        <f>FALSE()</f>
        <v>0</v>
      </c>
      <c r="R5003">
        <v>0</v>
      </c>
    </row>
    <row r="5004" spans="1:18" x14ac:dyDescent="0.25">
      <c r="A5004">
        <v>205003</v>
      </c>
      <c r="B5004">
        <v>50068</v>
      </c>
      <c r="C5004" t="s">
        <v>18</v>
      </c>
      <c r="D5004">
        <v>3309.19</v>
      </c>
      <c r="E5004">
        <v>298</v>
      </c>
      <c r="F5004">
        <v>1</v>
      </c>
      <c r="G5004">
        <v>3</v>
      </c>
      <c r="H5004">
        <v>0</v>
      </c>
      <c r="I5004" t="s">
        <v>33</v>
      </c>
      <c r="J5004">
        <v>0</v>
      </c>
      <c r="K5004">
        <v>47</v>
      </c>
      <c r="L5004" t="s">
        <v>20</v>
      </c>
      <c r="M5004" t="s">
        <v>37</v>
      </c>
      <c r="N5004" t="s">
        <v>22</v>
      </c>
      <c r="O5004" t="s">
        <v>27</v>
      </c>
      <c r="P5004">
        <v>3.1</v>
      </c>
      <c r="Q5004" s="2" t="b">
        <f>FALSE()</f>
        <v>0</v>
      </c>
      <c r="R5004">
        <v>0</v>
      </c>
    </row>
    <row r="5005" spans="1:18" x14ac:dyDescent="0.25">
      <c r="A5005">
        <v>205004</v>
      </c>
      <c r="B5005">
        <v>55759</v>
      </c>
      <c r="C5005" t="s">
        <v>34</v>
      </c>
      <c r="D5005">
        <v>3300.55</v>
      </c>
      <c r="E5005">
        <v>2717</v>
      </c>
      <c r="F5005">
        <v>2</v>
      </c>
      <c r="G5005">
        <v>5</v>
      </c>
      <c r="H5005">
        <v>0</v>
      </c>
      <c r="I5005" t="s">
        <v>33</v>
      </c>
      <c r="J5005">
        <v>1</v>
      </c>
      <c r="K5005">
        <v>69</v>
      </c>
      <c r="L5005" t="s">
        <v>20</v>
      </c>
      <c r="M5005" t="s">
        <v>35</v>
      </c>
      <c r="N5005" t="s">
        <v>30</v>
      </c>
      <c r="O5005" t="s">
        <v>36</v>
      </c>
      <c r="P5005">
        <v>11.87</v>
      </c>
      <c r="Q5005" s="2" t="b">
        <f>FALSE()</f>
        <v>0</v>
      </c>
      <c r="R5005">
        <v>0</v>
      </c>
    </row>
    <row r="5006" spans="1:18" x14ac:dyDescent="0.25">
      <c r="A5006">
        <v>205005</v>
      </c>
      <c r="B5006">
        <v>52206</v>
      </c>
      <c r="C5006" t="s">
        <v>18</v>
      </c>
      <c r="D5006">
        <v>780.53</v>
      </c>
      <c r="E5006">
        <v>1506</v>
      </c>
      <c r="F5006">
        <v>0</v>
      </c>
      <c r="G5006">
        <v>4</v>
      </c>
      <c r="H5006">
        <v>1</v>
      </c>
      <c r="I5006" t="s">
        <v>32</v>
      </c>
      <c r="J5006">
        <v>0</v>
      </c>
      <c r="K5006">
        <v>25</v>
      </c>
      <c r="L5006" t="s">
        <v>20</v>
      </c>
      <c r="M5006" t="s">
        <v>25</v>
      </c>
      <c r="N5006" t="s">
        <v>30</v>
      </c>
      <c r="O5006" t="s">
        <v>27</v>
      </c>
      <c r="P5006">
        <v>0.32</v>
      </c>
      <c r="Q5006" s="2" t="b">
        <f>FALSE()</f>
        <v>0</v>
      </c>
      <c r="R5006">
        <v>0</v>
      </c>
    </row>
    <row r="5007" spans="1:18" x14ac:dyDescent="0.25">
      <c r="A5007">
        <v>205006</v>
      </c>
      <c r="B5007">
        <v>53885</v>
      </c>
      <c r="C5007" t="s">
        <v>18</v>
      </c>
      <c r="D5007">
        <v>3252.49</v>
      </c>
      <c r="E5007">
        <v>3348</v>
      </c>
      <c r="F5007">
        <v>2</v>
      </c>
      <c r="G5007">
        <v>3</v>
      </c>
      <c r="H5007">
        <v>0</v>
      </c>
      <c r="I5007" t="s">
        <v>33</v>
      </c>
      <c r="J5007">
        <v>0</v>
      </c>
      <c r="K5007">
        <v>37</v>
      </c>
      <c r="L5007" t="s">
        <v>24</v>
      </c>
      <c r="M5007" t="s">
        <v>25</v>
      </c>
      <c r="N5007" t="s">
        <v>22</v>
      </c>
      <c r="O5007" t="s">
        <v>36</v>
      </c>
      <c r="P5007">
        <v>0.59</v>
      </c>
      <c r="Q5007" s="2" t="b">
        <f>FALSE()</f>
        <v>0</v>
      </c>
      <c r="R5007">
        <v>0</v>
      </c>
    </row>
    <row r="5008" spans="1:18" x14ac:dyDescent="0.25">
      <c r="A5008">
        <v>205007</v>
      </c>
      <c r="B5008">
        <v>50624</v>
      </c>
      <c r="C5008" t="s">
        <v>34</v>
      </c>
      <c r="D5008">
        <v>1006.36</v>
      </c>
      <c r="E5008">
        <v>2275</v>
      </c>
      <c r="F5008">
        <v>1</v>
      </c>
      <c r="G5008">
        <v>7</v>
      </c>
      <c r="H5008">
        <v>0</v>
      </c>
      <c r="I5008" t="s">
        <v>33</v>
      </c>
      <c r="J5008">
        <v>0</v>
      </c>
      <c r="K5008">
        <v>71</v>
      </c>
      <c r="L5008" t="s">
        <v>20</v>
      </c>
      <c r="M5008" t="s">
        <v>29</v>
      </c>
      <c r="N5008" t="s">
        <v>22</v>
      </c>
      <c r="O5008" t="s">
        <v>23</v>
      </c>
      <c r="P5008">
        <v>0.97</v>
      </c>
      <c r="Q5008" s="2" t="b">
        <f>FALSE()</f>
        <v>0</v>
      </c>
      <c r="R5008">
        <v>1</v>
      </c>
    </row>
    <row r="5009" spans="1:18" x14ac:dyDescent="0.25">
      <c r="A5009">
        <v>205008</v>
      </c>
      <c r="B5009">
        <v>50720</v>
      </c>
      <c r="C5009" t="s">
        <v>34</v>
      </c>
      <c r="D5009">
        <v>974.39</v>
      </c>
      <c r="E5009">
        <v>2405</v>
      </c>
      <c r="F5009">
        <v>2</v>
      </c>
      <c r="G5009">
        <v>5</v>
      </c>
      <c r="H5009">
        <v>1</v>
      </c>
      <c r="I5009" t="s">
        <v>19</v>
      </c>
      <c r="J5009">
        <v>1</v>
      </c>
      <c r="K5009">
        <v>32</v>
      </c>
      <c r="L5009" t="s">
        <v>24</v>
      </c>
      <c r="M5009" t="s">
        <v>35</v>
      </c>
      <c r="N5009" t="s">
        <v>22</v>
      </c>
      <c r="O5009" t="s">
        <v>27</v>
      </c>
      <c r="P5009">
        <v>0.68</v>
      </c>
      <c r="Q5009" s="2" t="b">
        <f>FALSE()</f>
        <v>0</v>
      </c>
      <c r="R5009">
        <v>0</v>
      </c>
    </row>
    <row r="5010" spans="1:18" x14ac:dyDescent="0.25">
      <c r="A5010">
        <v>205009</v>
      </c>
      <c r="B5010">
        <v>51110</v>
      </c>
      <c r="C5010" t="s">
        <v>18</v>
      </c>
      <c r="D5010">
        <v>2149.9</v>
      </c>
      <c r="E5010">
        <v>1186</v>
      </c>
      <c r="F5010">
        <v>1</v>
      </c>
      <c r="G5010">
        <v>5</v>
      </c>
      <c r="H5010">
        <v>0</v>
      </c>
      <c r="I5010" t="s">
        <v>19</v>
      </c>
      <c r="J5010">
        <v>0</v>
      </c>
      <c r="K5010">
        <v>46</v>
      </c>
      <c r="L5010" t="s">
        <v>24</v>
      </c>
      <c r="M5010" t="s">
        <v>37</v>
      </c>
      <c r="N5010" t="s">
        <v>30</v>
      </c>
      <c r="O5010" t="s">
        <v>36</v>
      </c>
      <c r="P5010">
        <v>0.03</v>
      </c>
      <c r="Q5010" s="2" t="b">
        <f>FALSE()</f>
        <v>0</v>
      </c>
      <c r="R5010">
        <v>0</v>
      </c>
    </row>
    <row r="5011" spans="1:18" x14ac:dyDescent="0.25">
      <c r="A5011">
        <v>205010</v>
      </c>
      <c r="B5011">
        <v>50678</v>
      </c>
      <c r="C5011" t="s">
        <v>18</v>
      </c>
      <c r="D5011">
        <v>2701.35</v>
      </c>
      <c r="E5011">
        <v>2627</v>
      </c>
      <c r="F5011">
        <v>0</v>
      </c>
      <c r="G5011">
        <v>8</v>
      </c>
      <c r="H5011">
        <v>0</v>
      </c>
      <c r="I5011" t="s">
        <v>32</v>
      </c>
      <c r="J5011">
        <v>0</v>
      </c>
      <c r="K5011">
        <v>30</v>
      </c>
      <c r="L5011" t="s">
        <v>20</v>
      </c>
      <c r="M5011" t="s">
        <v>31</v>
      </c>
      <c r="N5011" t="s">
        <v>26</v>
      </c>
      <c r="O5011" t="s">
        <v>23</v>
      </c>
      <c r="P5011">
        <v>3.81</v>
      </c>
      <c r="Q5011" s="2" t="b">
        <f>FALSE()</f>
        <v>0</v>
      </c>
      <c r="R5011">
        <v>1</v>
      </c>
    </row>
    <row r="5012" spans="1:18" x14ac:dyDescent="0.25">
      <c r="A5012">
        <v>205011</v>
      </c>
      <c r="B5012">
        <v>51634</v>
      </c>
      <c r="C5012" t="s">
        <v>18</v>
      </c>
      <c r="D5012">
        <v>2506.5700000000002</v>
      </c>
      <c r="E5012">
        <v>2992</v>
      </c>
      <c r="F5012">
        <v>1</v>
      </c>
      <c r="G5012">
        <v>1</v>
      </c>
      <c r="H5012">
        <v>1</v>
      </c>
      <c r="I5012" t="s">
        <v>32</v>
      </c>
      <c r="J5012">
        <v>1</v>
      </c>
      <c r="K5012">
        <v>26</v>
      </c>
      <c r="L5012" t="s">
        <v>38</v>
      </c>
      <c r="M5012" t="s">
        <v>37</v>
      </c>
      <c r="N5012" t="s">
        <v>30</v>
      </c>
      <c r="O5012" t="s">
        <v>23</v>
      </c>
      <c r="P5012">
        <v>4.04</v>
      </c>
      <c r="Q5012" s="2" t="b">
        <f>FALSE()</f>
        <v>0</v>
      </c>
      <c r="R5012">
        <v>0</v>
      </c>
    </row>
    <row r="5013" spans="1:18" x14ac:dyDescent="0.25">
      <c r="A5013">
        <v>205012</v>
      </c>
      <c r="B5013">
        <v>50944</v>
      </c>
      <c r="C5013" t="s">
        <v>34</v>
      </c>
      <c r="D5013">
        <v>898.74</v>
      </c>
      <c r="E5013">
        <v>629</v>
      </c>
      <c r="F5013">
        <v>1</v>
      </c>
      <c r="G5013">
        <v>7</v>
      </c>
      <c r="H5013">
        <v>0</v>
      </c>
      <c r="I5013" t="s">
        <v>32</v>
      </c>
      <c r="J5013">
        <v>0</v>
      </c>
      <c r="K5013">
        <v>78</v>
      </c>
      <c r="L5013" t="s">
        <v>24</v>
      </c>
      <c r="M5013" t="s">
        <v>25</v>
      </c>
      <c r="N5013" t="s">
        <v>30</v>
      </c>
      <c r="O5013" t="s">
        <v>36</v>
      </c>
      <c r="P5013">
        <v>12.64</v>
      </c>
      <c r="Q5013" s="2" t="b">
        <f>FALSE()</f>
        <v>0</v>
      </c>
      <c r="R5013">
        <v>1</v>
      </c>
    </row>
    <row r="5014" spans="1:18" x14ac:dyDescent="0.25">
      <c r="A5014">
        <v>205013</v>
      </c>
      <c r="B5014">
        <v>55537</v>
      </c>
      <c r="C5014" t="s">
        <v>34</v>
      </c>
      <c r="D5014">
        <v>1444.23</v>
      </c>
      <c r="E5014">
        <v>324</v>
      </c>
      <c r="F5014">
        <v>0</v>
      </c>
      <c r="G5014">
        <v>4</v>
      </c>
      <c r="H5014">
        <v>0</v>
      </c>
      <c r="I5014" t="s">
        <v>19</v>
      </c>
      <c r="J5014">
        <v>0</v>
      </c>
      <c r="K5014">
        <v>34</v>
      </c>
      <c r="L5014" t="s">
        <v>20</v>
      </c>
      <c r="M5014" t="s">
        <v>21</v>
      </c>
      <c r="N5014" t="s">
        <v>22</v>
      </c>
      <c r="O5014" t="s">
        <v>27</v>
      </c>
      <c r="P5014">
        <v>1.99</v>
      </c>
      <c r="Q5014" s="2" t="b">
        <f>FALSE()</f>
        <v>0</v>
      </c>
      <c r="R5014">
        <v>0</v>
      </c>
    </row>
    <row r="5015" spans="1:18" x14ac:dyDescent="0.25">
      <c r="A5015">
        <v>205014</v>
      </c>
      <c r="B5015">
        <v>53451</v>
      </c>
      <c r="C5015" t="s">
        <v>34</v>
      </c>
      <c r="D5015">
        <v>2295.92</v>
      </c>
      <c r="E5015">
        <v>2182</v>
      </c>
      <c r="F5015">
        <v>2</v>
      </c>
      <c r="G5015">
        <v>3</v>
      </c>
      <c r="H5015">
        <v>0</v>
      </c>
      <c r="I5015" t="s">
        <v>33</v>
      </c>
      <c r="J5015">
        <v>0</v>
      </c>
      <c r="K5015">
        <v>24</v>
      </c>
      <c r="L5015" t="s">
        <v>20</v>
      </c>
      <c r="M5015" t="s">
        <v>37</v>
      </c>
      <c r="N5015" t="s">
        <v>22</v>
      </c>
      <c r="O5015" t="s">
        <v>27</v>
      </c>
      <c r="P5015">
        <v>1.32</v>
      </c>
      <c r="Q5015" s="2" t="b">
        <f>FALSE()</f>
        <v>0</v>
      </c>
      <c r="R5015">
        <v>0</v>
      </c>
    </row>
    <row r="5016" spans="1:18" x14ac:dyDescent="0.25">
      <c r="A5016">
        <v>205015</v>
      </c>
      <c r="B5016">
        <v>52588</v>
      </c>
      <c r="C5016" t="s">
        <v>18</v>
      </c>
      <c r="D5016">
        <v>695.25</v>
      </c>
      <c r="E5016">
        <v>3369</v>
      </c>
      <c r="F5016">
        <v>3</v>
      </c>
      <c r="G5016">
        <v>1</v>
      </c>
      <c r="H5016">
        <v>1</v>
      </c>
      <c r="I5016" t="s">
        <v>19</v>
      </c>
      <c r="J5016">
        <v>0</v>
      </c>
      <c r="K5016">
        <v>62</v>
      </c>
      <c r="L5016" t="s">
        <v>24</v>
      </c>
      <c r="M5016" t="s">
        <v>25</v>
      </c>
      <c r="N5016" t="s">
        <v>22</v>
      </c>
      <c r="O5016" t="s">
        <v>23</v>
      </c>
      <c r="P5016">
        <v>1.25</v>
      </c>
      <c r="Q5016" s="2" t="b">
        <f>FALSE()</f>
        <v>0</v>
      </c>
      <c r="R5016">
        <v>1</v>
      </c>
    </row>
    <row r="5017" spans="1:18" x14ac:dyDescent="0.25">
      <c r="A5017">
        <v>205016</v>
      </c>
      <c r="B5017">
        <v>53664</v>
      </c>
      <c r="C5017" t="s">
        <v>18</v>
      </c>
      <c r="D5017">
        <v>596.36</v>
      </c>
      <c r="E5017">
        <v>2981</v>
      </c>
      <c r="F5017">
        <v>1</v>
      </c>
      <c r="G5017">
        <v>3</v>
      </c>
      <c r="H5017">
        <v>0</v>
      </c>
      <c r="I5017" t="s">
        <v>33</v>
      </c>
      <c r="J5017">
        <v>0</v>
      </c>
      <c r="K5017">
        <v>48</v>
      </c>
      <c r="L5017" t="s">
        <v>20</v>
      </c>
      <c r="M5017" t="s">
        <v>31</v>
      </c>
      <c r="N5017" t="s">
        <v>22</v>
      </c>
      <c r="O5017" t="s">
        <v>27</v>
      </c>
      <c r="P5017">
        <v>2.0099999999999998</v>
      </c>
      <c r="Q5017" s="2" t="b">
        <f>FALSE()</f>
        <v>0</v>
      </c>
      <c r="R5017">
        <v>0</v>
      </c>
    </row>
    <row r="5018" spans="1:18" x14ac:dyDescent="0.25">
      <c r="A5018">
        <v>205017</v>
      </c>
      <c r="B5018">
        <v>55573</v>
      </c>
      <c r="C5018" t="s">
        <v>28</v>
      </c>
      <c r="D5018">
        <v>598.96</v>
      </c>
      <c r="E5018">
        <v>3156</v>
      </c>
      <c r="F5018">
        <v>2</v>
      </c>
      <c r="G5018">
        <v>5</v>
      </c>
      <c r="H5018">
        <v>0</v>
      </c>
      <c r="I5018" t="s">
        <v>33</v>
      </c>
      <c r="J5018">
        <v>0</v>
      </c>
      <c r="K5018">
        <v>21</v>
      </c>
      <c r="L5018" t="s">
        <v>24</v>
      </c>
      <c r="M5018" t="s">
        <v>29</v>
      </c>
      <c r="N5018" t="s">
        <v>22</v>
      </c>
      <c r="O5018" t="s">
        <v>36</v>
      </c>
      <c r="P5018">
        <v>0.88</v>
      </c>
      <c r="Q5018" s="2" t="b">
        <f>FALSE()</f>
        <v>0</v>
      </c>
      <c r="R5018">
        <v>0</v>
      </c>
    </row>
    <row r="5019" spans="1:18" x14ac:dyDescent="0.25">
      <c r="A5019">
        <v>205018</v>
      </c>
      <c r="B5019">
        <v>54384</v>
      </c>
      <c r="C5019" t="s">
        <v>18</v>
      </c>
      <c r="D5019">
        <v>520.79</v>
      </c>
      <c r="E5019">
        <v>1937</v>
      </c>
      <c r="F5019">
        <v>1</v>
      </c>
      <c r="G5019">
        <v>3</v>
      </c>
      <c r="H5019">
        <v>1</v>
      </c>
      <c r="I5019" t="s">
        <v>33</v>
      </c>
      <c r="J5019">
        <v>0</v>
      </c>
      <c r="K5019">
        <v>34</v>
      </c>
      <c r="L5019" t="s">
        <v>20</v>
      </c>
      <c r="M5019" t="s">
        <v>25</v>
      </c>
      <c r="N5019" t="s">
        <v>30</v>
      </c>
      <c r="O5019" t="s">
        <v>27</v>
      </c>
      <c r="P5019">
        <v>3.32</v>
      </c>
      <c r="Q5019" s="2" t="b">
        <f>FALSE()</f>
        <v>0</v>
      </c>
      <c r="R5019">
        <v>0</v>
      </c>
    </row>
    <row r="5020" spans="1:18" x14ac:dyDescent="0.25">
      <c r="A5020">
        <v>205019</v>
      </c>
      <c r="B5020">
        <v>51776</v>
      </c>
      <c r="C5020" t="s">
        <v>18</v>
      </c>
      <c r="D5020">
        <v>1748.34</v>
      </c>
      <c r="E5020">
        <v>3151</v>
      </c>
      <c r="F5020">
        <v>3</v>
      </c>
      <c r="G5020">
        <v>5</v>
      </c>
      <c r="H5020">
        <v>1</v>
      </c>
      <c r="I5020" t="s">
        <v>19</v>
      </c>
      <c r="J5020">
        <v>0</v>
      </c>
      <c r="K5020">
        <v>57</v>
      </c>
      <c r="L5020" t="s">
        <v>20</v>
      </c>
      <c r="M5020" t="s">
        <v>37</v>
      </c>
      <c r="N5020" t="s">
        <v>22</v>
      </c>
      <c r="O5020" t="s">
        <v>27</v>
      </c>
      <c r="P5020">
        <v>0.01</v>
      </c>
      <c r="Q5020" s="2" t="b">
        <f>FALSE()</f>
        <v>0</v>
      </c>
      <c r="R5020">
        <v>1</v>
      </c>
    </row>
    <row r="5021" spans="1:18" x14ac:dyDescent="0.25">
      <c r="A5021">
        <v>205020</v>
      </c>
      <c r="B5021">
        <v>53411</v>
      </c>
      <c r="C5021" t="s">
        <v>18</v>
      </c>
      <c r="D5021">
        <v>1508.52</v>
      </c>
      <c r="E5021">
        <v>3465</v>
      </c>
      <c r="F5021">
        <v>2</v>
      </c>
      <c r="G5021">
        <v>3</v>
      </c>
      <c r="H5021">
        <v>0</v>
      </c>
      <c r="I5021" t="s">
        <v>33</v>
      </c>
      <c r="J5021">
        <v>0</v>
      </c>
      <c r="K5021">
        <v>52</v>
      </c>
      <c r="L5021" t="s">
        <v>20</v>
      </c>
      <c r="M5021" t="s">
        <v>35</v>
      </c>
      <c r="N5021" t="s">
        <v>30</v>
      </c>
      <c r="O5021" t="s">
        <v>27</v>
      </c>
      <c r="P5021">
        <v>2.12</v>
      </c>
      <c r="Q5021" s="2" t="b">
        <f>FALSE()</f>
        <v>0</v>
      </c>
      <c r="R5021">
        <v>0</v>
      </c>
    </row>
    <row r="5022" spans="1:18" x14ac:dyDescent="0.25">
      <c r="A5022">
        <v>205021</v>
      </c>
      <c r="B5022">
        <v>51787</v>
      </c>
      <c r="C5022" t="s">
        <v>18</v>
      </c>
      <c r="D5022">
        <v>4928.12</v>
      </c>
      <c r="E5022">
        <v>314</v>
      </c>
      <c r="F5022">
        <v>0</v>
      </c>
      <c r="G5022">
        <v>4</v>
      </c>
      <c r="H5022">
        <v>0</v>
      </c>
      <c r="I5022" t="s">
        <v>19</v>
      </c>
      <c r="J5022">
        <v>0</v>
      </c>
      <c r="K5022">
        <v>66</v>
      </c>
      <c r="L5022" t="s">
        <v>20</v>
      </c>
      <c r="M5022" t="s">
        <v>31</v>
      </c>
      <c r="N5022" t="s">
        <v>22</v>
      </c>
      <c r="O5022" t="s">
        <v>23</v>
      </c>
      <c r="P5022">
        <v>8.92</v>
      </c>
      <c r="Q5022" s="2" t="b">
        <f>FALSE()</f>
        <v>0</v>
      </c>
      <c r="R5022">
        <v>1</v>
      </c>
    </row>
    <row r="5023" spans="1:18" x14ac:dyDescent="0.25">
      <c r="A5023">
        <v>205022</v>
      </c>
      <c r="B5023">
        <v>54943</v>
      </c>
      <c r="C5023" t="s">
        <v>18</v>
      </c>
      <c r="D5023">
        <v>115.65</v>
      </c>
      <c r="E5023">
        <v>3604</v>
      </c>
      <c r="F5023">
        <v>0</v>
      </c>
      <c r="G5023">
        <v>8</v>
      </c>
      <c r="H5023">
        <v>0</v>
      </c>
      <c r="I5023" t="s">
        <v>32</v>
      </c>
      <c r="J5023">
        <v>0</v>
      </c>
      <c r="K5023">
        <v>70</v>
      </c>
      <c r="L5023" t="s">
        <v>24</v>
      </c>
      <c r="M5023" t="s">
        <v>31</v>
      </c>
      <c r="N5023" t="s">
        <v>22</v>
      </c>
      <c r="O5023" t="s">
        <v>36</v>
      </c>
      <c r="P5023">
        <v>7.05</v>
      </c>
      <c r="Q5023" s="2" t="b">
        <f>FALSE()</f>
        <v>0</v>
      </c>
      <c r="R5023">
        <v>1</v>
      </c>
    </row>
    <row r="5024" spans="1:18" x14ac:dyDescent="0.25">
      <c r="A5024">
        <v>205023</v>
      </c>
      <c r="B5024">
        <v>51461</v>
      </c>
      <c r="C5024" t="s">
        <v>18</v>
      </c>
      <c r="D5024">
        <v>4184.16</v>
      </c>
      <c r="E5024">
        <v>3551</v>
      </c>
      <c r="F5024">
        <v>1</v>
      </c>
      <c r="G5024">
        <v>5</v>
      </c>
      <c r="H5024">
        <v>0</v>
      </c>
      <c r="I5024" t="s">
        <v>19</v>
      </c>
      <c r="J5024">
        <v>1</v>
      </c>
      <c r="K5024">
        <v>69</v>
      </c>
      <c r="L5024" t="s">
        <v>24</v>
      </c>
      <c r="M5024" t="s">
        <v>25</v>
      </c>
      <c r="N5024" t="s">
        <v>22</v>
      </c>
      <c r="O5024" t="s">
        <v>36</v>
      </c>
      <c r="P5024">
        <v>2.15</v>
      </c>
      <c r="Q5024" s="2" t="b">
        <f>FALSE()</f>
        <v>0</v>
      </c>
      <c r="R5024">
        <v>1</v>
      </c>
    </row>
    <row r="5025" spans="1:18" x14ac:dyDescent="0.25">
      <c r="A5025">
        <v>205024</v>
      </c>
      <c r="B5025">
        <v>51283</v>
      </c>
      <c r="C5025" t="s">
        <v>18</v>
      </c>
      <c r="D5025">
        <v>513.48</v>
      </c>
      <c r="E5025">
        <v>874</v>
      </c>
      <c r="F5025">
        <v>1</v>
      </c>
      <c r="G5025">
        <v>0</v>
      </c>
      <c r="H5025">
        <v>0</v>
      </c>
      <c r="I5025" t="s">
        <v>32</v>
      </c>
      <c r="J5025">
        <v>0</v>
      </c>
      <c r="K5025">
        <v>55</v>
      </c>
      <c r="L5025" t="s">
        <v>24</v>
      </c>
      <c r="M5025" t="s">
        <v>21</v>
      </c>
      <c r="N5025" t="s">
        <v>26</v>
      </c>
      <c r="O5025" t="s">
        <v>36</v>
      </c>
      <c r="P5025">
        <v>11.44</v>
      </c>
      <c r="Q5025" s="2" t="b">
        <f>FALSE()</f>
        <v>0</v>
      </c>
      <c r="R5025">
        <v>0</v>
      </c>
    </row>
    <row r="5026" spans="1:18" x14ac:dyDescent="0.25">
      <c r="A5026">
        <v>205025</v>
      </c>
      <c r="B5026">
        <v>53882</v>
      </c>
      <c r="C5026" t="s">
        <v>34</v>
      </c>
      <c r="D5026">
        <v>464.98</v>
      </c>
      <c r="E5026">
        <v>599</v>
      </c>
      <c r="F5026">
        <v>2</v>
      </c>
      <c r="G5026">
        <v>2</v>
      </c>
      <c r="H5026">
        <v>0</v>
      </c>
      <c r="I5026" t="s">
        <v>33</v>
      </c>
      <c r="J5026">
        <v>0</v>
      </c>
      <c r="K5026">
        <v>55</v>
      </c>
      <c r="L5026" t="s">
        <v>20</v>
      </c>
      <c r="M5026" t="s">
        <v>31</v>
      </c>
      <c r="N5026" t="s">
        <v>22</v>
      </c>
      <c r="O5026" t="s">
        <v>36</v>
      </c>
      <c r="P5026">
        <v>0.57999999999999996</v>
      </c>
      <c r="Q5026" s="2" t="b">
        <f>FALSE()</f>
        <v>0</v>
      </c>
      <c r="R5026">
        <v>0</v>
      </c>
    </row>
    <row r="5027" spans="1:18" x14ac:dyDescent="0.25">
      <c r="A5027">
        <v>205026</v>
      </c>
      <c r="B5027">
        <v>54742</v>
      </c>
      <c r="C5027" t="s">
        <v>28</v>
      </c>
      <c r="D5027">
        <v>1417.48</v>
      </c>
      <c r="E5027">
        <v>325</v>
      </c>
      <c r="F5027">
        <v>2</v>
      </c>
      <c r="G5027">
        <v>5</v>
      </c>
      <c r="H5027">
        <v>1</v>
      </c>
      <c r="I5027" t="s">
        <v>33</v>
      </c>
      <c r="J5027">
        <v>0</v>
      </c>
      <c r="K5027">
        <v>43</v>
      </c>
      <c r="L5027" t="s">
        <v>24</v>
      </c>
      <c r="M5027" t="s">
        <v>31</v>
      </c>
      <c r="N5027" t="s">
        <v>30</v>
      </c>
      <c r="O5027" t="s">
        <v>27</v>
      </c>
      <c r="P5027">
        <v>0.26</v>
      </c>
      <c r="Q5027" s="2" t="b">
        <f>FALSE()</f>
        <v>0</v>
      </c>
      <c r="R5027">
        <v>0</v>
      </c>
    </row>
    <row r="5028" spans="1:18" x14ac:dyDescent="0.25">
      <c r="A5028">
        <v>205027</v>
      </c>
      <c r="B5028">
        <v>51101</v>
      </c>
      <c r="C5028" t="s">
        <v>18</v>
      </c>
      <c r="D5028">
        <v>733.94</v>
      </c>
      <c r="E5028">
        <v>2627</v>
      </c>
      <c r="F5028">
        <v>2</v>
      </c>
      <c r="G5028">
        <v>4</v>
      </c>
      <c r="H5028">
        <v>0</v>
      </c>
      <c r="I5028" t="s">
        <v>19</v>
      </c>
      <c r="J5028">
        <v>0</v>
      </c>
      <c r="K5028">
        <v>76</v>
      </c>
      <c r="L5028" t="s">
        <v>24</v>
      </c>
      <c r="M5028" t="s">
        <v>21</v>
      </c>
      <c r="N5028" t="s">
        <v>22</v>
      </c>
      <c r="O5028" t="s">
        <v>27</v>
      </c>
      <c r="P5028">
        <v>0.9</v>
      </c>
      <c r="Q5028" s="2" t="b">
        <f>FALSE()</f>
        <v>0</v>
      </c>
      <c r="R5028">
        <v>0</v>
      </c>
    </row>
    <row r="5029" spans="1:18" x14ac:dyDescent="0.25">
      <c r="A5029">
        <v>205028</v>
      </c>
      <c r="B5029">
        <v>51185</v>
      </c>
      <c r="C5029" t="s">
        <v>18</v>
      </c>
      <c r="D5029">
        <v>1738.8</v>
      </c>
      <c r="E5029">
        <v>1603</v>
      </c>
      <c r="F5029">
        <v>3</v>
      </c>
      <c r="G5029">
        <v>4</v>
      </c>
      <c r="H5029">
        <v>0</v>
      </c>
      <c r="I5029" t="s">
        <v>33</v>
      </c>
      <c r="J5029">
        <v>1</v>
      </c>
      <c r="K5029">
        <v>37</v>
      </c>
      <c r="L5029" t="s">
        <v>20</v>
      </c>
      <c r="M5029" t="s">
        <v>21</v>
      </c>
      <c r="N5029" t="s">
        <v>30</v>
      </c>
      <c r="O5029" t="s">
        <v>27</v>
      </c>
      <c r="P5029">
        <v>1.62</v>
      </c>
      <c r="Q5029" s="2" t="b">
        <f>FALSE()</f>
        <v>0</v>
      </c>
      <c r="R5029">
        <v>1</v>
      </c>
    </row>
    <row r="5030" spans="1:18" x14ac:dyDescent="0.25">
      <c r="A5030">
        <v>205029</v>
      </c>
      <c r="B5030">
        <v>55519</v>
      </c>
      <c r="C5030" t="s">
        <v>34</v>
      </c>
      <c r="D5030">
        <v>1926.34</v>
      </c>
      <c r="E5030">
        <v>698</v>
      </c>
      <c r="F5030">
        <v>1</v>
      </c>
      <c r="G5030">
        <v>3</v>
      </c>
      <c r="H5030">
        <v>0</v>
      </c>
      <c r="I5030" t="s">
        <v>33</v>
      </c>
      <c r="J5030">
        <v>0</v>
      </c>
      <c r="K5030">
        <v>82</v>
      </c>
      <c r="L5030" t="s">
        <v>24</v>
      </c>
      <c r="M5030" t="s">
        <v>21</v>
      </c>
      <c r="N5030" t="s">
        <v>30</v>
      </c>
      <c r="O5030" t="s">
        <v>27</v>
      </c>
      <c r="P5030">
        <v>2.0099999999999998</v>
      </c>
      <c r="Q5030" s="2" t="b">
        <f>FALSE()</f>
        <v>0</v>
      </c>
      <c r="R5030">
        <v>0</v>
      </c>
    </row>
    <row r="5031" spans="1:18" x14ac:dyDescent="0.25">
      <c r="A5031">
        <v>205030</v>
      </c>
      <c r="B5031">
        <v>55055</v>
      </c>
      <c r="C5031" t="s">
        <v>18</v>
      </c>
      <c r="D5031">
        <v>2817.97</v>
      </c>
      <c r="E5031">
        <v>1601</v>
      </c>
      <c r="F5031">
        <v>0</v>
      </c>
      <c r="G5031">
        <v>5</v>
      </c>
      <c r="H5031">
        <v>0</v>
      </c>
      <c r="I5031" t="s">
        <v>19</v>
      </c>
      <c r="J5031">
        <v>0</v>
      </c>
      <c r="K5031">
        <v>37</v>
      </c>
      <c r="L5031" t="s">
        <v>20</v>
      </c>
      <c r="M5031" t="s">
        <v>35</v>
      </c>
      <c r="N5031" t="s">
        <v>22</v>
      </c>
      <c r="O5031" t="s">
        <v>27</v>
      </c>
      <c r="P5031">
        <v>8.86</v>
      </c>
      <c r="Q5031" s="2" t="b">
        <f>FALSE()</f>
        <v>0</v>
      </c>
      <c r="R5031">
        <v>0</v>
      </c>
    </row>
    <row r="5032" spans="1:18" x14ac:dyDescent="0.25">
      <c r="A5032">
        <v>205031</v>
      </c>
      <c r="B5032">
        <v>53930</v>
      </c>
      <c r="C5032" t="s">
        <v>34</v>
      </c>
      <c r="D5032">
        <v>2753.58</v>
      </c>
      <c r="E5032">
        <v>1541</v>
      </c>
      <c r="F5032">
        <v>0</v>
      </c>
      <c r="G5032">
        <v>3</v>
      </c>
      <c r="H5032">
        <v>0</v>
      </c>
      <c r="I5032" t="s">
        <v>32</v>
      </c>
      <c r="J5032">
        <v>0</v>
      </c>
      <c r="K5032">
        <v>56</v>
      </c>
      <c r="L5032" t="s">
        <v>24</v>
      </c>
      <c r="M5032" t="s">
        <v>35</v>
      </c>
      <c r="N5032" t="s">
        <v>22</v>
      </c>
      <c r="O5032" t="s">
        <v>27</v>
      </c>
      <c r="P5032">
        <v>1.59</v>
      </c>
      <c r="Q5032" s="2" t="b">
        <f>FALSE()</f>
        <v>0</v>
      </c>
      <c r="R5032">
        <v>0</v>
      </c>
    </row>
    <row r="5033" spans="1:18" x14ac:dyDescent="0.25">
      <c r="A5033">
        <v>205032</v>
      </c>
      <c r="B5033">
        <v>51256</v>
      </c>
      <c r="C5033" t="s">
        <v>28</v>
      </c>
      <c r="D5033">
        <v>1152.49</v>
      </c>
      <c r="E5033">
        <v>1517</v>
      </c>
      <c r="F5033">
        <v>1</v>
      </c>
      <c r="G5033">
        <v>3</v>
      </c>
      <c r="H5033">
        <v>0</v>
      </c>
      <c r="I5033" t="s">
        <v>33</v>
      </c>
      <c r="J5033">
        <v>0</v>
      </c>
      <c r="K5033">
        <v>82</v>
      </c>
      <c r="L5033" t="s">
        <v>24</v>
      </c>
      <c r="M5033" t="s">
        <v>37</v>
      </c>
      <c r="N5033" t="s">
        <v>26</v>
      </c>
      <c r="O5033" t="s">
        <v>27</v>
      </c>
      <c r="P5033">
        <v>1.46</v>
      </c>
      <c r="Q5033" s="2" t="b">
        <f>FALSE()</f>
        <v>0</v>
      </c>
      <c r="R5033">
        <v>0</v>
      </c>
    </row>
    <row r="5034" spans="1:18" x14ac:dyDescent="0.25">
      <c r="A5034">
        <v>205033</v>
      </c>
      <c r="B5034">
        <v>51887</v>
      </c>
      <c r="C5034" t="s">
        <v>18</v>
      </c>
      <c r="D5034">
        <v>2426.79</v>
      </c>
      <c r="E5034">
        <v>456</v>
      </c>
      <c r="F5034">
        <v>0</v>
      </c>
      <c r="G5034">
        <v>3</v>
      </c>
      <c r="H5034">
        <v>1</v>
      </c>
      <c r="I5034" t="s">
        <v>33</v>
      </c>
      <c r="J5034">
        <v>0</v>
      </c>
      <c r="K5034">
        <v>41</v>
      </c>
      <c r="L5034" t="s">
        <v>24</v>
      </c>
      <c r="M5034" t="s">
        <v>31</v>
      </c>
      <c r="N5034" t="s">
        <v>30</v>
      </c>
      <c r="O5034" t="s">
        <v>23</v>
      </c>
      <c r="P5034">
        <v>7.25</v>
      </c>
      <c r="Q5034" s="2" t="b">
        <f>FALSE()</f>
        <v>0</v>
      </c>
      <c r="R5034">
        <v>0</v>
      </c>
    </row>
    <row r="5035" spans="1:18" x14ac:dyDescent="0.25">
      <c r="A5035">
        <v>205034</v>
      </c>
      <c r="B5035">
        <v>53404</v>
      </c>
      <c r="C5035" t="s">
        <v>18</v>
      </c>
      <c r="D5035">
        <v>1151.28</v>
      </c>
      <c r="E5035">
        <v>433</v>
      </c>
      <c r="F5035">
        <v>1</v>
      </c>
      <c r="G5035">
        <v>4</v>
      </c>
      <c r="H5035">
        <v>1</v>
      </c>
      <c r="I5035" t="s">
        <v>33</v>
      </c>
      <c r="J5035">
        <v>0</v>
      </c>
      <c r="K5035">
        <v>60</v>
      </c>
      <c r="L5035" t="s">
        <v>20</v>
      </c>
      <c r="M5035" t="s">
        <v>35</v>
      </c>
      <c r="N5035" t="s">
        <v>22</v>
      </c>
      <c r="O5035" t="s">
        <v>36</v>
      </c>
      <c r="P5035">
        <v>1.04</v>
      </c>
      <c r="Q5035" s="2" t="b">
        <f>FALSE()</f>
        <v>0</v>
      </c>
      <c r="R5035">
        <v>0</v>
      </c>
    </row>
    <row r="5036" spans="1:18" x14ac:dyDescent="0.25">
      <c r="A5036">
        <v>205035</v>
      </c>
      <c r="B5036">
        <v>55587</v>
      </c>
      <c r="C5036" t="s">
        <v>34</v>
      </c>
      <c r="D5036">
        <v>668.07</v>
      </c>
      <c r="E5036">
        <v>2909</v>
      </c>
      <c r="F5036">
        <v>0</v>
      </c>
      <c r="G5036">
        <v>3</v>
      </c>
      <c r="H5036">
        <v>0</v>
      </c>
      <c r="I5036" t="s">
        <v>33</v>
      </c>
      <c r="J5036">
        <v>0</v>
      </c>
      <c r="K5036">
        <v>49</v>
      </c>
      <c r="L5036" t="s">
        <v>20</v>
      </c>
      <c r="M5036" t="s">
        <v>31</v>
      </c>
      <c r="N5036" t="s">
        <v>22</v>
      </c>
      <c r="O5036" t="s">
        <v>36</v>
      </c>
      <c r="P5036">
        <v>0.03</v>
      </c>
      <c r="Q5036" s="2" t="b">
        <f>FALSE()</f>
        <v>0</v>
      </c>
      <c r="R5036">
        <v>0</v>
      </c>
    </row>
    <row r="5037" spans="1:18" x14ac:dyDescent="0.25">
      <c r="A5037">
        <v>205036</v>
      </c>
      <c r="B5037">
        <v>50679</v>
      </c>
      <c r="C5037" t="s">
        <v>18</v>
      </c>
      <c r="D5037">
        <v>7410.04</v>
      </c>
      <c r="E5037">
        <v>2174</v>
      </c>
      <c r="F5037">
        <v>0</v>
      </c>
      <c r="G5037">
        <v>4</v>
      </c>
      <c r="H5037">
        <v>0</v>
      </c>
      <c r="I5037" t="s">
        <v>32</v>
      </c>
      <c r="J5037">
        <v>0</v>
      </c>
      <c r="K5037">
        <v>39</v>
      </c>
      <c r="L5037" t="s">
        <v>24</v>
      </c>
      <c r="M5037" t="s">
        <v>29</v>
      </c>
      <c r="N5037" t="s">
        <v>30</v>
      </c>
      <c r="O5037" t="s">
        <v>23</v>
      </c>
      <c r="P5037">
        <v>0.02</v>
      </c>
      <c r="Q5037" s="2" t="b">
        <f>TRUE()</f>
        <v>1</v>
      </c>
      <c r="R5037">
        <v>1</v>
      </c>
    </row>
    <row r="5038" spans="1:18" x14ac:dyDescent="0.25">
      <c r="A5038">
        <v>205037</v>
      </c>
      <c r="B5038">
        <v>55038</v>
      </c>
      <c r="C5038" t="s">
        <v>18</v>
      </c>
      <c r="D5038">
        <v>3162.06</v>
      </c>
      <c r="E5038">
        <v>2047</v>
      </c>
      <c r="F5038">
        <v>1</v>
      </c>
      <c r="G5038">
        <v>7</v>
      </c>
      <c r="H5038">
        <v>0</v>
      </c>
      <c r="I5038" t="s">
        <v>19</v>
      </c>
      <c r="J5038">
        <v>1</v>
      </c>
      <c r="K5038">
        <v>64</v>
      </c>
      <c r="L5038" t="s">
        <v>20</v>
      </c>
      <c r="M5038" t="s">
        <v>31</v>
      </c>
      <c r="N5038" t="s">
        <v>22</v>
      </c>
      <c r="O5038" t="s">
        <v>27</v>
      </c>
      <c r="P5038">
        <v>3.77</v>
      </c>
      <c r="Q5038" s="2" t="b">
        <f>FALSE()</f>
        <v>0</v>
      </c>
      <c r="R5038">
        <v>1</v>
      </c>
    </row>
    <row r="5039" spans="1:18" x14ac:dyDescent="0.25">
      <c r="A5039">
        <v>205038</v>
      </c>
      <c r="B5039">
        <v>53096</v>
      </c>
      <c r="C5039" t="s">
        <v>34</v>
      </c>
      <c r="D5039">
        <v>1757.88</v>
      </c>
      <c r="E5039">
        <v>61</v>
      </c>
      <c r="F5039">
        <v>0</v>
      </c>
      <c r="G5039">
        <v>5</v>
      </c>
      <c r="H5039">
        <v>1</v>
      </c>
      <c r="I5039" t="s">
        <v>19</v>
      </c>
      <c r="J5039">
        <v>0</v>
      </c>
      <c r="K5039">
        <v>48</v>
      </c>
      <c r="L5039" t="s">
        <v>20</v>
      </c>
      <c r="M5039" t="s">
        <v>29</v>
      </c>
      <c r="N5039" t="s">
        <v>30</v>
      </c>
      <c r="O5039" t="s">
        <v>36</v>
      </c>
      <c r="P5039">
        <v>1.44</v>
      </c>
      <c r="Q5039" s="2" t="b">
        <f>FALSE()</f>
        <v>0</v>
      </c>
      <c r="R5039">
        <v>0</v>
      </c>
    </row>
    <row r="5040" spans="1:18" x14ac:dyDescent="0.25">
      <c r="A5040">
        <v>205039</v>
      </c>
      <c r="B5040">
        <v>55395</v>
      </c>
      <c r="C5040" t="s">
        <v>34</v>
      </c>
      <c r="D5040">
        <v>604.26</v>
      </c>
      <c r="E5040">
        <v>384</v>
      </c>
      <c r="F5040">
        <v>0</v>
      </c>
      <c r="G5040">
        <v>4</v>
      </c>
      <c r="H5040">
        <v>0</v>
      </c>
      <c r="I5040" t="s">
        <v>33</v>
      </c>
      <c r="J5040">
        <v>0</v>
      </c>
      <c r="K5040">
        <v>77</v>
      </c>
      <c r="L5040" t="s">
        <v>24</v>
      </c>
      <c r="M5040" t="s">
        <v>35</v>
      </c>
      <c r="N5040" t="s">
        <v>30</v>
      </c>
      <c r="O5040" t="s">
        <v>27</v>
      </c>
      <c r="P5040">
        <v>1.1299999999999999</v>
      </c>
      <c r="Q5040" s="2" t="b">
        <f>FALSE()</f>
        <v>0</v>
      </c>
      <c r="R5040">
        <v>0</v>
      </c>
    </row>
    <row r="5041" spans="1:18" x14ac:dyDescent="0.25">
      <c r="A5041">
        <v>205040</v>
      </c>
      <c r="B5041">
        <v>51580</v>
      </c>
      <c r="C5041" t="s">
        <v>34</v>
      </c>
      <c r="D5041">
        <v>1610.6</v>
      </c>
      <c r="E5041">
        <v>3043</v>
      </c>
      <c r="F5041">
        <v>0</v>
      </c>
      <c r="G5041">
        <v>5</v>
      </c>
      <c r="H5041">
        <v>0</v>
      </c>
      <c r="I5041" t="s">
        <v>32</v>
      </c>
      <c r="J5041">
        <v>0</v>
      </c>
      <c r="K5041">
        <v>39</v>
      </c>
      <c r="L5041" t="s">
        <v>20</v>
      </c>
      <c r="M5041" t="s">
        <v>25</v>
      </c>
      <c r="N5041" t="s">
        <v>30</v>
      </c>
      <c r="O5041" t="s">
        <v>36</v>
      </c>
      <c r="P5041">
        <v>4.13</v>
      </c>
      <c r="Q5041" s="2" t="b">
        <f>FALSE()</f>
        <v>0</v>
      </c>
      <c r="R5041">
        <v>0</v>
      </c>
    </row>
    <row r="5042" spans="1:18" x14ac:dyDescent="0.25">
      <c r="A5042">
        <v>205041</v>
      </c>
      <c r="B5042">
        <v>55128</v>
      </c>
      <c r="C5042" t="s">
        <v>18</v>
      </c>
      <c r="D5042">
        <v>548.87</v>
      </c>
      <c r="E5042">
        <v>1804</v>
      </c>
      <c r="F5042">
        <v>0</v>
      </c>
      <c r="G5042">
        <v>6</v>
      </c>
      <c r="H5042">
        <v>0</v>
      </c>
      <c r="I5042" t="s">
        <v>19</v>
      </c>
      <c r="J5042">
        <v>0</v>
      </c>
      <c r="K5042">
        <v>71</v>
      </c>
      <c r="L5042" t="s">
        <v>20</v>
      </c>
      <c r="M5042" t="s">
        <v>37</v>
      </c>
      <c r="N5042" t="s">
        <v>22</v>
      </c>
      <c r="O5042" t="s">
        <v>27</v>
      </c>
      <c r="P5042">
        <v>5.64</v>
      </c>
      <c r="Q5042" s="2" t="b">
        <f>FALSE()</f>
        <v>0</v>
      </c>
      <c r="R5042">
        <v>0</v>
      </c>
    </row>
    <row r="5043" spans="1:18" x14ac:dyDescent="0.25">
      <c r="A5043">
        <v>205042</v>
      </c>
      <c r="B5043">
        <v>51086</v>
      </c>
      <c r="C5043" t="s">
        <v>18</v>
      </c>
      <c r="D5043">
        <v>5816.56</v>
      </c>
      <c r="E5043">
        <v>871</v>
      </c>
      <c r="F5043">
        <v>1</v>
      </c>
      <c r="G5043">
        <v>4</v>
      </c>
      <c r="H5043">
        <v>1</v>
      </c>
      <c r="I5043" t="s">
        <v>33</v>
      </c>
      <c r="J5043">
        <v>1</v>
      </c>
      <c r="K5043">
        <v>54</v>
      </c>
      <c r="L5043" t="s">
        <v>20</v>
      </c>
      <c r="M5043" t="s">
        <v>35</v>
      </c>
      <c r="N5043" t="s">
        <v>22</v>
      </c>
      <c r="O5043" t="s">
        <v>36</v>
      </c>
      <c r="P5043">
        <v>1.87</v>
      </c>
      <c r="Q5043" s="2" t="b">
        <f>FALSE()</f>
        <v>0</v>
      </c>
      <c r="R5043">
        <v>1</v>
      </c>
    </row>
    <row r="5044" spans="1:18" x14ac:dyDescent="0.25">
      <c r="A5044">
        <v>205043</v>
      </c>
      <c r="B5044">
        <v>55203</v>
      </c>
      <c r="C5044" t="s">
        <v>18</v>
      </c>
      <c r="D5044">
        <v>3163.41</v>
      </c>
      <c r="E5044">
        <v>2845</v>
      </c>
      <c r="F5044">
        <v>2</v>
      </c>
      <c r="G5044">
        <v>4</v>
      </c>
      <c r="H5044">
        <v>0</v>
      </c>
      <c r="I5044" t="s">
        <v>33</v>
      </c>
      <c r="J5044">
        <v>0</v>
      </c>
      <c r="K5044">
        <v>58</v>
      </c>
      <c r="L5044" t="s">
        <v>20</v>
      </c>
      <c r="M5044" t="s">
        <v>31</v>
      </c>
      <c r="N5044" t="s">
        <v>30</v>
      </c>
      <c r="O5044" t="s">
        <v>27</v>
      </c>
      <c r="P5044">
        <v>1.0900000000000001</v>
      </c>
      <c r="Q5044" s="2" t="b">
        <f>FALSE()</f>
        <v>0</v>
      </c>
      <c r="R5044">
        <v>0</v>
      </c>
    </row>
    <row r="5045" spans="1:18" x14ac:dyDescent="0.25">
      <c r="A5045">
        <v>205044</v>
      </c>
      <c r="B5045">
        <v>53430</v>
      </c>
      <c r="C5045" t="s">
        <v>34</v>
      </c>
      <c r="D5045">
        <v>4328.07</v>
      </c>
      <c r="E5045">
        <v>2985</v>
      </c>
      <c r="F5045">
        <v>0</v>
      </c>
      <c r="G5045">
        <v>1</v>
      </c>
      <c r="H5045">
        <v>1</v>
      </c>
      <c r="I5045" t="s">
        <v>19</v>
      </c>
      <c r="J5045">
        <v>1</v>
      </c>
      <c r="K5045">
        <v>35</v>
      </c>
      <c r="L5045" t="s">
        <v>24</v>
      </c>
      <c r="M5045" t="s">
        <v>37</v>
      </c>
      <c r="N5045" t="s">
        <v>26</v>
      </c>
      <c r="O5045" t="s">
        <v>23</v>
      </c>
      <c r="P5045">
        <v>8.0399999999999991</v>
      </c>
      <c r="Q5045" s="2" t="b">
        <f>FALSE()</f>
        <v>0</v>
      </c>
      <c r="R5045">
        <v>1</v>
      </c>
    </row>
    <row r="5046" spans="1:18" x14ac:dyDescent="0.25">
      <c r="A5046">
        <v>205045</v>
      </c>
      <c r="B5046">
        <v>54691</v>
      </c>
      <c r="C5046" t="s">
        <v>18</v>
      </c>
      <c r="D5046">
        <v>3408.12</v>
      </c>
      <c r="E5046">
        <v>609</v>
      </c>
      <c r="F5046">
        <v>3</v>
      </c>
      <c r="G5046">
        <v>4</v>
      </c>
      <c r="H5046">
        <v>0</v>
      </c>
      <c r="I5046" t="s">
        <v>33</v>
      </c>
      <c r="J5046">
        <v>0</v>
      </c>
      <c r="K5046">
        <v>23</v>
      </c>
      <c r="L5046" t="s">
        <v>24</v>
      </c>
      <c r="M5046" t="s">
        <v>29</v>
      </c>
      <c r="N5046" t="s">
        <v>22</v>
      </c>
      <c r="O5046" t="s">
        <v>23</v>
      </c>
      <c r="P5046">
        <v>1.82</v>
      </c>
      <c r="Q5046" s="2" t="b">
        <f>FALSE()</f>
        <v>0</v>
      </c>
      <c r="R5046">
        <v>1</v>
      </c>
    </row>
    <row r="5047" spans="1:18" x14ac:dyDescent="0.25">
      <c r="A5047">
        <v>205046</v>
      </c>
      <c r="B5047">
        <v>51685</v>
      </c>
      <c r="C5047" t="s">
        <v>34</v>
      </c>
      <c r="D5047">
        <v>1843.11</v>
      </c>
      <c r="E5047">
        <v>2343</v>
      </c>
      <c r="F5047">
        <v>0</v>
      </c>
      <c r="G5047">
        <v>4</v>
      </c>
      <c r="H5047">
        <v>0</v>
      </c>
      <c r="I5047" t="s">
        <v>33</v>
      </c>
      <c r="J5047">
        <v>1</v>
      </c>
      <c r="K5047">
        <v>53</v>
      </c>
      <c r="L5047" t="s">
        <v>20</v>
      </c>
      <c r="M5047" t="s">
        <v>21</v>
      </c>
      <c r="N5047" t="s">
        <v>30</v>
      </c>
      <c r="O5047" t="s">
        <v>36</v>
      </c>
      <c r="P5047">
        <v>0.91</v>
      </c>
      <c r="Q5047" s="2" t="b">
        <f>FALSE()</f>
        <v>0</v>
      </c>
      <c r="R5047">
        <v>0</v>
      </c>
    </row>
    <row r="5048" spans="1:18" x14ac:dyDescent="0.25">
      <c r="A5048">
        <v>205047</v>
      </c>
      <c r="B5048">
        <v>51939</v>
      </c>
      <c r="C5048" t="s">
        <v>18</v>
      </c>
      <c r="D5048">
        <v>3961.48</v>
      </c>
      <c r="E5048">
        <v>1056</v>
      </c>
      <c r="F5048">
        <v>2</v>
      </c>
      <c r="G5048">
        <v>4</v>
      </c>
      <c r="H5048">
        <v>0</v>
      </c>
      <c r="I5048" t="s">
        <v>33</v>
      </c>
      <c r="J5048">
        <v>0</v>
      </c>
      <c r="K5048">
        <v>42</v>
      </c>
      <c r="L5048" t="s">
        <v>24</v>
      </c>
      <c r="M5048" t="s">
        <v>29</v>
      </c>
      <c r="N5048" t="s">
        <v>22</v>
      </c>
      <c r="O5048" t="s">
        <v>36</v>
      </c>
      <c r="P5048">
        <v>0.25</v>
      </c>
      <c r="Q5048" s="2" t="b">
        <f>FALSE()</f>
        <v>0</v>
      </c>
      <c r="R5048">
        <v>1</v>
      </c>
    </row>
    <row r="5049" spans="1:18" x14ac:dyDescent="0.25">
      <c r="A5049">
        <v>205048</v>
      </c>
      <c r="B5049">
        <v>50130</v>
      </c>
      <c r="C5049" t="s">
        <v>34</v>
      </c>
      <c r="D5049">
        <v>1379.69</v>
      </c>
      <c r="E5049">
        <v>2624</v>
      </c>
      <c r="F5049">
        <v>2</v>
      </c>
      <c r="G5049">
        <v>6</v>
      </c>
      <c r="H5049">
        <v>0</v>
      </c>
      <c r="I5049" t="s">
        <v>33</v>
      </c>
      <c r="J5049">
        <v>0</v>
      </c>
      <c r="K5049">
        <v>48</v>
      </c>
      <c r="L5049" t="s">
        <v>24</v>
      </c>
      <c r="M5049" t="s">
        <v>31</v>
      </c>
      <c r="N5049" t="s">
        <v>30</v>
      </c>
      <c r="O5049" t="s">
        <v>27</v>
      </c>
      <c r="P5049">
        <v>0.77</v>
      </c>
      <c r="Q5049" s="2" t="b">
        <f>FALSE()</f>
        <v>0</v>
      </c>
      <c r="R5049">
        <v>0</v>
      </c>
    </row>
    <row r="5050" spans="1:18" x14ac:dyDescent="0.25">
      <c r="A5050">
        <v>205049</v>
      </c>
      <c r="B5050">
        <v>50944</v>
      </c>
      <c r="C5050" t="s">
        <v>28</v>
      </c>
      <c r="D5050">
        <v>426.97</v>
      </c>
      <c r="E5050">
        <v>282</v>
      </c>
      <c r="F5050">
        <v>1</v>
      </c>
      <c r="G5050">
        <v>2</v>
      </c>
      <c r="H5050">
        <v>0</v>
      </c>
      <c r="I5050" t="s">
        <v>33</v>
      </c>
      <c r="J5050">
        <v>1</v>
      </c>
      <c r="K5050">
        <v>47</v>
      </c>
      <c r="L5050" t="s">
        <v>24</v>
      </c>
      <c r="M5050" t="s">
        <v>31</v>
      </c>
      <c r="N5050" t="s">
        <v>30</v>
      </c>
      <c r="O5050" t="s">
        <v>27</v>
      </c>
      <c r="P5050">
        <v>0.62</v>
      </c>
      <c r="Q5050" s="2" t="b">
        <f>FALSE()</f>
        <v>0</v>
      </c>
      <c r="R5050">
        <v>0</v>
      </c>
    </row>
    <row r="5051" spans="1:18" x14ac:dyDescent="0.25">
      <c r="A5051">
        <v>205050</v>
      </c>
      <c r="B5051">
        <v>52027</v>
      </c>
      <c r="C5051" t="s">
        <v>34</v>
      </c>
      <c r="D5051">
        <v>437.18</v>
      </c>
      <c r="E5051">
        <v>280</v>
      </c>
      <c r="F5051">
        <v>2</v>
      </c>
      <c r="G5051">
        <v>5</v>
      </c>
      <c r="H5051">
        <v>0</v>
      </c>
      <c r="I5051" t="s">
        <v>33</v>
      </c>
      <c r="J5051">
        <v>0</v>
      </c>
      <c r="K5051">
        <v>67</v>
      </c>
      <c r="L5051" t="s">
        <v>24</v>
      </c>
      <c r="M5051" t="s">
        <v>29</v>
      </c>
      <c r="N5051" t="s">
        <v>26</v>
      </c>
      <c r="O5051" t="s">
        <v>36</v>
      </c>
      <c r="P5051">
        <v>0.34</v>
      </c>
      <c r="Q5051" s="2" t="b">
        <f>FALSE()</f>
        <v>0</v>
      </c>
      <c r="R5051">
        <v>0</v>
      </c>
    </row>
    <row r="5052" spans="1:18" x14ac:dyDescent="0.25">
      <c r="A5052">
        <v>205051</v>
      </c>
      <c r="B5052">
        <v>54645</v>
      </c>
      <c r="C5052" t="s">
        <v>34</v>
      </c>
      <c r="D5052">
        <v>1008.4</v>
      </c>
      <c r="E5052">
        <v>735</v>
      </c>
      <c r="F5052">
        <v>2</v>
      </c>
      <c r="G5052">
        <v>3</v>
      </c>
      <c r="H5052">
        <v>1</v>
      </c>
      <c r="I5052" t="s">
        <v>19</v>
      </c>
      <c r="J5052">
        <v>0</v>
      </c>
      <c r="K5052">
        <v>63</v>
      </c>
      <c r="L5052" t="s">
        <v>24</v>
      </c>
      <c r="M5052" t="s">
        <v>21</v>
      </c>
      <c r="N5052" t="s">
        <v>26</v>
      </c>
      <c r="O5052" t="s">
        <v>27</v>
      </c>
      <c r="P5052">
        <v>2.2400000000000002</v>
      </c>
      <c r="Q5052" s="2" t="b">
        <f>FALSE()</f>
        <v>0</v>
      </c>
      <c r="R5052">
        <v>0</v>
      </c>
    </row>
    <row r="5053" spans="1:18" x14ac:dyDescent="0.25">
      <c r="A5053">
        <v>205052</v>
      </c>
      <c r="B5053">
        <v>55244</v>
      </c>
      <c r="C5053" t="s">
        <v>18</v>
      </c>
      <c r="D5053">
        <v>5639.49</v>
      </c>
      <c r="E5053">
        <v>1314</v>
      </c>
      <c r="F5053">
        <v>1</v>
      </c>
      <c r="G5053">
        <v>1</v>
      </c>
      <c r="H5053">
        <v>0</v>
      </c>
      <c r="I5053" t="s">
        <v>33</v>
      </c>
      <c r="J5053">
        <v>0</v>
      </c>
      <c r="K5053">
        <v>41</v>
      </c>
      <c r="L5053" t="s">
        <v>20</v>
      </c>
      <c r="M5053" t="s">
        <v>37</v>
      </c>
      <c r="N5053" t="s">
        <v>30</v>
      </c>
      <c r="O5053" t="s">
        <v>36</v>
      </c>
      <c r="P5053">
        <v>1.95</v>
      </c>
      <c r="Q5053" s="2" t="b">
        <f>FALSE()</f>
        <v>0</v>
      </c>
      <c r="R5053">
        <v>1</v>
      </c>
    </row>
    <row r="5054" spans="1:18" x14ac:dyDescent="0.25">
      <c r="A5054">
        <v>205053</v>
      </c>
      <c r="B5054">
        <v>54978</v>
      </c>
      <c r="C5054" t="s">
        <v>18</v>
      </c>
      <c r="D5054">
        <v>1851.38</v>
      </c>
      <c r="E5054">
        <v>2761</v>
      </c>
      <c r="F5054">
        <v>0</v>
      </c>
      <c r="G5054">
        <v>5</v>
      </c>
      <c r="H5054">
        <v>0</v>
      </c>
      <c r="I5054" t="s">
        <v>33</v>
      </c>
      <c r="J5054">
        <v>0</v>
      </c>
      <c r="K5054">
        <v>43</v>
      </c>
      <c r="L5054" t="s">
        <v>24</v>
      </c>
      <c r="M5054" t="s">
        <v>21</v>
      </c>
      <c r="N5054" t="s">
        <v>26</v>
      </c>
      <c r="O5054" t="s">
        <v>27</v>
      </c>
      <c r="P5054">
        <v>3.93</v>
      </c>
      <c r="Q5054" s="2" t="b">
        <f>FALSE()</f>
        <v>0</v>
      </c>
      <c r="R5054">
        <v>0</v>
      </c>
    </row>
    <row r="5055" spans="1:18" x14ac:dyDescent="0.25">
      <c r="A5055">
        <v>205054</v>
      </c>
      <c r="B5055">
        <v>54652</v>
      </c>
      <c r="C5055" t="s">
        <v>34</v>
      </c>
      <c r="D5055">
        <v>7205.53</v>
      </c>
      <c r="E5055">
        <v>3361</v>
      </c>
      <c r="F5055">
        <v>2</v>
      </c>
      <c r="G5055">
        <v>2</v>
      </c>
      <c r="H5055">
        <v>1</v>
      </c>
      <c r="I5055" t="s">
        <v>32</v>
      </c>
      <c r="J5055">
        <v>1</v>
      </c>
      <c r="K5055">
        <v>30</v>
      </c>
      <c r="L5055" t="s">
        <v>24</v>
      </c>
      <c r="M5055" t="s">
        <v>37</v>
      </c>
      <c r="N5055" t="s">
        <v>22</v>
      </c>
      <c r="O5055" t="s">
        <v>36</v>
      </c>
      <c r="P5055">
        <v>1.99</v>
      </c>
      <c r="Q5055" s="2" t="b">
        <f>TRUE()</f>
        <v>1</v>
      </c>
      <c r="R5055">
        <v>1</v>
      </c>
    </row>
    <row r="5056" spans="1:18" x14ac:dyDescent="0.25">
      <c r="A5056">
        <v>205055</v>
      </c>
      <c r="B5056">
        <v>55810</v>
      </c>
      <c r="C5056" t="s">
        <v>34</v>
      </c>
      <c r="D5056">
        <v>6504.76</v>
      </c>
      <c r="E5056">
        <v>1293</v>
      </c>
      <c r="F5056">
        <v>0</v>
      </c>
      <c r="G5056">
        <v>6</v>
      </c>
      <c r="H5056">
        <v>0</v>
      </c>
      <c r="I5056" t="s">
        <v>32</v>
      </c>
      <c r="J5056">
        <v>0</v>
      </c>
      <c r="K5056">
        <v>68</v>
      </c>
      <c r="L5056" t="s">
        <v>24</v>
      </c>
      <c r="M5056" t="s">
        <v>31</v>
      </c>
      <c r="N5056" t="s">
        <v>26</v>
      </c>
      <c r="O5056" t="s">
        <v>36</v>
      </c>
      <c r="P5056">
        <v>1.1399999999999999</v>
      </c>
      <c r="Q5056" s="2" t="b">
        <f>FALSE()</f>
        <v>0</v>
      </c>
      <c r="R5056">
        <v>1</v>
      </c>
    </row>
    <row r="5057" spans="1:18" x14ac:dyDescent="0.25">
      <c r="A5057">
        <v>205056</v>
      </c>
      <c r="B5057">
        <v>52930</v>
      </c>
      <c r="C5057" t="s">
        <v>34</v>
      </c>
      <c r="D5057">
        <v>2077.4499999999998</v>
      </c>
      <c r="E5057">
        <v>926</v>
      </c>
      <c r="F5057">
        <v>0</v>
      </c>
      <c r="G5057">
        <v>4</v>
      </c>
      <c r="H5057">
        <v>0</v>
      </c>
      <c r="I5057" t="s">
        <v>19</v>
      </c>
      <c r="J5057">
        <v>0</v>
      </c>
      <c r="K5057">
        <v>34</v>
      </c>
      <c r="L5057" t="s">
        <v>24</v>
      </c>
      <c r="M5057" t="s">
        <v>35</v>
      </c>
      <c r="N5057" t="s">
        <v>22</v>
      </c>
      <c r="O5057" t="s">
        <v>23</v>
      </c>
      <c r="P5057">
        <v>2.0099999999999998</v>
      </c>
      <c r="Q5057" s="2" t="b">
        <f>FALSE()</f>
        <v>0</v>
      </c>
      <c r="R5057">
        <v>0</v>
      </c>
    </row>
    <row r="5058" spans="1:18" x14ac:dyDescent="0.25">
      <c r="A5058">
        <v>205057</v>
      </c>
      <c r="B5058">
        <v>53576</v>
      </c>
      <c r="C5058" t="s">
        <v>18</v>
      </c>
      <c r="D5058">
        <v>1447.55</v>
      </c>
      <c r="E5058">
        <v>3211</v>
      </c>
      <c r="F5058">
        <v>0</v>
      </c>
      <c r="G5058">
        <v>1</v>
      </c>
      <c r="H5058">
        <v>0</v>
      </c>
      <c r="I5058" t="s">
        <v>33</v>
      </c>
      <c r="J5058">
        <v>0</v>
      </c>
      <c r="K5058">
        <v>22</v>
      </c>
      <c r="L5058" t="s">
        <v>24</v>
      </c>
      <c r="M5058" t="s">
        <v>35</v>
      </c>
      <c r="N5058" t="s">
        <v>22</v>
      </c>
      <c r="O5058" t="s">
        <v>36</v>
      </c>
      <c r="P5058">
        <v>2.46</v>
      </c>
      <c r="Q5058" s="2" t="b">
        <f>FALSE()</f>
        <v>0</v>
      </c>
      <c r="R5058">
        <v>0</v>
      </c>
    </row>
    <row r="5059" spans="1:18" x14ac:dyDescent="0.25">
      <c r="A5059">
        <v>205058</v>
      </c>
      <c r="B5059">
        <v>52777</v>
      </c>
      <c r="C5059" t="s">
        <v>18</v>
      </c>
      <c r="D5059">
        <v>1184.96</v>
      </c>
      <c r="E5059">
        <v>1719</v>
      </c>
      <c r="F5059">
        <v>1</v>
      </c>
      <c r="G5059">
        <v>2</v>
      </c>
      <c r="H5059">
        <v>0</v>
      </c>
      <c r="I5059" t="s">
        <v>19</v>
      </c>
      <c r="J5059">
        <v>0</v>
      </c>
      <c r="K5059">
        <v>18</v>
      </c>
      <c r="L5059" t="s">
        <v>24</v>
      </c>
      <c r="M5059" t="s">
        <v>31</v>
      </c>
      <c r="N5059" t="s">
        <v>30</v>
      </c>
      <c r="O5059" t="s">
        <v>36</v>
      </c>
      <c r="P5059">
        <v>8.94</v>
      </c>
      <c r="Q5059" s="2" t="b">
        <f>FALSE()</f>
        <v>0</v>
      </c>
      <c r="R5059">
        <v>0</v>
      </c>
    </row>
    <row r="5060" spans="1:18" x14ac:dyDescent="0.25">
      <c r="A5060">
        <v>205059</v>
      </c>
      <c r="B5060">
        <v>52796</v>
      </c>
      <c r="C5060" t="s">
        <v>18</v>
      </c>
      <c r="D5060">
        <v>2033.96</v>
      </c>
      <c r="E5060">
        <v>2840</v>
      </c>
      <c r="F5060">
        <v>0</v>
      </c>
      <c r="G5060">
        <v>2</v>
      </c>
      <c r="H5060">
        <v>1</v>
      </c>
      <c r="I5060" t="s">
        <v>32</v>
      </c>
      <c r="J5060">
        <v>1</v>
      </c>
      <c r="K5060">
        <v>44</v>
      </c>
      <c r="L5060" t="s">
        <v>24</v>
      </c>
      <c r="M5060" t="s">
        <v>31</v>
      </c>
      <c r="N5060" t="s">
        <v>22</v>
      </c>
      <c r="O5060" t="s">
        <v>36</v>
      </c>
      <c r="P5060">
        <v>10.25</v>
      </c>
      <c r="Q5060" s="2" t="b">
        <f>FALSE()</f>
        <v>0</v>
      </c>
      <c r="R5060">
        <v>0</v>
      </c>
    </row>
    <row r="5061" spans="1:18" x14ac:dyDescent="0.25">
      <c r="A5061">
        <v>205060</v>
      </c>
      <c r="B5061">
        <v>50242</v>
      </c>
      <c r="C5061" t="s">
        <v>34</v>
      </c>
      <c r="D5061">
        <v>4742.25</v>
      </c>
      <c r="E5061">
        <v>1264</v>
      </c>
      <c r="F5061">
        <v>3</v>
      </c>
      <c r="G5061">
        <v>4</v>
      </c>
      <c r="H5061">
        <v>0</v>
      </c>
      <c r="I5061" t="s">
        <v>33</v>
      </c>
      <c r="J5061">
        <v>0</v>
      </c>
      <c r="K5061">
        <v>19</v>
      </c>
      <c r="L5061" t="s">
        <v>20</v>
      </c>
      <c r="M5061" t="s">
        <v>37</v>
      </c>
      <c r="N5061" t="s">
        <v>30</v>
      </c>
      <c r="O5061" t="s">
        <v>36</v>
      </c>
      <c r="P5061">
        <v>3.88</v>
      </c>
      <c r="Q5061" s="2" t="b">
        <f>FALSE()</f>
        <v>0</v>
      </c>
      <c r="R5061">
        <v>1</v>
      </c>
    </row>
    <row r="5062" spans="1:18" x14ac:dyDescent="0.25">
      <c r="A5062">
        <v>205061</v>
      </c>
      <c r="B5062">
        <v>51567</v>
      </c>
      <c r="C5062" t="s">
        <v>18</v>
      </c>
      <c r="D5062">
        <v>3121.88</v>
      </c>
      <c r="E5062">
        <v>947</v>
      </c>
      <c r="F5062">
        <v>1</v>
      </c>
      <c r="G5062">
        <v>6</v>
      </c>
      <c r="H5062">
        <v>0</v>
      </c>
      <c r="I5062" t="s">
        <v>19</v>
      </c>
      <c r="J5062">
        <v>0</v>
      </c>
      <c r="K5062">
        <v>32</v>
      </c>
      <c r="L5062" t="s">
        <v>24</v>
      </c>
      <c r="M5062" t="s">
        <v>31</v>
      </c>
      <c r="N5062" t="s">
        <v>22</v>
      </c>
      <c r="O5062" t="s">
        <v>36</v>
      </c>
      <c r="P5062">
        <v>4.3099999999999996</v>
      </c>
      <c r="Q5062" s="2" t="b">
        <f>FALSE()</f>
        <v>0</v>
      </c>
      <c r="R5062">
        <v>0</v>
      </c>
    </row>
    <row r="5063" spans="1:18" x14ac:dyDescent="0.25">
      <c r="A5063">
        <v>205062</v>
      </c>
      <c r="B5063">
        <v>53437</v>
      </c>
      <c r="C5063" t="s">
        <v>34</v>
      </c>
      <c r="D5063">
        <v>3695.29</v>
      </c>
      <c r="E5063">
        <v>3559</v>
      </c>
      <c r="F5063">
        <v>1</v>
      </c>
      <c r="G5063">
        <v>4</v>
      </c>
      <c r="H5063">
        <v>0</v>
      </c>
      <c r="I5063" t="s">
        <v>33</v>
      </c>
      <c r="J5063">
        <v>1</v>
      </c>
      <c r="K5063">
        <v>51</v>
      </c>
      <c r="L5063" t="s">
        <v>24</v>
      </c>
      <c r="M5063" t="s">
        <v>29</v>
      </c>
      <c r="N5063" t="s">
        <v>30</v>
      </c>
      <c r="O5063" t="s">
        <v>27</v>
      </c>
      <c r="P5063">
        <v>2.77</v>
      </c>
      <c r="Q5063" s="2" t="b">
        <f>FALSE()</f>
        <v>0</v>
      </c>
      <c r="R5063">
        <v>1</v>
      </c>
    </row>
    <row r="5064" spans="1:18" x14ac:dyDescent="0.25">
      <c r="A5064">
        <v>205063</v>
      </c>
      <c r="B5064">
        <v>53318</v>
      </c>
      <c r="C5064" t="s">
        <v>18</v>
      </c>
      <c r="D5064">
        <v>5986.72</v>
      </c>
      <c r="E5064">
        <v>1863</v>
      </c>
      <c r="F5064">
        <v>0</v>
      </c>
      <c r="G5064">
        <v>3</v>
      </c>
      <c r="H5064">
        <v>1</v>
      </c>
      <c r="I5064" t="s">
        <v>32</v>
      </c>
      <c r="J5064">
        <v>1</v>
      </c>
      <c r="K5064">
        <v>50</v>
      </c>
      <c r="L5064" t="s">
        <v>20</v>
      </c>
      <c r="M5064" t="s">
        <v>31</v>
      </c>
      <c r="N5064" t="s">
        <v>26</v>
      </c>
      <c r="O5064" t="s">
        <v>27</v>
      </c>
      <c r="P5064">
        <v>0.3</v>
      </c>
      <c r="Q5064" s="2" t="b">
        <f>FALSE()</f>
        <v>0</v>
      </c>
      <c r="R5064">
        <v>1</v>
      </c>
    </row>
    <row r="5065" spans="1:18" x14ac:dyDescent="0.25">
      <c r="A5065">
        <v>205064</v>
      </c>
      <c r="B5065">
        <v>52879</v>
      </c>
      <c r="C5065" t="s">
        <v>34</v>
      </c>
      <c r="D5065">
        <v>8951.9699999999993</v>
      </c>
      <c r="E5065">
        <v>2830</v>
      </c>
      <c r="F5065">
        <v>3</v>
      </c>
      <c r="G5065">
        <v>4</v>
      </c>
      <c r="H5065">
        <v>0</v>
      </c>
      <c r="I5065" t="s">
        <v>32</v>
      </c>
      <c r="J5065">
        <v>0</v>
      </c>
      <c r="K5065">
        <v>49</v>
      </c>
      <c r="L5065" t="s">
        <v>24</v>
      </c>
      <c r="M5065" t="s">
        <v>25</v>
      </c>
      <c r="N5065" t="s">
        <v>30</v>
      </c>
      <c r="O5065" t="s">
        <v>36</v>
      </c>
      <c r="P5065">
        <v>0.95</v>
      </c>
      <c r="Q5065" s="2" t="b">
        <f>TRUE()</f>
        <v>1</v>
      </c>
      <c r="R5065">
        <v>1</v>
      </c>
    </row>
    <row r="5066" spans="1:18" x14ac:dyDescent="0.25">
      <c r="A5066">
        <v>205065</v>
      </c>
      <c r="B5066">
        <v>55794</v>
      </c>
      <c r="C5066" t="s">
        <v>18</v>
      </c>
      <c r="D5066">
        <v>2722.3</v>
      </c>
      <c r="E5066">
        <v>1755</v>
      </c>
      <c r="F5066">
        <v>1</v>
      </c>
      <c r="G5066">
        <v>5</v>
      </c>
      <c r="H5066">
        <v>1</v>
      </c>
      <c r="I5066" t="s">
        <v>33</v>
      </c>
      <c r="J5066">
        <v>0</v>
      </c>
      <c r="K5066">
        <v>75</v>
      </c>
      <c r="L5066" t="s">
        <v>24</v>
      </c>
      <c r="M5066" t="s">
        <v>25</v>
      </c>
      <c r="N5066" t="s">
        <v>26</v>
      </c>
      <c r="O5066" t="s">
        <v>23</v>
      </c>
      <c r="P5066">
        <v>0.31</v>
      </c>
      <c r="Q5066" s="2" t="b">
        <f>FALSE()</f>
        <v>0</v>
      </c>
      <c r="R5066">
        <v>0</v>
      </c>
    </row>
    <row r="5067" spans="1:18" x14ac:dyDescent="0.25">
      <c r="A5067">
        <v>205066</v>
      </c>
      <c r="B5067">
        <v>55707</v>
      </c>
      <c r="C5067" t="s">
        <v>18</v>
      </c>
      <c r="D5067">
        <v>2913.18</v>
      </c>
      <c r="E5067">
        <v>1298</v>
      </c>
      <c r="F5067">
        <v>2</v>
      </c>
      <c r="G5067">
        <v>6</v>
      </c>
      <c r="H5067">
        <v>0</v>
      </c>
      <c r="I5067" t="s">
        <v>32</v>
      </c>
      <c r="J5067">
        <v>1</v>
      </c>
      <c r="K5067">
        <v>67</v>
      </c>
      <c r="L5067" t="s">
        <v>24</v>
      </c>
      <c r="M5067" t="s">
        <v>25</v>
      </c>
      <c r="N5067" t="s">
        <v>22</v>
      </c>
      <c r="O5067" t="s">
        <v>36</v>
      </c>
      <c r="P5067">
        <v>1.56</v>
      </c>
      <c r="Q5067" s="2" t="b">
        <f>FALSE()</f>
        <v>0</v>
      </c>
      <c r="R5067">
        <v>0</v>
      </c>
    </row>
    <row r="5068" spans="1:18" x14ac:dyDescent="0.25">
      <c r="A5068">
        <v>205067</v>
      </c>
      <c r="B5068">
        <v>53270</v>
      </c>
      <c r="C5068" t="s">
        <v>34</v>
      </c>
      <c r="D5068">
        <v>1695.92</v>
      </c>
      <c r="E5068">
        <v>3310</v>
      </c>
      <c r="F5068">
        <v>0</v>
      </c>
      <c r="G5068">
        <v>3</v>
      </c>
      <c r="H5068">
        <v>0</v>
      </c>
      <c r="I5068" t="s">
        <v>33</v>
      </c>
      <c r="J5068">
        <v>0</v>
      </c>
      <c r="K5068">
        <v>31</v>
      </c>
      <c r="L5068" t="s">
        <v>24</v>
      </c>
      <c r="M5068" t="s">
        <v>25</v>
      </c>
      <c r="N5068" t="s">
        <v>26</v>
      </c>
      <c r="O5068" t="s">
        <v>27</v>
      </c>
      <c r="P5068">
        <v>0.94</v>
      </c>
      <c r="Q5068" s="2" t="b">
        <f>FALSE()</f>
        <v>0</v>
      </c>
      <c r="R5068">
        <v>0</v>
      </c>
    </row>
    <row r="5069" spans="1:18" x14ac:dyDescent="0.25">
      <c r="A5069">
        <v>205068</v>
      </c>
      <c r="B5069">
        <v>50348</v>
      </c>
      <c r="C5069" t="s">
        <v>18</v>
      </c>
      <c r="D5069">
        <v>760.34</v>
      </c>
      <c r="E5069">
        <v>1854</v>
      </c>
      <c r="F5069">
        <v>2</v>
      </c>
      <c r="G5069">
        <v>9</v>
      </c>
      <c r="H5069">
        <v>1</v>
      </c>
      <c r="I5069" t="s">
        <v>19</v>
      </c>
      <c r="J5069">
        <v>0</v>
      </c>
      <c r="K5069">
        <v>40</v>
      </c>
      <c r="L5069" t="s">
        <v>24</v>
      </c>
      <c r="M5069" t="s">
        <v>37</v>
      </c>
      <c r="N5069" t="s">
        <v>22</v>
      </c>
      <c r="O5069" t="s">
        <v>27</v>
      </c>
      <c r="P5069">
        <v>6.16</v>
      </c>
      <c r="Q5069" s="2" t="b">
        <f>FALSE()</f>
        <v>0</v>
      </c>
      <c r="R5069">
        <v>1</v>
      </c>
    </row>
    <row r="5070" spans="1:18" x14ac:dyDescent="0.25">
      <c r="A5070">
        <v>205069</v>
      </c>
      <c r="B5070">
        <v>50545</v>
      </c>
      <c r="C5070" t="s">
        <v>34</v>
      </c>
      <c r="D5070">
        <v>2377.59</v>
      </c>
      <c r="E5070">
        <v>526</v>
      </c>
      <c r="F5070">
        <v>3</v>
      </c>
      <c r="G5070">
        <v>4</v>
      </c>
      <c r="H5070">
        <v>0</v>
      </c>
      <c r="I5070" t="s">
        <v>19</v>
      </c>
      <c r="J5070">
        <v>0</v>
      </c>
      <c r="K5070">
        <v>46</v>
      </c>
      <c r="L5070" t="s">
        <v>24</v>
      </c>
      <c r="M5070" t="s">
        <v>25</v>
      </c>
      <c r="N5070" t="s">
        <v>30</v>
      </c>
      <c r="O5070" t="s">
        <v>36</v>
      </c>
      <c r="P5070">
        <v>2.27</v>
      </c>
      <c r="Q5070" s="2" t="b">
        <f>FALSE()</f>
        <v>0</v>
      </c>
      <c r="R5070">
        <v>1</v>
      </c>
    </row>
    <row r="5071" spans="1:18" x14ac:dyDescent="0.25">
      <c r="A5071">
        <v>205070</v>
      </c>
      <c r="B5071">
        <v>54264</v>
      </c>
      <c r="C5071" t="s">
        <v>18</v>
      </c>
      <c r="D5071">
        <v>1368.08</v>
      </c>
      <c r="E5071">
        <v>859</v>
      </c>
      <c r="F5071">
        <v>3</v>
      </c>
      <c r="G5071">
        <v>10</v>
      </c>
      <c r="H5071">
        <v>1</v>
      </c>
      <c r="I5071" t="s">
        <v>33</v>
      </c>
      <c r="J5071">
        <v>0</v>
      </c>
      <c r="K5071">
        <v>34</v>
      </c>
      <c r="L5071" t="s">
        <v>24</v>
      </c>
      <c r="M5071" t="s">
        <v>21</v>
      </c>
      <c r="N5071" t="s">
        <v>26</v>
      </c>
      <c r="O5071" t="s">
        <v>36</v>
      </c>
      <c r="P5071">
        <v>3.49</v>
      </c>
      <c r="Q5071" s="2" t="b">
        <f>FALSE()</f>
        <v>0</v>
      </c>
      <c r="R5071">
        <v>1</v>
      </c>
    </row>
    <row r="5072" spans="1:18" x14ac:dyDescent="0.25">
      <c r="A5072">
        <v>205071</v>
      </c>
      <c r="B5072">
        <v>54360</v>
      </c>
      <c r="C5072" t="s">
        <v>18</v>
      </c>
      <c r="D5072">
        <v>5693.87</v>
      </c>
      <c r="E5072">
        <v>2337</v>
      </c>
      <c r="F5072">
        <v>0</v>
      </c>
      <c r="G5072">
        <v>3</v>
      </c>
      <c r="H5072">
        <v>1</v>
      </c>
      <c r="I5072" t="s">
        <v>19</v>
      </c>
      <c r="J5072">
        <v>0</v>
      </c>
      <c r="K5072">
        <v>36</v>
      </c>
      <c r="L5072" t="s">
        <v>24</v>
      </c>
      <c r="M5072" t="s">
        <v>31</v>
      </c>
      <c r="N5072" t="s">
        <v>30</v>
      </c>
      <c r="O5072" t="s">
        <v>36</v>
      </c>
      <c r="P5072">
        <v>0.69</v>
      </c>
      <c r="Q5072" s="2" t="b">
        <f>FALSE()</f>
        <v>0</v>
      </c>
      <c r="R5072">
        <v>1</v>
      </c>
    </row>
    <row r="5073" spans="1:18" x14ac:dyDescent="0.25">
      <c r="A5073">
        <v>205072</v>
      </c>
      <c r="B5073">
        <v>52167</v>
      </c>
      <c r="C5073" t="s">
        <v>18</v>
      </c>
      <c r="D5073">
        <v>2271.25</v>
      </c>
      <c r="E5073">
        <v>2059</v>
      </c>
      <c r="F5073">
        <v>0</v>
      </c>
      <c r="G5073">
        <v>5</v>
      </c>
      <c r="H5073">
        <v>0</v>
      </c>
      <c r="I5073" t="s">
        <v>19</v>
      </c>
      <c r="J5073">
        <v>0</v>
      </c>
      <c r="K5073">
        <v>82</v>
      </c>
      <c r="L5073" t="s">
        <v>24</v>
      </c>
      <c r="M5073" t="s">
        <v>31</v>
      </c>
      <c r="N5073" t="s">
        <v>22</v>
      </c>
      <c r="O5073" t="s">
        <v>23</v>
      </c>
      <c r="P5073">
        <v>2.79</v>
      </c>
      <c r="Q5073" s="2" t="b">
        <f>FALSE()</f>
        <v>0</v>
      </c>
      <c r="R5073">
        <v>0</v>
      </c>
    </row>
    <row r="5074" spans="1:18" x14ac:dyDescent="0.25">
      <c r="A5074">
        <v>205073</v>
      </c>
      <c r="B5074">
        <v>55973</v>
      </c>
      <c r="C5074" t="s">
        <v>18</v>
      </c>
      <c r="D5074">
        <v>5511.54</v>
      </c>
      <c r="E5074">
        <v>3204</v>
      </c>
      <c r="F5074">
        <v>6</v>
      </c>
      <c r="G5074">
        <v>0</v>
      </c>
      <c r="H5074">
        <v>1</v>
      </c>
      <c r="I5074" t="s">
        <v>33</v>
      </c>
      <c r="J5074">
        <v>0</v>
      </c>
      <c r="K5074">
        <v>50</v>
      </c>
      <c r="L5074" t="s">
        <v>20</v>
      </c>
      <c r="M5074" t="s">
        <v>21</v>
      </c>
      <c r="N5074" t="s">
        <v>26</v>
      </c>
      <c r="O5074" t="s">
        <v>23</v>
      </c>
      <c r="P5074">
        <v>3.13</v>
      </c>
      <c r="Q5074" s="2" t="b">
        <f>FALSE()</f>
        <v>0</v>
      </c>
      <c r="R5074">
        <v>1</v>
      </c>
    </row>
    <row r="5075" spans="1:18" x14ac:dyDescent="0.25">
      <c r="A5075">
        <v>205074</v>
      </c>
      <c r="B5075">
        <v>53417</v>
      </c>
      <c r="C5075" t="s">
        <v>18</v>
      </c>
      <c r="D5075">
        <v>295.26</v>
      </c>
      <c r="E5075">
        <v>1958</v>
      </c>
      <c r="F5075">
        <v>1</v>
      </c>
      <c r="G5075">
        <v>4</v>
      </c>
      <c r="H5075">
        <v>0</v>
      </c>
      <c r="I5075" t="s">
        <v>19</v>
      </c>
      <c r="J5075">
        <v>0</v>
      </c>
      <c r="K5075">
        <v>46</v>
      </c>
      <c r="L5075" t="s">
        <v>24</v>
      </c>
      <c r="M5075" t="s">
        <v>35</v>
      </c>
      <c r="N5075" t="s">
        <v>30</v>
      </c>
      <c r="O5075" t="s">
        <v>23</v>
      </c>
      <c r="P5075">
        <v>0.31</v>
      </c>
      <c r="Q5075" s="2" t="b">
        <f>FALSE()</f>
        <v>0</v>
      </c>
      <c r="R5075">
        <v>0</v>
      </c>
    </row>
    <row r="5076" spans="1:18" x14ac:dyDescent="0.25">
      <c r="A5076">
        <v>205075</v>
      </c>
      <c r="B5076">
        <v>54573</v>
      </c>
      <c r="C5076" t="s">
        <v>18</v>
      </c>
      <c r="D5076">
        <v>1598.64</v>
      </c>
      <c r="E5076">
        <v>69</v>
      </c>
      <c r="F5076">
        <v>2</v>
      </c>
      <c r="G5076">
        <v>14</v>
      </c>
      <c r="H5076">
        <v>0</v>
      </c>
      <c r="I5076" t="s">
        <v>33</v>
      </c>
      <c r="J5076">
        <v>0</v>
      </c>
      <c r="K5076">
        <v>72</v>
      </c>
      <c r="L5076" t="s">
        <v>24</v>
      </c>
      <c r="M5076" t="s">
        <v>21</v>
      </c>
      <c r="N5076" t="s">
        <v>22</v>
      </c>
      <c r="O5076" t="s">
        <v>36</v>
      </c>
      <c r="P5076">
        <v>0.92</v>
      </c>
      <c r="Q5076" s="2" t="b">
        <f>FALSE()</f>
        <v>0</v>
      </c>
      <c r="R5076">
        <v>1</v>
      </c>
    </row>
    <row r="5077" spans="1:18" x14ac:dyDescent="0.25">
      <c r="A5077">
        <v>205076</v>
      </c>
      <c r="B5077">
        <v>52803</v>
      </c>
      <c r="C5077" t="s">
        <v>18</v>
      </c>
      <c r="D5077">
        <v>9815.99</v>
      </c>
      <c r="E5077">
        <v>2372</v>
      </c>
      <c r="F5077">
        <v>0</v>
      </c>
      <c r="G5077">
        <v>5</v>
      </c>
      <c r="H5077">
        <v>0</v>
      </c>
      <c r="I5077" t="s">
        <v>19</v>
      </c>
      <c r="J5077">
        <v>0</v>
      </c>
      <c r="K5077">
        <v>23</v>
      </c>
      <c r="L5077" t="s">
        <v>20</v>
      </c>
      <c r="M5077" t="s">
        <v>25</v>
      </c>
      <c r="N5077" t="s">
        <v>30</v>
      </c>
      <c r="O5077" t="s">
        <v>27</v>
      </c>
      <c r="P5077">
        <v>2.1800000000000002</v>
      </c>
      <c r="Q5077" s="2" t="b">
        <f>TRUE()</f>
        <v>1</v>
      </c>
      <c r="R5077">
        <v>1</v>
      </c>
    </row>
    <row r="5078" spans="1:18" x14ac:dyDescent="0.25">
      <c r="A5078">
        <v>205077</v>
      </c>
      <c r="B5078">
        <v>52650</v>
      </c>
      <c r="C5078" t="s">
        <v>18</v>
      </c>
      <c r="D5078">
        <v>2485.27</v>
      </c>
      <c r="E5078">
        <v>3328</v>
      </c>
      <c r="F5078">
        <v>0</v>
      </c>
      <c r="G5078">
        <v>2</v>
      </c>
      <c r="H5078">
        <v>0</v>
      </c>
      <c r="I5078" t="s">
        <v>19</v>
      </c>
      <c r="J5078">
        <v>0</v>
      </c>
      <c r="K5078">
        <v>44</v>
      </c>
      <c r="L5078" t="s">
        <v>20</v>
      </c>
      <c r="M5078" t="s">
        <v>21</v>
      </c>
      <c r="N5078" t="s">
        <v>30</v>
      </c>
      <c r="O5078" t="s">
        <v>27</v>
      </c>
      <c r="P5078">
        <v>8.86</v>
      </c>
      <c r="Q5078" s="2" t="b">
        <f>FALSE()</f>
        <v>0</v>
      </c>
      <c r="R5078">
        <v>0</v>
      </c>
    </row>
    <row r="5079" spans="1:18" x14ac:dyDescent="0.25">
      <c r="A5079">
        <v>205078</v>
      </c>
      <c r="B5079">
        <v>51345</v>
      </c>
      <c r="C5079" t="s">
        <v>34</v>
      </c>
      <c r="D5079">
        <v>2546.0500000000002</v>
      </c>
      <c r="E5079">
        <v>3472</v>
      </c>
      <c r="F5079">
        <v>2</v>
      </c>
      <c r="G5079">
        <v>6</v>
      </c>
      <c r="H5079">
        <v>0</v>
      </c>
      <c r="I5079" t="s">
        <v>33</v>
      </c>
      <c r="J5079">
        <v>0</v>
      </c>
      <c r="K5079">
        <v>32</v>
      </c>
      <c r="L5079" t="s">
        <v>20</v>
      </c>
      <c r="M5079" t="s">
        <v>35</v>
      </c>
      <c r="N5079" t="s">
        <v>22</v>
      </c>
      <c r="O5079" t="s">
        <v>36</v>
      </c>
      <c r="P5079">
        <v>3.78</v>
      </c>
      <c r="Q5079" s="2" t="b">
        <f>FALSE()</f>
        <v>0</v>
      </c>
      <c r="R5079">
        <v>0</v>
      </c>
    </row>
    <row r="5080" spans="1:18" x14ac:dyDescent="0.25">
      <c r="A5080">
        <v>205079</v>
      </c>
      <c r="B5080">
        <v>50169</v>
      </c>
      <c r="C5080" t="s">
        <v>34</v>
      </c>
      <c r="D5080">
        <v>3169.57</v>
      </c>
      <c r="E5080">
        <v>3624</v>
      </c>
      <c r="F5080">
        <v>1</v>
      </c>
      <c r="G5080">
        <v>7</v>
      </c>
      <c r="H5080">
        <v>0</v>
      </c>
      <c r="I5080" t="s">
        <v>33</v>
      </c>
      <c r="J5080">
        <v>1</v>
      </c>
      <c r="K5080">
        <v>34</v>
      </c>
      <c r="L5080" t="s">
        <v>38</v>
      </c>
      <c r="M5080" t="s">
        <v>25</v>
      </c>
      <c r="N5080" t="s">
        <v>26</v>
      </c>
      <c r="O5080" t="s">
        <v>27</v>
      </c>
      <c r="P5080">
        <v>1.33</v>
      </c>
      <c r="Q5080" s="2" t="b">
        <f>FALSE()</f>
        <v>0</v>
      </c>
      <c r="R5080">
        <v>1</v>
      </c>
    </row>
    <row r="5081" spans="1:18" x14ac:dyDescent="0.25">
      <c r="A5081">
        <v>205080</v>
      </c>
      <c r="B5081">
        <v>55606</v>
      </c>
      <c r="C5081" t="s">
        <v>28</v>
      </c>
      <c r="D5081">
        <v>3249.55</v>
      </c>
      <c r="E5081">
        <v>2164</v>
      </c>
      <c r="F5081">
        <v>2</v>
      </c>
      <c r="G5081">
        <v>2</v>
      </c>
      <c r="H5081">
        <v>0</v>
      </c>
      <c r="I5081" t="s">
        <v>33</v>
      </c>
      <c r="J5081">
        <v>0</v>
      </c>
      <c r="K5081">
        <v>31</v>
      </c>
      <c r="L5081" t="s">
        <v>20</v>
      </c>
      <c r="M5081" t="s">
        <v>35</v>
      </c>
      <c r="N5081" t="s">
        <v>22</v>
      </c>
      <c r="O5081" t="s">
        <v>36</v>
      </c>
      <c r="P5081">
        <v>1.54</v>
      </c>
      <c r="Q5081" s="2" t="b">
        <f>FALSE()</f>
        <v>0</v>
      </c>
      <c r="R5081">
        <v>0</v>
      </c>
    </row>
    <row r="5082" spans="1:18" x14ac:dyDescent="0.25">
      <c r="A5082">
        <v>205081</v>
      </c>
      <c r="B5082">
        <v>53932</v>
      </c>
      <c r="C5082" t="s">
        <v>28</v>
      </c>
      <c r="D5082">
        <v>7900.88</v>
      </c>
      <c r="E5082">
        <v>2238</v>
      </c>
      <c r="F5082">
        <v>1</v>
      </c>
      <c r="G5082">
        <v>1</v>
      </c>
      <c r="H5082">
        <v>1</v>
      </c>
      <c r="I5082" t="s">
        <v>33</v>
      </c>
      <c r="J5082">
        <v>0</v>
      </c>
      <c r="K5082">
        <v>58</v>
      </c>
      <c r="L5082" t="s">
        <v>20</v>
      </c>
      <c r="M5082" t="s">
        <v>25</v>
      </c>
      <c r="N5082" t="s">
        <v>30</v>
      </c>
      <c r="O5082" t="s">
        <v>27</v>
      </c>
      <c r="P5082">
        <v>1.45</v>
      </c>
      <c r="Q5082" s="2" t="b">
        <f>TRUE()</f>
        <v>1</v>
      </c>
      <c r="R5082">
        <v>1</v>
      </c>
    </row>
    <row r="5083" spans="1:18" x14ac:dyDescent="0.25">
      <c r="A5083">
        <v>205082</v>
      </c>
      <c r="B5083">
        <v>50898</v>
      </c>
      <c r="C5083" t="s">
        <v>34</v>
      </c>
      <c r="D5083">
        <v>1818.54</v>
      </c>
      <c r="E5083">
        <v>2565</v>
      </c>
      <c r="F5083">
        <v>2</v>
      </c>
      <c r="G5083">
        <v>8</v>
      </c>
      <c r="H5083">
        <v>0</v>
      </c>
      <c r="I5083" t="s">
        <v>33</v>
      </c>
      <c r="J5083">
        <v>0</v>
      </c>
      <c r="K5083">
        <v>72</v>
      </c>
      <c r="L5083" t="s">
        <v>24</v>
      </c>
      <c r="M5083" t="s">
        <v>21</v>
      </c>
      <c r="N5083" t="s">
        <v>22</v>
      </c>
      <c r="O5083" t="s">
        <v>36</v>
      </c>
      <c r="P5083">
        <v>3.34</v>
      </c>
      <c r="Q5083" s="2" t="b">
        <f>FALSE()</f>
        <v>0</v>
      </c>
      <c r="R5083">
        <v>1</v>
      </c>
    </row>
    <row r="5084" spans="1:18" x14ac:dyDescent="0.25">
      <c r="A5084">
        <v>205083</v>
      </c>
      <c r="B5084">
        <v>50402</v>
      </c>
      <c r="C5084" t="s">
        <v>18</v>
      </c>
      <c r="D5084">
        <v>569.04999999999995</v>
      </c>
      <c r="E5084">
        <v>2219</v>
      </c>
      <c r="F5084">
        <v>3</v>
      </c>
      <c r="G5084">
        <v>3</v>
      </c>
      <c r="H5084">
        <v>0</v>
      </c>
      <c r="I5084" t="s">
        <v>33</v>
      </c>
      <c r="J5084">
        <v>1</v>
      </c>
      <c r="K5084">
        <v>29</v>
      </c>
      <c r="L5084" t="s">
        <v>20</v>
      </c>
      <c r="M5084" t="s">
        <v>37</v>
      </c>
      <c r="N5084" t="s">
        <v>30</v>
      </c>
      <c r="O5084" t="s">
        <v>23</v>
      </c>
      <c r="P5084">
        <v>0.77</v>
      </c>
      <c r="Q5084" s="2" t="b">
        <f>FALSE()</f>
        <v>0</v>
      </c>
      <c r="R5084">
        <v>1</v>
      </c>
    </row>
    <row r="5085" spans="1:18" x14ac:dyDescent="0.25">
      <c r="A5085">
        <v>205084</v>
      </c>
      <c r="B5085">
        <v>53018</v>
      </c>
      <c r="C5085" t="s">
        <v>34</v>
      </c>
      <c r="D5085">
        <v>1282.6099999999999</v>
      </c>
      <c r="E5085">
        <v>1573</v>
      </c>
      <c r="F5085">
        <v>0</v>
      </c>
      <c r="G5085">
        <v>4</v>
      </c>
      <c r="H5085">
        <v>0</v>
      </c>
      <c r="I5085" t="s">
        <v>33</v>
      </c>
      <c r="J5085">
        <v>0</v>
      </c>
      <c r="K5085">
        <v>61</v>
      </c>
      <c r="L5085" t="s">
        <v>24</v>
      </c>
      <c r="M5085" t="s">
        <v>37</v>
      </c>
      <c r="N5085" t="s">
        <v>30</v>
      </c>
      <c r="O5085" t="s">
        <v>23</v>
      </c>
      <c r="P5085">
        <v>15.53</v>
      </c>
      <c r="Q5085" s="2" t="b">
        <f>FALSE()</f>
        <v>0</v>
      </c>
      <c r="R5085">
        <v>0</v>
      </c>
    </row>
    <row r="5086" spans="1:18" x14ac:dyDescent="0.25">
      <c r="A5086">
        <v>205085</v>
      </c>
      <c r="B5086">
        <v>51711</v>
      </c>
      <c r="C5086" t="s">
        <v>28</v>
      </c>
      <c r="D5086">
        <v>2382.7399999999998</v>
      </c>
      <c r="E5086">
        <v>1973</v>
      </c>
      <c r="F5086">
        <v>1</v>
      </c>
      <c r="G5086">
        <v>6</v>
      </c>
      <c r="H5086">
        <v>0</v>
      </c>
      <c r="I5086" t="s">
        <v>32</v>
      </c>
      <c r="J5086">
        <v>0</v>
      </c>
      <c r="K5086">
        <v>68</v>
      </c>
      <c r="L5086" t="s">
        <v>20</v>
      </c>
      <c r="M5086" t="s">
        <v>21</v>
      </c>
      <c r="N5086" t="s">
        <v>22</v>
      </c>
      <c r="O5086" t="s">
        <v>36</v>
      </c>
      <c r="P5086">
        <v>3.86</v>
      </c>
      <c r="Q5086" s="2" t="b">
        <f>FALSE()</f>
        <v>0</v>
      </c>
      <c r="R5086">
        <v>0</v>
      </c>
    </row>
    <row r="5087" spans="1:18" x14ac:dyDescent="0.25">
      <c r="A5087">
        <v>205086</v>
      </c>
      <c r="B5087">
        <v>50205</v>
      </c>
      <c r="C5087" t="s">
        <v>28</v>
      </c>
      <c r="D5087">
        <v>1292.8800000000001</v>
      </c>
      <c r="E5087">
        <v>3131</v>
      </c>
      <c r="F5087">
        <v>1</v>
      </c>
      <c r="G5087">
        <v>5</v>
      </c>
      <c r="H5087">
        <v>0</v>
      </c>
      <c r="I5087" t="s">
        <v>19</v>
      </c>
      <c r="J5087">
        <v>1</v>
      </c>
      <c r="K5087">
        <v>49</v>
      </c>
      <c r="L5087" t="s">
        <v>24</v>
      </c>
      <c r="M5087" t="s">
        <v>37</v>
      </c>
      <c r="N5087" t="s">
        <v>22</v>
      </c>
      <c r="O5087" t="s">
        <v>36</v>
      </c>
      <c r="P5087">
        <v>0.26</v>
      </c>
      <c r="Q5087" s="2" t="b">
        <f>FALSE()</f>
        <v>0</v>
      </c>
      <c r="R5087">
        <v>0</v>
      </c>
    </row>
    <row r="5088" spans="1:18" x14ac:dyDescent="0.25">
      <c r="A5088">
        <v>205087</v>
      </c>
      <c r="B5088">
        <v>53137</v>
      </c>
      <c r="C5088" t="s">
        <v>18</v>
      </c>
      <c r="D5088">
        <v>4018.14</v>
      </c>
      <c r="E5088">
        <v>922</v>
      </c>
      <c r="F5088">
        <v>2</v>
      </c>
      <c r="G5088">
        <v>4</v>
      </c>
      <c r="H5088">
        <v>1</v>
      </c>
      <c r="I5088" t="s">
        <v>19</v>
      </c>
      <c r="J5088">
        <v>0</v>
      </c>
      <c r="K5088">
        <v>73</v>
      </c>
      <c r="L5088" t="s">
        <v>20</v>
      </c>
      <c r="M5088" t="s">
        <v>37</v>
      </c>
      <c r="N5088" t="s">
        <v>22</v>
      </c>
      <c r="O5088" t="s">
        <v>27</v>
      </c>
      <c r="P5088">
        <v>8.49</v>
      </c>
      <c r="Q5088" s="2" t="b">
        <f>FALSE()</f>
        <v>0</v>
      </c>
      <c r="R5088">
        <v>1</v>
      </c>
    </row>
    <row r="5089" spans="1:18" x14ac:dyDescent="0.25">
      <c r="A5089">
        <v>205088</v>
      </c>
      <c r="B5089">
        <v>52759</v>
      </c>
      <c r="C5089" t="s">
        <v>18</v>
      </c>
      <c r="D5089">
        <v>482.16</v>
      </c>
      <c r="E5089">
        <v>2076</v>
      </c>
      <c r="F5089">
        <v>0</v>
      </c>
      <c r="G5089">
        <v>3</v>
      </c>
      <c r="H5089">
        <v>0</v>
      </c>
      <c r="I5089" t="s">
        <v>33</v>
      </c>
      <c r="J5089">
        <v>0</v>
      </c>
      <c r="K5089">
        <v>37</v>
      </c>
      <c r="L5089" t="s">
        <v>24</v>
      </c>
      <c r="M5089" t="s">
        <v>29</v>
      </c>
      <c r="N5089" t="s">
        <v>30</v>
      </c>
      <c r="O5089" t="s">
        <v>27</v>
      </c>
      <c r="P5089">
        <v>3.43</v>
      </c>
      <c r="Q5089" s="2" t="b">
        <f>FALSE()</f>
        <v>0</v>
      </c>
      <c r="R5089">
        <v>0</v>
      </c>
    </row>
    <row r="5090" spans="1:18" x14ac:dyDescent="0.25">
      <c r="A5090">
        <v>205089</v>
      </c>
      <c r="B5090">
        <v>51105</v>
      </c>
      <c r="C5090" t="s">
        <v>18</v>
      </c>
      <c r="D5090">
        <v>724.67</v>
      </c>
      <c r="E5090">
        <v>1667</v>
      </c>
      <c r="F5090">
        <v>0</v>
      </c>
      <c r="G5090">
        <v>3</v>
      </c>
      <c r="H5090">
        <v>0</v>
      </c>
      <c r="I5090" t="s">
        <v>33</v>
      </c>
      <c r="J5090">
        <v>0</v>
      </c>
      <c r="K5090">
        <v>22</v>
      </c>
      <c r="L5090" t="s">
        <v>20</v>
      </c>
      <c r="M5090" t="s">
        <v>21</v>
      </c>
      <c r="N5090" t="s">
        <v>22</v>
      </c>
      <c r="O5090" t="s">
        <v>23</v>
      </c>
      <c r="P5090">
        <v>0.11</v>
      </c>
      <c r="Q5090" s="2" t="b">
        <f>FALSE()</f>
        <v>0</v>
      </c>
      <c r="R5090">
        <v>0</v>
      </c>
    </row>
    <row r="5091" spans="1:18" x14ac:dyDescent="0.25">
      <c r="A5091">
        <v>205090</v>
      </c>
      <c r="B5091">
        <v>50142</v>
      </c>
      <c r="C5091" t="s">
        <v>18</v>
      </c>
      <c r="D5091">
        <v>3146.91</v>
      </c>
      <c r="E5091">
        <v>739</v>
      </c>
      <c r="F5091">
        <v>1</v>
      </c>
      <c r="G5091">
        <v>3</v>
      </c>
      <c r="H5091">
        <v>0</v>
      </c>
      <c r="I5091" t="s">
        <v>33</v>
      </c>
      <c r="J5091">
        <v>0</v>
      </c>
      <c r="K5091">
        <v>62</v>
      </c>
      <c r="L5091" t="s">
        <v>24</v>
      </c>
      <c r="M5091" t="s">
        <v>31</v>
      </c>
      <c r="N5091" t="s">
        <v>22</v>
      </c>
      <c r="O5091" t="s">
        <v>27</v>
      </c>
      <c r="P5091">
        <v>0.73</v>
      </c>
      <c r="Q5091" s="2" t="b">
        <f>FALSE()</f>
        <v>0</v>
      </c>
      <c r="R5091">
        <v>0</v>
      </c>
    </row>
    <row r="5092" spans="1:18" x14ac:dyDescent="0.25">
      <c r="A5092">
        <v>205091</v>
      </c>
      <c r="B5092">
        <v>51615</v>
      </c>
      <c r="C5092" t="s">
        <v>18</v>
      </c>
      <c r="D5092">
        <v>4041.03</v>
      </c>
      <c r="E5092">
        <v>5</v>
      </c>
      <c r="F5092">
        <v>1</v>
      </c>
      <c r="G5092">
        <v>2</v>
      </c>
      <c r="H5092">
        <v>1</v>
      </c>
      <c r="I5092" t="s">
        <v>33</v>
      </c>
      <c r="J5092">
        <v>0</v>
      </c>
      <c r="K5092">
        <v>78</v>
      </c>
      <c r="L5092" t="s">
        <v>24</v>
      </c>
      <c r="M5092" t="s">
        <v>37</v>
      </c>
      <c r="N5092" t="s">
        <v>22</v>
      </c>
      <c r="O5092" t="s">
        <v>23</v>
      </c>
      <c r="P5092">
        <v>1.1299999999999999</v>
      </c>
      <c r="Q5092" s="2" t="b">
        <f>FALSE()</f>
        <v>0</v>
      </c>
      <c r="R5092">
        <v>1</v>
      </c>
    </row>
    <row r="5093" spans="1:18" x14ac:dyDescent="0.25">
      <c r="A5093">
        <v>205092</v>
      </c>
      <c r="B5093">
        <v>55850</v>
      </c>
      <c r="C5093" t="s">
        <v>18</v>
      </c>
      <c r="D5093">
        <v>6135.35</v>
      </c>
      <c r="E5093">
        <v>966</v>
      </c>
      <c r="F5093">
        <v>3</v>
      </c>
      <c r="G5093">
        <v>6</v>
      </c>
      <c r="H5093">
        <v>1</v>
      </c>
      <c r="I5093" t="s">
        <v>33</v>
      </c>
      <c r="J5093">
        <v>0</v>
      </c>
      <c r="K5093">
        <v>43</v>
      </c>
      <c r="L5093" t="s">
        <v>24</v>
      </c>
      <c r="M5093" t="s">
        <v>25</v>
      </c>
      <c r="N5093" t="s">
        <v>26</v>
      </c>
      <c r="O5093" t="s">
        <v>36</v>
      </c>
      <c r="P5093">
        <v>0.6</v>
      </c>
      <c r="Q5093" s="2" t="b">
        <f>FALSE()</f>
        <v>0</v>
      </c>
      <c r="R5093">
        <v>1</v>
      </c>
    </row>
    <row r="5094" spans="1:18" x14ac:dyDescent="0.25">
      <c r="A5094">
        <v>205093</v>
      </c>
      <c r="B5094">
        <v>53094</v>
      </c>
      <c r="C5094" t="s">
        <v>18</v>
      </c>
      <c r="D5094">
        <v>622.41</v>
      </c>
      <c r="E5094">
        <v>1031</v>
      </c>
      <c r="F5094">
        <v>0</v>
      </c>
      <c r="G5094">
        <v>7</v>
      </c>
      <c r="H5094">
        <v>0</v>
      </c>
      <c r="I5094" t="s">
        <v>33</v>
      </c>
      <c r="J5094">
        <v>0</v>
      </c>
      <c r="K5094">
        <v>25</v>
      </c>
      <c r="L5094" t="s">
        <v>20</v>
      </c>
      <c r="M5094" t="s">
        <v>21</v>
      </c>
      <c r="N5094" t="s">
        <v>30</v>
      </c>
      <c r="O5094" t="s">
        <v>36</v>
      </c>
      <c r="P5094">
        <v>0.3</v>
      </c>
      <c r="Q5094" s="2" t="b">
        <f>FALSE()</f>
        <v>0</v>
      </c>
      <c r="R5094">
        <v>1</v>
      </c>
    </row>
    <row r="5095" spans="1:18" x14ac:dyDescent="0.25">
      <c r="A5095">
        <v>205094</v>
      </c>
      <c r="B5095">
        <v>51913</v>
      </c>
      <c r="C5095" t="s">
        <v>34</v>
      </c>
      <c r="D5095">
        <v>1379.63</v>
      </c>
      <c r="E5095">
        <v>543</v>
      </c>
      <c r="F5095">
        <v>0</v>
      </c>
      <c r="G5095">
        <v>7</v>
      </c>
      <c r="H5095">
        <v>0</v>
      </c>
      <c r="I5095" t="s">
        <v>33</v>
      </c>
      <c r="J5095">
        <v>0</v>
      </c>
      <c r="K5095">
        <v>38</v>
      </c>
      <c r="L5095" t="s">
        <v>20</v>
      </c>
      <c r="M5095" t="s">
        <v>31</v>
      </c>
      <c r="N5095" t="s">
        <v>22</v>
      </c>
      <c r="O5095" t="s">
        <v>27</v>
      </c>
      <c r="P5095">
        <v>5.62</v>
      </c>
      <c r="Q5095" s="2" t="b">
        <f>FALSE()</f>
        <v>0</v>
      </c>
      <c r="R5095">
        <v>1</v>
      </c>
    </row>
    <row r="5096" spans="1:18" x14ac:dyDescent="0.25">
      <c r="A5096">
        <v>205095</v>
      </c>
      <c r="B5096">
        <v>52051</v>
      </c>
      <c r="C5096" t="s">
        <v>18</v>
      </c>
      <c r="D5096">
        <v>1161.1199999999999</v>
      </c>
      <c r="E5096">
        <v>2841</v>
      </c>
      <c r="F5096">
        <v>1</v>
      </c>
      <c r="G5096">
        <v>4</v>
      </c>
      <c r="H5096">
        <v>0</v>
      </c>
      <c r="I5096" t="s">
        <v>33</v>
      </c>
      <c r="J5096">
        <v>0</v>
      </c>
      <c r="K5096">
        <v>19</v>
      </c>
      <c r="L5096" t="s">
        <v>20</v>
      </c>
      <c r="M5096" t="s">
        <v>29</v>
      </c>
      <c r="N5096" t="s">
        <v>26</v>
      </c>
      <c r="O5096" t="s">
        <v>23</v>
      </c>
      <c r="P5096">
        <v>7.0000000000000007E-2</v>
      </c>
      <c r="Q5096" s="2" t="b">
        <f>FALSE()</f>
        <v>0</v>
      </c>
      <c r="R5096">
        <v>0</v>
      </c>
    </row>
    <row r="5097" spans="1:18" x14ac:dyDescent="0.25">
      <c r="A5097">
        <v>205096</v>
      </c>
      <c r="B5097">
        <v>53838</v>
      </c>
      <c r="C5097" t="s">
        <v>34</v>
      </c>
      <c r="D5097">
        <v>3710.09</v>
      </c>
      <c r="E5097">
        <v>1791</v>
      </c>
      <c r="F5097">
        <v>1</v>
      </c>
      <c r="G5097">
        <v>2</v>
      </c>
      <c r="H5097">
        <v>0</v>
      </c>
      <c r="I5097" t="s">
        <v>19</v>
      </c>
      <c r="J5097">
        <v>0</v>
      </c>
      <c r="K5097">
        <v>70</v>
      </c>
      <c r="L5097" t="s">
        <v>24</v>
      </c>
      <c r="M5097" t="s">
        <v>29</v>
      </c>
      <c r="N5097" t="s">
        <v>22</v>
      </c>
      <c r="O5097" t="s">
        <v>27</v>
      </c>
      <c r="P5097">
        <v>1.28</v>
      </c>
      <c r="Q5097" s="2" t="b">
        <f>FALSE()</f>
        <v>0</v>
      </c>
      <c r="R5097">
        <v>1</v>
      </c>
    </row>
    <row r="5098" spans="1:18" x14ac:dyDescent="0.25">
      <c r="A5098">
        <v>205097</v>
      </c>
      <c r="B5098">
        <v>52974</v>
      </c>
      <c r="C5098" t="s">
        <v>18</v>
      </c>
      <c r="D5098">
        <v>5056.46</v>
      </c>
      <c r="E5098">
        <v>693</v>
      </c>
      <c r="F5098">
        <v>3</v>
      </c>
      <c r="G5098">
        <v>7</v>
      </c>
      <c r="H5098">
        <v>0</v>
      </c>
      <c r="I5098" t="s">
        <v>32</v>
      </c>
      <c r="J5098">
        <v>0</v>
      </c>
      <c r="K5098">
        <v>50</v>
      </c>
      <c r="L5098" t="s">
        <v>24</v>
      </c>
      <c r="M5098" t="s">
        <v>25</v>
      </c>
      <c r="N5098" t="s">
        <v>30</v>
      </c>
      <c r="O5098" t="s">
        <v>27</v>
      </c>
      <c r="P5098">
        <v>3.82</v>
      </c>
      <c r="Q5098" s="2" t="b">
        <f>FALSE()</f>
        <v>0</v>
      </c>
      <c r="R5098">
        <v>1</v>
      </c>
    </row>
    <row r="5099" spans="1:18" x14ac:dyDescent="0.25">
      <c r="A5099">
        <v>205098</v>
      </c>
      <c r="B5099">
        <v>52430</v>
      </c>
      <c r="C5099" t="s">
        <v>28</v>
      </c>
      <c r="D5099">
        <v>496.68</v>
      </c>
      <c r="E5099">
        <v>1820</v>
      </c>
      <c r="F5099">
        <v>0</v>
      </c>
      <c r="G5099">
        <v>3</v>
      </c>
      <c r="H5099">
        <v>0</v>
      </c>
      <c r="I5099" t="s">
        <v>33</v>
      </c>
      <c r="J5099">
        <v>0</v>
      </c>
      <c r="K5099">
        <v>35</v>
      </c>
      <c r="L5099" t="s">
        <v>20</v>
      </c>
      <c r="M5099" t="s">
        <v>29</v>
      </c>
      <c r="N5099" t="s">
        <v>22</v>
      </c>
      <c r="O5099" t="s">
        <v>27</v>
      </c>
      <c r="P5099">
        <v>1.96</v>
      </c>
      <c r="Q5099" s="2" t="b">
        <f>FALSE()</f>
        <v>0</v>
      </c>
      <c r="R5099">
        <v>0</v>
      </c>
    </row>
    <row r="5100" spans="1:18" x14ac:dyDescent="0.25">
      <c r="A5100">
        <v>205099</v>
      </c>
      <c r="B5100">
        <v>52181</v>
      </c>
      <c r="C5100" t="s">
        <v>34</v>
      </c>
      <c r="D5100">
        <v>3452.34</v>
      </c>
      <c r="E5100">
        <v>1727</v>
      </c>
      <c r="F5100">
        <v>2</v>
      </c>
      <c r="G5100">
        <v>2</v>
      </c>
      <c r="H5100">
        <v>1</v>
      </c>
      <c r="I5100" t="s">
        <v>19</v>
      </c>
      <c r="J5100">
        <v>0</v>
      </c>
      <c r="K5100">
        <v>59</v>
      </c>
      <c r="L5100" t="s">
        <v>24</v>
      </c>
      <c r="M5100" t="s">
        <v>25</v>
      </c>
      <c r="N5100" t="s">
        <v>26</v>
      </c>
      <c r="O5100" t="s">
        <v>27</v>
      </c>
      <c r="P5100">
        <v>3.45</v>
      </c>
      <c r="Q5100" s="2" t="b">
        <f>FALSE()</f>
        <v>0</v>
      </c>
      <c r="R5100">
        <v>0</v>
      </c>
    </row>
    <row r="5101" spans="1:18" x14ac:dyDescent="0.25">
      <c r="A5101">
        <v>205100</v>
      </c>
      <c r="B5101">
        <v>52118</v>
      </c>
      <c r="C5101" t="s">
        <v>28</v>
      </c>
      <c r="D5101">
        <v>3822.16</v>
      </c>
      <c r="E5101">
        <v>2043</v>
      </c>
      <c r="F5101">
        <v>0</v>
      </c>
      <c r="G5101">
        <v>6</v>
      </c>
      <c r="H5101">
        <v>1</v>
      </c>
      <c r="I5101" t="s">
        <v>19</v>
      </c>
      <c r="J5101">
        <v>0</v>
      </c>
      <c r="K5101">
        <v>61</v>
      </c>
      <c r="L5101" t="s">
        <v>24</v>
      </c>
      <c r="M5101" t="s">
        <v>25</v>
      </c>
      <c r="N5101" t="s">
        <v>22</v>
      </c>
      <c r="O5101" t="s">
        <v>23</v>
      </c>
      <c r="P5101">
        <v>18.95</v>
      </c>
      <c r="Q5101" s="2" t="b">
        <f>FALSE()</f>
        <v>0</v>
      </c>
      <c r="R5101">
        <v>1</v>
      </c>
    </row>
    <row r="5102" spans="1:18" x14ac:dyDescent="0.25">
      <c r="A5102">
        <v>205101</v>
      </c>
      <c r="B5102">
        <v>55117</v>
      </c>
      <c r="C5102" t="s">
        <v>18</v>
      </c>
      <c r="D5102">
        <v>1133.31</v>
      </c>
      <c r="E5102">
        <v>3462</v>
      </c>
      <c r="F5102">
        <v>1</v>
      </c>
      <c r="G5102">
        <v>2</v>
      </c>
      <c r="H5102">
        <v>0</v>
      </c>
      <c r="I5102" t="s">
        <v>33</v>
      </c>
      <c r="J5102">
        <v>0</v>
      </c>
      <c r="K5102">
        <v>34</v>
      </c>
      <c r="L5102" t="s">
        <v>24</v>
      </c>
      <c r="M5102" t="s">
        <v>31</v>
      </c>
      <c r="N5102" t="s">
        <v>30</v>
      </c>
      <c r="O5102" t="s">
        <v>27</v>
      </c>
      <c r="P5102">
        <v>0.21</v>
      </c>
      <c r="Q5102" s="2" t="b">
        <f>FALSE()</f>
        <v>0</v>
      </c>
      <c r="R5102">
        <v>0</v>
      </c>
    </row>
    <row r="5103" spans="1:18" x14ac:dyDescent="0.25">
      <c r="A5103">
        <v>205102</v>
      </c>
      <c r="B5103">
        <v>51593</v>
      </c>
      <c r="C5103" t="s">
        <v>28</v>
      </c>
      <c r="D5103">
        <v>5734.04</v>
      </c>
      <c r="E5103">
        <v>2403</v>
      </c>
      <c r="F5103">
        <v>1</v>
      </c>
      <c r="G5103">
        <v>5</v>
      </c>
      <c r="H5103">
        <v>0</v>
      </c>
      <c r="I5103" t="s">
        <v>33</v>
      </c>
      <c r="J5103">
        <v>1</v>
      </c>
      <c r="K5103">
        <v>84</v>
      </c>
      <c r="L5103" t="s">
        <v>20</v>
      </c>
      <c r="M5103" t="s">
        <v>25</v>
      </c>
      <c r="N5103" t="s">
        <v>22</v>
      </c>
      <c r="O5103" t="s">
        <v>36</v>
      </c>
      <c r="P5103">
        <v>0.89</v>
      </c>
      <c r="Q5103" s="2" t="b">
        <f>FALSE()</f>
        <v>0</v>
      </c>
      <c r="R5103">
        <v>1</v>
      </c>
    </row>
    <row r="5104" spans="1:18" x14ac:dyDescent="0.25">
      <c r="A5104">
        <v>205103</v>
      </c>
      <c r="B5104">
        <v>53620</v>
      </c>
      <c r="C5104" t="s">
        <v>18</v>
      </c>
      <c r="D5104">
        <v>2941.43</v>
      </c>
      <c r="E5104">
        <v>1170</v>
      </c>
      <c r="F5104">
        <v>2</v>
      </c>
      <c r="G5104">
        <v>3</v>
      </c>
      <c r="H5104">
        <v>0</v>
      </c>
      <c r="I5104" t="s">
        <v>33</v>
      </c>
      <c r="J5104">
        <v>0</v>
      </c>
      <c r="K5104">
        <v>84</v>
      </c>
      <c r="L5104" t="s">
        <v>24</v>
      </c>
      <c r="M5104" t="s">
        <v>37</v>
      </c>
      <c r="N5104" t="s">
        <v>30</v>
      </c>
      <c r="O5104" t="s">
        <v>36</v>
      </c>
      <c r="P5104">
        <v>4.7699999999999996</v>
      </c>
      <c r="Q5104" s="2" t="b">
        <f>FALSE()</f>
        <v>0</v>
      </c>
      <c r="R5104">
        <v>0</v>
      </c>
    </row>
    <row r="5105" spans="1:18" x14ac:dyDescent="0.25">
      <c r="A5105">
        <v>205104</v>
      </c>
      <c r="B5105">
        <v>54224</v>
      </c>
      <c r="C5105" t="s">
        <v>18</v>
      </c>
      <c r="D5105">
        <v>2155.8000000000002</v>
      </c>
      <c r="E5105">
        <v>145</v>
      </c>
      <c r="F5105">
        <v>0</v>
      </c>
      <c r="G5105">
        <v>5</v>
      </c>
      <c r="H5105">
        <v>0</v>
      </c>
      <c r="I5105" t="s">
        <v>32</v>
      </c>
      <c r="J5105">
        <v>0</v>
      </c>
      <c r="K5105">
        <v>38</v>
      </c>
      <c r="L5105" t="s">
        <v>24</v>
      </c>
      <c r="M5105" t="s">
        <v>29</v>
      </c>
      <c r="N5105" t="s">
        <v>22</v>
      </c>
      <c r="O5105" t="s">
        <v>27</v>
      </c>
      <c r="P5105">
        <v>1.83</v>
      </c>
      <c r="Q5105" s="2" t="b">
        <f>FALSE()</f>
        <v>0</v>
      </c>
      <c r="R5105">
        <v>0</v>
      </c>
    </row>
    <row r="5106" spans="1:18" x14ac:dyDescent="0.25">
      <c r="A5106">
        <v>205105</v>
      </c>
      <c r="B5106">
        <v>55741</v>
      </c>
      <c r="C5106" t="s">
        <v>18</v>
      </c>
      <c r="D5106">
        <v>2231.29</v>
      </c>
      <c r="E5106">
        <v>3492</v>
      </c>
      <c r="F5106">
        <v>1</v>
      </c>
      <c r="G5106">
        <v>6</v>
      </c>
      <c r="H5106">
        <v>0</v>
      </c>
      <c r="I5106" t="s">
        <v>33</v>
      </c>
      <c r="J5106">
        <v>0</v>
      </c>
      <c r="K5106">
        <v>23</v>
      </c>
      <c r="L5106" t="s">
        <v>20</v>
      </c>
      <c r="M5106" t="s">
        <v>37</v>
      </c>
      <c r="N5106" t="s">
        <v>30</v>
      </c>
      <c r="O5106" t="s">
        <v>36</v>
      </c>
      <c r="P5106">
        <v>0.05</v>
      </c>
      <c r="Q5106" s="2" t="b">
        <f>FALSE()</f>
        <v>0</v>
      </c>
      <c r="R5106">
        <v>0</v>
      </c>
    </row>
    <row r="5107" spans="1:18" x14ac:dyDescent="0.25">
      <c r="A5107">
        <v>205106</v>
      </c>
      <c r="B5107">
        <v>51540</v>
      </c>
      <c r="C5107" t="s">
        <v>18</v>
      </c>
      <c r="D5107">
        <v>1159.93</v>
      </c>
      <c r="E5107">
        <v>1258</v>
      </c>
      <c r="F5107">
        <v>0</v>
      </c>
      <c r="G5107">
        <v>4</v>
      </c>
      <c r="H5107">
        <v>0</v>
      </c>
      <c r="I5107" t="s">
        <v>33</v>
      </c>
      <c r="J5107">
        <v>0</v>
      </c>
      <c r="K5107">
        <v>55</v>
      </c>
      <c r="L5107" t="s">
        <v>24</v>
      </c>
      <c r="M5107" t="s">
        <v>29</v>
      </c>
      <c r="N5107" t="s">
        <v>22</v>
      </c>
      <c r="O5107" t="s">
        <v>23</v>
      </c>
      <c r="P5107">
        <v>8.61</v>
      </c>
      <c r="Q5107" s="2" t="b">
        <f>FALSE()</f>
        <v>0</v>
      </c>
      <c r="R5107">
        <v>0</v>
      </c>
    </row>
    <row r="5108" spans="1:18" x14ac:dyDescent="0.25">
      <c r="A5108">
        <v>205107</v>
      </c>
      <c r="B5108">
        <v>54379</v>
      </c>
      <c r="C5108" t="s">
        <v>18</v>
      </c>
      <c r="D5108">
        <v>851.05</v>
      </c>
      <c r="E5108">
        <v>508</v>
      </c>
      <c r="F5108">
        <v>1</v>
      </c>
      <c r="G5108">
        <v>2</v>
      </c>
      <c r="H5108">
        <v>0</v>
      </c>
      <c r="I5108" t="s">
        <v>19</v>
      </c>
      <c r="J5108">
        <v>0</v>
      </c>
      <c r="K5108">
        <v>20</v>
      </c>
      <c r="L5108" t="s">
        <v>38</v>
      </c>
      <c r="M5108" t="s">
        <v>35</v>
      </c>
      <c r="N5108" t="s">
        <v>22</v>
      </c>
      <c r="O5108" t="s">
        <v>36</v>
      </c>
      <c r="P5108">
        <v>0.91</v>
      </c>
      <c r="Q5108" s="2" t="b">
        <f>FALSE()</f>
        <v>0</v>
      </c>
      <c r="R5108">
        <v>0</v>
      </c>
    </row>
    <row r="5109" spans="1:18" x14ac:dyDescent="0.25">
      <c r="A5109">
        <v>205108</v>
      </c>
      <c r="B5109">
        <v>53892</v>
      </c>
      <c r="C5109" t="s">
        <v>34</v>
      </c>
      <c r="D5109">
        <v>5144.28</v>
      </c>
      <c r="E5109">
        <v>2122</v>
      </c>
      <c r="F5109">
        <v>0</v>
      </c>
      <c r="G5109">
        <v>6</v>
      </c>
      <c r="H5109">
        <v>0</v>
      </c>
      <c r="I5109" t="s">
        <v>19</v>
      </c>
      <c r="J5109">
        <v>0</v>
      </c>
      <c r="K5109">
        <v>67</v>
      </c>
      <c r="L5109" t="s">
        <v>24</v>
      </c>
      <c r="M5109" t="s">
        <v>25</v>
      </c>
      <c r="N5109" t="s">
        <v>22</v>
      </c>
      <c r="O5109" t="s">
        <v>23</v>
      </c>
      <c r="P5109">
        <v>3.54</v>
      </c>
      <c r="Q5109" s="2" t="b">
        <f>FALSE()</f>
        <v>0</v>
      </c>
      <c r="R5109">
        <v>1</v>
      </c>
    </row>
    <row r="5110" spans="1:18" x14ac:dyDescent="0.25">
      <c r="A5110">
        <v>205109</v>
      </c>
      <c r="B5110">
        <v>55902</v>
      </c>
      <c r="C5110" t="s">
        <v>18</v>
      </c>
      <c r="D5110">
        <v>3705.05</v>
      </c>
      <c r="E5110">
        <v>1028</v>
      </c>
      <c r="F5110">
        <v>0</v>
      </c>
      <c r="G5110">
        <v>5</v>
      </c>
      <c r="H5110">
        <v>0</v>
      </c>
      <c r="I5110" t="s">
        <v>19</v>
      </c>
      <c r="J5110">
        <v>0</v>
      </c>
      <c r="K5110">
        <v>69</v>
      </c>
      <c r="L5110" t="s">
        <v>20</v>
      </c>
      <c r="M5110" t="s">
        <v>21</v>
      </c>
      <c r="N5110" t="s">
        <v>22</v>
      </c>
      <c r="O5110" t="s">
        <v>36</v>
      </c>
      <c r="P5110">
        <v>3.52</v>
      </c>
      <c r="Q5110" s="2" t="b">
        <f>FALSE()</f>
        <v>0</v>
      </c>
      <c r="R5110">
        <v>1</v>
      </c>
    </row>
    <row r="5111" spans="1:18" x14ac:dyDescent="0.25">
      <c r="A5111">
        <v>205110</v>
      </c>
      <c r="B5111">
        <v>54895</v>
      </c>
      <c r="C5111" t="s">
        <v>34</v>
      </c>
      <c r="D5111">
        <v>66.400000000000006</v>
      </c>
      <c r="E5111">
        <v>1911</v>
      </c>
      <c r="F5111">
        <v>0</v>
      </c>
      <c r="G5111">
        <v>5</v>
      </c>
      <c r="H5111">
        <v>0</v>
      </c>
      <c r="I5111" t="s">
        <v>19</v>
      </c>
      <c r="J5111">
        <v>0</v>
      </c>
      <c r="K5111">
        <v>53</v>
      </c>
      <c r="L5111" t="s">
        <v>38</v>
      </c>
      <c r="M5111" t="s">
        <v>37</v>
      </c>
      <c r="N5111" t="s">
        <v>30</v>
      </c>
      <c r="O5111" t="s">
        <v>36</v>
      </c>
      <c r="P5111">
        <v>1.39</v>
      </c>
      <c r="Q5111" s="2" t="b">
        <f>FALSE()</f>
        <v>0</v>
      </c>
      <c r="R5111">
        <v>0</v>
      </c>
    </row>
    <row r="5112" spans="1:18" x14ac:dyDescent="0.25">
      <c r="A5112">
        <v>205111</v>
      </c>
      <c r="B5112">
        <v>50913</v>
      </c>
      <c r="C5112" t="s">
        <v>18</v>
      </c>
      <c r="D5112">
        <v>2050.38</v>
      </c>
      <c r="E5112">
        <v>3265</v>
      </c>
      <c r="F5112">
        <v>0</v>
      </c>
      <c r="G5112">
        <v>3</v>
      </c>
      <c r="H5112">
        <v>0</v>
      </c>
      <c r="I5112" t="s">
        <v>33</v>
      </c>
      <c r="J5112">
        <v>0</v>
      </c>
      <c r="K5112">
        <v>19</v>
      </c>
      <c r="L5112" t="s">
        <v>24</v>
      </c>
      <c r="M5112" t="s">
        <v>21</v>
      </c>
      <c r="N5112" t="s">
        <v>26</v>
      </c>
      <c r="O5112" t="s">
        <v>23</v>
      </c>
      <c r="P5112">
        <v>0.54</v>
      </c>
      <c r="Q5112" s="2" t="b">
        <f>FALSE()</f>
        <v>0</v>
      </c>
      <c r="R5112">
        <v>0</v>
      </c>
    </row>
    <row r="5113" spans="1:18" x14ac:dyDescent="0.25">
      <c r="A5113">
        <v>205112</v>
      </c>
      <c r="B5113">
        <v>50752</v>
      </c>
      <c r="C5113" t="s">
        <v>18</v>
      </c>
      <c r="D5113">
        <v>1444.3</v>
      </c>
      <c r="E5113">
        <v>1386</v>
      </c>
      <c r="F5113">
        <v>0</v>
      </c>
      <c r="G5113">
        <v>4</v>
      </c>
      <c r="H5113">
        <v>1</v>
      </c>
      <c r="I5113" t="s">
        <v>33</v>
      </c>
      <c r="J5113">
        <v>0</v>
      </c>
      <c r="K5113">
        <v>62</v>
      </c>
      <c r="L5113" t="s">
        <v>24</v>
      </c>
      <c r="M5113" t="s">
        <v>31</v>
      </c>
      <c r="N5113" t="s">
        <v>22</v>
      </c>
      <c r="O5113" t="s">
        <v>36</v>
      </c>
      <c r="P5113">
        <v>3.85</v>
      </c>
      <c r="Q5113" s="2" t="b">
        <f>FALSE()</f>
        <v>0</v>
      </c>
      <c r="R5113">
        <v>0</v>
      </c>
    </row>
    <row r="5114" spans="1:18" x14ac:dyDescent="0.25">
      <c r="A5114">
        <v>205113</v>
      </c>
      <c r="B5114">
        <v>55217</v>
      </c>
      <c r="C5114" t="s">
        <v>34</v>
      </c>
      <c r="D5114">
        <v>5025.08</v>
      </c>
      <c r="E5114">
        <v>2576</v>
      </c>
      <c r="F5114">
        <v>0</v>
      </c>
      <c r="G5114">
        <v>5</v>
      </c>
      <c r="H5114">
        <v>0</v>
      </c>
      <c r="I5114" t="s">
        <v>33</v>
      </c>
      <c r="J5114">
        <v>1</v>
      </c>
      <c r="K5114">
        <v>64</v>
      </c>
      <c r="L5114" t="s">
        <v>24</v>
      </c>
      <c r="M5114" t="s">
        <v>31</v>
      </c>
      <c r="N5114" t="s">
        <v>30</v>
      </c>
      <c r="O5114" t="s">
        <v>36</v>
      </c>
      <c r="P5114">
        <v>1.21</v>
      </c>
      <c r="Q5114" s="2" t="b">
        <f>FALSE()</f>
        <v>0</v>
      </c>
      <c r="R5114">
        <v>1</v>
      </c>
    </row>
    <row r="5115" spans="1:18" x14ac:dyDescent="0.25">
      <c r="A5115">
        <v>205114</v>
      </c>
      <c r="B5115">
        <v>51217</v>
      </c>
      <c r="C5115" t="s">
        <v>34</v>
      </c>
      <c r="D5115">
        <v>2537.4499999999998</v>
      </c>
      <c r="E5115">
        <v>1338</v>
      </c>
      <c r="F5115">
        <v>1</v>
      </c>
      <c r="G5115">
        <v>6</v>
      </c>
      <c r="H5115">
        <v>0</v>
      </c>
      <c r="I5115" t="s">
        <v>19</v>
      </c>
      <c r="J5115">
        <v>0</v>
      </c>
      <c r="K5115">
        <v>47</v>
      </c>
      <c r="L5115" t="s">
        <v>20</v>
      </c>
      <c r="M5115" t="s">
        <v>21</v>
      </c>
      <c r="N5115" t="s">
        <v>22</v>
      </c>
      <c r="O5115" t="s">
        <v>36</v>
      </c>
      <c r="P5115">
        <v>0.21</v>
      </c>
      <c r="Q5115" s="2" t="b">
        <f>FALSE()</f>
        <v>0</v>
      </c>
      <c r="R5115">
        <v>0</v>
      </c>
    </row>
    <row r="5116" spans="1:18" x14ac:dyDescent="0.25">
      <c r="A5116">
        <v>205115</v>
      </c>
      <c r="B5116">
        <v>52850</v>
      </c>
      <c r="C5116" t="s">
        <v>28</v>
      </c>
      <c r="D5116">
        <v>1598.82</v>
      </c>
      <c r="E5116">
        <v>2828</v>
      </c>
      <c r="F5116">
        <v>0</v>
      </c>
      <c r="G5116">
        <v>6</v>
      </c>
      <c r="H5116">
        <v>0</v>
      </c>
      <c r="I5116" t="s">
        <v>33</v>
      </c>
      <c r="J5116">
        <v>0</v>
      </c>
      <c r="K5116">
        <v>66</v>
      </c>
      <c r="L5116" t="s">
        <v>24</v>
      </c>
      <c r="M5116" t="s">
        <v>21</v>
      </c>
      <c r="N5116" t="s">
        <v>30</v>
      </c>
      <c r="O5116" t="s">
        <v>27</v>
      </c>
      <c r="P5116">
        <v>0.06</v>
      </c>
      <c r="Q5116" s="2" t="b">
        <f>FALSE()</f>
        <v>0</v>
      </c>
      <c r="R5116">
        <v>0</v>
      </c>
    </row>
    <row r="5117" spans="1:18" x14ac:dyDescent="0.25">
      <c r="A5117">
        <v>205116</v>
      </c>
      <c r="B5117">
        <v>53831</v>
      </c>
      <c r="C5117" t="s">
        <v>34</v>
      </c>
      <c r="D5117">
        <v>1370.42</v>
      </c>
      <c r="E5117">
        <v>1149</v>
      </c>
      <c r="F5117">
        <v>1</v>
      </c>
      <c r="G5117">
        <v>6</v>
      </c>
      <c r="H5117">
        <v>1</v>
      </c>
      <c r="I5117" t="s">
        <v>33</v>
      </c>
      <c r="J5117">
        <v>0</v>
      </c>
      <c r="K5117">
        <v>56</v>
      </c>
      <c r="L5117" t="s">
        <v>24</v>
      </c>
      <c r="M5117" t="s">
        <v>21</v>
      </c>
      <c r="N5117" t="s">
        <v>26</v>
      </c>
      <c r="O5117" t="s">
        <v>23</v>
      </c>
      <c r="P5117">
        <v>1.99</v>
      </c>
      <c r="Q5117" s="2" t="b">
        <f>FALSE()</f>
        <v>0</v>
      </c>
      <c r="R5117">
        <v>0</v>
      </c>
    </row>
    <row r="5118" spans="1:18" x14ac:dyDescent="0.25">
      <c r="A5118">
        <v>205117</v>
      </c>
      <c r="B5118">
        <v>53745</v>
      </c>
      <c r="C5118" t="s">
        <v>18</v>
      </c>
      <c r="D5118">
        <v>1065.0999999999999</v>
      </c>
      <c r="E5118">
        <v>2617</v>
      </c>
      <c r="F5118">
        <v>1</v>
      </c>
      <c r="G5118">
        <v>3</v>
      </c>
      <c r="H5118">
        <v>0</v>
      </c>
      <c r="I5118" t="s">
        <v>19</v>
      </c>
      <c r="J5118">
        <v>1</v>
      </c>
      <c r="K5118">
        <v>69</v>
      </c>
      <c r="L5118" t="s">
        <v>24</v>
      </c>
      <c r="M5118" t="s">
        <v>25</v>
      </c>
      <c r="N5118" t="s">
        <v>22</v>
      </c>
      <c r="O5118" t="s">
        <v>27</v>
      </c>
      <c r="P5118">
        <v>1.36</v>
      </c>
      <c r="Q5118" s="2" t="b">
        <f>FALSE()</f>
        <v>0</v>
      </c>
      <c r="R5118">
        <v>0</v>
      </c>
    </row>
    <row r="5119" spans="1:18" x14ac:dyDescent="0.25">
      <c r="A5119">
        <v>205118</v>
      </c>
      <c r="B5119">
        <v>55920</v>
      </c>
      <c r="C5119" t="s">
        <v>18</v>
      </c>
      <c r="D5119">
        <v>3213.93</v>
      </c>
      <c r="E5119">
        <v>3037</v>
      </c>
      <c r="F5119">
        <v>0</v>
      </c>
      <c r="G5119">
        <v>7</v>
      </c>
      <c r="H5119">
        <v>0</v>
      </c>
      <c r="I5119" t="s">
        <v>32</v>
      </c>
      <c r="J5119">
        <v>0</v>
      </c>
      <c r="K5119">
        <v>61</v>
      </c>
      <c r="L5119" t="s">
        <v>24</v>
      </c>
      <c r="M5119" t="s">
        <v>37</v>
      </c>
      <c r="N5119" t="s">
        <v>22</v>
      </c>
      <c r="O5119" t="s">
        <v>27</v>
      </c>
      <c r="P5119">
        <v>5.32</v>
      </c>
      <c r="Q5119" s="2" t="b">
        <f>FALSE()</f>
        <v>0</v>
      </c>
      <c r="R5119">
        <v>1</v>
      </c>
    </row>
    <row r="5120" spans="1:18" x14ac:dyDescent="0.25">
      <c r="A5120">
        <v>205119</v>
      </c>
      <c r="B5120">
        <v>50253</v>
      </c>
      <c r="C5120" t="s">
        <v>18</v>
      </c>
      <c r="D5120">
        <v>965.4</v>
      </c>
      <c r="E5120">
        <v>1948</v>
      </c>
      <c r="F5120">
        <v>1</v>
      </c>
      <c r="G5120">
        <v>7</v>
      </c>
      <c r="H5120">
        <v>0</v>
      </c>
      <c r="I5120" t="s">
        <v>19</v>
      </c>
      <c r="J5120">
        <v>0</v>
      </c>
      <c r="K5120">
        <v>23</v>
      </c>
      <c r="L5120" t="s">
        <v>20</v>
      </c>
      <c r="M5120" t="s">
        <v>31</v>
      </c>
      <c r="N5120" t="s">
        <v>30</v>
      </c>
      <c r="O5120" t="s">
        <v>36</v>
      </c>
      <c r="P5120">
        <v>2.46</v>
      </c>
      <c r="Q5120" s="2" t="b">
        <f>FALSE()</f>
        <v>0</v>
      </c>
      <c r="R5120">
        <v>1</v>
      </c>
    </row>
    <row r="5121" spans="1:18" x14ac:dyDescent="0.25">
      <c r="A5121">
        <v>205120</v>
      </c>
      <c r="B5121">
        <v>52815</v>
      </c>
      <c r="C5121" t="s">
        <v>18</v>
      </c>
      <c r="D5121">
        <v>4127.51</v>
      </c>
      <c r="E5121">
        <v>153</v>
      </c>
      <c r="F5121">
        <v>1</v>
      </c>
      <c r="G5121">
        <v>0</v>
      </c>
      <c r="H5121">
        <v>0</v>
      </c>
      <c r="I5121" t="s">
        <v>19</v>
      </c>
      <c r="J5121">
        <v>0</v>
      </c>
      <c r="K5121">
        <v>25</v>
      </c>
      <c r="L5121" t="s">
        <v>20</v>
      </c>
      <c r="M5121" t="s">
        <v>35</v>
      </c>
      <c r="N5121" t="s">
        <v>22</v>
      </c>
      <c r="O5121" t="s">
        <v>36</v>
      </c>
      <c r="P5121">
        <v>2.29</v>
      </c>
      <c r="Q5121" s="2" t="b">
        <f>FALSE()</f>
        <v>0</v>
      </c>
      <c r="R5121">
        <v>1</v>
      </c>
    </row>
    <row r="5122" spans="1:18" x14ac:dyDescent="0.25">
      <c r="A5122">
        <v>205121</v>
      </c>
      <c r="B5122">
        <v>54909</v>
      </c>
      <c r="C5122" t="s">
        <v>34</v>
      </c>
      <c r="D5122">
        <v>1237.76</v>
      </c>
      <c r="E5122">
        <v>3054</v>
      </c>
      <c r="F5122">
        <v>5</v>
      </c>
      <c r="G5122">
        <v>3</v>
      </c>
      <c r="H5122">
        <v>1</v>
      </c>
      <c r="I5122" t="s">
        <v>33</v>
      </c>
      <c r="J5122">
        <v>0</v>
      </c>
      <c r="K5122">
        <v>22</v>
      </c>
      <c r="L5122" t="s">
        <v>20</v>
      </c>
      <c r="M5122" t="s">
        <v>25</v>
      </c>
      <c r="N5122" t="s">
        <v>22</v>
      </c>
      <c r="O5122" t="s">
        <v>36</v>
      </c>
      <c r="P5122">
        <v>2.84</v>
      </c>
      <c r="Q5122" s="2" t="b">
        <f>FALSE()</f>
        <v>0</v>
      </c>
      <c r="R5122">
        <v>1</v>
      </c>
    </row>
    <row r="5123" spans="1:18" x14ac:dyDescent="0.25">
      <c r="A5123">
        <v>205122</v>
      </c>
      <c r="B5123">
        <v>51562</v>
      </c>
      <c r="C5123" t="s">
        <v>34</v>
      </c>
      <c r="D5123">
        <v>3804.21</v>
      </c>
      <c r="E5123">
        <v>2660</v>
      </c>
      <c r="F5123">
        <v>1</v>
      </c>
      <c r="G5123">
        <v>5</v>
      </c>
      <c r="H5123">
        <v>1</v>
      </c>
      <c r="I5123" t="s">
        <v>32</v>
      </c>
      <c r="J5123">
        <v>0</v>
      </c>
      <c r="K5123">
        <v>38</v>
      </c>
      <c r="L5123" t="s">
        <v>20</v>
      </c>
      <c r="M5123" t="s">
        <v>35</v>
      </c>
      <c r="N5123" t="s">
        <v>30</v>
      </c>
      <c r="O5123" t="s">
        <v>27</v>
      </c>
      <c r="P5123">
        <v>5.25</v>
      </c>
      <c r="Q5123" s="2" t="b">
        <f>FALSE()</f>
        <v>0</v>
      </c>
      <c r="R5123">
        <v>1</v>
      </c>
    </row>
    <row r="5124" spans="1:18" x14ac:dyDescent="0.25">
      <c r="A5124">
        <v>205123</v>
      </c>
      <c r="B5124">
        <v>55359</v>
      </c>
      <c r="C5124" t="s">
        <v>34</v>
      </c>
      <c r="D5124">
        <v>2561.73</v>
      </c>
      <c r="E5124">
        <v>2674</v>
      </c>
      <c r="F5124">
        <v>3</v>
      </c>
      <c r="G5124">
        <v>5</v>
      </c>
      <c r="H5124">
        <v>0</v>
      </c>
      <c r="I5124" t="s">
        <v>32</v>
      </c>
      <c r="J5124">
        <v>0</v>
      </c>
      <c r="K5124">
        <v>59</v>
      </c>
      <c r="L5124" t="s">
        <v>20</v>
      </c>
      <c r="M5124" t="s">
        <v>35</v>
      </c>
      <c r="N5124" t="s">
        <v>26</v>
      </c>
      <c r="O5124" t="s">
        <v>36</v>
      </c>
      <c r="P5124">
        <v>1.4</v>
      </c>
      <c r="Q5124" s="2" t="b">
        <f>FALSE()</f>
        <v>0</v>
      </c>
      <c r="R5124">
        <v>1</v>
      </c>
    </row>
    <row r="5125" spans="1:18" x14ac:dyDescent="0.25">
      <c r="A5125">
        <v>205124</v>
      </c>
      <c r="B5125">
        <v>52719</v>
      </c>
      <c r="C5125" t="s">
        <v>18</v>
      </c>
      <c r="D5125">
        <v>1368.91</v>
      </c>
      <c r="E5125">
        <v>517</v>
      </c>
      <c r="F5125">
        <v>3</v>
      </c>
      <c r="G5125">
        <v>4</v>
      </c>
      <c r="H5125">
        <v>1</v>
      </c>
      <c r="I5125" t="s">
        <v>33</v>
      </c>
      <c r="J5125">
        <v>1</v>
      </c>
      <c r="K5125">
        <v>65</v>
      </c>
      <c r="L5125" t="s">
        <v>20</v>
      </c>
      <c r="M5125" t="s">
        <v>29</v>
      </c>
      <c r="N5125" t="s">
        <v>30</v>
      </c>
      <c r="O5125" t="s">
        <v>27</v>
      </c>
      <c r="P5125">
        <v>2.02</v>
      </c>
      <c r="Q5125" s="2" t="b">
        <f>FALSE()</f>
        <v>0</v>
      </c>
      <c r="R5125">
        <v>1</v>
      </c>
    </row>
    <row r="5126" spans="1:18" x14ac:dyDescent="0.25">
      <c r="A5126">
        <v>205125</v>
      </c>
      <c r="B5126">
        <v>52322</v>
      </c>
      <c r="C5126" t="s">
        <v>18</v>
      </c>
      <c r="D5126">
        <v>2502.92</v>
      </c>
      <c r="E5126">
        <v>2387</v>
      </c>
      <c r="F5126">
        <v>2</v>
      </c>
      <c r="G5126">
        <v>3</v>
      </c>
      <c r="H5126">
        <v>0</v>
      </c>
      <c r="I5126" t="s">
        <v>33</v>
      </c>
      <c r="J5126">
        <v>0</v>
      </c>
      <c r="K5126">
        <v>38</v>
      </c>
      <c r="L5126" t="s">
        <v>24</v>
      </c>
      <c r="M5126" t="s">
        <v>21</v>
      </c>
      <c r="N5126" t="s">
        <v>22</v>
      </c>
      <c r="O5126" t="s">
        <v>36</v>
      </c>
      <c r="P5126">
        <v>0.28000000000000003</v>
      </c>
      <c r="Q5126" s="2" t="b">
        <f>FALSE()</f>
        <v>0</v>
      </c>
      <c r="R5126">
        <v>0</v>
      </c>
    </row>
    <row r="5127" spans="1:18" x14ac:dyDescent="0.25">
      <c r="A5127">
        <v>205126</v>
      </c>
      <c r="B5127">
        <v>52226</v>
      </c>
      <c r="C5127" t="s">
        <v>18</v>
      </c>
      <c r="D5127">
        <v>507.13</v>
      </c>
      <c r="E5127">
        <v>2747</v>
      </c>
      <c r="F5127">
        <v>0</v>
      </c>
      <c r="G5127">
        <v>7</v>
      </c>
      <c r="H5127">
        <v>0</v>
      </c>
      <c r="I5127" t="s">
        <v>33</v>
      </c>
      <c r="J5127">
        <v>0</v>
      </c>
      <c r="K5127">
        <v>32</v>
      </c>
      <c r="L5127" t="s">
        <v>24</v>
      </c>
      <c r="M5127" t="s">
        <v>31</v>
      </c>
      <c r="N5127" t="s">
        <v>26</v>
      </c>
      <c r="O5127" t="s">
        <v>27</v>
      </c>
      <c r="P5127">
        <v>4.54</v>
      </c>
      <c r="Q5127" s="2" t="b">
        <f>FALSE()</f>
        <v>0</v>
      </c>
      <c r="R5127">
        <v>1</v>
      </c>
    </row>
    <row r="5128" spans="1:18" x14ac:dyDescent="0.25">
      <c r="A5128">
        <v>205127</v>
      </c>
      <c r="B5128">
        <v>54167</v>
      </c>
      <c r="C5128" t="s">
        <v>34</v>
      </c>
      <c r="D5128">
        <v>2021.58</v>
      </c>
      <c r="E5128">
        <v>1534</v>
      </c>
      <c r="F5128">
        <v>1</v>
      </c>
      <c r="G5128">
        <v>1</v>
      </c>
      <c r="H5128">
        <v>1</v>
      </c>
      <c r="I5128" t="s">
        <v>33</v>
      </c>
      <c r="J5128">
        <v>0</v>
      </c>
      <c r="K5128">
        <v>25</v>
      </c>
      <c r="L5128" t="s">
        <v>20</v>
      </c>
      <c r="M5128" t="s">
        <v>35</v>
      </c>
      <c r="N5128" t="s">
        <v>30</v>
      </c>
      <c r="O5128" t="s">
        <v>36</v>
      </c>
      <c r="P5128">
        <v>1.36</v>
      </c>
      <c r="Q5128" s="2" t="b">
        <f>FALSE()</f>
        <v>0</v>
      </c>
      <c r="R5128">
        <v>0</v>
      </c>
    </row>
    <row r="5129" spans="1:18" x14ac:dyDescent="0.25">
      <c r="A5129">
        <v>205128</v>
      </c>
      <c r="B5129">
        <v>50638</v>
      </c>
      <c r="C5129" t="s">
        <v>34</v>
      </c>
      <c r="D5129">
        <v>1388.83</v>
      </c>
      <c r="E5129">
        <v>288</v>
      </c>
      <c r="F5129">
        <v>1</v>
      </c>
      <c r="G5129">
        <v>3</v>
      </c>
      <c r="H5129">
        <v>0</v>
      </c>
      <c r="I5129" t="s">
        <v>19</v>
      </c>
      <c r="J5129">
        <v>0</v>
      </c>
      <c r="K5129">
        <v>49</v>
      </c>
      <c r="L5129" t="s">
        <v>24</v>
      </c>
      <c r="M5129" t="s">
        <v>25</v>
      </c>
      <c r="N5129" t="s">
        <v>22</v>
      </c>
      <c r="O5129" t="s">
        <v>36</v>
      </c>
      <c r="P5129">
        <v>1.81</v>
      </c>
      <c r="Q5129" s="2" t="b">
        <f>FALSE()</f>
        <v>0</v>
      </c>
      <c r="R5129">
        <v>0</v>
      </c>
    </row>
    <row r="5130" spans="1:18" x14ac:dyDescent="0.25">
      <c r="A5130">
        <v>205129</v>
      </c>
      <c r="B5130">
        <v>52496</v>
      </c>
      <c r="C5130" t="s">
        <v>34</v>
      </c>
      <c r="D5130">
        <v>2028.01</v>
      </c>
      <c r="E5130">
        <v>1050</v>
      </c>
      <c r="F5130">
        <v>0</v>
      </c>
      <c r="G5130">
        <v>5</v>
      </c>
      <c r="H5130">
        <v>0</v>
      </c>
      <c r="I5130" t="s">
        <v>33</v>
      </c>
      <c r="J5130">
        <v>0</v>
      </c>
      <c r="K5130">
        <v>30</v>
      </c>
      <c r="L5130" t="s">
        <v>20</v>
      </c>
      <c r="M5130" t="s">
        <v>31</v>
      </c>
      <c r="N5130" t="s">
        <v>22</v>
      </c>
      <c r="O5130" t="s">
        <v>23</v>
      </c>
      <c r="P5130">
        <v>2.14</v>
      </c>
      <c r="Q5130" s="2" t="b">
        <f>FALSE()</f>
        <v>0</v>
      </c>
      <c r="R5130">
        <v>0</v>
      </c>
    </row>
    <row r="5131" spans="1:18" x14ac:dyDescent="0.25">
      <c r="A5131">
        <v>205130</v>
      </c>
      <c r="B5131">
        <v>50317</v>
      </c>
      <c r="C5131" t="s">
        <v>28</v>
      </c>
      <c r="D5131">
        <v>3365.76</v>
      </c>
      <c r="E5131">
        <v>1825</v>
      </c>
      <c r="F5131">
        <v>2</v>
      </c>
      <c r="G5131">
        <v>1</v>
      </c>
      <c r="H5131">
        <v>1</v>
      </c>
      <c r="I5131" t="s">
        <v>33</v>
      </c>
      <c r="J5131">
        <v>0</v>
      </c>
      <c r="K5131">
        <v>28</v>
      </c>
      <c r="L5131" t="s">
        <v>20</v>
      </c>
      <c r="M5131" t="s">
        <v>35</v>
      </c>
      <c r="N5131" t="s">
        <v>26</v>
      </c>
      <c r="O5131" t="s">
        <v>27</v>
      </c>
      <c r="P5131">
        <v>1.1100000000000001</v>
      </c>
      <c r="Q5131" s="2" t="b">
        <f>FALSE()</f>
        <v>0</v>
      </c>
      <c r="R5131">
        <v>0</v>
      </c>
    </row>
    <row r="5132" spans="1:18" x14ac:dyDescent="0.25">
      <c r="A5132">
        <v>205131</v>
      </c>
      <c r="B5132">
        <v>54080</v>
      </c>
      <c r="C5132" t="s">
        <v>18</v>
      </c>
      <c r="D5132">
        <v>5871.05</v>
      </c>
      <c r="E5132">
        <v>798</v>
      </c>
      <c r="F5132">
        <v>1</v>
      </c>
      <c r="G5132">
        <v>9</v>
      </c>
      <c r="H5132">
        <v>0</v>
      </c>
      <c r="I5132" t="s">
        <v>32</v>
      </c>
      <c r="J5132">
        <v>0</v>
      </c>
      <c r="K5132">
        <v>30</v>
      </c>
      <c r="L5132" t="s">
        <v>24</v>
      </c>
      <c r="M5132" t="s">
        <v>25</v>
      </c>
      <c r="N5132" t="s">
        <v>30</v>
      </c>
      <c r="O5132" t="s">
        <v>23</v>
      </c>
      <c r="P5132">
        <v>0.63</v>
      </c>
      <c r="Q5132" s="2" t="b">
        <f>FALSE()</f>
        <v>0</v>
      </c>
      <c r="R5132">
        <v>1</v>
      </c>
    </row>
    <row r="5133" spans="1:18" x14ac:dyDescent="0.25">
      <c r="A5133">
        <v>205132</v>
      </c>
      <c r="B5133">
        <v>51721</v>
      </c>
      <c r="C5133" t="s">
        <v>18</v>
      </c>
      <c r="D5133">
        <v>5056.74</v>
      </c>
      <c r="E5133">
        <v>3529</v>
      </c>
      <c r="F5133">
        <v>2</v>
      </c>
      <c r="G5133">
        <v>1</v>
      </c>
      <c r="H5133">
        <v>0</v>
      </c>
      <c r="I5133" t="s">
        <v>33</v>
      </c>
      <c r="J5133">
        <v>0</v>
      </c>
      <c r="K5133">
        <v>76</v>
      </c>
      <c r="L5133" t="s">
        <v>20</v>
      </c>
      <c r="M5133" t="s">
        <v>29</v>
      </c>
      <c r="N5133" t="s">
        <v>22</v>
      </c>
      <c r="O5133" t="s">
        <v>27</v>
      </c>
      <c r="P5133">
        <v>5.74</v>
      </c>
      <c r="Q5133" s="2" t="b">
        <f>FALSE()</f>
        <v>0</v>
      </c>
      <c r="R5133">
        <v>1</v>
      </c>
    </row>
    <row r="5134" spans="1:18" x14ac:dyDescent="0.25">
      <c r="A5134">
        <v>205133</v>
      </c>
      <c r="B5134">
        <v>51072</v>
      </c>
      <c r="C5134" t="s">
        <v>18</v>
      </c>
      <c r="D5134">
        <v>2987.33</v>
      </c>
      <c r="E5134">
        <v>1910</v>
      </c>
      <c r="F5134">
        <v>2</v>
      </c>
      <c r="G5134">
        <v>4</v>
      </c>
      <c r="H5134">
        <v>1</v>
      </c>
      <c r="I5134" t="s">
        <v>33</v>
      </c>
      <c r="J5134">
        <v>0</v>
      </c>
      <c r="K5134">
        <v>58</v>
      </c>
      <c r="L5134" t="s">
        <v>20</v>
      </c>
      <c r="M5134" t="s">
        <v>35</v>
      </c>
      <c r="N5134" t="s">
        <v>26</v>
      </c>
      <c r="O5134" t="s">
        <v>36</v>
      </c>
      <c r="P5134">
        <v>0.89</v>
      </c>
      <c r="Q5134" s="2" t="b">
        <f>FALSE()</f>
        <v>0</v>
      </c>
      <c r="R5134">
        <v>0</v>
      </c>
    </row>
    <row r="5135" spans="1:18" x14ac:dyDescent="0.25">
      <c r="A5135">
        <v>205134</v>
      </c>
      <c r="B5135">
        <v>54519</v>
      </c>
      <c r="C5135" t="s">
        <v>18</v>
      </c>
      <c r="D5135">
        <v>1351.13</v>
      </c>
      <c r="E5135">
        <v>3043</v>
      </c>
      <c r="F5135">
        <v>0</v>
      </c>
      <c r="G5135">
        <v>3</v>
      </c>
      <c r="H5135">
        <v>0</v>
      </c>
      <c r="I5135" t="s">
        <v>33</v>
      </c>
      <c r="J5135">
        <v>1</v>
      </c>
      <c r="K5135">
        <v>36</v>
      </c>
      <c r="L5135" t="s">
        <v>20</v>
      </c>
      <c r="M5135" t="s">
        <v>31</v>
      </c>
      <c r="N5135" t="s">
        <v>26</v>
      </c>
      <c r="O5135" t="s">
        <v>27</v>
      </c>
      <c r="P5135">
        <v>3.12</v>
      </c>
      <c r="Q5135" s="2" t="b">
        <f>FALSE()</f>
        <v>0</v>
      </c>
      <c r="R5135">
        <v>0</v>
      </c>
    </row>
    <row r="5136" spans="1:18" x14ac:dyDescent="0.25">
      <c r="A5136">
        <v>205135</v>
      </c>
      <c r="B5136">
        <v>53262</v>
      </c>
      <c r="C5136" t="s">
        <v>34</v>
      </c>
      <c r="D5136">
        <v>2324.5100000000002</v>
      </c>
      <c r="E5136">
        <v>534</v>
      </c>
      <c r="F5136">
        <v>1</v>
      </c>
      <c r="G5136">
        <v>5</v>
      </c>
      <c r="H5136">
        <v>1</v>
      </c>
      <c r="I5136" t="s">
        <v>33</v>
      </c>
      <c r="J5136">
        <v>0</v>
      </c>
      <c r="K5136">
        <v>74</v>
      </c>
      <c r="L5136" t="s">
        <v>24</v>
      </c>
      <c r="M5136" t="s">
        <v>21</v>
      </c>
      <c r="N5136" t="s">
        <v>30</v>
      </c>
      <c r="O5136" t="s">
        <v>36</v>
      </c>
      <c r="P5136">
        <v>4.22</v>
      </c>
      <c r="Q5136" s="2" t="b">
        <f>FALSE()</f>
        <v>0</v>
      </c>
      <c r="R5136">
        <v>0</v>
      </c>
    </row>
    <row r="5137" spans="1:18" x14ac:dyDescent="0.25">
      <c r="A5137">
        <v>205136</v>
      </c>
      <c r="B5137">
        <v>51951</v>
      </c>
      <c r="C5137" t="s">
        <v>34</v>
      </c>
      <c r="D5137">
        <v>2010.36</v>
      </c>
      <c r="E5137">
        <v>2637</v>
      </c>
      <c r="F5137">
        <v>2</v>
      </c>
      <c r="G5137">
        <v>4</v>
      </c>
      <c r="H5137">
        <v>0</v>
      </c>
      <c r="I5137" t="s">
        <v>33</v>
      </c>
      <c r="J5137">
        <v>0</v>
      </c>
      <c r="K5137">
        <v>36</v>
      </c>
      <c r="L5137" t="s">
        <v>24</v>
      </c>
      <c r="M5137" t="s">
        <v>25</v>
      </c>
      <c r="N5137" t="s">
        <v>30</v>
      </c>
      <c r="O5137" t="s">
        <v>27</v>
      </c>
      <c r="P5137">
        <v>0.55000000000000004</v>
      </c>
      <c r="Q5137" s="2" t="b">
        <f>FALSE()</f>
        <v>0</v>
      </c>
      <c r="R5137">
        <v>0</v>
      </c>
    </row>
    <row r="5138" spans="1:18" x14ac:dyDescent="0.25">
      <c r="A5138">
        <v>205137</v>
      </c>
      <c r="B5138">
        <v>52019</v>
      </c>
      <c r="C5138" t="s">
        <v>18</v>
      </c>
      <c r="D5138">
        <v>935.43</v>
      </c>
      <c r="E5138">
        <v>776</v>
      </c>
      <c r="F5138">
        <v>2</v>
      </c>
      <c r="G5138">
        <v>6</v>
      </c>
      <c r="H5138">
        <v>0</v>
      </c>
      <c r="I5138" t="s">
        <v>19</v>
      </c>
      <c r="J5138">
        <v>1</v>
      </c>
      <c r="K5138">
        <v>44</v>
      </c>
      <c r="L5138" t="s">
        <v>24</v>
      </c>
      <c r="M5138" t="s">
        <v>21</v>
      </c>
      <c r="N5138" t="s">
        <v>22</v>
      </c>
      <c r="O5138" t="s">
        <v>23</v>
      </c>
      <c r="P5138">
        <v>0.53</v>
      </c>
      <c r="Q5138" s="2" t="b">
        <f>FALSE()</f>
        <v>0</v>
      </c>
      <c r="R5138">
        <v>0</v>
      </c>
    </row>
    <row r="5139" spans="1:18" x14ac:dyDescent="0.25">
      <c r="A5139">
        <v>205138</v>
      </c>
      <c r="B5139">
        <v>52417</v>
      </c>
      <c r="C5139" t="s">
        <v>18</v>
      </c>
      <c r="D5139">
        <v>363.56</v>
      </c>
      <c r="E5139">
        <v>1806</v>
      </c>
      <c r="F5139">
        <v>2</v>
      </c>
      <c r="G5139">
        <v>4</v>
      </c>
      <c r="H5139">
        <v>0</v>
      </c>
      <c r="I5139" t="s">
        <v>33</v>
      </c>
      <c r="J5139">
        <v>0</v>
      </c>
      <c r="K5139">
        <v>54</v>
      </c>
      <c r="L5139" t="s">
        <v>24</v>
      </c>
      <c r="M5139" t="s">
        <v>37</v>
      </c>
      <c r="N5139" t="s">
        <v>22</v>
      </c>
      <c r="O5139" t="s">
        <v>27</v>
      </c>
      <c r="P5139">
        <v>9.58</v>
      </c>
      <c r="Q5139" s="2" t="b">
        <f>FALSE()</f>
        <v>0</v>
      </c>
      <c r="R5139">
        <v>0</v>
      </c>
    </row>
    <row r="5140" spans="1:18" x14ac:dyDescent="0.25">
      <c r="A5140">
        <v>205139</v>
      </c>
      <c r="B5140">
        <v>52695</v>
      </c>
      <c r="C5140" t="s">
        <v>28</v>
      </c>
      <c r="D5140">
        <v>4049.4</v>
      </c>
      <c r="E5140">
        <v>2718</v>
      </c>
      <c r="F5140">
        <v>0</v>
      </c>
      <c r="G5140">
        <v>0</v>
      </c>
      <c r="H5140">
        <v>1</v>
      </c>
      <c r="I5140" t="s">
        <v>32</v>
      </c>
      <c r="J5140">
        <v>0</v>
      </c>
      <c r="K5140">
        <v>76</v>
      </c>
      <c r="L5140" t="s">
        <v>24</v>
      </c>
      <c r="M5140" t="s">
        <v>25</v>
      </c>
      <c r="N5140" t="s">
        <v>30</v>
      </c>
      <c r="O5140" t="s">
        <v>27</v>
      </c>
      <c r="P5140">
        <v>1.07</v>
      </c>
      <c r="Q5140" s="2" t="b">
        <f>FALSE()</f>
        <v>0</v>
      </c>
      <c r="R5140">
        <v>1</v>
      </c>
    </row>
    <row r="5141" spans="1:18" x14ac:dyDescent="0.25">
      <c r="A5141">
        <v>205140</v>
      </c>
      <c r="B5141">
        <v>52821</v>
      </c>
      <c r="C5141" t="s">
        <v>18</v>
      </c>
      <c r="D5141">
        <v>487.12</v>
      </c>
      <c r="E5141">
        <v>2932</v>
      </c>
      <c r="F5141">
        <v>2</v>
      </c>
      <c r="G5141">
        <v>4</v>
      </c>
      <c r="H5141">
        <v>0</v>
      </c>
      <c r="I5141" t="s">
        <v>33</v>
      </c>
      <c r="J5141">
        <v>0</v>
      </c>
      <c r="K5141">
        <v>78</v>
      </c>
      <c r="L5141" t="s">
        <v>24</v>
      </c>
      <c r="M5141" t="s">
        <v>35</v>
      </c>
      <c r="N5141" t="s">
        <v>30</v>
      </c>
      <c r="O5141" t="s">
        <v>27</v>
      </c>
      <c r="P5141">
        <v>8.89</v>
      </c>
      <c r="Q5141" s="2" t="b">
        <f>FALSE()</f>
        <v>0</v>
      </c>
      <c r="R5141">
        <v>0</v>
      </c>
    </row>
    <row r="5142" spans="1:18" x14ac:dyDescent="0.25">
      <c r="A5142">
        <v>205141</v>
      </c>
      <c r="B5142">
        <v>55449</v>
      </c>
      <c r="C5142" t="s">
        <v>34</v>
      </c>
      <c r="D5142">
        <v>1286.58</v>
      </c>
      <c r="E5142">
        <v>2421</v>
      </c>
      <c r="F5142">
        <v>1</v>
      </c>
      <c r="G5142">
        <v>7</v>
      </c>
      <c r="H5142">
        <v>0</v>
      </c>
      <c r="I5142" t="s">
        <v>32</v>
      </c>
      <c r="J5142">
        <v>0</v>
      </c>
      <c r="K5142">
        <v>45</v>
      </c>
      <c r="L5142" t="s">
        <v>24</v>
      </c>
      <c r="M5142" t="s">
        <v>37</v>
      </c>
      <c r="N5142" t="s">
        <v>30</v>
      </c>
      <c r="O5142" t="s">
        <v>27</v>
      </c>
      <c r="P5142">
        <v>1.21</v>
      </c>
      <c r="Q5142" s="2" t="b">
        <f>FALSE()</f>
        <v>0</v>
      </c>
      <c r="R5142">
        <v>1</v>
      </c>
    </row>
    <row r="5143" spans="1:18" x14ac:dyDescent="0.25">
      <c r="A5143">
        <v>205142</v>
      </c>
      <c r="B5143">
        <v>51592</v>
      </c>
      <c r="C5143" t="s">
        <v>18</v>
      </c>
      <c r="D5143">
        <v>5308.64</v>
      </c>
      <c r="E5143">
        <v>1740</v>
      </c>
      <c r="F5143">
        <v>1</v>
      </c>
      <c r="G5143">
        <v>7</v>
      </c>
      <c r="H5143">
        <v>0</v>
      </c>
      <c r="I5143" t="s">
        <v>33</v>
      </c>
      <c r="J5143">
        <v>1</v>
      </c>
      <c r="K5143">
        <v>26</v>
      </c>
      <c r="L5143" t="s">
        <v>20</v>
      </c>
      <c r="M5143" t="s">
        <v>21</v>
      </c>
      <c r="N5143" t="s">
        <v>30</v>
      </c>
      <c r="O5143" t="s">
        <v>27</v>
      </c>
      <c r="P5143">
        <v>3.24</v>
      </c>
      <c r="Q5143" s="2" t="b">
        <f>FALSE()</f>
        <v>0</v>
      </c>
      <c r="R5143">
        <v>1</v>
      </c>
    </row>
    <row r="5144" spans="1:18" x14ac:dyDescent="0.25">
      <c r="A5144">
        <v>205143</v>
      </c>
      <c r="B5144">
        <v>53311</v>
      </c>
      <c r="C5144" t="s">
        <v>34</v>
      </c>
      <c r="D5144">
        <v>1007.83</v>
      </c>
      <c r="E5144">
        <v>3025</v>
      </c>
      <c r="F5144">
        <v>0</v>
      </c>
      <c r="G5144">
        <v>5</v>
      </c>
      <c r="H5144">
        <v>1</v>
      </c>
      <c r="I5144" t="s">
        <v>32</v>
      </c>
      <c r="J5144">
        <v>0</v>
      </c>
      <c r="K5144">
        <v>74</v>
      </c>
      <c r="L5144" t="s">
        <v>20</v>
      </c>
      <c r="M5144" t="s">
        <v>29</v>
      </c>
      <c r="N5144" t="s">
        <v>22</v>
      </c>
      <c r="O5144" t="s">
        <v>27</v>
      </c>
      <c r="P5144">
        <v>4.03</v>
      </c>
      <c r="Q5144" s="2" t="b">
        <f>FALSE()</f>
        <v>0</v>
      </c>
      <c r="R5144">
        <v>0</v>
      </c>
    </row>
    <row r="5145" spans="1:18" x14ac:dyDescent="0.25">
      <c r="A5145">
        <v>205144</v>
      </c>
      <c r="B5145">
        <v>54403</v>
      </c>
      <c r="C5145" t="s">
        <v>18</v>
      </c>
      <c r="D5145">
        <v>2130.3000000000002</v>
      </c>
      <c r="E5145">
        <v>1210</v>
      </c>
      <c r="F5145">
        <v>2</v>
      </c>
      <c r="G5145">
        <v>6</v>
      </c>
      <c r="H5145">
        <v>1</v>
      </c>
      <c r="I5145" t="s">
        <v>33</v>
      </c>
      <c r="J5145">
        <v>0</v>
      </c>
      <c r="K5145">
        <v>82</v>
      </c>
      <c r="L5145" t="s">
        <v>20</v>
      </c>
      <c r="M5145" t="s">
        <v>25</v>
      </c>
      <c r="N5145" t="s">
        <v>22</v>
      </c>
      <c r="O5145" t="s">
        <v>36</v>
      </c>
      <c r="P5145">
        <v>2.13</v>
      </c>
      <c r="Q5145" s="2" t="b">
        <f>FALSE()</f>
        <v>0</v>
      </c>
      <c r="R5145">
        <v>0</v>
      </c>
    </row>
    <row r="5146" spans="1:18" x14ac:dyDescent="0.25">
      <c r="A5146">
        <v>205145</v>
      </c>
      <c r="B5146">
        <v>53186</v>
      </c>
      <c r="C5146" t="s">
        <v>28</v>
      </c>
      <c r="D5146">
        <v>519.53</v>
      </c>
      <c r="E5146">
        <v>1552</v>
      </c>
      <c r="F5146">
        <v>2</v>
      </c>
      <c r="G5146">
        <v>6</v>
      </c>
      <c r="H5146">
        <v>0</v>
      </c>
      <c r="I5146" t="s">
        <v>19</v>
      </c>
      <c r="J5146">
        <v>0</v>
      </c>
      <c r="K5146">
        <v>49</v>
      </c>
      <c r="L5146" t="s">
        <v>20</v>
      </c>
      <c r="M5146" t="s">
        <v>21</v>
      </c>
      <c r="N5146" t="s">
        <v>22</v>
      </c>
      <c r="O5146" t="s">
        <v>23</v>
      </c>
      <c r="P5146">
        <v>0.01</v>
      </c>
      <c r="Q5146" s="2" t="b">
        <f>FALSE()</f>
        <v>0</v>
      </c>
      <c r="R5146">
        <v>0</v>
      </c>
    </row>
    <row r="5147" spans="1:18" x14ac:dyDescent="0.25">
      <c r="A5147">
        <v>205146</v>
      </c>
      <c r="B5147">
        <v>50388</v>
      </c>
      <c r="C5147" t="s">
        <v>28</v>
      </c>
      <c r="D5147">
        <v>1679.67</v>
      </c>
      <c r="E5147">
        <v>1584</v>
      </c>
      <c r="F5147">
        <v>3</v>
      </c>
      <c r="G5147">
        <v>4</v>
      </c>
      <c r="H5147">
        <v>0</v>
      </c>
      <c r="I5147" t="s">
        <v>33</v>
      </c>
      <c r="J5147">
        <v>0</v>
      </c>
      <c r="K5147">
        <v>46</v>
      </c>
      <c r="L5147" t="s">
        <v>20</v>
      </c>
      <c r="M5147" t="s">
        <v>37</v>
      </c>
      <c r="N5147" t="s">
        <v>22</v>
      </c>
      <c r="O5147" t="s">
        <v>36</v>
      </c>
      <c r="P5147">
        <v>4.92</v>
      </c>
      <c r="Q5147" s="2" t="b">
        <f>FALSE()</f>
        <v>0</v>
      </c>
      <c r="R5147">
        <v>1</v>
      </c>
    </row>
    <row r="5148" spans="1:18" x14ac:dyDescent="0.25">
      <c r="A5148">
        <v>205147</v>
      </c>
      <c r="B5148">
        <v>55642</v>
      </c>
      <c r="C5148" t="s">
        <v>34</v>
      </c>
      <c r="D5148">
        <v>1402.7</v>
      </c>
      <c r="E5148">
        <v>1841</v>
      </c>
      <c r="F5148">
        <v>2</v>
      </c>
      <c r="G5148">
        <v>4</v>
      </c>
      <c r="H5148">
        <v>0</v>
      </c>
      <c r="I5148" t="s">
        <v>19</v>
      </c>
      <c r="J5148">
        <v>0</v>
      </c>
      <c r="K5148">
        <v>77</v>
      </c>
      <c r="L5148" t="s">
        <v>24</v>
      </c>
      <c r="M5148" t="s">
        <v>37</v>
      </c>
      <c r="N5148" t="s">
        <v>22</v>
      </c>
      <c r="O5148" t="s">
        <v>27</v>
      </c>
      <c r="P5148">
        <v>0.55000000000000004</v>
      </c>
      <c r="Q5148" s="2" t="b">
        <f>FALSE()</f>
        <v>0</v>
      </c>
      <c r="R5148">
        <v>0</v>
      </c>
    </row>
    <row r="5149" spans="1:18" x14ac:dyDescent="0.25">
      <c r="A5149">
        <v>205148</v>
      </c>
      <c r="B5149">
        <v>52798</v>
      </c>
      <c r="C5149" t="s">
        <v>18</v>
      </c>
      <c r="D5149">
        <v>3543.3</v>
      </c>
      <c r="E5149">
        <v>3285</v>
      </c>
      <c r="F5149">
        <v>1</v>
      </c>
      <c r="G5149">
        <v>3</v>
      </c>
      <c r="H5149">
        <v>0</v>
      </c>
      <c r="I5149" t="s">
        <v>19</v>
      </c>
      <c r="J5149">
        <v>0</v>
      </c>
      <c r="K5149">
        <v>34</v>
      </c>
      <c r="L5149" t="s">
        <v>20</v>
      </c>
      <c r="M5149" t="s">
        <v>37</v>
      </c>
      <c r="N5149" t="s">
        <v>22</v>
      </c>
      <c r="O5149" t="s">
        <v>27</v>
      </c>
      <c r="P5149">
        <v>2.96</v>
      </c>
      <c r="Q5149" s="2" t="b">
        <f>FALSE()</f>
        <v>0</v>
      </c>
      <c r="R5149">
        <v>0</v>
      </c>
    </row>
    <row r="5150" spans="1:18" x14ac:dyDescent="0.25">
      <c r="A5150">
        <v>205149</v>
      </c>
      <c r="B5150">
        <v>54532</v>
      </c>
      <c r="C5150" t="s">
        <v>34</v>
      </c>
      <c r="D5150">
        <v>2886.62</v>
      </c>
      <c r="E5150">
        <v>1702</v>
      </c>
      <c r="F5150">
        <v>0</v>
      </c>
      <c r="G5150">
        <v>1</v>
      </c>
      <c r="H5150">
        <v>0</v>
      </c>
      <c r="I5150" t="s">
        <v>33</v>
      </c>
      <c r="J5150">
        <v>0</v>
      </c>
      <c r="K5150">
        <v>58</v>
      </c>
      <c r="L5150" t="s">
        <v>20</v>
      </c>
      <c r="M5150" t="s">
        <v>21</v>
      </c>
      <c r="N5150" t="s">
        <v>22</v>
      </c>
      <c r="O5150" t="s">
        <v>23</v>
      </c>
      <c r="P5150">
        <v>3.2</v>
      </c>
      <c r="Q5150" s="2" t="b">
        <f>FALSE()</f>
        <v>0</v>
      </c>
      <c r="R5150">
        <v>0</v>
      </c>
    </row>
    <row r="5151" spans="1:18" x14ac:dyDescent="0.25">
      <c r="A5151">
        <v>205150</v>
      </c>
      <c r="B5151">
        <v>53479</v>
      </c>
      <c r="C5151" t="s">
        <v>34</v>
      </c>
      <c r="D5151">
        <v>2858.82</v>
      </c>
      <c r="E5151">
        <v>7</v>
      </c>
      <c r="F5151">
        <v>0</v>
      </c>
      <c r="G5151">
        <v>2</v>
      </c>
      <c r="H5151">
        <v>0</v>
      </c>
      <c r="I5151" t="s">
        <v>33</v>
      </c>
      <c r="J5151">
        <v>0</v>
      </c>
      <c r="K5151">
        <v>66</v>
      </c>
      <c r="L5151" t="s">
        <v>20</v>
      </c>
      <c r="M5151" t="s">
        <v>21</v>
      </c>
      <c r="N5151" t="s">
        <v>22</v>
      </c>
      <c r="O5151" t="s">
        <v>27</v>
      </c>
      <c r="P5151">
        <v>0.83</v>
      </c>
      <c r="Q5151" s="2" t="b">
        <f>FALSE()</f>
        <v>0</v>
      </c>
      <c r="R5151">
        <v>0</v>
      </c>
    </row>
    <row r="5152" spans="1:18" x14ac:dyDescent="0.25">
      <c r="A5152">
        <v>205151</v>
      </c>
      <c r="B5152">
        <v>50167</v>
      </c>
      <c r="C5152" t="s">
        <v>18</v>
      </c>
      <c r="D5152">
        <v>3239.76</v>
      </c>
      <c r="E5152">
        <v>2056</v>
      </c>
      <c r="F5152">
        <v>1</v>
      </c>
      <c r="G5152">
        <v>3</v>
      </c>
      <c r="H5152">
        <v>0</v>
      </c>
      <c r="I5152" t="s">
        <v>19</v>
      </c>
      <c r="J5152">
        <v>1</v>
      </c>
      <c r="K5152">
        <v>55</v>
      </c>
      <c r="L5152" t="s">
        <v>20</v>
      </c>
      <c r="M5152" t="s">
        <v>31</v>
      </c>
      <c r="N5152" t="s">
        <v>26</v>
      </c>
      <c r="O5152" t="s">
        <v>27</v>
      </c>
      <c r="P5152">
        <v>10.36</v>
      </c>
      <c r="Q5152" s="2" t="b">
        <f>FALSE()</f>
        <v>0</v>
      </c>
      <c r="R5152">
        <v>0</v>
      </c>
    </row>
    <row r="5153" spans="1:18" x14ac:dyDescent="0.25">
      <c r="A5153">
        <v>205152</v>
      </c>
      <c r="B5153">
        <v>54673</v>
      </c>
      <c r="C5153" t="s">
        <v>18</v>
      </c>
      <c r="D5153">
        <v>1118.46</v>
      </c>
      <c r="E5153">
        <v>318</v>
      </c>
      <c r="F5153">
        <v>3</v>
      </c>
      <c r="G5153">
        <v>6</v>
      </c>
      <c r="H5153">
        <v>0</v>
      </c>
      <c r="I5153" t="s">
        <v>32</v>
      </c>
      <c r="J5153">
        <v>1</v>
      </c>
      <c r="K5153">
        <v>67</v>
      </c>
      <c r="L5153" t="s">
        <v>20</v>
      </c>
      <c r="M5153" t="s">
        <v>35</v>
      </c>
      <c r="N5153" t="s">
        <v>30</v>
      </c>
      <c r="O5153" t="s">
        <v>36</v>
      </c>
      <c r="P5153">
        <v>7.7</v>
      </c>
      <c r="Q5153" s="2" t="b">
        <f>FALSE()</f>
        <v>0</v>
      </c>
      <c r="R5153">
        <v>1</v>
      </c>
    </row>
    <row r="5154" spans="1:18" x14ac:dyDescent="0.25">
      <c r="A5154">
        <v>205153</v>
      </c>
      <c r="B5154">
        <v>55333</v>
      </c>
      <c r="C5154" t="s">
        <v>18</v>
      </c>
      <c r="D5154">
        <v>1822.4</v>
      </c>
      <c r="E5154">
        <v>225</v>
      </c>
      <c r="F5154">
        <v>1</v>
      </c>
      <c r="G5154">
        <v>4</v>
      </c>
      <c r="H5154">
        <v>1</v>
      </c>
      <c r="I5154" t="s">
        <v>32</v>
      </c>
      <c r="J5154">
        <v>0</v>
      </c>
      <c r="K5154">
        <v>81</v>
      </c>
      <c r="L5154" t="s">
        <v>20</v>
      </c>
      <c r="M5154" t="s">
        <v>35</v>
      </c>
      <c r="N5154" t="s">
        <v>22</v>
      </c>
      <c r="O5154" t="s">
        <v>27</v>
      </c>
      <c r="P5154">
        <v>9.4</v>
      </c>
      <c r="Q5154" s="2" t="b">
        <f>FALSE()</f>
        <v>0</v>
      </c>
      <c r="R5154">
        <v>0</v>
      </c>
    </row>
    <row r="5155" spans="1:18" x14ac:dyDescent="0.25">
      <c r="A5155">
        <v>205154</v>
      </c>
      <c r="B5155">
        <v>52852</v>
      </c>
      <c r="C5155" t="s">
        <v>34</v>
      </c>
      <c r="D5155">
        <v>1400.46</v>
      </c>
      <c r="E5155">
        <v>1302</v>
      </c>
      <c r="F5155">
        <v>0</v>
      </c>
      <c r="G5155">
        <v>4</v>
      </c>
      <c r="H5155">
        <v>0</v>
      </c>
      <c r="I5155" t="s">
        <v>33</v>
      </c>
      <c r="J5155">
        <v>0</v>
      </c>
      <c r="K5155">
        <v>35</v>
      </c>
      <c r="L5155" t="s">
        <v>24</v>
      </c>
      <c r="M5155" t="s">
        <v>31</v>
      </c>
      <c r="N5155" t="s">
        <v>30</v>
      </c>
      <c r="O5155" t="s">
        <v>27</v>
      </c>
      <c r="P5155">
        <v>3.75</v>
      </c>
      <c r="Q5155" s="2" t="b">
        <f>FALSE()</f>
        <v>0</v>
      </c>
      <c r="R5155">
        <v>0</v>
      </c>
    </row>
    <row r="5156" spans="1:18" x14ac:dyDescent="0.25">
      <c r="A5156">
        <v>205155</v>
      </c>
      <c r="B5156">
        <v>53895</v>
      </c>
      <c r="C5156" t="s">
        <v>18</v>
      </c>
      <c r="D5156">
        <v>4760.3500000000004</v>
      </c>
      <c r="E5156">
        <v>1862</v>
      </c>
      <c r="F5156">
        <v>3</v>
      </c>
      <c r="G5156">
        <v>3</v>
      </c>
      <c r="H5156">
        <v>0</v>
      </c>
      <c r="I5156" t="s">
        <v>33</v>
      </c>
      <c r="J5156">
        <v>0</v>
      </c>
      <c r="K5156">
        <v>61</v>
      </c>
      <c r="L5156" t="s">
        <v>24</v>
      </c>
      <c r="M5156" t="s">
        <v>31</v>
      </c>
      <c r="N5156" t="s">
        <v>30</v>
      </c>
      <c r="O5156" t="s">
        <v>36</v>
      </c>
      <c r="P5156">
        <v>3.57</v>
      </c>
      <c r="Q5156" s="2" t="b">
        <f>FALSE()</f>
        <v>0</v>
      </c>
      <c r="R5156">
        <v>1</v>
      </c>
    </row>
    <row r="5157" spans="1:18" x14ac:dyDescent="0.25">
      <c r="A5157">
        <v>205156</v>
      </c>
      <c r="B5157">
        <v>54528</v>
      </c>
      <c r="C5157" t="s">
        <v>34</v>
      </c>
      <c r="D5157">
        <v>335.44</v>
      </c>
      <c r="E5157">
        <v>981</v>
      </c>
      <c r="F5157">
        <v>0</v>
      </c>
      <c r="G5157">
        <v>5</v>
      </c>
      <c r="H5157">
        <v>0</v>
      </c>
      <c r="I5157" t="s">
        <v>19</v>
      </c>
      <c r="J5157">
        <v>0</v>
      </c>
      <c r="K5157">
        <v>31</v>
      </c>
      <c r="L5157" t="s">
        <v>38</v>
      </c>
      <c r="M5157" t="s">
        <v>29</v>
      </c>
      <c r="N5157" t="s">
        <v>26</v>
      </c>
      <c r="O5157" t="s">
        <v>36</v>
      </c>
      <c r="P5157">
        <v>5.6</v>
      </c>
      <c r="Q5157" s="2" t="b">
        <f>FALSE()</f>
        <v>0</v>
      </c>
      <c r="R5157">
        <v>0</v>
      </c>
    </row>
    <row r="5158" spans="1:18" x14ac:dyDescent="0.25">
      <c r="A5158">
        <v>205157</v>
      </c>
      <c r="B5158">
        <v>52055</v>
      </c>
      <c r="C5158" t="s">
        <v>34</v>
      </c>
      <c r="D5158">
        <v>587.77</v>
      </c>
      <c r="E5158">
        <v>3147</v>
      </c>
      <c r="F5158">
        <v>2</v>
      </c>
      <c r="G5158">
        <v>9</v>
      </c>
      <c r="H5158">
        <v>1</v>
      </c>
      <c r="I5158" t="s">
        <v>33</v>
      </c>
      <c r="J5158">
        <v>1</v>
      </c>
      <c r="K5158">
        <v>65</v>
      </c>
      <c r="L5158" t="s">
        <v>20</v>
      </c>
      <c r="M5158" t="s">
        <v>25</v>
      </c>
      <c r="N5158" t="s">
        <v>30</v>
      </c>
      <c r="O5158" t="s">
        <v>36</v>
      </c>
      <c r="P5158">
        <v>1.46</v>
      </c>
      <c r="Q5158" s="2" t="b">
        <f>FALSE()</f>
        <v>0</v>
      </c>
      <c r="R5158">
        <v>1</v>
      </c>
    </row>
    <row r="5159" spans="1:18" x14ac:dyDescent="0.25">
      <c r="A5159">
        <v>205158</v>
      </c>
      <c r="B5159">
        <v>55292</v>
      </c>
      <c r="C5159" t="s">
        <v>18</v>
      </c>
      <c r="D5159">
        <v>712.27</v>
      </c>
      <c r="E5159">
        <v>1550</v>
      </c>
      <c r="F5159">
        <v>0</v>
      </c>
      <c r="G5159">
        <v>5</v>
      </c>
      <c r="H5159">
        <v>0</v>
      </c>
      <c r="I5159" t="s">
        <v>33</v>
      </c>
      <c r="J5159">
        <v>0</v>
      </c>
      <c r="K5159">
        <v>41</v>
      </c>
      <c r="L5159" t="s">
        <v>20</v>
      </c>
      <c r="M5159" t="s">
        <v>37</v>
      </c>
      <c r="N5159" t="s">
        <v>22</v>
      </c>
      <c r="O5159" t="s">
        <v>36</v>
      </c>
      <c r="P5159">
        <v>7.55</v>
      </c>
      <c r="Q5159" s="2" t="b">
        <f>FALSE()</f>
        <v>0</v>
      </c>
      <c r="R5159">
        <v>0</v>
      </c>
    </row>
    <row r="5160" spans="1:18" x14ac:dyDescent="0.25">
      <c r="A5160">
        <v>205159</v>
      </c>
      <c r="B5160">
        <v>53375</v>
      </c>
      <c r="C5160" t="s">
        <v>28</v>
      </c>
      <c r="D5160">
        <v>3711.82</v>
      </c>
      <c r="E5160">
        <v>1611</v>
      </c>
      <c r="F5160">
        <v>2</v>
      </c>
      <c r="G5160">
        <v>6</v>
      </c>
      <c r="H5160">
        <v>0</v>
      </c>
      <c r="I5160" t="s">
        <v>33</v>
      </c>
      <c r="J5160">
        <v>0</v>
      </c>
      <c r="K5160">
        <v>22</v>
      </c>
      <c r="L5160" t="s">
        <v>20</v>
      </c>
      <c r="M5160" t="s">
        <v>21</v>
      </c>
      <c r="N5160" t="s">
        <v>30</v>
      </c>
      <c r="O5160" t="s">
        <v>36</v>
      </c>
      <c r="P5160">
        <v>2.3199999999999998</v>
      </c>
      <c r="Q5160" s="2" t="b">
        <f>FALSE()</f>
        <v>0</v>
      </c>
      <c r="R5160">
        <v>1</v>
      </c>
    </row>
    <row r="5161" spans="1:18" x14ac:dyDescent="0.25">
      <c r="A5161">
        <v>205160</v>
      </c>
      <c r="B5161">
        <v>51830</v>
      </c>
      <c r="C5161" t="s">
        <v>18</v>
      </c>
      <c r="D5161">
        <v>2758.4</v>
      </c>
      <c r="E5161">
        <v>358</v>
      </c>
      <c r="F5161">
        <v>0</v>
      </c>
      <c r="G5161">
        <v>4</v>
      </c>
      <c r="H5161">
        <v>0</v>
      </c>
      <c r="I5161" t="s">
        <v>33</v>
      </c>
      <c r="J5161">
        <v>0</v>
      </c>
      <c r="K5161">
        <v>20</v>
      </c>
      <c r="L5161" t="s">
        <v>24</v>
      </c>
      <c r="M5161" t="s">
        <v>25</v>
      </c>
      <c r="N5161" t="s">
        <v>22</v>
      </c>
      <c r="O5161" t="s">
        <v>36</v>
      </c>
      <c r="P5161">
        <v>0.98</v>
      </c>
      <c r="Q5161" s="2" t="b">
        <f>FALSE()</f>
        <v>0</v>
      </c>
      <c r="R5161">
        <v>0</v>
      </c>
    </row>
    <row r="5162" spans="1:18" x14ac:dyDescent="0.25">
      <c r="A5162">
        <v>205161</v>
      </c>
      <c r="B5162">
        <v>55135</v>
      </c>
      <c r="C5162" t="s">
        <v>18</v>
      </c>
      <c r="D5162">
        <v>3578.7</v>
      </c>
      <c r="E5162">
        <v>2904</v>
      </c>
      <c r="F5162">
        <v>0</v>
      </c>
      <c r="G5162">
        <v>1</v>
      </c>
      <c r="H5162">
        <v>0</v>
      </c>
      <c r="I5162" t="s">
        <v>19</v>
      </c>
      <c r="J5162">
        <v>0</v>
      </c>
      <c r="K5162">
        <v>41</v>
      </c>
      <c r="L5162" t="s">
        <v>24</v>
      </c>
      <c r="M5162" t="s">
        <v>31</v>
      </c>
      <c r="N5162" t="s">
        <v>22</v>
      </c>
      <c r="O5162" t="s">
        <v>36</v>
      </c>
      <c r="P5162">
        <v>2.1</v>
      </c>
      <c r="Q5162" s="2" t="b">
        <f>FALSE()</f>
        <v>0</v>
      </c>
      <c r="R5162">
        <v>1</v>
      </c>
    </row>
    <row r="5163" spans="1:18" x14ac:dyDescent="0.25">
      <c r="A5163">
        <v>205162</v>
      </c>
      <c r="B5163">
        <v>54610</v>
      </c>
      <c r="C5163" t="s">
        <v>34</v>
      </c>
      <c r="D5163">
        <v>4608.1099999999997</v>
      </c>
      <c r="E5163">
        <v>501</v>
      </c>
      <c r="F5163">
        <v>2</v>
      </c>
      <c r="G5163">
        <v>5</v>
      </c>
      <c r="H5163">
        <v>0</v>
      </c>
      <c r="I5163" t="s">
        <v>33</v>
      </c>
      <c r="J5163">
        <v>1</v>
      </c>
      <c r="K5163">
        <v>36</v>
      </c>
      <c r="L5163" t="s">
        <v>24</v>
      </c>
      <c r="M5163" t="s">
        <v>29</v>
      </c>
      <c r="N5163" t="s">
        <v>22</v>
      </c>
      <c r="O5163" t="s">
        <v>27</v>
      </c>
      <c r="P5163">
        <v>0.32</v>
      </c>
      <c r="Q5163" s="2" t="b">
        <f>FALSE()</f>
        <v>0</v>
      </c>
      <c r="R5163">
        <v>1</v>
      </c>
    </row>
    <row r="5164" spans="1:18" x14ac:dyDescent="0.25">
      <c r="A5164">
        <v>205163</v>
      </c>
      <c r="B5164">
        <v>53639</v>
      </c>
      <c r="C5164" t="s">
        <v>34</v>
      </c>
      <c r="D5164">
        <v>1238.47</v>
      </c>
      <c r="E5164">
        <v>3413</v>
      </c>
      <c r="F5164">
        <v>1</v>
      </c>
      <c r="G5164">
        <v>3</v>
      </c>
      <c r="H5164">
        <v>0</v>
      </c>
      <c r="I5164" t="s">
        <v>33</v>
      </c>
      <c r="J5164">
        <v>0</v>
      </c>
      <c r="K5164">
        <v>42</v>
      </c>
      <c r="L5164" t="s">
        <v>24</v>
      </c>
      <c r="M5164" t="s">
        <v>35</v>
      </c>
      <c r="N5164" t="s">
        <v>22</v>
      </c>
      <c r="O5164" t="s">
        <v>36</v>
      </c>
      <c r="P5164">
        <v>2.21</v>
      </c>
      <c r="Q5164" s="2" t="b">
        <f>FALSE()</f>
        <v>0</v>
      </c>
      <c r="R5164">
        <v>0</v>
      </c>
    </row>
    <row r="5165" spans="1:18" x14ac:dyDescent="0.25">
      <c r="A5165">
        <v>205164</v>
      </c>
      <c r="B5165">
        <v>52431</v>
      </c>
      <c r="C5165" t="s">
        <v>34</v>
      </c>
      <c r="D5165">
        <v>708.68</v>
      </c>
      <c r="E5165">
        <v>744</v>
      </c>
      <c r="F5165">
        <v>1</v>
      </c>
      <c r="G5165">
        <v>5</v>
      </c>
      <c r="H5165">
        <v>0</v>
      </c>
      <c r="I5165" t="s">
        <v>33</v>
      </c>
      <c r="J5165">
        <v>0</v>
      </c>
      <c r="K5165">
        <v>19</v>
      </c>
      <c r="L5165" t="s">
        <v>20</v>
      </c>
      <c r="M5165" t="s">
        <v>25</v>
      </c>
      <c r="N5165" t="s">
        <v>22</v>
      </c>
      <c r="O5165" t="s">
        <v>27</v>
      </c>
      <c r="P5165">
        <v>0.63</v>
      </c>
      <c r="Q5165" s="2" t="b">
        <f>FALSE()</f>
        <v>0</v>
      </c>
      <c r="R5165">
        <v>0</v>
      </c>
    </row>
    <row r="5166" spans="1:18" x14ac:dyDescent="0.25">
      <c r="A5166">
        <v>205165</v>
      </c>
      <c r="B5166">
        <v>50309</v>
      </c>
      <c r="C5166" t="s">
        <v>18</v>
      </c>
      <c r="D5166">
        <v>1757.86</v>
      </c>
      <c r="E5166">
        <v>686</v>
      </c>
      <c r="F5166">
        <v>0</v>
      </c>
      <c r="G5166">
        <v>3</v>
      </c>
      <c r="H5166">
        <v>0</v>
      </c>
      <c r="I5166" t="s">
        <v>33</v>
      </c>
      <c r="J5166">
        <v>0</v>
      </c>
      <c r="K5166">
        <v>58</v>
      </c>
      <c r="L5166" t="s">
        <v>20</v>
      </c>
      <c r="M5166" t="s">
        <v>29</v>
      </c>
      <c r="N5166" t="s">
        <v>30</v>
      </c>
      <c r="O5166" t="s">
        <v>23</v>
      </c>
      <c r="P5166">
        <v>0.39</v>
      </c>
      <c r="Q5166" s="2" t="b">
        <f>FALSE()</f>
        <v>0</v>
      </c>
      <c r="R5166">
        <v>0</v>
      </c>
    </row>
    <row r="5167" spans="1:18" x14ac:dyDescent="0.25">
      <c r="A5167">
        <v>205166</v>
      </c>
      <c r="B5167">
        <v>50882</v>
      </c>
      <c r="C5167" t="s">
        <v>34</v>
      </c>
      <c r="D5167">
        <v>3178.08</v>
      </c>
      <c r="E5167">
        <v>1653</v>
      </c>
      <c r="F5167">
        <v>0</v>
      </c>
      <c r="G5167">
        <v>6</v>
      </c>
      <c r="H5167">
        <v>0</v>
      </c>
      <c r="I5167" t="s">
        <v>33</v>
      </c>
      <c r="J5167">
        <v>1</v>
      </c>
      <c r="K5167">
        <v>63</v>
      </c>
      <c r="L5167" t="s">
        <v>24</v>
      </c>
      <c r="M5167" t="s">
        <v>37</v>
      </c>
      <c r="N5167" t="s">
        <v>26</v>
      </c>
      <c r="O5167" t="s">
        <v>36</v>
      </c>
      <c r="P5167">
        <v>2.97</v>
      </c>
      <c r="Q5167" s="2" t="b">
        <f>FALSE()</f>
        <v>0</v>
      </c>
      <c r="R5167">
        <v>0</v>
      </c>
    </row>
    <row r="5168" spans="1:18" x14ac:dyDescent="0.25">
      <c r="A5168">
        <v>205167</v>
      </c>
      <c r="B5168">
        <v>50172</v>
      </c>
      <c r="C5168" t="s">
        <v>28</v>
      </c>
      <c r="D5168">
        <v>915.18</v>
      </c>
      <c r="E5168">
        <v>1291</v>
      </c>
      <c r="F5168">
        <v>1</v>
      </c>
      <c r="G5168">
        <v>4</v>
      </c>
      <c r="H5168">
        <v>0</v>
      </c>
      <c r="I5168" t="s">
        <v>33</v>
      </c>
      <c r="J5168">
        <v>0</v>
      </c>
      <c r="K5168">
        <v>80</v>
      </c>
      <c r="L5168" t="s">
        <v>24</v>
      </c>
      <c r="M5168" t="s">
        <v>21</v>
      </c>
      <c r="N5168" t="s">
        <v>22</v>
      </c>
      <c r="O5168" t="s">
        <v>36</v>
      </c>
      <c r="P5168">
        <v>2.37</v>
      </c>
      <c r="Q5168" s="2" t="b">
        <f>FALSE()</f>
        <v>0</v>
      </c>
      <c r="R5168">
        <v>0</v>
      </c>
    </row>
    <row r="5169" spans="1:18" x14ac:dyDescent="0.25">
      <c r="A5169">
        <v>205168</v>
      </c>
      <c r="B5169">
        <v>55100</v>
      </c>
      <c r="C5169" t="s">
        <v>18</v>
      </c>
      <c r="D5169">
        <v>4196.7299999999996</v>
      </c>
      <c r="E5169">
        <v>1933</v>
      </c>
      <c r="F5169">
        <v>1</v>
      </c>
      <c r="G5169">
        <v>4</v>
      </c>
      <c r="H5169">
        <v>0</v>
      </c>
      <c r="I5169" t="s">
        <v>33</v>
      </c>
      <c r="J5169">
        <v>0</v>
      </c>
      <c r="K5169">
        <v>49</v>
      </c>
      <c r="L5169" t="s">
        <v>20</v>
      </c>
      <c r="M5169" t="s">
        <v>21</v>
      </c>
      <c r="N5169" t="s">
        <v>22</v>
      </c>
      <c r="O5169" t="s">
        <v>27</v>
      </c>
      <c r="P5169">
        <v>2.75</v>
      </c>
      <c r="Q5169" s="2" t="b">
        <f>FALSE()</f>
        <v>0</v>
      </c>
      <c r="R5169">
        <v>1</v>
      </c>
    </row>
    <row r="5170" spans="1:18" x14ac:dyDescent="0.25">
      <c r="A5170">
        <v>205169</v>
      </c>
      <c r="B5170">
        <v>54978</v>
      </c>
      <c r="C5170" t="s">
        <v>34</v>
      </c>
      <c r="D5170">
        <v>6382.2</v>
      </c>
      <c r="E5170">
        <v>2491</v>
      </c>
      <c r="F5170">
        <v>0</v>
      </c>
      <c r="G5170">
        <v>4</v>
      </c>
      <c r="H5170">
        <v>0</v>
      </c>
      <c r="I5170" t="s">
        <v>33</v>
      </c>
      <c r="J5170">
        <v>0</v>
      </c>
      <c r="K5170">
        <v>73</v>
      </c>
      <c r="L5170" t="s">
        <v>24</v>
      </c>
      <c r="M5170" t="s">
        <v>35</v>
      </c>
      <c r="N5170" t="s">
        <v>30</v>
      </c>
      <c r="O5170" t="s">
        <v>36</v>
      </c>
      <c r="P5170">
        <v>2.5</v>
      </c>
      <c r="Q5170" s="2" t="b">
        <f>FALSE()</f>
        <v>0</v>
      </c>
      <c r="R5170">
        <v>1</v>
      </c>
    </row>
    <row r="5171" spans="1:18" x14ac:dyDescent="0.25">
      <c r="A5171">
        <v>205170</v>
      </c>
      <c r="B5171">
        <v>55622</v>
      </c>
      <c r="C5171" t="s">
        <v>18</v>
      </c>
      <c r="D5171">
        <v>2450.29</v>
      </c>
      <c r="E5171">
        <v>2196</v>
      </c>
      <c r="F5171">
        <v>0</v>
      </c>
      <c r="G5171">
        <v>2</v>
      </c>
      <c r="H5171">
        <v>0</v>
      </c>
      <c r="I5171" t="s">
        <v>19</v>
      </c>
      <c r="J5171">
        <v>0</v>
      </c>
      <c r="K5171">
        <v>33</v>
      </c>
      <c r="L5171" t="s">
        <v>20</v>
      </c>
      <c r="M5171" t="s">
        <v>31</v>
      </c>
      <c r="N5171" t="s">
        <v>30</v>
      </c>
      <c r="O5171" t="s">
        <v>36</v>
      </c>
      <c r="P5171">
        <v>2.48</v>
      </c>
      <c r="Q5171" s="2" t="b">
        <f>FALSE()</f>
        <v>0</v>
      </c>
      <c r="R5171">
        <v>0</v>
      </c>
    </row>
    <row r="5172" spans="1:18" x14ac:dyDescent="0.25">
      <c r="A5172">
        <v>205171</v>
      </c>
      <c r="B5172">
        <v>54292</v>
      </c>
      <c r="C5172" t="s">
        <v>28</v>
      </c>
      <c r="D5172">
        <v>4615.49</v>
      </c>
      <c r="E5172">
        <v>1254</v>
      </c>
      <c r="F5172">
        <v>4</v>
      </c>
      <c r="G5172">
        <v>3</v>
      </c>
      <c r="H5172">
        <v>0</v>
      </c>
      <c r="I5172" t="s">
        <v>32</v>
      </c>
      <c r="J5172">
        <v>1</v>
      </c>
      <c r="K5172">
        <v>33</v>
      </c>
      <c r="L5172" t="s">
        <v>24</v>
      </c>
      <c r="M5172" t="s">
        <v>21</v>
      </c>
      <c r="N5172" t="s">
        <v>22</v>
      </c>
      <c r="O5172" t="s">
        <v>27</v>
      </c>
      <c r="P5172">
        <v>0.53</v>
      </c>
      <c r="Q5172" s="2" t="b">
        <f>FALSE()</f>
        <v>0</v>
      </c>
      <c r="R5172">
        <v>1</v>
      </c>
    </row>
    <row r="5173" spans="1:18" x14ac:dyDescent="0.25">
      <c r="A5173">
        <v>205172</v>
      </c>
      <c r="B5173">
        <v>53390</v>
      </c>
      <c r="C5173" t="s">
        <v>18</v>
      </c>
      <c r="D5173">
        <v>1854.06</v>
      </c>
      <c r="E5173">
        <v>1476</v>
      </c>
      <c r="F5173">
        <v>2</v>
      </c>
      <c r="G5173">
        <v>5</v>
      </c>
      <c r="H5173">
        <v>0</v>
      </c>
      <c r="I5173" t="s">
        <v>32</v>
      </c>
      <c r="J5173">
        <v>0</v>
      </c>
      <c r="K5173">
        <v>39</v>
      </c>
      <c r="L5173" t="s">
        <v>24</v>
      </c>
      <c r="M5173" t="s">
        <v>21</v>
      </c>
      <c r="N5173" t="s">
        <v>22</v>
      </c>
      <c r="O5173" t="s">
        <v>36</v>
      </c>
      <c r="P5173">
        <v>5.46</v>
      </c>
      <c r="Q5173" s="2" t="b">
        <f>FALSE()</f>
        <v>0</v>
      </c>
      <c r="R5173">
        <v>0</v>
      </c>
    </row>
    <row r="5174" spans="1:18" x14ac:dyDescent="0.25">
      <c r="A5174">
        <v>205173</v>
      </c>
      <c r="B5174">
        <v>52128</v>
      </c>
      <c r="C5174" t="s">
        <v>18</v>
      </c>
      <c r="D5174">
        <v>2587.14</v>
      </c>
      <c r="E5174">
        <v>2683</v>
      </c>
      <c r="F5174">
        <v>2</v>
      </c>
      <c r="G5174">
        <v>5</v>
      </c>
      <c r="H5174">
        <v>0</v>
      </c>
      <c r="I5174" t="s">
        <v>19</v>
      </c>
      <c r="J5174">
        <v>1</v>
      </c>
      <c r="K5174">
        <v>35</v>
      </c>
      <c r="L5174" t="s">
        <v>24</v>
      </c>
      <c r="M5174" t="s">
        <v>37</v>
      </c>
      <c r="N5174" t="s">
        <v>22</v>
      </c>
      <c r="O5174" t="s">
        <v>36</v>
      </c>
      <c r="P5174">
        <v>5.82</v>
      </c>
      <c r="Q5174" s="2" t="b">
        <f>FALSE()</f>
        <v>0</v>
      </c>
      <c r="R5174">
        <v>0</v>
      </c>
    </row>
    <row r="5175" spans="1:18" x14ac:dyDescent="0.25">
      <c r="A5175">
        <v>205174</v>
      </c>
      <c r="B5175">
        <v>54466</v>
      </c>
      <c r="C5175" t="s">
        <v>34</v>
      </c>
      <c r="D5175">
        <v>3877.67</v>
      </c>
      <c r="E5175">
        <v>2688</v>
      </c>
      <c r="F5175">
        <v>0</v>
      </c>
      <c r="G5175">
        <v>7</v>
      </c>
      <c r="H5175">
        <v>0</v>
      </c>
      <c r="I5175" t="s">
        <v>33</v>
      </c>
      <c r="J5175">
        <v>0</v>
      </c>
      <c r="K5175">
        <v>25</v>
      </c>
      <c r="L5175" t="s">
        <v>24</v>
      </c>
      <c r="M5175" t="s">
        <v>29</v>
      </c>
      <c r="N5175" t="s">
        <v>22</v>
      </c>
      <c r="O5175" t="s">
        <v>36</v>
      </c>
      <c r="P5175">
        <v>1.01</v>
      </c>
      <c r="Q5175" s="2" t="b">
        <f>FALSE()</f>
        <v>0</v>
      </c>
      <c r="R5175">
        <v>1</v>
      </c>
    </row>
    <row r="5176" spans="1:18" x14ac:dyDescent="0.25">
      <c r="A5176">
        <v>205175</v>
      </c>
      <c r="B5176">
        <v>55110</v>
      </c>
      <c r="C5176" t="s">
        <v>34</v>
      </c>
      <c r="D5176">
        <v>1616.24</v>
      </c>
      <c r="E5176">
        <v>1307</v>
      </c>
      <c r="F5176">
        <v>0</v>
      </c>
      <c r="G5176">
        <v>4</v>
      </c>
      <c r="H5176">
        <v>0</v>
      </c>
      <c r="I5176" t="s">
        <v>33</v>
      </c>
      <c r="J5176">
        <v>0</v>
      </c>
      <c r="K5176">
        <v>19</v>
      </c>
      <c r="L5176" t="s">
        <v>24</v>
      </c>
      <c r="M5176" t="s">
        <v>37</v>
      </c>
      <c r="N5176" t="s">
        <v>30</v>
      </c>
      <c r="O5176" t="s">
        <v>36</v>
      </c>
      <c r="P5176">
        <v>0.37</v>
      </c>
      <c r="Q5176" s="2" t="b">
        <f>FALSE()</f>
        <v>0</v>
      </c>
      <c r="R5176">
        <v>0</v>
      </c>
    </row>
    <row r="5177" spans="1:18" x14ac:dyDescent="0.25">
      <c r="A5177">
        <v>205176</v>
      </c>
      <c r="B5177">
        <v>54463</v>
      </c>
      <c r="C5177" t="s">
        <v>18</v>
      </c>
      <c r="D5177">
        <v>4911.32</v>
      </c>
      <c r="E5177">
        <v>328</v>
      </c>
      <c r="F5177">
        <v>0</v>
      </c>
      <c r="G5177">
        <v>4</v>
      </c>
      <c r="H5177">
        <v>0</v>
      </c>
      <c r="I5177" t="s">
        <v>33</v>
      </c>
      <c r="J5177">
        <v>0</v>
      </c>
      <c r="K5177">
        <v>83</v>
      </c>
      <c r="L5177" t="s">
        <v>20</v>
      </c>
      <c r="M5177" t="s">
        <v>37</v>
      </c>
      <c r="N5177" t="s">
        <v>22</v>
      </c>
      <c r="O5177" t="s">
        <v>36</v>
      </c>
      <c r="P5177">
        <v>5.59</v>
      </c>
      <c r="Q5177" s="2" t="b">
        <f>FALSE()</f>
        <v>0</v>
      </c>
      <c r="R5177">
        <v>1</v>
      </c>
    </row>
    <row r="5178" spans="1:18" x14ac:dyDescent="0.25">
      <c r="A5178">
        <v>205177</v>
      </c>
      <c r="B5178">
        <v>51318</v>
      </c>
      <c r="C5178" t="s">
        <v>28</v>
      </c>
      <c r="D5178">
        <v>4776.49</v>
      </c>
      <c r="E5178">
        <v>1551</v>
      </c>
      <c r="F5178">
        <v>0</v>
      </c>
      <c r="G5178">
        <v>4</v>
      </c>
      <c r="H5178">
        <v>0</v>
      </c>
      <c r="I5178" t="s">
        <v>33</v>
      </c>
      <c r="J5178">
        <v>0</v>
      </c>
      <c r="K5178">
        <v>44</v>
      </c>
      <c r="L5178" t="s">
        <v>24</v>
      </c>
      <c r="M5178" t="s">
        <v>35</v>
      </c>
      <c r="N5178" t="s">
        <v>26</v>
      </c>
      <c r="O5178" t="s">
        <v>36</v>
      </c>
      <c r="P5178">
        <v>0.84</v>
      </c>
      <c r="Q5178" s="2" t="b">
        <f>FALSE()</f>
        <v>0</v>
      </c>
      <c r="R5178">
        <v>1</v>
      </c>
    </row>
    <row r="5179" spans="1:18" x14ac:dyDescent="0.25">
      <c r="A5179">
        <v>205178</v>
      </c>
      <c r="B5179">
        <v>53436</v>
      </c>
      <c r="C5179" t="s">
        <v>34</v>
      </c>
      <c r="D5179">
        <v>1927.8</v>
      </c>
      <c r="E5179">
        <v>2935</v>
      </c>
      <c r="F5179">
        <v>0</v>
      </c>
      <c r="G5179">
        <v>5</v>
      </c>
      <c r="H5179">
        <v>0</v>
      </c>
      <c r="I5179" t="s">
        <v>33</v>
      </c>
      <c r="J5179">
        <v>0</v>
      </c>
      <c r="K5179">
        <v>23</v>
      </c>
      <c r="L5179" t="s">
        <v>20</v>
      </c>
      <c r="M5179" t="s">
        <v>35</v>
      </c>
      <c r="N5179" t="s">
        <v>30</v>
      </c>
      <c r="O5179" t="s">
        <v>27</v>
      </c>
      <c r="P5179">
        <v>0.75</v>
      </c>
      <c r="Q5179" s="2" t="b">
        <f>FALSE()</f>
        <v>0</v>
      </c>
      <c r="R5179">
        <v>0</v>
      </c>
    </row>
    <row r="5180" spans="1:18" x14ac:dyDescent="0.25">
      <c r="A5180">
        <v>205179</v>
      </c>
      <c r="B5180">
        <v>51256</v>
      </c>
      <c r="C5180" t="s">
        <v>34</v>
      </c>
      <c r="D5180">
        <v>2204.64</v>
      </c>
      <c r="E5180">
        <v>3551</v>
      </c>
      <c r="F5180">
        <v>2</v>
      </c>
      <c r="G5180">
        <v>5</v>
      </c>
      <c r="H5180">
        <v>0</v>
      </c>
      <c r="I5180" t="s">
        <v>33</v>
      </c>
      <c r="J5180">
        <v>0</v>
      </c>
      <c r="K5180">
        <v>69</v>
      </c>
      <c r="L5180" t="s">
        <v>20</v>
      </c>
      <c r="M5180" t="s">
        <v>37</v>
      </c>
      <c r="N5180" t="s">
        <v>22</v>
      </c>
      <c r="O5180" t="s">
        <v>27</v>
      </c>
      <c r="P5180">
        <v>2.2999999999999998</v>
      </c>
      <c r="Q5180" s="2" t="b">
        <f>FALSE()</f>
        <v>0</v>
      </c>
      <c r="R5180">
        <v>0</v>
      </c>
    </row>
    <row r="5181" spans="1:18" x14ac:dyDescent="0.25">
      <c r="A5181">
        <v>205180</v>
      </c>
      <c r="B5181">
        <v>54120</v>
      </c>
      <c r="C5181" t="s">
        <v>18</v>
      </c>
      <c r="D5181">
        <v>2612.3200000000002</v>
      </c>
      <c r="E5181">
        <v>608</v>
      </c>
      <c r="F5181">
        <v>1</v>
      </c>
      <c r="G5181">
        <v>1</v>
      </c>
      <c r="H5181">
        <v>1</v>
      </c>
      <c r="I5181" t="s">
        <v>33</v>
      </c>
      <c r="J5181">
        <v>0</v>
      </c>
      <c r="K5181">
        <v>41</v>
      </c>
      <c r="L5181" t="s">
        <v>20</v>
      </c>
      <c r="M5181" t="s">
        <v>21</v>
      </c>
      <c r="N5181" t="s">
        <v>30</v>
      </c>
      <c r="O5181" t="s">
        <v>36</v>
      </c>
      <c r="P5181">
        <v>8.1</v>
      </c>
      <c r="Q5181" s="2" t="b">
        <f>FALSE()</f>
        <v>0</v>
      </c>
      <c r="R5181">
        <v>0</v>
      </c>
    </row>
    <row r="5182" spans="1:18" x14ac:dyDescent="0.25">
      <c r="A5182">
        <v>205181</v>
      </c>
      <c r="B5182">
        <v>50046</v>
      </c>
      <c r="C5182" t="s">
        <v>18</v>
      </c>
      <c r="D5182">
        <v>1323.76</v>
      </c>
      <c r="E5182">
        <v>811</v>
      </c>
      <c r="F5182">
        <v>1</v>
      </c>
      <c r="G5182">
        <v>4</v>
      </c>
      <c r="H5182">
        <v>0</v>
      </c>
      <c r="I5182" t="s">
        <v>32</v>
      </c>
      <c r="J5182">
        <v>0</v>
      </c>
      <c r="K5182">
        <v>71</v>
      </c>
      <c r="L5182" t="s">
        <v>24</v>
      </c>
      <c r="M5182" t="s">
        <v>21</v>
      </c>
      <c r="N5182" t="s">
        <v>30</v>
      </c>
      <c r="O5182" t="s">
        <v>23</v>
      </c>
      <c r="P5182">
        <v>0.23</v>
      </c>
      <c r="Q5182" s="2" t="b">
        <f>FALSE()</f>
        <v>0</v>
      </c>
      <c r="R5182">
        <v>0</v>
      </c>
    </row>
    <row r="5183" spans="1:18" x14ac:dyDescent="0.25">
      <c r="A5183">
        <v>205182</v>
      </c>
      <c r="B5183">
        <v>53717</v>
      </c>
      <c r="C5183" t="s">
        <v>28</v>
      </c>
      <c r="D5183">
        <v>1293.94</v>
      </c>
      <c r="E5183">
        <v>2555</v>
      </c>
      <c r="F5183">
        <v>0</v>
      </c>
      <c r="G5183">
        <v>4</v>
      </c>
      <c r="H5183">
        <v>1</v>
      </c>
      <c r="I5183" t="s">
        <v>32</v>
      </c>
      <c r="J5183">
        <v>0</v>
      </c>
      <c r="K5183">
        <v>51</v>
      </c>
      <c r="L5183" t="s">
        <v>20</v>
      </c>
      <c r="M5183" t="s">
        <v>35</v>
      </c>
      <c r="N5183" t="s">
        <v>22</v>
      </c>
      <c r="O5183" t="s">
        <v>27</v>
      </c>
      <c r="P5183">
        <v>6.89</v>
      </c>
      <c r="Q5183" s="2" t="b">
        <f>FALSE()</f>
        <v>0</v>
      </c>
      <c r="R5183">
        <v>0</v>
      </c>
    </row>
    <row r="5184" spans="1:18" x14ac:dyDescent="0.25">
      <c r="A5184">
        <v>205183</v>
      </c>
      <c r="B5184">
        <v>51048</v>
      </c>
      <c r="C5184" t="s">
        <v>34</v>
      </c>
      <c r="D5184">
        <v>1793.51</v>
      </c>
      <c r="E5184">
        <v>2580</v>
      </c>
      <c r="F5184">
        <v>1</v>
      </c>
      <c r="G5184">
        <v>2</v>
      </c>
      <c r="H5184">
        <v>0</v>
      </c>
      <c r="I5184" t="s">
        <v>33</v>
      </c>
      <c r="J5184">
        <v>0</v>
      </c>
      <c r="K5184">
        <v>70</v>
      </c>
      <c r="L5184" t="s">
        <v>24</v>
      </c>
      <c r="M5184" t="s">
        <v>25</v>
      </c>
      <c r="N5184" t="s">
        <v>26</v>
      </c>
      <c r="O5184" t="s">
        <v>27</v>
      </c>
      <c r="P5184">
        <v>4.16</v>
      </c>
      <c r="Q5184" s="2" t="b">
        <f>FALSE()</f>
        <v>0</v>
      </c>
      <c r="R5184">
        <v>0</v>
      </c>
    </row>
    <row r="5185" spans="1:18" x14ac:dyDescent="0.25">
      <c r="A5185">
        <v>205184</v>
      </c>
      <c r="B5185">
        <v>55202</v>
      </c>
      <c r="C5185" t="s">
        <v>28</v>
      </c>
      <c r="D5185">
        <v>1445.73</v>
      </c>
      <c r="E5185">
        <v>2571</v>
      </c>
      <c r="F5185">
        <v>0</v>
      </c>
      <c r="G5185">
        <v>6</v>
      </c>
      <c r="H5185">
        <v>1</v>
      </c>
      <c r="I5185" t="s">
        <v>19</v>
      </c>
      <c r="J5185">
        <v>0</v>
      </c>
      <c r="K5185">
        <v>31</v>
      </c>
      <c r="L5185" t="s">
        <v>20</v>
      </c>
      <c r="M5185" t="s">
        <v>29</v>
      </c>
      <c r="N5185" t="s">
        <v>30</v>
      </c>
      <c r="O5185" t="s">
        <v>36</v>
      </c>
      <c r="P5185">
        <v>0.71</v>
      </c>
      <c r="Q5185" s="2" t="b">
        <f>FALSE()</f>
        <v>0</v>
      </c>
      <c r="R5185">
        <v>0</v>
      </c>
    </row>
    <row r="5186" spans="1:18" x14ac:dyDescent="0.25">
      <c r="A5186">
        <v>205185</v>
      </c>
      <c r="B5186">
        <v>53142</v>
      </c>
      <c r="C5186" t="s">
        <v>18</v>
      </c>
      <c r="D5186">
        <v>4393.57</v>
      </c>
      <c r="E5186">
        <v>1226</v>
      </c>
      <c r="F5186">
        <v>2</v>
      </c>
      <c r="G5186">
        <v>7</v>
      </c>
      <c r="H5186">
        <v>0</v>
      </c>
      <c r="I5186" t="s">
        <v>33</v>
      </c>
      <c r="J5186">
        <v>0</v>
      </c>
      <c r="K5186">
        <v>70</v>
      </c>
      <c r="L5186" t="s">
        <v>24</v>
      </c>
      <c r="M5186" t="s">
        <v>25</v>
      </c>
      <c r="N5186" t="s">
        <v>22</v>
      </c>
      <c r="O5186" t="s">
        <v>36</v>
      </c>
      <c r="P5186">
        <v>1.79</v>
      </c>
      <c r="Q5186" s="2" t="b">
        <f>FALSE()</f>
        <v>0</v>
      </c>
      <c r="R5186">
        <v>1</v>
      </c>
    </row>
    <row r="5187" spans="1:18" x14ac:dyDescent="0.25">
      <c r="A5187">
        <v>205186</v>
      </c>
      <c r="B5187">
        <v>50494</v>
      </c>
      <c r="C5187" t="s">
        <v>18</v>
      </c>
      <c r="D5187">
        <v>635.38</v>
      </c>
      <c r="E5187">
        <v>1554</v>
      </c>
      <c r="F5187">
        <v>1</v>
      </c>
      <c r="G5187">
        <v>8</v>
      </c>
      <c r="H5187">
        <v>0</v>
      </c>
      <c r="I5187" t="s">
        <v>33</v>
      </c>
      <c r="J5187">
        <v>0</v>
      </c>
      <c r="K5187">
        <v>19</v>
      </c>
      <c r="L5187" t="s">
        <v>24</v>
      </c>
      <c r="M5187" t="s">
        <v>35</v>
      </c>
      <c r="N5187" t="s">
        <v>30</v>
      </c>
      <c r="O5187" t="s">
        <v>27</v>
      </c>
      <c r="P5187">
        <v>0.73</v>
      </c>
      <c r="Q5187" s="2" t="b">
        <f>FALSE()</f>
        <v>0</v>
      </c>
      <c r="R5187">
        <v>1</v>
      </c>
    </row>
    <row r="5188" spans="1:18" x14ac:dyDescent="0.25">
      <c r="A5188">
        <v>205187</v>
      </c>
      <c r="B5188">
        <v>50112</v>
      </c>
      <c r="C5188" t="s">
        <v>18</v>
      </c>
      <c r="D5188">
        <v>868.71</v>
      </c>
      <c r="E5188">
        <v>2845</v>
      </c>
      <c r="F5188">
        <v>2</v>
      </c>
      <c r="G5188">
        <v>3</v>
      </c>
      <c r="H5188">
        <v>0</v>
      </c>
      <c r="I5188" t="s">
        <v>33</v>
      </c>
      <c r="J5188">
        <v>0</v>
      </c>
      <c r="K5188">
        <v>76</v>
      </c>
      <c r="L5188" t="s">
        <v>24</v>
      </c>
      <c r="M5188" t="s">
        <v>37</v>
      </c>
      <c r="N5188" t="s">
        <v>30</v>
      </c>
      <c r="O5188" t="s">
        <v>27</v>
      </c>
      <c r="P5188">
        <v>0.48</v>
      </c>
      <c r="Q5188" s="2" t="b">
        <f>FALSE()</f>
        <v>0</v>
      </c>
      <c r="R5188">
        <v>0</v>
      </c>
    </row>
    <row r="5189" spans="1:18" x14ac:dyDescent="0.25">
      <c r="A5189">
        <v>205188</v>
      </c>
      <c r="B5189">
        <v>52554</v>
      </c>
      <c r="C5189" t="s">
        <v>34</v>
      </c>
      <c r="D5189">
        <v>1815.36</v>
      </c>
      <c r="E5189">
        <v>618</v>
      </c>
      <c r="F5189">
        <v>0</v>
      </c>
      <c r="G5189">
        <v>4</v>
      </c>
      <c r="H5189">
        <v>1</v>
      </c>
      <c r="I5189" t="s">
        <v>33</v>
      </c>
      <c r="J5189">
        <v>0</v>
      </c>
      <c r="K5189">
        <v>84</v>
      </c>
      <c r="L5189" t="s">
        <v>24</v>
      </c>
      <c r="M5189" t="s">
        <v>29</v>
      </c>
      <c r="N5189" t="s">
        <v>30</v>
      </c>
      <c r="O5189" t="s">
        <v>27</v>
      </c>
      <c r="P5189">
        <v>0.44</v>
      </c>
      <c r="Q5189" s="2" t="b">
        <f>FALSE()</f>
        <v>0</v>
      </c>
      <c r="R5189">
        <v>0</v>
      </c>
    </row>
    <row r="5190" spans="1:18" x14ac:dyDescent="0.25">
      <c r="A5190">
        <v>205189</v>
      </c>
      <c r="B5190">
        <v>55948</v>
      </c>
      <c r="C5190" t="s">
        <v>18</v>
      </c>
      <c r="D5190">
        <v>2195.63</v>
      </c>
      <c r="E5190">
        <v>975</v>
      </c>
      <c r="F5190">
        <v>0</v>
      </c>
      <c r="G5190">
        <v>5</v>
      </c>
      <c r="H5190">
        <v>0</v>
      </c>
      <c r="I5190" t="s">
        <v>32</v>
      </c>
      <c r="J5190">
        <v>0</v>
      </c>
      <c r="K5190">
        <v>75</v>
      </c>
      <c r="L5190" t="s">
        <v>20</v>
      </c>
      <c r="M5190" t="s">
        <v>29</v>
      </c>
      <c r="N5190" t="s">
        <v>22</v>
      </c>
      <c r="O5190" t="s">
        <v>27</v>
      </c>
      <c r="P5190">
        <v>4.0599999999999996</v>
      </c>
      <c r="Q5190" s="2" t="b">
        <f>FALSE()</f>
        <v>0</v>
      </c>
      <c r="R5190">
        <v>0</v>
      </c>
    </row>
    <row r="5191" spans="1:18" x14ac:dyDescent="0.25">
      <c r="A5191">
        <v>205190</v>
      </c>
      <c r="B5191">
        <v>50030</v>
      </c>
      <c r="C5191" t="s">
        <v>34</v>
      </c>
      <c r="D5191">
        <v>1282.8499999999999</v>
      </c>
      <c r="E5191">
        <v>3198</v>
      </c>
      <c r="F5191">
        <v>0</v>
      </c>
      <c r="G5191">
        <v>5</v>
      </c>
      <c r="H5191">
        <v>0</v>
      </c>
      <c r="I5191" t="s">
        <v>33</v>
      </c>
      <c r="J5191">
        <v>0</v>
      </c>
      <c r="K5191">
        <v>64</v>
      </c>
      <c r="L5191" t="s">
        <v>20</v>
      </c>
      <c r="M5191" t="s">
        <v>21</v>
      </c>
      <c r="N5191" t="s">
        <v>30</v>
      </c>
      <c r="O5191" t="s">
        <v>27</v>
      </c>
      <c r="P5191">
        <v>1.83</v>
      </c>
      <c r="Q5191" s="2" t="b">
        <f>FALSE()</f>
        <v>0</v>
      </c>
      <c r="R5191">
        <v>0</v>
      </c>
    </row>
    <row r="5192" spans="1:18" x14ac:dyDescent="0.25">
      <c r="A5192">
        <v>205191</v>
      </c>
      <c r="B5192">
        <v>50002</v>
      </c>
      <c r="C5192" t="s">
        <v>28</v>
      </c>
      <c r="D5192">
        <v>1875.75</v>
      </c>
      <c r="E5192">
        <v>2126</v>
      </c>
      <c r="F5192">
        <v>2</v>
      </c>
      <c r="G5192">
        <v>4</v>
      </c>
      <c r="H5192">
        <v>0</v>
      </c>
      <c r="I5192" t="s">
        <v>33</v>
      </c>
      <c r="J5192">
        <v>1</v>
      </c>
      <c r="K5192">
        <v>42</v>
      </c>
      <c r="L5192" t="s">
        <v>24</v>
      </c>
      <c r="M5192" t="s">
        <v>35</v>
      </c>
      <c r="N5192" t="s">
        <v>30</v>
      </c>
      <c r="O5192" t="s">
        <v>27</v>
      </c>
      <c r="P5192">
        <v>0.7</v>
      </c>
      <c r="Q5192" s="2" t="b">
        <f>FALSE()</f>
        <v>0</v>
      </c>
      <c r="R5192">
        <v>0</v>
      </c>
    </row>
    <row r="5193" spans="1:18" x14ac:dyDescent="0.25">
      <c r="A5193">
        <v>205192</v>
      </c>
      <c r="B5193">
        <v>52514</v>
      </c>
      <c r="C5193" t="s">
        <v>18</v>
      </c>
      <c r="D5193">
        <v>2069.59</v>
      </c>
      <c r="E5193">
        <v>1949</v>
      </c>
      <c r="F5193">
        <v>2</v>
      </c>
      <c r="G5193">
        <v>3</v>
      </c>
      <c r="H5193">
        <v>0</v>
      </c>
      <c r="I5193" t="s">
        <v>33</v>
      </c>
      <c r="J5193">
        <v>0</v>
      </c>
      <c r="K5193">
        <v>58</v>
      </c>
      <c r="L5193" t="s">
        <v>24</v>
      </c>
      <c r="M5193" t="s">
        <v>21</v>
      </c>
      <c r="N5193" t="s">
        <v>22</v>
      </c>
      <c r="O5193" t="s">
        <v>27</v>
      </c>
      <c r="P5193">
        <v>4.96</v>
      </c>
      <c r="Q5193" s="2" t="b">
        <f>FALSE()</f>
        <v>0</v>
      </c>
      <c r="R5193">
        <v>0</v>
      </c>
    </row>
    <row r="5194" spans="1:18" x14ac:dyDescent="0.25">
      <c r="A5194">
        <v>205193</v>
      </c>
      <c r="B5194">
        <v>51751</v>
      </c>
      <c r="C5194" t="s">
        <v>28</v>
      </c>
      <c r="D5194">
        <v>4094.64</v>
      </c>
      <c r="E5194">
        <v>3236</v>
      </c>
      <c r="F5194">
        <v>0</v>
      </c>
      <c r="G5194">
        <v>3</v>
      </c>
      <c r="H5194">
        <v>0</v>
      </c>
      <c r="I5194" t="s">
        <v>33</v>
      </c>
      <c r="J5194">
        <v>0</v>
      </c>
      <c r="K5194">
        <v>58</v>
      </c>
      <c r="L5194" t="s">
        <v>20</v>
      </c>
      <c r="M5194" t="s">
        <v>31</v>
      </c>
      <c r="N5194" t="s">
        <v>22</v>
      </c>
      <c r="O5194" t="s">
        <v>23</v>
      </c>
      <c r="P5194">
        <v>11.55</v>
      </c>
      <c r="Q5194" s="2" t="b">
        <f>FALSE()</f>
        <v>0</v>
      </c>
      <c r="R5194">
        <v>1</v>
      </c>
    </row>
    <row r="5195" spans="1:18" x14ac:dyDescent="0.25">
      <c r="A5195">
        <v>205194</v>
      </c>
      <c r="B5195">
        <v>50510</v>
      </c>
      <c r="C5195" t="s">
        <v>34</v>
      </c>
      <c r="D5195">
        <v>2131.7800000000002</v>
      </c>
      <c r="E5195">
        <v>2670</v>
      </c>
      <c r="F5195">
        <v>0</v>
      </c>
      <c r="G5195">
        <v>6</v>
      </c>
      <c r="H5195">
        <v>0</v>
      </c>
      <c r="I5195" t="s">
        <v>19</v>
      </c>
      <c r="J5195">
        <v>1</v>
      </c>
      <c r="K5195">
        <v>33</v>
      </c>
      <c r="L5195" t="s">
        <v>24</v>
      </c>
      <c r="M5195" t="s">
        <v>31</v>
      </c>
      <c r="N5195" t="s">
        <v>22</v>
      </c>
      <c r="O5195" t="s">
        <v>23</v>
      </c>
      <c r="P5195">
        <v>0.61</v>
      </c>
      <c r="Q5195" s="2" t="b">
        <f>FALSE()</f>
        <v>0</v>
      </c>
      <c r="R5195">
        <v>0</v>
      </c>
    </row>
    <row r="5196" spans="1:18" x14ac:dyDescent="0.25">
      <c r="A5196">
        <v>205195</v>
      </c>
      <c r="B5196">
        <v>54878</v>
      </c>
      <c r="C5196" t="s">
        <v>34</v>
      </c>
      <c r="D5196">
        <v>5517.42</v>
      </c>
      <c r="E5196">
        <v>1726</v>
      </c>
      <c r="F5196">
        <v>2</v>
      </c>
      <c r="G5196">
        <v>3</v>
      </c>
      <c r="H5196">
        <v>0</v>
      </c>
      <c r="I5196" t="s">
        <v>19</v>
      </c>
      <c r="J5196">
        <v>0</v>
      </c>
      <c r="K5196">
        <v>26</v>
      </c>
      <c r="L5196" t="s">
        <v>24</v>
      </c>
      <c r="M5196" t="s">
        <v>25</v>
      </c>
      <c r="N5196" t="s">
        <v>26</v>
      </c>
      <c r="O5196" t="s">
        <v>27</v>
      </c>
      <c r="P5196">
        <v>1.02</v>
      </c>
      <c r="Q5196" s="2" t="b">
        <f>FALSE()</f>
        <v>0</v>
      </c>
      <c r="R5196">
        <v>1</v>
      </c>
    </row>
    <row r="5197" spans="1:18" x14ac:dyDescent="0.25">
      <c r="A5197">
        <v>205196</v>
      </c>
      <c r="B5197">
        <v>55716</v>
      </c>
      <c r="C5197" t="s">
        <v>18</v>
      </c>
      <c r="D5197">
        <v>4203.87</v>
      </c>
      <c r="E5197">
        <v>431</v>
      </c>
      <c r="F5197">
        <v>1</v>
      </c>
      <c r="G5197">
        <v>1</v>
      </c>
      <c r="H5197">
        <v>0</v>
      </c>
      <c r="I5197" t="s">
        <v>33</v>
      </c>
      <c r="J5197">
        <v>0</v>
      </c>
      <c r="K5197">
        <v>47</v>
      </c>
      <c r="L5197" t="s">
        <v>24</v>
      </c>
      <c r="M5197" t="s">
        <v>35</v>
      </c>
      <c r="N5197" t="s">
        <v>30</v>
      </c>
      <c r="O5197" t="s">
        <v>36</v>
      </c>
      <c r="P5197">
        <v>1.77</v>
      </c>
      <c r="Q5197" s="2" t="b">
        <f>FALSE()</f>
        <v>0</v>
      </c>
      <c r="R5197">
        <v>1</v>
      </c>
    </row>
    <row r="5198" spans="1:18" x14ac:dyDescent="0.25">
      <c r="A5198">
        <v>205197</v>
      </c>
      <c r="B5198">
        <v>50220</v>
      </c>
      <c r="C5198" t="s">
        <v>34</v>
      </c>
      <c r="D5198">
        <v>476.11</v>
      </c>
      <c r="E5198">
        <v>3490</v>
      </c>
      <c r="F5198">
        <v>2</v>
      </c>
      <c r="G5198">
        <v>5</v>
      </c>
      <c r="H5198">
        <v>0</v>
      </c>
      <c r="I5198" t="s">
        <v>33</v>
      </c>
      <c r="J5198">
        <v>0</v>
      </c>
      <c r="K5198">
        <v>69</v>
      </c>
      <c r="L5198" t="s">
        <v>24</v>
      </c>
      <c r="M5198" t="s">
        <v>29</v>
      </c>
      <c r="N5198" t="s">
        <v>30</v>
      </c>
      <c r="O5198" t="s">
        <v>23</v>
      </c>
      <c r="P5198">
        <v>2.46</v>
      </c>
      <c r="Q5198" s="2" t="b">
        <f>FALSE()</f>
        <v>0</v>
      </c>
      <c r="R5198">
        <v>0</v>
      </c>
    </row>
    <row r="5199" spans="1:18" x14ac:dyDescent="0.25">
      <c r="A5199">
        <v>205198</v>
      </c>
      <c r="B5199">
        <v>55327</v>
      </c>
      <c r="C5199" t="s">
        <v>34</v>
      </c>
      <c r="D5199">
        <v>3987.19</v>
      </c>
      <c r="E5199">
        <v>2440</v>
      </c>
      <c r="F5199">
        <v>1</v>
      </c>
      <c r="G5199">
        <v>4</v>
      </c>
      <c r="H5199">
        <v>0</v>
      </c>
      <c r="I5199" t="s">
        <v>32</v>
      </c>
      <c r="J5199">
        <v>0</v>
      </c>
      <c r="K5199">
        <v>37</v>
      </c>
      <c r="L5199" t="s">
        <v>24</v>
      </c>
      <c r="M5199" t="s">
        <v>31</v>
      </c>
      <c r="N5199" t="s">
        <v>30</v>
      </c>
      <c r="O5199" t="s">
        <v>27</v>
      </c>
      <c r="P5199">
        <v>2.3199999999999998</v>
      </c>
      <c r="Q5199" s="2" t="b">
        <f>FALSE()</f>
        <v>0</v>
      </c>
      <c r="R5199">
        <v>1</v>
      </c>
    </row>
    <row r="5200" spans="1:18" x14ac:dyDescent="0.25">
      <c r="A5200">
        <v>205199</v>
      </c>
      <c r="B5200">
        <v>51185</v>
      </c>
      <c r="C5200" t="s">
        <v>18</v>
      </c>
      <c r="D5200">
        <v>3501.12</v>
      </c>
      <c r="E5200">
        <v>961</v>
      </c>
      <c r="F5200">
        <v>1</v>
      </c>
      <c r="G5200">
        <v>2</v>
      </c>
      <c r="H5200">
        <v>0</v>
      </c>
      <c r="I5200" t="s">
        <v>33</v>
      </c>
      <c r="J5200">
        <v>0</v>
      </c>
      <c r="K5200">
        <v>62</v>
      </c>
      <c r="L5200" t="s">
        <v>24</v>
      </c>
      <c r="M5200" t="s">
        <v>35</v>
      </c>
      <c r="N5200" t="s">
        <v>30</v>
      </c>
      <c r="O5200" t="s">
        <v>36</v>
      </c>
      <c r="P5200">
        <v>0.44</v>
      </c>
      <c r="Q5200" s="2" t="b">
        <f>FALSE()</f>
        <v>0</v>
      </c>
      <c r="R5200">
        <v>0</v>
      </c>
    </row>
    <row r="5201" spans="1:18" x14ac:dyDescent="0.25">
      <c r="A5201">
        <v>205200</v>
      </c>
      <c r="B5201">
        <v>52768</v>
      </c>
      <c r="C5201" t="s">
        <v>18</v>
      </c>
      <c r="D5201">
        <v>1123.78</v>
      </c>
      <c r="E5201">
        <v>1397</v>
      </c>
      <c r="F5201">
        <v>1</v>
      </c>
      <c r="G5201">
        <v>5</v>
      </c>
      <c r="H5201">
        <v>0</v>
      </c>
      <c r="I5201" t="s">
        <v>33</v>
      </c>
      <c r="J5201">
        <v>0</v>
      </c>
      <c r="K5201">
        <v>59</v>
      </c>
      <c r="L5201" t="s">
        <v>24</v>
      </c>
      <c r="M5201" t="s">
        <v>29</v>
      </c>
      <c r="N5201" t="s">
        <v>22</v>
      </c>
      <c r="O5201" t="s">
        <v>27</v>
      </c>
      <c r="P5201">
        <v>0.22</v>
      </c>
      <c r="Q5201" s="2" t="b">
        <f>FALSE()</f>
        <v>0</v>
      </c>
      <c r="R5201">
        <v>0</v>
      </c>
    </row>
    <row r="5202" spans="1:18" x14ac:dyDescent="0.25">
      <c r="A5202">
        <v>205201</v>
      </c>
      <c r="B5202">
        <v>55033</v>
      </c>
      <c r="C5202" t="s">
        <v>18</v>
      </c>
      <c r="D5202">
        <v>4410.33</v>
      </c>
      <c r="E5202">
        <v>419</v>
      </c>
      <c r="F5202">
        <v>1</v>
      </c>
      <c r="G5202">
        <v>6</v>
      </c>
      <c r="H5202">
        <v>1</v>
      </c>
      <c r="I5202" t="s">
        <v>33</v>
      </c>
      <c r="J5202">
        <v>0</v>
      </c>
      <c r="K5202">
        <v>21</v>
      </c>
      <c r="L5202" t="s">
        <v>20</v>
      </c>
      <c r="M5202" t="s">
        <v>21</v>
      </c>
      <c r="N5202" t="s">
        <v>30</v>
      </c>
      <c r="O5202" t="s">
        <v>27</v>
      </c>
      <c r="P5202">
        <v>1.21</v>
      </c>
      <c r="Q5202" s="2" t="b">
        <f>FALSE()</f>
        <v>0</v>
      </c>
      <c r="R5202">
        <v>1</v>
      </c>
    </row>
    <row r="5203" spans="1:18" x14ac:dyDescent="0.25">
      <c r="A5203">
        <v>205202</v>
      </c>
      <c r="B5203">
        <v>51067</v>
      </c>
      <c r="C5203" t="s">
        <v>34</v>
      </c>
      <c r="D5203">
        <v>6393.39</v>
      </c>
      <c r="E5203">
        <v>190</v>
      </c>
      <c r="F5203">
        <v>2</v>
      </c>
      <c r="G5203">
        <v>2</v>
      </c>
      <c r="H5203">
        <v>1</v>
      </c>
      <c r="I5203" t="s">
        <v>19</v>
      </c>
      <c r="J5203">
        <v>0</v>
      </c>
      <c r="K5203">
        <v>62</v>
      </c>
      <c r="L5203" t="s">
        <v>24</v>
      </c>
      <c r="M5203" t="s">
        <v>35</v>
      </c>
      <c r="N5203" t="s">
        <v>30</v>
      </c>
      <c r="O5203" t="s">
        <v>27</v>
      </c>
      <c r="P5203">
        <v>1.78</v>
      </c>
      <c r="Q5203" s="2" t="b">
        <f>FALSE()</f>
        <v>0</v>
      </c>
      <c r="R5203">
        <v>1</v>
      </c>
    </row>
    <row r="5204" spans="1:18" x14ac:dyDescent="0.25">
      <c r="A5204">
        <v>205203</v>
      </c>
      <c r="B5204">
        <v>52966</v>
      </c>
      <c r="C5204" t="s">
        <v>18</v>
      </c>
      <c r="D5204">
        <v>5598.35</v>
      </c>
      <c r="E5204">
        <v>1446</v>
      </c>
      <c r="F5204">
        <v>0</v>
      </c>
      <c r="G5204">
        <v>5</v>
      </c>
      <c r="H5204">
        <v>1</v>
      </c>
      <c r="I5204" t="s">
        <v>19</v>
      </c>
      <c r="J5204">
        <v>0</v>
      </c>
      <c r="K5204">
        <v>74</v>
      </c>
      <c r="L5204" t="s">
        <v>20</v>
      </c>
      <c r="M5204" t="s">
        <v>37</v>
      </c>
      <c r="N5204" t="s">
        <v>22</v>
      </c>
      <c r="O5204" t="s">
        <v>36</v>
      </c>
      <c r="P5204">
        <v>2.17</v>
      </c>
      <c r="Q5204" s="2" t="b">
        <f>FALSE()</f>
        <v>0</v>
      </c>
      <c r="R5204">
        <v>1</v>
      </c>
    </row>
    <row r="5205" spans="1:18" x14ac:dyDescent="0.25">
      <c r="A5205">
        <v>205204</v>
      </c>
      <c r="B5205">
        <v>50615</v>
      </c>
      <c r="C5205" t="s">
        <v>18</v>
      </c>
      <c r="D5205">
        <v>2618.31</v>
      </c>
      <c r="E5205">
        <v>2035</v>
      </c>
      <c r="F5205">
        <v>1</v>
      </c>
      <c r="G5205">
        <v>2</v>
      </c>
      <c r="H5205">
        <v>0</v>
      </c>
      <c r="I5205" t="s">
        <v>33</v>
      </c>
      <c r="J5205">
        <v>0</v>
      </c>
      <c r="K5205">
        <v>26</v>
      </c>
      <c r="L5205" t="s">
        <v>20</v>
      </c>
      <c r="M5205" t="s">
        <v>29</v>
      </c>
      <c r="N5205" t="s">
        <v>22</v>
      </c>
      <c r="O5205" t="s">
        <v>36</v>
      </c>
      <c r="P5205">
        <v>5.05</v>
      </c>
      <c r="Q5205" s="2" t="b">
        <f>FALSE()</f>
        <v>0</v>
      </c>
      <c r="R5205">
        <v>0</v>
      </c>
    </row>
    <row r="5206" spans="1:18" x14ac:dyDescent="0.25">
      <c r="A5206">
        <v>205205</v>
      </c>
      <c r="B5206">
        <v>51398</v>
      </c>
      <c r="C5206" t="s">
        <v>34</v>
      </c>
      <c r="D5206">
        <v>555.99</v>
      </c>
      <c r="E5206">
        <v>3612</v>
      </c>
      <c r="F5206">
        <v>1</v>
      </c>
      <c r="G5206">
        <v>4</v>
      </c>
      <c r="H5206">
        <v>0</v>
      </c>
      <c r="I5206" t="s">
        <v>19</v>
      </c>
      <c r="J5206">
        <v>0</v>
      </c>
      <c r="K5206">
        <v>30</v>
      </c>
      <c r="L5206" t="s">
        <v>24</v>
      </c>
      <c r="M5206" t="s">
        <v>31</v>
      </c>
      <c r="N5206" t="s">
        <v>26</v>
      </c>
      <c r="O5206" t="s">
        <v>36</v>
      </c>
      <c r="P5206">
        <v>3.92</v>
      </c>
      <c r="Q5206" s="2" t="b">
        <f>FALSE()</f>
        <v>0</v>
      </c>
      <c r="R5206">
        <v>0</v>
      </c>
    </row>
    <row r="5207" spans="1:18" x14ac:dyDescent="0.25">
      <c r="A5207">
        <v>205206</v>
      </c>
      <c r="B5207">
        <v>54448</v>
      </c>
      <c r="C5207" t="s">
        <v>34</v>
      </c>
      <c r="D5207">
        <v>1696.88</v>
      </c>
      <c r="E5207">
        <v>239</v>
      </c>
      <c r="F5207">
        <v>1</v>
      </c>
      <c r="G5207">
        <v>6</v>
      </c>
      <c r="H5207">
        <v>0</v>
      </c>
      <c r="I5207" t="s">
        <v>33</v>
      </c>
      <c r="J5207">
        <v>0</v>
      </c>
      <c r="K5207">
        <v>66</v>
      </c>
      <c r="L5207" t="s">
        <v>38</v>
      </c>
      <c r="M5207" t="s">
        <v>31</v>
      </c>
      <c r="N5207" t="s">
        <v>22</v>
      </c>
      <c r="O5207" t="s">
        <v>23</v>
      </c>
      <c r="P5207">
        <v>7.55</v>
      </c>
      <c r="Q5207" s="2" t="b">
        <f>FALSE()</f>
        <v>0</v>
      </c>
      <c r="R5207">
        <v>0</v>
      </c>
    </row>
    <row r="5208" spans="1:18" x14ac:dyDescent="0.25">
      <c r="A5208">
        <v>205207</v>
      </c>
      <c r="B5208">
        <v>52744</v>
      </c>
      <c r="C5208" t="s">
        <v>18</v>
      </c>
      <c r="D5208">
        <v>2544.7399999999998</v>
      </c>
      <c r="E5208">
        <v>2659</v>
      </c>
      <c r="F5208">
        <v>1</v>
      </c>
      <c r="G5208">
        <v>6</v>
      </c>
      <c r="H5208">
        <v>0</v>
      </c>
      <c r="I5208" t="s">
        <v>33</v>
      </c>
      <c r="J5208">
        <v>1</v>
      </c>
      <c r="K5208">
        <v>66</v>
      </c>
      <c r="L5208" t="s">
        <v>24</v>
      </c>
      <c r="M5208" t="s">
        <v>37</v>
      </c>
      <c r="N5208" t="s">
        <v>22</v>
      </c>
      <c r="O5208" t="s">
        <v>23</v>
      </c>
      <c r="P5208">
        <v>1.08</v>
      </c>
      <c r="Q5208" s="2" t="b">
        <f>FALSE()</f>
        <v>0</v>
      </c>
      <c r="R5208">
        <v>0</v>
      </c>
    </row>
    <row r="5209" spans="1:18" x14ac:dyDescent="0.25">
      <c r="A5209">
        <v>205208</v>
      </c>
      <c r="B5209">
        <v>53207</v>
      </c>
      <c r="C5209" t="s">
        <v>34</v>
      </c>
      <c r="D5209">
        <v>4566.72</v>
      </c>
      <c r="E5209">
        <v>169</v>
      </c>
      <c r="F5209">
        <v>0</v>
      </c>
      <c r="G5209">
        <v>4</v>
      </c>
      <c r="H5209">
        <v>1</v>
      </c>
      <c r="I5209" t="s">
        <v>19</v>
      </c>
      <c r="J5209">
        <v>0</v>
      </c>
      <c r="K5209">
        <v>52</v>
      </c>
      <c r="L5209" t="s">
        <v>20</v>
      </c>
      <c r="M5209" t="s">
        <v>31</v>
      </c>
      <c r="N5209" t="s">
        <v>30</v>
      </c>
      <c r="O5209" t="s">
        <v>27</v>
      </c>
      <c r="P5209">
        <v>2</v>
      </c>
      <c r="Q5209" s="2" t="b">
        <f>FALSE()</f>
        <v>0</v>
      </c>
      <c r="R5209">
        <v>1</v>
      </c>
    </row>
    <row r="5210" spans="1:18" x14ac:dyDescent="0.25">
      <c r="A5210">
        <v>205209</v>
      </c>
      <c r="B5210">
        <v>51556</v>
      </c>
      <c r="C5210" t="s">
        <v>34</v>
      </c>
      <c r="D5210">
        <v>785.63</v>
      </c>
      <c r="E5210">
        <v>669</v>
      </c>
      <c r="F5210">
        <v>0</v>
      </c>
      <c r="G5210">
        <v>5</v>
      </c>
      <c r="H5210">
        <v>0</v>
      </c>
      <c r="I5210" t="s">
        <v>33</v>
      </c>
      <c r="J5210">
        <v>0</v>
      </c>
      <c r="K5210">
        <v>41</v>
      </c>
      <c r="L5210" t="s">
        <v>20</v>
      </c>
      <c r="M5210" t="s">
        <v>31</v>
      </c>
      <c r="N5210" t="s">
        <v>22</v>
      </c>
      <c r="O5210" t="s">
        <v>23</v>
      </c>
      <c r="P5210">
        <v>0.71</v>
      </c>
      <c r="Q5210" s="2" t="b">
        <f>FALSE()</f>
        <v>0</v>
      </c>
      <c r="R5210">
        <v>0</v>
      </c>
    </row>
    <row r="5211" spans="1:18" x14ac:dyDescent="0.25">
      <c r="A5211">
        <v>205210</v>
      </c>
      <c r="B5211">
        <v>55464</v>
      </c>
      <c r="C5211" t="s">
        <v>34</v>
      </c>
      <c r="D5211">
        <v>2556.8000000000002</v>
      </c>
      <c r="E5211">
        <v>442</v>
      </c>
      <c r="F5211">
        <v>0</v>
      </c>
      <c r="G5211">
        <v>3</v>
      </c>
      <c r="H5211">
        <v>0</v>
      </c>
      <c r="I5211" t="s">
        <v>33</v>
      </c>
      <c r="J5211">
        <v>0</v>
      </c>
      <c r="K5211">
        <v>27</v>
      </c>
      <c r="L5211" t="s">
        <v>20</v>
      </c>
      <c r="M5211" t="s">
        <v>35</v>
      </c>
      <c r="N5211" t="s">
        <v>22</v>
      </c>
      <c r="O5211" t="s">
        <v>36</v>
      </c>
      <c r="P5211">
        <v>4.71</v>
      </c>
      <c r="Q5211" s="2" t="b">
        <f>FALSE()</f>
        <v>0</v>
      </c>
      <c r="R5211">
        <v>0</v>
      </c>
    </row>
    <row r="5212" spans="1:18" x14ac:dyDescent="0.25">
      <c r="A5212">
        <v>205211</v>
      </c>
      <c r="B5212">
        <v>50042</v>
      </c>
      <c r="C5212" t="s">
        <v>28</v>
      </c>
      <c r="D5212">
        <v>1217.26</v>
      </c>
      <c r="E5212">
        <v>2167</v>
      </c>
      <c r="F5212">
        <v>2</v>
      </c>
      <c r="G5212">
        <v>2</v>
      </c>
      <c r="H5212">
        <v>1</v>
      </c>
      <c r="I5212" t="s">
        <v>33</v>
      </c>
      <c r="J5212">
        <v>1</v>
      </c>
      <c r="K5212">
        <v>79</v>
      </c>
      <c r="L5212" t="s">
        <v>20</v>
      </c>
      <c r="M5212" t="s">
        <v>35</v>
      </c>
      <c r="N5212" t="s">
        <v>30</v>
      </c>
      <c r="O5212" t="s">
        <v>23</v>
      </c>
      <c r="P5212">
        <v>0.19</v>
      </c>
      <c r="Q5212" s="2" t="b">
        <f>FALSE()</f>
        <v>0</v>
      </c>
      <c r="R5212">
        <v>0</v>
      </c>
    </row>
    <row r="5213" spans="1:18" x14ac:dyDescent="0.25">
      <c r="A5213">
        <v>205212</v>
      </c>
      <c r="B5213">
        <v>53041</v>
      </c>
      <c r="C5213" t="s">
        <v>18</v>
      </c>
      <c r="D5213">
        <v>2216.58</v>
      </c>
      <c r="E5213">
        <v>1981</v>
      </c>
      <c r="F5213">
        <v>2</v>
      </c>
      <c r="G5213">
        <v>3</v>
      </c>
      <c r="H5213">
        <v>0</v>
      </c>
      <c r="I5213" t="s">
        <v>32</v>
      </c>
      <c r="J5213">
        <v>0</v>
      </c>
      <c r="K5213">
        <v>19</v>
      </c>
      <c r="L5213" t="s">
        <v>20</v>
      </c>
      <c r="M5213" t="s">
        <v>21</v>
      </c>
      <c r="N5213" t="s">
        <v>26</v>
      </c>
      <c r="O5213" t="s">
        <v>36</v>
      </c>
      <c r="P5213">
        <v>6.16</v>
      </c>
      <c r="Q5213" s="2" t="b">
        <f>FALSE()</f>
        <v>0</v>
      </c>
      <c r="R5213">
        <v>0</v>
      </c>
    </row>
    <row r="5214" spans="1:18" x14ac:dyDescent="0.25">
      <c r="A5214">
        <v>205213</v>
      </c>
      <c r="B5214">
        <v>53323</v>
      </c>
      <c r="C5214" t="s">
        <v>18</v>
      </c>
      <c r="D5214">
        <v>1811.55</v>
      </c>
      <c r="E5214">
        <v>1585</v>
      </c>
      <c r="F5214">
        <v>1</v>
      </c>
      <c r="G5214">
        <v>3</v>
      </c>
      <c r="H5214">
        <v>0</v>
      </c>
      <c r="I5214" t="s">
        <v>19</v>
      </c>
      <c r="J5214">
        <v>0</v>
      </c>
      <c r="K5214">
        <v>43</v>
      </c>
      <c r="L5214" t="s">
        <v>20</v>
      </c>
      <c r="M5214" t="s">
        <v>35</v>
      </c>
      <c r="N5214" t="s">
        <v>30</v>
      </c>
      <c r="O5214" t="s">
        <v>27</v>
      </c>
      <c r="P5214">
        <v>10.58</v>
      </c>
      <c r="Q5214" s="2" t="b">
        <f>FALSE()</f>
        <v>0</v>
      </c>
      <c r="R5214">
        <v>0</v>
      </c>
    </row>
    <row r="5215" spans="1:18" x14ac:dyDescent="0.25">
      <c r="A5215">
        <v>205214</v>
      </c>
      <c r="B5215">
        <v>53245</v>
      </c>
      <c r="C5215" t="s">
        <v>18</v>
      </c>
      <c r="D5215">
        <v>1531.67</v>
      </c>
      <c r="E5215">
        <v>2411</v>
      </c>
      <c r="F5215">
        <v>4</v>
      </c>
      <c r="G5215">
        <v>3</v>
      </c>
      <c r="H5215">
        <v>0</v>
      </c>
      <c r="I5215" t="s">
        <v>19</v>
      </c>
      <c r="J5215">
        <v>0</v>
      </c>
      <c r="K5215">
        <v>25</v>
      </c>
      <c r="L5215" t="s">
        <v>24</v>
      </c>
      <c r="M5215" t="s">
        <v>25</v>
      </c>
      <c r="N5215" t="s">
        <v>26</v>
      </c>
      <c r="O5215" t="s">
        <v>27</v>
      </c>
      <c r="P5215">
        <v>3.72</v>
      </c>
      <c r="Q5215" s="2" t="b">
        <f>FALSE()</f>
        <v>0</v>
      </c>
      <c r="R5215">
        <v>1</v>
      </c>
    </row>
    <row r="5216" spans="1:18" x14ac:dyDescent="0.25">
      <c r="A5216">
        <v>205215</v>
      </c>
      <c r="B5216">
        <v>53242</v>
      </c>
      <c r="C5216" t="s">
        <v>18</v>
      </c>
      <c r="D5216">
        <v>1653.78</v>
      </c>
      <c r="E5216">
        <v>731</v>
      </c>
      <c r="F5216">
        <v>1</v>
      </c>
      <c r="G5216">
        <v>3</v>
      </c>
      <c r="H5216">
        <v>0</v>
      </c>
      <c r="I5216" t="s">
        <v>19</v>
      </c>
      <c r="J5216">
        <v>0</v>
      </c>
      <c r="K5216">
        <v>24</v>
      </c>
      <c r="L5216" t="s">
        <v>20</v>
      </c>
      <c r="M5216" t="s">
        <v>25</v>
      </c>
      <c r="N5216" t="s">
        <v>26</v>
      </c>
      <c r="O5216" t="s">
        <v>36</v>
      </c>
      <c r="P5216">
        <v>3.3</v>
      </c>
      <c r="Q5216" s="2" t="b">
        <f>FALSE()</f>
        <v>0</v>
      </c>
      <c r="R5216">
        <v>0</v>
      </c>
    </row>
    <row r="5217" spans="1:18" x14ac:dyDescent="0.25">
      <c r="A5217">
        <v>205216</v>
      </c>
      <c r="B5217">
        <v>52072</v>
      </c>
      <c r="C5217" t="s">
        <v>18</v>
      </c>
      <c r="D5217">
        <v>1474.56</v>
      </c>
      <c r="E5217">
        <v>3321</v>
      </c>
      <c r="F5217">
        <v>1</v>
      </c>
      <c r="G5217">
        <v>4</v>
      </c>
      <c r="H5217">
        <v>1</v>
      </c>
      <c r="I5217" t="s">
        <v>32</v>
      </c>
      <c r="J5217">
        <v>0</v>
      </c>
      <c r="K5217">
        <v>79</v>
      </c>
      <c r="L5217" t="s">
        <v>24</v>
      </c>
      <c r="M5217" t="s">
        <v>31</v>
      </c>
      <c r="N5217" t="s">
        <v>22</v>
      </c>
      <c r="O5217" t="s">
        <v>36</v>
      </c>
      <c r="P5217">
        <v>1.64</v>
      </c>
      <c r="Q5217" s="2" t="b">
        <f>FALSE()</f>
        <v>0</v>
      </c>
      <c r="R5217">
        <v>0</v>
      </c>
    </row>
    <row r="5218" spans="1:18" x14ac:dyDescent="0.25">
      <c r="A5218">
        <v>205217</v>
      </c>
      <c r="B5218">
        <v>54984</v>
      </c>
      <c r="C5218" t="s">
        <v>18</v>
      </c>
      <c r="D5218">
        <v>1749.87</v>
      </c>
      <c r="E5218">
        <v>1513</v>
      </c>
      <c r="F5218">
        <v>1</v>
      </c>
      <c r="G5218">
        <v>6</v>
      </c>
      <c r="H5218">
        <v>0</v>
      </c>
      <c r="I5218" t="s">
        <v>19</v>
      </c>
      <c r="J5218">
        <v>0</v>
      </c>
      <c r="K5218">
        <v>27</v>
      </c>
      <c r="L5218" t="s">
        <v>24</v>
      </c>
      <c r="M5218" t="s">
        <v>21</v>
      </c>
      <c r="N5218" t="s">
        <v>22</v>
      </c>
      <c r="O5218" t="s">
        <v>27</v>
      </c>
      <c r="P5218">
        <v>1.73</v>
      </c>
      <c r="Q5218" s="2" t="b">
        <f>FALSE()</f>
        <v>0</v>
      </c>
      <c r="R5218">
        <v>0</v>
      </c>
    </row>
    <row r="5219" spans="1:18" x14ac:dyDescent="0.25">
      <c r="A5219">
        <v>205218</v>
      </c>
      <c r="B5219">
        <v>50427</v>
      </c>
      <c r="C5219" t="s">
        <v>18</v>
      </c>
      <c r="D5219">
        <v>3396.23</v>
      </c>
      <c r="E5219">
        <v>2042</v>
      </c>
      <c r="F5219">
        <v>1</v>
      </c>
      <c r="G5219">
        <v>4</v>
      </c>
      <c r="H5219">
        <v>1</v>
      </c>
      <c r="I5219" t="s">
        <v>32</v>
      </c>
      <c r="J5219">
        <v>0</v>
      </c>
      <c r="K5219">
        <v>39</v>
      </c>
      <c r="L5219" t="s">
        <v>20</v>
      </c>
      <c r="M5219" t="s">
        <v>29</v>
      </c>
      <c r="N5219" t="s">
        <v>30</v>
      </c>
      <c r="O5219" t="s">
        <v>27</v>
      </c>
      <c r="P5219">
        <v>1.19</v>
      </c>
      <c r="Q5219" s="2" t="b">
        <f>FALSE()</f>
        <v>0</v>
      </c>
      <c r="R5219">
        <v>0</v>
      </c>
    </row>
    <row r="5220" spans="1:18" x14ac:dyDescent="0.25">
      <c r="A5220">
        <v>205219</v>
      </c>
      <c r="B5220">
        <v>55634</v>
      </c>
      <c r="C5220" t="s">
        <v>18</v>
      </c>
      <c r="D5220">
        <v>435.34</v>
      </c>
      <c r="E5220">
        <v>186</v>
      </c>
      <c r="F5220">
        <v>0</v>
      </c>
      <c r="G5220">
        <v>6</v>
      </c>
      <c r="H5220">
        <v>0</v>
      </c>
      <c r="I5220" t="s">
        <v>33</v>
      </c>
      <c r="J5220">
        <v>0</v>
      </c>
      <c r="K5220">
        <v>68</v>
      </c>
      <c r="L5220" t="s">
        <v>20</v>
      </c>
      <c r="M5220" t="s">
        <v>29</v>
      </c>
      <c r="N5220" t="s">
        <v>22</v>
      </c>
      <c r="O5220" t="s">
        <v>27</v>
      </c>
      <c r="P5220">
        <v>2.59</v>
      </c>
      <c r="Q5220" s="2" t="b">
        <f>FALSE()</f>
        <v>0</v>
      </c>
      <c r="R5220">
        <v>0</v>
      </c>
    </row>
    <row r="5221" spans="1:18" x14ac:dyDescent="0.25">
      <c r="A5221">
        <v>205220</v>
      </c>
      <c r="B5221">
        <v>52777</v>
      </c>
      <c r="C5221" t="s">
        <v>28</v>
      </c>
      <c r="D5221">
        <v>1200.55</v>
      </c>
      <c r="E5221">
        <v>259</v>
      </c>
      <c r="F5221">
        <v>0</v>
      </c>
      <c r="G5221">
        <v>1</v>
      </c>
      <c r="H5221">
        <v>1</v>
      </c>
      <c r="I5221" t="s">
        <v>19</v>
      </c>
      <c r="J5221">
        <v>0</v>
      </c>
      <c r="K5221">
        <v>68</v>
      </c>
      <c r="L5221" t="s">
        <v>20</v>
      </c>
      <c r="M5221" t="s">
        <v>35</v>
      </c>
      <c r="N5221" t="s">
        <v>30</v>
      </c>
      <c r="O5221" t="s">
        <v>27</v>
      </c>
      <c r="P5221">
        <v>5.74</v>
      </c>
      <c r="Q5221" s="2" t="b">
        <f>FALSE()</f>
        <v>0</v>
      </c>
      <c r="R5221">
        <v>0</v>
      </c>
    </row>
    <row r="5222" spans="1:18" x14ac:dyDescent="0.25">
      <c r="A5222">
        <v>205221</v>
      </c>
      <c r="B5222">
        <v>54973</v>
      </c>
      <c r="C5222" t="s">
        <v>18</v>
      </c>
      <c r="D5222">
        <v>1715.91</v>
      </c>
      <c r="E5222">
        <v>2957</v>
      </c>
      <c r="F5222">
        <v>2</v>
      </c>
      <c r="G5222">
        <v>2</v>
      </c>
      <c r="H5222">
        <v>1</v>
      </c>
      <c r="I5222" t="s">
        <v>19</v>
      </c>
      <c r="J5222">
        <v>1</v>
      </c>
      <c r="K5222">
        <v>22</v>
      </c>
      <c r="L5222" t="s">
        <v>20</v>
      </c>
      <c r="M5222" t="s">
        <v>25</v>
      </c>
      <c r="N5222" t="s">
        <v>22</v>
      </c>
      <c r="O5222" t="s">
        <v>27</v>
      </c>
      <c r="P5222">
        <v>6.8</v>
      </c>
      <c r="Q5222" s="2" t="b">
        <f>FALSE()</f>
        <v>0</v>
      </c>
      <c r="R5222">
        <v>0</v>
      </c>
    </row>
    <row r="5223" spans="1:18" x14ac:dyDescent="0.25">
      <c r="A5223">
        <v>205222</v>
      </c>
      <c r="B5223">
        <v>50280</v>
      </c>
      <c r="C5223" t="s">
        <v>18</v>
      </c>
      <c r="D5223">
        <v>2572.2600000000002</v>
      </c>
      <c r="E5223">
        <v>281</v>
      </c>
      <c r="F5223">
        <v>2</v>
      </c>
      <c r="G5223">
        <v>4</v>
      </c>
      <c r="H5223">
        <v>1</v>
      </c>
      <c r="I5223" t="s">
        <v>33</v>
      </c>
      <c r="J5223">
        <v>1</v>
      </c>
      <c r="K5223">
        <v>62</v>
      </c>
      <c r="L5223" t="s">
        <v>24</v>
      </c>
      <c r="M5223" t="s">
        <v>21</v>
      </c>
      <c r="N5223" t="s">
        <v>22</v>
      </c>
      <c r="O5223" t="s">
        <v>27</v>
      </c>
      <c r="P5223">
        <v>0.02</v>
      </c>
      <c r="Q5223" s="2" t="b">
        <f>FALSE()</f>
        <v>0</v>
      </c>
      <c r="R5223">
        <v>0</v>
      </c>
    </row>
    <row r="5224" spans="1:18" x14ac:dyDescent="0.25">
      <c r="A5224">
        <v>205223</v>
      </c>
      <c r="B5224">
        <v>55216</v>
      </c>
      <c r="C5224" t="s">
        <v>34</v>
      </c>
      <c r="D5224">
        <v>1876.07</v>
      </c>
      <c r="E5224">
        <v>1714</v>
      </c>
      <c r="F5224">
        <v>1</v>
      </c>
      <c r="G5224">
        <v>6</v>
      </c>
      <c r="H5224">
        <v>1</v>
      </c>
      <c r="I5224" t="s">
        <v>33</v>
      </c>
      <c r="J5224">
        <v>0</v>
      </c>
      <c r="K5224">
        <v>32</v>
      </c>
      <c r="L5224" t="s">
        <v>20</v>
      </c>
      <c r="M5224" t="s">
        <v>29</v>
      </c>
      <c r="N5224" t="s">
        <v>30</v>
      </c>
      <c r="O5224" t="s">
        <v>23</v>
      </c>
      <c r="P5224">
        <v>4.8099999999999996</v>
      </c>
      <c r="Q5224" s="2" t="b">
        <f>FALSE()</f>
        <v>0</v>
      </c>
      <c r="R5224">
        <v>0</v>
      </c>
    </row>
    <row r="5225" spans="1:18" x14ac:dyDescent="0.25">
      <c r="A5225">
        <v>205224</v>
      </c>
      <c r="B5225">
        <v>54674</v>
      </c>
      <c r="C5225" t="s">
        <v>34</v>
      </c>
      <c r="D5225">
        <v>1232.98</v>
      </c>
      <c r="E5225">
        <v>39</v>
      </c>
      <c r="F5225">
        <v>0</v>
      </c>
      <c r="G5225">
        <v>4</v>
      </c>
      <c r="H5225">
        <v>0</v>
      </c>
      <c r="I5225" t="s">
        <v>33</v>
      </c>
      <c r="J5225">
        <v>1</v>
      </c>
      <c r="K5225">
        <v>67</v>
      </c>
      <c r="L5225" t="s">
        <v>20</v>
      </c>
      <c r="M5225" t="s">
        <v>25</v>
      </c>
      <c r="N5225" t="s">
        <v>30</v>
      </c>
      <c r="O5225" t="s">
        <v>23</v>
      </c>
      <c r="P5225">
        <v>0.19</v>
      </c>
      <c r="Q5225" s="2" t="b">
        <f>FALSE()</f>
        <v>0</v>
      </c>
      <c r="R5225">
        <v>0</v>
      </c>
    </row>
    <row r="5226" spans="1:18" x14ac:dyDescent="0.25">
      <c r="A5226">
        <v>205225</v>
      </c>
      <c r="B5226">
        <v>51212</v>
      </c>
      <c r="C5226" t="s">
        <v>18</v>
      </c>
      <c r="D5226">
        <v>3558.48</v>
      </c>
      <c r="E5226">
        <v>3357</v>
      </c>
      <c r="F5226">
        <v>0</v>
      </c>
      <c r="G5226">
        <v>4</v>
      </c>
      <c r="H5226">
        <v>0</v>
      </c>
      <c r="I5226" t="s">
        <v>33</v>
      </c>
      <c r="J5226">
        <v>1</v>
      </c>
      <c r="K5226">
        <v>59</v>
      </c>
      <c r="L5226" t="s">
        <v>24</v>
      </c>
      <c r="M5226" t="s">
        <v>21</v>
      </c>
      <c r="N5226" t="s">
        <v>22</v>
      </c>
      <c r="O5226" t="s">
        <v>27</v>
      </c>
      <c r="P5226">
        <v>2.4</v>
      </c>
      <c r="Q5226" s="2" t="b">
        <f>FALSE()</f>
        <v>0</v>
      </c>
      <c r="R5226">
        <v>0</v>
      </c>
    </row>
    <row r="5227" spans="1:18" x14ac:dyDescent="0.25">
      <c r="A5227">
        <v>205226</v>
      </c>
      <c r="B5227">
        <v>55694</v>
      </c>
      <c r="C5227" t="s">
        <v>34</v>
      </c>
      <c r="D5227">
        <v>2557.2199999999998</v>
      </c>
      <c r="E5227">
        <v>490</v>
      </c>
      <c r="F5227">
        <v>2</v>
      </c>
      <c r="G5227">
        <v>5</v>
      </c>
      <c r="H5227">
        <v>0</v>
      </c>
      <c r="I5227" t="s">
        <v>33</v>
      </c>
      <c r="J5227">
        <v>0</v>
      </c>
      <c r="K5227">
        <v>84</v>
      </c>
      <c r="L5227" t="s">
        <v>24</v>
      </c>
      <c r="M5227" t="s">
        <v>37</v>
      </c>
      <c r="N5227" t="s">
        <v>26</v>
      </c>
      <c r="O5227" t="s">
        <v>23</v>
      </c>
      <c r="P5227">
        <v>0.55000000000000004</v>
      </c>
      <c r="Q5227" s="2" t="b">
        <f>FALSE()</f>
        <v>0</v>
      </c>
      <c r="R5227">
        <v>0</v>
      </c>
    </row>
    <row r="5228" spans="1:18" x14ac:dyDescent="0.25">
      <c r="A5228">
        <v>205227</v>
      </c>
      <c r="B5228">
        <v>52121</v>
      </c>
      <c r="C5228" t="s">
        <v>34</v>
      </c>
      <c r="D5228">
        <v>3031.62</v>
      </c>
      <c r="E5228">
        <v>1864</v>
      </c>
      <c r="F5228">
        <v>2</v>
      </c>
      <c r="G5228">
        <v>4</v>
      </c>
      <c r="H5228">
        <v>0</v>
      </c>
      <c r="I5228" t="s">
        <v>33</v>
      </c>
      <c r="J5228">
        <v>0</v>
      </c>
      <c r="K5228">
        <v>82</v>
      </c>
      <c r="L5228" t="s">
        <v>24</v>
      </c>
      <c r="M5228" t="s">
        <v>31</v>
      </c>
      <c r="N5228" t="s">
        <v>30</v>
      </c>
      <c r="O5228" t="s">
        <v>27</v>
      </c>
      <c r="P5228">
        <v>0.87</v>
      </c>
      <c r="Q5228" s="2" t="b">
        <f>FALSE()</f>
        <v>0</v>
      </c>
      <c r="R5228">
        <v>0</v>
      </c>
    </row>
    <row r="5229" spans="1:18" x14ac:dyDescent="0.25">
      <c r="A5229">
        <v>205228</v>
      </c>
      <c r="B5229">
        <v>55718</v>
      </c>
      <c r="C5229" t="s">
        <v>18</v>
      </c>
      <c r="D5229">
        <v>392.99</v>
      </c>
      <c r="E5229">
        <v>602</v>
      </c>
      <c r="F5229">
        <v>0</v>
      </c>
      <c r="G5229">
        <v>3</v>
      </c>
      <c r="H5229">
        <v>0</v>
      </c>
      <c r="I5229" t="s">
        <v>19</v>
      </c>
      <c r="J5229">
        <v>0</v>
      </c>
      <c r="K5229">
        <v>18</v>
      </c>
      <c r="L5229" t="s">
        <v>20</v>
      </c>
      <c r="M5229" t="s">
        <v>25</v>
      </c>
      <c r="N5229" t="s">
        <v>22</v>
      </c>
      <c r="O5229" t="s">
        <v>36</v>
      </c>
      <c r="P5229">
        <v>1.2</v>
      </c>
      <c r="Q5229" s="2" t="b">
        <f>FALSE()</f>
        <v>0</v>
      </c>
      <c r="R5229">
        <v>0</v>
      </c>
    </row>
    <row r="5230" spans="1:18" x14ac:dyDescent="0.25">
      <c r="A5230">
        <v>205229</v>
      </c>
      <c r="B5230">
        <v>51422</v>
      </c>
      <c r="C5230" t="s">
        <v>28</v>
      </c>
      <c r="D5230">
        <v>5492.61</v>
      </c>
      <c r="E5230">
        <v>626</v>
      </c>
      <c r="F5230">
        <v>1</v>
      </c>
      <c r="G5230">
        <v>3</v>
      </c>
      <c r="H5230">
        <v>0</v>
      </c>
      <c r="I5230" t="s">
        <v>33</v>
      </c>
      <c r="J5230">
        <v>0</v>
      </c>
      <c r="K5230">
        <v>64</v>
      </c>
      <c r="L5230" t="s">
        <v>38</v>
      </c>
      <c r="M5230" t="s">
        <v>35</v>
      </c>
      <c r="N5230" t="s">
        <v>22</v>
      </c>
      <c r="O5230" t="s">
        <v>36</v>
      </c>
      <c r="P5230">
        <v>6.99</v>
      </c>
      <c r="Q5230" s="2" t="b">
        <f>FALSE()</f>
        <v>0</v>
      </c>
      <c r="R5230">
        <v>1</v>
      </c>
    </row>
    <row r="5231" spans="1:18" x14ac:dyDescent="0.25">
      <c r="A5231">
        <v>205230</v>
      </c>
      <c r="B5231">
        <v>51073</v>
      </c>
      <c r="C5231" t="s">
        <v>18</v>
      </c>
      <c r="D5231">
        <v>1031.5</v>
      </c>
      <c r="E5231">
        <v>3474</v>
      </c>
      <c r="F5231">
        <v>0</v>
      </c>
      <c r="G5231">
        <v>4</v>
      </c>
      <c r="H5231">
        <v>0</v>
      </c>
      <c r="I5231" t="s">
        <v>33</v>
      </c>
      <c r="J5231">
        <v>0</v>
      </c>
      <c r="K5231">
        <v>75</v>
      </c>
      <c r="L5231" t="s">
        <v>24</v>
      </c>
      <c r="M5231" t="s">
        <v>25</v>
      </c>
      <c r="N5231" t="s">
        <v>22</v>
      </c>
      <c r="O5231" t="s">
        <v>36</v>
      </c>
      <c r="P5231">
        <v>1.42</v>
      </c>
      <c r="Q5231" s="2" t="b">
        <f>FALSE()</f>
        <v>0</v>
      </c>
      <c r="R5231">
        <v>0</v>
      </c>
    </row>
    <row r="5232" spans="1:18" x14ac:dyDescent="0.25">
      <c r="A5232">
        <v>205231</v>
      </c>
      <c r="B5232">
        <v>51933</v>
      </c>
      <c r="C5232" t="s">
        <v>34</v>
      </c>
      <c r="D5232">
        <v>5365.4</v>
      </c>
      <c r="E5232">
        <v>3036</v>
      </c>
      <c r="F5232">
        <v>0</v>
      </c>
      <c r="G5232">
        <v>2</v>
      </c>
      <c r="H5232">
        <v>1</v>
      </c>
      <c r="I5232" t="s">
        <v>32</v>
      </c>
      <c r="J5232">
        <v>0</v>
      </c>
      <c r="K5232">
        <v>45</v>
      </c>
      <c r="L5232" t="s">
        <v>20</v>
      </c>
      <c r="M5232" t="s">
        <v>31</v>
      </c>
      <c r="N5232" t="s">
        <v>30</v>
      </c>
      <c r="O5232" t="s">
        <v>36</v>
      </c>
      <c r="P5232">
        <v>0.56999999999999995</v>
      </c>
      <c r="Q5232" s="2" t="b">
        <f>FALSE()</f>
        <v>0</v>
      </c>
      <c r="R5232">
        <v>1</v>
      </c>
    </row>
    <row r="5233" spans="1:18" x14ac:dyDescent="0.25">
      <c r="A5233">
        <v>205232</v>
      </c>
      <c r="B5233">
        <v>53337</v>
      </c>
      <c r="C5233" t="s">
        <v>28</v>
      </c>
      <c r="D5233">
        <v>2707.35</v>
      </c>
      <c r="E5233">
        <v>1293</v>
      </c>
      <c r="F5233">
        <v>1</v>
      </c>
      <c r="G5233">
        <v>3</v>
      </c>
      <c r="H5233">
        <v>0</v>
      </c>
      <c r="I5233" t="s">
        <v>19</v>
      </c>
      <c r="J5233">
        <v>0</v>
      </c>
      <c r="K5233">
        <v>79</v>
      </c>
      <c r="L5233" t="s">
        <v>24</v>
      </c>
      <c r="M5233" t="s">
        <v>35</v>
      </c>
      <c r="N5233" t="s">
        <v>26</v>
      </c>
      <c r="O5233" t="s">
        <v>36</v>
      </c>
      <c r="P5233">
        <v>1.22</v>
      </c>
      <c r="Q5233" s="2" t="b">
        <f>FALSE()</f>
        <v>0</v>
      </c>
      <c r="R5233">
        <v>0</v>
      </c>
    </row>
    <row r="5234" spans="1:18" x14ac:dyDescent="0.25">
      <c r="A5234">
        <v>205233</v>
      </c>
      <c r="B5234">
        <v>50115</v>
      </c>
      <c r="C5234" t="s">
        <v>18</v>
      </c>
      <c r="D5234">
        <v>1700.51</v>
      </c>
      <c r="E5234">
        <v>1963</v>
      </c>
      <c r="F5234">
        <v>1</v>
      </c>
      <c r="G5234">
        <v>1</v>
      </c>
      <c r="H5234">
        <v>0</v>
      </c>
      <c r="I5234" t="s">
        <v>19</v>
      </c>
      <c r="J5234">
        <v>0</v>
      </c>
      <c r="K5234">
        <v>82</v>
      </c>
      <c r="L5234" t="s">
        <v>24</v>
      </c>
      <c r="M5234" t="s">
        <v>21</v>
      </c>
      <c r="N5234" t="s">
        <v>26</v>
      </c>
      <c r="O5234" t="s">
        <v>36</v>
      </c>
      <c r="P5234">
        <v>8.25</v>
      </c>
      <c r="Q5234" s="2" t="b">
        <f>FALSE()</f>
        <v>0</v>
      </c>
      <c r="R5234">
        <v>0</v>
      </c>
    </row>
    <row r="5235" spans="1:18" x14ac:dyDescent="0.25">
      <c r="A5235">
        <v>205234</v>
      </c>
      <c r="B5235">
        <v>53125</v>
      </c>
      <c r="C5235" t="s">
        <v>34</v>
      </c>
      <c r="D5235">
        <v>1241</v>
      </c>
      <c r="E5235">
        <v>2187</v>
      </c>
      <c r="F5235">
        <v>1</v>
      </c>
      <c r="G5235">
        <v>7</v>
      </c>
      <c r="H5235">
        <v>0</v>
      </c>
      <c r="I5235" t="s">
        <v>33</v>
      </c>
      <c r="J5235">
        <v>1</v>
      </c>
      <c r="K5235">
        <v>34</v>
      </c>
      <c r="L5235" t="s">
        <v>24</v>
      </c>
      <c r="M5235" t="s">
        <v>29</v>
      </c>
      <c r="N5235" t="s">
        <v>22</v>
      </c>
      <c r="O5235" t="s">
        <v>36</v>
      </c>
      <c r="P5235">
        <v>2.93</v>
      </c>
      <c r="Q5235" s="2" t="b">
        <f>FALSE()</f>
        <v>0</v>
      </c>
      <c r="R5235">
        <v>1</v>
      </c>
    </row>
    <row r="5236" spans="1:18" x14ac:dyDescent="0.25">
      <c r="A5236">
        <v>205235</v>
      </c>
      <c r="B5236">
        <v>55362</v>
      </c>
      <c r="C5236" t="s">
        <v>28</v>
      </c>
      <c r="D5236">
        <v>2289.4499999999998</v>
      </c>
      <c r="E5236">
        <v>1174</v>
      </c>
      <c r="F5236">
        <v>1</v>
      </c>
      <c r="G5236">
        <v>7</v>
      </c>
      <c r="H5236">
        <v>1</v>
      </c>
      <c r="I5236" t="s">
        <v>33</v>
      </c>
      <c r="J5236">
        <v>0</v>
      </c>
      <c r="K5236">
        <v>22</v>
      </c>
      <c r="L5236" t="s">
        <v>20</v>
      </c>
      <c r="M5236" t="s">
        <v>35</v>
      </c>
      <c r="N5236" t="s">
        <v>30</v>
      </c>
      <c r="O5236" t="s">
        <v>27</v>
      </c>
      <c r="P5236">
        <v>4.07</v>
      </c>
      <c r="Q5236" s="2" t="b">
        <f>FALSE()</f>
        <v>0</v>
      </c>
      <c r="R5236">
        <v>1</v>
      </c>
    </row>
    <row r="5237" spans="1:18" x14ac:dyDescent="0.25">
      <c r="A5237">
        <v>205236</v>
      </c>
      <c r="B5237">
        <v>52930</v>
      </c>
      <c r="C5237" t="s">
        <v>34</v>
      </c>
      <c r="D5237">
        <v>1754.68</v>
      </c>
      <c r="E5237">
        <v>717</v>
      </c>
      <c r="F5237">
        <v>2</v>
      </c>
      <c r="G5237">
        <v>8</v>
      </c>
      <c r="H5237">
        <v>1</v>
      </c>
      <c r="I5237" t="s">
        <v>19</v>
      </c>
      <c r="J5237">
        <v>1</v>
      </c>
      <c r="K5237">
        <v>35</v>
      </c>
      <c r="L5237" t="s">
        <v>20</v>
      </c>
      <c r="M5237" t="s">
        <v>35</v>
      </c>
      <c r="N5237" t="s">
        <v>22</v>
      </c>
      <c r="O5237" t="s">
        <v>23</v>
      </c>
      <c r="P5237">
        <v>5.81</v>
      </c>
      <c r="Q5237" s="2" t="b">
        <f>FALSE()</f>
        <v>0</v>
      </c>
      <c r="R5237">
        <v>1</v>
      </c>
    </row>
    <row r="5238" spans="1:18" x14ac:dyDescent="0.25">
      <c r="A5238">
        <v>205237</v>
      </c>
      <c r="B5238">
        <v>55823</v>
      </c>
      <c r="C5238" t="s">
        <v>28</v>
      </c>
      <c r="D5238">
        <v>1602.2</v>
      </c>
      <c r="E5238">
        <v>2497</v>
      </c>
      <c r="F5238">
        <v>2</v>
      </c>
      <c r="G5238">
        <v>4</v>
      </c>
      <c r="H5238">
        <v>0</v>
      </c>
      <c r="I5238" t="s">
        <v>33</v>
      </c>
      <c r="J5238">
        <v>0</v>
      </c>
      <c r="K5238">
        <v>51</v>
      </c>
      <c r="L5238" t="s">
        <v>20</v>
      </c>
      <c r="M5238" t="s">
        <v>31</v>
      </c>
      <c r="N5238" t="s">
        <v>26</v>
      </c>
      <c r="O5238" t="s">
        <v>36</v>
      </c>
      <c r="P5238">
        <v>4.62</v>
      </c>
      <c r="Q5238" s="2" t="b">
        <f>FALSE()</f>
        <v>0</v>
      </c>
      <c r="R5238">
        <v>0</v>
      </c>
    </row>
    <row r="5239" spans="1:18" x14ac:dyDescent="0.25">
      <c r="A5239">
        <v>205238</v>
      </c>
      <c r="B5239">
        <v>53412</v>
      </c>
      <c r="C5239" t="s">
        <v>34</v>
      </c>
      <c r="D5239">
        <v>1449.7</v>
      </c>
      <c r="E5239">
        <v>1520</v>
      </c>
      <c r="F5239">
        <v>0</v>
      </c>
      <c r="G5239">
        <v>7</v>
      </c>
      <c r="H5239">
        <v>0</v>
      </c>
      <c r="I5239" t="s">
        <v>33</v>
      </c>
      <c r="J5239">
        <v>0</v>
      </c>
      <c r="K5239">
        <v>36</v>
      </c>
      <c r="L5239" t="s">
        <v>20</v>
      </c>
      <c r="M5239" t="s">
        <v>25</v>
      </c>
      <c r="N5239" t="s">
        <v>30</v>
      </c>
      <c r="O5239" t="s">
        <v>36</v>
      </c>
      <c r="P5239">
        <v>0.28999999999999998</v>
      </c>
      <c r="Q5239" s="2" t="b">
        <f>FALSE()</f>
        <v>0</v>
      </c>
      <c r="R5239">
        <v>1</v>
      </c>
    </row>
    <row r="5240" spans="1:18" x14ac:dyDescent="0.25">
      <c r="A5240">
        <v>205239</v>
      </c>
      <c r="B5240">
        <v>55652</v>
      </c>
      <c r="C5240" t="s">
        <v>28</v>
      </c>
      <c r="D5240">
        <v>4505.62</v>
      </c>
      <c r="E5240">
        <v>1080</v>
      </c>
      <c r="F5240">
        <v>0</v>
      </c>
      <c r="G5240">
        <v>9</v>
      </c>
      <c r="H5240">
        <v>0</v>
      </c>
      <c r="I5240" t="s">
        <v>33</v>
      </c>
      <c r="J5240">
        <v>0</v>
      </c>
      <c r="K5240">
        <v>76</v>
      </c>
      <c r="L5240" t="s">
        <v>24</v>
      </c>
      <c r="M5240" t="s">
        <v>25</v>
      </c>
      <c r="N5240" t="s">
        <v>30</v>
      </c>
      <c r="O5240" t="s">
        <v>36</v>
      </c>
      <c r="P5240">
        <v>3.4</v>
      </c>
      <c r="Q5240" s="2" t="b">
        <f>FALSE()</f>
        <v>0</v>
      </c>
      <c r="R5240">
        <v>1</v>
      </c>
    </row>
    <row r="5241" spans="1:18" x14ac:dyDescent="0.25">
      <c r="A5241">
        <v>205240</v>
      </c>
      <c r="B5241">
        <v>53032</v>
      </c>
      <c r="C5241" t="s">
        <v>18</v>
      </c>
      <c r="D5241">
        <v>2158.4299999999998</v>
      </c>
      <c r="E5241">
        <v>3186</v>
      </c>
      <c r="F5241">
        <v>0</v>
      </c>
      <c r="G5241">
        <v>6</v>
      </c>
      <c r="H5241">
        <v>0</v>
      </c>
      <c r="I5241" t="s">
        <v>19</v>
      </c>
      <c r="J5241">
        <v>0</v>
      </c>
      <c r="K5241">
        <v>53</v>
      </c>
      <c r="L5241" t="s">
        <v>20</v>
      </c>
      <c r="M5241" t="s">
        <v>21</v>
      </c>
      <c r="N5241" t="s">
        <v>26</v>
      </c>
      <c r="O5241" t="s">
        <v>23</v>
      </c>
      <c r="P5241">
        <v>0.26</v>
      </c>
      <c r="Q5241" s="2" t="b">
        <f>FALSE()</f>
        <v>0</v>
      </c>
      <c r="R5241">
        <v>0</v>
      </c>
    </row>
    <row r="5242" spans="1:18" x14ac:dyDescent="0.25">
      <c r="A5242">
        <v>205241</v>
      </c>
      <c r="B5242">
        <v>55083</v>
      </c>
      <c r="C5242" t="s">
        <v>34</v>
      </c>
      <c r="D5242">
        <v>2917.13</v>
      </c>
      <c r="E5242">
        <v>2066</v>
      </c>
      <c r="F5242">
        <v>1</v>
      </c>
      <c r="G5242">
        <v>6</v>
      </c>
      <c r="H5242">
        <v>0</v>
      </c>
      <c r="I5242" t="s">
        <v>33</v>
      </c>
      <c r="J5242">
        <v>0</v>
      </c>
      <c r="K5242">
        <v>40</v>
      </c>
      <c r="L5242" t="s">
        <v>20</v>
      </c>
      <c r="M5242" t="s">
        <v>35</v>
      </c>
      <c r="N5242" t="s">
        <v>26</v>
      </c>
      <c r="O5242" t="s">
        <v>27</v>
      </c>
      <c r="P5242">
        <v>0.63</v>
      </c>
      <c r="Q5242" s="2" t="b">
        <f>FALSE()</f>
        <v>0</v>
      </c>
      <c r="R5242">
        <v>0</v>
      </c>
    </row>
    <row r="5243" spans="1:18" x14ac:dyDescent="0.25">
      <c r="A5243">
        <v>205242</v>
      </c>
      <c r="B5243">
        <v>53170</v>
      </c>
      <c r="C5243" t="s">
        <v>18</v>
      </c>
      <c r="D5243">
        <v>4143.6499999999996</v>
      </c>
      <c r="E5243">
        <v>1071</v>
      </c>
      <c r="F5243">
        <v>1</v>
      </c>
      <c r="G5243">
        <v>5</v>
      </c>
      <c r="H5243">
        <v>0</v>
      </c>
      <c r="I5243" t="s">
        <v>33</v>
      </c>
      <c r="J5243">
        <v>0</v>
      </c>
      <c r="K5243">
        <v>50</v>
      </c>
      <c r="L5243" t="s">
        <v>20</v>
      </c>
      <c r="M5243" t="s">
        <v>31</v>
      </c>
      <c r="N5243" t="s">
        <v>22</v>
      </c>
      <c r="O5243" t="s">
        <v>27</v>
      </c>
      <c r="P5243">
        <v>6.29</v>
      </c>
      <c r="Q5243" s="2" t="b">
        <f>FALSE()</f>
        <v>0</v>
      </c>
      <c r="R5243">
        <v>1</v>
      </c>
    </row>
    <row r="5244" spans="1:18" x14ac:dyDescent="0.25">
      <c r="A5244">
        <v>205243</v>
      </c>
      <c r="B5244">
        <v>55117</v>
      </c>
      <c r="C5244" t="s">
        <v>18</v>
      </c>
      <c r="D5244">
        <v>5455.04</v>
      </c>
      <c r="E5244">
        <v>3147</v>
      </c>
      <c r="F5244">
        <v>3</v>
      </c>
      <c r="G5244">
        <v>5</v>
      </c>
      <c r="H5244">
        <v>1</v>
      </c>
      <c r="I5244" t="s">
        <v>32</v>
      </c>
      <c r="J5244">
        <v>0</v>
      </c>
      <c r="K5244">
        <v>67</v>
      </c>
      <c r="L5244" t="s">
        <v>20</v>
      </c>
      <c r="M5244" t="s">
        <v>29</v>
      </c>
      <c r="N5244" t="s">
        <v>30</v>
      </c>
      <c r="O5244" t="s">
        <v>36</v>
      </c>
      <c r="P5244">
        <v>1.9</v>
      </c>
      <c r="Q5244" s="2" t="b">
        <f>FALSE()</f>
        <v>0</v>
      </c>
      <c r="R5244">
        <v>1</v>
      </c>
    </row>
    <row r="5245" spans="1:18" x14ac:dyDescent="0.25">
      <c r="A5245">
        <v>205244</v>
      </c>
      <c r="B5245">
        <v>53306</v>
      </c>
      <c r="C5245" t="s">
        <v>34</v>
      </c>
      <c r="D5245">
        <v>855.56</v>
      </c>
      <c r="E5245">
        <v>1970</v>
      </c>
      <c r="F5245">
        <v>4</v>
      </c>
      <c r="G5245">
        <v>4</v>
      </c>
      <c r="H5245">
        <v>0</v>
      </c>
      <c r="I5245" t="s">
        <v>33</v>
      </c>
      <c r="J5245">
        <v>0</v>
      </c>
      <c r="K5245">
        <v>35</v>
      </c>
      <c r="L5245" t="s">
        <v>24</v>
      </c>
      <c r="M5245" t="s">
        <v>31</v>
      </c>
      <c r="N5245" t="s">
        <v>22</v>
      </c>
      <c r="O5245" t="s">
        <v>36</v>
      </c>
      <c r="P5245">
        <v>4.67</v>
      </c>
      <c r="Q5245" s="2" t="b">
        <f>FALSE()</f>
        <v>0</v>
      </c>
      <c r="R5245">
        <v>1</v>
      </c>
    </row>
    <row r="5246" spans="1:18" x14ac:dyDescent="0.25">
      <c r="A5246">
        <v>205245</v>
      </c>
      <c r="B5246">
        <v>53969</v>
      </c>
      <c r="C5246" t="s">
        <v>18</v>
      </c>
      <c r="D5246">
        <v>1933.98</v>
      </c>
      <c r="E5246">
        <v>465</v>
      </c>
      <c r="F5246">
        <v>0</v>
      </c>
      <c r="G5246">
        <v>4</v>
      </c>
      <c r="H5246">
        <v>0</v>
      </c>
      <c r="I5246" t="s">
        <v>19</v>
      </c>
      <c r="J5246">
        <v>0</v>
      </c>
      <c r="K5246">
        <v>56</v>
      </c>
      <c r="L5246" t="s">
        <v>20</v>
      </c>
      <c r="M5246" t="s">
        <v>29</v>
      </c>
      <c r="N5246" t="s">
        <v>26</v>
      </c>
      <c r="O5246" t="s">
        <v>23</v>
      </c>
      <c r="P5246">
        <v>1.1399999999999999</v>
      </c>
      <c r="Q5246" s="2" t="b">
        <f>FALSE()</f>
        <v>0</v>
      </c>
      <c r="R5246">
        <v>0</v>
      </c>
    </row>
    <row r="5247" spans="1:18" x14ac:dyDescent="0.25">
      <c r="A5247">
        <v>205246</v>
      </c>
      <c r="B5247">
        <v>52194</v>
      </c>
      <c r="C5247" t="s">
        <v>18</v>
      </c>
      <c r="D5247">
        <v>2659.11</v>
      </c>
      <c r="E5247">
        <v>2830</v>
      </c>
      <c r="F5247">
        <v>1</v>
      </c>
      <c r="G5247">
        <v>2</v>
      </c>
      <c r="H5247">
        <v>0</v>
      </c>
      <c r="I5247" t="s">
        <v>33</v>
      </c>
      <c r="J5247">
        <v>0</v>
      </c>
      <c r="K5247">
        <v>43</v>
      </c>
      <c r="L5247" t="s">
        <v>20</v>
      </c>
      <c r="M5247" t="s">
        <v>25</v>
      </c>
      <c r="N5247" t="s">
        <v>22</v>
      </c>
      <c r="O5247" t="s">
        <v>36</v>
      </c>
      <c r="P5247">
        <v>1.25</v>
      </c>
      <c r="Q5247" s="2" t="b">
        <f>FALSE()</f>
        <v>0</v>
      </c>
      <c r="R5247">
        <v>0</v>
      </c>
    </row>
    <row r="5248" spans="1:18" x14ac:dyDescent="0.25">
      <c r="A5248">
        <v>205247</v>
      </c>
      <c r="B5248">
        <v>53359</v>
      </c>
      <c r="C5248" t="s">
        <v>34</v>
      </c>
      <c r="D5248">
        <v>1602.81</v>
      </c>
      <c r="E5248">
        <v>3202</v>
      </c>
      <c r="F5248">
        <v>0</v>
      </c>
      <c r="G5248">
        <v>3</v>
      </c>
      <c r="H5248">
        <v>0</v>
      </c>
      <c r="I5248" t="s">
        <v>33</v>
      </c>
      <c r="J5248">
        <v>0</v>
      </c>
      <c r="K5248">
        <v>48</v>
      </c>
      <c r="L5248" t="s">
        <v>24</v>
      </c>
      <c r="M5248" t="s">
        <v>31</v>
      </c>
      <c r="N5248" t="s">
        <v>30</v>
      </c>
      <c r="O5248" t="s">
        <v>36</v>
      </c>
      <c r="P5248">
        <v>0.84</v>
      </c>
      <c r="Q5248" s="2" t="b">
        <f>FALSE()</f>
        <v>0</v>
      </c>
      <c r="R5248">
        <v>0</v>
      </c>
    </row>
    <row r="5249" spans="1:18" x14ac:dyDescent="0.25">
      <c r="A5249">
        <v>205248</v>
      </c>
      <c r="B5249">
        <v>50384</v>
      </c>
      <c r="C5249" t="s">
        <v>28</v>
      </c>
      <c r="D5249">
        <v>1177.74</v>
      </c>
      <c r="E5249">
        <v>2367</v>
      </c>
      <c r="F5249">
        <v>3</v>
      </c>
      <c r="G5249">
        <v>6</v>
      </c>
      <c r="H5249">
        <v>1</v>
      </c>
      <c r="I5249" t="s">
        <v>33</v>
      </c>
      <c r="J5249">
        <v>1</v>
      </c>
      <c r="K5249">
        <v>60</v>
      </c>
      <c r="L5249" t="s">
        <v>20</v>
      </c>
      <c r="M5249" t="s">
        <v>37</v>
      </c>
      <c r="N5249" t="s">
        <v>26</v>
      </c>
      <c r="O5249" t="s">
        <v>36</v>
      </c>
      <c r="P5249">
        <v>0.77</v>
      </c>
      <c r="Q5249" s="2" t="b">
        <f>FALSE()</f>
        <v>0</v>
      </c>
      <c r="R5249">
        <v>1</v>
      </c>
    </row>
    <row r="5250" spans="1:18" x14ac:dyDescent="0.25">
      <c r="A5250">
        <v>205249</v>
      </c>
      <c r="B5250">
        <v>53826</v>
      </c>
      <c r="C5250" t="s">
        <v>18</v>
      </c>
      <c r="D5250">
        <v>2933.47</v>
      </c>
      <c r="E5250">
        <v>1140</v>
      </c>
      <c r="F5250">
        <v>1</v>
      </c>
      <c r="G5250">
        <v>4</v>
      </c>
      <c r="H5250">
        <v>0</v>
      </c>
      <c r="I5250" t="s">
        <v>32</v>
      </c>
      <c r="J5250">
        <v>0</v>
      </c>
      <c r="K5250">
        <v>59</v>
      </c>
      <c r="L5250" t="s">
        <v>24</v>
      </c>
      <c r="M5250" t="s">
        <v>35</v>
      </c>
      <c r="N5250" t="s">
        <v>30</v>
      </c>
      <c r="O5250" t="s">
        <v>36</v>
      </c>
      <c r="P5250">
        <v>3.35</v>
      </c>
      <c r="Q5250" s="2" t="b">
        <f>FALSE()</f>
        <v>0</v>
      </c>
      <c r="R5250">
        <v>0</v>
      </c>
    </row>
    <row r="5251" spans="1:18" x14ac:dyDescent="0.25">
      <c r="A5251">
        <v>205250</v>
      </c>
      <c r="B5251">
        <v>51075</v>
      </c>
      <c r="C5251" t="s">
        <v>34</v>
      </c>
      <c r="D5251">
        <v>2664.36</v>
      </c>
      <c r="E5251">
        <v>2825</v>
      </c>
      <c r="F5251">
        <v>2</v>
      </c>
      <c r="G5251">
        <v>3</v>
      </c>
      <c r="H5251">
        <v>1</v>
      </c>
      <c r="I5251" t="s">
        <v>33</v>
      </c>
      <c r="J5251">
        <v>0</v>
      </c>
      <c r="K5251">
        <v>54</v>
      </c>
      <c r="L5251" t="s">
        <v>24</v>
      </c>
      <c r="M5251" t="s">
        <v>31</v>
      </c>
      <c r="N5251" t="s">
        <v>30</v>
      </c>
      <c r="O5251" t="s">
        <v>36</v>
      </c>
      <c r="P5251">
        <v>0.65</v>
      </c>
      <c r="Q5251" s="2" t="b">
        <f>FALSE()</f>
        <v>0</v>
      </c>
      <c r="R5251">
        <v>0</v>
      </c>
    </row>
    <row r="5252" spans="1:18" x14ac:dyDescent="0.25">
      <c r="A5252">
        <v>205251</v>
      </c>
      <c r="B5252">
        <v>54142</v>
      </c>
      <c r="C5252" t="s">
        <v>18</v>
      </c>
      <c r="D5252">
        <v>3410.16</v>
      </c>
      <c r="E5252">
        <v>2134</v>
      </c>
      <c r="F5252">
        <v>1</v>
      </c>
      <c r="G5252">
        <v>7</v>
      </c>
      <c r="H5252">
        <v>0</v>
      </c>
      <c r="I5252" t="s">
        <v>33</v>
      </c>
      <c r="J5252">
        <v>1</v>
      </c>
      <c r="K5252">
        <v>25</v>
      </c>
      <c r="L5252" t="s">
        <v>24</v>
      </c>
      <c r="M5252" t="s">
        <v>35</v>
      </c>
      <c r="N5252" t="s">
        <v>22</v>
      </c>
      <c r="O5252" t="s">
        <v>36</v>
      </c>
      <c r="P5252">
        <v>2.89</v>
      </c>
      <c r="Q5252" s="2" t="b">
        <f>FALSE()</f>
        <v>0</v>
      </c>
      <c r="R5252">
        <v>1</v>
      </c>
    </row>
    <row r="5253" spans="1:18" x14ac:dyDescent="0.25">
      <c r="A5253">
        <v>205252</v>
      </c>
      <c r="B5253">
        <v>51061</v>
      </c>
      <c r="C5253" t="s">
        <v>34</v>
      </c>
      <c r="D5253">
        <v>992.57</v>
      </c>
      <c r="E5253">
        <v>2306</v>
      </c>
      <c r="F5253">
        <v>1</v>
      </c>
      <c r="G5253">
        <v>6</v>
      </c>
      <c r="H5253">
        <v>1</v>
      </c>
      <c r="I5253" t="s">
        <v>19</v>
      </c>
      <c r="J5253">
        <v>0</v>
      </c>
      <c r="K5253">
        <v>23</v>
      </c>
      <c r="L5253" t="s">
        <v>20</v>
      </c>
      <c r="M5253" t="s">
        <v>29</v>
      </c>
      <c r="N5253" t="s">
        <v>30</v>
      </c>
      <c r="O5253" t="s">
        <v>23</v>
      </c>
      <c r="P5253">
        <v>1.91</v>
      </c>
      <c r="Q5253" s="2" t="b">
        <f>FALSE()</f>
        <v>0</v>
      </c>
      <c r="R5253">
        <v>0</v>
      </c>
    </row>
    <row r="5254" spans="1:18" x14ac:dyDescent="0.25">
      <c r="A5254">
        <v>205253</v>
      </c>
      <c r="B5254">
        <v>53125</v>
      </c>
      <c r="C5254" t="s">
        <v>34</v>
      </c>
      <c r="D5254">
        <v>1325.7</v>
      </c>
      <c r="E5254">
        <v>3101</v>
      </c>
      <c r="F5254">
        <v>2</v>
      </c>
      <c r="G5254">
        <v>3</v>
      </c>
      <c r="H5254">
        <v>0</v>
      </c>
      <c r="I5254" t="s">
        <v>19</v>
      </c>
      <c r="J5254">
        <v>0</v>
      </c>
      <c r="K5254">
        <v>38</v>
      </c>
      <c r="L5254" t="s">
        <v>24</v>
      </c>
      <c r="M5254" t="s">
        <v>29</v>
      </c>
      <c r="N5254" t="s">
        <v>30</v>
      </c>
      <c r="O5254" t="s">
        <v>27</v>
      </c>
      <c r="P5254">
        <v>0.04</v>
      </c>
      <c r="Q5254" s="2" t="b">
        <f>FALSE()</f>
        <v>0</v>
      </c>
      <c r="R5254">
        <v>0</v>
      </c>
    </row>
    <row r="5255" spans="1:18" x14ac:dyDescent="0.25">
      <c r="A5255">
        <v>205254</v>
      </c>
      <c r="B5255">
        <v>50509</v>
      </c>
      <c r="C5255" t="s">
        <v>34</v>
      </c>
      <c r="D5255">
        <v>4827.4799999999996</v>
      </c>
      <c r="E5255">
        <v>263</v>
      </c>
      <c r="F5255">
        <v>2</v>
      </c>
      <c r="G5255">
        <v>7</v>
      </c>
      <c r="H5255">
        <v>1</v>
      </c>
      <c r="I5255" t="s">
        <v>19</v>
      </c>
      <c r="J5255">
        <v>0</v>
      </c>
      <c r="K5255">
        <v>71</v>
      </c>
      <c r="L5255" t="s">
        <v>24</v>
      </c>
      <c r="M5255" t="s">
        <v>37</v>
      </c>
      <c r="N5255" t="s">
        <v>26</v>
      </c>
      <c r="O5255" t="s">
        <v>23</v>
      </c>
      <c r="P5255">
        <v>3.22</v>
      </c>
      <c r="Q5255" s="2" t="b">
        <f>FALSE()</f>
        <v>0</v>
      </c>
      <c r="R5255">
        <v>1</v>
      </c>
    </row>
    <row r="5256" spans="1:18" x14ac:dyDescent="0.25">
      <c r="A5256">
        <v>205255</v>
      </c>
      <c r="B5256">
        <v>52645</v>
      </c>
      <c r="C5256" t="s">
        <v>34</v>
      </c>
      <c r="D5256">
        <v>554.5</v>
      </c>
      <c r="E5256">
        <v>2253</v>
      </c>
      <c r="F5256">
        <v>0</v>
      </c>
      <c r="G5256">
        <v>4</v>
      </c>
      <c r="H5256">
        <v>1</v>
      </c>
      <c r="I5256" t="s">
        <v>33</v>
      </c>
      <c r="J5256">
        <v>0</v>
      </c>
      <c r="K5256">
        <v>75</v>
      </c>
      <c r="L5256" t="s">
        <v>24</v>
      </c>
      <c r="M5256" t="s">
        <v>35</v>
      </c>
      <c r="N5256" t="s">
        <v>30</v>
      </c>
      <c r="O5256" t="s">
        <v>27</v>
      </c>
      <c r="P5256">
        <v>0.64</v>
      </c>
      <c r="Q5256" s="2" t="b">
        <f>FALSE()</f>
        <v>0</v>
      </c>
      <c r="R5256">
        <v>0</v>
      </c>
    </row>
    <row r="5257" spans="1:18" x14ac:dyDescent="0.25">
      <c r="A5257">
        <v>205256</v>
      </c>
      <c r="B5257">
        <v>52074</v>
      </c>
      <c r="C5257" t="s">
        <v>34</v>
      </c>
      <c r="D5257">
        <v>2931.79</v>
      </c>
      <c r="E5257">
        <v>922</v>
      </c>
      <c r="F5257">
        <v>1</v>
      </c>
      <c r="G5257">
        <v>3</v>
      </c>
      <c r="H5257">
        <v>1</v>
      </c>
      <c r="I5257" t="s">
        <v>19</v>
      </c>
      <c r="J5257">
        <v>0</v>
      </c>
      <c r="K5257">
        <v>33</v>
      </c>
      <c r="L5257" t="s">
        <v>24</v>
      </c>
      <c r="M5257" t="s">
        <v>37</v>
      </c>
      <c r="N5257" t="s">
        <v>22</v>
      </c>
      <c r="O5257" t="s">
        <v>36</v>
      </c>
      <c r="P5257">
        <v>2.5299999999999998</v>
      </c>
      <c r="Q5257" s="2" t="b">
        <f>FALSE()</f>
        <v>0</v>
      </c>
      <c r="R5257">
        <v>0</v>
      </c>
    </row>
    <row r="5258" spans="1:18" x14ac:dyDescent="0.25">
      <c r="A5258">
        <v>205257</v>
      </c>
      <c r="B5258">
        <v>50472</v>
      </c>
      <c r="C5258" t="s">
        <v>34</v>
      </c>
      <c r="D5258">
        <v>1007.43</v>
      </c>
      <c r="E5258">
        <v>2439</v>
      </c>
      <c r="F5258">
        <v>0</v>
      </c>
      <c r="G5258">
        <v>4</v>
      </c>
      <c r="H5258">
        <v>0</v>
      </c>
      <c r="I5258" t="s">
        <v>19</v>
      </c>
      <c r="J5258">
        <v>0</v>
      </c>
      <c r="K5258">
        <v>49</v>
      </c>
      <c r="L5258" t="s">
        <v>20</v>
      </c>
      <c r="M5258" t="s">
        <v>29</v>
      </c>
      <c r="N5258" t="s">
        <v>26</v>
      </c>
      <c r="O5258" t="s">
        <v>23</v>
      </c>
      <c r="P5258">
        <v>0.67</v>
      </c>
      <c r="Q5258" s="2" t="b">
        <f>FALSE()</f>
        <v>0</v>
      </c>
      <c r="R5258">
        <v>0</v>
      </c>
    </row>
    <row r="5259" spans="1:18" x14ac:dyDescent="0.25">
      <c r="A5259">
        <v>205258</v>
      </c>
      <c r="B5259">
        <v>50322</v>
      </c>
      <c r="C5259" t="s">
        <v>28</v>
      </c>
      <c r="D5259">
        <v>3059.29</v>
      </c>
      <c r="E5259">
        <v>2645</v>
      </c>
      <c r="F5259">
        <v>1</v>
      </c>
      <c r="G5259">
        <v>1</v>
      </c>
      <c r="H5259">
        <v>0</v>
      </c>
      <c r="I5259" t="s">
        <v>32</v>
      </c>
      <c r="J5259">
        <v>1</v>
      </c>
      <c r="K5259">
        <v>50</v>
      </c>
      <c r="L5259" t="s">
        <v>20</v>
      </c>
      <c r="M5259" t="s">
        <v>25</v>
      </c>
      <c r="N5259" t="s">
        <v>22</v>
      </c>
      <c r="O5259" t="s">
        <v>36</v>
      </c>
      <c r="P5259">
        <v>1.06</v>
      </c>
      <c r="Q5259" s="2" t="b">
        <f>FALSE()</f>
        <v>0</v>
      </c>
      <c r="R5259">
        <v>0</v>
      </c>
    </row>
    <row r="5260" spans="1:18" x14ac:dyDescent="0.25">
      <c r="A5260">
        <v>205259</v>
      </c>
      <c r="B5260">
        <v>51156</v>
      </c>
      <c r="C5260" t="s">
        <v>18</v>
      </c>
      <c r="D5260">
        <v>4241.1099999999997</v>
      </c>
      <c r="E5260">
        <v>915</v>
      </c>
      <c r="F5260">
        <v>1</v>
      </c>
      <c r="G5260">
        <v>3</v>
      </c>
      <c r="H5260">
        <v>0</v>
      </c>
      <c r="I5260" t="s">
        <v>33</v>
      </c>
      <c r="J5260">
        <v>0</v>
      </c>
      <c r="K5260">
        <v>52</v>
      </c>
      <c r="L5260" t="s">
        <v>24</v>
      </c>
      <c r="M5260" t="s">
        <v>29</v>
      </c>
      <c r="N5260" t="s">
        <v>22</v>
      </c>
      <c r="O5260" t="s">
        <v>23</v>
      </c>
      <c r="P5260">
        <v>0.16</v>
      </c>
      <c r="Q5260" s="2" t="b">
        <f>FALSE()</f>
        <v>0</v>
      </c>
      <c r="R5260">
        <v>1</v>
      </c>
    </row>
    <row r="5261" spans="1:18" x14ac:dyDescent="0.25">
      <c r="A5261">
        <v>205260</v>
      </c>
      <c r="B5261">
        <v>54929</v>
      </c>
      <c r="C5261" t="s">
        <v>18</v>
      </c>
      <c r="D5261">
        <v>3846.06</v>
      </c>
      <c r="E5261">
        <v>3403</v>
      </c>
      <c r="F5261">
        <v>1</v>
      </c>
      <c r="G5261">
        <v>5</v>
      </c>
      <c r="H5261">
        <v>1</v>
      </c>
      <c r="I5261" t="s">
        <v>32</v>
      </c>
      <c r="J5261">
        <v>0</v>
      </c>
      <c r="K5261">
        <v>82</v>
      </c>
      <c r="L5261" t="s">
        <v>24</v>
      </c>
      <c r="M5261" t="s">
        <v>21</v>
      </c>
      <c r="N5261" t="s">
        <v>22</v>
      </c>
      <c r="O5261" t="s">
        <v>36</v>
      </c>
      <c r="P5261">
        <v>0.57999999999999996</v>
      </c>
      <c r="Q5261" s="2" t="b">
        <f>FALSE()</f>
        <v>0</v>
      </c>
      <c r="R5261">
        <v>1</v>
      </c>
    </row>
    <row r="5262" spans="1:18" x14ac:dyDescent="0.25">
      <c r="A5262">
        <v>205261</v>
      </c>
      <c r="B5262">
        <v>54411</v>
      </c>
      <c r="C5262" t="s">
        <v>18</v>
      </c>
      <c r="D5262">
        <v>1290.1400000000001</v>
      </c>
      <c r="E5262">
        <v>2950</v>
      </c>
      <c r="F5262">
        <v>1</v>
      </c>
      <c r="G5262">
        <v>6</v>
      </c>
      <c r="H5262">
        <v>0</v>
      </c>
      <c r="I5262" t="s">
        <v>33</v>
      </c>
      <c r="J5262">
        <v>0</v>
      </c>
      <c r="K5262">
        <v>55</v>
      </c>
      <c r="L5262" t="s">
        <v>20</v>
      </c>
      <c r="M5262" t="s">
        <v>21</v>
      </c>
      <c r="N5262" t="s">
        <v>30</v>
      </c>
      <c r="O5262" t="s">
        <v>27</v>
      </c>
      <c r="P5262">
        <v>2.5</v>
      </c>
      <c r="Q5262" s="2" t="b">
        <f>FALSE()</f>
        <v>0</v>
      </c>
      <c r="R5262">
        <v>0</v>
      </c>
    </row>
    <row r="5263" spans="1:18" x14ac:dyDescent="0.25">
      <c r="A5263">
        <v>205262</v>
      </c>
      <c r="B5263">
        <v>55309</v>
      </c>
      <c r="C5263" t="s">
        <v>18</v>
      </c>
      <c r="D5263">
        <v>675.39</v>
      </c>
      <c r="E5263">
        <v>895</v>
      </c>
      <c r="F5263">
        <v>1</v>
      </c>
      <c r="G5263">
        <v>5</v>
      </c>
      <c r="H5263">
        <v>0</v>
      </c>
      <c r="I5263" t="s">
        <v>32</v>
      </c>
      <c r="J5263">
        <v>0</v>
      </c>
      <c r="K5263">
        <v>30</v>
      </c>
      <c r="L5263" t="s">
        <v>20</v>
      </c>
      <c r="M5263" t="s">
        <v>35</v>
      </c>
      <c r="N5263" t="s">
        <v>22</v>
      </c>
      <c r="O5263" t="s">
        <v>36</v>
      </c>
      <c r="P5263">
        <v>9.99</v>
      </c>
      <c r="Q5263" s="2" t="b">
        <f>FALSE()</f>
        <v>0</v>
      </c>
      <c r="R5263">
        <v>0</v>
      </c>
    </row>
    <row r="5264" spans="1:18" x14ac:dyDescent="0.25">
      <c r="A5264">
        <v>205263</v>
      </c>
      <c r="B5264">
        <v>52788</v>
      </c>
      <c r="C5264" t="s">
        <v>28</v>
      </c>
      <c r="D5264">
        <v>1824.19</v>
      </c>
      <c r="E5264">
        <v>581</v>
      </c>
      <c r="F5264">
        <v>2</v>
      </c>
      <c r="G5264">
        <v>3</v>
      </c>
      <c r="H5264">
        <v>1</v>
      </c>
      <c r="I5264" t="s">
        <v>19</v>
      </c>
      <c r="J5264">
        <v>0</v>
      </c>
      <c r="K5264">
        <v>79</v>
      </c>
      <c r="L5264" t="s">
        <v>24</v>
      </c>
      <c r="M5264" t="s">
        <v>25</v>
      </c>
      <c r="N5264" t="s">
        <v>22</v>
      </c>
      <c r="O5264" t="s">
        <v>27</v>
      </c>
      <c r="P5264">
        <v>0.71</v>
      </c>
      <c r="Q5264" s="2" t="b">
        <f>FALSE()</f>
        <v>0</v>
      </c>
      <c r="R5264">
        <v>0</v>
      </c>
    </row>
    <row r="5265" spans="1:18" x14ac:dyDescent="0.25">
      <c r="A5265">
        <v>205264</v>
      </c>
      <c r="B5265">
        <v>53141</v>
      </c>
      <c r="C5265" t="s">
        <v>28</v>
      </c>
      <c r="D5265">
        <v>5258.72</v>
      </c>
      <c r="E5265">
        <v>2130</v>
      </c>
      <c r="F5265">
        <v>0</v>
      </c>
      <c r="G5265">
        <v>6</v>
      </c>
      <c r="H5265">
        <v>0</v>
      </c>
      <c r="I5265" t="s">
        <v>19</v>
      </c>
      <c r="J5265">
        <v>0</v>
      </c>
      <c r="K5265">
        <v>66</v>
      </c>
      <c r="L5265" t="s">
        <v>38</v>
      </c>
      <c r="M5265" t="s">
        <v>21</v>
      </c>
      <c r="N5265" t="s">
        <v>22</v>
      </c>
      <c r="O5265" t="s">
        <v>27</v>
      </c>
      <c r="P5265">
        <v>4.41</v>
      </c>
      <c r="Q5265" s="2" t="b">
        <f>FALSE()</f>
        <v>0</v>
      </c>
      <c r="R5265">
        <v>1</v>
      </c>
    </row>
    <row r="5266" spans="1:18" x14ac:dyDescent="0.25">
      <c r="A5266">
        <v>205265</v>
      </c>
      <c r="B5266">
        <v>55732</v>
      </c>
      <c r="C5266" t="s">
        <v>18</v>
      </c>
      <c r="D5266">
        <v>2730.51</v>
      </c>
      <c r="E5266">
        <v>3585</v>
      </c>
      <c r="F5266">
        <v>3</v>
      </c>
      <c r="G5266">
        <v>5</v>
      </c>
      <c r="H5266">
        <v>1</v>
      </c>
      <c r="I5266" t="s">
        <v>33</v>
      </c>
      <c r="J5266">
        <v>1</v>
      </c>
      <c r="K5266">
        <v>34</v>
      </c>
      <c r="L5266" t="s">
        <v>24</v>
      </c>
      <c r="M5266" t="s">
        <v>37</v>
      </c>
      <c r="N5266" t="s">
        <v>22</v>
      </c>
      <c r="O5266" t="s">
        <v>27</v>
      </c>
      <c r="P5266">
        <v>2.5299999999999998</v>
      </c>
      <c r="Q5266" s="2" t="b">
        <f>FALSE()</f>
        <v>0</v>
      </c>
      <c r="R5266">
        <v>1</v>
      </c>
    </row>
    <row r="5267" spans="1:18" x14ac:dyDescent="0.25">
      <c r="A5267">
        <v>205266</v>
      </c>
      <c r="B5267">
        <v>51686</v>
      </c>
      <c r="C5267" t="s">
        <v>18</v>
      </c>
      <c r="D5267">
        <v>2968.37</v>
      </c>
      <c r="E5267">
        <v>3107</v>
      </c>
      <c r="F5267">
        <v>3</v>
      </c>
      <c r="G5267">
        <v>1</v>
      </c>
      <c r="H5267">
        <v>0</v>
      </c>
      <c r="I5267" t="s">
        <v>32</v>
      </c>
      <c r="J5267">
        <v>1</v>
      </c>
      <c r="K5267">
        <v>39</v>
      </c>
      <c r="L5267" t="s">
        <v>24</v>
      </c>
      <c r="M5267" t="s">
        <v>37</v>
      </c>
      <c r="N5267" t="s">
        <v>22</v>
      </c>
      <c r="O5267" t="s">
        <v>36</v>
      </c>
      <c r="P5267">
        <v>0.67</v>
      </c>
      <c r="Q5267" s="2" t="b">
        <f>FALSE()</f>
        <v>0</v>
      </c>
      <c r="R5267">
        <v>1</v>
      </c>
    </row>
    <row r="5268" spans="1:18" x14ac:dyDescent="0.25">
      <c r="A5268">
        <v>205267</v>
      </c>
      <c r="B5268">
        <v>50734</v>
      </c>
      <c r="C5268" t="s">
        <v>18</v>
      </c>
      <c r="D5268">
        <v>7722.07</v>
      </c>
      <c r="E5268">
        <v>1155</v>
      </c>
      <c r="F5268">
        <v>1</v>
      </c>
      <c r="G5268">
        <v>4</v>
      </c>
      <c r="H5268">
        <v>0</v>
      </c>
      <c r="I5268" t="s">
        <v>33</v>
      </c>
      <c r="J5268">
        <v>0</v>
      </c>
      <c r="K5268">
        <v>81</v>
      </c>
      <c r="L5268" t="s">
        <v>20</v>
      </c>
      <c r="M5268" t="s">
        <v>37</v>
      </c>
      <c r="N5268" t="s">
        <v>30</v>
      </c>
      <c r="O5268" t="s">
        <v>27</v>
      </c>
      <c r="P5268">
        <v>3.28</v>
      </c>
      <c r="Q5268" s="2" t="b">
        <f>TRUE()</f>
        <v>1</v>
      </c>
      <c r="R5268">
        <v>1</v>
      </c>
    </row>
    <row r="5269" spans="1:18" x14ac:dyDescent="0.25">
      <c r="A5269">
        <v>205268</v>
      </c>
      <c r="B5269">
        <v>52013</v>
      </c>
      <c r="C5269" t="s">
        <v>28</v>
      </c>
      <c r="D5269">
        <v>1759.54</v>
      </c>
      <c r="E5269">
        <v>3389</v>
      </c>
      <c r="F5269">
        <v>2</v>
      </c>
      <c r="G5269">
        <v>6</v>
      </c>
      <c r="H5269">
        <v>0</v>
      </c>
      <c r="I5269" t="s">
        <v>32</v>
      </c>
      <c r="J5269">
        <v>0</v>
      </c>
      <c r="K5269">
        <v>28</v>
      </c>
      <c r="L5269" t="s">
        <v>20</v>
      </c>
      <c r="M5269" t="s">
        <v>35</v>
      </c>
      <c r="N5269" t="s">
        <v>30</v>
      </c>
      <c r="O5269" t="s">
        <v>36</v>
      </c>
      <c r="P5269">
        <v>1.39</v>
      </c>
      <c r="Q5269" s="2" t="b">
        <f>FALSE()</f>
        <v>0</v>
      </c>
      <c r="R5269">
        <v>0</v>
      </c>
    </row>
    <row r="5270" spans="1:18" x14ac:dyDescent="0.25">
      <c r="A5270">
        <v>205269</v>
      </c>
      <c r="B5270">
        <v>55744</v>
      </c>
      <c r="C5270" t="s">
        <v>18</v>
      </c>
      <c r="D5270">
        <v>1174.76</v>
      </c>
      <c r="E5270">
        <v>1485</v>
      </c>
      <c r="F5270">
        <v>1</v>
      </c>
      <c r="G5270">
        <v>4</v>
      </c>
      <c r="H5270">
        <v>0</v>
      </c>
      <c r="I5270" t="s">
        <v>32</v>
      </c>
      <c r="J5270">
        <v>1</v>
      </c>
      <c r="K5270">
        <v>32</v>
      </c>
      <c r="L5270" t="s">
        <v>24</v>
      </c>
      <c r="M5270" t="s">
        <v>29</v>
      </c>
      <c r="N5270" t="s">
        <v>26</v>
      </c>
      <c r="O5270" t="s">
        <v>27</v>
      </c>
      <c r="P5270">
        <v>2.5499999999999998</v>
      </c>
      <c r="Q5270" s="2" t="b">
        <f>FALSE()</f>
        <v>0</v>
      </c>
      <c r="R5270">
        <v>0</v>
      </c>
    </row>
    <row r="5271" spans="1:18" x14ac:dyDescent="0.25">
      <c r="A5271">
        <v>205270</v>
      </c>
      <c r="B5271">
        <v>55829</v>
      </c>
      <c r="C5271" t="s">
        <v>34</v>
      </c>
      <c r="D5271">
        <v>5753.42</v>
      </c>
      <c r="E5271">
        <v>1620</v>
      </c>
      <c r="F5271">
        <v>1</v>
      </c>
      <c r="G5271">
        <v>8</v>
      </c>
      <c r="H5271">
        <v>0</v>
      </c>
      <c r="I5271" t="s">
        <v>33</v>
      </c>
      <c r="J5271">
        <v>1</v>
      </c>
      <c r="K5271">
        <v>70</v>
      </c>
      <c r="L5271" t="s">
        <v>20</v>
      </c>
      <c r="M5271" t="s">
        <v>31</v>
      </c>
      <c r="N5271" t="s">
        <v>26</v>
      </c>
      <c r="O5271" t="s">
        <v>36</v>
      </c>
      <c r="P5271">
        <v>1.43</v>
      </c>
      <c r="Q5271" s="2" t="b">
        <f>FALSE()</f>
        <v>0</v>
      </c>
      <c r="R5271">
        <v>1</v>
      </c>
    </row>
    <row r="5272" spans="1:18" x14ac:dyDescent="0.25">
      <c r="A5272">
        <v>205271</v>
      </c>
      <c r="B5272">
        <v>52707</v>
      </c>
      <c r="C5272" t="s">
        <v>34</v>
      </c>
      <c r="D5272">
        <v>1228.5999999999999</v>
      </c>
      <c r="E5272">
        <v>191</v>
      </c>
      <c r="F5272">
        <v>4</v>
      </c>
      <c r="G5272">
        <v>5</v>
      </c>
      <c r="H5272">
        <v>0</v>
      </c>
      <c r="I5272" t="s">
        <v>33</v>
      </c>
      <c r="J5272">
        <v>0</v>
      </c>
      <c r="K5272">
        <v>30</v>
      </c>
      <c r="L5272" t="s">
        <v>20</v>
      </c>
      <c r="M5272" t="s">
        <v>29</v>
      </c>
      <c r="N5272" t="s">
        <v>26</v>
      </c>
      <c r="O5272" t="s">
        <v>23</v>
      </c>
      <c r="P5272">
        <v>0.7</v>
      </c>
      <c r="Q5272" s="2" t="b">
        <f>FALSE()</f>
        <v>0</v>
      </c>
      <c r="R5272">
        <v>1</v>
      </c>
    </row>
    <row r="5273" spans="1:18" x14ac:dyDescent="0.25">
      <c r="A5273">
        <v>205272</v>
      </c>
      <c r="B5273">
        <v>54014</v>
      </c>
      <c r="C5273" t="s">
        <v>18</v>
      </c>
      <c r="D5273">
        <v>3095.7</v>
      </c>
      <c r="E5273">
        <v>2688</v>
      </c>
      <c r="F5273">
        <v>0</v>
      </c>
      <c r="G5273">
        <v>3</v>
      </c>
      <c r="H5273">
        <v>0</v>
      </c>
      <c r="I5273" t="s">
        <v>19</v>
      </c>
      <c r="J5273">
        <v>1</v>
      </c>
      <c r="K5273">
        <v>76</v>
      </c>
      <c r="L5273" t="s">
        <v>20</v>
      </c>
      <c r="M5273" t="s">
        <v>35</v>
      </c>
      <c r="N5273" t="s">
        <v>22</v>
      </c>
      <c r="O5273" t="s">
        <v>23</v>
      </c>
      <c r="P5273">
        <v>0.8</v>
      </c>
      <c r="Q5273" s="2" t="b">
        <f>FALSE()</f>
        <v>0</v>
      </c>
      <c r="R5273">
        <v>0</v>
      </c>
    </row>
    <row r="5274" spans="1:18" x14ac:dyDescent="0.25">
      <c r="A5274">
        <v>205273</v>
      </c>
      <c r="B5274">
        <v>55377</v>
      </c>
      <c r="C5274" t="s">
        <v>18</v>
      </c>
      <c r="D5274">
        <v>3711.33</v>
      </c>
      <c r="E5274">
        <v>494</v>
      </c>
      <c r="F5274">
        <v>2</v>
      </c>
      <c r="G5274">
        <v>5</v>
      </c>
      <c r="H5274">
        <v>1</v>
      </c>
      <c r="I5274" t="s">
        <v>33</v>
      </c>
      <c r="J5274">
        <v>0</v>
      </c>
      <c r="K5274">
        <v>25</v>
      </c>
      <c r="L5274" t="s">
        <v>24</v>
      </c>
      <c r="M5274" t="s">
        <v>29</v>
      </c>
      <c r="N5274" t="s">
        <v>22</v>
      </c>
      <c r="O5274" t="s">
        <v>27</v>
      </c>
      <c r="P5274">
        <v>2.16</v>
      </c>
      <c r="Q5274" s="2" t="b">
        <f>FALSE()</f>
        <v>0</v>
      </c>
      <c r="R5274">
        <v>1</v>
      </c>
    </row>
    <row r="5275" spans="1:18" x14ac:dyDescent="0.25">
      <c r="A5275">
        <v>205274</v>
      </c>
      <c r="B5275">
        <v>54234</v>
      </c>
      <c r="C5275" t="s">
        <v>34</v>
      </c>
      <c r="D5275">
        <v>2993.42</v>
      </c>
      <c r="E5275">
        <v>1505</v>
      </c>
      <c r="F5275">
        <v>0</v>
      </c>
      <c r="G5275">
        <v>5</v>
      </c>
      <c r="H5275">
        <v>1</v>
      </c>
      <c r="I5275" t="s">
        <v>19</v>
      </c>
      <c r="J5275">
        <v>0</v>
      </c>
      <c r="K5275">
        <v>38</v>
      </c>
      <c r="L5275" t="s">
        <v>20</v>
      </c>
      <c r="M5275" t="s">
        <v>25</v>
      </c>
      <c r="N5275" t="s">
        <v>26</v>
      </c>
      <c r="O5275" t="s">
        <v>23</v>
      </c>
      <c r="P5275">
        <v>2.61</v>
      </c>
      <c r="Q5275" s="2" t="b">
        <f>FALSE()</f>
        <v>0</v>
      </c>
      <c r="R5275">
        <v>0</v>
      </c>
    </row>
    <row r="5276" spans="1:18" x14ac:dyDescent="0.25">
      <c r="A5276">
        <v>205275</v>
      </c>
      <c r="B5276">
        <v>54667</v>
      </c>
      <c r="C5276" t="s">
        <v>18</v>
      </c>
      <c r="D5276">
        <v>1213.95</v>
      </c>
      <c r="E5276">
        <v>1206</v>
      </c>
      <c r="F5276">
        <v>2</v>
      </c>
      <c r="G5276">
        <v>4</v>
      </c>
      <c r="H5276">
        <v>0</v>
      </c>
      <c r="I5276" t="s">
        <v>33</v>
      </c>
      <c r="J5276">
        <v>0</v>
      </c>
      <c r="K5276">
        <v>21</v>
      </c>
      <c r="L5276" t="s">
        <v>24</v>
      </c>
      <c r="M5276" t="s">
        <v>37</v>
      </c>
      <c r="N5276" t="s">
        <v>26</v>
      </c>
      <c r="O5276" t="s">
        <v>36</v>
      </c>
      <c r="P5276">
        <v>0.59</v>
      </c>
      <c r="Q5276" s="2" t="b">
        <f>FALSE()</f>
        <v>0</v>
      </c>
      <c r="R5276">
        <v>0</v>
      </c>
    </row>
    <row r="5277" spans="1:18" x14ac:dyDescent="0.25">
      <c r="A5277">
        <v>205276</v>
      </c>
      <c r="B5277">
        <v>50062</v>
      </c>
      <c r="C5277" t="s">
        <v>28</v>
      </c>
      <c r="D5277">
        <v>1754.99</v>
      </c>
      <c r="E5277">
        <v>1688</v>
      </c>
      <c r="F5277">
        <v>2</v>
      </c>
      <c r="G5277">
        <v>2</v>
      </c>
      <c r="H5277">
        <v>0</v>
      </c>
      <c r="I5277" t="s">
        <v>32</v>
      </c>
      <c r="J5277">
        <v>0</v>
      </c>
      <c r="K5277">
        <v>58</v>
      </c>
      <c r="L5277" t="s">
        <v>20</v>
      </c>
      <c r="M5277" t="s">
        <v>29</v>
      </c>
      <c r="N5277" t="s">
        <v>30</v>
      </c>
      <c r="O5277" t="s">
        <v>27</v>
      </c>
      <c r="P5277">
        <v>1.61</v>
      </c>
      <c r="Q5277" s="2" t="b">
        <f>FALSE()</f>
        <v>0</v>
      </c>
      <c r="R5277">
        <v>0</v>
      </c>
    </row>
    <row r="5278" spans="1:18" x14ac:dyDescent="0.25">
      <c r="A5278">
        <v>205277</v>
      </c>
      <c r="B5278">
        <v>54302</v>
      </c>
      <c r="C5278" t="s">
        <v>34</v>
      </c>
      <c r="D5278">
        <v>1734.91</v>
      </c>
      <c r="E5278">
        <v>2383</v>
      </c>
      <c r="F5278">
        <v>0</v>
      </c>
      <c r="G5278">
        <v>3</v>
      </c>
      <c r="H5278">
        <v>0</v>
      </c>
      <c r="I5278" t="s">
        <v>19</v>
      </c>
      <c r="J5278">
        <v>0</v>
      </c>
      <c r="K5278">
        <v>20</v>
      </c>
      <c r="L5278" t="s">
        <v>20</v>
      </c>
      <c r="M5278" t="s">
        <v>29</v>
      </c>
      <c r="N5278" t="s">
        <v>30</v>
      </c>
      <c r="O5278" t="s">
        <v>27</v>
      </c>
      <c r="P5278">
        <v>2.77</v>
      </c>
      <c r="Q5278" s="2" t="b">
        <f>FALSE()</f>
        <v>0</v>
      </c>
      <c r="R5278">
        <v>0</v>
      </c>
    </row>
    <row r="5279" spans="1:18" x14ac:dyDescent="0.25">
      <c r="A5279">
        <v>205278</v>
      </c>
      <c r="B5279">
        <v>55667</v>
      </c>
      <c r="C5279" t="s">
        <v>18</v>
      </c>
      <c r="D5279">
        <v>448.22</v>
      </c>
      <c r="E5279">
        <v>2429</v>
      </c>
      <c r="F5279">
        <v>0</v>
      </c>
      <c r="G5279">
        <v>2</v>
      </c>
      <c r="H5279">
        <v>0</v>
      </c>
      <c r="I5279" t="s">
        <v>33</v>
      </c>
      <c r="J5279">
        <v>1</v>
      </c>
      <c r="K5279">
        <v>28</v>
      </c>
      <c r="L5279" t="s">
        <v>20</v>
      </c>
      <c r="M5279" t="s">
        <v>31</v>
      </c>
      <c r="N5279" t="s">
        <v>30</v>
      </c>
      <c r="O5279" t="s">
        <v>27</v>
      </c>
      <c r="P5279">
        <v>2.63</v>
      </c>
      <c r="Q5279" s="2" t="b">
        <f>FALSE()</f>
        <v>0</v>
      </c>
      <c r="R5279">
        <v>0</v>
      </c>
    </row>
    <row r="5280" spans="1:18" x14ac:dyDescent="0.25">
      <c r="A5280">
        <v>205279</v>
      </c>
      <c r="B5280">
        <v>51195</v>
      </c>
      <c r="C5280" t="s">
        <v>18</v>
      </c>
      <c r="D5280">
        <v>1073.1099999999999</v>
      </c>
      <c r="E5280">
        <v>1271</v>
      </c>
      <c r="F5280">
        <v>0</v>
      </c>
      <c r="G5280">
        <v>2</v>
      </c>
      <c r="H5280">
        <v>0</v>
      </c>
      <c r="I5280" t="s">
        <v>19</v>
      </c>
      <c r="J5280">
        <v>1</v>
      </c>
      <c r="K5280">
        <v>79</v>
      </c>
      <c r="L5280" t="s">
        <v>20</v>
      </c>
      <c r="M5280" t="s">
        <v>29</v>
      </c>
      <c r="N5280" t="s">
        <v>26</v>
      </c>
      <c r="O5280" t="s">
        <v>23</v>
      </c>
      <c r="P5280">
        <v>0.7</v>
      </c>
      <c r="Q5280" s="2" t="b">
        <f>FALSE()</f>
        <v>0</v>
      </c>
      <c r="R5280">
        <v>0</v>
      </c>
    </row>
    <row r="5281" spans="1:18" x14ac:dyDescent="0.25">
      <c r="A5281">
        <v>205280</v>
      </c>
      <c r="B5281">
        <v>55451</v>
      </c>
      <c r="C5281" t="s">
        <v>18</v>
      </c>
      <c r="D5281">
        <v>2883.91</v>
      </c>
      <c r="E5281">
        <v>476</v>
      </c>
      <c r="F5281">
        <v>2</v>
      </c>
      <c r="G5281">
        <v>4</v>
      </c>
      <c r="H5281">
        <v>0</v>
      </c>
      <c r="I5281" t="s">
        <v>19</v>
      </c>
      <c r="J5281">
        <v>0</v>
      </c>
      <c r="K5281">
        <v>70</v>
      </c>
      <c r="L5281" t="s">
        <v>20</v>
      </c>
      <c r="M5281" t="s">
        <v>21</v>
      </c>
      <c r="N5281" t="s">
        <v>22</v>
      </c>
      <c r="O5281" t="s">
        <v>27</v>
      </c>
      <c r="P5281">
        <v>1.54</v>
      </c>
      <c r="Q5281" s="2" t="b">
        <f>FALSE()</f>
        <v>0</v>
      </c>
      <c r="R5281">
        <v>0</v>
      </c>
    </row>
    <row r="5282" spans="1:18" x14ac:dyDescent="0.25">
      <c r="A5282">
        <v>205281</v>
      </c>
      <c r="B5282">
        <v>52686</v>
      </c>
      <c r="C5282" t="s">
        <v>18</v>
      </c>
      <c r="D5282">
        <v>1314.31</v>
      </c>
      <c r="E5282">
        <v>1358</v>
      </c>
      <c r="F5282">
        <v>5</v>
      </c>
      <c r="G5282">
        <v>10</v>
      </c>
      <c r="H5282">
        <v>1</v>
      </c>
      <c r="I5282" t="s">
        <v>33</v>
      </c>
      <c r="J5282">
        <v>1</v>
      </c>
      <c r="K5282">
        <v>27</v>
      </c>
      <c r="L5282" t="s">
        <v>20</v>
      </c>
      <c r="M5282" t="s">
        <v>25</v>
      </c>
      <c r="N5282" t="s">
        <v>30</v>
      </c>
      <c r="O5282" t="s">
        <v>27</v>
      </c>
      <c r="P5282">
        <v>4.38</v>
      </c>
      <c r="Q5282" s="2" t="b">
        <f>FALSE()</f>
        <v>0</v>
      </c>
      <c r="R5282">
        <v>1</v>
      </c>
    </row>
    <row r="5283" spans="1:18" x14ac:dyDescent="0.25">
      <c r="A5283">
        <v>205282</v>
      </c>
      <c r="B5283">
        <v>54658</v>
      </c>
      <c r="C5283" t="s">
        <v>18</v>
      </c>
      <c r="D5283">
        <v>6670.33</v>
      </c>
      <c r="E5283">
        <v>1878</v>
      </c>
      <c r="F5283">
        <v>3</v>
      </c>
      <c r="G5283">
        <v>6</v>
      </c>
      <c r="H5283">
        <v>0</v>
      </c>
      <c r="I5283" t="s">
        <v>19</v>
      </c>
      <c r="J5283">
        <v>0</v>
      </c>
      <c r="K5283">
        <v>65</v>
      </c>
      <c r="L5283" t="s">
        <v>24</v>
      </c>
      <c r="M5283" t="s">
        <v>21</v>
      </c>
      <c r="N5283" t="s">
        <v>26</v>
      </c>
      <c r="O5283" t="s">
        <v>36</v>
      </c>
      <c r="P5283">
        <v>1.1399999999999999</v>
      </c>
      <c r="Q5283" s="2" t="b">
        <f>FALSE()</f>
        <v>0</v>
      </c>
      <c r="R5283">
        <v>1</v>
      </c>
    </row>
    <row r="5284" spans="1:18" x14ac:dyDescent="0.25">
      <c r="A5284">
        <v>205283</v>
      </c>
      <c r="B5284">
        <v>53350</v>
      </c>
      <c r="C5284" t="s">
        <v>18</v>
      </c>
      <c r="D5284">
        <v>4334.1499999999996</v>
      </c>
      <c r="E5284">
        <v>929</v>
      </c>
      <c r="F5284">
        <v>0</v>
      </c>
      <c r="G5284">
        <v>3</v>
      </c>
      <c r="H5284">
        <v>1</v>
      </c>
      <c r="I5284" t="s">
        <v>19</v>
      </c>
      <c r="J5284">
        <v>1</v>
      </c>
      <c r="K5284">
        <v>19</v>
      </c>
      <c r="L5284" t="s">
        <v>20</v>
      </c>
      <c r="M5284" t="s">
        <v>25</v>
      </c>
      <c r="N5284" t="s">
        <v>22</v>
      </c>
      <c r="O5284" t="s">
        <v>27</v>
      </c>
      <c r="P5284">
        <v>0.17</v>
      </c>
      <c r="Q5284" s="2" t="b">
        <f>FALSE()</f>
        <v>0</v>
      </c>
      <c r="R5284">
        <v>1</v>
      </c>
    </row>
    <row r="5285" spans="1:18" x14ac:dyDescent="0.25">
      <c r="A5285">
        <v>205284</v>
      </c>
      <c r="B5285">
        <v>55601</v>
      </c>
      <c r="C5285" t="s">
        <v>18</v>
      </c>
      <c r="D5285">
        <v>1874.79</v>
      </c>
      <c r="E5285">
        <v>570</v>
      </c>
      <c r="F5285">
        <v>2</v>
      </c>
      <c r="G5285">
        <v>4</v>
      </c>
      <c r="H5285">
        <v>0</v>
      </c>
      <c r="I5285" t="s">
        <v>33</v>
      </c>
      <c r="J5285">
        <v>0</v>
      </c>
      <c r="K5285">
        <v>27</v>
      </c>
      <c r="L5285" t="s">
        <v>20</v>
      </c>
      <c r="M5285" t="s">
        <v>25</v>
      </c>
      <c r="N5285" t="s">
        <v>22</v>
      </c>
      <c r="O5285" t="s">
        <v>23</v>
      </c>
      <c r="P5285">
        <v>3.86</v>
      </c>
      <c r="Q5285" s="2" t="b">
        <f>FALSE()</f>
        <v>0</v>
      </c>
      <c r="R5285">
        <v>0</v>
      </c>
    </row>
    <row r="5286" spans="1:18" x14ac:dyDescent="0.25">
      <c r="A5286">
        <v>205285</v>
      </c>
      <c r="B5286">
        <v>51497</v>
      </c>
      <c r="C5286" t="s">
        <v>34</v>
      </c>
      <c r="D5286">
        <v>747.64</v>
      </c>
      <c r="E5286">
        <v>99</v>
      </c>
      <c r="F5286">
        <v>0</v>
      </c>
      <c r="G5286">
        <v>4</v>
      </c>
      <c r="H5286">
        <v>1</v>
      </c>
      <c r="I5286" t="s">
        <v>33</v>
      </c>
      <c r="J5286">
        <v>0</v>
      </c>
      <c r="K5286">
        <v>55</v>
      </c>
      <c r="L5286" t="s">
        <v>24</v>
      </c>
      <c r="M5286" t="s">
        <v>31</v>
      </c>
      <c r="N5286" t="s">
        <v>26</v>
      </c>
      <c r="O5286" t="s">
        <v>23</v>
      </c>
      <c r="P5286">
        <v>0.13</v>
      </c>
      <c r="Q5286" s="2" t="b">
        <f>FALSE()</f>
        <v>0</v>
      </c>
      <c r="R5286">
        <v>0</v>
      </c>
    </row>
    <row r="5287" spans="1:18" x14ac:dyDescent="0.25">
      <c r="A5287">
        <v>205286</v>
      </c>
      <c r="B5287">
        <v>50436</v>
      </c>
      <c r="C5287" t="s">
        <v>18</v>
      </c>
      <c r="D5287">
        <v>915.55</v>
      </c>
      <c r="E5287">
        <v>2741</v>
      </c>
      <c r="F5287">
        <v>0</v>
      </c>
      <c r="G5287">
        <v>2</v>
      </c>
      <c r="H5287">
        <v>0</v>
      </c>
      <c r="I5287" t="s">
        <v>33</v>
      </c>
      <c r="J5287">
        <v>1</v>
      </c>
      <c r="K5287">
        <v>55</v>
      </c>
      <c r="L5287" t="s">
        <v>24</v>
      </c>
      <c r="M5287" t="s">
        <v>21</v>
      </c>
      <c r="N5287" t="s">
        <v>30</v>
      </c>
      <c r="O5287" t="s">
        <v>36</v>
      </c>
      <c r="P5287">
        <v>6.33</v>
      </c>
      <c r="Q5287" s="2" t="b">
        <f>FALSE()</f>
        <v>0</v>
      </c>
      <c r="R5287">
        <v>0</v>
      </c>
    </row>
    <row r="5288" spans="1:18" x14ac:dyDescent="0.25">
      <c r="A5288">
        <v>205287</v>
      </c>
      <c r="B5288">
        <v>53123</v>
      </c>
      <c r="C5288" t="s">
        <v>28</v>
      </c>
      <c r="D5288">
        <v>2353.2199999999998</v>
      </c>
      <c r="E5288">
        <v>3597</v>
      </c>
      <c r="F5288">
        <v>1</v>
      </c>
      <c r="G5288">
        <v>6</v>
      </c>
      <c r="H5288">
        <v>0</v>
      </c>
      <c r="I5288" t="s">
        <v>32</v>
      </c>
      <c r="J5288">
        <v>0</v>
      </c>
      <c r="K5288">
        <v>65</v>
      </c>
      <c r="L5288" t="s">
        <v>24</v>
      </c>
      <c r="M5288" t="s">
        <v>31</v>
      </c>
      <c r="N5288" t="s">
        <v>30</v>
      </c>
      <c r="O5288" t="s">
        <v>27</v>
      </c>
      <c r="P5288">
        <v>7.0000000000000007E-2</v>
      </c>
      <c r="Q5288" s="2" t="b">
        <f>FALSE()</f>
        <v>0</v>
      </c>
      <c r="R5288">
        <v>0</v>
      </c>
    </row>
    <row r="5289" spans="1:18" x14ac:dyDescent="0.25">
      <c r="A5289">
        <v>205288</v>
      </c>
      <c r="B5289">
        <v>53113</v>
      </c>
      <c r="C5289" t="s">
        <v>18</v>
      </c>
      <c r="D5289">
        <v>1256.79</v>
      </c>
      <c r="E5289">
        <v>1313</v>
      </c>
      <c r="F5289">
        <v>1</v>
      </c>
      <c r="G5289">
        <v>6</v>
      </c>
      <c r="H5289">
        <v>0</v>
      </c>
      <c r="I5289" t="s">
        <v>33</v>
      </c>
      <c r="J5289">
        <v>1</v>
      </c>
      <c r="K5289">
        <v>69</v>
      </c>
      <c r="L5289" t="s">
        <v>20</v>
      </c>
      <c r="M5289" t="s">
        <v>37</v>
      </c>
      <c r="N5289" t="s">
        <v>30</v>
      </c>
      <c r="O5289" t="s">
        <v>27</v>
      </c>
      <c r="P5289">
        <v>2.1</v>
      </c>
      <c r="Q5289" s="2" t="b">
        <f>FALSE()</f>
        <v>0</v>
      </c>
      <c r="R5289">
        <v>0</v>
      </c>
    </row>
    <row r="5290" spans="1:18" x14ac:dyDescent="0.25">
      <c r="A5290">
        <v>205289</v>
      </c>
      <c r="B5290">
        <v>55762</v>
      </c>
      <c r="C5290" t="s">
        <v>34</v>
      </c>
      <c r="D5290">
        <v>1752.83</v>
      </c>
      <c r="E5290">
        <v>1879</v>
      </c>
      <c r="F5290">
        <v>1</v>
      </c>
      <c r="G5290">
        <v>3</v>
      </c>
      <c r="H5290">
        <v>0</v>
      </c>
      <c r="I5290" t="s">
        <v>32</v>
      </c>
      <c r="J5290">
        <v>1</v>
      </c>
      <c r="K5290">
        <v>28</v>
      </c>
      <c r="L5290" t="s">
        <v>24</v>
      </c>
      <c r="M5290" t="s">
        <v>29</v>
      </c>
      <c r="N5290" t="s">
        <v>22</v>
      </c>
      <c r="O5290" t="s">
        <v>23</v>
      </c>
      <c r="P5290">
        <v>6.35</v>
      </c>
      <c r="Q5290" s="2" t="b">
        <f>FALSE()</f>
        <v>0</v>
      </c>
      <c r="R5290">
        <v>0</v>
      </c>
    </row>
    <row r="5291" spans="1:18" x14ac:dyDescent="0.25">
      <c r="A5291">
        <v>205290</v>
      </c>
      <c r="B5291">
        <v>50611</v>
      </c>
      <c r="C5291" t="s">
        <v>18</v>
      </c>
      <c r="D5291">
        <v>5377.83</v>
      </c>
      <c r="E5291">
        <v>1700</v>
      </c>
      <c r="F5291">
        <v>0</v>
      </c>
      <c r="G5291">
        <v>12</v>
      </c>
      <c r="H5291">
        <v>0</v>
      </c>
      <c r="I5291" t="s">
        <v>19</v>
      </c>
      <c r="J5291">
        <v>1</v>
      </c>
      <c r="K5291">
        <v>80</v>
      </c>
      <c r="L5291" t="s">
        <v>24</v>
      </c>
      <c r="M5291" t="s">
        <v>35</v>
      </c>
      <c r="N5291" t="s">
        <v>30</v>
      </c>
      <c r="O5291" t="s">
        <v>36</v>
      </c>
      <c r="P5291">
        <v>4.1500000000000004</v>
      </c>
      <c r="Q5291" s="2" t="b">
        <f>FALSE()</f>
        <v>0</v>
      </c>
      <c r="R5291">
        <v>1</v>
      </c>
    </row>
    <row r="5292" spans="1:18" x14ac:dyDescent="0.25">
      <c r="A5292">
        <v>205291</v>
      </c>
      <c r="B5292">
        <v>53226</v>
      </c>
      <c r="C5292" t="s">
        <v>34</v>
      </c>
      <c r="D5292">
        <v>3941.11</v>
      </c>
      <c r="E5292">
        <v>1376</v>
      </c>
      <c r="F5292">
        <v>0</v>
      </c>
      <c r="G5292">
        <v>6</v>
      </c>
      <c r="H5292">
        <v>0</v>
      </c>
      <c r="I5292" t="s">
        <v>32</v>
      </c>
      <c r="J5292">
        <v>0</v>
      </c>
      <c r="K5292">
        <v>77</v>
      </c>
      <c r="L5292" t="s">
        <v>20</v>
      </c>
      <c r="M5292" t="s">
        <v>37</v>
      </c>
      <c r="N5292" t="s">
        <v>26</v>
      </c>
      <c r="O5292" t="s">
        <v>27</v>
      </c>
      <c r="P5292">
        <v>1.98</v>
      </c>
      <c r="Q5292" s="2" t="b">
        <f>FALSE()</f>
        <v>0</v>
      </c>
      <c r="R5292">
        <v>1</v>
      </c>
    </row>
    <row r="5293" spans="1:18" x14ac:dyDescent="0.25">
      <c r="A5293">
        <v>205292</v>
      </c>
      <c r="B5293">
        <v>55134</v>
      </c>
      <c r="C5293" t="s">
        <v>34</v>
      </c>
      <c r="D5293">
        <v>277.93</v>
      </c>
      <c r="E5293">
        <v>2358</v>
      </c>
      <c r="F5293">
        <v>2</v>
      </c>
      <c r="G5293">
        <v>8</v>
      </c>
      <c r="H5293">
        <v>0</v>
      </c>
      <c r="I5293" t="s">
        <v>33</v>
      </c>
      <c r="J5293">
        <v>0</v>
      </c>
      <c r="K5293">
        <v>49</v>
      </c>
      <c r="L5293" t="s">
        <v>24</v>
      </c>
      <c r="M5293" t="s">
        <v>21</v>
      </c>
      <c r="N5293" t="s">
        <v>22</v>
      </c>
      <c r="O5293" t="s">
        <v>23</v>
      </c>
      <c r="P5293">
        <v>7.92</v>
      </c>
      <c r="Q5293" s="2" t="b">
        <f>FALSE()</f>
        <v>0</v>
      </c>
      <c r="R5293">
        <v>1</v>
      </c>
    </row>
    <row r="5294" spans="1:18" x14ac:dyDescent="0.25">
      <c r="A5294">
        <v>205293</v>
      </c>
      <c r="B5294">
        <v>51372</v>
      </c>
      <c r="C5294" t="s">
        <v>28</v>
      </c>
      <c r="D5294">
        <v>4299.68</v>
      </c>
      <c r="E5294">
        <v>2828</v>
      </c>
      <c r="F5294">
        <v>2</v>
      </c>
      <c r="G5294">
        <v>4</v>
      </c>
      <c r="H5294">
        <v>0</v>
      </c>
      <c r="I5294" t="s">
        <v>19</v>
      </c>
      <c r="J5294">
        <v>0</v>
      </c>
      <c r="K5294">
        <v>20</v>
      </c>
      <c r="L5294" t="s">
        <v>20</v>
      </c>
      <c r="M5294" t="s">
        <v>31</v>
      </c>
      <c r="N5294" t="s">
        <v>22</v>
      </c>
      <c r="O5294" t="s">
        <v>23</v>
      </c>
      <c r="P5294">
        <v>2.46</v>
      </c>
      <c r="Q5294" s="2" t="b">
        <f>FALSE()</f>
        <v>0</v>
      </c>
      <c r="R5294">
        <v>1</v>
      </c>
    </row>
    <row r="5295" spans="1:18" x14ac:dyDescent="0.25">
      <c r="A5295">
        <v>205294</v>
      </c>
      <c r="B5295">
        <v>54893</v>
      </c>
      <c r="C5295" t="s">
        <v>28</v>
      </c>
      <c r="D5295">
        <v>1936.2</v>
      </c>
      <c r="E5295">
        <v>956</v>
      </c>
      <c r="F5295">
        <v>1</v>
      </c>
      <c r="G5295">
        <v>6</v>
      </c>
      <c r="H5295">
        <v>0</v>
      </c>
      <c r="I5295" t="s">
        <v>33</v>
      </c>
      <c r="J5295">
        <v>0</v>
      </c>
      <c r="K5295">
        <v>63</v>
      </c>
      <c r="L5295" t="s">
        <v>24</v>
      </c>
      <c r="M5295" t="s">
        <v>25</v>
      </c>
      <c r="N5295" t="s">
        <v>30</v>
      </c>
      <c r="O5295" t="s">
        <v>27</v>
      </c>
      <c r="P5295">
        <v>0.49</v>
      </c>
      <c r="Q5295" s="2" t="b">
        <f>FALSE()</f>
        <v>0</v>
      </c>
      <c r="R5295">
        <v>0</v>
      </c>
    </row>
    <row r="5296" spans="1:18" x14ac:dyDescent="0.25">
      <c r="A5296">
        <v>205295</v>
      </c>
      <c r="B5296">
        <v>51963</v>
      </c>
      <c r="C5296" t="s">
        <v>18</v>
      </c>
      <c r="D5296">
        <v>2533.7800000000002</v>
      </c>
      <c r="E5296">
        <v>3006</v>
      </c>
      <c r="F5296">
        <v>0</v>
      </c>
      <c r="G5296">
        <v>2</v>
      </c>
      <c r="H5296">
        <v>0</v>
      </c>
      <c r="I5296" t="s">
        <v>19</v>
      </c>
      <c r="J5296">
        <v>0</v>
      </c>
      <c r="K5296">
        <v>24</v>
      </c>
      <c r="L5296" t="s">
        <v>20</v>
      </c>
      <c r="M5296" t="s">
        <v>31</v>
      </c>
      <c r="N5296" t="s">
        <v>22</v>
      </c>
      <c r="O5296" t="s">
        <v>36</v>
      </c>
      <c r="P5296">
        <v>6.71</v>
      </c>
      <c r="Q5296" s="2" t="b">
        <f>FALSE()</f>
        <v>0</v>
      </c>
      <c r="R5296">
        <v>0</v>
      </c>
    </row>
    <row r="5297" spans="1:18" x14ac:dyDescent="0.25">
      <c r="A5297">
        <v>205296</v>
      </c>
      <c r="B5297">
        <v>51821</v>
      </c>
      <c r="C5297" t="s">
        <v>34</v>
      </c>
      <c r="D5297">
        <v>848.42</v>
      </c>
      <c r="E5297">
        <v>2265</v>
      </c>
      <c r="F5297">
        <v>5</v>
      </c>
      <c r="G5297">
        <v>4</v>
      </c>
      <c r="H5297">
        <v>0</v>
      </c>
      <c r="I5297" t="s">
        <v>19</v>
      </c>
      <c r="J5297">
        <v>0</v>
      </c>
      <c r="K5297">
        <v>76</v>
      </c>
      <c r="L5297" t="s">
        <v>24</v>
      </c>
      <c r="M5297" t="s">
        <v>35</v>
      </c>
      <c r="N5297" t="s">
        <v>22</v>
      </c>
      <c r="O5297" t="s">
        <v>36</v>
      </c>
      <c r="P5297">
        <v>4.5999999999999996</v>
      </c>
      <c r="Q5297" s="2" t="b">
        <f>FALSE()</f>
        <v>0</v>
      </c>
      <c r="R5297">
        <v>1</v>
      </c>
    </row>
    <row r="5298" spans="1:18" x14ac:dyDescent="0.25">
      <c r="A5298">
        <v>205297</v>
      </c>
      <c r="B5298">
        <v>55450</v>
      </c>
      <c r="C5298" t="s">
        <v>18</v>
      </c>
      <c r="D5298">
        <v>651.83000000000004</v>
      </c>
      <c r="E5298">
        <v>55</v>
      </c>
      <c r="F5298">
        <v>0</v>
      </c>
      <c r="G5298">
        <v>2</v>
      </c>
      <c r="H5298">
        <v>0</v>
      </c>
      <c r="I5298" t="s">
        <v>33</v>
      </c>
      <c r="J5298">
        <v>0</v>
      </c>
      <c r="K5298">
        <v>70</v>
      </c>
      <c r="L5298" t="s">
        <v>24</v>
      </c>
      <c r="M5298" t="s">
        <v>25</v>
      </c>
      <c r="N5298" t="s">
        <v>22</v>
      </c>
      <c r="O5298" t="s">
        <v>27</v>
      </c>
      <c r="P5298">
        <v>1.67</v>
      </c>
      <c r="Q5298" s="2" t="b">
        <f>FALSE()</f>
        <v>0</v>
      </c>
      <c r="R5298">
        <v>0</v>
      </c>
    </row>
    <row r="5299" spans="1:18" x14ac:dyDescent="0.25">
      <c r="A5299">
        <v>205298</v>
      </c>
      <c r="B5299">
        <v>54075</v>
      </c>
      <c r="C5299" t="s">
        <v>18</v>
      </c>
      <c r="D5299">
        <v>978.59</v>
      </c>
      <c r="E5299">
        <v>2252</v>
      </c>
      <c r="F5299">
        <v>2</v>
      </c>
      <c r="G5299">
        <v>4</v>
      </c>
      <c r="H5299">
        <v>0</v>
      </c>
      <c r="I5299" t="s">
        <v>33</v>
      </c>
      <c r="J5299">
        <v>0</v>
      </c>
      <c r="K5299">
        <v>48</v>
      </c>
      <c r="L5299" t="s">
        <v>24</v>
      </c>
      <c r="M5299" t="s">
        <v>25</v>
      </c>
      <c r="N5299" t="s">
        <v>26</v>
      </c>
      <c r="O5299" t="s">
        <v>36</v>
      </c>
      <c r="P5299">
        <v>0.35</v>
      </c>
      <c r="Q5299" s="2" t="b">
        <f>FALSE()</f>
        <v>0</v>
      </c>
      <c r="R5299">
        <v>0</v>
      </c>
    </row>
    <row r="5300" spans="1:18" x14ac:dyDescent="0.25">
      <c r="A5300">
        <v>205299</v>
      </c>
      <c r="B5300">
        <v>54712</v>
      </c>
      <c r="C5300" t="s">
        <v>34</v>
      </c>
      <c r="D5300">
        <v>3908.41</v>
      </c>
      <c r="E5300">
        <v>3554</v>
      </c>
      <c r="F5300">
        <v>0</v>
      </c>
      <c r="G5300">
        <v>6</v>
      </c>
      <c r="H5300">
        <v>1</v>
      </c>
      <c r="I5300" t="s">
        <v>33</v>
      </c>
      <c r="J5300">
        <v>0</v>
      </c>
      <c r="K5300">
        <v>31</v>
      </c>
      <c r="L5300" t="s">
        <v>20</v>
      </c>
      <c r="M5300" t="s">
        <v>29</v>
      </c>
      <c r="N5300" t="s">
        <v>30</v>
      </c>
      <c r="O5300" t="s">
        <v>36</v>
      </c>
      <c r="P5300">
        <v>16.82</v>
      </c>
      <c r="Q5300" s="2" t="b">
        <f>FALSE()</f>
        <v>0</v>
      </c>
      <c r="R5300">
        <v>1</v>
      </c>
    </row>
    <row r="5301" spans="1:18" x14ac:dyDescent="0.25">
      <c r="A5301">
        <v>205300</v>
      </c>
      <c r="B5301">
        <v>55039</v>
      </c>
      <c r="C5301" t="s">
        <v>28</v>
      </c>
      <c r="D5301">
        <v>1886.7</v>
      </c>
      <c r="E5301">
        <v>1736</v>
      </c>
      <c r="F5301">
        <v>0</v>
      </c>
      <c r="G5301">
        <v>7</v>
      </c>
      <c r="H5301">
        <v>0</v>
      </c>
      <c r="I5301" t="s">
        <v>33</v>
      </c>
      <c r="J5301">
        <v>0</v>
      </c>
      <c r="K5301">
        <v>24</v>
      </c>
      <c r="L5301" t="s">
        <v>24</v>
      </c>
      <c r="M5301" t="s">
        <v>29</v>
      </c>
      <c r="N5301" t="s">
        <v>30</v>
      </c>
      <c r="O5301" t="s">
        <v>36</v>
      </c>
      <c r="P5301">
        <v>9.18</v>
      </c>
      <c r="Q5301" s="2" t="b">
        <f>FALSE()</f>
        <v>0</v>
      </c>
      <c r="R5301">
        <v>1</v>
      </c>
    </row>
    <row r="5302" spans="1:18" x14ac:dyDescent="0.25">
      <c r="A5302">
        <v>205301</v>
      </c>
      <c r="B5302">
        <v>51650</v>
      </c>
      <c r="C5302" t="s">
        <v>18</v>
      </c>
      <c r="D5302">
        <v>2407.13</v>
      </c>
      <c r="E5302">
        <v>3419</v>
      </c>
      <c r="F5302">
        <v>1</v>
      </c>
      <c r="G5302">
        <v>4</v>
      </c>
      <c r="H5302">
        <v>1</v>
      </c>
      <c r="I5302" t="s">
        <v>33</v>
      </c>
      <c r="J5302">
        <v>0</v>
      </c>
      <c r="K5302">
        <v>83</v>
      </c>
      <c r="L5302" t="s">
        <v>20</v>
      </c>
      <c r="M5302" t="s">
        <v>25</v>
      </c>
      <c r="N5302" t="s">
        <v>22</v>
      </c>
      <c r="O5302" t="s">
        <v>27</v>
      </c>
      <c r="P5302">
        <v>5.51</v>
      </c>
      <c r="Q5302" s="2" t="b">
        <f>FALSE()</f>
        <v>0</v>
      </c>
      <c r="R5302">
        <v>0</v>
      </c>
    </row>
    <row r="5303" spans="1:18" x14ac:dyDescent="0.25">
      <c r="A5303">
        <v>205302</v>
      </c>
      <c r="B5303">
        <v>54108</v>
      </c>
      <c r="C5303" t="s">
        <v>34</v>
      </c>
      <c r="D5303">
        <v>2486.8000000000002</v>
      </c>
      <c r="E5303">
        <v>1653</v>
      </c>
      <c r="F5303">
        <v>0</v>
      </c>
      <c r="G5303">
        <v>6</v>
      </c>
      <c r="H5303">
        <v>1</v>
      </c>
      <c r="I5303" t="s">
        <v>32</v>
      </c>
      <c r="J5303">
        <v>0</v>
      </c>
      <c r="K5303">
        <v>37</v>
      </c>
      <c r="L5303" t="s">
        <v>20</v>
      </c>
      <c r="M5303" t="s">
        <v>25</v>
      </c>
      <c r="N5303" t="s">
        <v>30</v>
      </c>
      <c r="O5303" t="s">
        <v>36</v>
      </c>
      <c r="P5303">
        <v>1.08</v>
      </c>
      <c r="Q5303" s="2" t="b">
        <f>FALSE()</f>
        <v>0</v>
      </c>
      <c r="R5303">
        <v>0</v>
      </c>
    </row>
    <row r="5304" spans="1:18" x14ac:dyDescent="0.25">
      <c r="A5304">
        <v>205303</v>
      </c>
      <c r="B5304">
        <v>54601</v>
      </c>
      <c r="C5304" t="s">
        <v>34</v>
      </c>
      <c r="D5304">
        <v>1409.2</v>
      </c>
      <c r="E5304">
        <v>1311</v>
      </c>
      <c r="F5304">
        <v>0</v>
      </c>
      <c r="G5304">
        <v>3</v>
      </c>
      <c r="H5304">
        <v>0</v>
      </c>
      <c r="I5304" t="s">
        <v>33</v>
      </c>
      <c r="J5304">
        <v>0</v>
      </c>
      <c r="K5304">
        <v>66</v>
      </c>
      <c r="L5304" t="s">
        <v>24</v>
      </c>
      <c r="M5304" t="s">
        <v>35</v>
      </c>
      <c r="N5304" t="s">
        <v>26</v>
      </c>
      <c r="O5304" t="s">
        <v>36</v>
      </c>
      <c r="P5304">
        <v>0.19</v>
      </c>
      <c r="Q5304" s="2" t="b">
        <f>FALSE()</f>
        <v>0</v>
      </c>
      <c r="R5304">
        <v>0</v>
      </c>
    </row>
    <row r="5305" spans="1:18" x14ac:dyDescent="0.25">
      <c r="A5305">
        <v>205304</v>
      </c>
      <c r="B5305">
        <v>50956</v>
      </c>
      <c r="C5305" t="s">
        <v>34</v>
      </c>
      <c r="D5305">
        <v>2277.13</v>
      </c>
      <c r="E5305">
        <v>2093</v>
      </c>
      <c r="F5305">
        <v>3</v>
      </c>
      <c r="G5305">
        <v>2</v>
      </c>
      <c r="H5305">
        <v>1</v>
      </c>
      <c r="I5305" t="s">
        <v>33</v>
      </c>
      <c r="J5305">
        <v>0</v>
      </c>
      <c r="K5305">
        <v>44</v>
      </c>
      <c r="L5305" t="s">
        <v>24</v>
      </c>
      <c r="M5305" t="s">
        <v>35</v>
      </c>
      <c r="N5305" t="s">
        <v>26</v>
      </c>
      <c r="O5305" t="s">
        <v>27</v>
      </c>
      <c r="P5305">
        <v>8.42</v>
      </c>
      <c r="Q5305" s="2" t="b">
        <f>FALSE()</f>
        <v>0</v>
      </c>
      <c r="R5305">
        <v>1</v>
      </c>
    </row>
    <row r="5306" spans="1:18" x14ac:dyDescent="0.25">
      <c r="A5306">
        <v>205305</v>
      </c>
      <c r="B5306">
        <v>55479</v>
      </c>
      <c r="C5306" t="s">
        <v>34</v>
      </c>
      <c r="D5306">
        <v>2443.2600000000002</v>
      </c>
      <c r="E5306">
        <v>3170</v>
      </c>
      <c r="F5306">
        <v>0</v>
      </c>
      <c r="G5306">
        <v>4</v>
      </c>
      <c r="H5306">
        <v>0</v>
      </c>
      <c r="I5306" t="s">
        <v>19</v>
      </c>
      <c r="J5306">
        <v>0</v>
      </c>
      <c r="K5306">
        <v>40</v>
      </c>
      <c r="L5306" t="s">
        <v>20</v>
      </c>
      <c r="M5306" t="s">
        <v>31</v>
      </c>
      <c r="N5306" t="s">
        <v>22</v>
      </c>
      <c r="O5306" t="s">
        <v>36</v>
      </c>
      <c r="P5306">
        <v>1.74</v>
      </c>
      <c r="Q5306" s="2" t="b">
        <f>FALSE()</f>
        <v>0</v>
      </c>
      <c r="R5306">
        <v>0</v>
      </c>
    </row>
    <row r="5307" spans="1:18" x14ac:dyDescent="0.25">
      <c r="A5307">
        <v>205306</v>
      </c>
      <c r="B5307">
        <v>55415</v>
      </c>
      <c r="C5307" t="s">
        <v>34</v>
      </c>
      <c r="D5307">
        <v>878.37</v>
      </c>
      <c r="E5307">
        <v>1513</v>
      </c>
      <c r="F5307">
        <v>1</v>
      </c>
      <c r="G5307">
        <v>5</v>
      </c>
      <c r="H5307">
        <v>0</v>
      </c>
      <c r="I5307" t="s">
        <v>32</v>
      </c>
      <c r="J5307">
        <v>0</v>
      </c>
      <c r="K5307">
        <v>25</v>
      </c>
      <c r="L5307" t="s">
        <v>38</v>
      </c>
      <c r="M5307" t="s">
        <v>21</v>
      </c>
      <c r="N5307" t="s">
        <v>30</v>
      </c>
      <c r="O5307" t="s">
        <v>36</v>
      </c>
      <c r="P5307">
        <v>1.77</v>
      </c>
      <c r="Q5307" s="2" t="b">
        <f>FALSE()</f>
        <v>0</v>
      </c>
      <c r="R5307">
        <v>0</v>
      </c>
    </row>
    <row r="5308" spans="1:18" x14ac:dyDescent="0.25">
      <c r="A5308">
        <v>205307</v>
      </c>
      <c r="B5308">
        <v>53880</v>
      </c>
      <c r="C5308" t="s">
        <v>34</v>
      </c>
      <c r="D5308">
        <v>1366.55</v>
      </c>
      <c r="E5308">
        <v>1368</v>
      </c>
      <c r="F5308">
        <v>2</v>
      </c>
      <c r="G5308">
        <v>3</v>
      </c>
      <c r="H5308">
        <v>0</v>
      </c>
      <c r="I5308" t="s">
        <v>33</v>
      </c>
      <c r="J5308">
        <v>1</v>
      </c>
      <c r="K5308">
        <v>81</v>
      </c>
      <c r="L5308" t="s">
        <v>24</v>
      </c>
      <c r="M5308" t="s">
        <v>29</v>
      </c>
      <c r="N5308" t="s">
        <v>26</v>
      </c>
      <c r="O5308" t="s">
        <v>27</v>
      </c>
      <c r="P5308">
        <v>3.24</v>
      </c>
      <c r="Q5308" s="2" t="b">
        <f>FALSE()</f>
        <v>0</v>
      </c>
      <c r="R5308">
        <v>0</v>
      </c>
    </row>
    <row r="5309" spans="1:18" x14ac:dyDescent="0.25">
      <c r="A5309">
        <v>205308</v>
      </c>
      <c r="B5309">
        <v>51422</v>
      </c>
      <c r="C5309" t="s">
        <v>34</v>
      </c>
      <c r="D5309">
        <v>2948.12</v>
      </c>
      <c r="E5309">
        <v>1671</v>
      </c>
      <c r="F5309">
        <v>1</v>
      </c>
      <c r="G5309">
        <v>7</v>
      </c>
      <c r="H5309">
        <v>0</v>
      </c>
      <c r="I5309" t="s">
        <v>33</v>
      </c>
      <c r="J5309">
        <v>0</v>
      </c>
      <c r="K5309">
        <v>31</v>
      </c>
      <c r="L5309" t="s">
        <v>24</v>
      </c>
      <c r="M5309" t="s">
        <v>29</v>
      </c>
      <c r="N5309" t="s">
        <v>22</v>
      </c>
      <c r="O5309" t="s">
        <v>36</v>
      </c>
      <c r="P5309">
        <v>1.66</v>
      </c>
      <c r="Q5309" s="2" t="b">
        <f>FALSE()</f>
        <v>0</v>
      </c>
      <c r="R5309">
        <v>1</v>
      </c>
    </row>
    <row r="5310" spans="1:18" x14ac:dyDescent="0.25">
      <c r="A5310">
        <v>205309</v>
      </c>
      <c r="B5310">
        <v>54500</v>
      </c>
      <c r="C5310" t="s">
        <v>34</v>
      </c>
      <c r="D5310">
        <v>1834.7</v>
      </c>
      <c r="E5310">
        <v>3570</v>
      </c>
      <c r="F5310">
        <v>0</v>
      </c>
      <c r="G5310">
        <v>5</v>
      </c>
      <c r="H5310">
        <v>0</v>
      </c>
      <c r="I5310" t="s">
        <v>19</v>
      </c>
      <c r="J5310">
        <v>0</v>
      </c>
      <c r="K5310">
        <v>43</v>
      </c>
      <c r="L5310" t="s">
        <v>24</v>
      </c>
      <c r="M5310" t="s">
        <v>29</v>
      </c>
      <c r="N5310" t="s">
        <v>30</v>
      </c>
      <c r="O5310" t="s">
        <v>36</v>
      </c>
      <c r="P5310">
        <v>3.77</v>
      </c>
      <c r="Q5310" s="2" t="b">
        <f>FALSE()</f>
        <v>0</v>
      </c>
      <c r="R5310">
        <v>0</v>
      </c>
    </row>
    <row r="5311" spans="1:18" x14ac:dyDescent="0.25">
      <c r="A5311">
        <v>205310</v>
      </c>
      <c r="B5311">
        <v>51251</v>
      </c>
      <c r="C5311" t="s">
        <v>18</v>
      </c>
      <c r="D5311">
        <v>3894.12</v>
      </c>
      <c r="E5311">
        <v>433</v>
      </c>
      <c r="F5311">
        <v>0</v>
      </c>
      <c r="G5311">
        <v>6</v>
      </c>
      <c r="H5311">
        <v>1</v>
      </c>
      <c r="I5311" t="s">
        <v>32</v>
      </c>
      <c r="J5311">
        <v>0</v>
      </c>
      <c r="K5311">
        <v>21</v>
      </c>
      <c r="L5311" t="s">
        <v>20</v>
      </c>
      <c r="M5311" t="s">
        <v>21</v>
      </c>
      <c r="N5311" t="s">
        <v>30</v>
      </c>
      <c r="O5311" t="s">
        <v>36</v>
      </c>
      <c r="P5311">
        <v>0.25</v>
      </c>
      <c r="Q5311" s="2" t="b">
        <f>FALSE()</f>
        <v>0</v>
      </c>
      <c r="R5311">
        <v>1</v>
      </c>
    </row>
    <row r="5312" spans="1:18" x14ac:dyDescent="0.25">
      <c r="A5312">
        <v>205311</v>
      </c>
      <c r="B5312">
        <v>55244</v>
      </c>
      <c r="C5312" t="s">
        <v>18</v>
      </c>
      <c r="D5312">
        <v>5583.9</v>
      </c>
      <c r="E5312">
        <v>1025</v>
      </c>
      <c r="F5312">
        <v>1</v>
      </c>
      <c r="G5312">
        <v>7</v>
      </c>
      <c r="H5312">
        <v>0</v>
      </c>
      <c r="I5312" t="s">
        <v>33</v>
      </c>
      <c r="J5312">
        <v>0</v>
      </c>
      <c r="K5312">
        <v>71</v>
      </c>
      <c r="L5312" t="s">
        <v>24</v>
      </c>
      <c r="M5312" t="s">
        <v>35</v>
      </c>
      <c r="N5312" t="s">
        <v>30</v>
      </c>
      <c r="O5312" t="s">
        <v>27</v>
      </c>
      <c r="P5312">
        <v>2.87</v>
      </c>
      <c r="Q5312" s="2" t="b">
        <f>FALSE()</f>
        <v>0</v>
      </c>
      <c r="R5312">
        <v>1</v>
      </c>
    </row>
    <row r="5313" spans="1:18" x14ac:dyDescent="0.25">
      <c r="A5313">
        <v>205312</v>
      </c>
      <c r="B5313">
        <v>54216</v>
      </c>
      <c r="C5313" t="s">
        <v>18</v>
      </c>
      <c r="D5313">
        <v>3870.7</v>
      </c>
      <c r="E5313">
        <v>3446</v>
      </c>
      <c r="F5313">
        <v>2</v>
      </c>
      <c r="G5313">
        <v>5</v>
      </c>
      <c r="H5313">
        <v>0</v>
      </c>
      <c r="I5313" t="s">
        <v>32</v>
      </c>
      <c r="J5313">
        <v>1</v>
      </c>
      <c r="K5313">
        <v>53</v>
      </c>
      <c r="L5313" t="s">
        <v>20</v>
      </c>
      <c r="M5313" t="s">
        <v>37</v>
      </c>
      <c r="N5313" t="s">
        <v>22</v>
      </c>
      <c r="O5313" t="s">
        <v>27</v>
      </c>
      <c r="P5313">
        <v>1.23</v>
      </c>
      <c r="Q5313" s="2" t="b">
        <f>FALSE()</f>
        <v>0</v>
      </c>
      <c r="R5313">
        <v>1</v>
      </c>
    </row>
    <row r="5314" spans="1:18" x14ac:dyDescent="0.25">
      <c r="A5314">
        <v>205313</v>
      </c>
      <c r="B5314">
        <v>54960</v>
      </c>
      <c r="C5314" t="s">
        <v>34</v>
      </c>
      <c r="D5314">
        <v>1444.46</v>
      </c>
      <c r="E5314">
        <v>1782</v>
      </c>
      <c r="F5314">
        <v>4</v>
      </c>
      <c r="G5314">
        <v>7</v>
      </c>
      <c r="H5314">
        <v>0</v>
      </c>
      <c r="I5314" t="s">
        <v>19</v>
      </c>
      <c r="J5314">
        <v>1</v>
      </c>
      <c r="K5314">
        <v>76</v>
      </c>
      <c r="L5314" t="s">
        <v>24</v>
      </c>
      <c r="M5314" t="s">
        <v>25</v>
      </c>
      <c r="N5314" t="s">
        <v>26</v>
      </c>
      <c r="O5314" t="s">
        <v>23</v>
      </c>
      <c r="P5314">
        <v>2.73</v>
      </c>
      <c r="Q5314" s="2" t="b">
        <f>FALSE()</f>
        <v>0</v>
      </c>
      <c r="R5314">
        <v>1</v>
      </c>
    </row>
    <row r="5315" spans="1:18" x14ac:dyDescent="0.25">
      <c r="A5315">
        <v>205314</v>
      </c>
      <c r="B5315">
        <v>51242</v>
      </c>
      <c r="C5315" t="s">
        <v>18</v>
      </c>
      <c r="D5315">
        <v>1841.98</v>
      </c>
      <c r="E5315">
        <v>1766</v>
      </c>
      <c r="F5315">
        <v>1</v>
      </c>
      <c r="G5315">
        <v>5</v>
      </c>
      <c r="H5315">
        <v>0</v>
      </c>
      <c r="I5315" t="s">
        <v>33</v>
      </c>
      <c r="J5315">
        <v>1</v>
      </c>
      <c r="K5315">
        <v>25</v>
      </c>
      <c r="L5315" t="s">
        <v>24</v>
      </c>
      <c r="M5315" t="s">
        <v>35</v>
      </c>
      <c r="N5315" t="s">
        <v>30</v>
      </c>
      <c r="O5315" t="s">
        <v>27</v>
      </c>
      <c r="P5315">
        <v>2.82</v>
      </c>
      <c r="Q5315" s="2" t="b">
        <f>FALSE()</f>
        <v>0</v>
      </c>
      <c r="R5315">
        <v>0</v>
      </c>
    </row>
    <row r="5316" spans="1:18" x14ac:dyDescent="0.25">
      <c r="A5316">
        <v>205315</v>
      </c>
      <c r="B5316">
        <v>50630</v>
      </c>
      <c r="C5316" t="s">
        <v>28</v>
      </c>
      <c r="D5316">
        <v>5243.59</v>
      </c>
      <c r="E5316">
        <v>381</v>
      </c>
      <c r="F5316">
        <v>0</v>
      </c>
      <c r="G5316">
        <v>2</v>
      </c>
      <c r="H5316">
        <v>0</v>
      </c>
      <c r="I5316" t="s">
        <v>33</v>
      </c>
      <c r="J5316">
        <v>1</v>
      </c>
      <c r="K5316">
        <v>65</v>
      </c>
      <c r="L5316" t="s">
        <v>24</v>
      </c>
      <c r="M5316" t="s">
        <v>31</v>
      </c>
      <c r="N5316" t="s">
        <v>22</v>
      </c>
      <c r="O5316" t="s">
        <v>36</v>
      </c>
      <c r="P5316">
        <v>6.79</v>
      </c>
      <c r="Q5316" s="2" t="b">
        <f>FALSE()</f>
        <v>0</v>
      </c>
      <c r="R5316">
        <v>1</v>
      </c>
    </row>
    <row r="5317" spans="1:18" x14ac:dyDescent="0.25">
      <c r="A5317">
        <v>205316</v>
      </c>
      <c r="B5317">
        <v>55517</v>
      </c>
      <c r="C5317" t="s">
        <v>28</v>
      </c>
      <c r="D5317">
        <v>1044.3800000000001</v>
      </c>
      <c r="E5317">
        <v>3261</v>
      </c>
      <c r="F5317">
        <v>2</v>
      </c>
      <c r="G5317">
        <v>3</v>
      </c>
      <c r="H5317">
        <v>0</v>
      </c>
      <c r="I5317" t="s">
        <v>33</v>
      </c>
      <c r="J5317">
        <v>0</v>
      </c>
      <c r="K5317">
        <v>23</v>
      </c>
      <c r="L5317" t="s">
        <v>20</v>
      </c>
      <c r="M5317" t="s">
        <v>31</v>
      </c>
      <c r="N5317" t="s">
        <v>30</v>
      </c>
      <c r="O5317" t="s">
        <v>36</v>
      </c>
      <c r="P5317">
        <v>3.94</v>
      </c>
      <c r="Q5317" s="2" t="b">
        <f>FALSE()</f>
        <v>0</v>
      </c>
      <c r="R5317">
        <v>0</v>
      </c>
    </row>
    <row r="5318" spans="1:18" x14ac:dyDescent="0.25">
      <c r="A5318">
        <v>205317</v>
      </c>
      <c r="B5318">
        <v>55524</v>
      </c>
      <c r="C5318" t="s">
        <v>28</v>
      </c>
      <c r="D5318">
        <v>4039.82</v>
      </c>
      <c r="E5318">
        <v>2956</v>
      </c>
      <c r="F5318">
        <v>0</v>
      </c>
      <c r="G5318">
        <v>5</v>
      </c>
      <c r="H5318">
        <v>0</v>
      </c>
      <c r="I5318" t="s">
        <v>32</v>
      </c>
      <c r="J5318">
        <v>0</v>
      </c>
      <c r="K5318">
        <v>74</v>
      </c>
      <c r="L5318" t="s">
        <v>20</v>
      </c>
      <c r="M5318" t="s">
        <v>35</v>
      </c>
      <c r="N5318" t="s">
        <v>22</v>
      </c>
      <c r="O5318" t="s">
        <v>23</v>
      </c>
      <c r="P5318">
        <v>0.1</v>
      </c>
      <c r="Q5318" s="2" t="b">
        <f>FALSE()</f>
        <v>0</v>
      </c>
      <c r="R5318">
        <v>1</v>
      </c>
    </row>
    <row r="5319" spans="1:18" x14ac:dyDescent="0.25">
      <c r="A5319">
        <v>205318</v>
      </c>
      <c r="B5319">
        <v>51878</v>
      </c>
      <c r="C5319" t="s">
        <v>34</v>
      </c>
      <c r="D5319">
        <v>1183.7</v>
      </c>
      <c r="E5319">
        <v>2274</v>
      </c>
      <c r="F5319">
        <v>0</v>
      </c>
      <c r="G5319">
        <v>5</v>
      </c>
      <c r="H5319">
        <v>1</v>
      </c>
      <c r="I5319" t="s">
        <v>33</v>
      </c>
      <c r="J5319">
        <v>1</v>
      </c>
      <c r="K5319">
        <v>43</v>
      </c>
      <c r="L5319" t="s">
        <v>24</v>
      </c>
      <c r="M5319" t="s">
        <v>21</v>
      </c>
      <c r="N5319" t="s">
        <v>22</v>
      </c>
      <c r="O5319" t="s">
        <v>23</v>
      </c>
      <c r="P5319">
        <v>1.24</v>
      </c>
      <c r="Q5319" s="2" t="b">
        <f>FALSE()</f>
        <v>0</v>
      </c>
      <c r="R5319">
        <v>0</v>
      </c>
    </row>
    <row r="5320" spans="1:18" x14ac:dyDescent="0.25">
      <c r="A5320">
        <v>205319</v>
      </c>
      <c r="B5320">
        <v>55734</v>
      </c>
      <c r="C5320" t="s">
        <v>34</v>
      </c>
      <c r="D5320">
        <v>2825.42</v>
      </c>
      <c r="E5320">
        <v>2233</v>
      </c>
      <c r="F5320">
        <v>0</v>
      </c>
      <c r="G5320">
        <v>3</v>
      </c>
      <c r="H5320">
        <v>0</v>
      </c>
      <c r="I5320" t="s">
        <v>33</v>
      </c>
      <c r="J5320">
        <v>0</v>
      </c>
      <c r="K5320">
        <v>76</v>
      </c>
      <c r="L5320" t="s">
        <v>20</v>
      </c>
      <c r="M5320" t="s">
        <v>35</v>
      </c>
      <c r="N5320" t="s">
        <v>30</v>
      </c>
      <c r="O5320" t="s">
        <v>36</v>
      </c>
      <c r="P5320">
        <v>5.18</v>
      </c>
      <c r="Q5320" s="2" t="b">
        <f>FALSE()</f>
        <v>0</v>
      </c>
      <c r="R5320">
        <v>0</v>
      </c>
    </row>
    <row r="5321" spans="1:18" x14ac:dyDescent="0.25">
      <c r="A5321">
        <v>205320</v>
      </c>
      <c r="B5321">
        <v>52564</v>
      </c>
      <c r="C5321" t="s">
        <v>18</v>
      </c>
      <c r="D5321">
        <v>3151.6</v>
      </c>
      <c r="E5321">
        <v>2101</v>
      </c>
      <c r="F5321">
        <v>1</v>
      </c>
      <c r="G5321">
        <v>5</v>
      </c>
      <c r="H5321">
        <v>1</v>
      </c>
      <c r="I5321" t="s">
        <v>19</v>
      </c>
      <c r="J5321">
        <v>0</v>
      </c>
      <c r="K5321">
        <v>55</v>
      </c>
      <c r="L5321" t="s">
        <v>24</v>
      </c>
      <c r="M5321" t="s">
        <v>21</v>
      </c>
      <c r="N5321" t="s">
        <v>26</v>
      </c>
      <c r="O5321" t="s">
        <v>36</v>
      </c>
      <c r="P5321">
        <v>8.44</v>
      </c>
      <c r="Q5321" s="2" t="b">
        <f>FALSE()</f>
        <v>0</v>
      </c>
      <c r="R5321">
        <v>0</v>
      </c>
    </row>
    <row r="5322" spans="1:18" x14ac:dyDescent="0.25">
      <c r="A5322">
        <v>205321</v>
      </c>
      <c r="B5322">
        <v>50399</v>
      </c>
      <c r="C5322" t="s">
        <v>34</v>
      </c>
      <c r="D5322">
        <v>2248.36</v>
      </c>
      <c r="E5322">
        <v>348</v>
      </c>
      <c r="F5322">
        <v>0</v>
      </c>
      <c r="G5322">
        <v>3</v>
      </c>
      <c r="H5322">
        <v>1</v>
      </c>
      <c r="I5322" t="s">
        <v>33</v>
      </c>
      <c r="J5322">
        <v>1</v>
      </c>
      <c r="K5322">
        <v>81</v>
      </c>
      <c r="L5322" t="s">
        <v>24</v>
      </c>
      <c r="M5322" t="s">
        <v>25</v>
      </c>
      <c r="N5322" t="s">
        <v>22</v>
      </c>
      <c r="O5322" t="s">
        <v>27</v>
      </c>
      <c r="P5322">
        <v>1.1399999999999999</v>
      </c>
      <c r="Q5322" s="2" t="b">
        <f>FALSE()</f>
        <v>0</v>
      </c>
      <c r="R5322">
        <v>0</v>
      </c>
    </row>
    <row r="5323" spans="1:18" x14ac:dyDescent="0.25">
      <c r="A5323">
        <v>205322</v>
      </c>
      <c r="B5323">
        <v>51907</v>
      </c>
      <c r="C5323" t="s">
        <v>18</v>
      </c>
      <c r="D5323">
        <v>746.85</v>
      </c>
      <c r="E5323">
        <v>2596</v>
      </c>
      <c r="F5323">
        <v>0</v>
      </c>
      <c r="G5323">
        <v>7</v>
      </c>
      <c r="H5323">
        <v>0</v>
      </c>
      <c r="I5323" t="s">
        <v>32</v>
      </c>
      <c r="J5323">
        <v>0</v>
      </c>
      <c r="K5323">
        <v>26</v>
      </c>
      <c r="L5323" t="s">
        <v>24</v>
      </c>
      <c r="M5323" t="s">
        <v>35</v>
      </c>
      <c r="N5323" t="s">
        <v>22</v>
      </c>
      <c r="O5323" t="s">
        <v>36</v>
      </c>
      <c r="P5323">
        <v>4.9400000000000004</v>
      </c>
      <c r="Q5323" s="2" t="b">
        <f>FALSE()</f>
        <v>0</v>
      </c>
      <c r="R5323">
        <v>1</v>
      </c>
    </row>
    <row r="5324" spans="1:18" x14ac:dyDescent="0.25">
      <c r="A5324">
        <v>205323</v>
      </c>
      <c r="B5324">
        <v>50766</v>
      </c>
      <c r="C5324" t="s">
        <v>18</v>
      </c>
      <c r="D5324">
        <v>4832.16</v>
      </c>
      <c r="E5324">
        <v>3035</v>
      </c>
      <c r="F5324">
        <v>1</v>
      </c>
      <c r="G5324">
        <v>2</v>
      </c>
      <c r="H5324">
        <v>1</v>
      </c>
      <c r="I5324" t="s">
        <v>33</v>
      </c>
      <c r="J5324">
        <v>0</v>
      </c>
      <c r="K5324">
        <v>61</v>
      </c>
      <c r="L5324" t="s">
        <v>20</v>
      </c>
      <c r="M5324" t="s">
        <v>25</v>
      </c>
      <c r="N5324" t="s">
        <v>30</v>
      </c>
      <c r="O5324" t="s">
        <v>36</v>
      </c>
      <c r="P5324">
        <v>0.12</v>
      </c>
      <c r="Q5324" s="2" t="b">
        <f>FALSE()</f>
        <v>0</v>
      </c>
      <c r="R5324">
        <v>1</v>
      </c>
    </row>
    <row r="5325" spans="1:18" x14ac:dyDescent="0.25">
      <c r="A5325">
        <v>205324</v>
      </c>
      <c r="B5325">
        <v>52178</v>
      </c>
      <c r="C5325" t="s">
        <v>34</v>
      </c>
      <c r="D5325">
        <v>2768.9</v>
      </c>
      <c r="E5325">
        <v>906</v>
      </c>
      <c r="F5325">
        <v>1</v>
      </c>
      <c r="G5325">
        <v>1</v>
      </c>
      <c r="H5325">
        <v>0</v>
      </c>
      <c r="I5325" t="s">
        <v>33</v>
      </c>
      <c r="J5325">
        <v>0</v>
      </c>
      <c r="K5325">
        <v>33</v>
      </c>
      <c r="L5325" t="s">
        <v>20</v>
      </c>
      <c r="M5325" t="s">
        <v>25</v>
      </c>
      <c r="N5325" t="s">
        <v>22</v>
      </c>
      <c r="O5325" t="s">
        <v>27</v>
      </c>
      <c r="P5325">
        <v>5.37</v>
      </c>
      <c r="Q5325" s="2" t="b">
        <f>FALSE()</f>
        <v>0</v>
      </c>
      <c r="R5325">
        <v>0</v>
      </c>
    </row>
    <row r="5326" spans="1:18" x14ac:dyDescent="0.25">
      <c r="A5326">
        <v>205325</v>
      </c>
      <c r="B5326">
        <v>54155</v>
      </c>
      <c r="C5326" t="s">
        <v>18</v>
      </c>
      <c r="D5326">
        <v>1886.03</v>
      </c>
      <c r="E5326">
        <v>2729</v>
      </c>
      <c r="F5326">
        <v>1</v>
      </c>
      <c r="G5326">
        <v>4</v>
      </c>
      <c r="H5326">
        <v>1</v>
      </c>
      <c r="I5326" t="s">
        <v>32</v>
      </c>
      <c r="J5326">
        <v>1</v>
      </c>
      <c r="K5326">
        <v>69</v>
      </c>
      <c r="L5326" t="s">
        <v>24</v>
      </c>
      <c r="M5326" t="s">
        <v>25</v>
      </c>
      <c r="N5326" t="s">
        <v>30</v>
      </c>
      <c r="O5326" t="s">
        <v>27</v>
      </c>
      <c r="P5326">
        <v>0.8</v>
      </c>
      <c r="Q5326" s="2" t="b">
        <f>FALSE()</f>
        <v>0</v>
      </c>
      <c r="R5326">
        <v>0</v>
      </c>
    </row>
    <row r="5327" spans="1:18" x14ac:dyDescent="0.25">
      <c r="A5327">
        <v>205326</v>
      </c>
      <c r="B5327">
        <v>54647</v>
      </c>
      <c r="C5327" t="s">
        <v>34</v>
      </c>
      <c r="D5327">
        <v>983.91</v>
      </c>
      <c r="E5327">
        <v>1894</v>
      </c>
      <c r="F5327">
        <v>0</v>
      </c>
      <c r="G5327">
        <v>5</v>
      </c>
      <c r="H5327">
        <v>0</v>
      </c>
      <c r="I5327" t="s">
        <v>32</v>
      </c>
      <c r="J5327">
        <v>0</v>
      </c>
      <c r="K5327">
        <v>36</v>
      </c>
      <c r="L5327" t="s">
        <v>20</v>
      </c>
      <c r="M5327" t="s">
        <v>31</v>
      </c>
      <c r="N5327" t="s">
        <v>22</v>
      </c>
      <c r="O5327" t="s">
        <v>27</v>
      </c>
      <c r="P5327">
        <v>5.89</v>
      </c>
      <c r="Q5327" s="2" t="b">
        <f>FALSE()</f>
        <v>0</v>
      </c>
      <c r="R5327">
        <v>0</v>
      </c>
    </row>
    <row r="5328" spans="1:18" x14ac:dyDescent="0.25">
      <c r="A5328">
        <v>205327</v>
      </c>
      <c r="B5328">
        <v>52917</v>
      </c>
      <c r="C5328" t="s">
        <v>28</v>
      </c>
      <c r="D5328">
        <v>819.86</v>
      </c>
      <c r="E5328">
        <v>1246</v>
      </c>
      <c r="F5328">
        <v>1</v>
      </c>
      <c r="G5328">
        <v>4</v>
      </c>
      <c r="H5328">
        <v>0</v>
      </c>
      <c r="I5328" t="s">
        <v>19</v>
      </c>
      <c r="J5328">
        <v>0</v>
      </c>
      <c r="K5328">
        <v>51</v>
      </c>
      <c r="L5328" t="s">
        <v>20</v>
      </c>
      <c r="M5328" t="s">
        <v>29</v>
      </c>
      <c r="N5328" t="s">
        <v>22</v>
      </c>
      <c r="O5328" t="s">
        <v>23</v>
      </c>
      <c r="P5328">
        <v>6.32</v>
      </c>
      <c r="Q5328" s="2" t="b">
        <f>FALSE()</f>
        <v>0</v>
      </c>
      <c r="R5328">
        <v>0</v>
      </c>
    </row>
    <row r="5329" spans="1:18" x14ac:dyDescent="0.25">
      <c r="A5329">
        <v>205328</v>
      </c>
      <c r="B5329">
        <v>50348</v>
      </c>
      <c r="C5329" t="s">
        <v>18</v>
      </c>
      <c r="D5329">
        <v>678.85</v>
      </c>
      <c r="E5329">
        <v>256</v>
      </c>
      <c r="F5329">
        <v>0</v>
      </c>
      <c r="G5329">
        <v>6</v>
      </c>
      <c r="H5329">
        <v>0</v>
      </c>
      <c r="I5329" t="s">
        <v>33</v>
      </c>
      <c r="J5329">
        <v>0</v>
      </c>
      <c r="K5329">
        <v>62</v>
      </c>
      <c r="L5329" t="s">
        <v>24</v>
      </c>
      <c r="M5329" t="s">
        <v>25</v>
      </c>
      <c r="N5329" t="s">
        <v>26</v>
      </c>
      <c r="O5329" t="s">
        <v>27</v>
      </c>
      <c r="P5329">
        <v>3.19</v>
      </c>
      <c r="Q5329" s="2" t="b">
        <f>FALSE()</f>
        <v>0</v>
      </c>
      <c r="R5329">
        <v>0</v>
      </c>
    </row>
    <row r="5330" spans="1:18" x14ac:dyDescent="0.25">
      <c r="A5330">
        <v>205329</v>
      </c>
      <c r="B5330">
        <v>55803</v>
      </c>
      <c r="C5330" t="s">
        <v>18</v>
      </c>
      <c r="D5330">
        <v>950.8</v>
      </c>
      <c r="E5330">
        <v>1105</v>
      </c>
      <c r="F5330">
        <v>1</v>
      </c>
      <c r="G5330">
        <v>7</v>
      </c>
      <c r="H5330">
        <v>1</v>
      </c>
      <c r="I5330" t="s">
        <v>32</v>
      </c>
      <c r="J5330">
        <v>0</v>
      </c>
      <c r="K5330">
        <v>66</v>
      </c>
      <c r="L5330" t="s">
        <v>20</v>
      </c>
      <c r="M5330" t="s">
        <v>25</v>
      </c>
      <c r="N5330" t="s">
        <v>30</v>
      </c>
      <c r="O5330" t="s">
        <v>27</v>
      </c>
      <c r="P5330">
        <v>1.3</v>
      </c>
      <c r="Q5330" s="2" t="b">
        <f>FALSE()</f>
        <v>0</v>
      </c>
      <c r="R5330">
        <v>1</v>
      </c>
    </row>
    <row r="5331" spans="1:18" x14ac:dyDescent="0.25">
      <c r="A5331">
        <v>205330</v>
      </c>
      <c r="B5331">
        <v>51910</v>
      </c>
      <c r="C5331" t="s">
        <v>28</v>
      </c>
      <c r="D5331">
        <v>1294.52</v>
      </c>
      <c r="E5331">
        <v>2350</v>
      </c>
      <c r="F5331">
        <v>1</v>
      </c>
      <c r="G5331">
        <v>6</v>
      </c>
      <c r="H5331">
        <v>0</v>
      </c>
      <c r="I5331" t="s">
        <v>19</v>
      </c>
      <c r="J5331">
        <v>0</v>
      </c>
      <c r="K5331">
        <v>20</v>
      </c>
      <c r="L5331" t="s">
        <v>24</v>
      </c>
      <c r="M5331" t="s">
        <v>25</v>
      </c>
      <c r="N5331" t="s">
        <v>22</v>
      </c>
      <c r="O5331" t="s">
        <v>27</v>
      </c>
      <c r="P5331">
        <v>3.91</v>
      </c>
      <c r="Q5331" s="2" t="b">
        <f>FALSE()</f>
        <v>0</v>
      </c>
      <c r="R5331">
        <v>0</v>
      </c>
    </row>
    <row r="5332" spans="1:18" x14ac:dyDescent="0.25">
      <c r="A5332">
        <v>205331</v>
      </c>
      <c r="B5332">
        <v>54290</v>
      </c>
      <c r="C5332" t="s">
        <v>18</v>
      </c>
      <c r="D5332">
        <v>4767.46</v>
      </c>
      <c r="E5332">
        <v>1132</v>
      </c>
      <c r="F5332">
        <v>1</v>
      </c>
      <c r="G5332">
        <v>5</v>
      </c>
      <c r="H5332">
        <v>1</v>
      </c>
      <c r="I5332" t="s">
        <v>33</v>
      </c>
      <c r="J5332">
        <v>0</v>
      </c>
      <c r="K5332">
        <v>19</v>
      </c>
      <c r="L5332" t="s">
        <v>20</v>
      </c>
      <c r="M5332" t="s">
        <v>31</v>
      </c>
      <c r="N5332" t="s">
        <v>30</v>
      </c>
      <c r="O5332" t="s">
        <v>36</v>
      </c>
      <c r="P5332">
        <v>1.25</v>
      </c>
      <c r="Q5332" s="2" t="b">
        <f>FALSE()</f>
        <v>0</v>
      </c>
      <c r="R5332">
        <v>1</v>
      </c>
    </row>
    <row r="5333" spans="1:18" x14ac:dyDescent="0.25">
      <c r="A5333">
        <v>205332</v>
      </c>
      <c r="B5333">
        <v>51828</v>
      </c>
      <c r="C5333" t="s">
        <v>34</v>
      </c>
      <c r="D5333">
        <v>1620.12</v>
      </c>
      <c r="E5333">
        <v>1891</v>
      </c>
      <c r="F5333">
        <v>3</v>
      </c>
      <c r="G5333">
        <v>2</v>
      </c>
      <c r="H5333">
        <v>0</v>
      </c>
      <c r="I5333" t="s">
        <v>19</v>
      </c>
      <c r="J5333">
        <v>0</v>
      </c>
      <c r="K5333">
        <v>78</v>
      </c>
      <c r="L5333" t="s">
        <v>24</v>
      </c>
      <c r="M5333" t="s">
        <v>21</v>
      </c>
      <c r="N5333" t="s">
        <v>26</v>
      </c>
      <c r="O5333" t="s">
        <v>36</v>
      </c>
      <c r="P5333">
        <v>6.13</v>
      </c>
      <c r="Q5333" s="2" t="b">
        <f>FALSE()</f>
        <v>0</v>
      </c>
      <c r="R5333">
        <v>1</v>
      </c>
    </row>
    <row r="5334" spans="1:18" x14ac:dyDescent="0.25">
      <c r="A5334">
        <v>205333</v>
      </c>
      <c r="B5334">
        <v>53284</v>
      </c>
      <c r="C5334" t="s">
        <v>34</v>
      </c>
      <c r="D5334">
        <v>2319.4</v>
      </c>
      <c r="E5334">
        <v>3228</v>
      </c>
      <c r="F5334">
        <v>0</v>
      </c>
      <c r="G5334">
        <v>2</v>
      </c>
      <c r="H5334">
        <v>0</v>
      </c>
      <c r="I5334" t="s">
        <v>32</v>
      </c>
      <c r="J5334">
        <v>0</v>
      </c>
      <c r="K5334">
        <v>22</v>
      </c>
      <c r="L5334" t="s">
        <v>24</v>
      </c>
      <c r="M5334" t="s">
        <v>31</v>
      </c>
      <c r="N5334" t="s">
        <v>26</v>
      </c>
      <c r="O5334" t="s">
        <v>23</v>
      </c>
      <c r="P5334">
        <v>0.36</v>
      </c>
      <c r="Q5334" s="2" t="b">
        <f>FALSE()</f>
        <v>0</v>
      </c>
      <c r="R5334">
        <v>0</v>
      </c>
    </row>
    <row r="5335" spans="1:18" x14ac:dyDescent="0.25">
      <c r="A5335">
        <v>205334</v>
      </c>
      <c r="B5335">
        <v>55305</v>
      </c>
      <c r="C5335" t="s">
        <v>18</v>
      </c>
      <c r="D5335">
        <v>5640.68</v>
      </c>
      <c r="E5335">
        <v>2951</v>
      </c>
      <c r="F5335">
        <v>1</v>
      </c>
      <c r="G5335">
        <v>5</v>
      </c>
      <c r="H5335">
        <v>0</v>
      </c>
      <c r="I5335" t="s">
        <v>33</v>
      </c>
      <c r="J5335">
        <v>0</v>
      </c>
      <c r="K5335">
        <v>27</v>
      </c>
      <c r="L5335" t="s">
        <v>24</v>
      </c>
      <c r="M5335" t="s">
        <v>25</v>
      </c>
      <c r="N5335" t="s">
        <v>30</v>
      </c>
      <c r="O5335" t="s">
        <v>36</v>
      </c>
      <c r="P5335">
        <v>0.6</v>
      </c>
      <c r="Q5335" s="2" t="b">
        <f>FALSE()</f>
        <v>0</v>
      </c>
      <c r="R5335">
        <v>1</v>
      </c>
    </row>
    <row r="5336" spans="1:18" x14ac:dyDescent="0.25">
      <c r="A5336">
        <v>205335</v>
      </c>
      <c r="B5336">
        <v>52486</v>
      </c>
      <c r="C5336" t="s">
        <v>18</v>
      </c>
      <c r="D5336">
        <v>6234.32</v>
      </c>
      <c r="E5336">
        <v>1361</v>
      </c>
      <c r="F5336">
        <v>0</v>
      </c>
      <c r="G5336">
        <v>3</v>
      </c>
      <c r="H5336">
        <v>0</v>
      </c>
      <c r="I5336" t="s">
        <v>19</v>
      </c>
      <c r="J5336">
        <v>0</v>
      </c>
      <c r="K5336">
        <v>51</v>
      </c>
      <c r="L5336" t="s">
        <v>20</v>
      </c>
      <c r="M5336" t="s">
        <v>21</v>
      </c>
      <c r="N5336" t="s">
        <v>22</v>
      </c>
      <c r="O5336" t="s">
        <v>23</v>
      </c>
      <c r="P5336">
        <v>1</v>
      </c>
      <c r="Q5336" s="2" t="b">
        <f>FALSE()</f>
        <v>0</v>
      </c>
      <c r="R5336">
        <v>1</v>
      </c>
    </row>
    <row r="5337" spans="1:18" x14ac:dyDescent="0.25">
      <c r="A5337">
        <v>205336</v>
      </c>
      <c r="B5337">
        <v>52104</v>
      </c>
      <c r="C5337" t="s">
        <v>34</v>
      </c>
      <c r="D5337">
        <v>6815.9</v>
      </c>
      <c r="E5337">
        <v>1194</v>
      </c>
      <c r="F5337">
        <v>2</v>
      </c>
      <c r="G5337">
        <v>6</v>
      </c>
      <c r="H5337">
        <v>1</v>
      </c>
      <c r="I5337" t="s">
        <v>33</v>
      </c>
      <c r="J5337">
        <v>0</v>
      </c>
      <c r="K5337">
        <v>30</v>
      </c>
      <c r="L5337" t="s">
        <v>24</v>
      </c>
      <c r="M5337" t="s">
        <v>25</v>
      </c>
      <c r="N5337" t="s">
        <v>22</v>
      </c>
      <c r="O5337" t="s">
        <v>23</v>
      </c>
      <c r="P5337">
        <v>1.76</v>
      </c>
      <c r="Q5337" s="2" t="b">
        <f>FALSE()</f>
        <v>0</v>
      </c>
      <c r="R5337">
        <v>1</v>
      </c>
    </row>
    <row r="5338" spans="1:18" x14ac:dyDescent="0.25">
      <c r="A5338">
        <v>205337</v>
      </c>
      <c r="B5338">
        <v>52905</v>
      </c>
      <c r="C5338" t="s">
        <v>18</v>
      </c>
      <c r="D5338">
        <v>1875.43</v>
      </c>
      <c r="E5338">
        <v>2497</v>
      </c>
      <c r="F5338">
        <v>1</v>
      </c>
      <c r="G5338">
        <v>4</v>
      </c>
      <c r="H5338">
        <v>0</v>
      </c>
      <c r="I5338" t="s">
        <v>33</v>
      </c>
      <c r="J5338">
        <v>0</v>
      </c>
      <c r="K5338">
        <v>36</v>
      </c>
      <c r="L5338" t="s">
        <v>20</v>
      </c>
      <c r="M5338" t="s">
        <v>21</v>
      </c>
      <c r="N5338" t="s">
        <v>30</v>
      </c>
      <c r="O5338" t="s">
        <v>27</v>
      </c>
      <c r="P5338">
        <v>0.25</v>
      </c>
      <c r="Q5338" s="2" t="b">
        <f>FALSE()</f>
        <v>0</v>
      </c>
      <c r="R5338">
        <v>0</v>
      </c>
    </row>
    <row r="5339" spans="1:18" x14ac:dyDescent="0.25">
      <c r="A5339">
        <v>205338</v>
      </c>
      <c r="B5339">
        <v>52386</v>
      </c>
      <c r="C5339" t="s">
        <v>28</v>
      </c>
      <c r="D5339">
        <v>640.95000000000005</v>
      </c>
      <c r="E5339">
        <v>2065</v>
      </c>
      <c r="F5339">
        <v>0</v>
      </c>
      <c r="G5339">
        <v>2</v>
      </c>
      <c r="H5339">
        <v>1</v>
      </c>
      <c r="I5339" t="s">
        <v>19</v>
      </c>
      <c r="J5339">
        <v>0</v>
      </c>
      <c r="K5339">
        <v>43</v>
      </c>
      <c r="L5339" t="s">
        <v>24</v>
      </c>
      <c r="M5339" t="s">
        <v>29</v>
      </c>
      <c r="N5339" t="s">
        <v>22</v>
      </c>
      <c r="O5339" t="s">
        <v>27</v>
      </c>
      <c r="P5339">
        <v>2.37</v>
      </c>
      <c r="Q5339" s="2" t="b">
        <f>FALSE()</f>
        <v>0</v>
      </c>
      <c r="R5339">
        <v>0</v>
      </c>
    </row>
    <row r="5340" spans="1:18" x14ac:dyDescent="0.25">
      <c r="A5340">
        <v>205339</v>
      </c>
      <c r="B5340">
        <v>53303</v>
      </c>
      <c r="C5340" t="s">
        <v>34</v>
      </c>
      <c r="D5340">
        <v>3573.64</v>
      </c>
      <c r="E5340">
        <v>227</v>
      </c>
      <c r="F5340">
        <v>2</v>
      </c>
      <c r="G5340">
        <v>3</v>
      </c>
      <c r="H5340">
        <v>0</v>
      </c>
      <c r="I5340" t="s">
        <v>33</v>
      </c>
      <c r="J5340">
        <v>0</v>
      </c>
      <c r="K5340">
        <v>45</v>
      </c>
      <c r="L5340" t="s">
        <v>20</v>
      </c>
      <c r="M5340" t="s">
        <v>21</v>
      </c>
      <c r="N5340" t="s">
        <v>22</v>
      </c>
      <c r="O5340" t="s">
        <v>27</v>
      </c>
      <c r="P5340">
        <v>1.9</v>
      </c>
      <c r="Q5340" s="2" t="b">
        <f>FALSE()</f>
        <v>0</v>
      </c>
      <c r="R5340">
        <v>1</v>
      </c>
    </row>
    <row r="5341" spans="1:18" x14ac:dyDescent="0.25">
      <c r="A5341">
        <v>205340</v>
      </c>
      <c r="B5341">
        <v>52458</v>
      </c>
      <c r="C5341" t="s">
        <v>34</v>
      </c>
      <c r="D5341">
        <v>974.26</v>
      </c>
      <c r="E5341">
        <v>1603</v>
      </c>
      <c r="F5341">
        <v>3</v>
      </c>
      <c r="G5341">
        <v>3</v>
      </c>
      <c r="H5341">
        <v>0</v>
      </c>
      <c r="I5341" t="s">
        <v>33</v>
      </c>
      <c r="J5341">
        <v>1</v>
      </c>
      <c r="K5341">
        <v>57</v>
      </c>
      <c r="L5341" t="s">
        <v>24</v>
      </c>
      <c r="M5341" t="s">
        <v>35</v>
      </c>
      <c r="N5341" t="s">
        <v>30</v>
      </c>
      <c r="O5341" t="s">
        <v>27</v>
      </c>
      <c r="P5341">
        <v>0.59</v>
      </c>
      <c r="Q5341" s="2" t="b">
        <f>FALSE()</f>
        <v>0</v>
      </c>
      <c r="R5341">
        <v>1</v>
      </c>
    </row>
    <row r="5342" spans="1:18" x14ac:dyDescent="0.25">
      <c r="A5342">
        <v>205341</v>
      </c>
      <c r="B5342">
        <v>53664</v>
      </c>
      <c r="C5342" t="s">
        <v>34</v>
      </c>
      <c r="D5342">
        <v>778.3</v>
      </c>
      <c r="E5342">
        <v>703</v>
      </c>
      <c r="F5342">
        <v>1</v>
      </c>
      <c r="G5342">
        <v>6</v>
      </c>
      <c r="H5342">
        <v>0</v>
      </c>
      <c r="I5342" t="s">
        <v>33</v>
      </c>
      <c r="J5342">
        <v>0</v>
      </c>
      <c r="K5342">
        <v>31</v>
      </c>
      <c r="L5342" t="s">
        <v>20</v>
      </c>
      <c r="M5342" t="s">
        <v>37</v>
      </c>
      <c r="N5342" t="s">
        <v>22</v>
      </c>
      <c r="O5342" t="s">
        <v>27</v>
      </c>
      <c r="P5342">
        <v>1.3</v>
      </c>
      <c r="Q5342" s="2" t="b">
        <f>FALSE()</f>
        <v>0</v>
      </c>
      <c r="R5342">
        <v>0</v>
      </c>
    </row>
    <row r="5343" spans="1:18" x14ac:dyDescent="0.25">
      <c r="A5343">
        <v>205342</v>
      </c>
      <c r="B5343">
        <v>50169</v>
      </c>
      <c r="C5343" t="s">
        <v>34</v>
      </c>
      <c r="D5343">
        <v>991.95</v>
      </c>
      <c r="E5343">
        <v>2432</v>
      </c>
      <c r="F5343">
        <v>1</v>
      </c>
      <c r="G5343">
        <v>6</v>
      </c>
      <c r="H5343">
        <v>0</v>
      </c>
      <c r="I5343" t="s">
        <v>33</v>
      </c>
      <c r="J5343">
        <v>0</v>
      </c>
      <c r="K5343">
        <v>36</v>
      </c>
      <c r="L5343" t="s">
        <v>24</v>
      </c>
      <c r="M5343" t="s">
        <v>35</v>
      </c>
      <c r="N5343" t="s">
        <v>30</v>
      </c>
      <c r="O5343" t="s">
        <v>36</v>
      </c>
      <c r="P5343">
        <v>0.98</v>
      </c>
      <c r="Q5343" s="2" t="b">
        <f>FALSE()</f>
        <v>0</v>
      </c>
      <c r="R5343">
        <v>0</v>
      </c>
    </row>
    <row r="5344" spans="1:18" x14ac:dyDescent="0.25">
      <c r="A5344">
        <v>205343</v>
      </c>
      <c r="B5344">
        <v>52038</v>
      </c>
      <c r="C5344" t="s">
        <v>18</v>
      </c>
      <c r="D5344">
        <v>5037.67</v>
      </c>
      <c r="E5344">
        <v>2758</v>
      </c>
      <c r="F5344">
        <v>2</v>
      </c>
      <c r="G5344">
        <v>4</v>
      </c>
      <c r="H5344">
        <v>0</v>
      </c>
      <c r="I5344" t="s">
        <v>33</v>
      </c>
      <c r="J5344">
        <v>0</v>
      </c>
      <c r="K5344">
        <v>46</v>
      </c>
      <c r="L5344" t="s">
        <v>24</v>
      </c>
      <c r="M5344" t="s">
        <v>31</v>
      </c>
      <c r="N5344" t="s">
        <v>30</v>
      </c>
      <c r="O5344" t="s">
        <v>27</v>
      </c>
      <c r="P5344">
        <v>1.48</v>
      </c>
      <c r="Q5344" s="2" t="b">
        <f>FALSE()</f>
        <v>0</v>
      </c>
      <c r="R5344">
        <v>1</v>
      </c>
    </row>
    <row r="5345" spans="1:18" x14ac:dyDescent="0.25">
      <c r="A5345">
        <v>205344</v>
      </c>
      <c r="B5345">
        <v>53955</v>
      </c>
      <c r="C5345" t="s">
        <v>18</v>
      </c>
      <c r="D5345">
        <v>2727.46</v>
      </c>
      <c r="E5345">
        <v>1699</v>
      </c>
      <c r="F5345">
        <v>3</v>
      </c>
      <c r="G5345">
        <v>2</v>
      </c>
      <c r="H5345">
        <v>0</v>
      </c>
      <c r="I5345" t="s">
        <v>33</v>
      </c>
      <c r="J5345">
        <v>0</v>
      </c>
      <c r="K5345">
        <v>67</v>
      </c>
      <c r="L5345" t="s">
        <v>24</v>
      </c>
      <c r="M5345" t="s">
        <v>25</v>
      </c>
      <c r="N5345" t="s">
        <v>30</v>
      </c>
      <c r="O5345" t="s">
        <v>27</v>
      </c>
      <c r="P5345">
        <v>1.62</v>
      </c>
      <c r="Q5345" s="2" t="b">
        <f>FALSE()</f>
        <v>0</v>
      </c>
      <c r="R5345">
        <v>1</v>
      </c>
    </row>
    <row r="5346" spans="1:18" x14ac:dyDescent="0.25">
      <c r="A5346">
        <v>205345</v>
      </c>
      <c r="B5346">
        <v>52130</v>
      </c>
      <c r="C5346" t="s">
        <v>18</v>
      </c>
      <c r="D5346">
        <v>2411.08</v>
      </c>
      <c r="E5346">
        <v>1631</v>
      </c>
      <c r="F5346">
        <v>2</v>
      </c>
      <c r="G5346">
        <v>4</v>
      </c>
      <c r="H5346">
        <v>0</v>
      </c>
      <c r="I5346" t="s">
        <v>19</v>
      </c>
      <c r="J5346">
        <v>0</v>
      </c>
      <c r="K5346">
        <v>57</v>
      </c>
      <c r="L5346" t="s">
        <v>24</v>
      </c>
      <c r="M5346" t="s">
        <v>21</v>
      </c>
      <c r="N5346" t="s">
        <v>30</v>
      </c>
      <c r="O5346" t="s">
        <v>36</v>
      </c>
      <c r="P5346">
        <v>0.55000000000000004</v>
      </c>
      <c r="Q5346" s="2" t="b">
        <f>FALSE()</f>
        <v>0</v>
      </c>
      <c r="R5346">
        <v>0</v>
      </c>
    </row>
    <row r="5347" spans="1:18" x14ac:dyDescent="0.25">
      <c r="A5347">
        <v>205346</v>
      </c>
      <c r="B5347">
        <v>50833</v>
      </c>
      <c r="C5347" t="s">
        <v>34</v>
      </c>
      <c r="D5347">
        <v>1811.48</v>
      </c>
      <c r="E5347">
        <v>3279</v>
      </c>
      <c r="F5347">
        <v>5</v>
      </c>
      <c r="G5347">
        <v>2</v>
      </c>
      <c r="H5347">
        <v>0</v>
      </c>
      <c r="I5347" t="s">
        <v>33</v>
      </c>
      <c r="J5347">
        <v>0</v>
      </c>
      <c r="K5347">
        <v>72</v>
      </c>
      <c r="L5347" t="s">
        <v>24</v>
      </c>
      <c r="M5347" t="s">
        <v>25</v>
      </c>
      <c r="N5347" t="s">
        <v>22</v>
      </c>
      <c r="O5347" t="s">
        <v>27</v>
      </c>
      <c r="P5347">
        <v>9.1</v>
      </c>
      <c r="Q5347" s="2" t="b">
        <f>FALSE()</f>
        <v>0</v>
      </c>
      <c r="R5347">
        <v>1</v>
      </c>
    </row>
    <row r="5348" spans="1:18" x14ac:dyDescent="0.25">
      <c r="A5348">
        <v>205347</v>
      </c>
      <c r="B5348">
        <v>54582</v>
      </c>
      <c r="C5348" t="s">
        <v>34</v>
      </c>
      <c r="D5348">
        <v>467.31</v>
      </c>
      <c r="E5348">
        <v>2221</v>
      </c>
      <c r="F5348">
        <v>1</v>
      </c>
      <c r="G5348">
        <v>6</v>
      </c>
      <c r="H5348">
        <v>0</v>
      </c>
      <c r="I5348" t="s">
        <v>33</v>
      </c>
      <c r="J5348">
        <v>0</v>
      </c>
      <c r="K5348">
        <v>31</v>
      </c>
      <c r="L5348" t="s">
        <v>24</v>
      </c>
      <c r="M5348" t="s">
        <v>21</v>
      </c>
      <c r="N5348" t="s">
        <v>22</v>
      </c>
      <c r="O5348" t="s">
        <v>36</v>
      </c>
      <c r="P5348">
        <v>8.2100000000000009</v>
      </c>
      <c r="Q5348" s="2" t="b">
        <f>FALSE()</f>
        <v>0</v>
      </c>
      <c r="R5348">
        <v>0</v>
      </c>
    </row>
    <row r="5349" spans="1:18" x14ac:dyDescent="0.25">
      <c r="A5349">
        <v>205348</v>
      </c>
      <c r="B5349">
        <v>53127</v>
      </c>
      <c r="C5349" t="s">
        <v>18</v>
      </c>
      <c r="D5349">
        <v>3267.26</v>
      </c>
      <c r="E5349">
        <v>3071</v>
      </c>
      <c r="F5349">
        <v>1</v>
      </c>
      <c r="G5349">
        <v>8</v>
      </c>
      <c r="H5349">
        <v>1</v>
      </c>
      <c r="I5349" t="s">
        <v>33</v>
      </c>
      <c r="J5349">
        <v>0</v>
      </c>
      <c r="K5349">
        <v>23</v>
      </c>
      <c r="L5349" t="s">
        <v>24</v>
      </c>
      <c r="M5349" t="s">
        <v>35</v>
      </c>
      <c r="N5349" t="s">
        <v>22</v>
      </c>
      <c r="O5349" t="s">
        <v>36</v>
      </c>
      <c r="P5349">
        <v>0.68</v>
      </c>
      <c r="Q5349" s="2" t="b">
        <f>FALSE()</f>
        <v>0</v>
      </c>
      <c r="R5349">
        <v>1</v>
      </c>
    </row>
    <row r="5350" spans="1:18" x14ac:dyDescent="0.25">
      <c r="A5350">
        <v>205349</v>
      </c>
      <c r="B5350">
        <v>55588</v>
      </c>
      <c r="C5350" t="s">
        <v>34</v>
      </c>
      <c r="D5350">
        <v>2533.42</v>
      </c>
      <c r="E5350">
        <v>1291</v>
      </c>
      <c r="F5350">
        <v>1</v>
      </c>
      <c r="G5350">
        <v>1</v>
      </c>
      <c r="H5350">
        <v>1</v>
      </c>
      <c r="I5350" t="s">
        <v>32</v>
      </c>
      <c r="J5350">
        <v>0</v>
      </c>
      <c r="K5350">
        <v>29</v>
      </c>
      <c r="L5350" t="s">
        <v>20</v>
      </c>
      <c r="M5350" t="s">
        <v>31</v>
      </c>
      <c r="N5350" t="s">
        <v>30</v>
      </c>
      <c r="O5350" t="s">
        <v>23</v>
      </c>
      <c r="P5350">
        <v>8.8000000000000007</v>
      </c>
      <c r="Q5350" s="2" t="b">
        <f>FALSE()</f>
        <v>0</v>
      </c>
      <c r="R5350">
        <v>0</v>
      </c>
    </row>
    <row r="5351" spans="1:18" x14ac:dyDescent="0.25">
      <c r="A5351">
        <v>205350</v>
      </c>
      <c r="B5351">
        <v>55514</v>
      </c>
      <c r="C5351" t="s">
        <v>18</v>
      </c>
      <c r="D5351">
        <v>4408.34</v>
      </c>
      <c r="E5351">
        <v>157</v>
      </c>
      <c r="F5351">
        <v>1</v>
      </c>
      <c r="G5351">
        <v>2</v>
      </c>
      <c r="H5351">
        <v>1</v>
      </c>
      <c r="I5351" t="s">
        <v>32</v>
      </c>
      <c r="J5351">
        <v>0</v>
      </c>
      <c r="K5351">
        <v>78</v>
      </c>
      <c r="L5351" t="s">
        <v>20</v>
      </c>
      <c r="M5351" t="s">
        <v>37</v>
      </c>
      <c r="N5351" t="s">
        <v>30</v>
      </c>
      <c r="O5351" t="s">
        <v>36</v>
      </c>
      <c r="P5351">
        <v>5.23</v>
      </c>
      <c r="Q5351" s="2" t="b">
        <f>FALSE()</f>
        <v>0</v>
      </c>
      <c r="R5351">
        <v>1</v>
      </c>
    </row>
    <row r="5352" spans="1:18" x14ac:dyDescent="0.25">
      <c r="A5352">
        <v>205351</v>
      </c>
      <c r="B5352">
        <v>52758</v>
      </c>
      <c r="C5352" t="s">
        <v>34</v>
      </c>
      <c r="D5352">
        <v>3514.78</v>
      </c>
      <c r="E5352">
        <v>2689</v>
      </c>
      <c r="F5352">
        <v>3</v>
      </c>
      <c r="G5352">
        <v>1</v>
      </c>
      <c r="H5352">
        <v>0</v>
      </c>
      <c r="I5352" t="s">
        <v>33</v>
      </c>
      <c r="J5352">
        <v>0</v>
      </c>
      <c r="K5352">
        <v>44</v>
      </c>
      <c r="L5352" t="s">
        <v>20</v>
      </c>
      <c r="M5352" t="s">
        <v>31</v>
      </c>
      <c r="N5352" t="s">
        <v>26</v>
      </c>
      <c r="O5352" t="s">
        <v>27</v>
      </c>
      <c r="P5352">
        <v>6.27</v>
      </c>
      <c r="Q5352" s="2" t="b">
        <f>FALSE()</f>
        <v>0</v>
      </c>
      <c r="R5352">
        <v>1</v>
      </c>
    </row>
    <row r="5353" spans="1:18" x14ac:dyDescent="0.25">
      <c r="A5353">
        <v>205352</v>
      </c>
      <c r="B5353">
        <v>52554</v>
      </c>
      <c r="C5353" t="s">
        <v>34</v>
      </c>
      <c r="D5353">
        <v>1340.17</v>
      </c>
      <c r="E5353">
        <v>414</v>
      </c>
      <c r="F5353">
        <v>2</v>
      </c>
      <c r="G5353">
        <v>7</v>
      </c>
      <c r="H5353">
        <v>0</v>
      </c>
      <c r="I5353" t="s">
        <v>19</v>
      </c>
      <c r="J5353">
        <v>0</v>
      </c>
      <c r="K5353">
        <v>68</v>
      </c>
      <c r="L5353" t="s">
        <v>20</v>
      </c>
      <c r="M5353" t="s">
        <v>31</v>
      </c>
      <c r="N5353" t="s">
        <v>30</v>
      </c>
      <c r="O5353" t="s">
        <v>36</v>
      </c>
      <c r="P5353">
        <v>0.61</v>
      </c>
      <c r="Q5353" s="2" t="b">
        <f>FALSE()</f>
        <v>0</v>
      </c>
      <c r="R5353">
        <v>1</v>
      </c>
    </row>
    <row r="5354" spans="1:18" x14ac:dyDescent="0.25">
      <c r="A5354">
        <v>205353</v>
      </c>
      <c r="B5354">
        <v>53751</v>
      </c>
      <c r="C5354" t="s">
        <v>34</v>
      </c>
      <c r="D5354">
        <v>1947.08</v>
      </c>
      <c r="E5354">
        <v>1795</v>
      </c>
      <c r="F5354">
        <v>1</v>
      </c>
      <c r="G5354">
        <v>3</v>
      </c>
      <c r="H5354">
        <v>1</v>
      </c>
      <c r="I5354" t="s">
        <v>19</v>
      </c>
      <c r="J5354">
        <v>0</v>
      </c>
      <c r="K5354">
        <v>71</v>
      </c>
      <c r="L5354" t="s">
        <v>20</v>
      </c>
      <c r="M5354" t="s">
        <v>31</v>
      </c>
      <c r="N5354" t="s">
        <v>30</v>
      </c>
      <c r="O5354" t="s">
        <v>36</v>
      </c>
      <c r="P5354">
        <v>2.77</v>
      </c>
      <c r="Q5354" s="2" t="b">
        <f>FALSE()</f>
        <v>0</v>
      </c>
      <c r="R5354">
        <v>0</v>
      </c>
    </row>
    <row r="5355" spans="1:18" x14ac:dyDescent="0.25">
      <c r="A5355">
        <v>205354</v>
      </c>
      <c r="B5355">
        <v>50076</v>
      </c>
      <c r="C5355" t="s">
        <v>18</v>
      </c>
      <c r="D5355">
        <v>2142.1799999999998</v>
      </c>
      <c r="E5355">
        <v>3010</v>
      </c>
      <c r="F5355">
        <v>1</v>
      </c>
      <c r="G5355">
        <v>7</v>
      </c>
      <c r="H5355">
        <v>0</v>
      </c>
      <c r="I5355" t="s">
        <v>33</v>
      </c>
      <c r="J5355">
        <v>0</v>
      </c>
      <c r="K5355">
        <v>84</v>
      </c>
      <c r="L5355" t="s">
        <v>24</v>
      </c>
      <c r="M5355" t="s">
        <v>37</v>
      </c>
      <c r="N5355" t="s">
        <v>22</v>
      </c>
      <c r="O5355" t="s">
        <v>36</v>
      </c>
      <c r="P5355">
        <v>2.14</v>
      </c>
      <c r="Q5355" s="2" t="b">
        <f>FALSE()</f>
        <v>0</v>
      </c>
      <c r="R5355">
        <v>1</v>
      </c>
    </row>
    <row r="5356" spans="1:18" x14ac:dyDescent="0.25">
      <c r="A5356">
        <v>205355</v>
      </c>
      <c r="B5356">
        <v>50790</v>
      </c>
      <c r="C5356" t="s">
        <v>18</v>
      </c>
      <c r="D5356">
        <v>2724.68</v>
      </c>
      <c r="E5356">
        <v>1260</v>
      </c>
      <c r="F5356">
        <v>3</v>
      </c>
      <c r="G5356">
        <v>5</v>
      </c>
      <c r="H5356">
        <v>0</v>
      </c>
      <c r="I5356" t="s">
        <v>33</v>
      </c>
      <c r="J5356">
        <v>0</v>
      </c>
      <c r="K5356">
        <v>75</v>
      </c>
      <c r="L5356" t="s">
        <v>20</v>
      </c>
      <c r="M5356" t="s">
        <v>25</v>
      </c>
      <c r="N5356" t="s">
        <v>22</v>
      </c>
      <c r="O5356" t="s">
        <v>36</v>
      </c>
      <c r="P5356">
        <v>3.66</v>
      </c>
      <c r="Q5356" s="2" t="b">
        <f>FALSE()</f>
        <v>0</v>
      </c>
      <c r="R5356">
        <v>1</v>
      </c>
    </row>
    <row r="5357" spans="1:18" x14ac:dyDescent="0.25">
      <c r="A5357">
        <v>205356</v>
      </c>
      <c r="B5357">
        <v>55836</v>
      </c>
      <c r="C5357" t="s">
        <v>28</v>
      </c>
      <c r="D5357">
        <v>1843.25</v>
      </c>
      <c r="E5357">
        <v>2806</v>
      </c>
      <c r="F5357">
        <v>0</v>
      </c>
      <c r="G5357">
        <v>3</v>
      </c>
      <c r="H5357">
        <v>0</v>
      </c>
      <c r="I5357" t="s">
        <v>33</v>
      </c>
      <c r="J5357">
        <v>1</v>
      </c>
      <c r="K5357">
        <v>63</v>
      </c>
      <c r="L5357" t="s">
        <v>20</v>
      </c>
      <c r="M5357" t="s">
        <v>31</v>
      </c>
      <c r="N5357" t="s">
        <v>22</v>
      </c>
      <c r="O5357" t="s">
        <v>36</v>
      </c>
      <c r="P5357">
        <v>1.5</v>
      </c>
      <c r="Q5357" s="2" t="b">
        <f>FALSE()</f>
        <v>0</v>
      </c>
      <c r="R5357">
        <v>0</v>
      </c>
    </row>
    <row r="5358" spans="1:18" x14ac:dyDescent="0.25">
      <c r="A5358">
        <v>205357</v>
      </c>
      <c r="B5358">
        <v>51856</v>
      </c>
      <c r="C5358" t="s">
        <v>18</v>
      </c>
      <c r="D5358">
        <v>702.35</v>
      </c>
      <c r="E5358">
        <v>3157</v>
      </c>
      <c r="F5358">
        <v>0</v>
      </c>
      <c r="G5358">
        <v>1</v>
      </c>
      <c r="H5358">
        <v>0</v>
      </c>
      <c r="I5358" t="s">
        <v>33</v>
      </c>
      <c r="J5358">
        <v>1</v>
      </c>
      <c r="K5358">
        <v>67</v>
      </c>
      <c r="L5358" t="s">
        <v>24</v>
      </c>
      <c r="M5358" t="s">
        <v>31</v>
      </c>
      <c r="N5358" t="s">
        <v>26</v>
      </c>
      <c r="O5358" t="s">
        <v>27</v>
      </c>
      <c r="P5358">
        <v>12.92</v>
      </c>
      <c r="Q5358" s="2" t="b">
        <f>FALSE()</f>
        <v>0</v>
      </c>
      <c r="R5358">
        <v>0</v>
      </c>
    </row>
    <row r="5359" spans="1:18" x14ac:dyDescent="0.25">
      <c r="A5359">
        <v>205358</v>
      </c>
      <c r="B5359">
        <v>55637</v>
      </c>
      <c r="C5359" t="s">
        <v>18</v>
      </c>
      <c r="D5359">
        <v>2979.57</v>
      </c>
      <c r="E5359">
        <v>3608</v>
      </c>
      <c r="F5359">
        <v>0</v>
      </c>
      <c r="G5359">
        <v>3</v>
      </c>
      <c r="H5359">
        <v>1</v>
      </c>
      <c r="I5359" t="s">
        <v>33</v>
      </c>
      <c r="J5359">
        <v>0</v>
      </c>
      <c r="K5359">
        <v>30</v>
      </c>
      <c r="L5359" t="s">
        <v>24</v>
      </c>
      <c r="M5359" t="s">
        <v>35</v>
      </c>
      <c r="N5359" t="s">
        <v>30</v>
      </c>
      <c r="O5359" t="s">
        <v>23</v>
      </c>
      <c r="P5359">
        <v>5.24</v>
      </c>
      <c r="Q5359" s="2" t="b">
        <f>FALSE()</f>
        <v>0</v>
      </c>
      <c r="R5359">
        <v>0</v>
      </c>
    </row>
    <row r="5360" spans="1:18" x14ac:dyDescent="0.25">
      <c r="A5360">
        <v>205359</v>
      </c>
      <c r="B5360">
        <v>55133</v>
      </c>
      <c r="C5360" t="s">
        <v>28</v>
      </c>
      <c r="D5360">
        <v>3601.71</v>
      </c>
      <c r="E5360">
        <v>3051</v>
      </c>
      <c r="F5360">
        <v>2</v>
      </c>
      <c r="G5360">
        <v>5</v>
      </c>
      <c r="H5360">
        <v>0</v>
      </c>
      <c r="I5360" t="s">
        <v>19</v>
      </c>
      <c r="J5360">
        <v>0</v>
      </c>
      <c r="K5360">
        <v>37</v>
      </c>
      <c r="L5360" t="s">
        <v>20</v>
      </c>
      <c r="M5360" t="s">
        <v>31</v>
      </c>
      <c r="N5360" t="s">
        <v>30</v>
      </c>
      <c r="O5360" t="s">
        <v>36</v>
      </c>
      <c r="P5360">
        <v>5.23</v>
      </c>
      <c r="Q5360" s="2" t="b">
        <f>FALSE()</f>
        <v>0</v>
      </c>
      <c r="R5360">
        <v>1</v>
      </c>
    </row>
    <row r="5361" spans="1:18" x14ac:dyDescent="0.25">
      <c r="A5361">
        <v>205360</v>
      </c>
      <c r="B5361">
        <v>51979</v>
      </c>
      <c r="C5361" t="s">
        <v>18</v>
      </c>
      <c r="D5361">
        <v>6818</v>
      </c>
      <c r="E5361">
        <v>247</v>
      </c>
      <c r="F5361">
        <v>0</v>
      </c>
      <c r="G5361">
        <v>3</v>
      </c>
      <c r="H5361">
        <v>0</v>
      </c>
      <c r="I5361" t="s">
        <v>33</v>
      </c>
      <c r="J5361">
        <v>0</v>
      </c>
      <c r="K5361">
        <v>75</v>
      </c>
      <c r="L5361" t="s">
        <v>20</v>
      </c>
      <c r="M5361" t="s">
        <v>21</v>
      </c>
      <c r="N5361" t="s">
        <v>22</v>
      </c>
      <c r="O5361" t="s">
        <v>36</v>
      </c>
      <c r="P5361">
        <v>0.91</v>
      </c>
      <c r="Q5361" s="2" t="b">
        <f>FALSE()</f>
        <v>0</v>
      </c>
      <c r="R5361">
        <v>1</v>
      </c>
    </row>
    <row r="5362" spans="1:18" x14ac:dyDescent="0.25">
      <c r="A5362">
        <v>205361</v>
      </c>
      <c r="B5362">
        <v>54050</v>
      </c>
      <c r="C5362" t="s">
        <v>34</v>
      </c>
      <c r="D5362">
        <v>2833.17</v>
      </c>
      <c r="E5362">
        <v>434</v>
      </c>
      <c r="F5362">
        <v>2</v>
      </c>
      <c r="G5362">
        <v>7</v>
      </c>
      <c r="H5362">
        <v>0</v>
      </c>
      <c r="I5362" t="s">
        <v>32</v>
      </c>
      <c r="J5362">
        <v>1</v>
      </c>
      <c r="K5362">
        <v>80</v>
      </c>
      <c r="L5362" t="s">
        <v>24</v>
      </c>
      <c r="M5362" t="s">
        <v>21</v>
      </c>
      <c r="N5362" t="s">
        <v>26</v>
      </c>
      <c r="O5362" t="s">
        <v>27</v>
      </c>
      <c r="P5362">
        <v>12.73</v>
      </c>
      <c r="Q5362" s="2" t="b">
        <f>FALSE()</f>
        <v>0</v>
      </c>
      <c r="R5362">
        <v>1</v>
      </c>
    </row>
    <row r="5363" spans="1:18" x14ac:dyDescent="0.25">
      <c r="A5363">
        <v>205362</v>
      </c>
      <c r="B5363">
        <v>53265</v>
      </c>
      <c r="C5363" t="s">
        <v>18</v>
      </c>
      <c r="D5363">
        <v>1561.98</v>
      </c>
      <c r="E5363">
        <v>2015</v>
      </c>
      <c r="F5363">
        <v>3</v>
      </c>
      <c r="G5363">
        <v>7</v>
      </c>
      <c r="H5363">
        <v>1</v>
      </c>
      <c r="I5363" t="s">
        <v>33</v>
      </c>
      <c r="J5363">
        <v>0</v>
      </c>
      <c r="K5363">
        <v>58</v>
      </c>
      <c r="L5363" t="s">
        <v>24</v>
      </c>
      <c r="M5363" t="s">
        <v>21</v>
      </c>
      <c r="N5363" t="s">
        <v>22</v>
      </c>
      <c r="O5363" t="s">
        <v>27</v>
      </c>
      <c r="P5363">
        <v>8.18</v>
      </c>
      <c r="Q5363" s="2" t="b">
        <f>FALSE()</f>
        <v>0</v>
      </c>
      <c r="R5363">
        <v>1</v>
      </c>
    </row>
    <row r="5364" spans="1:18" x14ac:dyDescent="0.25">
      <c r="A5364">
        <v>205363</v>
      </c>
      <c r="B5364">
        <v>51176</v>
      </c>
      <c r="C5364" t="s">
        <v>28</v>
      </c>
      <c r="D5364">
        <v>9237.4599999999991</v>
      </c>
      <c r="E5364">
        <v>1532</v>
      </c>
      <c r="F5364">
        <v>1</v>
      </c>
      <c r="G5364">
        <v>5</v>
      </c>
      <c r="H5364">
        <v>0</v>
      </c>
      <c r="I5364" t="s">
        <v>33</v>
      </c>
      <c r="J5364">
        <v>0</v>
      </c>
      <c r="K5364">
        <v>53</v>
      </c>
      <c r="L5364" t="s">
        <v>24</v>
      </c>
      <c r="M5364" t="s">
        <v>35</v>
      </c>
      <c r="N5364" t="s">
        <v>30</v>
      </c>
      <c r="O5364" t="s">
        <v>23</v>
      </c>
      <c r="P5364">
        <v>1.01</v>
      </c>
      <c r="Q5364" s="2" t="b">
        <f>TRUE()</f>
        <v>1</v>
      </c>
      <c r="R5364">
        <v>1</v>
      </c>
    </row>
    <row r="5365" spans="1:18" x14ac:dyDescent="0.25">
      <c r="A5365">
        <v>205364</v>
      </c>
      <c r="B5365">
        <v>51179</v>
      </c>
      <c r="C5365" t="s">
        <v>18</v>
      </c>
      <c r="D5365">
        <v>1268.47</v>
      </c>
      <c r="E5365">
        <v>2730</v>
      </c>
      <c r="F5365">
        <v>0</v>
      </c>
      <c r="G5365">
        <v>5</v>
      </c>
      <c r="H5365">
        <v>0</v>
      </c>
      <c r="I5365" t="s">
        <v>19</v>
      </c>
      <c r="J5365">
        <v>0</v>
      </c>
      <c r="K5365">
        <v>28</v>
      </c>
      <c r="L5365" t="s">
        <v>20</v>
      </c>
      <c r="M5365" t="s">
        <v>37</v>
      </c>
      <c r="N5365" t="s">
        <v>22</v>
      </c>
      <c r="O5365" t="s">
        <v>36</v>
      </c>
      <c r="P5365">
        <v>5.25</v>
      </c>
      <c r="Q5365" s="2" t="b">
        <f>FALSE()</f>
        <v>0</v>
      </c>
      <c r="R5365">
        <v>0</v>
      </c>
    </row>
    <row r="5366" spans="1:18" x14ac:dyDescent="0.25">
      <c r="A5366">
        <v>205365</v>
      </c>
      <c r="B5366">
        <v>50026</v>
      </c>
      <c r="C5366" t="s">
        <v>18</v>
      </c>
      <c r="D5366">
        <v>1828.28</v>
      </c>
      <c r="E5366">
        <v>2069</v>
      </c>
      <c r="F5366">
        <v>0</v>
      </c>
      <c r="G5366">
        <v>4</v>
      </c>
      <c r="H5366">
        <v>0</v>
      </c>
      <c r="I5366" t="s">
        <v>33</v>
      </c>
      <c r="J5366">
        <v>0</v>
      </c>
      <c r="K5366">
        <v>84</v>
      </c>
      <c r="L5366" t="s">
        <v>20</v>
      </c>
      <c r="M5366" t="s">
        <v>25</v>
      </c>
      <c r="N5366" t="s">
        <v>22</v>
      </c>
      <c r="O5366" t="s">
        <v>36</v>
      </c>
      <c r="P5366">
        <v>0.92</v>
      </c>
      <c r="Q5366" s="2" t="b">
        <f>FALSE()</f>
        <v>0</v>
      </c>
      <c r="R5366">
        <v>0</v>
      </c>
    </row>
    <row r="5367" spans="1:18" x14ac:dyDescent="0.25">
      <c r="A5367">
        <v>205366</v>
      </c>
      <c r="B5367">
        <v>53692</v>
      </c>
      <c r="C5367" t="s">
        <v>18</v>
      </c>
      <c r="D5367">
        <v>1876.11</v>
      </c>
      <c r="E5367">
        <v>3030</v>
      </c>
      <c r="F5367">
        <v>1</v>
      </c>
      <c r="G5367">
        <v>4</v>
      </c>
      <c r="H5367">
        <v>0</v>
      </c>
      <c r="I5367" t="s">
        <v>33</v>
      </c>
      <c r="J5367">
        <v>0</v>
      </c>
      <c r="K5367">
        <v>18</v>
      </c>
      <c r="L5367" t="s">
        <v>20</v>
      </c>
      <c r="M5367" t="s">
        <v>35</v>
      </c>
      <c r="N5367" t="s">
        <v>22</v>
      </c>
      <c r="O5367" t="s">
        <v>27</v>
      </c>
      <c r="P5367">
        <v>8.99</v>
      </c>
      <c r="Q5367" s="2" t="b">
        <f>FALSE()</f>
        <v>0</v>
      </c>
      <c r="R5367">
        <v>0</v>
      </c>
    </row>
    <row r="5368" spans="1:18" x14ac:dyDescent="0.25">
      <c r="A5368">
        <v>205367</v>
      </c>
      <c r="B5368">
        <v>50750</v>
      </c>
      <c r="C5368" t="s">
        <v>34</v>
      </c>
      <c r="D5368">
        <v>1451.32</v>
      </c>
      <c r="E5368">
        <v>2770</v>
      </c>
      <c r="F5368">
        <v>1</v>
      </c>
      <c r="G5368">
        <v>1</v>
      </c>
      <c r="H5368">
        <v>0</v>
      </c>
      <c r="I5368" t="s">
        <v>33</v>
      </c>
      <c r="J5368">
        <v>0</v>
      </c>
      <c r="K5368">
        <v>68</v>
      </c>
      <c r="L5368" t="s">
        <v>24</v>
      </c>
      <c r="M5368" t="s">
        <v>31</v>
      </c>
      <c r="N5368" t="s">
        <v>30</v>
      </c>
      <c r="O5368" t="s">
        <v>36</v>
      </c>
      <c r="P5368">
        <v>0.33</v>
      </c>
      <c r="Q5368" s="2" t="b">
        <f>FALSE()</f>
        <v>0</v>
      </c>
      <c r="R5368">
        <v>0</v>
      </c>
    </row>
    <row r="5369" spans="1:18" x14ac:dyDescent="0.25">
      <c r="A5369">
        <v>205368</v>
      </c>
      <c r="B5369">
        <v>55156</v>
      </c>
      <c r="C5369" t="s">
        <v>18</v>
      </c>
      <c r="D5369">
        <v>766.08</v>
      </c>
      <c r="E5369">
        <v>1637</v>
      </c>
      <c r="F5369">
        <v>2</v>
      </c>
      <c r="G5369">
        <v>5</v>
      </c>
      <c r="H5369">
        <v>0</v>
      </c>
      <c r="I5369" t="s">
        <v>32</v>
      </c>
      <c r="J5369">
        <v>0</v>
      </c>
      <c r="K5369">
        <v>74</v>
      </c>
      <c r="L5369" t="s">
        <v>24</v>
      </c>
      <c r="M5369" t="s">
        <v>21</v>
      </c>
      <c r="N5369" t="s">
        <v>26</v>
      </c>
      <c r="O5369" t="s">
        <v>36</v>
      </c>
      <c r="P5369">
        <v>1.1100000000000001</v>
      </c>
      <c r="Q5369" s="2" t="b">
        <f>FALSE()</f>
        <v>0</v>
      </c>
      <c r="R5369">
        <v>0</v>
      </c>
    </row>
    <row r="5370" spans="1:18" x14ac:dyDescent="0.25">
      <c r="A5370">
        <v>205369</v>
      </c>
      <c r="B5370">
        <v>54476</v>
      </c>
      <c r="C5370" t="s">
        <v>18</v>
      </c>
      <c r="D5370">
        <v>1998.03</v>
      </c>
      <c r="E5370">
        <v>2285</v>
      </c>
      <c r="F5370">
        <v>2</v>
      </c>
      <c r="G5370">
        <v>5</v>
      </c>
      <c r="H5370">
        <v>0</v>
      </c>
      <c r="I5370" t="s">
        <v>33</v>
      </c>
      <c r="J5370">
        <v>0</v>
      </c>
      <c r="K5370">
        <v>81</v>
      </c>
      <c r="L5370" t="s">
        <v>20</v>
      </c>
      <c r="M5370" t="s">
        <v>29</v>
      </c>
      <c r="N5370" t="s">
        <v>26</v>
      </c>
      <c r="O5370" t="s">
        <v>36</v>
      </c>
      <c r="P5370">
        <v>11.1</v>
      </c>
      <c r="Q5370" s="2" t="b">
        <f>FALSE()</f>
        <v>0</v>
      </c>
      <c r="R5370">
        <v>0</v>
      </c>
    </row>
    <row r="5371" spans="1:18" x14ac:dyDescent="0.25">
      <c r="A5371">
        <v>205370</v>
      </c>
      <c r="B5371">
        <v>50679</v>
      </c>
      <c r="C5371" t="s">
        <v>34</v>
      </c>
      <c r="D5371">
        <v>1557.33</v>
      </c>
      <c r="E5371">
        <v>2214</v>
      </c>
      <c r="F5371">
        <v>1</v>
      </c>
      <c r="G5371">
        <v>3</v>
      </c>
      <c r="H5371">
        <v>0</v>
      </c>
      <c r="I5371" t="s">
        <v>19</v>
      </c>
      <c r="J5371">
        <v>0</v>
      </c>
      <c r="K5371">
        <v>84</v>
      </c>
      <c r="L5371" t="s">
        <v>20</v>
      </c>
      <c r="M5371" t="s">
        <v>35</v>
      </c>
      <c r="N5371" t="s">
        <v>30</v>
      </c>
      <c r="O5371" t="s">
        <v>36</v>
      </c>
      <c r="P5371">
        <v>0.59</v>
      </c>
      <c r="Q5371" s="2" t="b">
        <f>FALSE()</f>
        <v>0</v>
      </c>
      <c r="R5371">
        <v>0</v>
      </c>
    </row>
    <row r="5372" spans="1:18" x14ac:dyDescent="0.25">
      <c r="A5372">
        <v>205371</v>
      </c>
      <c r="B5372">
        <v>55367</v>
      </c>
      <c r="C5372" t="s">
        <v>34</v>
      </c>
      <c r="D5372">
        <v>3558.69</v>
      </c>
      <c r="E5372">
        <v>2537</v>
      </c>
      <c r="F5372">
        <v>0</v>
      </c>
      <c r="G5372">
        <v>6</v>
      </c>
      <c r="H5372">
        <v>0</v>
      </c>
      <c r="I5372" t="s">
        <v>33</v>
      </c>
      <c r="J5372">
        <v>1</v>
      </c>
      <c r="K5372">
        <v>42</v>
      </c>
      <c r="L5372" t="s">
        <v>20</v>
      </c>
      <c r="M5372" t="s">
        <v>29</v>
      </c>
      <c r="N5372" t="s">
        <v>22</v>
      </c>
      <c r="O5372" t="s">
        <v>27</v>
      </c>
      <c r="P5372">
        <v>1.34</v>
      </c>
      <c r="Q5372" s="2" t="b">
        <f>FALSE()</f>
        <v>0</v>
      </c>
      <c r="R5372">
        <v>0</v>
      </c>
    </row>
    <row r="5373" spans="1:18" x14ac:dyDescent="0.25">
      <c r="A5373">
        <v>205372</v>
      </c>
      <c r="B5373">
        <v>50042</v>
      </c>
      <c r="C5373" t="s">
        <v>34</v>
      </c>
      <c r="D5373">
        <v>2635.63</v>
      </c>
      <c r="E5373">
        <v>2693</v>
      </c>
      <c r="F5373">
        <v>1</v>
      </c>
      <c r="G5373">
        <v>5</v>
      </c>
      <c r="H5373">
        <v>0</v>
      </c>
      <c r="I5373" t="s">
        <v>19</v>
      </c>
      <c r="J5373">
        <v>0</v>
      </c>
      <c r="K5373">
        <v>33</v>
      </c>
      <c r="L5373" t="s">
        <v>24</v>
      </c>
      <c r="M5373" t="s">
        <v>21</v>
      </c>
      <c r="N5373" t="s">
        <v>30</v>
      </c>
      <c r="O5373" t="s">
        <v>23</v>
      </c>
      <c r="P5373">
        <v>0.12</v>
      </c>
      <c r="Q5373" s="2" t="b">
        <f>FALSE()</f>
        <v>0</v>
      </c>
      <c r="R5373">
        <v>0</v>
      </c>
    </row>
    <row r="5374" spans="1:18" x14ac:dyDescent="0.25">
      <c r="A5374">
        <v>205373</v>
      </c>
      <c r="B5374">
        <v>53311</v>
      </c>
      <c r="C5374" t="s">
        <v>18</v>
      </c>
      <c r="D5374">
        <v>3801.82</v>
      </c>
      <c r="E5374">
        <v>3149</v>
      </c>
      <c r="F5374">
        <v>2</v>
      </c>
      <c r="G5374">
        <v>6</v>
      </c>
      <c r="H5374">
        <v>0</v>
      </c>
      <c r="I5374" t="s">
        <v>19</v>
      </c>
      <c r="J5374">
        <v>0</v>
      </c>
      <c r="K5374">
        <v>36</v>
      </c>
      <c r="L5374" t="s">
        <v>24</v>
      </c>
      <c r="M5374" t="s">
        <v>37</v>
      </c>
      <c r="N5374" t="s">
        <v>22</v>
      </c>
      <c r="O5374" t="s">
        <v>27</v>
      </c>
      <c r="P5374">
        <v>0.03</v>
      </c>
      <c r="Q5374" s="2" t="b">
        <f>FALSE()</f>
        <v>0</v>
      </c>
      <c r="R5374">
        <v>1</v>
      </c>
    </row>
    <row r="5375" spans="1:18" x14ac:dyDescent="0.25">
      <c r="A5375">
        <v>205374</v>
      </c>
      <c r="B5375">
        <v>54881</v>
      </c>
      <c r="C5375" t="s">
        <v>18</v>
      </c>
      <c r="D5375">
        <v>3501.32</v>
      </c>
      <c r="E5375">
        <v>3190</v>
      </c>
      <c r="F5375">
        <v>0</v>
      </c>
      <c r="G5375">
        <v>3</v>
      </c>
      <c r="H5375">
        <v>0</v>
      </c>
      <c r="I5375" t="s">
        <v>33</v>
      </c>
      <c r="J5375">
        <v>0</v>
      </c>
      <c r="K5375">
        <v>46</v>
      </c>
      <c r="L5375" t="s">
        <v>20</v>
      </c>
      <c r="M5375" t="s">
        <v>35</v>
      </c>
      <c r="N5375" t="s">
        <v>26</v>
      </c>
      <c r="O5375" t="s">
        <v>27</v>
      </c>
      <c r="P5375">
        <v>4.5999999999999996</v>
      </c>
      <c r="Q5375" s="2" t="b">
        <f>FALSE()</f>
        <v>0</v>
      </c>
      <c r="R5375">
        <v>0</v>
      </c>
    </row>
    <row r="5376" spans="1:18" x14ac:dyDescent="0.25">
      <c r="A5376">
        <v>205375</v>
      </c>
      <c r="B5376">
        <v>55583</v>
      </c>
      <c r="C5376" t="s">
        <v>28</v>
      </c>
      <c r="D5376">
        <v>1279.98</v>
      </c>
      <c r="E5376">
        <v>1530</v>
      </c>
      <c r="F5376">
        <v>1</v>
      </c>
      <c r="G5376">
        <v>4</v>
      </c>
      <c r="H5376">
        <v>1</v>
      </c>
      <c r="I5376" t="s">
        <v>33</v>
      </c>
      <c r="J5376">
        <v>0</v>
      </c>
      <c r="K5376">
        <v>48</v>
      </c>
      <c r="L5376" t="s">
        <v>20</v>
      </c>
      <c r="M5376" t="s">
        <v>29</v>
      </c>
      <c r="N5376" t="s">
        <v>30</v>
      </c>
      <c r="O5376" t="s">
        <v>36</v>
      </c>
      <c r="P5376">
        <v>1.91</v>
      </c>
      <c r="Q5376" s="2" t="b">
        <f>FALSE()</f>
        <v>0</v>
      </c>
      <c r="R5376">
        <v>0</v>
      </c>
    </row>
    <row r="5377" spans="1:18" x14ac:dyDescent="0.25">
      <c r="A5377">
        <v>205376</v>
      </c>
      <c r="B5377">
        <v>53084</v>
      </c>
      <c r="C5377" t="s">
        <v>34</v>
      </c>
      <c r="D5377">
        <v>798.21</v>
      </c>
      <c r="E5377">
        <v>2818</v>
      </c>
      <c r="F5377">
        <v>1</v>
      </c>
      <c r="G5377">
        <v>3</v>
      </c>
      <c r="H5377">
        <v>1</v>
      </c>
      <c r="I5377" t="s">
        <v>33</v>
      </c>
      <c r="J5377">
        <v>0</v>
      </c>
      <c r="K5377">
        <v>75</v>
      </c>
      <c r="L5377" t="s">
        <v>20</v>
      </c>
      <c r="M5377" t="s">
        <v>37</v>
      </c>
      <c r="N5377" t="s">
        <v>22</v>
      </c>
      <c r="O5377" t="s">
        <v>36</v>
      </c>
      <c r="P5377">
        <v>3.24</v>
      </c>
      <c r="Q5377" s="2" t="b">
        <f>FALSE()</f>
        <v>0</v>
      </c>
      <c r="R5377">
        <v>0</v>
      </c>
    </row>
    <row r="5378" spans="1:18" x14ac:dyDescent="0.25">
      <c r="A5378">
        <v>205377</v>
      </c>
      <c r="B5378">
        <v>52624</v>
      </c>
      <c r="C5378" t="s">
        <v>34</v>
      </c>
      <c r="D5378">
        <v>951.87</v>
      </c>
      <c r="E5378">
        <v>1229</v>
      </c>
      <c r="F5378">
        <v>0</v>
      </c>
      <c r="G5378">
        <v>4</v>
      </c>
      <c r="H5378">
        <v>0</v>
      </c>
      <c r="I5378" t="s">
        <v>33</v>
      </c>
      <c r="J5378">
        <v>0</v>
      </c>
      <c r="K5378">
        <v>54</v>
      </c>
      <c r="L5378" t="s">
        <v>20</v>
      </c>
      <c r="M5378" t="s">
        <v>21</v>
      </c>
      <c r="N5378" t="s">
        <v>22</v>
      </c>
      <c r="O5378" t="s">
        <v>27</v>
      </c>
      <c r="P5378">
        <v>0.24</v>
      </c>
      <c r="Q5378" s="2" t="b">
        <f>FALSE()</f>
        <v>0</v>
      </c>
      <c r="R5378">
        <v>0</v>
      </c>
    </row>
    <row r="5379" spans="1:18" x14ac:dyDescent="0.25">
      <c r="A5379">
        <v>205378</v>
      </c>
      <c r="B5379">
        <v>55340</v>
      </c>
      <c r="C5379" t="s">
        <v>18</v>
      </c>
      <c r="D5379">
        <v>857.24</v>
      </c>
      <c r="E5379">
        <v>673</v>
      </c>
      <c r="F5379">
        <v>1</v>
      </c>
      <c r="G5379">
        <v>1</v>
      </c>
      <c r="H5379">
        <v>0</v>
      </c>
      <c r="I5379" t="s">
        <v>33</v>
      </c>
      <c r="J5379">
        <v>0</v>
      </c>
      <c r="K5379">
        <v>26</v>
      </c>
      <c r="L5379" t="s">
        <v>24</v>
      </c>
      <c r="M5379" t="s">
        <v>31</v>
      </c>
      <c r="N5379" t="s">
        <v>22</v>
      </c>
      <c r="O5379" t="s">
        <v>23</v>
      </c>
      <c r="P5379">
        <v>6.55</v>
      </c>
      <c r="Q5379" s="2" t="b">
        <f>FALSE()</f>
        <v>0</v>
      </c>
      <c r="R5379">
        <v>0</v>
      </c>
    </row>
    <row r="5380" spans="1:18" x14ac:dyDescent="0.25">
      <c r="A5380">
        <v>205379</v>
      </c>
      <c r="B5380">
        <v>55840</v>
      </c>
      <c r="C5380" t="s">
        <v>18</v>
      </c>
      <c r="D5380">
        <v>1672.81</v>
      </c>
      <c r="E5380">
        <v>586</v>
      </c>
      <c r="F5380">
        <v>2</v>
      </c>
      <c r="G5380">
        <v>8</v>
      </c>
      <c r="H5380">
        <v>1</v>
      </c>
      <c r="I5380" t="s">
        <v>33</v>
      </c>
      <c r="J5380">
        <v>0</v>
      </c>
      <c r="K5380">
        <v>54</v>
      </c>
      <c r="L5380" t="s">
        <v>24</v>
      </c>
      <c r="M5380" t="s">
        <v>31</v>
      </c>
      <c r="N5380" t="s">
        <v>30</v>
      </c>
      <c r="O5380" t="s">
        <v>27</v>
      </c>
      <c r="P5380">
        <v>2.02</v>
      </c>
      <c r="Q5380" s="2" t="b">
        <f>FALSE()</f>
        <v>0</v>
      </c>
      <c r="R5380">
        <v>1</v>
      </c>
    </row>
    <row r="5381" spans="1:18" x14ac:dyDescent="0.25">
      <c r="A5381">
        <v>205380</v>
      </c>
      <c r="B5381">
        <v>52497</v>
      </c>
      <c r="C5381" t="s">
        <v>18</v>
      </c>
      <c r="D5381">
        <v>3511.07</v>
      </c>
      <c r="E5381">
        <v>2332</v>
      </c>
      <c r="F5381">
        <v>0</v>
      </c>
      <c r="G5381">
        <v>3</v>
      </c>
      <c r="H5381">
        <v>0</v>
      </c>
      <c r="I5381" t="s">
        <v>33</v>
      </c>
      <c r="J5381">
        <v>0</v>
      </c>
      <c r="K5381">
        <v>82</v>
      </c>
      <c r="L5381" t="s">
        <v>20</v>
      </c>
      <c r="M5381" t="s">
        <v>37</v>
      </c>
      <c r="N5381" t="s">
        <v>26</v>
      </c>
      <c r="O5381" t="s">
        <v>23</v>
      </c>
      <c r="P5381">
        <v>0.13</v>
      </c>
      <c r="Q5381" s="2" t="b">
        <f>FALSE()</f>
        <v>0</v>
      </c>
      <c r="R5381">
        <v>0</v>
      </c>
    </row>
    <row r="5382" spans="1:18" x14ac:dyDescent="0.25">
      <c r="A5382">
        <v>205381</v>
      </c>
      <c r="B5382">
        <v>55424</v>
      </c>
      <c r="C5382" t="s">
        <v>34</v>
      </c>
      <c r="D5382">
        <v>2728.03</v>
      </c>
      <c r="E5382">
        <v>1214</v>
      </c>
      <c r="F5382">
        <v>0</v>
      </c>
      <c r="G5382">
        <v>4</v>
      </c>
      <c r="H5382">
        <v>0</v>
      </c>
      <c r="I5382" t="s">
        <v>33</v>
      </c>
      <c r="J5382">
        <v>0</v>
      </c>
      <c r="K5382">
        <v>54</v>
      </c>
      <c r="L5382" t="s">
        <v>20</v>
      </c>
      <c r="M5382" t="s">
        <v>35</v>
      </c>
      <c r="N5382" t="s">
        <v>22</v>
      </c>
      <c r="O5382" t="s">
        <v>27</v>
      </c>
      <c r="P5382">
        <v>0.16</v>
      </c>
      <c r="Q5382" s="2" t="b">
        <f>FALSE()</f>
        <v>0</v>
      </c>
      <c r="R5382">
        <v>0</v>
      </c>
    </row>
    <row r="5383" spans="1:18" x14ac:dyDescent="0.25">
      <c r="A5383">
        <v>205382</v>
      </c>
      <c r="B5383">
        <v>51785</v>
      </c>
      <c r="C5383" t="s">
        <v>34</v>
      </c>
      <c r="D5383">
        <v>652.42999999999995</v>
      </c>
      <c r="E5383">
        <v>867</v>
      </c>
      <c r="F5383">
        <v>2</v>
      </c>
      <c r="G5383">
        <v>1</v>
      </c>
      <c r="H5383">
        <v>1</v>
      </c>
      <c r="I5383" t="s">
        <v>33</v>
      </c>
      <c r="J5383">
        <v>0</v>
      </c>
      <c r="K5383">
        <v>75</v>
      </c>
      <c r="L5383" t="s">
        <v>20</v>
      </c>
      <c r="M5383" t="s">
        <v>37</v>
      </c>
      <c r="N5383" t="s">
        <v>22</v>
      </c>
      <c r="O5383" t="s">
        <v>23</v>
      </c>
      <c r="P5383">
        <v>0.8</v>
      </c>
      <c r="Q5383" s="2" t="b">
        <f>FALSE()</f>
        <v>0</v>
      </c>
      <c r="R5383">
        <v>0</v>
      </c>
    </row>
    <row r="5384" spans="1:18" x14ac:dyDescent="0.25">
      <c r="A5384">
        <v>205383</v>
      </c>
      <c r="B5384">
        <v>50249</v>
      </c>
      <c r="C5384" t="s">
        <v>34</v>
      </c>
      <c r="D5384">
        <v>1912.11</v>
      </c>
      <c r="E5384">
        <v>550</v>
      </c>
      <c r="F5384">
        <v>0</v>
      </c>
      <c r="G5384">
        <v>2</v>
      </c>
      <c r="H5384">
        <v>1</v>
      </c>
      <c r="I5384" t="s">
        <v>33</v>
      </c>
      <c r="J5384">
        <v>0</v>
      </c>
      <c r="K5384">
        <v>53</v>
      </c>
      <c r="L5384" t="s">
        <v>24</v>
      </c>
      <c r="M5384" t="s">
        <v>37</v>
      </c>
      <c r="N5384" t="s">
        <v>26</v>
      </c>
      <c r="O5384" t="s">
        <v>36</v>
      </c>
      <c r="P5384">
        <v>0.73</v>
      </c>
      <c r="Q5384" s="2" t="b">
        <f>FALSE()</f>
        <v>0</v>
      </c>
      <c r="R5384">
        <v>0</v>
      </c>
    </row>
    <row r="5385" spans="1:18" x14ac:dyDescent="0.25">
      <c r="A5385">
        <v>205384</v>
      </c>
      <c r="B5385">
        <v>53460</v>
      </c>
      <c r="C5385" t="s">
        <v>28</v>
      </c>
      <c r="D5385">
        <v>871.23</v>
      </c>
      <c r="E5385">
        <v>749</v>
      </c>
      <c r="F5385">
        <v>1</v>
      </c>
      <c r="G5385">
        <v>4</v>
      </c>
      <c r="H5385">
        <v>0</v>
      </c>
      <c r="I5385" t="s">
        <v>19</v>
      </c>
      <c r="J5385">
        <v>0</v>
      </c>
      <c r="K5385">
        <v>73</v>
      </c>
      <c r="L5385" t="s">
        <v>20</v>
      </c>
      <c r="M5385" t="s">
        <v>31</v>
      </c>
      <c r="N5385" t="s">
        <v>30</v>
      </c>
      <c r="O5385" t="s">
        <v>27</v>
      </c>
      <c r="P5385">
        <v>2.9</v>
      </c>
      <c r="Q5385" s="2" t="b">
        <f>FALSE()</f>
        <v>0</v>
      </c>
      <c r="R5385">
        <v>0</v>
      </c>
    </row>
    <row r="5386" spans="1:18" x14ac:dyDescent="0.25">
      <c r="A5386">
        <v>205385</v>
      </c>
      <c r="B5386">
        <v>54779</v>
      </c>
      <c r="C5386" t="s">
        <v>18</v>
      </c>
      <c r="D5386">
        <v>119.65</v>
      </c>
      <c r="E5386">
        <v>2604</v>
      </c>
      <c r="F5386">
        <v>2</v>
      </c>
      <c r="G5386">
        <v>5</v>
      </c>
      <c r="H5386">
        <v>0</v>
      </c>
      <c r="I5386" t="s">
        <v>33</v>
      </c>
      <c r="J5386">
        <v>1</v>
      </c>
      <c r="K5386">
        <v>78</v>
      </c>
      <c r="L5386" t="s">
        <v>24</v>
      </c>
      <c r="M5386" t="s">
        <v>29</v>
      </c>
      <c r="N5386" t="s">
        <v>22</v>
      </c>
      <c r="O5386" t="s">
        <v>27</v>
      </c>
      <c r="P5386">
        <v>3.62</v>
      </c>
      <c r="Q5386" s="2" t="b">
        <f>FALSE()</f>
        <v>0</v>
      </c>
      <c r="R5386">
        <v>0</v>
      </c>
    </row>
    <row r="5387" spans="1:18" x14ac:dyDescent="0.25">
      <c r="A5387">
        <v>205386</v>
      </c>
      <c r="B5387">
        <v>53410</v>
      </c>
      <c r="C5387" t="s">
        <v>18</v>
      </c>
      <c r="D5387">
        <v>709.65</v>
      </c>
      <c r="E5387">
        <v>3577</v>
      </c>
      <c r="F5387">
        <v>2</v>
      </c>
      <c r="G5387">
        <v>5</v>
      </c>
      <c r="H5387">
        <v>1</v>
      </c>
      <c r="I5387" t="s">
        <v>33</v>
      </c>
      <c r="J5387">
        <v>1</v>
      </c>
      <c r="K5387">
        <v>39</v>
      </c>
      <c r="L5387" t="s">
        <v>20</v>
      </c>
      <c r="M5387" t="s">
        <v>25</v>
      </c>
      <c r="N5387" t="s">
        <v>22</v>
      </c>
      <c r="O5387" t="s">
        <v>23</v>
      </c>
      <c r="P5387">
        <v>1.59</v>
      </c>
      <c r="Q5387" s="2" t="b">
        <f>FALSE()</f>
        <v>0</v>
      </c>
      <c r="R5387">
        <v>0</v>
      </c>
    </row>
    <row r="5388" spans="1:18" x14ac:dyDescent="0.25">
      <c r="A5388">
        <v>205387</v>
      </c>
      <c r="B5388">
        <v>54818</v>
      </c>
      <c r="C5388" t="s">
        <v>28</v>
      </c>
      <c r="D5388">
        <v>300.10000000000002</v>
      </c>
      <c r="E5388">
        <v>2774</v>
      </c>
      <c r="F5388">
        <v>0</v>
      </c>
      <c r="G5388">
        <v>5</v>
      </c>
      <c r="H5388">
        <v>0</v>
      </c>
      <c r="I5388" t="s">
        <v>33</v>
      </c>
      <c r="J5388">
        <v>0</v>
      </c>
      <c r="K5388">
        <v>69</v>
      </c>
      <c r="L5388" t="s">
        <v>24</v>
      </c>
      <c r="M5388" t="s">
        <v>29</v>
      </c>
      <c r="N5388" t="s">
        <v>22</v>
      </c>
      <c r="O5388" t="s">
        <v>36</v>
      </c>
      <c r="P5388">
        <v>3.18</v>
      </c>
      <c r="Q5388" s="2" t="b">
        <f>FALSE()</f>
        <v>0</v>
      </c>
      <c r="R5388">
        <v>0</v>
      </c>
    </row>
    <row r="5389" spans="1:18" x14ac:dyDescent="0.25">
      <c r="A5389">
        <v>205388</v>
      </c>
      <c r="B5389">
        <v>53384</v>
      </c>
      <c r="C5389" t="s">
        <v>34</v>
      </c>
      <c r="D5389">
        <v>1846.54</v>
      </c>
      <c r="E5389">
        <v>3360</v>
      </c>
      <c r="F5389">
        <v>1</v>
      </c>
      <c r="G5389">
        <v>5</v>
      </c>
      <c r="H5389">
        <v>0</v>
      </c>
      <c r="I5389" t="s">
        <v>19</v>
      </c>
      <c r="J5389">
        <v>0</v>
      </c>
      <c r="K5389">
        <v>41</v>
      </c>
      <c r="L5389" t="s">
        <v>24</v>
      </c>
      <c r="M5389" t="s">
        <v>21</v>
      </c>
      <c r="N5389" t="s">
        <v>22</v>
      </c>
      <c r="O5389" t="s">
        <v>36</v>
      </c>
      <c r="P5389">
        <v>0.98</v>
      </c>
      <c r="Q5389" s="2" t="b">
        <f>FALSE()</f>
        <v>0</v>
      </c>
      <c r="R5389">
        <v>0</v>
      </c>
    </row>
    <row r="5390" spans="1:18" x14ac:dyDescent="0.25">
      <c r="A5390">
        <v>205389</v>
      </c>
      <c r="B5390">
        <v>52199</v>
      </c>
      <c r="C5390" t="s">
        <v>18</v>
      </c>
      <c r="D5390">
        <v>2800.58</v>
      </c>
      <c r="E5390">
        <v>369</v>
      </c>
      <c r="F5390">
        <v>1</v>
      </c>
      <c r="G5390">
        <v>7</v>
      </c>
      <c r="H5390">
        <v>1</v>
      </c>
      <c r="I5390" t="s">
        <v>33</v>
      </c>
      <c r="J5390">
        <v>0</v>
      </c>
      <c r="K5390">
        <v>58</v>
      </c>
      <c r="L5390" t="s">
        <v>20</v>
      </c>
      <c r="M5390" t="s">
        <v>37</v>
      </c>
      <c r="N5390" t="s">
        <v>22</v>
      </c>
      <c r="O5390" t="s">
        <v>36</v>
      </c>
      <c r="P5390">
        <v>1.1200000000000001</v>
      </c>
      <c r="Q5390" s="2" t="b">
        <f>FALSE()</f>
        <v>0</v>
      </c>
      <c r="R5390">
        <v>1</v>
      </c>
    </row>
    <row r="5391" spans="1:18" x14ac:dyDescent="0.25">
      <c r="A5391">
        <v>205390</v>
      </c>
      <c r="B5391">
        <v>51091</v>
      </c>
      <c r="C5391" t="s">
        <v>18</v>
      </c>
      <c r="D5391">
        <v>3358.78</v>
      </c>
      <c r="E5391">
        <v>2378</v>
      </c>
      <c r="F5391">
        <v>0</v>
      </c>
      <c r="G5391">
        <v>1</v>
      </c>
      <c r="H5391">
        <v>0</v>
      </c>
      <c r="I5391" t="s">
        <v>33</v>
      </c>
      <c r="J5391">
        <v>0</v>
      </c>
      <c r="K5391">
        <v>75</v>
      </c>
      <c r="L5391" t="s">
        <v>24</v>
      </c>
      <c r="M5391" t="s">
        <v>35</v>
      </c>
      <c r="N5391" t="s">
        <v>22</v>
      </c>
      <c r="O5391" t="s">
        <v>27</v>
      </c>
      <c r="P5391">
        <v>0.28999999999999998</v>
      </c>
      <c r="Q5391" s="2" t="b">
        <f>FALSE()</f>
        <v>0</v>
      </c>
      <c r="R5391">
        <v>0</v>
      </c>
    </row>
    <row r="5392" spans="1:18" x14ac:dyDescent="0.25">
      <c r="A5392">
        <v>205391</v>
      </c>
      <c r="B5392">
        <v>50502</v>
      </c>
      <c r="C5392" t="s">
        <v>34</v>
      </c>
      <c r="D5392">
        <v>1745.7</v>
      </c>
      <c r="E5392">
        <v>2669</v>
      </c>
      <c r="F5392">
        <v>2</v>
      </c>
      <c r="G5392">
        <v>3</v>
      </c>
      <c r="H5392">
        <v>0</v>
      </c>
      <c r="I5392" t="s">
        <v>19</v>
      </c>
      <c r="J5392">
        <v>0</v>
      </c>
      <c r="K5392">
        <v>75</v>
      </c>
      <c r="L5392" t="s">
        <v>24</v>
      </c>
      <c r="M5392" t="s">
        <v>29</v>
      </c>
      <c r="N5392" t="s">
        <v>22</v>
      </c>
      <c r="O5392" t="s">
        <v>27</v>
      </c>
      <c r="P5392">
        <v>3.24</v>
      </c>
      <c r="Q5392" s="2" t="b">
        <f>FALSE()</f>
        <v>0</v>
      </c>
      <c r="R5392">
        <v>0</v>
      </c>
    </row>
    <row r="5393" spans="1:18" x14ac:dyDescent="0.25">
      <c r="A5393">
        <v>205392</v>
      </c>
      <c r="B5393">
        <v>50541</v>
      </c>
      <c r="C5393" t="s">
        <v>34</v>
      </c>
      <c r="D5393">
        <v>3872.97</v>
      </c>
      <c r="E5393">
        <v>2374</v>
      </c>
      <c r="F5393">
        <v>1</v>
      </c>
      <c r="G5393">
        <v>5</v>
      </c>
      <c r="H5393">
        <v>1</v>
      </c>
      <c r="I5393" t="s">
        <v>33</v>
      </c>
      <c r="J5393">
        <v>0</v>
      </c>
      <c r="K5393">
        <v>26</v>
      </c>
      <c r="L5393" t="s">
        <v>20</v>
      </c>
      <c r="M5393" t="s">
        <v>25</v>
      </c>
      <c r="N5393" t="s">
        <v>22</v>
      </c>
      <c r="O5393" t="s">
        <v>36</v>
      </c>
      <c r="P5393">
        <v>3.96</v>
      </c>
      <c r="Q5393" s="2" t="b">
        <f>FALSE()</f>
        <v>0</v>
      </c>
      <c r="R5393">
        <v>1</v>
      </c>
    </row>
    <row r="5394" spans="1:18" x14ac:dyDescent="0.25">
      <c r="A5394">
        <v>205393</v>
      </c>
      <c r="B5394">
        <v>50579</v>
      </c>
      <c r="C5394" t="s">
        <v>18</v>
      </c>
      <c r="D5394">
        <v>1557.28</v>
      </c>
      <c r="E5394">
        <v>1864</v>
      </c>
      <c r="F5394">
        <v>0</v>
      </c>
      <c r="G5394">
        <v>5</v>
      </c>
      <c r="H5394">
        <v>0</v>
      </c>
      <c r="I5394" t="s">
        <v>33</v>
      </c>
      <c r="J5394">
        <v>0</v>
      </c>
      <c r="K5394">
        <v>37</v>
      </c>
      <c r="L5394" t="s">
        <v>20</v>
      </c>
      <c r="M5394" t="s">
        <v>29</v>
      </c>
      <c r="N5394" t="s">
        <v>30</v>
      </c>
      <c r="O5394" t="s">
        <v>36</v>
      </c>
      <c r="P5394">
        <v>0.03</v>
      </c>
      <c r="Q5394" s="2" t="b">
        <f>FALSE()</f>
        <v>0</v>
      </c>
      <c r="R5394">
        <v>0</v>
      </c>
    </row>
    <row r="5395" spans="1:18" x14ac:dyDescent="0.25">
      <c r="A5395">
        <v>205394</v>
      </c>
      <c r="B5395">
        <v>52987</v>
      </c>
      <c r="C5395" t="s">
        <v>18</v>
      </c>
      <c r="D5395">
        <v>1545.84</v>
      </c>
      <c r="E5395">
        <v>2243</v>
      </c>
      <c r="F5395">
        <v>1</v>
      </c>
      <c r="G5395">
        <v>8</v>
      </c>
      <c r="H5395">
        <v>0</v>
      </c>
      <c r="I5395" t="s">
        <v>33</v>
      </c>
      <c r="J5395">
        <v>0</v>
      </c>
      <c r="K5395">
        <v>69</v>
      </c>
      <c r="L5395" t="s">
        <v>20</v>
      </c>
      <c r="M5395" t="s">
        <v>29</v>
      </c>
      <c r="N5395" t="s">
        <v>22</v>
      </c>
      <c r="O5395" t="s">
        <v>23</v>
      </c>
      <c r="P5395">
        <v>2.5</v>
      </c>
      <c r="Q5395" s="2" t="b">
        <f>FALSE()</f>
        <v>0</v>
      </c>
      <c r="R5395">
        <v>1</v>
      </c>
    </row>
    <row r="5396" spans="1:18" x14ac:dyDescent="0.25">
      <c r="A5396">
        <v>205395</v>
      </c>
      <c r="B5396">
        <v>51875</v>
      </c>
      <c r="C5396" t="s">
        <v>18</v>
      </c>
      <c r="D5396">
        <v>812.03</v>
      </c>
      <c r="E5396">
        <v>92</v>
      </c>
      <c r="F5396">
        <v>1</v>
      </c>
      <c r="G5396">
        <v>5</v>
      </c>
      <c r="H5396">
        <v>0</v>
      </c>
      <c r="I5396" t="s">
        <v>32</v>
      </c>
      <c r="J5396">
        <v>0</v>
      </c>
      <c r="K5396">
        <v>42</v>
      </c>
      <c r="L5396" t="s">
        <v>20</v>
      </c>
      <c r="M5396" t="s">
        <v>29</v>
      </c>
      <c r="N5396" t="s">
        <v>22</v>
      </c>
      <c r="O5396" t="s">
        <v>27</v>
      </c>
      <c r="P5396">
        <v>2.63</v>
      </c>
      <c r="Q5396" s="2" t="b">
        <f>FALSE()</f>
        <v>0</v>
      </c>
      <c r="R5396">
        <v>0</v>
      </c>
    </row>
    <row r="5397" spans="1:18" x14ac:dyDescent="0.25">
      <c r="A5397">
        <v>205396</v>
      </c>
      <c r="B5397">
        <v>55497</v>
      </c>
      <c r="C5397" t="s">
        <v>34</v>
      </c>
      <c r="D5397">
        <v>2568.0300000000002</v>
      </c>
      <c r="E5397">
        <v>2420</v>
      </c>
      <c r="F5397">
        <v>0</v>
      </c>
      <c r="G5397">
        <v>2</v>
      </c>
      <c r="H5397">
        <v>1</v>
      </c>
      <c r="I5397" t="s">
        <v>33</v>
      </c>
      <c r="J5397">
        <v>0</v>
      </c>
      <c r="K5397">
        <v>43</v>
      </c>
      <c r="L5397" t="s">
        <v>20</v>
      </c>
      <c r="M5397" t="s">
        <v>35</v>
      </c>
      <c r="N5397" t="s">
        <v>22</v>
      </c>
      <c r="O5397" t="s">
        <v>23</v>
      </c>
      <c r="P5397">
        <v>4.3</v>
      </c>
      <c r="Q5397" s="2" t="b">
        <f>FALSE()</f>
        <v>0</v>
      </c>
      <c r="R5397">
        <v>0</v>
      </c>
    </row>
    <row r="5398" spans="1:18" x14ac:dyDescent="0.25">
      <c r="A5398">
        <v>205397</v>
      </c>
      <c r="B5398">
        <v>55852</v>
      </c>
      <c r="C5398" t="s">
        <v>34</v>
      </c>
      <c r="D5398">
        <v>2099.87</v>
      </c>
      <c r="E5398">
        <v>3503</v>
      </c>
      <c r="F5398">
        <v>1</v>
      </c>
      <c r="G5398">
        <v>4</v>
      </c>
      <c r="H5398">
        <v>0</v>
      </c>
      <c r="I5398" t="s">
        <v>33</v>
      </c>
      <c r="J5398">
        <v>0</v>
      </c>
      <c r="K5398">
        <v>35</v>
      </c>
      <c r="L5398" t="s">
        <v>20</v>
      </c>
      <c r="M5398" t="s">
        <v>35</v>
      </c>
      <c r="N5398" t="s">
        <v>22</v>
      </c>
      <c r="O5398" t="s">
        <v>27</v>
      </c>
      <c r="P5398">
        <v>4.05</v>
      </c>
      <c r="Q5398" s="2" t="b">
        <f>FALSE()</f>
        <v>0</v>
      </c>
      <c r="R5398">
        <v>0</v>
      </c>
    </row>
    <row r="5399" spans="1:18" x14ac:dyDescent="0.25">
      <c r="A5399">
        <v>205398</v>
      </c>
      <c r="B5399">
        <v>54211</v>
      </c>
      <c r="C5399" t="s">
        <v>18</v>
      </c>
      <c r="D5399">
        <v>1286.1400000000001</v>
      </c>
      <c r="E5399">
        <v>1483</v>
      </c>
      <c r="F5399">
        <v>1</v>
      </c>
      <c r="G5399">
        <v>3</v>
      </c>
      <c r="H5399">
        <v>1</v>
      </c>
      <c r="I5399" t="s">
        <v>19</v>
      </c>
      <c r="J5399">
        <v>1</v>
      </c>
      <c r="K5399">
        <v>22</v>
      </c>
      <c r="L5399" t="s">
        <v>24</v>
      </c>
      <c r="M5399" t="s">
        <v>37</v>
      </c>
      <c r="N5399" t="s">
        <v>22</v>
      </c>
      <c r="O5399" t="s">
        <v>36</v>
      </c>
      <c r="P5399">
        <v>0.13</v>
      </c>
      <c r="Q5399" s="2" t="b">
        <f>FALSE()</f>
        <v>0</v>
      </c>
      <c r="R5399">
        <v>0</v>
      </c>
    </row>
    <row r="5400" spans="1:18" x14ac:dyDescent="0.25">
      <c r="A5400">
        <v>205399</v>
      </c>
      <c r="B5400">
        <v>52051</v>
      </c>
      <c r="C5400" t="s">
        <v>18</v>
      </c>
      <c r="D5400">
        <v>3779.4</v>
      </c>
      <c r="E5400">
        <v>2412</v>
      </c>
      <c r="F5400">
        <v>2</v>
      </c>
      <c r="G5400">
        <v>2</v>
      </c>
      <c r="H5400">
        <v>0</v>
      </c>
      <c r="I5400" t="s">
        <v>33</v>
      </c>
      <c r="J5400">
        <v>0</v>
      </c>
      <c r="K5400">
        <v>72</v>
      </c>
      <c r="L5400" t="s">
        <v>24</v>
      </c>
      <c r="M5400" t="s">
        <v>21</v>
      </c>
      <c r="N5400" t="s">
        <v>30</v>
      </c>
      <c r="O5400" t="s">
        <v>23</v>
      </c>
      <c r="P5400">
        <v>3.96</v>
      </c>
      <c r="Q5400" s="2" t="b">
        <f>FALSE()</f>
        <v>0</v>
      </c>
      <c r="R5400">
        <v>1</v>
      </c>
    </row>
    <row r="5401" spans="1:18" x14ac:dyDescent="0.25">
      <c r="A5401">
        <v>205400</v>
      </c>
      <c r="B5401">
        <v>53032</v>
      </c>
      <c r="C5401" t="s">
        <v>18</v>
      </c>
      <c r="D5401">
        <v>879.62</v>
      </c>
      <c r="E5401">
        <v>2949</v>
      </c>
      <c r="F5401">
        <v>2</v>
      </c>
      <c r="G5401">
        <v>3</v>
      </c>
      <c r="H5401">
        <v>0</v>
      </c>
      <c r="I5401" t="s">
        <v>33</v>
      </c>
      <c r="J5401">
        <v>1</v>
      </c>
      <c r="K5401">
        <v>67</v>
      </c>
      <c r="L5401" t="s">
        <v>20</v>
      </c>
      <c r="M5401" t="s">
        <v>31</v>
      </c>
      <c r="N5401" t="s">
        <v>22</v>
      </c>
      <c r="O5401" t="s">
        <v>36</v>
      </c>
      <c r="P5401">
        <v>1.1499999999999999</v>
      </c>
      <c r="Q5401" s="2" t="b">
        <f>FALSE()</f>
        <v>0</v>
      </c>
      <c r="R5401">
        <v>0</v>
      </c>
    </row>
    <row r="5402" spans="1:18" x14ac:dyDescent="0.25">
      <c r="A5402">
        <v>205401</v>
      </c>
      <c r="B5402">
        <v>55287</v>
      </c>
      <c r="C5402" t="s">
        <v>28</v>
      </c>
      <c r="D5402">
        <v>851.55</v>
      </c>
      <c r="E5402">
        <v>2663</v>
      </c>
      <c r="F5402">
        <v>2</v>
      </c>
      <c r="G5402">
        <v>5</v>
      </c>
      <c r="H5402">
        <v>1</v>
      </c>
      <c r="I5402" t="s">
        <v>19</v>
      </c>
      <c r="J5402">
        <v>0</v>
      </c>
      <c r="K5402">
        <v>28</v>
      </c>
      <c r="L5402" t="s">
        <v>24</v>
      </c>
      <c r="M5402" t="s">
        <v>35</v>
      </c>
      <c r="N5402" t="s">
        <v>26</v>
      </c>
      <c r="O5402" t="s">
        <v>27</v>
      </c>
      <c r="P5402">
        <v>0.78</v>
      </c>
      <c r="Q5402" s="2" t="b">
        <f>FALSE()</f>
        <v>0</v>
      </c>
      <c r="R5402">
        <v>0</v>
      </c>
    </row>
    <row r="5403" spans="1:18" x14ac:dyDescent="0.25">
      <c r="A5403">
        <v>205402</v>
      </c>
      <c r="B5403">
        <v>53283</v>
      </c>
      <c r="C5403" t="s">
        <v>18</v>
      </c>
      <c r="D5403">
        <v>1211.54</v>
      </c>
      <c r="E5403">
        <v>438</v>
      </c>
      <c r="F5403">
        <v>3</v>
      </c>
      <c r="G5403">
        <v>6</v>
      </c>
      <c r="H5403">
        <v>0</v>
      </c>
      <c r="I5403" t="s">
        <v>33</v>
      </c>
      <c r="J5403">
        <v>1</v>
      </c>
      <c r="K5403">
        <v>68</v>
      </c>
      <c r="L5403" t="s">
        <v>20</v>
      </c>
      <c r="M5403" t="s">
        <v>35</v>
      </c>
      <c r="N5403" t="s">
        <v>22</v>
      </c>
      <c r="O5403" t="s">
        <v>23</v>
      </c>
      <c r="P5403">
        <v>1.55</v>
      </c>
      <c r="Q5403" s="2" t="b">
        <f>FALSE()</f>
        <v>0</v>
      </c>
      <c r="R5403">
        <v>1</v>
      </c>
    </row>
    <row r="5404" spans="1:18" x14ac:dyDescent="0.25">
      <c r="A5404">
        <v>205403</v>
      </c>
      <c r="B5404">
        <v>51407</v>
      </c>
      <c r="C5404" t="s">
        <v>34</v>
      </c>
      <c r="D5404">
        <v>3439.97</v>
      </c>
      <c r="E5404">
        <v>1887</v>
      </c>
      <c r="F5404">
        <v>1</v>
      </c>
      <c r="G5404">
        <v>1</v>
      </c>
      <c r="H5404">
        <v>1</v>
      </c>
      <c r="I5404" t="s">
        <v>33</v>
      </c>
      <c r="J5404">
        <v>1</v>
      </c>
      <c r="K5404">
        <v>62</v>
      </c>
      <c r="L5404" t="s">
        <v>24</v>
      </c>
      <c r="M5404" t="s">
        <v>21</v>
      </c>
      <c r="N5404" t="s">
        <v>22</v>
      </c>
      <c r="O5404" t="s">
        <v>23</v>
      </c>
      <c r="P5404">
        <v>1.38</v>
      </c>
      <c r="Q5404" s="2" t="b">
        <f>FALSE()</f>
        <v>0</v>
      </c>
      <c r="R5404">
        <v>0</v>
      </c>
    </row>
    <row r="5405" spans="1:18" x14ac:dyDescent="0.25">
      <c r="A5405">
        <v>205404</v>
      </c>
      <c r="B5405">
        <v>55916</v>
      </c>
      <c r="C5405" t="s">
        <v>28</v>
      </c>
      <c r="D5405">
        <v>1459.21</v>
      </c>
      <c r="E5405">
        <v>2747</v>
      </c>
      <c r="F5405">
        <v>0</v>
      </c>
      <c r="G5405">
        <v>7</v>
      </c>
      <c r="H5405">
        <v>0</v>
      </c>
      <c r="I5405" t="s">
        <v>33</v>
      </c>
      <c r="J5405">
        <v>1</v>
      </c>
      <c r="K5405">
        <v>48</v>
      </c>
      <c r="L5405" t="s">
        <v>24</v>
      </c>
      <c r="M5405" t="s">
        <v>25</v>
      </c>
      <c r="N5405" t="s">
        <v>22</v>
      </c>
      <c r="O5405" t="s">
        <v>27</v>
      </c>
      <c r="P5405">
        <v>2.86</v>
      </c>
      <c r="Q5405" s="2" t="b">
        <f>FALSE()</f>
        <v>0</v>
      </c>
      <c r="R5405">
        <v>1</v>
      </c>
    </row>
    <row r="5406" spans="1:18" x14ac:dyDescent="0.25">
      <c r="A5406">
        <v>205405</v>
      </c>
      <c r="B5406">
        <v>50888</v>
      </c>
      <c r="C5406" t="s">
        <v>18</v>
      </c>
      <c r="D5406">
        <v>4098.68</v>
      </c>
      <c r="E5406">
        <v>2646</v>
      </c>
      <c r="F5406">
        <v>1</v>
      </c>
      <c r="G5406">
        <v>6</v>
      </c>
      <c r="H5406">
        <v>0</v>
      </c>
      <c r="I5406" t="s">
        <v>19</v>
      </c>
      <c r="J5406">
        <v>0</v>
      </c>
      <c r="K5406">
        <v>20</v>
      </c>
      <c r="L5406" t="s">
        <v>24</v>
      </c>
      <c r="M5406" t="s">
        <v>25</v>
      </c>
      <c r="N5406" t="s">
        <v>30</v>
      </c>
      <c r="O5406" t="s">
        <v>36</v>
      </c>
      <c r="P5406">
        <v>2.78</v>
      </c>
      <c r="Q5406" s="2" t="b">
        <f>FALSE()</f>
        <v>0</v>
      </c>
      <c r="R5406">
        <v>1</v>
      </c>
    </row>
    <row r="5407" spans="1:18" x14ac:dyDescent="0.25">
      <c r="A5407">
        <v>205406</v>
      </c>
      <c r="B5407">
        <v>54649</v>
      </c>
      <c r="C5407" t="s">
        <v>34</v>
      </c>
      <c r="D5407">
        <v>1571.13</v>
      </c>
      <c r="E5407">
        <v>3490</v>
      </c>
      <c r="F5407">
        <v>1</v>
      </c>
      <c r="G5407">
        <v>6</v>
      </c>
      <c r="H5407">
        <v>0</v>
      </c>
      <c r="I5407" t="s">
        <v>33</v>
      </c>
      <c r="J5407">
        <v>0</v>
      </c>
      <c r="K5407">
        <v>26</v>
      </c>
      <c r="L5407" t="s">
        <v>38</v>
      </c>
      <c r="M5407" t="s">
        <v>37</v>
      </c>
      <c r="N5407" t="s">
        <v>22</v>
      </c>
      <c r="O5407" t="s">
        <v>27</v>
      </c>
      <c r="P5407">
        <v>0.89</v>
      </c>
      <c r="Q5407" s="2" t="b">
        <f>FALSE()</f>
        <v>0</v>
      </c>
      <c r="R5407">
        <v>0</v>
      </c>
    </row>
    <row r="5408" spans="1:18" x14ac:dyDescent="0.25">
      <c r="A5408">
        <v>205407</v>
      </c>
      <c r="B5408">
        <v>54968</v>
      </c>
      <c r="C5408" t="s">
        <v>18</v>
      </c>
      <c r="D5408">
        <v>8679.44</v>
      </c>
      <c r="E5408">
        <v>201</v>
      </c>
      <c r="F5408">
        <v>1</v>
      </c>
      <c r="G5408">
        <v>6</v>
      </c>
      <c r="H5408">
        <v>1</v>
      </c>
      <c r="I5408" t="s">
        <v>19</v>
      </c>
      <c r="J5408">
        <v>1</v>
      </c>
      <c r="K5408">
        <v>79</v>
      </c>
      <c r="L5408" t="s">
        <v>24</v>
      </c>
      <c r="M5408" t="s">
        <v>31</v>
      </c>
      <c r="N5408" t="s">
        <v>22</v>
      </c>
      <c r="O5408" t="s">
        <v>27</v>
      </c>
      <c r="P5408">
        <v>0.56000000000000005</v>
      </c>
      <c r="Q5408" s="2" t="b">
        <f>TRUE()</f>
        <v>1</v>
      </c>
      <c r="R5408">
        <v>1</v>
      </c>
    </row>
    <row r="5409" spans="1:18" x14ac:dyDescent="0.25">
      <c r="A5409">
        <v>205408</v>
      </c>
      <c r="B5409">
        <v>51408</v>
      </c>
      <c r="C5409" t="s">
        <v>18</v>
      </c>
      <c r="D5409">
        <v>1112.69</v>
      </c>
      <c r="E5409">
        <v>2457</v>
      </c>
      <c r="F5409">
        <v>3</v>
      </c>
      <c r="G5409">
        <v>10</v>
      </c>
      <c r="H5409">
        <v>0</v>
      </c>
      <c r="I5409" t="s">
        <v>33</v>
      </c>
      <c r="J5409">
        <v>0</v>
      </c>
      <c r="K5409">
        <v>55</v>
      </c>
      <c r="L5409" t="s">
        <v>24</v>
      </c>
      <c r="M5409" t="s">
        <v>25</v>
      </c>
      <c r="N5409" t="s">
        <v>30</v>
      </c>
      <c r="O5409" t="s">
        <v>23</v>
      </c>
      <c r="P5409">
        <v>2.4</v>
      </c>
      <c r="Q5409" s="2" t="b">
        <f>FALSE()</f>
        <v>0</v>
      </c>
      <c r="R5409">
        <v>1</v>
      </c>
    </row>
    <row r="5410" spans="1:18" x14ac:dyDescent="0.25">
      <c r="A5410">
        <v>205409</v>
      </c>
      <c r="B5410">
        <v>51870</v>
      </c>
      <c r="C5410" t="s">
        <v>34</v>
      </c>
      <c r="D5410">
        <v>1831.72</v>
      </c>
      <c r="E5410">
        <v>2499</v>
      </c>
      <c r="F5410">
        <v>2</v>
      </c>
      <c r="G5410">
        <v>4</v>
      </c>
      <c r="H5410">
        <v>0</v>
      </c>
      <c r="I5410" t="s">
        <v>32</v>
      </c>
      <c r="J5410">
        <v>0</v>
      </c>
      <c r="K5410">
        <v>80</v>
      </c>
      <c r="L5410" t="s">
        <v>24</v>
      </c>
      <c r="M5410" t="s">
        <v>29</v>
      </c>
      <c r="N5410" t="s">
        <v>26</v>
      </c>
      <c r="O5410" t="s">
        <v>27</v>
      </c>
      <c r="P5410">
        <v>6.47</v>
      </c>
      <c r="Q5410" s="2" t="b">
        <f>FALSE()</f>
        <v>0</v>
      </c>
      <c r="R5410">
        <v>0</v>
      </c>
    </row>
    <row r="5411" spans="1:18" x14ac:dyDescent="0.25">
      <c r="A5411">
        <v>205410</v>
      </c>
      <c r="B5411">
        <v>51846</v>
      </c>
      <c r="C5411" t="s">
        <v>18</v>
      </c>
      <c r="D5411">
        <v>5316.44</v>
      </c>
      <c r="E5411">
        <v>3547</v>
      </c>
      <c r="F5411">
        <v>1</v>
      </c>
      <c r="G5411">
        <v>4</v>
      </c>
      <c r="H5411">
        <v>0</v>
      </c>
      <c r="I5411" t="s">
        <v>33</v>
      </c>
      <c r="J5411">
        <v>0</v>
      </c>
      <c r="K5411">
        <v>73</v>
      </c>
      <c r="L5411" t="s">
        <v>20</v>
      </c>
      <c r="M5411" t="s">
        <v>21</v>
      </c>
      <c r="N5411" t="s">
        <v>30</v>
      </c>
      <c r="O5411" t="s">
        <v>36</v>
      </c>
      <c r="P5411">
        <v>1.64</v>
      </c>
      <c r="Q5411" s="2" t="b">
        <f>FALSE()</f>
        <v>0</v>
      </c>
      <c r="R5411">
        <v>1</v>
      </c>
    </row>
    <row r="5412" spans="1:18" x14ac:dyDescent="0.25">
      <c r="A5412">
        <v>205411</v>
      </c>
      <c r="B5412">
        <v>55816</v>
      </c>
      <c r="C5412" t="s">
        <v>34</v>
      </c>
      <c r="D5412">
        <v>924.06</v>
      </c>
      <c r="E5412">
        <v>1367</v>
      </c>
      <c r="F5412">
        <v>2</v>
      </c>
      <c r="G5412">
        <v>4</v>
      </c>
      <c r="H5412">
        <v>1</v>
      </c>
      <c r="I5412" t="s">
        <v>33</v>
      </c>
      <c r="J5412">
        <v>0</v>
      </c>
      <c r="K5412">
        <v>46</v>
      </c>
      <c r="L5412" t="s">
        <v>24</v>
      </c>
      <c r="M5412" t="s">
        <v>25</v>
      </c>
      <c r="N5412" t="s">
        <v>22</v>
      </c>
      <c r="O5412" t="s">
        <v>27</v>
      </c>
      <c r="P5412">
        <v>3.67</v>
      </c>
      <c r="Q5412" s="2" t="b">
        <f>FALSE()</f>
        <v>0</v>
      </c>
      <c r="R5412">
        <v>0</v>
      </c>
    </row>
    <row r="5413" spans="1:18" x14ac:dyDescent="0.25">
      <c r="A5413">
        <v>205412</v>
      </c>
      <c r="B5413">
        <v>54215</v>
      </c>
      <c r="C5413" t="s">
        <v>18</v>
      </c>
      <c r="D5413">
        <v>2823.5</v>
      </c>
      <c r="E5413">
        <v>1201</v>
      </c>
      <c r="F5413">
        <v>3</v>
      </c>
      <c r="G5413">
        <v>7</v>
      </c>
      <c r="H5413">
        <v>0</v>
      </c>
      <c r="I5413" t="s">
        <v>33</v>
      </c>
      <c r="J5413">
        <v>0</v>
      </c>
      <c r="K5413">
        <v>82</v>
      </c>
      <c r="L5413" t="s">
        <v>20</v>
      </c>
      <c r="M5413" t="s">
        <v>29</v>
      </c>
      <c r="N5413" t="s">
        <v>22</v>
      </c>
      <c r="O5413" t="s">
        <v>36</v>
      </c>
      <c r="P5413">
        <v>2.04</v>
      </c>
      <c r="Q5413" s="2" t="b">
        <f>FALSE()</f>
        <v>0</v>
      </c>
      <c r="R5413">
        <v>1</v>
      </c>
    </row>
    <row r="5414" spans="1:18" x14ac:dyDescent="0.25">
      <c r="A5414">
        <v>205413</v>
      </c>
      <c r="B5414">
        <v>50777</v>
      </c>
      <c r="C5414" t="s">
        <v>18</v>
      </c>
      <c r="D5414">
        <v>7216.82</v>
      </c>
      <c r="E5414">
        <v>1138</v>
      </c>
      <c r="F5414">
        <v>0</v>
      </c>
      <c r="G5414">
        <v>3</v>
      </c>
      <c r="H5414">
        <v>0</v>
      </c>
      <c r="I5414" t="s">
        <v>32</v>
      </c>
      <c r="J5414">
        <v>1</v>
      </c>
      <c r="K5414">
        <v>68</v>
      </c>
      <c r="L5414" t="s">
        <v>24</v>
      </c>
      <c r="M5414" t="s">
        <v>21</v>
      </c>
      <c r="N5414" t="s">
        <v>30</v>
      </c>
      <c r="O5414" t="s">
        <v>36</v>
      </c>
      <c r="P5414">
        <v>0.83</v>
      </c>
      <c r="Q5414" s="2" t="b">
        <f>TRUE()</f>
        <v>1</v>
      </c>
      <c r="R5414">
        <v>1</v>
      </c>
    </row>
    <row r="5415" spans="1:18" x14ac:dyDescent="0.25">
      <c r="A5415">
        <v>205414</v>
      </c>
      <c r="B5415">
        <v>53623</v>
      </c>
      <c r="C5415" t="s">
        <v>18</v>
      </c>
      <c r="D5415">
        <v>8919.82</v>
      </c>
      <c r="E5415">
        <v>3043</v>
      </c>
      <c r="F5415">
        <v>0</v>
      </c>
      <c r="G5415">
        <v>4</v>
      </c>
      <c r="H5415">
        <v>0</v>
      </c>
      <c r="I5415" t="s">
        <v>33</v>
      </c>
      <c r="J5415">
        <v>0</v>
      </c>
      <c r="K5415">
        <v>27</v>
      </c>
      <c r="L5415" t="s">
        <v>20</v>
      </c>
      <c r="M5415" t="s">
        <v>21</v>
      </c>
      <c r="N5415" t="s">
        <v>30</v>
      </c>
      <c r="O5415" t="s">
        <v>27</v>
      </c>
      <c r="P5415">
        <v>0.61</v>
      </c>
      <c r="Q5415" s="2" t="b">
        <f>TRUE()</f>
        <v>1</v>
      </c>
      <c r="R5415">
        <v>1</v>
      </c>
    </row>
    <row r="5416" spans="1:18" x14ac:dyDescent="0.25">
      <c r="A5416">
        <v>205415</v>
      </c>
      <c r="B5416">
        <v>51382</v>
      </c>
      <c r="C5416" t="s">
        <v>18</v>
      </c>
      <c r="D5416">
        <v>3751.76</v>
      </c>
      <c r="E5416">
        <v>3513</v>
      </c>
      <c r="F5416">
        <v>1</v>
      </c>
      <c r="G5416">
        <v>2</v>
      </c>
      <c r="H5416">
        <v>1</v>
      </c>
      <c r="I5416" t="s">
        <v>33</v>
      </c>
      <c r="J5416">
        <v>0</v>
      </c>
      <c r="K5416">
        <v>27</v>
      </c>
      <c r="L5416" t="s">
        <v>20</v>
      </c>
      <c r="M5416" t="s">
        <v>35</v>
      </c>
      <c r="N5416" t="s">
        <v>30</v>
      </c>
      <c r="O5416" t="s">
        <v>27</v>
      </c>
      <c r="P5416">
        <v>1.9</v>
      </c>
      <c r="Q5416" s="2" t="b">
        <f>FALSE()</f>
        <v>0</v>
      </c>
      <c r="R5416">
        <v>1</v>
      </c>
    </row>
    <row r="5417" spans="1:18" x14ac:dyDescent="0.25">
      <c r="A5417">
        <v>205416</v>
      </c>
      <c r="B5417">
        <v>54573</v>
      </c>
      <c r="C5417" t="s">
        <v>34</v>
      </c>
      <c r="D5417">
        <v>4941.7299999999996</v>
      </c>
      <c r="E5417">
        <v>385</v>
      </c>
      <c r="F5417">
        <v>1</v>
      </c>
      <c r="G5417">
        <v>3</v>
      </c>
      <c r="H5417">
        <v>0</v>
      </c>
      <c r="I5417" t="s">
        <v>32</v>
      </c>
      <c r="J5417">
        <v>0</v>
      </c>
      <c r="K5417">
        <v>70</v>
      </c>
      <c r="L5417" t="s">
        <v>24</v>
      </c>
      <c r="M5417" t="s">
        <v>35</v>
      </c>
      <c r="N5417" t="s">
        <v>22</v>
      </c>
      <c r="O5417" t="s">
        <v>36</v>
      </c>
      <c r="P5417">
        <v>0.89</v>
      </c>
      <c r="Q5417" s="2" t="b">
        <f>FALSE()</f>
        <v>0</v>
      </c>
      <c r="R5417">
        <v>1</v>
      </c>
    </row>
    <row r="5418" spans="1:18" x14ac:dyDescent="0.25">
      <c r="A5418">
        <v>205417</v>
      </c>
      <c r="B5418">
        <v>53173</v>
      </c>
      <c r="C5418" t="s">
        <v>18</v>
      </c>
      <c r="D5418">
        <v>2422.06</v>
      </c>
      <c r="E5418">
        <v>393</v>
      </c>
      <c r="F5418">
        <v>0</v>
      </c>
      <c r="G5418">
        <v>7</v>
      </c>
      <c r="H5418">
        <v>0</v>
      </c>
      <c r="I5418" t="s">
        <v>19</v>
      </c>
      <c r="J5418">
        <v>0</v>
      </c>
      <c r="K5418">
        <v>28</v>
      </c>
      <c r="L5418" t="s">
        <v>20</v>
      </c>
      <c r="M5418" t="s">
        <v>35</v>
      </c>
      <c r="N5418" t="s">
        <v>26</v>
      </c>
      <c r="O5418" t="s">
        <v>27</v>
      </c>
      <c r="P5418">
        <v>3.63</v>
      </c>
      <c r="Q5418" s="2" t="b">
        <f>FALSE()</f>
        <v>0</v>
      </c>
      <c r="R5418">
        <v>1</v>
      </c>
    </row>
    <row r="5419" spans="1:18" x14ac:dyDescent="0.25">
      <c r="A5419">
        <v>205418</v>
      </c>
      <c r="B5419">
        <v>51995</v>
      </c>
      <c r="C5419" t="s">
        <v>34</v>
      </c>
      <c r="D5419">
        <v>3812.18</v>
      </c>
      <c r="E5419">
        <v>2764</v>
      </c>
      <c r="F5419">
        <v>1</v>
      </c>
      <c r="G5419">
        <v>5</v>
      </c>
      <c r="H5419">
        <v>0</v>
      </c>
      <c r="I5419" t="s">
        <v>19</v>
      </c>
      <c r="J5419">
        <v>0</v>
      </c>
      <c r="K5419">
        <v>44</v>
      </c>
      <c r="L5419" t="s">
        <v>20</v>
      </c>
      <c r="M5419" t="s">
        <v>21</v>
      </c>
      <c r="N5419" t="s">
        <v>30</v>
      </c>
      <c r="O5419" t="s">
        <v>36</v>
      </c>
      <c r="P5419">
        <v>2.15</v>
      </c>
      <c r="Q5419" s="2" t="b">
        <f>FALSE()</f>
        <v>0</v>
      </c>
      <c r="R5419">
        <v>1</v>
      </c>
    </row>
    <row r="5420" spans="1:18" x14ac:dyDescent="0.25">
      <c r="A5420">
        <v>205419</v>
      </c>
      <c r="B5420">
        <v>51086</v>
      </c>
      <c r="C5420" t="s">
        <v>18</v>
      </c>
      <c r="D5420">
        <v>969.15</v>
      </c>
      <c r="E5420">
        <v>2041</v>
      </c>
      <c r="F5420">
        <v>1</v>
      </c>
      <c r="G5420">
        <v>8</v>
      </c>
      <c r="H5420">
        <v>0</v>
      </c>
      <c r="I5420" t="s">
        <v>33</v>
      </c>
      <c r="J5420">
        <v>0</v>
      </c>
      <c r="K5420">
        <v>51</v>
      </c>
      <c r="L5420" t="s">
        <v>20</v>
      </c>
      <c r="M5420" t="s">
        <v>37</v>
      </c>
      <c r="N5420" t="s">
        <v>30</v>
      </c>
      <c r="O5420" t="s">
        <v>36</v>
      </c>
      <c r="P5420">
        <v>0.47</v>
      </c>
      <c r="Q5420" s="2" t="b">
        <f>FALSE()</f>
        <v>0</v>
      </c>
      <c r="R5420">
        <v>1</v>
      </c>
    </row>
    <row r="5421" spans="1:18" x14ac:dyDescent="0.25">
      <c r="A5421">
        <v>205420</v>
      </c>
      <c r="B5421">
        <v>54485</v>
      </c>
      <c r="C5421" t="s">
        <v>18</v>
      </c>
      <c r="D5421">
        <v>739.3</v>
      </c>
      <c r="E5421">
        <v>2164</v>
      </c>
      <c r="F5421">
        <v>2</v>
      </c>
      <c r="G5421">
        <v>2</v>
      </c>
      <c r="H5421">
        <v>0</v>
      </c>
      <c r="I5421" t="s">
        <v>33</v>
      </c>
      <c r="J5421">
        <v>0</v>
      </c>
      <c r="K5421">
        <v>39</v>
      </c>
      <c r="L5421" t="s">
        <v>24</v>
      </c>
      <c r="M5421" t="s">
        <v>31</v>
      </c>
      <c r="N5421" t="s">
        <v>30</v>
      </c>
      <c r="O5421" t="s">
        <v>27</v>
      </c>
      <c r="P5421">
        <v>2.2400000000000002</v>
      </c>
      <c r="Q5421" s="2" t="b">
        <f>FALSE()</f>
        <v>0</v>
      </c>
      <c r="R5421">
        <v>0</v>
      </c>
    </row>
    <row r="5422" spans="1:18" x14ac:dyDescent="0.25">
      <c r="A5422">
        <v>205421</v>
      </c>
      <c r="B5422">
        <v>51976</v>
      </c>
      <c r="C5422" t="s">
        <v>18</v>
      </c>
      <c r="D5422">
        <v>5836.15</v>
      </c>
      <c r="E5422">
        <v>3548</v>
      </c>
      <c r="F5422">
        <v>0</v>
      </c>
      <c r="G5422">
        <v>7</v>
      </c>
      <c r="H5422">
        <v>0</v>
      </c>
      <c r="I5422" t="s">
        <v>33</v>
      </c>
      <c r="J5422">
        <v>0</v>
      </c>
      <c r="K5422">
        <v>46</v>
      </c>
      <c r="L5422" t="s">
        <v>20</v>
      </c>
      <c r="M5422" t="s">
        <v>25</v>
      </c>
      <c r="N5422" t="s">
        <v>22</v>
      </c>
      <c r="O5422" t="s">
        <v>27</v>
      </c>
      <c r="P5422">
        <v>2.89</v>
      </c>
      <c r="Q5422" s="2" t="b">
        <f>FALSE()</f>
        <v>0</v>
      </c>
      <c r="R5422">
        <v>1</v>
      </c>
    </row>
    <row r="5423" spans="1:18" x14ac:dyDescent="0.25">
      <c r="A5423">
        <v>205422</v>
      </c>
      <c r="B5423">
        <v>53560</v>
      </c>
      <c r="C5423" t="s">
        <v>18</v>
      </c>
      <c r="D5423">
        <v>4127.84</v>
      </c>
      <c r="E5423">
        <v>682</v>
      </c>
      <c r="F5423">
        <v>1</v>
      </c>
      <c r="G5423">
        <v>5</v>
      </c>
      <c r="H5423">
        <v>0</v>
      </c>
      <c r="I5423" t="s">
        <v>33</v>
      </c>
      <c r="J5423">
        <v>1</v>
      </c>
      <c r="K5423">
        <v>39</v>
      </c>
      <c r="L5423" t="s">
        <v>24</v>
      </c>
      <c r="M5423" t="s">
        <v>35</v>
      </c>
      <c r="N5423" t="s">
        <v>30</v>
      </c>
      <c r="O5423" t="s">
        <v>27</v>
      </c>
      <c r="P5423">
        <v>0.25</v>
      </c>
      <c r="Q5423" s="2" t="b">
        <f>FALSE()</f>
        <v>0</v>
      </c>
      <c r="R5423">
        <v>1</v>
      </c>
    </row>
    <row r="5424" spans="1:18" x14ac:dyDescent="0.25">
      <c r="A5424">
        <v>205423</v>
      </c>
      <c r="B5424">
        <v>50592</v>
      </c>
      <c r="C5424" t="s">
        <v>34</v>
      </c>
      <c r="D5424">
        <v>1030.57</v>
      </c>
      <c r="E5424">
        <v>2322</v>
      </c>
      <c r="F5424">
        <v>0</v>
      </c>
      <c r="G5424">
        <v>4</v>
      </c>
      <c r="H5424">
        <v>0</v>
      </c>
      <c r="I5424" t="s">
        <v>33</v>
      </c>
      <c r="J5424">
        <v>0</v>
      </c>
      <c r="K5424">
        <v>54</v>
      </c>
      <c r="L5424" t="s">
        <v>24</v>
      </c>
      <c r="M5424" t="s">
        <v>21</v>
      </c>
      <c r="N5424" t="s">
        <v>22</v>
      </c>
      <c r="O5424" t="s">
        <v>27</v>
      </c>
      <c r="P5424">
        <v>2.48</v>
      </c>
      <c r="Q5424" s="2" t="b">
        <f>FALSE()</f>
        <v>0</v>
      </c>
      <c r="R5424">
        <v>0</v>
      </c>
    </row>
    <row r="5425" spans="1:18" x14ac:dyDescent="0.25">
      <c r="A5425">
        <v>205424</v>
      </c>
      <c r="B5425">
        <v>54936</v>
      </c>
      <c r="C5425" t="s">
        <v>28</v>
      </c>
      <c r="D5425">
        <v>465.64</v>
      </c>
      <c r="E5425">
        <v>527</v>
      </c>
      <c r="F5425">
        <v>1</v>
      </c>
      <c r="G5425">
        <v>2</v>
      </c>
      <c r="H5425">
        <v>0</v>
      </c>
      <c r="I5425" t="s">
        <v>32</v>
      </c>
      <c r="J5425">
        <v>1</v>
      </c>
      <c r="K5425">
        <v>42</v>
      </c>
      <c r="L5425" t="s">
        <v>20</v>
      </c>
      <c r="M5425" t="s">
        <v>31</v>
      </c>
      <c r="N5425" t="s">
        <v>22</v>
      </c>
      <c r="O5425" t="s">
        <v>27</v>
      </c>
      <c r="P5425">
        <v>7.93</v>
      </c>
      <c r="Q5425" s="2" t="b">
        <f>FALSE()</f>
        <v>0</v>
      </c>
      <c r="R5425">
        <v>0</v>
      </c>
    </row>
    <row r="5426" spans="1:18" x14ac:dyDescent="0.25">
      <c r="A5426">
        <v>205425</v>
      </c>
      <c r="B5426">
        <v>53063</v>
      </c>
      <c r="C5426" t="s">
        <v>34</v>
      </c>
      <c r="D5426">
        <v>339.73</v>
      </c>
      <c r="E5426">
        <v>3225</v>
      </c>
      <c r="F5426">
        <v>1</v>
      </c>
      <c r="G5426">
        <v>5</v>
      </c>
      <c r="H5426">
        <v>0</v>
      </c>
      <c r="I5426" t="s">
        <v>32</v>
      </c>
      <c r="J5426">
        <v>0</v>
      </c>
      <c r="K5426">
        <v>37</v>
      </c>
      <c r="L5426" t="s">
        <v>24</v>
      </c>
      <c r="M5426" t="s">
        <v>29</v>
      </c>
      <c r="N5426" t="s">
        <v>26</v>
      </c>
      <c r="O5426" t="s">
        <v>23</v>
      </c>
      <c r="P5426">
        <v>3.79</v>
      </c>
      <c r="Q5426" s="2" t="b">
        <f>FALSE()</f>
        <v>0</v>
      </c>
      <c r="R5426">
        <v>0</v>
      </c>
    </row>
    <row r="5427" spans="1:18" x14ac:dyDescent="0.25">
      <c r="A5427">
        <v>205426</v>
      </c>
      <c r="B5427">
        <v>54708</v>
      </c>
      <c r="C5427" t="s">
        <v>28</v>
      </c>
      <c r="D5427">
        <v>1676.25</v>
      </c>
      <c r="E5427">
        <v>201</v>
      </c>
      <c r="F5427">
        <v>1</v>
      </c>
      <c r="G5427">
        <v>8</v>
      </c>
      <c r="H5427">
        <v>0</v>
      </c>
      <c r="I5427" t="s">
        <v>33</v>
      </c>
      <c r="J5427">
        <v>0</v>
      </c>
      <c r="K5427">
        <v>22</v>
      </c>
      <c r="L5427" t="s">
        <v>20</v>
      </c>
      <c r="M5427" t="s">
        <v>35</v>
      </c>
      <c r="N5427" t="s">
        <v>26</v>
      </c>
      <c r="O5427" t="s">
        <v>36</v>
      </c>
      <c r="P5427">
        <v>2.2000000000000002</v>
      </c>
      <c r="Q5427" s="2" t="b">
        <f>FALSE()</f>
        <v>0</v>
      </c>
      <c r="R5427">
        <v>1</v>
      </c>
    </row>
    <row r="5428" spans="1:18" x14ac:dyDescent="0.25">
      <c r="A5428">
        <v>205427</v>
      </c>
      <c r="B5428">
        <v>52675</v>
      </c>
      <c r="C5428" t="s">
        <v>34</v>
      </c>
      <c r="D5428">
        <v>2752.63</v>
      </c>
      <c r="E5428">
        <v>3021</v>
      </c>
      <c r="F5428">
        <v>0</v>
      </c>
      <c r="G5428">
        <v>8</v>
      </c>
      <c r="H5428">
        <v>1</v>
      </c>
      <c r="I5428" t="s">
        <v>19</v>
      </c>
      <c r="J5428">
        <v>1</v>
      </c>
      <c r="K5428">
        <v>83</v>
      </c>
      <c r="L5428" t="s">
        <v>38</v>
      </c>
      <c r="M5428" t="s">
        <v>31</v>
      </c>
      <c r="N5428" t="s">
        <v>26</v>
      </c>
      <c r="O5428" t="s">
        <v>23</v>
      </c>
      <c r="P5428">
        <v>2.91</v>
      </c>
      <c r="Q5428" s="2" t="b">
        <f>FALSE()</f>
        <v>0</v>
      </c>
      <c r="R5428">
        <v>1</v>
      </c>
    </row>
    <row r="5429" spans="1:18" x14ac:dyDescent="0.25">
      <c r="A5429">
        <v>205428</v>
      </c>
      <c r="B5429">
        <v>53321</v>
      </c>
      <c r="C5429" t="s">
        <v>18</v>
      </c>
      <c r="D5429">
        <v>1706.8</v>
      </c>
      <c r="E5429">
        <v>1517</v>
      </c>
      <c r="F5429">
        <v>1</v>
      </c>
      <c r="G5429">
        <v>6</v>
      </c>
      <c r="H5429">
        <v>0</v>
      </c>
      <c r="I5429" t="s">
        <v>33</v>
      </c>
      <c r="J5429">
        <v>0</v>
      </c>
      <c r="K5429">
        <v>74</v>
      </c>
      <c r="L5429" t="s">
        <v>20</v>
      </c>
      <c r="M5429" t="s">
        <v>21</v>
      </c>
      <c r="N5429" t="s">
        <v>26</v>
      </c>
      <c r="O5429" t="s">
        <v>36</v>
      </c>
      <c r="P5429">
        <v>0.89</v>
      </c>
      <c r="Q5429" s="2" t="b">
        <f>FALSE()</f>
        <v>0</v>
      </c>
      <c r="R5429">
        <v>0</v>
      </c>
    </row>
    <row r="5430" spans="1:18" x14ac:dyDescent="0.25">
      <c r="A5430">
        <v>205429</v>
      </c>
      <c r="B5430">
        <v>51583</v>
      </c>
      <c r="C5430" t="s">
        <v>18</v>
      </c>
      <c r="D5430">
        <v>3974.26</v>
      </c>
      <c r="E5430">
        <v>1800</v>
      </c>
      <c r="F5430">
        <v>1</v>
      </c>
      <c r="G5430">
        <v>6</v>
      </c>
      <c r="H5430">
        <v>0</v>
      </c>
      <c r="I5430" t="s">
        <v>33</v>
      </c>
      <c r="J5430">
        <v>0</v>
      </c>
      <c r="K5430">
        <v>79</v>
      </c>
      <c r="L5430" t="s">
        <v>24</v>
      </c>
      <c r="M5430" t="s">
        <v>29</v>
      </c>
      <c r="N5430" t="s">
        <v>30</v>
      </c>
      <c r="O5430" t="s">
        <v>36</v>
      </c>
      <c r="P5430">
        <v>2.0299999999999998</v>
      </c>
      <c r="Q5430" s="2" t="b">
        <f>FALSE()</f>
        <v>0</v>
      </c>
      <c r="R5430">
        <v>1</v>
      </c>
    </row>
    <row r="5431" spans="1:18" x14ac:dyDescent="0.25">
      <c r="A5431">
        <v>205430</v>
      </c>
      <c r="B5431">
        <v>52026</v>
      </c>
      <c r="C5431" t="s">
        <v>18</v>
      </c>
      <c r="D5431">
        <v>5247.56</v>
      </c>
      <c r="E5431">
        <v>1859</v>
      </c>
      <c r="F5431">
        <v>4</v>
      </c>
      <c r="G5431">
        <v>3</v>
      </c>
      <c r="H5431">
        <v>0</v>
      </c>
      <c r="I5431" t="s">
        <v>33</v>
      </c>
      <c r="J5431">
        <v>0</v>
      </c>
      <c r="K5431">
        <v>69</v>
      </c>
      <c r="L5431" t="s">
        <v>20</v>
      </c>
      <c r="M5431" t="s">
        <v>25</v>
      </c>
      <c r="N5431" t="s">
        <v>22</v>
      </c>
      <c r="O5431" t="s">
        <v>36</v>
      </c>
      <c r="P5431">
        <v>3.29</v>
      </c>
      <c r="Q5431" s="2" t="b">
        <f>FALSE()</f>
        <v>0</v>
      </c>
      <c r="R5431">
        <v>1</v>
      </c>
    </row>
    <row r="5432" spans="1:18" x14ac:dyDescent="0.25">
      <c r="A5432">
        <v>205431</v>
      </c>
      <c r="B5432">
        <v>52018</v>
      </c>
      <c r="C5432" t="s">
        <v>18</v>
      </c>
      <c r="D5432">
        <v>378.38</v>
      </c>
      <c r="E5432">
        <v>1630</v>
      </c>
      <c r="F5432">
        <v>0</v>
      </c>
      <c r="G5432">
        <v>8</v>
      </c>
      <c r="H5432">
        <v>1</v>
      </c>
      <c r="I5432" t="s">
        <v>32</v>
      </c>
      <c r="J5432">
        <v>0</v>
      </c>
      <c r="K5432">
        <v>75</v>
      </c>
      <c r="L5432" t="s">
        <v>24</v>
      </c>
      <c r="M5432" t="s">
        <v>21</v>
      </c>
      <c r="N5432" t="s">
        <v>22</v>
      </c>
      <c r="O5432" t="s">
        <v>36</v>
      </c>
      <c r="P5432">
        <v>5.95</v>
      </c>
      <c r="Q5432" s="2" t="b">
        <f>FALSE()</f>
        <v>0</v>
      </c>
      <c r="R5432">
        <v>1</v>
      </c>
    </row>
    <row r="5433" spans="1:18" x14ac:dyDescent="0.25">
      <c r="A5433">
        <v>205432</v>
      </c>
      <c r="B5433">
        <v>54839</v>
      </c>
      <c r="C5433" t="s">
        <v>34</v>
      </c>
      <c r="D5433">
        <v>1391.21</v>
      </c>
      <c r="E5433">
        <v>1200</v>
      </c>
      <c r="F5433">
        <v>2</v>
      </c>
      <c r="G5433">
        <v>4</v>
      </c>
      <c r="H5433">
        <v>0</v>
      </c>
      <c r="I5433" t="s">
        <v>19</v>
      </c>
      <c r="J5433">
        <v>0</v>
      </c>
      <c r="K5433">
        <v>52</v>
      </c>
      <c r="L5433" t="s">
        <v>24</v>
      </c>
      <c r="M5433" t="s">
        <v>35</v>
      </c>
      <c r="N5433" t="s">
        <v>22</v>
      </c>
      <c r="O5433" t="s">
        <v>36</v>
      </c>
      <c r="P5433">
        <v>3.99</v>
      </c>
      <c r="Q5433" s="2" t="b">
        <f>FALSE()</f>
        <v>0</v>
      </c>
      <c r="R5433">
        <v>0</v>
      </c>
    </row>
    <row r="5434" spans="1:18" x14ac:dyDescent="0.25">
      <c r="A5434">
        <v>205433</v>
      </c>
      <c r="B5434">
        <v>50890</v>
      </c>
      <c r="C5434" t="s">
        <v>18</v>
      </c>
      <c r="D5434">
        <v>1417.84</v>
      </c>
      <c r="E5434">
        <v>2453</v>
      </c>
      <c r="F5434">
        <v>1</v>
      </c>
      <c r="G5434">
        <v>3</v>
      </c>
      <c r="H5434">
        <v>0</v>
      </c>
      <c r="I5434" t="s">
        <v>33</v>
      </c>
      <c r="J5434">
        <v>1</v>
      </c>
      <c r="K5434">
        <v>34</v>
      </c>
      <c r="L5434" t="s">
        <v>24</v>
      </c>
      <c r="M5434" t="s">
        <v>29</v>
      </c>
      <c r="N5434" t="s">
        <v>22</v>
      </c>
      <c r="O5434" t="s">
        <v>27</v>
      </c>
      <c r="P5434">
        <v>0.18</v>
      </c>
      <c r="Q5434" s="2" t="b">
        <f>FALSE()</f>
        <v>0</v>
      </c>
      <c r="R5434">
        <v>0</v>
      </c>
    </row>
    <row r="5435" spans="1:18" x14ac:dyDescent="0.25">
      <c r="A5435">
        <v>205434</v>
      </c>
      <c r="B5435">
        <v>51897</v>
      </c>
      <c r="C5435" t="s">
        <v>18</v>
      </c>
      <c r="D5435">
        <v>3874.74</v>
      </c>
      <c r="E5435">
        <v>2089</v>
      </c>
      <c r="F5435">
        <v>0</v>
      </c>
      <c r="G5435">
        <v>3</v>
      </c>
      <c r="H5435">
        <v>1</v>
      </c>
      <c r="I5435" t="s">
        <v>33</v>
      </c>
      <c r="J5435">
        <v>0</v>
      </c>
      <c r="K5435">
        <v>27</v>
      </c>
      <c r="L5435" t="s">
        <v>20</v>
      </c>
      <c r="M5435" t="s">
        <v>25</v>
      </c>
      <c r="N5435" t="s">
        <v>30</v>
      </c>
      <c r="O5435" t="s">
        <v>27</v>
      </c>
      <c r="P5435">
        <v>3.04</v>
      </c>
      <c r="Q5435" s="2" t="b">
        <f>FALSE()</f>
        <v>0</v>
      </c>
      <c r="R5435">
        <v>1</v>
      </c>
    </row>
    <row r="5436" spans="1:18" x14ac:dyDescent="0.25">
      <c r="A5436">
        <v>205435</v>
      </c>
      <c r="B5436">
        <v>52356</v>
      </c>
      <c r="C5436" t="s">
        <v>34</v>
      </c>
      <c r="D5436">
        <v>5115.38</v>
      </c>
      <c r="E5436">
        <v>1075</v>
      </c>
      <c r="F5436">
        <v>1</v>
      </c>
      <c r="G5436">
        <v>0</v>
      </c>
      <c r="H5436">
        <v>0</v>
      </c>
      <c r="I5436" t="s">
        <v>33</v>
      </c>
      <c r="J5436">
        <v>0</v>
      </c>
      <c r="K5436">
        <v>36</v>
      </c>
      <c r="L5436" t="s">
        <v>20</v>
      </c>
      <c r="M5436" t="s">
        <v>35</v>
      </c>
      <c r="N5436" t="s">
        <v>22</v>
      </c>
      <c r="O5436" t="s">
        <v>36</v>
      </c>
      <c r="P5436">
        <v>3.17</v>
      </c>
      <c r="Q5436" s="2" t="b">
        <f>FALSE()</f>
        <v>0</v>
      </c>
      <c r="R5436">
        <v>1</v>
      </c>
    </row>
    <row r="5437" spans="1:18" x14ac:dyDescent="0.25">
      <c r="A5437">
        <v>205436</v>
      </c>
      <c r="B5437">
        <v>54017</v>
      </c>
      <c r="C5437" t="s">
        <v>34</v>
      </c>
      <c r="D5437">
        <v>3139.86</v>
      </c>
      <c r="E5437">
        <v>3215</v>
      </c>
      <c r="F5437">
        <v>0</v>
      </c>
      <c r="G5437">
        <v>3</v>
      </c>
      <c r="H5437">
        <v>0</v>
      </c>
      <c r="I5437" t="s">
        <v>33</v>
      </c>
      <c r="J5437">
        <v>1</v>
      </c>
      <c r="K5437">
        <v>27</v>
      </c>
      <c r="L5437" t="s">
        <v>24</v>
      </c>
      <c r="M5437" t="s">
        <v>21</v>
      </c>
      <c r="N5437" t="s">
        <v>26</v>
      </c>
      <c r="O5437" t="s">
        <v>36</v>
      </c>
      <c r="P5437">
        <v>0.39</v>
      </c>
      <c r="Q5437" s="2" t="b">
        <f>FALSE()</f>
        <v>0</v>
      </c>
      <c r="R5437">
        <v>0</v>
      </c>
    </row>
    <row r="5438" spans="1:18" x14ac:dyDescent="0.25">
      <c r="A5438">
        <v>205437</v>
      </c>
      <c r="B5438">
        <v>55901</v>
      </c>
      <c r="C5438" t="s">
        <v>34</v>
      </c>
      <c r="D5438">
        <v>3114.9</v>
      </c>
      <c r="E5438">
        <v>1231</v>
      </c>
      <c r="F5438">
        <v>2</v>
      </c>
      <c r="G5438">
        <v>5</v>
      </c>
      <c r="H5438">
        <v>0</v>
      </c>
      <c r="I5438" t="s">
        <v>19</v>
      </c>
      <c r="J5438">
        <v>0</v>
      </c>
      <c r="K5438">
        <v>68</v>
      </c>
      <c r="L5438" t="s">
        <v>20</v>
      </c>
      <c r="M5438" t="s">
        <v>31</v>
      </c>
      <c r="N5438" t="s">
        <v>26</v>
      </c>
      <c r="O5438" t="s">
        <v>36</v>
      </c>
      <c r="P5438">
        <v>1.33</v>
      </c>
      <c r="Q5438" s="2" t="b">
        <f>FALSE()</f>
        <v>0</v>
      </c>
      <c r="R5438">
        <v>0</v>
      </c>
    </row>
    <row r="5439" spans="1:18" x14ac:dyDescent="0.25">
      <c r="A5439">
        <v>205438</v>
      </c>
      <c r="B5439">
        <v>54830</v>
      </c>
      <c r="C5439" t="s">
        <v>34</v>
      </c>
      <c r="D5439">
        <v>4316.12</v>
      </c>
      <c r="E5439">
        <v>569</v>
      </c>
      <c r="F5439">
        <v>0</v>
      </c>
      <c r="G5439">
        <v>1</v>
      </c>
      <c r="H5439">
        <v>0</v>
      </c>
      <c r="I5439" t="s">
        <v>33</v>
      </c>
      <c r="J5439">
        <v>0</v>
      </c>
      <c r="K5439">
        <v>62</v>
      </c>
      <c r="L5439" t="s">
        <v>20</v>
      </c>
      <c r="M5439" t="s">
        <v>35</v>
      </c>
      <c r="N5439" t="s">
        <v>22</v>
      </c>
      <c r="O5439" t="s">
        <v>23</v>
      </c>
      <c r="P5439">
        <v>7.13</v>
      </c>
      <c r="Q5439" s="2" t="b">
        <f>FALSE()</f>
        <v>0</v>
      </c>
      <c r="R5439">
        <v>1</v>
      </c>
    </row>
    <row r="5440" spans="1:18" x14ac:dyDescent="0.25">
      <c r="A5440">
        <v>205439</v>
      </c>
      <c r="B5440">
        <v>54206</v>
      </c>
      <c r="C5440" t="s">
        <v>34</v>
      </c>
      <c r="D5440">
        <v>387.64</v>
      </c>
      <c r="E5440">
        <v>394</v>
      </c>
      <c r="F5440">
        <v>0</v>
      </c>
      <c r="G5440">
        <v>3</v>
      </c>
      <c r="H5440">
        <v>0</v>
      </c>
      <c r="I5440" t="s">
        <v>32</v>
      </c>
      <c r="J5440">
        <v>0</v>
      </c>
      <c r="K5440">
        <v>22</v>
      </c>
      <c r="L5440" t="s">
        <v>24</v>
      </c>
      <c r="M5440" t="s">
        <v>21</v>
      </c>
      <c r="N5440" t="s">
        <v>30</v>
      </c>
      <c r="O5440" t="s">
        <v>36</v>
      </c>
      <c r="P5440">
        <v>1.73</v>
      </c>
      <c r="Q5440" s="2" t="b">
        <f>FALSE()</f>
        <v>0</v>
      </c>
      <c r="R5440">
        <v>0</v>
      </c>
    </row>
    <row r="5441" spans="1:18" x14ac:dyDescent="0.25">
      <c r="A5441">
        <v>205440</v>
      </c>
      <c r="B5441">
        <v>54930</v>
      </c>
      <c r="C5441" t="s">
        <v>34</v>
      </c>
      <c r="D5441">
        <v>3919.98</v>
      </c>
      <c r="E5441">
        <v>1868</v>
      </c>
      <c r="F5441">
        <v>0</v>
      </c>
      <c r="G5441">
        <v>4</v>
      </c>
      <c r="H5441">
        <v>0</v>
      </c>
      <c r="I5441" t="s">
        <v>19</v>
      </c>
      <c r="J5441">
        <v>0</v>
      </c>
      <c r="K5441">
        <v>83</v>
      </c>
      <c r="L5441" t="s">
        <v>24</v>
      </c>
      <c r="M5441" t="s">
        <v>31</v>
      </c>
      <c r="N5441" t="s">
        <v>22</v>
      </c>
      <c r="O5441" t="s">
        <v>27</v>
      </c>
      <c r="P5441">
        <v>2.72</v>
      </c>
      <c r="Q5441" s="2" t="b">
        <f>FALSE()</f>
        <v>0</v>
      </c>
      <c r="R5441">
        <v>1</v>
      </c>
    </row>
    <row r="5442" spans="1:18" x14ac:dyDescent="0.25">
      <c r="A5442">
        <v>205441</v>
      </c>
      <c r="B5442">
        <v>52819</v>
      </c>
      <c r="C5442" t="s">
        <v>28</v>
      </c>
      <c r="D5442">
        <v>1991.89</v>
      </c>
      <c r="E5442">
        <v>1778</v>
      </c>
      <c r="F5442">
        <v>4</v>
      </c>
      <c r="G5442">
        <v>6</v>
      </c>
      <c r="H5442">
        <v>0</v>
      </c>
      <c r="I5442" t="s">
        <v>32</v>
      </c>
      <c r="J5442">
        <v>0</v>
      </c>
      <c r="K5442">
        <v>40</v>
      </c>
      <c r="L5442" t="s">
        <v>24</v>
      </c>
      <c r="M5442" t="s">
        <v>25</v>
      </c>
      <c r="N5442" t="s">
        <v>22</v>
      </c>
      <c r="O5442" t="s">
        <v>36</v>
      </c>
      <c r="P5442">
        <v>1.1299999999999999</v>
      </c>
      <c r="Q5442" s="2" t="b">
        <f>FALSE()</f>
        <v>0</v>
      </c>
      <c r="R5442">
        <v>1</v>
      </c>
    </row>
    <row r="5443" spans="1:18" x14ac:dyDescent="0.25">
      <c r="A5443">
        <v>205442</v>
      </c>
      <c r="B5443">
        <v>54170</v>
      </c>
      <c r="C5443" t="s">
        <v>18</v>
      </c>
      <c r="D5443">
        <v>2670.24</v>
      </c>
      <c r="E5443">
        <v>2245</v>
      </c>
      <c r="F5443">
        <v>2</v>
      </c>
      <c r="G5443">
        <v>4</v>
      </c>
      <c r="H5443">
        <v>0</v>
      </c>
      <c r="I5443" t="s">
        <v>33</v>
      </c>
      <c r="J5443">
        <v>1</v>
      </c>
      <c r="K5443">
        <v>24</v>
      </c>
      <c r="L5443" t="s">
        <v>24</v>
      </c>
      <c r="M5443" t="s">
        <v>29</v>
      </c>
      <c r="N5443" t="s">
        <v>30</v>
      </c>
      <c r="O5443" t="s">
        <v>27</v>
      </c>
      <c r="P5443">
        <v>2.79</v>
      </c>
      <c r="Q5443" s="2" t="b">
        <f>FALSE()</f>
        <v>0</v>
      </c>
      <c r="R5443">
        <v>0</v>
      </c>
    </row>
    <row r="5444" spans="1:18" x14ac:dyDescent="0.25">
      <c r="A5444">
        <v>205443</v>
      </c>
      <c r="B5444">
        <v>52690</v>
      </c>
      <c r="C5444" t="s">
        <v>18</v>
      </c>
      <c r="D5444">
        <v>2518.56</v>
      </c>
      <c r="E5444">
        <v>2917</v>
      </c>
      <c r="F5444">
        <v>1</v>
      </c>
      <c r="G5444">
        <v>9</v>
      </c>
      <c r="H5444">
        <v>0</v>
      </c>
      <c r="I5444" t="s">
        <v>33</v>
      </c>
      <c r="J5444">
        <v>0</v>
      </c>
      <c r="K5444">
        <v>66</v>
      </c>
      <c r="L5444" t="s">
        <v>20</v>
      </c>
      <c r="M5444" t="s">
        <v>37</v>
      </c>
      <c r="N5444" t="s">
        <v>22</v>
      </c>
      <c r="O5444" t="s">
        <v>36</v>
      </c>
      <c r="P5444">
        <v>4.6500000000000004</v>
      </c>
      <c r="Q5444" s="2" t="b">
        <f>FALSE()</f>
        <v>0</v>
      </c>
      <c r="R5444">
        <v>1</v>
      </c>
    </row>
    <row r="5445" spans="1:18" x14ac:dyDescent="0.25">
      <c r="A5445">
        <v>205444</v>
      </c>
      <c r="B5445">
        <v>51118</v>
      </c>
      <c r="C5445" t="s">
        <v>18</v>
      </c>
      <c r="D5445">
        <v>5385.35</v>
      </c>
      <c r="E5445">
        <v>2068</v>
      </c>
      <c r="F5445">
        <v>1</v>
      </c>
      <c r="G5445">
        <v>4</v>
      </c>
      <c r="H5445">
        <v>1</v>
      </c>
      <c r="I5445" t="s">
        <v>33</v>
      </c>
      <c r="J5445">
        <v>1</v>
      </c>
      <c r="K5445">
        <v>76</v>
      </c>
      <c r="L5445" t="s">
        <v>24</v>
      </c>
      <c r="M5445" t="s">
        <v>25</v>
      </c>
      <c r="N5445" t="s">
        <v>22</v>
      </c>
      <c r="O5445" t="s">
        <v>27</v>
      </c>
      <c r="P5445">
        <v>8.75</v>
      </c>
      <c r="Q5445" s="2" t="b">
        <f>FALSE()</f>
        <v>0</v>
      </c>
      <c r="R5445">
        <v>1</v>
      </c>
    </row>
    <row r="5446" spans="1:18" x14ac:dyDescent="0.25">
      <c r="A5446">
        <v>205445</v>
      </c>
      <c r="B5446">
        <v>54582</v>
      </c>
      <c r="C5446" t="s">
        <v>18</v>
      </c>
      <c r="D5446">
        <v>1627.08</v>
      </c>
      <c r="E5446">
        <v>943</v>
      </c>
      <c r="F5446">
        <v>1</v>
      </c>
      <c r="G5446">
        <v>4</v>
      </c>
      <c r="H5446">
        <v>1</v>
      </c>
      <c r="I5446" t="s">
        <v>33</v>
      </c>
      <c r="J5446">
        <v>0</v>
      </c>
      <c r="K5446">
        <v>37</v>
      </c>
      <c r="L5446" t="s">
        <v>20</v>
      </c>
      <c r="M5446" t="s">
        <v>37</v>
      </c>
      <c r="N5446" t="s">
        <v>22</v>
      </c>
      <c r="O5446" t="s">
        <v>36</v>
      </c>
      <c r="P5446">
        <v>0.8</v>
      </c>
      <c r="Q5446" s="2" t="b">
        <f>FALSE()</f>
        <v>0</v>
      </c>
      <c r="R5446">
        <v>0</v>
      </c>
    </row>
    <row r="5447" spans="1:18" x14ac:dyDescent="0.25">
      <c r="A5447">
        <v>205446</v>
      </c>
      <c r="B5447">
        <v>50222</v>
      </c>
      <c r="C5447" t="s">
        <v>34</v>
      </c>
      <c r="D5447">
        <v>2753.95</v>
      </c>
      <c r="E5447">
        <v>3429</v>
      </c>
      <c r="F5447">
        <v>0</v>
      </c>
      <c r="G5447">
        <v>2</v>
      </c>
      <c r="H5447">
        <v>1</v>
      </c>
      <c r="I5447" t="s">
        <v>32</v>
      </c>
      <c r="J5447">
        <v>0</v>
      </c>
      <c r="K5447">
        <v>35</v>
      </c>
      <c r="L5447" t="s">
        <v>20</v>
      </c>
      <c r="M5447" t="s">
        <v>25</v>
      </c>
      <c r="N5447" t="s">
        <v>30</v>
      </c>
      <c r="O5447" t="s">
        <v>36</v>
      </c>
      <c r="P5447">
        <v>0.13</v>
      </c>
      <c r="Q5447" s="2" t="b">
        <f>FALSE()</f>
        <v>0</v>
      </c>
      <c r="R5447">
        <v>0</v>
      </c>
    </row>
    <row r="5448" spans="1:18" x14ac:dyDescent="0.25">
      <c r="A5448">
        <v>205447</v>
      </c>
      <c r="B5448">
        <v>55254</v>
      </c>
      <c r="C5448" t="s">
        <v>18</v>
      </c>
      <c r="D5448">
        <v>3483.92</v>
      </c>
      <c r="E5448">
        <v>2882</v>
      </c>
      <c r="F5448">
        <v>0</v>
      </c>
      <c r="G5448">
        <v>3</v>
      </c>
      <c r="H5448">
        <v>0</v>
      </c>
      <c r="I5448" t="s">
        <v>33</v>
      </c>
      <c r="J5448">
        <v>0</v>
      </c>
      <c r="K5448">
        <v>74</v>
      </c>
      <c r="L5448" t="s">
        <v>20</v>
      </c>
      <c r="M5448" t="s">
        <v>35</v>
      </c>
      <c r="N5448" t="s">
        <v>30</v>
      </c>
      <c r="O5448" t="s">
        <v>23</v>
      </c>
      <c r="P5448">
        <v>0.65</v>
      </c>
      <c r="Q5448" s="2" t="b">
        <f>FALSE()</f>
        <v>0</v>
      </c>
      <c r="R5448">
        <v>0</v>
      </c>
    </row>
    <row r="5449" spans="1:18" x14ac:dyDescent="0.25">
      <c r="A5449">
        <v>205448</v>
      </c>
      <c r="B5449">
        <v>53518</v>
      </c>
      <c r="C5449" t="s">
        <v>18</v>
      </c>
      <c r="D5449">
        <v>1348.82</v>
      </c>
      <c r="E5449">
        <v>3140</v>
      </c>
      <c r="F5449">
        <v>0</v>
      </c>
      <c r="G5449">
        <v>6</v>
      </c>
      <c r="H5449">
        <v>1</v>
      </c>
      <c r="I5449" t="s">
        <v>32</v>
      </c>
      <c r="J5449">
        <v>0</v>
      </c>
      <c r="K5449">
        <v>63</v>
      </c>
      <c r="L5449" t="s">
        <v>24</v>
      </c>
      <c r="M5449" t="s">
        <v>37</v>
      </c>
      <c r="N5449" t="s">
        <v>30</v>
      </c>
      <c r="O5449" t="s">
        <v>36</v>
      </c>
      <c r="P5449">
        <v>2.62</v>
      </c>
      <c r="Q5449" s="2" t="b">
        <f>FALSE()</f>
        <v>0</v>
      </c>
      <c r="R5449">
        <v>0</v>
      </c>
    </row>
    <row r="5450" spans="1:18" x14ac:dyDescent="0.25">
      <c r="A5450">
        <v>205449</v>
      </c>
      <c r="B5450">
        <v>54004</v>
      </c>
      <c r="C5450" t="s">
        <v>34</v>
      </c>
      <c r="D5450">
        <v>2100.06</v>
      </c>
      <c r="E5450">
        <v>1683</v>
      </c>
      <c r="F5450">
        <v>0</v>
      </c>
      <c r="G5450">
        <v>4</v>
      </c>
      <c r="H5450">
        <v>0</v>
      </c>
      <c r="I5450" t="s">
        <v>19</v>
      </c>
      <c r="J5450">
        <v>0</v>
      </c>
      <c r="K5450">
        <v>51</v>
      </c>
      <c r="L5450" t="s">
        <v>24</v>
      </c>
      <c r="M5450" t="s">
        <v>35</v>
      </c>
      <c r="N5450" t="s">
        <v>26</v>
      </c>
      <c r="O5450" t="s">
        <v>36</v>
      </c>
      <c r="P5450">
        <v>0.13</v>
      </c>
      <c r="Q5450" s="2" t="b">
        <f>FALSE()</f>
        <v>0</v>
      </c>
      <c r="R5450">
        <v>0</v>
      </c>
    </row>
    <row r="5451" spans="1:18" x14ac:dyDescent="0.25">
      <c r="A5451">
        <v>205450</v>
      </c>
      <c r="B5451">
        <v>51907</v>
      </c>
      <c r="C5451" t="s">
        <v>18</v>
      </c>
      <c r="D5451">
        <v>1275.04</v>
      </c>
      <c r="E5451">
        <v>1539</v>
      </c>
      <c r="F5451">
        <v>2</v>
      </c>
      <c r="G5451">
        <v>3</v>
      </c>
      <c r="H5451">
        <v>0</v>
      </c>
      <c r="I5451" t="s">
        <v>19</v>
      </c>
      <c r="J5451">
        <v>0</v>
      </c>
      <c r="K5451">
        <v>22</v>
      </c>
      <c r="L5451" t="s">
        <v>20</v>
      </c>
      <c r="M5451" t="s">
        <v>29</v>
      </c>
      <c r="N5451" t="s">
        <v>22</v>
      </c>
      <c r="O5451" t="s">
        <v>36</v>
      </c>
      <c r="P5451">
        <v>2.35</v>
      </c>
      <c r="Q5451" s="2" t="b">
        <f>FALSE()</f>
        <v>0</v>
      </c>
      <c r="R5451">
        <v>0</v>
      </c>
    </row>
    <row r="5452" spans="1:18" x14ac:dyDescent="0.25">
      <c r="A5452">
        <v>205451</v>
      </c>
      <c r="B5452">
        <v>51272</v>
      </c>
      <c r="C5452" t="s">
        <v>34</v>
      </c>
      <c r="D5452">
        <v>5401.1</v>
      </c>
      <c r="E5452">
        <v>1433</v>
      </c>
      <c r="F5452">
        <v>2</v>
      </c>
      <c r="G5452">
        <v>4</v>
      </c>
      <c r="H5452">
        <v>0</v>
      </c>
      <c r="I5452" t="s">
        <v>33</v>
      </c>
      <c r="J5452">
        <v>0</v>
      </c>
      <c r="K5452">
        <v>28</v>
      </c>
      <c r="L5452" t="s">
        <v>24</v>
      </c>
      <c r="M5452" t="s">
        <v>37</v>
      </c>
      <c r="N5452" t="s">
        <v>26</v>
      </c>
      <c r="O5452" t="s">
        <v>27</v>
      </c>
      <c r="P5452">
        <v>0.82</v>
      </c>
      <c r="Q5452" s="2" t="b">
        <f>FALSE()</f>
        <v>0</v>
      </c>
      <c r="R5452">
        <v>1</v>
      </c>
    </row>
    <row r="5453" spans="1:18" x14ac:dyDescent="0.25">
      <c r="A5453">
        <v>205452</v>
      </c>
      <c r="B5453">
        <v>54860</v>
      </c>
      <c r="C5453" t="s">
        <v>18</v>
      </c>
      <c r="D5453">
        <v>2420.8000000000002</v>
      </c>
      <c r="E5453">
        <v>171</v>
      </c>
      <c r="F5453">
        <v>2</v>
      </c>
      <c r="G5453">
        <v>5</v>
      </c>
      <c r="H5453">
        <v>1</v>
      </c>
      <c r="I5453" t="s">
        <v>32</v>
      </c>
      <c r="J5453">
        <v>0</v>
      </c>
      <c r="K5453">
        <v>53</v>
      </c>
      <c r="L5453" t="s">
        <v>24</v>
      </c>
      <c r="M5453" t="s">
        <v>29</v>
      </c>
      <c r="N5453" t="s">
        <v>26</v>
      </c>
      <c r="O5453" t="s">
        <v>36</v>
      </c>
      <c r="P5453">
        <v>0.81</v>
      </c>
      <c r="Q5453" s="2" t="b">
        <f>FALSE()</f>
        <v>0</v>
      </c>
      <c r="R5453">
        <v>0</v>
      </c>
    </row>
    <row r="5454" spans="1:18" x14ac:dyDescent="0.25">
      <c r="A5454">
        <v>205453</v>
      </c>
      <c r="B5454">
        <v>50056</v>
      </c>
      <c r="C5454" t="s">
        <v>34</v>
      </c>
      <c r="D5454">
        <v>1945.86</v>
      </c>
      <c r="E5454">
        <v>3417</v>
      </c>
      <c r="F5454">
        <v>2</v>
      </c>
      <c r="G5454">
        <v>1</v>
      </c>
      <c r="H5454">
        <v>1</v>
      </c>
      <c r="I5454" t="s">
        <v>19</v>
      </c>
      <c r="J5454">
        <v>0</v>
      </c>
      <c r="K5454">
        <v>45</v>
      </c>
      <c r="L5454" t="s">
        <v>20</v>
      </c>
      <c r="M5454" t="s">
        <v>29</v>
      </c>
      <c r="N5454" t="s">
        <v>30</v>
      </c>
      <c r="O5454" t="s">
        <v>27</v>
      </c>
      <c r="P5454">
        <v>1.39</v>
      </c>
      <c r="Q5454" s="2" t="b">
        <f>FALSE()</f>
        <v>0</v>
      </c>
      <c r="R5454">
        <v>0</v>
      </c>
    </row>
    <row r="5455" spans="1:18" x14ac:dyDescent="0.25">
      <c r="A5455">
        <v>205454</v>
      </c>
      <c r="B5455">
        <v>53758</v>
      </c>
      <c r="C5455" t="s">
        <v>28</v>
      </c>
      <c r="D5455">
        <v>676.93</v>
      </c>
      <c r="E5455">
        <v>541</v>
      </c>
      <c r="F5455">
        <v>0</v>
      </c>
      <c r="G5455">
        <v>1</v>
      </c>
      <c r="H5455">
        <v>1</v>
      </c>
      <c r="I5455" t="s">
        <v>32</v>
      </c>
      <c r="J5455">
        <v>0</v>
      </c>
      <c r="K5455">
        <v>70</v>
      </c>
      <c r="L5455" t="s">
        <v>38</v>
      </c>
      <c r="M5455" t="s">
        <v>35</v>
      </c>
      <c r="N5455" t="s">
        <v>30</v>
      </c>
      <c r="O5455" t="s">
        <v>27</v>
      </c>
      <c r="P5455">
        <v>1.44</v>
      </c>
      <c r="Q5455" s="2" t="b">
        <f>FALSE()</f>
        <v>0</v>
      </c>
      <c r="R5455">
        <v>0</v>
      </c>
    </row>
    <row r="5456" spans="1:18" x14ac:dyDescent="0.25">
      <c r="A5456">
        <v>205455</v>
      </c>
      <c r="B5456">
        <v>52401</v>
      </c>
      <c r="C5456" t="s">
        <v>18</v>
      </c>
      <c r="D5456">
        <v>755.06</v>
      </c>
      <c r="E5456">
        <v>467</v>
      </c>
      <c r="F5456">
        <v>2</v>
      </c>
      <c r="G5456">
        <v>10</v>
      </c>
      <c r="H5456">
        <v>1</v>
      </c>
      <c r="I5456" t="s">
        <v>19</v>
      </c>
      <c r="J5456">
        <v>0</v>
      </c>
      <c r="K5456">
        <v>27</v>
      </c>
      <c r="L5456" t="s">
        <v>20</v>
      </c>
      <c r="M5456" t="s">
        <v>35</v>
      </c>
      <c r="N5456" t="s">
        <v>22</v>
      </c>
      <c r="O5456" t="s">
        <v>23</v>
      </c>
      <c r="P5456">
        <v>1.88</v>
      </c>
      <c r="Q5456" s="2" t="b">
        <f>FALSE()</f>
        <v>0</v>
      </c>
      <c r="R5456">
        <v>1</v>
      </c>
    </row>
    <row r="5457" spans="1:18" x14ac:dyDescent="0.25">
      <c r="A5457">
        <v>205456</v>
      </c>
      <c r="B5457">
        <v>51973</v>
      </c>
      <c r="C5457" t="s">
        <v>18</v>
      </c>
      <c r="D5457">
        <v>1314.53</v>
      </c>
      <c r="E5457">
        <v>2733</v>
      </c>
      <c r="F5457">
        <v>3</v>
      </c>
      <c r="G5457">
        <v>5</v>
      </c>
      <c r="H5457">
        <v>1</v>
      </c>
      <c r="I5457" t="s">
        <v>33</v>
      </c>
      <c r="J5457">
        <v>1</v>
      </c>
      <c r="K5457">
        <v>50</v>
      </c>
      <c r="L5457" t="s">
        <v>24</v>
      </c>
      <c r="M5457" t="s">
        <v>25</v>
      </c>
      <c r="N5457" t="s">
        <v>22</v>
      </c>
      <c r="O5457" t="s">
        <v>23</v>
      </c>
      <c r="P5457">
        <v>2.66</v>
      </c>
      <c r="Q5457" s="2" t="b">
        <f>FALSE()</f>
        <v>0</v>
      </c>
      <c r="R5457">
        <v>1</v>
      </c>
    </row>
    <row r="5458" spans="1:18" x14ac:dyDescent="0.25">
      <c r="A5458">
        <v>205457</v>
      </c>
      <c r="B5458">
        <v>50141</v>
      </c>
      <c r="C5458" t="s">
        <v>34</v>
      </c>
      <c r="D5458">
        <v>2186.84</v>
      </c>
      <c r="E5458">
        <v>2984</v>
      </c>
      <c r="F5458">
        <v>0</v>
      </c>
      <c r="G5458">
        <v>2</v>
      </c>
      <c r="H5458">
        <v>0</v>
      </c>
      <c r="I5458" t="s">
        <v>19</v>
      </c>
      <c r="J5458">
        <v>0</v>
      </c>
      <c r="K5458">
        <v>51</v>
      </c>
      <c r="L5458" t="s">
        <v>20</v>
      </c>
      <c r="M5458" t="s">
        <v>29</v>
      </c>
      <c r="N5458" t="s">
        <v>22</v>
      </c>
      <c r="O5458" t="s">
        <v>27</v>
      </c>
      <c r="P5458">
        <v>1.59</v>
      </c>
      <c r="Q5458" s="2" t="b">
        <f>FALSE()</f>
        <v>0</v>
      </c>
      <c r="R5458">
        <v>0</v>
      </c>
    </row>
    <row r="5459" spans="1:18" x14ac:dyDescent="0.25">
      <c r="A5459">
        <v>205458</v>
      </c>
      <c r="B5459">
        <v>54774</v>
      </c>
      <c r="C5459" t="s">
        <v>18</v>
      </c>
      <c r="D5459">
        <v>5268.15</v>
      </c>
      <c r="E5459">
        <v>1323</v>
      </c>
      <c r="F5459">
        <v>1</v>
      </c>
      <c r="G5459">
        <v>4</v>
      </c>
      <c r="H5459">
        <v>1</v>
      </c>
      <c r="I5459" t="s">
        <v>33</v>
      </c>
      <c r="J5459">
        <v>0</v>
      </c>
      <c r="K5459">
        <v>25</v>
      </c>
      <c r="L5459" t="s">
        <v>20</v>
      </c>
      <c r="M5459" t="s">
        <v>21</v>
      </c>
      <c r="N5459" t="s">
        <v>30</v>
      </c>
      <c r="O5459" t="s">
        <v>27</v>
      </c>
      <c r="P5459">
        <v>0.99</v>
      </c>
      <c r="Q5459" s="2" t="b">
        <f>FALSE()</f>
        <v>0</v>
      </c>
      <c r="R5459">
        <v>1</v>
      </c>
    </row>
    <row r="5460" spans="1:18" x14ac:dyDescent="0.25">
      <c r="A5460">
        <v>205459</v>
      </c>
      <c r="B5460">
        <v>50983</v>
      </c>
      <c r="C5460" t="s">
        <v>34</v>
      </c>
      <c r="D5460">
        <v>1286.49</v>
      </c>
      <c r="E5460">
        <v>2975</v>
      </c>
      <c r="F5460">
        <v>0</v>
      </c>
      <c r="G5460">
        <v>4</v>
      </c>
      <c r="H5460">
        <v>1</v>
      </c>
      <c r="I5460" t="s">
        <v>19</v>
      </c>
      <c r="J5460">
        <v>0</v>
      </c>
      <c r="K5460">
        <v>33</v>
      </c>
      <c r="L5460" t="s">
        <v>24</v>
      </c>
      <c r="M5460" t="s">
        <v>21</v>
      </c>
      <c r="N5460" t="s">
        <v>26</v>
      </c>
      <c r="O5460" t="s">
        <v>23</v>
      </c>
      <c r="P5460">
        <v>11.22</v>
      </c>
      <c r="Q5460" s="2" t="b">
        <f>FALSE()</f>
        <v>0</v>
      </c>
      <c r="R5460">
        <v>0</v>
      </c>
    </row>
    <row r="5461" spans="1:18" x14ac:dyDescent="0.25">
      <c r="A5461">
        <v>205460</v>
      </c>
      <c r="B5461">
        <v>54464</v>
      </c>
      <c r="C5461" t="s">
        <v>18</v>
      </c>
      <c r="D5461">
        <v>4560.1899999999996</v>
      </c>
      <c r="E5461">
        <v>2231</v>
      </c>
      <c r="F5461">
        <v>3</v>
      </c>
      <c r="G5461">
        <v>6</v>
      </c>
      <c r="H5461">
        <v>0</v>
      </c>
      <c r="I5461" t="s">
        <v>19</v>
      </c>
      <c r="J5461">
        <v>0</v>
      </c>
      <c r="K5461">
        <v>80</v>
      </c>
      <c r="L5461" t="s">
        <v>20</v>
      </c>
      <c r="M5461" t="s">
        <v>25</v>
      </c>
      <c r="N5461" t="s">
        <v>22</v>
      </c>
      <c r="O5461" t="s">
        <v>27</v>
      </c>
      <c r="P5461">
        <v>0.87</v>
      </c>
      <c r="Q5461" s="2" t="b">
        <f>FALSE()</f>
        <v>0</v>
      </c>
      <c r="R5461">
        <v>1</v>
      </c>
    </row>
    <row r="5462" spans="1:18" x14ac:dyDescent="0.25">
      <c r="A5462">
        <v>205461</v>
      </c>
      <c r="B5462">
        <v>50062</v>
      </c>
      <c r="C5462" t="s">
        <v>28</v>
      </c>
      <c r="D5462">
        <v>3451.59</v>
      </c>
      <c r="E5462">
        <v>1816</v>
      </c>
      <c r="F5462">
        <v>0</v>
      </c>
      <c r="G5462">
        <v>3</v>
      </c>
      <c r="H5462">
        <v>0</v>
      </c>
      <c r="I5462" t="s">
        <v>19</v>
      </c>
      <c r="J5462">
        <v>1</v>
      </c>
      <c r="K5462">
        <v>54</v>
      </c>
      <c r="L5462" t="s">
        <v>20</v>
      </c>
      <c r="M5462" t="s">
        <v>21</v>
      </c>
      <c r="N5462" t="s">
        <v>26</v>
      </c>
      <c r="O5462" t="s">
        <v>36</v>
      </c>
      <c r="P5462">
        <v>0.35</v>
      </c>
      <c r="Q5462" s="2" t="b">
        <f>FALSE()</f>
        <v>0</v>
      </c>
      <c r="R5462">
        <v>0</v>
      </c>
    </row>
    <row r="5463" spans="1:18" x14ac:dyDescent="0.25">
      <c r="A5463">
        <v>205462</v>
      </c>
      <c r="B5463">
        <v>51164</v>
      </c>
      <c r="C5463" t="s">
        <v>18</v>
      </c>
      <c r="D5463">
        <v>3704.59</v>
      </c>
      <c r="E5463">
        <v>2673</v>
      </c>
      <c r="F5463">
        <v>3</v>
      </c>
      <c r="G5463">
        <v>4</v>
      </c>
      <c r="H5463">
        <v>0</v>
      </c>
      <c r="I5463" t="s">
        <v>33</v>
      </c>
      <c r="J5463">
        <v>1</v>
      </c>
      <c r="K5463">
        <v>22</v>
      </c>
      <c r="L5463" t="s">
        <v>20</v>
      </c>
      <c r="M5463" t="s">
        <v>21</v>
      </c>
      <c r="N5463" t="s">
        <v>30</v>
      </c>
      <c r="O5463" t="s">
        <v>36</v>
      </c>
      <c r="P5463">
        <v>5.98</v>
      </c>
      <c r="Q5463" s="2" t="b">
        <f>FALSE()</f>
        <v>0</v>
      </c>
      <c r="R5463">
        <v>1</v>
      </c>
    </row>
    <row r="5464" spans="1:18" x14ac:dyDescent="0.25">
      <c r="A5464">
        <v>205463</v>
      </c>
      <c r="B5464">
        <v>55126</v>
      </c>
      <c r="C5464" t="s">
        <v>34</v>
      </c>
      <c r="D5464">
        <v>2472.92</v>
      </c>
      <c r="E5464">
        <v>1054</v>
      </c>
      <c r="F5464">
        <v>1</v>
      </c>
      <c r="G5464">
        <v>8</v>
      </c>
      <c r="H5464">
        <v>0</v>
      </c>
      <c r="I5464" t="s">
        <v>19</v>
      </c>
      <c r="J5464">
        <v>0</v>
      </c>
      <c r="K5464">
        <v>49</v>
      </c>
      <c r="L5464" t="s">
        <v>24</v>
      </c>
      <c r="M5464" t="s">
        <v>37</v>
      </c>
      <c r="N5464" t="s">
        <v>22</v>
      </c>
      <c r="O5464" t="s">
        <v>27</v>
      </c>
      <c r="P5464">
        <v>0.71</v>
      </c>
      <c r="Q5464" s="2" t="b">
        <f>FALSE()</f>
        <v>0</v>
      </c>
      <c r="R5464">
        <v>1</v>
      </c>
    </row>
    <row r="5465" spans="1:18" x14ac:dyDescent="0.25">
      <c r="A5465">
        <v>205464</v>
      </c>
      <c r="B5465">
        <v>50633</v>
      </c>
      <c r="C5465" t="s">
        <v>18</v>
      </c>
      <c r="D5465">
        <v>5080.3999999999996</v>
      </c>
      <c r="E5465">
        <v>844</v>
      </c>
      <c r="F5465">
        <v>3</v>
      </c>
      <c r="G5465">
        <v>7</v>
      </c>
      <c r="H5465">
        <v>1</v>
      </c>
      <c r="I5465" t="s">
        <v>33</v>
      </c>
      <c r="J5465">
        <v>0</v>
      </c>
      <c r="K5465">
        <v>62</v>
      </c>
      <c r="L5465" t="s">
        <v>20</v>
      </c>
      <c r="M5465" t="s">
        <v>21</v>
      </c>
      <c r="N5465" t="s">
        <v>22</v>
      </c>
      <c r="O5465" t="s">
        <v>23</v>
      </c>
      <c r="P5465">
        <v>2.78</v>
      </c>
      <c r="Q5465" s="2" t="b">
        <f>FALSE()</f>
        <v>0</v>
      </c>
      <c r="R5465">
        <v>1</v>
      </c>
    </row>
    <row r="5466" spans="1:18" x14ac:dyDescent="0.25">
      <c r="A5466">
        <v>205465</v>
      </c>
      <c r="B5466">
        <v>52413</v>
      </c>
      <c r="C5466" t="s">
        <v>34</v>
      </c>
      <c r="D5466">
        <v>2624.2</v>
      </c>
      <c r="E5466">
        <v>2664</v>
      </c>
      <c r="F5466">
        <v>0</v>
      </c>
      <c r="G5466">
        <v>4</v>
      </c>
      <c r="H5466">
        <v>0</v>
      </c>
      <c r="I5466" t="s">
        <v>33</v>
      </c>
      <c r="J5466">
        <v>0</v>
      </c>
      <c r="K5466">
        <v>49</v>
      </c>
      <c r="L5466" t="s">
        <v>38</v>
      </c>
      <c r="M5466" t="s">
        <v>37</v>
      </c>
      <c r="N5466" t="s">
        <v>30</v>
      </c>
      <c r="O5466" t="s">
        <v>36</v>
      </c>
      <c r="P5466">
        <v>5.23</v>
      </c>
      <c r="Q5466" s="2" t="b">
        <f>FALSE()</f>
        <v>0</v>
      </c>
      <c r="R5466">
        <v>0</v>
      </c>
    </row>
    <row r="5467" spans="1:18" x14ac:dyDescent="0.25">
      <c r="A5467">
        <v>205466</v>
      </c>
      <c r="B5467">
        <v>55251</v>
      </c>
      <c r="C5467" t="s">
        <v>18</v>
      </c>
      <c r="D5467">
        <v>2375.88</v>
      </c>
      <c r="E5467">
        <v>1141</v>
      </c>
      <c r="F5467">
        <v>1</v>
      </c>
      <c r="G5467">
        <v>3</v>
      </c>
      <c r="H5467">
        <v>0</v>
      </c>
      <c r="I5467" t="s">
        <v>33</v>
      </c>
      <c r="J5467">
        <v>0</v>
      </c>
      <c r="K5467">
        <v>24</v>
      </c>
      <c r="L5467" t="s">
        <v>20</v>
      </c>
      <c r="M5467" t="s">
        <v>25</v>
      </c>
      <c r="N5467" t="s">
        <v>22</v>
      </c>
      <c r="O5467" t="s">
        <v>27</v>
      </c>
      <c r="P5467">
        <v>2.39</v>
      </c>
      <c r="Q5467" s="2" t="b">
        <f>FALSE()</f>
        <v>0</v>
      </c>
      <c r="R5467">
        <v>0</v>
      </c>
    </row>
    <row r="5468" spans="1:18" x14ac:dyDescent="0.25">
      <c r="A5468">
        <v>205467</v>
      </c>
      <c r="B5468">
        <v>51140</v>
      </c>
      <c r="C5468" t="s">
        <v>18</v>
      </c>
      <c r="D5468">
        <v>410.58</v>
      </c>
      <c r="E5468">
        <v>402</v>
      </c>
      <c r="F5468">
        <v>0</v>
      </c>
      <c r="G5468">
        <v>0</v>
      </c>
      <c r="H5468">
        <v>0</v>
      </c>
      <c r="I5468" t="s">
        <v>32</v>
      </c>
      <c r="J5468">
        <v>0</v>
      </c>
      <c r="K5468">
        <v>37</v>
      </c>
      <c r="L5468" t="s">
        <v>20</v>
      </c>
      <c r="M5468" t="s">
        <v>29</v>
      </c>
      <c r="N5468" t="s">
        <v>30</v>
      </c>
      <c r="O5468" t="s">
        <v>27</v>
      </c>
      <c r="P5468">
        <v>1.65</v>
      </c>
      <c r="Q5468" s="2" t="b">
        <f>FALSE()</f>
        <v>0</v>
      </c>
      <c r="R5468">
        <v>0</v>
      </c>
    </row>
    <row r="5469" spans="1:18" x14ac:dyDescent="0.25">
      <c r="A5469">
        <v>205468</v>
      </c>
      <c r="B5469">
        <v>52211</v>
      </c>
      <c r="C5469" t="s">
        <v>28</v>
      </c>
      <c r="D5469">
        <v>5483.77</v>
      </c>
      <c r="E5469">
        <v>350</v>
      </c>
      <c r="F5469">
        <v>1</v>
      </c>
      <c r="G5469">
        <v>4</v>
      </c>
      <c r="H5469">
        <v>1</v>
      </c>
      <c r="I5469" t="s">
        <v>19</v>
      </c>
      <c r="J5469">
        <v>1</v>
      </c>
      <c r="K5469">
        <v>58</v>
      </c>
      <c r="L5469" t="s">
        <v>24</v>
      </c>
      <c r="M5469" t="s">
        <v>29</v>
      </c>
      <c r="N5469" t="s">
        <v>30</v>
      </c>
      <c r="O5469" t="s">
        <v>27</v>
      </c>
      <c r="P5469">
        <v>0.92</v>
      </c>
      <c r="Q5469" s="2" t="b">
        <f>FALSE()</f>
        <v>0</v>
      </c>
      <c r="R5469">
        <v>1</v>
      </c>
    </row>
    <row r="5470" spans="1:18" x14ac:dyDescent="0.25">
      <c r="A5470">
        <v>205469</v>
      </c>
      <c r="B5470">
        <v>50189</v>
      </c>
      <c r="C5470" t="s">
        <v>34</v>
      </c>
      <c r="D5470">
        <v>2587.0300000000002</v>
      </c>
      <c r="E5470">
        <v>1967</v>
      </c>
      <c r="F5470">
        <v>0</v>
      </c>
      <c r="G5470">
        <v>3</v>
      </c>
      <c r="H5470">
        <v>1</v>
      </c>
      <c r="I5470" t="s">
        <v>33</v>
      </c>
      <c r="J5470">
        <v>0</v>
      </c>
      <c r="K5470">
        <v>55</v>
      </c>
      <c r="L5470" t="s">
        <v>20</v>
      </c>
      <c r="M5470" t="s">
        <v>25</v>
      </c>
      <c r="N5470" t="s">
        <v>30</v>
      </c>
      <c r="O5470" t="s">
        <v>27</v>
      </c>
      <c r="P5470">
        <v>2.5499999999999998</v>
      </c>
      <c r="Q5470" s="2" t="b">
        <f>FALSE()</f>
        <v>0</v>
      </c>
      <c r="R5470">
        <v>0</v>
      </c>
    </row>
    <row r="5471" spans="1:18" x14ac:dyDescent="0.25">
      <c r="A5471">
        <v>205470</v>
      </c>
      <c r="B5471">
        <v>52976</v>
      </c>
      <c r="C5471" t="s">
        <v>34</v>
      </c>
      <c r="D5471">
        <v>3026.87</v>
      </c>
      <c r="E5471">
        <v>2036</v>
      </c>
      <c r="F5471">
        <v>3</v>
      </c>
      <c r="G5471">
        <v>5</v>
      </c>
      <c r="H5471">
        <v>0</v>
      </c>
      <c r="I5471" t="s">
        <v>33</v>
      </c>
      <c r="J5471">
        <v>0</v>
      </c>
      <c r="K5471">
        <v>82</v>
      </c>
      <c r="L5471" t="s">
        <v>20</v>
      </c>
      <c r="M5471" t="s">
        <v>35</v>
      </c>
      <c r="N5471" t="s">
        <v>22</v>
      </c>
      <c r="O5471" t="s">
        <v>27</v>
      </c>
      <c r="P5471">
        <v>1.51</v>
      </c>
      <c r="Q5471" s="2" t="b">
        <f>FALSE()</f>
        <v>0</v>
      </c>
      <c r="R5471">
        <v>1</v>
      </c>
    </row>
    <row r="5472" spans="1:18" x14ac:dyDescent="0.25">
      <c r="A5472">
        <v>205471</v>
      </c>
      <c r="B5472">
        <v>52738</v>
      </c>
      <c r="C5472" t="s">
        <v>28</v>
      </c>
      <c r="D5472">
        <v>4255.0600000000004</v>
      </c>
      <c r="E5472">
        <v>2438</v>
      </c>
      <c r="F5472">
        <v>0</v>
      </c>
      <c r="G5472">
        <v>6</v>
      </c>
      <c r="H5472">
        <v>0</v>
      </c>
      <c r="I5472" t="s">
        <v>33</v>
      </c>
      <c r="J5472">
        <v>1</v>
      </c>
      <c r="K5472">
        <v>84</v>
      </c>
      <c r="L5472" t="s">
        <v>24</v>
      </c>
      <c r="M5472" t="s">
        <v>35</v>
      </c>
      <c r="N5472" t="s">
        <v>22</v>
      </c>
      <c r="O5472" t="s">
        <v>27</v>
      </c>
      <c r="P5472">
        <v>1.59</v>
      </c>
      <c r="Q5472" s="2" t="b">
        <f>FALSE()</f>
        <v>0</v>
      </c>
      <c r="R5472">
        <v>1</v>
      </c>
    </row>
    <row r="5473" spans="1:18" x14ac:dyDescent="0.25">
      <c r="A5473">
        <v>205472</v>
      </c>
      <c r="B5473">
        <v>54094</v>
      </c>
      <c r="C5473" t="s">
        <v>28</v>
      </c>
      <c r="D5473">
        <v>2510.0300000000002</v>
      </c>
      <c r="E5473">
        <v>988</v>
      </c>
      <c r="F5473">
        <v>2</v>
      </c>
      <c r="G5473">
        <v>1</v>
      </c>
      <c r="H5473">
        <v>1</v>
      </c>
      <c r="I5473" t="s">
        <v>33</v>
      </c>
      <c r="J5473">
        <v>1</v>
      </c>
      <c r="K5473">
        <v>72</v>
      </c>
      <c r="L5473" t="s">
        <v>20</v>
      </c>
      <c r="M5473" t="s">
        <v>25</v>
      </c>
      <c r="N5473" t="s">
        <v>22</v>
      </c>
      <c r="O5473" t="s">
        <v>23</v>
      </c>
      <c r="P5473">
        <v>3.67</v>
      </c>
      <c r="Q5473" s="2" t="b">
        <f>FALSE()</f>
        <v>0</v>
      </c>
      <c r="R5473">
        <v>0</v>
      </c>
    </row>
    <row r="5474" spans="1:18" x14ac:dyDescent="0.25">
      <c r="A5474">
        <v>205473</v>
      </c>
      <c r="B5474">
        <v>51467</v>
      </c>
      <c r="C5474" t="s">
        <v>28</v>
      </c>
      <c r="D5474">
        <v>3563.08</v>
      </c>
      <c r="E5474">
        <v>3189</v>
      </c>
      <c r="F5474">
        <v>4</v>
      </c>
      <c r="G5474">
        <v>3</v>
      </c>
      <c r="H5474">
        <v>0</v>
      </c>
      <c r="I5474" t="s">
        <v>33</v>
      </c>
      <c r="J5474">
        <v>0</v>
      </c>
      <c r="K5474">
        <v>69</v>
      </c>
      <c r="L5474" t="s">
        <v>20</v>
      </c>
      <c r="M5474" t="s">
        <v>37</v>
      </c>
      <c r="N5474" t="s">
        <v>22</v>
      </c>
      <c r="O5474" t="s">
        <v>27</v>
      </c>
      <c r="P5474">
        <v>4.2699999999999996</v>
      </c>
      <c r="Q5474" s="2" t="b">
        <f>FALSE()</f>
        <v>0</v>
      </c>
      <c r="R5474">
        <v>1</v>
      </c>
    </row>
    <row r="5475" spans="1:18" x14ac:dyDescent="0.25">
      <c r="A5475">
        <v>205474</v>
      </c>
      <c r="B5475">
        <v>53090</v>
      </c>
      <c r="C5475" t="s">
        <v>34</v>
      </c>
      <c r="D5475">
        <v>2266.06</v>
      </c>
      <c r="E5475">
        <v>739</v>
      </c>
      <c r="F5475">
        <v>1</v>
      </c>
      <c r="G5475">
        <v>1</v>
      </c>
      <c r="H5475">
        <v>0</v>
      </c>
      <c r="I5475" t="s">
        <v>32</v>
      </c>
      <c r="J5475">
        <v>0</v>
      </c>
      <c r="K5475">
        <v>28</v>
      </c>
      <c r="L5475" t="s">
        <v>20</v>
      </c>
      <c r="M5475" t="s">
        <v>35</v>
      </c>
      <c r="N5475" t="s">
        <v>22</v>
      </c>
      <c r="O5475" t="s">
        <v>27</v>
      </c>
      <c r="P5475">
        <v>0.84</v>
      </c>
      <c r="Q5475" s="2" t="b">
        <f>FALSE()</f>
        <v>0</v>
      </c>
      <c r="R5475">
        <v>0</v>
      </c>
    </row>
    <row r="5476" spans="1:18" x14ac:dyDescent="0.25">
      <c r="A5476">
        <v>205475</v>
      </c>
      <c r="B5476">
        <v>53186</v>
      </c>
      <c r="C5476" t="s">
        <v>18</v>
      </c>
      <c r="D5476">
        <v>1847.83</v>
      </c>
      <c r="E5476">
        <v>180</v>
      </c>
      <c r="F5476">
        <v>2</v>
      </c>
      <c r="G5476">
        <v>7</v>
      </c>
      <c r="H5476">
        <v>0</v>
      </c>
      <c r="I5476" t="s">
        <v>33</v>
      </c>
      <c r="J5476">
        <v>0</v>
      </c>
      <c r="K5476">
        <v>66</v>
      </c>
      <c r="L5476" t="s">
        <v>24</v>
      </c>
      <c r="M5476" t="s">
        <v>21</v>
      </c>
      <c r="N5476" t="s">
        <v>30</v>
      </c>
      <c r="O5476" t="s">
        <v>36</v>
      </c>
      <c r="P5476">
        <v>2.93</v>
      </c>
      <c r="Q5476" s="2" t="b">
        <f>FALSE()</f>
        <v>0</v>
      </c>
      <c r="R5476">
        <v>1</v>
      </c>
    </row>
    <row r="5477" spans="1:18" x14ac:dyDescent="0.25">
      <c r="A5477">
        <v>205476</v>
      </c>
      <c r="B5477">
        <v>51275</v>
      </c>
      <c r="C5477" t="s">
        <v>18</v>
      </c>
      <c r="D5477">
        <v>1274.8599999999999</v>
      </c>
      <c r="E5477">
        <v>1639</v>
      </c>
      <c r="F5477">
        <v>2</v>
      </c>
      <c r="G5477">
        <v>7</v>
      </c>
      <c r="H5477">
        <v>0</v>
      </c>
      <c r="I5477" t="s">
        <v>33</v>
      </c>
      <c r="J5477">
        <v>0</v>
      </c>
      <c r="K5477">
        <v>69</v>
      </c>
      <c r="L5477" t="s">
        <v>20</v>
      </c>
      <c r="M5477" t="s">
        <v>35</v>
      </c>
      <c r="N5477" t="s">
        <v>22</v>
      </c>
      <c r="O5477" t="s">
        <v>27</v>
      </c>
      <c r="P5477">
        <v>0.95</v>
      </c>
      <c r="Q5477" s="2" t="b">
        <f>FALSE()</f>
        <v>0</v>
      </c>
      <c r="R5477">
        <v>1</v>
      </c>
    </row>
    <row r="5478" spans="1:18" x14ac:dyDescent="0.25">
      <c r="A5478">
        <v>205477</v>
      </c>
      <c r="B5478">
        <v>52973</v>
      </c>
      <c r="C5478" t="s">
        <v>34</v>
      </c>
      <c r="D5478">
        <v>2961.61</v>
      </c>
      <c r="E5478">
        <v>214</v>
      </c>
      <c r="F5478">
        <v>1</v>
      </c>
      <c r="G5478">
        <v>4</v>
      </c>
      <c r="H5478">
        <v>1</v>
      </c>
      <c r="I5478" t="s">
        <v>32</v>
      </c>
      <c r="J5478">
        <v>0</v>
      </c>
      <c r="K5478">
        <v>80</v>
      </c>
      <c r="L5478" t="s">
        <v>24</v>
      </c>
      <c r="M5478" t="s">
        <v>37</v>
      </c>
      <c r="N5478" t="s">
        <v>22</v>
      </c>
      <c r="O5478" t="s">
        <v>36</v>
      </c>
      <c r="P5478">
        <v>0.59</v>
      </c>
      <c r="Q5478" s="2" t="b">
        <f>FALSE()</f>
        <v>0</v>
      </c>
      <c r="R5478">
        <v>0</v>
      </c>
    </row>
    <row r="5479" spans="1:18" x14ac:dyDescent="0.25">
      <c r="A5479">
        <v>205478</v>
      </c>
      <c r="B5479">
        <v>54730</v>
      </c>
      <c r="C5479" t="s">
        <v>34</v>
      </c>
      <c r="D5479">
        <v>6360.9</v>
      </c>
      <c r="E5479">
        <v>551</v>
      </c>
      <c r="F5479">
        <v>2</v>
      </c>
      <c r="G5479">
        <v>1</v>
      </c>
      <c r="H5479">
        <v>1</v>
      </c>
      <c r="I5479" t="s">
        <v>33</v>
      </c>
      <c r="J5479">
        <v>0</v>
      </c>
      <c r="K5479">
        <v>35</v>
      </c>
      <c r="L5479" t="s">
        <v>24</v>
      </c>
      <c r="M5479" t="s">
        <v>35</v>
      </c>
      <c r="N5479" t="s">
        <v>26</v>
      </c>
      <c r="O5479" t="s">
        <v>36</v>
      </c>
      <c r="P5479">
        <v>3.62</v>
      </c>
      <c r="Q5479" s="2" t="b">
        <f>FALSE()</f>
        <v>0</v>
      </c>
      <c r="R5479">
        <v>1</v>
      </c>
    </row>
    <row r="5480" spans="1:18" x14ac:dyDescent="0.25">
      <c r="A5480">
        <v>205479</v>
      </c>
      <c r="B5480">
        <v>53747</v>
      </c>
      <c r="C5480" t="s">
        <v>18</v>
      </c>
      <c r="D5480">
        <v>2498.98</v>
      </c>
      <c r="E5480">
        <v>2779</v>
      </c>
      <c r="F5480">
        <v>1</v>
      </c>
      <c r="G5480">
        <v>4</v>
      </c>
      <c r="H5480">
        <v>0</v>
      </c>
      <c r="I5480" t="s">
        <v>19</v>
      </c>
      <c r="J5480">
        <v>0</v>
      </c>
      <c r="K5480">
        <v>77</v>
      </c>
      <c r="L5480" t="s">
        <v>20</v>
      </c>
      <c r="M5480" t="s">
        <v>37</v>
      </c>
      <c r="N5480" t="s">
        <v>30</v>
      </c>
      <c r="O5480" t="s">
        <v>27</v>
      </c>
      <c r="P5480">
        <v>7.33</v>
      </c>
      <c r="Q5480" s="2" t="b">
        <f>FALSE()</f>
        <v>0</v>
      </c>
      <c r="R5480">
        <v>0</v>
      </c>
    </row>
    <row r="5481" spans="1:18" x14ac:dyDescent="0.25">
      <c r="A5481">
        <v>205480</v>
      </c>
      <c r="B5481">
        <v>52601</v>
      </c>
      <c r="C5481" t="s">
        <v>18</v>
      </c>
      <c r="D5481">
        <v>978.1</v>
      </c>
      <c r="E5481">
        <v>3068</v>
      </c>
      <c r="F5481">
        <v>2</v>
      </c>
      <c r="G5481">
        <v>3</v>
      </c>
      <c r="H5481">
        <v>1</v>
      </c>
      <c r="I5481" t="s">
        <v>33</v>
      </c>
      <c r="J5481">
        <v>0</v>
      </c>
      <c r="K5481">
        <v>21</v>
      </c>
      <c r="L5481" t="s">
        <v>20</v>
      </c>
      <c r="M5481" t="s">
        <v>25</v>
      </c>
      <c r="N5481" t="s">
        <v>22</v>
      </c>
      <c r="O5481" t="s">
        <v>23</v>
      </c>
      <c r="P5481">
        <v>3.25</v>
      </c>
      <c r="Q5481" s="2" t="b">
        <f>FALSE()</f>
        <v>0</v>
      </c>
      <c r="R5481">
        <v>0</v>
      </c>
    </row>
    <row r="5482" spans="1:18" x14ac:dyDescent="0.25">
      <c r="A5482">
        <v>205481</v>
      </c>
      <c r="B5482">
        <v>53684</v>
      </c>
      <c r="C5482" t="s">
        <v>34</v>
      </c>
      <c r="D5482">
        <v>3076.86</v>
      </c>
      <c r="E5482">
        <v>2044</v>
      </c>
      <c r="F5482">
        <v>3</v>
      </c>
      <c r="G5482">
        <v>2</v>
      </c>
      <c r="H5482">
        <v>1</v>
      </c>
      <c r="I5482" t="s">
        <v>19</v>
      </c>
      <c r="J5482">
        <v>0</v>
      </c>
      <c r="K5482">
        <v>21</v>
      </c>
      <c r="L5482" t="s">
        <v>24</v>
      </c>
      <c r="M5482" t="s">
        <v>35</v>
      </c>
      <c r="N5482" t="s">
        <v>22</v>
      </c>
      <c r="O5482" t="s">
        <v>23</v>
      </c>
      <c r="P5482">
        <v>2.16</v>
      </c>
      <c r="Q5482" s="2" t="b">
        <f>FALSE()</f>
        <v>0</v>
      </c>
      <c r="R5482">
        <v>1</v>
      </c>
    </row>
    <row r="5483" spans="1:18" x14ac:dyDescent="0.25">
      <c r="A5483">
        <v>205482</v>
      </c>
      <c r="B5483">
        <v>52766</v>
      </c>
      <c r="C5483" t="s">
        <v>18</v>
      </c>
      <c r="D5483">
        <v>3668.21</v>
      </c>
      <c r="E5483">
        <v>1343</v>
      </c>
      <c r="F5483">
        <v>2</v>
      </c>
      <c r="G5483">
        <v>6</v>
      </c>
      <c r="H5483">
        <v>0</v>
      </c>
      <c r="I5483" t="s">
        <v>19</v>
      </c>
      <c r="J5483">
        <v>0</v>
      </c>
      <c r="K5483">
        <v>80</v>
      </c>
      <c r="L5483" t="s">
        <v>20</v>
      </c>
      <c r="M5483" t="s">
        <v>29</v>
      </c>
      <c r="N5483" t="s">
        <v>22</v>
      </c>
      <c r="O5483" t="s">
        <v>27</v>
      </c>
      <c r="P5483">
        <v>3.43</v>
      </c>
      <c r="Q5483" s="2" t="b">
        <f>FALSE()</f>
        <v>0</v>
      </c>
      <c r="R5483">
        <v>1</v>
      </c>
    </row>
    <row r="5484" spans="1:18" x14ac:dyDescent="0.25">
      <c r="A5484">
        <v>205483</v>
      </c>
      <c r="B5484">
        <v>54108</v>
      </c>
      <c r="C5484" t="s">
        <v>34</v>
      </c>
      <c r="D5484">
        <v>3420.23</v>
      </c>
      <c r="E5484">
        <v>550</v>
      </c>
      <c r="F5484">
        <v>1</v>
      </c>
      <c r="G5484">
        <v>6</v>
      </c>
      <c r="H5484">
        <v>1</v>
      </c>
      <c r="I5484" t="s">
        <v>33</v>
      </c>
      <c r="J5484">
        <v>0</v>
      </c>
      <c r="K5484">
        <v>35</v>
      </c>
      <c r="L5484" t="s">
        <v>24</v>
      </c>
      <c r="M5484" t="s">
        <v>35</v>
      </c>
      <c r="N5484" t="s">
        <v>26</v>
      </c>
      <c r="O5484" t="s">
        <v>27</v>
      </c>
      <c r="P5484">
        <v>2.6</v>
      </c>
      <c r="Q5484" s="2" t="b">
        <f>FALSE()</f>
        <v>0</v>
      </c>
      <c r="R5484">
        <v>0</v>
      </c>
    </row>
    <row r="5485" spans="1:18" x14ac:dyDescent="0.25">
      <c r="A5485">
        <v>205484</v>
      </c>
      <c r="B5485">
        <v>50108</v>
      </c>
      <c r="C5485" t="s">
        <v>18</v>
      </c>
      <c r="D5485">
        <v>1474.57</v>
      </c>
      <c r="E5485">
        <v>2423</v>
      </c>
      <c r="F5485">
        <v>1</v>
      </c>
      <c r="G5485">
        <v>4</v>
      </c>
      <c r="H5485">
        <v>0</v>
      </c>
      <c r="I5485" t="s">
        <v>32</v>
      </c>
      <c r="J5485">
        <v>0</v>
      </c>
      <c r="K5485">
        <v>28</v>
      </c>
      <c r="L5485" t="s">
        <v>24</v>
      </c>
      <c r="M5485" t="s">
        <v>21</v>
      </c>
      <c r="N5485" t="s">
        <v>26</v>
      </c>
      <c r="O5485" t="s">
        <v>23</v>
      </c>
      <c r="P5485">
        <v>9.18</v>
      </c>
      <c r="Q5485" s="2" t="b">
        <f>FALSE()</f>
        <v>0</v>
      </c>
      <c r="R5485">
        <v>0</v>
      </c>
    </row>
    <row r="5486" spans="1:18" x14ac:dyDescent="0.25">
      <c r="A5486">
        <v>205485</v>
      </c>
      <c r="B5486">
        <v>51322</v>
      </c>
      <c r="C5486" t="s">
        <v>18</v>
      </c>
      <c r="D5486">
        <v>1125.55</v>
      </c>
      <c r="E5486">
        <v>1080</v>
      </c>
      <c r="F5486">
        <v>1</v>
      </c>
      <c r="G5486">
        <v>5</v>
      </c>
      <c r="H5486">
        <v>1</v>
      </c>
      <c r="I5486" t="s">
        <v>32</v>
      </c>
      <c r="J5486">
        <v>0</v>
      </c>
      <c r="K5486">
        <v>34</v>
      </c>
      <c r="L5486" t="s">
        <v>24</v>
      </c>
      <c r="M5486" t="s">
        <v>29</v>
      </c>
      <c r="N5486" t="s">
        <v>26</v>
      </c>
      <c r="O5486" t="s">
        <v>23</v>
      </c>
      <c r="P5486">
        <v>1.57</v>
      </c>
      <c r="Q5486" s="2" t="b">
        <f>FALSE()</f>
        <v>0</v>
      </c>
      <c r="R5486">
        <v>0</v>
      </c>
    </row>
    <row r="5487" spans="1:18" x14ac:dyDescent="0.25">
      <c r="A5487">
        <v>205486</v>
      </c>
      <c r="B5487">
        <v>55527</v>
      </c>
      <c r="C5487" t="s">
        <v>28</v>
      </c>
      <c r="D5487">
        <v>5569.23</v>
      </c>
      <c r="E5487">
        <v>2527</v>
      </c>
      <c r="F5487">
        <v>2</v>
      </c>
      <c r="G5487">
        <v>3</v>
      </c>
      <c r="H5487">
        <v>1</v>
      </c>
      <c r="I5487" t="s">
        <v>33</v>
      </c>
      <c r="J5487">
        <v>1</v>
      </c>
      <c r="K5487">
        <v>77</v>
      </c>
      <c r="L5487" t="s">
        <v>24</v>
      </c>
      <c r="M5487" t="s">
        <v>25</v>
      </c>
      <c r="N5487" t="s">
        <v>26</v>
      </c>
      <c r="O5487" t="s">
        <v>27</v>
      </c>
      <c r="P5487">
        <v>0.16</v>
      </c>
      <c r="Q5487" s="2" t="b">
        <f>FALSE()</f>
        <v>0</v>
      </c>
      <c r="R5487">
        <v>1</v>
      </c>
    </row>
    <row r="5488" spans="1:18" x14ac:dyDescent="0.25">
      <c r="A5488">
        <v>205487</v>
      </c>
      <c r="B5488">
        <v>53592</v>
      </c>
      <c r="C5488" t="s">
        <v>18</v>
      </c>
      <c r="D5488">
        <v>3606.11</v>
      </c>
      <c r="E5488">
        <v>3609</v>
      </c>
      <c r="F5488">
        <v>1</v>
      </c>
      <c r="G5488">
        <v>5</v>
      </c>
      <c r="H5488">
        <v>1</v>
      </c>
      <c r="I5488" t="s">
        <v>33</v>
      </c>
      <c r="J5488">
        <v>1</v>
      </c>
      <c r="K5488">
        <v>66</v>
      </c>
      <c r="L5488" t="s">
        <v>20</v>
      </c>
      <c r="M5488" t="s">
        <v>29</v>
      </c>
      <c r="N5488" t="s">
        <v>30</v>
      </c>
      <c r="O5488" t="s">
        <v>23</v>
      </c>
      <c r="P5488">
        <v>1.53</v>
      </c>
      <c r="Q5488" s="2" t="b">
        <f>FALSE()</f>
        <v>0</v>
      </c>
      <c r="R5488">
        <v>1</v>
      </c>
    </row>
    <row r="5489" spans="1:18" x14ac:dyDescent="0.25">
      <c r="A5489">
        <v>205488</v>
      </c>
      <c r="B5489">
        <v>52655</v>
      </c>
      <c r="C5489" t="s">
        <v>34</v>
      </c>
      <c r="D5489">
        <v>419.21</v>
      </c>
      <c r="E5489">
        <v>3228</v>
      </c>
      <c r="F5489">
        <v>0</v>
      </c>
      <c r="G5489">
        <v>3</v>
      </c>
      <c r="H5489">
        <v>0</v>
      </c>
      <c r="I5489" t="s">
        <v>33</v>
      </c>
      <c r="J5489">
        <v>0</v>
      </c>
      <c r="K5489">
        <v>27</v>
      </c>
      <c r="L5489" t="s">
        <v>24</v>
      </c>
      <c r="M5489" t="s">
        <v>37</v>
      </c>
      <c r="N5489" t="s">
        <v>30</v>
      </c>
      <c r="O5489" t="s">
        <v>27</v>
      </c>
      <c r="P5489">
        <v>1.21</v>
      </c>
      <c r="Q5489" s="2" t="b">
        <f>FALSE()</f>
        <v>0</v>
      </c>
      <c r="R5489">
        <v>0</v>
      </c>
    </row>
    <row r="5490" spans="1:18" x14ac:dyDescent="0.25">
      <c r="A5490">
        <v>205489</v>
      </c>
      <c r="B5490">
        <v>51010</v>
      </c>
      <c r="C5490" t="s">
        <v>28</v>
      </c>
      <c r="D5490">
        <v>1936.91</v>
      </c>
      <c r="E5490">
        <v>3540</v>
      </c>
      <c r="F5490">
        <v>0</v>
      </c>
      <c r="G5490">
        <v>3</v>
      </c>
      <c r="H5490">
        <v>0</v>
      </c>
      <c r="I5490" t="s">
        <v>19</v>
      </c>
      <c r="J5490">
        <v>0</v>
      </c>
      <c r="K5490">
        <v>70</v>
      </c>
      <c r="L5490" t="s">
        <v>24</v>
      </c>
      <c r="M5490" t="s">
        <v>35</v>
      </c>
      <c r="N5490" t="s">
        <v>22</v>
      </c>
      <c r="O5490" t="s">
        <v>36</v>
      </c>
      <c r="P5490">
        <v>0.9</v>
      </c>
      <c r="Q5490" s="2" t="b">
        <f>FALSE()</f>
        <v>0</v>
      </c>
      <c r="R5490">
        <v>0</v>
      </c>
    </row>
    <row r="5491" spans="1:18" x14ac:dyDescent="0.25">
      <c r="A5491">
        <v>205490</v>
      </c>
      <c r="B5491">
        <v>54363</v>
      </c>
      <c r="C5491" t="s">
        <v>34</v>
      </c>
      <c r="D5491">
        <v>982.16</v>
      </c>
      <c r="E5491">
        <v>2999</v>
      </c>
      <c r="F5491">
        <v>3</v>
      </c>
      <c r="G5491">
        <v>4</v>
      </c>
      <c r="H5491">
        <v>0</v>
      </c>
      <c r="I5491" t="s">
        <v>33</v>
      </c>
      <c r="J5491">
        <v>0</v>
      </c>
      <c r="K5491">
        <v>51</v>
      </c>
      <c r="L5491" t="s">
        <v>20</v>
      </c>
      <c r="M5491" t="s">
        <v>25</v>
      </c>
      <c r="N5491" t="s">
        <v>22</v>
      </c>
      <c r="O5491" t="s">
        <v>23</v>
      </c>
      <c r="P5491">
        <v>0.56999999999999995</v>
      </c>
      <c r="Q5491" s="2" t="b">
        <f>FALSE()</f>
        <v>0</v>
      </c>
      <c r="R5491">
        <v>1</v>
      </c>
    </row>
    <row r="5492" spans="1:18" x14ac:dyDescent="0.25">
      <c r="A5492">
        <v>205491</v>
      </c>
      <c r="B5492">
        <v>52429</v>
      </c>
      <c r="C5492" t="s">
        <v>34</v>
      </c>
      <c r="D5492">
        <v>6167.64</v>
      </c>
      <c r="E5492">
        <v>823</v>
      </c>
      <c r="F5492">
        <v>0</v>
      </c>
      <c r="G5492">
        <v>3</v>
      </c>
      <c r="H5492">
        <v>1</v>
      </c>
      <c r="I5492" t="s">
        <v>19</v>
      </c>
      <c r="J5492">
        <v>0</v>
      </c>
      <c r="K5492">
        <v>23</v>
      </c>
      <c r="L5492" t="s">
        <v>24</v>
      </c>
      <c r="M5492" t="s">
        <v>37</v>
      </c>
      <c r="N5492" t="s">
        <v>30</v>
      </c>
      <c r="O5492" t="s">
        <v>36</v>
      </c>
      <c r="P5492">
        <v>0.63</v>
      </c>
      <c r="Q5492" s="2" t="b">
        <f>FALSE()</f>
        <v>0</v>
      </c>
      <c r="R5492">
        <v>1</v>
      </c>
    </row>
    <row r="5493" spans="1:18" x14ac:dyDescent="0.25">
      <c r="A5493">
        <v>205492</v>
      </c>
      <c r="B5493">
        <v>53167</v>
      </c>
      <c r="C5493" t="s">
        <v>34</v>
      </c>
      <c r="D5493">
        <v>1563.18</v>
      </c>
      <c r="E5493">
        <v>2968</v>
      </c>
      <c r="F5493">
        <v>3</v>
      </c>
      <c r="G5493">
        <v>5</v>
      </c>
      <c r="H5493">
        <v>0</v>
      </c>
      <c r="I5493" t="s">
        <v>33</v>
      </c>
      <c r="J5493">
        <v>0</v>
      </c>
      <c r="K5493">
        <v>50</v>
      </c>
      <c r="L5493" t="s">
        <v>24</v>
      </c>
      <c r="M5493" t="s">
        <v>29</v>
      </c>
      <c r="N5493" t="s">
        <v>22</v>
      </c>
      <c r="O5493" t="s">
        <v>36</v>
      </c>
      <c r="P5493">
        <v>5.62</v>
      </c>
      <c r="Q5493" s="2" t="b">
        <f>FALSE()</f>
        <v>0</v>
      </c>
      <c r="R5493">
        <v>1</v>
      </c>
    </row>
    <row r="5494" spans="1:18" x14ac:dyDescent="0.25">
      <c r="A5494">
        <v>205493</v>
      </c>
      <c r="B5494">
        <v>51860</v>
      </c>
      <c r="C5494" t="s">
        <v>18</v>
      </c>
      <c r="D5494">
        <v>648.80999999999995</v>
      </c>
      <c r="E5494">
        <v>1893</v>
      </c>
      <c r="F5494">
        <v>1</v>
      </c>
      <c r="G5494">
        <v>6</v>
      </c>
      <c r="H5494">
        <v>0</v>
      </c>
      <c r="I5494" t="s">
        <v>33</v>
      </c>
      <c r="J5494">
        <v>0</v>
      </c>
      <c r="K5494">
        <v>30</v>
      </c>
      <c r="L5494" t="s">
        <v>20</v>
      </c>
      <c r="M5494" t="s">
        <v>31</v>
      </c>
      <c r="N5494" t="s">
        <v>30</v>
      </c>
      <c r="O5494" t="s">
        <v>36</v>
      </c>
      <c r="P5494">
        <v>0.24</v>
      </c>
      <c r="Q5494" s="2" t="b">
        <f>FALSE()</f>
        <v>0</v>
      </c>
      <c r="R5494">
        <v>0</v>
      </c>
    </row>
    <row r="5495" spans="1:18" x14ac:dyDescent="0.25">
      <c r="A5495">
        <v>205494</v>
      </c>
      <c r="B5495">
        <v>55446</v>
      </c>
      <c r="C5495" t="s">
        <v>34</v>
      </c>
      <c r="D5495">
        <v>1777.08</v>
      </c>
      <c r="E5495">
        <v>1995</v>
      </c>
      <c r="F5495">
        <v>3</v>
      </c>
      <c r="G5495">
        <v>5</v>
      </c>
      <c r="H5495">
        <v>1</v>
      </c>
      <c r="I5495" t="s">
        <v>33</v>
      </c>
      <c r="J5495">
        <v>0</v>
      </c>
      <c r="K5495">
        <v>51</v>
      </c>
      <c r="L5495" t="s">
        <v>24</v>
      </c>
      <c r="M5495" t="s">
        <v>35</v>
      </c>
      <c r="N5495" t="s">
        <v>22</v>
      </c>
      <c r="O5495" t="s">
        <v>27</v>
      </c>
      <c r="P5495">
        <v>3.47</v>
      </c>
      <c r="Q5495" s="2" t="b">
        <f>FALSE()</f>
        <v>0</v>
      </c>
      <c r="R5495">
        <v>1</v>
      </c>
    </row>
    <row r="5496" spans="1:18" x14ac:dyDescent="0.25">
      <c r="A5496">
        <v>205495</v>
      </c>
      <c r="B5496">
        <v>53243</v>
      </c>
      <c r="C5496" t="s">
        <v>34</v>
      </c>
      <c r="D5496">
        <v>1529.2</v>
      </c>
      <c r="E5496">
        <v>635</v>
      </c>
      <c r="F5496">
        <v>0</v>
      </c>
      <c r="G5496">
        <v>3</v>
      </c>
      <c r="H5496">
        <v>0</v>
      </c>
      <c r="I5496" t="s">
        <v>32</v>
      </c>
      <c r="J5496">
        <v>0</v>
      </c>
      <c r="K5496">
        <v>55</v>
      </c>
      <c r="L5496" t="s">
        <v>20</v>
      </c>
      <c r="M5496" t="s">
        <v>37</v>
      </c>
      <c r="N5496" t="s">
        <v>30</v>
      </c>
      <c r="O5496" t="s">
        <v>27</v>
      </c>
      <c r="P5496">
        <v>2.76</v>
      </c>
      <c r="Q5496" s="2" t="b">
        <f>FALSE()</f>
        <v>0</v>
      </c>
      <c r="R5496">
        <v>0</v>
      </c>
    </row>
    <row r="5497" spans="1:18" x14ac:dyDescent="0.25">
      <c r="A5497">
        <v>205496</v>
      </c>
      <c r="B5497">
        <v>53917</v>
      </c>
      <c r="C5497" t="s">
        <v>34</v>
      </c>
      <c r="D5497">
        <v>1771.5</v>
      </c>
      <c r="E5497">
        <v>2693</v>
      </c>
      <c r="F5497">
        <v>0</v>
      </c>
      <c r="G5497">
        <v>3</v>
      </c>
      <c r="H5497">
        <v>0</v>
      </c>
      <c r="I5497" t="s">
        <v>33</v>
      </c>
      <c r="J5497">
        <v>0</v>
      </c>
      <c r="K5497">
        <v>50</v>
      </c>
      <c r="L5497" t="s">
        <v>24</v>
      </c>
      <c r="M5497" t="s">
        <v>29</v>
      </c>
      <c r="N5497" t="s">
        <v>22</v>
      </c>
      <c r="O5497" t="s">
        <v>36</v>
      </c>
      <c r="P5497">
        <v>0.04</v>
      </c>
      <c r="Q5497" s="2" t="b">
        <f>FALSE()</f>
        <v>0</v>
      </c>
      <c r="R5497">
        <v>0</v>
      </c>
    </row>
    <row r="5498" spans="1:18" x14ac:dyDescent="0.25">
      <c r="A5498">
        <v>205497</v>
      </c>
      <c r="B5498">
        <v>55118</v>
      </c>
      <c r="C5498" t="s">
        <v>18</v>
      </c>
      <c r="D5498">
        <v>1109.23</v>
      </c>
      <c r="E5498">
        <v>1711</v>
      </c>
      <c r="F5498">
        <v>1</v>
      </c>
      <c r="G5498">
        <v>3</v>
      </c>
      <c r="H5498">
        <v>0</v>
      </c>
      <c r="I5498" t="s">
        <v>33</v>
      </c>
      <c r="J5498">
        <v>0</v>
      </c>
      <c r="K5498">
        <v>34</v>
      </c>
      <c r="L5498" t="s">
        <v>20</v>
      </c>
      <c r="M5498" t="s">
        <v>29</v>
      </c>
      <c r="N5498" t="s">
        <v>30</v>
      </c>
      <c r="O5498" t="s">
        <v>36</v>
      </c>
      <c r="P5498">
        <v>0.02</v>
      </c>
      <c r="Q5498" s="2" t="b">
        <f>FALSE()</f>
        <v>0</v>
      </c>
      <c r="R5498">
        <v>0</v>
      </c>
    </row>
    <row r="5499" spans="1:18" x14ac:dyDescent="0.25">
      <c r="A5499">
        <v>205498</v>
      </c>
      <c r="B5499">
        <v>54013</v>
      </c>
      <c r="C5499" t="s">
        <v>34</v>
      </c>
      <c r="D5499">
        <v>1147.0899999999999</v>
      </c>
      <c r="E5499">
        <v>3227</v>
      </c>
      <c r="F5499">
        <v>0</v>
      </c>
      <c r="G5499">
        <v>2</v>
      </c>
      <c r="H5499">
        <v>1</v>
      </c>
      <c r="I5499" t="s">
        <v>19</v>
      </c>
      <c r="J5499">
        <v>0</v>
      </c>
      <c r="K5499">
        <v>39</v>
      </c>
      <c r="L5499" t="s">
        <v>38</v>
      </c>
      <c r="M5499" t="s">
        <v>25</v>
      </c>
      <c r="N5499" t="s">
        <v>26</v>
      </c>
      <c r="O5499" t="s">
        <v>36</v>
      </c>
      <c r="P5499">
        <v>1.1200000000000001</v>
      </c>
      <c r="Q5499" s="2" t="b">
        <f>FALSE()</f>
        <v>0</v>
      </c>
      <c r="R5499">
        <v>0</v>
      </c>
    </row>
    <row r="5500" spans="1:18" x14ac:dyDescent="0.25">
      <c r="A5500">
        <v>205499</v>
      </c>
      <c r="B5500">
        <v>54619</v>
      </c>
      <c r="C5500" t="s">
        <v>18</v>
      </c>
      <c r="D5500">
        <v>3407.17</v>
      </c>
      <c r="E5500">
        <v>1012</v>
      </c>
      <c r="F5500">
        <v>0</v>
      </c>
      <c r="G5500">
        <v>6</v>
      </c>
      <c r="H5500">
        <v>0</v>
      </c>
      <c r="I5500" t="s">
        <v>19</v>
      </c>
      <c r="J5500">
        <v>0</v>
      </c>
      <c r="K5500">
        <v>32</v>
      </c>
      <c r="L5500" t="s">
        <v>20</v>
      </c>
      <c r="M5500" t="s">
        <v>37</v>
      </c>
      <c r="N5500" t="s">
        <v>22</v>
      </c>
      <c r="O5500" t="s">
        <v>23</v>
      </c>
      <c r="P5500">
        <v>6.27</v>
      </c>
      <c r="Q5500" s="2" t="b">
        <f>FALSE()</f>
        <v>0</v>
      </c>
      <c r="R5500">
        <v>0</v>
      </c>
    </row>
    <row r="5501" spans="1:18" x14ac:dyDescent="0.25">
      <c r="A5501">
        <v>205500</v>
      </c>
      <c r="B5501">
        <v>51848</v>
      </c>
      <c r="C5501" t="s">
        <v>34</v>
      </c>
      <c r="D5501">
        <v>1148.5899999999999</v>
      </c>
      <c r="E5501">
        <v>2155</v>
      </c>
      <c r="F5501">
        <v>1</v>
      </c>
      <c r="G5501">
        <v>7</v>
      </c>
      <c r="H5501">
        <v>0</v>
      </c>
      <c r="I5501" t="s">
        <v>33</v>
      </c>
      <c r="J5501">
        <v>0</v>
      </c>
      <c r="K5501">
        <v>20</v>
      </c>
      <c r="L5501" t="s">
        <v>24</v>
      </c>
      <c r="M5501" t="s">
        <v>25</v>
      </c>
      <c r="N5501" t="s">
        <v>22</v>
      </c>
      <c r="O5501" t="s">
        <v>36</v>
      </c>
      <c r="P5501">
        <v>6.05</v>
      </c>
      <c r="Q5501" s="2" t="b">
        <f>FALSE()</f>
        <v>0</v>
      </c>
      <c r="R5501">
        <v>1</v>
      </c>
    </row>
    <row r="5502" spans="1:18" x14ac:dyDescent="0.25">
      <c r="A5502">
        <v>205501</v>
      </c>
      <c r="B5502">
        <v>50607</v>
      </c>
      <c r="C5502" t="s">
        <v>34</v>
      </c>
      <c r="D5502">
        <v>5512.96</v>
      </c>
      <c r="E5502">
        <v>103</v>
      </c>
      <c r="F5502">
        <v>1</v>
      </c>
      <c r="G5502">
        <v>6</v>
      </c>
      <c r="H5502">
        <v>1</v>
      </c>
      <c r="I5502" t="s">
        <v>33</v>
      </c>
      <c r="J5502">
        <v>1</v>
      </c>
      <c r="K5502">
        <v>58</v>
      </c>
      <c r="L5502" t="s">
        <v>20</v>
      </c>
      <c r="M5502" t="s">
        <v>25</v>
      </c>
      <c r="N5502" t="s">
        <v>30</v>
      </c>
      <c r="O5502" t="s">
        <v>36</v>
      </c>
      <c r="P5502">
        <v>2.3199999999999998</v>
      </c>
      <c r="Q5502" s="2" t="b">
        <f>FALSE()</f>
        <v>0</v>
      </c>
      <c r="R5502">
        <v>1</v>
      </c>
    </row>
    <row r="5503" spans="1:18" x14ac:dyDescent="0.25">
      <c r="A5503">
        <v>205502</v>
      </c>
      <c r="B5503">
        <v>53775</v>
      </c>
      <c r="C5503" t="s">
        <v>18</v>
      </c>
      <c r="D5503">
        <v>983.83</v>
      </c>
      <c r="E5503">
        <v>889</v>
      </c>
      <c r="F5503">
        <v>0</v>
      </c>
      <c r="G5503">
        <v>7</v>
      </c>
      <c r="H5503">
        <v>0</v>
      </c>
      <c r="I5503" t="s">
        <v>33</v>
      </c>
      <c r="J5503">
        <v>1</v>
      </c>
      <c r="K5503">
        <v>24</v>
      </c>
      <c r="L5503" t="s">
        <v>20</v>
      </c>
      <c r="M5503" t="s">
        <v>37</v>
      </c>
      <c r="N5503" t="s">
        <v>22</v>
      </c>
      <c r="O5503" t="s">
        <v>27</v>
      </c>
      <c r="P5503">
        <v>4.6500000000000004</v>
      </c>
      <c r="Q5503" s="2" t="b">
        <f>FALSE()</f>
        <v>0</v>
      </c>
      <c r="R5503">
        <v>1</v>
      </c>
    </row>
    <row r="5504" spans="1:18" x14ac:dyDescent="0.25">
      <c r="A5504">
        <v>205503</v>
      </c>
      <c r="B5504">
        <v>52498</v>
      </c>
      <c r="C5504" t="s">
        <v>28</v>
      </c>
      <c r="D5504">
        <v>3883.7</v>
      </c>
      <c r="E5504">
        <v>3501</v>
      </c>
      <c r="F5504">
        <v>4</v>
      </c>
      <c r="G5504">
        <v>4</v>
      </c>
      <c r="H5504">
        <v>1</v>
      </c>
      <c r="I5504" t="s">
        <v>33</v>
      </c>
      <c r="J5504">
        <v>0</v>
      </c>
      <c r="K5504">
        <v>51</v>
      </c>
      <c r="L5504" t="s">
        <v>20</v>
      </c>
      <c r="M5504" t="s">
        <v>35</v>
      </c>
      <c r="N5504" t="s">
        <v>30</v>
      </c>
      <c r="O5504" t="s">
        <v>27</v>
      </c>
      <c r="P5504">
        <v>2.17</v>
      </c>
      <c r="Q5504" s="2" t="b">
        <f>FALSE()</f>
        <v>0</v>
      </c>
      <c r="R5504">
        <v>1</v>
      </c>
    </row>
    <row r="5505" spans="1:18" x14ac:dyDescent="0.25">
      <c r="A5505">
        <v>205504</v>
      </c>
      <c r="B5505">
        <v>54974</v>
      </c>
      <c r="C5505" t="s">
        <v>18</v>
      </c>
      <c r="D5505">
        <v>665.71</v>
      </c>
      <c r="E5505">
        <v>2420</v>
      </c>
      <c r="F5505">
        <v>0</v>
      </c>
      <c r="G5505">
        <v>2</v>
      </c>
      <c r="H5505">
        <v>0</v>
      </c>
      <c r="I5505" t="s">
        <v>32</v>
      </c>
      <c r="J5505">
        <v>0</v>
      </c>
      <c r="K5505">
        <v>73</v>
      </c>
      <c r="L5505" t="s">
        <v>24</v>
      </c>
      <c r="M5505" t="s">
        <v>21</v>
      </c>
      <c r="N5505" t="s">
        <v>26</v>
      </c>
      <c r="O5505" t="s">
        <v>36</v>
      </c>
      <c r="P5505">
        <v>1</v>
      </c>
      <c r="Q5505" s="2" t="b">
        <f>FALSE()</f>
        <v>0</v>
      </c>
      <c r="R5505">
        <v>0</v>
      </c>
    </row>
    <row r="5506" spans="1:18" x14ac:dyDescent="0.25">
      <c r="A5506">
        <v>205505</v>
      </c>
      <c r="B5506">
        <v>52541</v>
      </c>
      <c r="C5506" t="s">
        <v>34</v>
      </c>
      <c r="D5506">
        <v>5403.23</v>
      </c>
      <c r="E5506">
        <v>1714</v>
      </c>
      <c r="F5506">
        <v>0</v>
      </c>
      <c r="G5506">
        <v>4</v>
      </c>
      <c r="H5506">
        <v>0</v>
      </c>
      <c r="I5506" t="s">
        <v>33</v>
      </c>
      <c r="J5506">
        <v>1</v>
      </c>
      <c r="K5506">
        <v>79</v>
      </c>
      <c r="L5506" t="s">
        <v>24</v>
      </c>
      <c r="M5506" t="s">
        <v>37</v>
      </c>
      <c r="N5506" t="s">
        <v>30</v>
      </c>
      <c r="O5506" t="s">
        <v>27</v>
      </c>
      <c r="P5506">
        <v>2.04</v>
      </c>
      <c r="Q5506" s="2" t="b">
        <f>FALSE()</f>
        <v>0</v>
      </c>
      <c r="R5506">
        <v>1</v>
      </c>
    </row>
    <row r="5507" spans="1:18" x14ac:dyDescent="0.25">
      <c r="A5507">
        <v>205506</v>
      </c>
      <c r="B5507">
        <v>52060</v>
      </c>
      <c r="C5507" t="s">
        <v>34</v>
      </c>
      <c r="D5507">
        <v>1999.3</v>
      </c>
      <c r="E5507">
        <v>161</v>
      </c>
      <c r="F5507">
        <v>1</v>
      </c>
      <c r="G5507">
        <v>1</v>
      </c>
      <c r="H5507">
        <v>0</v>
      </c>
      <c r="I5507" t="s">
        <v>19</v>
      </c>
      <c r="J5507">
        <v>0</v>
      </c>
      <c r="K5507">
        <v>79</v>
      </c>
      <c r="L5507" t="s">
        <v>24</v>
      </c>
      <c r="M5507" t="s">
        <v>29</v>
      </c>
      <c r="N5507" t="s">
        <v>22</v>
      </c>
      <c r="O5507" t="s">
        <v>36</v>
      </c>
      <c r="P5507">
        <v>2.14</v>
      </c>
      <c r="Q5507" s="2" t="b">
        <f>FALSE()</f>
        <v>0</v>
      </c>
      <c r="R5507">
        <v>0</v>
      </c>
    </row>
    <row r="5508" spans="1:18" x14ac:dyDescent="0.25">
      <c r="A5508">
        <v>205507</v>
      </c>
      <c r="B5508">
        <v>52981</v>
      </c>
      <c r="C5508" t="s">
        <v>18</v>
      </c>
      <c r="D5508">
        <v>1118.3399999999999</v>
      </c>
      <c r="E5508">
        <v>2408</v>
      </c>
      <c r="F5508">
        <v>1</v>
      </c>
      <c r="G5508">
        <v>3</v>
      </c>
      <c r="H5508">
        <v>1</v>
      </c>
      <c r="I5508" t="s">
        <v>33</v>
      </c>
      <c r="J5508">
        <v>0</v>
      </c>
      <c r="K5508">
        <v>27</v>
      </c>
      <c r="L5508" t="s">
        <v>24</v>
      </c>
      <c r="M5508" t="s">
        <v>37</v>
      </c>
      <c r="N5508" t="s">
        <v>30</v>
      </c>
      <c r="O5508" t="s">
        <v>27</v>
      </c>
      <c r="P5508">
        <v>6.45</v>
      </c>
      <c r="Q5508" s="2" t="b">
        <f>FALSE()</f>
        <v>0</v>
      </c>
      <c r="R5508">
        <v>0</v>
      </c>
    </row>
    <row r="5509" spans="1:18" x14ac:dyDescent="0.25">
      <c r="A5509">
        <v>205508</v>
      </c>
      <c r="B5509">
        <v>53983</v>
      </c>
      <c r="C5509" t="s">
        <v>28</v>
      </c>
      <c r="D5509">
        <v>671.04</v>
      </c>
      <c r="E5509">
        <v>233</v>
      </c>
      <c r="F5509">
        <v>1</v>
      </c>
      <c r="G5509">
        <v>4</v>
      </c>
      <c r="H5509">
        <v>1</v>
      </c>
      <c r="I5509" t="s">
        <v>19</v>
      </c>
      <c r="J5509">
        <v>0</v>
      </c>
      <c r="K5509">
        <v>45</v>
      </c>
      <c r="L5509" t="s">
        <v>20</v>
      </c>
      <c r="M5509" t="s">
        <v>31</v>
      </c>
      <c r="N5509" t="s">
        <v>30</v>
      </c>
      <c r="O5509" t="s">
        <v>27</v>
      </c>
      <c r="P5509">
        <v>0.77</v>
      </c>
      <c r="Q5509" s="2" t="b">
        <f>FALSE()</f>
        <v>0</v>
      </c>
      <c r="R5509">
        <v>0</v>
      </c>
    </row>
    <row r="5510" spans="1:18" x14ac:dyDescent="0.25">
      <c r="A5510">
        <v>205509</v>
      </c>
      <c r="B5510">
        <v>50969</v>
      </c>
      <c r="C5510" t="s">
        <v>18</v>
      </c>
      <c r="D5510">
        <v>3036.47</v>
      </c>
      <c r="E5510">
        <v>559</v>
      </c>
      <c r="F5510">
        <v>1</v>
      </c>
      <c r="G5510">
        <v>3</v>
      </c>
      <c r="H5510">
        <v>0</v>
      </c>
      <c r="I5510" t="s">
        <v>19</v>
      </c>
      <c r="J5510">
        <v>1</v>
      </c>
      <c r="K5510">
        <v>22</v>
      </c>
      <c r="L5510" t="s">
        <v>20</v>
      </c>
      <c r="M5510" t="s">
        <v>29</v>
      </c>
      <c r="N5510" t="s">
        <v>22</v>
      </c>
      <c r="O5510" t="s">
        <v>27</v>
      </c>
      <c r="P5510">
        <v>2.94</v>
      </c>
      <c r="Q5510" s="2" t="b">
        <f>FALSE()</f>
        <v>0</v>
      </c>
      <c r="R5510">
        <v>0</v>
      </c>
    </row>
    <row r="5511" spans="1:18" x14ac:dyDescent="0.25">
      <c r="A5511">
        <v>205510</v>
      </c>
      <c r="B5511">
        <v>54286</v>
      </c>
      <c r="C5511" t="s">
        <v>18</v>
      </c>
      <c r="D5511">
        <v>2740.43</v>
      </c>
      <c r="E5511">
        <v>3294</v>
      </c>
      <c r="F5511">
        <v>3</v>
      </c>
      <c r="G5511">
        <v>2</v>
      </c>
      <c r="H5511">
        <v>0</v>
      </c>
      <c r="I5511" t="s">
        <v>33</v>
      </c>
      <c r="J5511">
        <v>0</v>
      </c>
      <c r="K5511">
        <v>31</v>
      </c>
      <c r="L5511" t="s">
        <v>20</v>
      </c>
      <c r="M5511" t="s">
        <v>21</v>
      </c>
      <c r="N5511" t="s">
        <v>22</v>
      </c>
      <c r="O5511" t="s">
        <v>36</v>
      </c>
      <c r="P5511">
        <v>2.42</v>
      </c>
      <c r="Q5511" s="2" t="b">
        <f>FALSE()</f>
        <v>0</v>
      </c>
      <c r="R5511">
        <v>1</v>
      </c>
    </row>
    <row r="5512" spans="1:18" x14ac:dyDescent="0.25">
      <c r="A5512">
        <v>205511</v>
      </c>
      <c r="B5512">
        <v>50927</v>
      </c>
      <c r="C5512" t="s">
        <v>34</v>
      </c>
      <c r="D5512">
        <v>2646.56</v>
      </c>
      <c r="E5512">
        <v>149</v>
      </c>
      <c r="F5512">
        <v>3</v>
      </c>
      <c r="G5512">
        <v>9</v>
      </c>
      <c r="H5512">
        <v>0</v>
      </c>
      <c r="I5512" t="s">
        <v>33</v>
      </c>
      <c r="J5512">
        <v>0</v>
      </c>
      <c r="K5512">
        <v>24</v>
      </c>
      <c r="L5512" t="s">
        <v>24</v>
      </c>
      <c r="M5512" t="s">
        <v>29</v>
      </c>
      <c r="N5512" t="s">
        <v>22</v>
      </c>
      <c r="O5512" t="s">
        <v>36</v>
      </c>
      <c r="P5512">
        <v>2.4900000000000002</v>
      </c>
      <c r="Q5512" s="2" t="b">
        <f>FALSE()</f>
        <v>0</v>
      </c>
      <c r="R5512">
        <v>1</v>
      </c>
    </row>
    <row r="5513" spans="1:18" x14ac:dyDescent="0.25">
      <c r="A5513">
        <v>205512</v>
      </c>
      <c r="B5513">
        <v>50564</v>
      </c>
      <c r="C5513" t="s">
        <v>18</v>
      </c>
      <c r="D5513">
        <v>1947.82</v>
      </c>
      <c r="E5513">
        <v>2521</v>
      </c>
      <c r="F5513">
        <v>1</v>
      </c>
      <c r="G5513">
        <v>3</v>
      </c>
      <c r="H5513">
        <v>0</v>
      </c>
      <c r="I5513" t="s">
        <v>33</v>
      </c>
      <c r="J5513">
        <v>0</v>
      </c>
      <c r="K5513">
        <v>23</v>
      </c>
      <c r="L5513" t="s">
        <v>20</v>
      </c>
      <c r="M5513" t="s">
        <v>37</v>
      </c>
      <c r="N5513" t="s">
        <v>26</v>
      </c>
      <c r="O5513" t="s">
        <v>27</v>
      </c>
      <c r="P5513">
        <v>3.64</v>
      </c>
      <c r="Q5513" s="2" t="b">
        <f>FALSE()</f>
        <v>0</v>
      </c>
      <c r="R5513">
        <v>0</v>
      </c>
    </row>
    <row r="5514" spans="1:18" x14ac:dyDescent="0.25">
      <c r="A5514">
        <v>205513</v>
      </c>
      <c r="B5514">
        <v>55257</v>
      </c>
      <c r="C5514" t="s">
        <v>34</v>
      </c>
      <c r="D5514">
        <v>1255.6300000000001</v>
      </c>
      <c r="E5514">
        <v>1104</v>
      </c>
      <c r="F5514">
        <v>1</v>
      </c>
      <c r="G5514">
        <v>4</v>
      </c>
      <c r="H5514">
        <v>0</v>
      </c>
      <c r="I5514" t="s">
        <v>33</v>
      </c>
      <c r="J5514">
        <v>0</v>
      </c>
      <c r="K5514">
        <v>31</v>
      </c>
      <c r="L5514" t="s">
        <v>24</v>
      </c>
      <c r="M5514" t="s">
        <v>25</v>
      </c>
      <c r="N5514" t="s">
        <v>30</v>
      </c>
      <c r="O5514" t="s">
        <v>36</v>
      </c>
      <c r="P5514">
        <v>2.4300000000000002</v>
      </c>
      <c r="Q5514" s="2" t="b">
        <f>FALSE()</f>
        <v>0</v>
      </c>
      <c r="R5514">
        <v>0</v>
      </c>
    </row>
    <row r="5515" spans="1:18" x14ac:dyDescent="0.25">
      <c r="A5515">
        <v>205514</v>
      </c>
      <c r="B5515">
        <v>55817</v>
      </c>
      <c r="C5515" t="s">
        <v>28</v>
      </c>
      <c r="D5515">
        <v>1878.2</v>
      </c>
      <c r="E5515">
        <v>3183</v>
      </c>
      <c r="F5515">
        <v>2</v>
      </c>
      <c r="G5515">
        <v>2</v>
      </c>
      <c r="H5515">
        <v>1</v>
      </c>
      <c r="I5515" t="s">
        <v>19</v>
      </c>
      <c r="J5515">
        <v>0</v>
      </c>
      <c r="K5515">
        <v>66</v>
      </c>
      <c r="L5515" t="s">
        <v>20</v>
      </c>
      <c r="M5515" t="s">
        <v>37</v>
      </c>
      <c r="N5515" t="s">
        <v>22</v>
      </c>
      <c r="O5515" t="s">
        <v>36</v>
      </c>
      <c r="P5515">
        <v>10.6</v>
      </c>
      <c r="Q5515" s="2" t="b">
        <f>FALSE()</f>
        <v>0</v>
      </c>
      <c r="R5515">
        <v>0</v>
      </c>
    </row>
    <row r="5516" spans="1:18" x14ac:dyDescent="0.25">
      <c r="A5516">
        <v>205515</v>
      </c>
      <c r="B5516">
        <v>55188</v>
      </c>
      <c r="C5516" t="s">
        <v>18</v>
      </c>
      <c r="D5516">
        <v>5943.96</v>
      </c>
      <c r="E5516">
        <v>304</v>
      </c>
      <c r="F5516">
        <v>2</v>
      </c>
      <c r="G5516">
        <v>2</v>
      </c>
      <c r="H5516">
        <v>1</v>
      </c>
      <c r="I5516" t="s">
        <v>19</v>
      </c>
      <c r="J5516">
        <v>0</v>
      </c>
      <c r="K5516">
        <v>25</v>
      </c>
      <c r="L5516" t="s">
        <v>24</v>
      </c>
      <c r="M5516" t="s">
        <v>29</v>
      </c>
      <c r="N5516" t="s">
        <v>26</v>
      </c>
      <c r="O5516" t="s">
        <v>36</v>
      </c>
      <c r="P5516">
        <v>10.57</v>
      </c>
      <c r="Q5516" s="2" t="b">
        <f>FALSE()</f>
        <v>0</v>
      </c>
      <c r="R5516">
        <v>1</v>
      </c>
    </row>
    <row r="5517" spans="1:18" x14ac:dyDescent="0.25">
      <c r="A5517">
        <v>205516</v>
      </c>
      <c r="B5517">
        <v>51799</v>
      </c>
      <c r="C5517" t="s">
        <v>18</v>
      </c>
      <c r="D5517">
        <v>1909.01</v>
      </c>
      <c r="E5517">
        <v>3224</v>
      </c>
      <c r="F5517">
        <v>1</v>
      </c>
      <c r="G5517">
        <v>4</v>
      </c>
      <c r="H5517">
        <v>0</v>
      </c>
      <c r="I5517" t="s">
        <v>33</v>
      </c>
      <c r="J5517">
        <v>0</v>
      </c>
      <c r="K5517">
        <v>29</v>
      </c>
      <c r="L5517" t="s">
        <v>24</v>
      </c>
      <c r="M5517" t="s">
        <v>21</v>
      </c>
      <c r="N5517" t="s">
        <v>22</v>
      </c>
      <c r="O5517" t="s">
        <v>36</v>
      </c>
      <c r="P5517">
        <v>0.98</v>
      </c>
      <c r="Q5517" s="2" t="b">
        <f>FALSE()</f>
        <v>0</v>
      </c>
      <c r="R5517">
        <v>0</v>
      </c>
    </row>
    <row r="5518" spans="1:18" x14ac:dyDescent="0.25">
      <c r="A5518">
        <v>205517</v>
      </c>
      <c r="B5518">
        <v>55180</v>
      </c>
      <c r="C5518" t="s">
        <v>28</v>
      </c>
      <c r="D5518">
        <v>435.99</v>
      </c>
      <c r="E5518">
        <v>3013</v>
      </c>
      <c r="F5518">
        <v>2</v>
      </c>
      <c r="G5518">
        <v>7</v>
      </c>
      <c r="H5518">
        <v>1</v>
      </c>
      <c r="I5518" t="s">
        <v>33</v>
      </c>
      <c r="J5518">
        <v>1</v>
      </c>
      <c r="K5518">
        <v>50</v>
      </c>
      <c r="L5518" t="s">
        <v>24</v>
      </c>
      <c r="M5518" t="s">
        <v>21</v>
      </c>
      <c r="N5518" t="s">
        <v>22</v>
      </c>
      <c r="O5518" t="s">
        <v>36</v>
      </c>
      <c r="P5518">
        <v>0.54</v>
      </c>
      <c r="Q5518" s="2" t="b">
        <f>FALSE()</f>
        <v>0</v>
      </c>
      <c r="R5518">
        <v>1</v>
      </c>
    </row>
    <row r="5519" spans="1:18" x14ac:dyDescent="0.25">
      <c r="A5519">
        <v>205518</v>
      </c>
      <c r="B5519">
        <v>53775</v>
      </c>
      <c r="C5519" t="s">
        <v>18</v>
      </c>
      <c r="D5519">
        <v>653.54</v>
      </c>
      <c r="E5519">
        <v>592</v>
      </c>
      <c r="F5519">
        <v>0</v>
      </c>
      <c r="G5519">
        <v>2</v>
      </c>
      <c r="H5519">
        <v>0</v>
      </c>
      <c r="I5519" t="s">
        <v>33</v>
      </c>
      <c r="J5519">
        <v>0</v>
      </c>
      <c r="K5519">
        <v>51</v>
      </c>
      <c r="L5519" t="s">
        <v>38</v>
      </c>
      <c r="M5519" t="s">
        <v>29</v>
      </c>
      <c r="N5519" t="s">
        <v>22</v>
      </c>
      <c r="O5519" t="s">
        <v>36</v>
      </c>
      <c r="P5519">
        <v>6.73</v>
      </c>
      <c r="Q5519" s="2" t="b">
        <f>FALSE()</f>
        <v>0</v>
      </c>
      <c r="R5519">
        <v>0</v>
      </c>
    </row>
    <row r="5520" spans="1:18" x14ac:dyDescent="0.25">
      <c r="A5520">
        <v>205519</v>
      </c>
      <c r="B5520">
        <v>50431</v>
      </c>
      <c r="C5520" t="s">
        <v>18</v>
      </c>
      <c r="D5520">
        <v>2675.52</v>
      </c>
      <c r="E5520">
        <v>2352</v>
      </c>
      <c r="F5520">
        <v>1</v>
      </c>
      <c r="G5520">
        <v>4</v>
      </c>
      <c r="H5520">
        <v>1</v>
      </c>
      <c r="I5520" t="s">
        <v>33</v>
      </c>
      <c r="J5520">
        <v>0</v>
      </c>
      <c r="K5520">
        <v>39</v>
      </c>
      <c r="L5520" t="s">
        <v>20</v>
      </c>
      <c r="M5520" t="s">
        <v>29</v>
      </c>
      <c r="N5520" t="s">
        <v>22</v>
      </c>
      <c r="O5520" t="s">
        <v>36</v>
      </c>
      <c r="P5520">
        <v>0.98</v>
      </c>
      <c r="Q5520" s="2" t="b">
        <f>FALSE()</f>
        <v>0</v>
      </c>
      <c r="R5520">
        <v>0</v>
      </c>
    </row>
    <row r="5521" spans="1:18" x14ac:dyDescent="0.25">
      <c r="A5521">
        <v>205520</v>
      </c>
      <c r="B5521">
        <v>54192</v>
      </c>
      <c r="C5521" t="s">
        <v>18</v>
      </c>
      <c r="D5521">
        <v>3444.75</v>
      </c>
      <c r="E5521">
        <v>58</v>
      </c>
      <c r="F5521">
        <v>0</v>
      </c>
      <c r="G5521">
        <v>4</v>
      </c>
      <c r="H5521">
        <v>0</v>
      </c>
      <c r="I5521" t="s">
        <v>33</v>
      </c>
      <c r="J5521">
        <v>0</v>
      </c>
      <c r="K5521">
        <v>26</v>
      </c>
      <c r="L5521" t="s">
        <v>24</v>
      </c>
      <c r="M5521" t="s">
        <v>21</v>
      </c>
      <c r="N5521" t="s">
        <v>22</v>
      </c>
      <c r="O5521" t="s">
        <v>27</v>
      </c>
      <c r="P5521">
        <v>8.5299999999999994</v>
      </c>
      <c r="Q5521" s="2" t="b">
        <f>FALSE()</f>
        <v>0</v>
      </c>
      <c r="R5521">
        <v>0</v>
      </c>
    </row>
    <row r="5522" spans="1:18" x14ac:dyDescent="0.25">
      <c r="A5522">
        <v>205521</v>
      </c>
      <c r="B5522">
        <v>53758</v>
      </c>
      <c r="C5522" t="s">
        <v>18</v>
      </c>
      <c r="D5522">
        <v>534.99</v>
      </c>
      <c r="E5522">
        <v>2913</v>
      </c>
      <c r="F5522">
        <v>1</v>
      </c>
      <c r="G5522">
        <v>3</v>
      </c>
      <c r="H5522">
        <v>1</v>
      </c>
      <c r="I5522" t="s">
        <v>33</v>
      </c>
      <c r="J5522">
        <v>0</v>
      </c>
      <c r="K5522">
        <v>47</v>
      </c>
      <c r="L5522" t="s">
        <v>20</v>
      </c>
      <c r="M5522" t="s">
        <v>21</v>
      </c>
      <c r="N5522" t="s">
        <v>30</v>
      </c>
      <c r="O5522" t="s">
        <v>36</v>
      </c>
      <c r="P5522">
        <v>0.68</v>
      </c>
      <c r="Q5522" s="2" t="b">
        <f>FALSE()</f>
        <v>0</v>
      </c>
      <c r="R5522">
        <v>0</v>
      </c>
    </row>
    <row r="5523" spans="1:18" x14ac:dyDescent="0.25">
      <c r="A5523">
        <v>205522</v>
      </c>
      <c r="B5523">
        <v>52338</v>
      </c>
      <c r="C5523" t="s">
        <v>34</v>
      </c>
      <c r="D5523">
        <v>2908.04</v>
      </c>
      <c r="E5523">
        <v>43</v>
      </c>
      <c r="F5523">
        <v>1</v>
      </c>
      <c r="G5523">
        <v>2</v>
      </c>
      <c r="H5523">
        <v>0</v>
      </c>
      <c r="I5523" t="s">
        <v>33</v>
      </c>
      <c r="J5523">
        <v>0</v>
      </c>
      <c r="K5523">
        <v>41</v>
      </c>
      <c r="L5523" t="s">
        <v>20</v>
      </c>
      <c r="M5523" t="s">
        <v>25</v>
      </c>
      <c r="N5523" t="s">
        <v>22</v>
      </c>
      <c r="O5523" t="s">
        <v>27</v>
      </c>
      <c r="P5523">
        <v>10.29</v>
      </c>
      <c r="Q5523" s="2" t="b">
        <f>FALSE()</f>
        <v>0</v>
      </c>
      <c r="R5523">
        <v>0</v>
      </c>
    </row>
    <row r="5524" spans="1:18" x14ac:dyDescent="0.25">
      <c r="A5524">
        <v>205523</v>
      </c>
      <c r="B5524">
        <v>51296</v>
      </c>
      <c r="C5524" t="s">
        <v>34</v>
      </c>
      <c r="D5524">
        <v>1103.51</v>
      </c>
      <c r="E5524">
        <v>1887</v>
      </c>
      <c r="F5524">
        <v>3</v>
      </c>
      <c r="G5524">
        <v>3</v>
      </c>
      <c r="H5524">
        <v>0</v>
      </c>
      <c r="I5524" t="s">
        <v>19</v>
      </c>
      <c r="J5524">
        <v>0</v>
      </c>
      <c r="K5524">
        <v>51</v>
      </c>
      <c r="L5524" t="s">
        <v>24</v>
      </c>
      <c r="M5524" t="s">
        <v>25</v>
      </c>
      <c r="N5524" t="s">
        <v>22</v>
      </c>
      <c r="O5524" t="s">
        <v>36</v>
      </c>
      <c r="P5524">
        <v>1.41</v>
      </c>
      <c r="Q5524" s="2" t="b">
        <f>FALSE()</f>
        <v>0</v>
      </c>
      <c r="R5524">
        <v>1</v>
      </c>
    </row>
    <row r="5525" spans="1:18" x14ac:dyDescent="0.25">
      <c r="A5525">
        <v>205524</v>
      </c>
      <c r="B5525">
        <v>51738</v>
      </c>
      <c r="C5525" t="s">
        <v>18</v>
      </c>
      <c r="D5525">
        <v>1749.31</v>
      </c>
      <c r="E5525">
        <v>2034</v>
      </c>
      <c r="F5525">
        <v>0</v>
      </c>
      <c r="G5525">
        <v>2</v>
      </c>
      <c r="H5525">
        <v>0</v>
      </c>
      <c r="I5525" t="s">
        <v>33</v>
      </c>
      <c r="J5525">
        <v>0</v>
      </c>
      <c r="K5525">
        <v>25</v>
      </c>
      <c r="L5525" t="s">
        <v>24</v>
      </c>
      <c r="M5525" t="s">
        <v>35</v>
      </c>
      <c r="N5525" t="s">
        <v>22</v>
      </c>
      <c r="O5525" t="s">
        <v>27</v>
      </c>
      <c r="P5525">
        <v>1.52</v>
      </c>
      <c r="Q5525" s="2" t="b">
        <f>FALSE()</f>
        <v>0</v>
      </c>
      <c r="R5525">
        <v>0</v>
      </c>
    </row>
    <row r="5526" spans="1:18" x14ac:dyDescent="0.25">
      <c r="A5526">
        <v>205525</v>
      </c>
      <c r="B5526">
        <v>52673</v>
      </c>
      <c r="C5526" t="s">
        <v>18</v>
      </c>
      <c r="D5526">
        <v>4195.34</v>
      </c>
      <c r="E5526">
        <v>3490</v>
      </c>
      <c r="F5526">
        <v>1</v>
      </c>
      <c r="G5526">
        <v>5</v>
      </c>
      <c r="H5526">
        <v>1</v>
      </c>
      <c r="I5526" t="s">
        <v>19</v>
      </c>
      <c r="J5526">
        <v>1</v>
      </c>
      <c r="K5526">
        <v>74</v>
      </c>
      <c r="L5526" t="s">
        <v>20</v>
      </c>
      <c r="M5526" t="s">
        <v>31</v>
      </c>
      <c r="N5526" t="s">
        <v>30</v>
      </c>
      <c r="O5526" t="s">
        <v>27</v>
      </c>
      <c r="P5526">
        <v>2.35</v>
      </c>
      <c r="Q5526" s="2" t="b">
        <f>FALSE()</f>
        <v>0</v>
      </c>
      <c r="R5526">
        <v>1</v>
      </c>
    </row>
    <row r="5527" spans="1:18" x14ac:dyDescent="0.25">
      <c r="A5527">
        <v>205526</v>
      </c>
      <c r="B5527">
        <v>51163</v>
      </c>
      <c r="C5527" t="s">
        <v>34</v>
      </c>
      <c r="D5527">
        <v>662.76</v>
      </c>
      <c r="E5527">
        <v>10</v>
      </c>
      <c r="F5527">
        <v>1</v>
      </c>
      <c r="G5527">
        <v>5</v>
      </c>
      <c r="H5527">
        <v>0</v>
      </c>
      <c r="I5527" t="s">
        <v>33</v>
      </c>
      <c r="J5527">
        <v>1</v>
      </c>
      <c r="K5527">
        <v>47</v>
      </c>
      <c r="L5527" t="s">
        <v>20</v>
      </c>
      <c r="M5527" t="s">
        <v>37</v>
      </c>
      <c r="N5527" t="s">
        <v>26</v>
      </c>
      <c r="O5527" t="s">
        <v>36</v>
      </c>
      <c r="P5527">
        <v>1.79</v>
      </c>
      <c r="Q5527" s="2" t="b">
        <f>FALSE()</f>
        <v>0</v>
      </c>
      <c r="R5527">
        <v>0</v>
      </c>
    </row>
    <row r="5528" spans="1:18" x14ac:dyDescent="0.25">
      <c r="A5528">
        <v>205527</v>
      </c>
      <c r="B5528">
        <v>51191</v>
      </c>
      <c r="C5528" t="s">
        <v>28</v>
      </c>
      <c r="D5528">
        <v>2260.94</v>
      </c>
      <c r="E5528">
        <v>2407</v>
      </c>
      <c r="F5528">
        <v>1</v>
      </c>
      <c r="G5528">
        <v>2</v>
      </c>
      <c r="H5528">
        <v>1</v>
      </c>
      <c r="I5528" t="s">
        <v>33</v>
      </c>
      <c r="J5528">
        <v>0</v>
      </c>
      <c r="K5528">
        <v>22</v>
      </c>
      <c r="L5528" t="s">
        <v>24</v>
      </c>
      <c r="M5528" t="s">
        <v>37</v>
      </c>
      <c r="N5528" t="s">
        <v>22</v>
      </c>
      <c r="O5528" t="s">
        <v>27</v>
      </c>
      <c r="P5528">
        <v>13.09</v>
      </c>
      <c r="Q5528" s="2" t="b">
        <f>FALSE()</f>
        <v>0</v>
      </c>
      <c r="R5528">
        <v>0</v>
      </c>
    </row>
    <row r="5529" spans="1:18" x14ac:dyDescent="0.25">
      <c r="A5529">
        <v>205528</v>
      </c>
      <c r="B5529">
        <v>52853</v>
      </c>
      <c r="C5529" t="s">
        <v>18</v>
      </c>
      <c r="D5529">
        <v>1436.87</v>
      </c>
      <c r="E5529">
        <v>2995</v>
      </c>
      <c r="F5529">
        <v>0</v>
      </c>
      <c r="G5529">
        <v>1</v>
      </c>
      <c r="H5529">
        <v>1</v>
      </c>
      <c r="I5529" t="s">
        <v>32</v>
      </c>
      <c r="J5529">
        <v>0</v>
      </c>
      <c r="K5529">
        <v>77</v>
      </c>
      <c r="L5529" t="s">
        <v>24</v>
      </c>
      <c r="M5529" t="s">
        <v>35</v>
      </c>
      <c r="N5529" t="s">
        <v>22</v>
      </c>
      <c r="O5529" t="s">
        <v>36</v>
      </c>
      <c r="P5529">
        <v>0.36</v>
      </c>
      <c r="Q5529" s="2" t="b">
        <f>FALSE()</f>
        <v>0</v>
      </c>
      <c r="R5529">
        <v>0</v>
      </c>
    </row>
    <row r="5530" spans="1:18" x14ac:dyDescent="0.25">
      <c r="A5530">
        <v>205529</v>
      </c>
      <c r="B5530">
        <v>55055</v>
      </c>
      <c r="C5530" t="s">
        <v>34</v>
      </c>
      <c r="D5530">
        <v>3019.86</v>
      </c>
      <c r="E5530">
        <v>2376</v>
      </c>
      <c r="F5530">
        <v>1</v>
      </c>
      <c r="G5530">
        <v>6</v>
      </c>
      <c r="H5530">
        <v>1</v>
      </c>
      <c r="I5530" t="s">
        <v>32</v>
      </c>
      <c r="J5530">
        <v>0</v>
      </c>
      <c r="K5530">
        <v>39</v>
      </c>
      <c r="L5530" t="s">
        <v>20</v>
      </c>
      <c r="M5530" t="s">
        <v>25</v>
      </c>
      <c r="N5530" t="s">
        <v>30</v>
      </c>
      <c r="O5530" t="s">
        <v>27</v>
      </c>
      <c r="P5530">
        <v>0.01</v>
      </c>
      <c r="Q5530" s="2" t="b">
        <f>FALSE()</f>
        <v>0</v>
      </c>
      <c r="R5530">
        <v>0</v>
      </c>
    </row>
    <row r="5531" spans="1:18" x14ac:dyDescent="0.25">
      <c r="A5531">
        <v>205530</v>
      </c>
      <c r="B5531">
        <v>52558</v>
      </c>
      <c r="C5531" t="s">
        <v>34</v>
      </c>
      <c r="D5531">
        <v>12058.4</v>
      </c>
      <c r="E5531">
        <v>786</v>
      </c>
      <c r="F5531">
        <v>0</v>
      </c>
      <c r="G5531">
        <v>4</v>
      </c>
      <c r="H5531">
        <v>0</v>
      </c>
      <c r="I5531" t="s">
        <v>33</v>
      </c>
      <c r="J5531">
        <v>0</v>
      </c>
      <c r="K5531">
        <v>55</v>
      </c>
      <c r="L5531" t="s">
        <v>20</v>
      </c>
      <c r="M5531" t="s">
        <v>35</v>
      </c>
      <c r="N5531" t="s">
        <v>26</v>
      </c>
      <c r="O5531" t="s">
        <v>36</v>
      </c>
      <c r="P5531">
        <v>0.98</v>
      </c>
      <c r="Q5531" s="2" t="b">
        <f>TRUE()</f>
        <v>1</v>
      </c>
      <c r="R5531">
        <v>1</v>
      </c>
    </row>
    <row r="5532" spans="1:18" x14ac:dyDescent="0.25">
      <c r="A5532">
        <v>205531</v>
      </c>
      <c r="B5532">
        <v>54051</v>
      </c>
      <c r="C5532" t="s">
        <v>18</v>
      </c>
      <c r="D5532">
        <v>642.9</v>
      </c>
      <c r="E5532">
        <v>1783</v>
      </c>
      <c r="F5532">
        <v>0</v>
      </c>
      <c r="G5532">
        <v>4</v>
      </c>
      <c r="H5532">
        <v>0</v>
      </c>
      <c r="I5532" t="s">
        <v>33</v>
      </c>
      <c r="J5532">
        <v>1</v>
      </c>
      <c r="K5532">
        <v>33</v>
      </c>
      <c r="L5532" t="s">
        <v>24</v>
      </c>
      <c r="M5532" t="s">
        <v>37</v>
      </c>
      <c r="N5532" t="s">
        <v>22</v>
      </c>
      <c r="O5532" t="s">
        <v>36</v>
      </c>
      <c r="P5532">
        <v>0.44</v>
      </c>
      <c r="Q5532" s="2" t="b">
        <f>FALSE()</f>
        <v>0</v>
      </c>
      <c r="R5532">
        <v>0</v>
      </c>
    </row>
    <row r="5533" spans="1:18" x14ac:dyDescent="0.25">
      <c r="A5533">
        <v>205532</v>
      </c>
      <c r="B5533">
        <v>53181</v>
      </c>
      <c r="C5533" t="s">
        <v>18</v>
      </c>
      <c r="D5533">
        <v>1203.43</v>
      </c>
      <c r="E5533">
        <v>3276</v>
      </c>
      <c r="F5533">
        <v>1</v>
      </c>
      <c r="G5533">
        <v>4</v>
      </c>
      <c r="H5533">
        <v>0</v>
      </c>
      <c r="I5533" t="s">
        <v>33</v>
      </c>
      <c r="J5533">
        <v>0</v>
      </c>
      <c r="K5533">
        <v>46</v>
      </c>
      <c r="L5533" t="s">
        <v>20</v>
      </c>
      <c r="M5533" t="s">
        <v>37</v>
      </c>
      <c r="N5533" t="s">
        <v>26</v>
      </c>
      <c r="O5533" t="s">
        <v>36</v>
      </c>
      <c r="P5533">
        <v>2.15</v>
      </c>
      <c r="Q5533" s="2" t="b">
        <f>FALSE()</f>
        <v>0</v>
      </c>
      <c r="R5533">
        <v>0</v>
      </c>
    </row>
    <row r="5534" spans="1:18" x14ac:dyDescent="0.25">
      <c r="A5534">
        <v>205533</v>
      </c>
      <c r="B5534">
        <v>50442</v>
      </c>
      <c r="C5534" t="s">
        <v>18</v>
      </c>
      <c r="D5534">
        <v>1236.92</v>
      </c>
      <c r="E5534">
        <v>2260</v>
      </c>
      <c r="F5534">
        <v>0</v>
      </c>
      <c r="G5534">
        <v>6</v>
      </c>
      <c r="H5534">
        <v>0</v>
      </c>
      <c r="I5534" t="s">
        <v>33</v>
      </c>
      <c r="J5534">
        <v>0</v>
      </c>
      <c r="K5534">
        <v>24</v>
      </c>
      <c r="L5534" t="s">
        <v>20</v>
      </c>
      <c r="M5534" t="s">
        <v>31</v>
      </c>
      <c r="N5534" t="s">
        <v>30</v>
      </c>
      <c r="O5534" t="s">
        <v>36</v>
      </c>
      <c r="P5534">
        <v>3.15</v>
      </c>
      <c r="Q5534" s="2" t="b">
        <f>FALSE()</f>
        <v>0</v>
      </c>
      <c r="R5534">
        <v>0</v>
      </c>
    </row>
    <row r="5535" spans="1:18" x14ac:dyDescent="0.25">
      <c r="A5535">
        <v>205534</v>
      </c>
      <c r="B5535">
        <v>55573</v>
      </c>
      <c r="C5535" t="s">
        <v>34</v>
      </c>
      <c r="D5535">
        <v>5257.87</v>
      </c>
      <c r="E5535">
        <v>2568</v>
      </c>
      <c r="F5535">
        <v>0</v>
      </c>
      <c r="G5535">
        <v>5</v>
      </c>
      <c r="H5535">
        <v>0</v>
      </c>
      <c r="I5535" t="s">
        <v>33</v>
      </c>
      <c r="J5535">
        <v>0</v>
      </c>
      <c r="K5535">
        <v>23</v>
      </c>
      <c r="L5535" t="s">
        <v>20</v>
      </c>
      <c r="M5535" t="s">
        <v>29</v>
      </c>
      <c r="N5535" t="s">
        <v>26</v>
      </c>
      <c r="O5535" t="s">
        <v>23</v>
      </c>
      <c r="P5535">
        <v>3.32</v>
      </c>
      <c r="Q5535" s="2" t="b">
        <f>FALSE()</f>
        <v>0</v>
      </c>
      <c r="R5535">
        <v>1</v>
      </c>
    </row>
    <row r="5536" spans="1:18" x14ac:dyDescent="0.25">
      <c r="A5536">
        <v>205535</v>
      </c>
      <c r="B5536">
        <v>52687</v>
      </c>
      <c r="C5536" t="s">
        <v>18</v>
      </c>
      <c r="D5536">
        <v>4810.79</v>
      </c>
      <c r="E5536">
        <v>1817</v>
      </c>
      <c r="F5536">
        <v>0</v>
      </c>
      <c r="G5536">
        <v>4</v>
      </c>
      <c r="H5536">
        <v>0</v>
      </c>
      <c r="I5536" t="s">
        <v>33</v>
      </c>
      <c r="J5536">
        <v>0</v>
      </c>
      <c r="K5536">
        <v>27</v>
      </c>
      <c r="L5536" t="s">
        <v>24</v>
      </c>
      <c r="M5536" t="s">
        <v>35</v>
      </c>
      <c r="N5536" t="s">
        <v>22</v>
      </c>
      <c r="O5536" t="s">
        <v>36</v>
      </c>
      <c r="P5536">
        <v>1.24</v>
      </c>
      <c r="Q5536" s="2" t="b">
        <f>FALSE()</f>
        <v>0</v>
      </c>
      <c r="R5536">
        <v>1</v>
      </c>
    </row>
    <row r="5537" spans="1:18" x14ac:dyDescent="0.25">
      <c r="A5537">
        <v>205536</v>
      </c>
      <c r="B5537">
        <v>51531</v>
      </c>
      <c r="C5537" t="s">
        <v>18</v>
      </c>
      <c r="D5537">
        <v>1413.31</v>
      </c>
      <c r="E5537">
        <v>3471</v>
      </c>
      <c r="F5537">
        <v>1</v>
      </c>
      <c r="G5537">
        <v>2</v>
      </c>
      <c r="H5537">
        <v>1</v>
      </c>
      <c r="I5537" t="s">
        <v>33</v>
      </c>
      <c r="J5537">
        <v>0</v>
      </c>
      <c r="K5537">
        <v>59</v>
      </c>
      <c r="L5537" t="s">
        <v>24</v>
      </c>
      <c r="M5537" t="s">
        <v>35</v>
      </c>
      <c r="N5537" t="s">
        <v>26</v>
      </c>
      <c r="O5537" t="s">
        <v>36</v>
      </c>
      <c r="P5537">
        <v>7.56</v>
      </c>
      <c r="Q5537" s="2" t="b">
        <f>FALSE()</f>
        <v>0</v>
      </c>
      <c r="R5537">
        <v>0</v>
      </c>
    </row>
    <row r="5538" spans="1:18" x14ac:dyDescent="0.25">
      <c r="A5538">
        <v>205537</v>
      </c>
      <c r="B5538">
        <v>53808</v>
      </c>
      <c r="C5538" t="s">
        <v>18</v>
      </c>
      <c r="D5538">
        <v>1095.0899999999999</v>
      </c>
      <c r="E5538">
        <v>2564</v>
      </c>
      <c r="F5538">
        <v>0</v>
      </c>
      <c r="G5538">
        <v>2</v>
      </c>
      <c r="H5538">
        <v>0</v>
      </c>
      <c r="I5538" t="s">
        <v>19</v>
      </c>
      <c r="J5538">
        <v>0</v>
      </c>
      <c r="K5538">
        <v>29</v>
      </c>
      <c r="L5538" t="s">
        <v>20</v>
      </c>
      <c r="M5538" t="s">
        <v>25</v>
      </c>
      <c r="N5538" t="s">
        <v>30</v>
      </c>
      <c r="O5538" t="s">
        <v>23</v>
      </c>
      <c r="P5538">
        <v>0.6</v>
      </c>
      <c r="Q5538" s="2" t="b">
        <f>FALSE()</f>
        <v>0</v>
      </c>
      <c r="R5538">
        <v>0</v>
      </c>
    </row>
    <row r="5539" spans="1:18" x14ac:dyDescent="0.25">
      <c r="A5539">
        <v>205538</v>
      </c>
      <c r="B5539">
        <v>53673</v>
      </c>
      <c r="C5539" t="s">
        <v>18</v>
      </c>
      <c r="D5539">
        <v>1747.13</v>
      </c>
      <c r="E5539">
        <v>2552</v>
      </c>
      <c r="F5539">
        <v>0</v>
      </c>
      <c r="G5539">
        <v>4</v>
      </c>
      <c r="H5539">
        <v>1</v>
      </c>
      <c r="I5539" t="s">
        <v>33</v>
      </c>
      <c r="J5539">
        <v>0</v>
      </c>
      <c r="K5539">
        <v>21</v>
      </c>
      <c r="L5539" t="s">
        <v>24</v>
      </c>
      <c r="M5539" t="s">
        <v>37</v>
      </c>
      <c r="N5539" t="s">
        <v>30</v>
      </c>
      <c r="O5539" t="s">
        <v>27</v>
      </c>
      <c r="P5539">
        <v>2.52</v>
      </c>
      <c r="Q5539" s="2" t="b">
        <f>FALSE()</f>
        <v>0</v>
      </c>
      <c r="R5539">
        <v>0</v>
      </c>
    </row>
    <row r="5540" spans="1:18" x14ac:dyDescent="0.25">
      <c r="A5540">
        <v>205539</v>
      </c>
      <c r="B5540">
        <v>54660</v>
      </c>
      <c r="C5540" t="s">
        <v>28</v>
      </c>
      <c r="D5540">
        <v>1126.29</v>
      </c>
      <c r="E5540">
        <v>1967</v>
      </c>
      <c r="F5540">
        <v>1</v>
      </c>
      <c r="G5540">
        <v>0</v>
      </c>
      <c r="H5540">
        <v>1</v>
      </c>
      <c r="I5540" t="s">
        <v>32</v>
      </c>
      <c r="J5540">
        <v>0</v>
      </c>
      <c r="K5540">
        <v>74</v>
      </c>
      <c r="L5540" t="s">
        <v>20</v>
      </c>
      <c r="M5540" t="s">
        <v>35</v>
      </c>
      <c r="N5540" t="s">
        <v>22</v>
      </c>
      <c r="O5540" t="s">
        <v>27</v>
      </c>
      <c r="P5540">
        <v>0.35</v>
      </c>
      <c r="Q5540" s="2" t="b">
        <f>FALSE()</f>
        <v>0</v>
      </c>
      <c r="R5540">
        <v>0</v>
      </c>
    </row>
    <row r="5541" spans="1:18" x14ac:dyDescent="0.25">
      <c r="A5541">
        <v>205540</v>
      </c>
      <c r="B5541">
        <v>54596</v>
      </c>
      <c r="C5541" t="s">
        <v>34</v>
      </c>
      <c r="D5541">
        <v>2562.33</v>
      </c>
      <c r="E5541">
        <v>951</v>
      </c>
      <c r="F5541">
        <v>0</v>
      </c>
      <c r="G5541">
        <v>4</v>
      </c>
      <c r="H5541">
        <v>0</v>
      </c>
      <c r="I5541" t="s">
        <v>33</v>
      </c>
      <c r="J5541">
        <v>0</v>
      </c>
      <c r="K5541">
        <v>45</v>
      </c>
      <c r="L5541" t="s">
        <v>20</v>
      </c>
      <c r="M5541" t="s">
        <v>37</v>
      </c>
      <c r="N5541" t="s">
        <v>22</v>
      </c>
      <c r="O5541" t="s">
        <v>36</v>
      </c>
      <c r="P5541">
        <v>2.89</v>
      </c>
      <c r="Q5541" s="2" t="b">
        <f>FALSE()</f>
        <v>0</v>
      </c>
      <c r="R5541">
        <v>0</v>
      </c>
    </row>
    <row r="5542" spans="1:18" x14ac:dyDescent="0.25">
      <c r="A5542">
        <v>205541</v>
      </c>
      <c r="B5542">
        <v>52489</v>
      </c>
      <c r="C5542" t="s">
        <v>34</v>
      </c>
      <c r="D5542">
        <v>866.37</v>
      </c>
      <c r="E5542">
        <v>1469</v>
      </c>
      <c r="F5542">
        <v>2</v>
      </c>
      <c r="G5542">
        <v>3</v>
      </c>
      <c r="H5542">
        <v>0</v>
      </c>
      <c r="I5542" t="s">
        <v>33</v>
      </c>
      <c r="J5542">
        <v>1</v>
      </c>
      <c r="K5542">
        <v>76</v>
      </c>
      <c r="L5542" t="s">
        <v>20</v>
      </c>
      <c r="M5542" t="s">
        <v>37</v>
      </c>
      <c r="N5542" t="s">
        <v>30</v>
      </c>
      <c r="O5542" t="s">
        <v>36</v>
      </c>
      <c r="P5542">
        <v>6.57</v>
      </c>
      <c r="Q5542" s="2" t="b">
        <f>FALSE()</f>
        <v>0</v>
      </c>
      <c r="R5542">
        <v>0</v>
      </c>
    </row>
    <row r="5543" spans="1:18" x14ac:dyDescent="0.25">
      <c r="A5543">
        <v>205542</v>
      </c>
      <c r="B5543">
        <v>53528</v>
      </c>
      <c r="C5543" t="s">
        <v>34</v>
      </c>
      <c r="D5543">
        <v>1769.6</v>
      </c>
      <c r="E5543">
        <v>1793</v>
      </c>
      <c r="F5543">
        <v>4</v>
      </c>
      <c r="G5543">
        <v>7</v>
      </c>
      <c r="H5543">
        <v>0</v>
      </c>
      <c r="I5543" t="s">
        <v>19</v>
      </c>
      <c r="J5543">
        <v>0</v>
      </c>
      <c r="K5543">
        <v>24</v>
      </c>
      <c r="L5543" t="s">
        <v>20</v>
      </c>
      <c r="M5543" t="s">
        <v>29</v>
      </c>
      <c r="N5543" t="s">
        <v>22</v>
      </c>
      <c r="O5543" t="s">
        <v>27</v>
      </c>
      <c r="P5543">
        <v>3.32</v>
      </c>
      <c r="Q5543" s="2" t="b">
        <f>FALSE()</f>
        <v>0</v>
      </c>
      <c r="R5543">
        <v>1</v>
      </c>
    </row>
    <row r="5544" spans="1:18" x14ac:dyDescent="0.25">
      <c r="A5544">
        <v>205543</v>
      </c>
      <c r="B5544">
        <v>53653</v>
      </c>
      <c r="C5544" t="s">
        <v>18</v>
      </c>
      <c r="D5544">
        <v>2625.65</v>
      </c>
      <c r="E5544">
        <v>1920</v>
      </c>
      <c r="F5544">
        <v>0</v>
      </c>
      <c r="G5544">
        <v>3</v>
      </c>
      <c r="H5544">
        <v>0</v>
      </c>
      <c r="I5544" t="s">
        <v>32</v>
      </c>
      <c r="J5544">
        <v>0</v>
      </c>
      <c r="K5544">
        <v>42</v>
      </c>
      <c r="L5544" t="s">
        <v>24</v>
      </c>
      <c r="M5544" t="s">
        <v>29</v>
      </c>
      <c r="N5544" t="s">
        <v>22</v>
      </c>
      <c r="O5544" t="s">
        <v>27</v>
      </c>
      <c r="P5544">
        <v>4.3499999999999996</v>
      </c>
      <c r="Q5544" s="2" t="b">
        <f>FALSE()</f>
        <v>0</v>
      </c>
      <c r="R5544">
        <v>0</v>
      </c>
    </row>
    <row r="5545" spans="1:18" x14ac:dyDescent="0.25">
      <c r="A5545">
        <v>205544</v>
      </c>
      <c r="B5545">
        <v>52399</v>
      </c>
      <c r="C5545" t="s">
        <v>34</v>
      </c>
      <c r="D5545">
        <v>2517.35</v>
      </c>
      <c r="E5545">
        <v>2676</v>
      </c>
      <c r="F5545">
        <v>2</v>
      </c>
      <c r="G5545">
        <v>3</v>
      </c>
      <c r="H5545">
        <v>1</v>
      </c>
      <c r="I5545" t="s">
        <v>32</v>
      </c>
      <c r="J5545">
        <v>0</v>
      </c>
      <c r="K5545">
        <v>59</v>
      </c>
      <c r="L5545" t="s">
        <v>20</v>
      </c>
      <c r="M5545" t="s">
        <v>21</v>
      </c>
      <c r="N5545" t="s">
        <v>22</v>
      </c>
      <c r="O5545" t="s">
        <v>36</v>
      </c>
      <c r="P5545">
        <v>1.94</v>
      </c>
      <c r="Q5545" s="2" t="b">
        <f>FALSE()</f>
        <v>0</v>
      </c>
      <c r="R5545">
        <v>0</v>
      </c>
    </row>
    <row r="5546" spans="1:18" x14ac:dyDescent="0.25">
      <c r="A5546">
        <v>205545</v>
      </c>
      <c r="B5546">
        <v>52549</v>
      </c>
      <c r="C5546" t="s">
        <v>18</v>
      </c>
      <c r="D5546">
        <v>552.05999999999995</v>
      </c>
      <c r="E5546">
        <v>454</v>
      </c>
      <c r="F5546">
        <v>0</v>
      </c>
      <c r="G5546">
        <v>2</v>
      </c>
      <c r="H5546">
        <v>0</v>
      </c>
      <c r="I5546" t="s">
        <v>33</v>
      </c>
      <c r="J5546">
        <v>0</v>
      </c>
      <c r="K5546">
        <v>50</v>
      </c>
      <c r="L5546" t="s">
        <v>24</v>
      </c>
      <c r="M5546" t="s">
        <v>35</v>
      </c>
      <c r="N5546" t="s">
        <v>30</v>
      </c>
      <c r="O5546" t="s">
        <v>36</v>
      </c>
      <c r="P5546">
        <v>1.89</v>
      </c>
      <c r="Q5546" s="2" t="b">
        <f>FALSE()</f>
        <v>0</v>
      </c>
      <c r="R5546">
        <v>0</v>
      </c>
    </row>
    <row r="5547" spans="1:18" x14ac:dyDescent="0.25">
      <c r="A5547">
        <v>205546</v>
      </c>
      <c r="B5547">
        <v>52961</v>
      </c>
      <c r="C5547" t="s">
        <v>18</v>
      </c>
      <c r="D5547">
        <v>8202.7099999999991</v>
      </c>
      <c r="E5547">
        <v>3512</v>
      </c>
      <c r="F5547">
        <v>0</v>
      </c>
      <c r="G5547">
        <v>2</v>
      </c>
      <c r="H5547">
        <v>0</v>
      </c>
      <c r="I5547" t="s">
        <v>19</v>
      </c>
      <c r="J5547">
        <v>0</v>
      </c>
      <c r="K5547">
        <v>71</v>
      </c>
      <c r="L5547" t="s">
        <v>20</v>
      </c>
      <c r="M5547" t="s">
        <v>37</v>
      </c>
      <c r="N5547" t="s">
        <v>30</v>
      </c>
      <c r="O5547" t="s">
        <v>36</v>
      </c>
      <c r="P5547">
        <v>0.34</v>
      </c>
      <c r="Q5547" s="2" t="b">
        <f>TRUE()</f>
        <v>1</v>
      </c>
      <c r="R5547">
        <v>1</v>
      </c>
    </row>
    <row r="5548" spans="1:18" x14ac:dyDescent="0.25">
      <c r="A5548">
        <v>205547</v>
      </c>
      <c r="B5548">
        <v>52229</v>
      </c>
      <c r="C5548" t="s">
        <v>34</v>
      </c>
      <c r="D5548">
        <v>1767.16</v>
      </c>
      <c r="E5548">
        <v>2524</v>
      </c>
      <c r="F5548">
        <v>3</v>
      </c>
      <c r="G5548">
        <v>3</v>
      </c>
      <c r="H5548">
        <v>0</v>
      </c>
      <c r="I5548" t="s">
        <v>33</v>
      </c>
      <c r="J5548">
        <v>0</v>
      </c>
      <c r="K5548">
        <v>56</v>
      </c>
      <c r="L5548" t="s">
        <v>20</v>
      </c>
      <c r="M5548" t="s">
        <v>31</v>
      </c>
      <c r="N5548" t="s">
        <v>30</v>
      </c>
      <c r="O5548" t="s">
        <v>27</v>
      </c>
      <c r="P5548">
        <v>1.55</v>
      </c>
      <c r="Q5548" s="2" t="b">
        <f>FALSE()</f>
        <v>0</v>
      </c>
      <c r="R5548">
        <v>1</v>
      </c>
    </row>
    <row r="5549" spans="1:18" x14ac:dyDescent="0.25">
      <c r="A5549">
        <v>205548</v>
      </c>
      <c r="B5549">
        <v>53938</v>
      </c>
      <c r="C5549" t="s">
        <v>18</v>
      </c>
      <c r="D5549">
        <v>545.14</v>
      </c>
      <c r="E5549">
        <v>2225</v>
      </c>
      <c r="F5549">
        <v>1</v>
      </c>
      <c r="G5549">
        <v>4</v>
      </c>
      <c r="H5549">
        <v>0</v>
      </c>
      <c r="I5549" t="s">
        <v>32</v>
      </c>
      <c r="J5549">
        <v>0</v>
      </c>
      <c r="K5549">
        <v>74</v>
      </c>
      <c r="L5549" t="s">
        <v>24</v>
      </c>
      <c r="M5549" t="s">
        <v>29</v>
      </c>
      <c r="N5549" t="s">
        <v>22</v>
      </c>
      <c r="O5549" t="s">
        <v>27</v>
      </c>
      <c r="P5549">
        <v>0.62</v>
      </c>
      <c r="Q5549" s="2" t="b">
        <f>FALSE()</f>
        <v>0</v>
      </c>
      <c r="R5549">
        <v>0</v>
      </c>
    </row>
    <row r="5550" spans="1:18" x14ac:dyDescent="0.25">
      <c r="A5550">
        <v>205549</v>
      </c>
      <c r="B5550">
        <v>50418</v>
      </c>
      <c r="C5550" t="s">
        <v>18</v>
      </c>
      <c r="D5550">
        <v>4492.55</v>
      </c>
      <c r="E5550">
        <v>2183</v>
      </c>
      <c r="F5550">
        <v>1</v>
      </c>
      <c r="G5550">
        <v>3</v>
      </c>
      <c r="H5550">
        <v>0</v>
      </c>
      <c r="I5550" t="s">
        <v>33</v>
      </c>
      <c r="J5550">
        <v>0</v>
      </c>
      <c r="K5550">
        <v>33</v>
      </c>
      <c r="L5550" t="s">
        <v>38</v>
      </c>
      <c r="M5550" t="s">
        <v>21</v>
      </c>
      <c r="N5550" t="s">
        <v>22</v>
      </c>
      <c r="O5550" t="s">
        <v>36</v>
      </c>
      <c r="P5550">
        <v>0.96</v>
      </c>
      <c r="Q5550" s="2" t="b">
        <f>FALSE()</f>
        <v>0</v>
      </c>
      <c r="R5550">
        <v>1</v>
      </c>
    </row>
    <row r="5551" spans="1:18" x14ac:dyDescent="0.25">
      <c r="A5551">
        <v>205550</v>
      </c>
      <c r="B5551">
        <v>53026</v>
      </c>
      <c r="C5551" t="s">
        <v>34</v>
      </c>
      <c r="D5551">
        <v>4002.93</v>
      </c>
      <c r="E5551">
        <v>121</v>
      </c>
      <c r="F5551">
        <v>2</v>
      </c>
      <c r="G5551">
        <v>4</v>
      </c>
      <c r="H5551">
        <v>0</v>
      </c>
      <c r="I5551" t="s">
        <v>33</v>
      </c>
      <c r="J5551">
        <v>0</v>
      </c>
      <c r="K5551">
        <v>21</v>
      </c>
      <c r="L5551" t="s">
        <v>20</v>
      </c>
      <c r="M5551" t="s">
        <v>29</v>
      </c>
      <c r="N5551" t="s">
        <v>26</v>
      </c>
      <c r="O5551" t="s">
        <v>36</v>
      </c>
      <c r="P5551">
        <v>0.57999999999999996</v>
      </c>
      <c r="Q5551" s="2" t="b">
        <f>FALSE()</f>
        <v>0</v>
      </c>
      <c r="R5551">
        <v>1</v>
      </c>
    </row>
    <row r="5552" spans="1:18" x14ac:dyDescent="0.25">
      <c r="A5552">
        <v>205551</v>
      </c>
      <c r="B5552">
        <v>52658</v>
      </c>
      <c r="C5552" t="s">
        <v>18</v>
      </c>
      <c r="D5552">
        <v>1730.14</v>
      </c>
      <c r="E5552">
        <v>1954</v>
      </c>
      <c r="F5552">
        <v>0</v>
      </c>
      <c r="G5552">
        <v>2</v>
      </c>
      <c r="H5552">
        <v>0</v>
      </c>
      <c r="I5552" t="s">
        <v>33</v>
      </c>
      <c r="J5552">
        <v>1</v>
      </c>
      <c r="K5552">
        <v>42</v>
      </c>
      <c r="L5552" t="s">
        <v>20</v>
      </c>
      <c r="M5552" t="s">
        <v>31</v>
      </c>
      <c r="N5552" t="s">
        <v>22</v>
      </c>
      <c r="O5552" t="s">
        <v>27</v>
      </c>
      <c r="P5552">
        <v>6.31</v>
      </c>
      <c r="Q5552" s="2" t="b">
        <f>FALSE()</f>
        <v>0</v>
      </c>
      <c r="R5552">
        <v>0</v>
      </c>
    </row>
    <row r="5553" spans="1:18" x14ac:dyDescent="0.25">
      <c r="A5553">
        <v>205552</v>
      </c>
      <c r="B5553">
        <v>51143</v>
      </c>
      <c r="C5553" t="s">
        <v>34</v>
      </c>
      <c r="D5553">
        <v>3781.42</v>
      </c>
      <c r="E5553">
        <v>334</v>
      </c>
      <c r="F5553">
        <v>1</v>
      </c>
      <c r="G5553">
        <v>1</v>
      </c>
      <c r="H5553">
        <v>0</v>
      </c>
      <c r="I5553" t="s">
        <v>33</v>
      </c>
      <c r="J5553">
        <v>0</v>
      </c>
      <c r="K5553">
        <v>40</v>
      </c>
      <c r="L5553" t="s">
        <v>24</v>
      </c>
      <c r="M5553" t="s">
        <v>31</v>
      </c>
      <c r="N5553" t="s">
        <v>30</v>
      </c>
      <c r="O5553" t="s">
        <v>27</v>
      </c>
      <c r="P5553">
        <v>4.6500000000000004</v>
      </c>
      <c r="Q5553" s="2" t="b">
        <f>FALSE()</f>
        <v>0</v>
      </c>
      <c r="R5553">
        <v>1</v>
      </c>
    </row>
    <row r="5554" spans="1:18" x14ac:dyDescent="0.25">
      <c r="A5554">
        <v>205553</v>
      </c>
      <c r="B5554">
        <v>53061</v>
      </c>
      <c r="C5554" t="s">
        <v>18</v>
      </c>
      <c r="D5554">
        <v>5029.8</v>
      </c>
      <c r="E5554">
        <v>400</v>
      </c>
      <c r="F5554">
        <v>1</v>
      </c>
      <c r="G5554">
        <v>9</v>
      </c>
      <c r="H5554">
        <v>1</v>
      </c>
      <c r="I5554" t="s">
        <v>33</v>
      </c>
      <c r="J5554">
        <v>0</v>
      </c>
      <c r="K5554">
        <v>52</v>
      </c>
      <c r="L5554" t="s">
        <v>24</v>
      </c>
      <c r="M5554" t="s">
        <v>31</v>
      </c>
      <c r="N5554" t="s">
        <v>26</v>
      </c>
      <c r="O5554" t="s">
        <v>36</v>
      </c>
      <c r="P5554">
        <v>0.04</v>
      </c>
      <c r="Q5554" s="2" t="b">
        <f>FALSE()</f>
        <v>0</v>
      </c>
      <c r="R5554">
        <v>1</v>
      </c>
    </row>
    <row r="5555" spans="1:18" x14ac:dyDescent="0.25">
      <c r="A5555">
        <v>205554</v>
      </c>
      <c r="B5555">
        <v>55637</v>
      </c>
      <c r="C5555" t="s">
        <v>18</v>
      </c>
      <c r="D5555">
        <v>5196.55</v>
      </c>
      <c r="E5555">
        <v>2429</v>
      </c>
      <c r="F5555">
        <v>0</v>
      </c>
      <c r="G5555">
        <v>3</v>
      </c>
      <c r="H5555">
        <v>0</v>
      </c>
      <c r="I5555" t="s">
        <v>33</v>
      </c>
      <c r="J5555">
        <v>0</v>
      </c>
      <c r="K5555">
        <v>19</v>
      </c>
      <c r="L5555" t="s">
        <v>20</v>
      </c>
      <c r="M5555" t="s">
        <v>21</v>
      </c>
      <c r="N5555" t="s">
        <v>26</v>
      </c>
      <c r="O5555" t="s">
        <v>36</v>
      </c>
      <c r="P5555">
        <v>3.07</v>
      </c>
      <c r="Q5555" s="2" t="b">
        <f>FALSE()</f>
        <v>0</v>
      </c>
      <c r="R5555">
        <v>1</v>
      </c>
    </row>
    <row r="5556" spans="1:18" x14ac:dyDescent="0.25">
      <c r="A5556">
        <v>205555</v>
      </c>
      <c r="B5556">
        <v>54542</v>
      </c>
      <c r="C5556" t="s">
        <v>18</v>
      </c>
      <c r="D5556">
        <v>2826.35</v>
      </c>
      <c r="E5556">
        <v>384</v>
      </c>
      <c r="F5556">
        <v>1</v>
      </c>
      <c r="G5556">
        <v>7</v>
      </c>
      <c r="H5556">
        <v>1</v>
      </c>
      <c r="I5556" t="s">
        <v>33</v>
      </c>
      <c r="J5556">
        <v>0</v>
      </c>
      <c r="K5556">
        <v>55</v>
      </c>
      <c r="L5556" t="s">
        <v>20</v>
      </c>
      <c r="M5556" t="s">
        <v>29</v>
      </c>
      <c r="N5556" t="s">
        <v>26</v>
      </c>
      <c r="O5556" t="s">
        <v>27</v>
      </c>
      <c r="P5556">
        <v>1.86</v>
      </c>
      <c r="Q5556" s="2" t="b">
        <f>FALSE()</f>
        <v>0</v>
      </c>
      <c r="R5556">
        <v>1</v>
      </c>
    </row>
    <row r="5557" spans="1:18" x14ac:dyDescent="0.25">
      <c r="A5557">
        <v>205556</v>
      </c>
      <c r="B5557">
        <v>54116</v>
      </c>
      <c r="C5557" t="s">
        <v>34</v>
      </c>
      <c r="D5557">
        <v>4934.6000000000004</v>
      </c>
      <c r="E5557">
        <v>1814</v>
      </c>
      <c r="F5557">
        <v>0</v>
      </c>
      <c r="G5557">
        <v>4</v>
      </c>
      <c r="H5557">
        <v>0</v>
      </c>
      <c r="I5557" t="s">
        <v>33</v>
      </c>
      <c r="J5557">
        <v>0</v>
      </c>
      <c r="K5557">
        <v>80</v>
      </c>
      <c r="L5557" t="s">
        <v>24</v>
      </c>
      <c r="M5557" t="s">
        <v>37</v>
      </c>
      <c r="N5557" t="s">
        <v>30</v>
      </c>
      <c r="O5557" t="s">
        <v>23</v>
      </c>
      <c r="P5557">
        <v>1.75</v>
      </c>
      <c r="Q5557" s="2" t="b">
        <f>FALSE()</f>
        <v>0</v>
      </c>
      <c r="R5557">
        <v>1</v>
      </c>
    </row>
    <row r="5558" spans="1:18" x14ac:dyDescent="0.25">
      <c r="A5558">
        <v>205557</v>
      </c>
      <c r="B5558">
        <v>54613</v>
      </c>
      <c r="C5558" t="s">
        <v>18</v>
      </c>
      <c r="D5558">
        <v>2172.94</v>
      </c>
      <c r="E5558">
        <v>1823</v>
      </c>
      <c r="F5558">
        <v>1</v>
      </c>
      <c r="G5558">
        <v>5</v>
      </c>
      <c r="H5558">
        <v>0</v>
      </c>
      <c r="I5558" t="s">
        <v>19</v>
      </c>
      <c r="J5558">
        <v>0</v>
      </c>
      <c r="K5558">
        <v>51</v>
      </c>
      <c r="L5558" t="s">
        <v>24</v>
      </c>
      <c r="M5558" t="s">
        <v>35</v>
      </c>
      <c r="N5558" t="s">
        <v>30</v>
      </c>
      <c r="O5558" t="s">
        <v>27</v>
      </c>
      <c r="P5558">
        <v>4.59</v>
      </c>
      <c r="Q5558" s="2" t="b">
        <f>FALSE()</f>
        <v>0</v>
      </c>
      <c r="R5558">
        <v>0</v>
      </c>
    </row>
    <row r="5559" spans="1:18" x14ac:dyDescent="0.25">
      <c r="A5559">
        <v>205558</v>
      </c>
      <c r="B5559">
        <v>55005</v>
      </c>
      <c r="C5559" t="s">
        <v>34</v>
      </c>
      <c r="D5559">
        <v>2528.64</v>
      </c>
      <c r="E5559">
        <v>1441</v>
      </c>
      <c r="F5559">
        <v>1</v>
      </c>
      <c r="G5559">
        <v>1</v>
      </c>
      <c r="H5559">
        <v>0</v>
      </c>
      <c r="I5559" t="s">
        <v>33</v>
      </c>
      <c r="J5559">
        <v>0</v>
      </c>
      <c r="K5559">
        <v>28</v>
      </c>
      <c r="L5559" t="s">
        <v>24</v>
      </c>
      <c r="M5559" t="s">
        <v>37</v>
      </c>
      <c r="N5559" t="s">
        <v>22</v>
      </c>
      <c r="O5559" t="s">
        <v>27</v>
      </c>
      <c r="P5559">
        <v>4.8</v>
      </c>
      <c r="Q5559" s="2" t="b">
        <f>FALSE()</f>
        <v>0</v>
      </c>
      <c r="R5559">
        <v>0</v>
      </c>
    </row>
    <row r="5560" spans="1:18" x14ac:dyDescent="0.25">
      <c r="A5560">
        <v>205559</v>
      </c>
      <c r="B5560">
        <v>54221</v>
      </c>
      <c r="C5560" t="s">
        <v>28</v>
      </c>
      <c r="D5560">
        <v>2585.9499999999998</v>
      </c>
      <c r="E5560">
        <v>1397</v>
      </c>
      <c r="F5560">
        <v>0</v>
      </c>
      <c r="G5560">
        <v>4</v>
      </c>
      <c r="H5560">
        <v>0</v>
      </c>
      <c r="I5560" t="s">
        <v>32</v>
      </c>
      <c r="J5560">
        <v>1</v>
      </c>
      <c r="K5560">
        <v>76</v>
      </c>
      <c r="L5560" t="s">
        <v>20</v>
      </c>
      <c r="M5560" t="s">
        <v>29</v>
      </c>
      <c r="N5560" t="s">
        <v>26</v>
      </c>
      <c r="O5560" t="s">
        <v>27</v>
      </c>
      <c r="P5560">
        <v>3.51</v>
      </c>
      <c r="Q5560" s="2" t="b">
        <f>FALSE()</f>
        <v>0</v>
      </c>
      <c r="R5560">
        <v>0</v>
      </c>
    </row>
    <row r="5561" spans="1:18" x14ac:dyDescent="0.25">
      <c r="A5561">
        <v>205560</v>
      </c>
      <c r="B5561">
        <v>55752</v>
      </c>
      <c r="C5561" t="s">
        <v>28</v>
      </c>
      <c r="D5561">
        <v>1359.07</v>
      </c>
      <c r="E5561">
        <v>2437</v>
      </c>
      <c r="F5561">
        <v>0</v>
      </c>
      <c r="G5561">
        <v>6</v>
      </c>
      <c r="H5561">
        <v>0</v>
      </c>
      <c r="I5561" t="s">
        <v>32</v>
      </c>
      <c r="J5561">
        <v>1</v>
      </c>
      <c r="K5561">
        <v>78</v>
      </c>
      <c r="L5561" t="s">
        <v>24</v>
      </c>
      <c r="M5561" t="s">
        <v>25</v>
      </c>
      <c r="N5561" t="s">
        <v>30</v>
      </c>
      <c r="O5561" t="s">
        <v>23</v>
      </c>
      <c r="P5561">
        <v>9.74</v>
      </c>
      <c r="Q5561" s="2" t="b">
        <f>FALSE()</f>
        <v>0</v>
      </c>
      <c r="R5561">
        <v>0</v>
      </c>
    </row>
    <row r="5562" spans="1:18" x14ac:dyDescent="0.25">
      <c r="A5562">
        <v>205561</v>
      </c>
      <c r="B5562">
        <v>52421</v>
      </c>
      <c r="C5562" t="s">
        <v>18</v>
      </c>
      <c r="D5562">
        <v>1624.84</v>
      </c>
      <c r="E5562">
        <v>737</v>
      </c>
      <c r="F5562">
        <v>0</v>
      </c>
      <c r="G5562">
        <v>4</v>
      </c>
      <c r="H5562">
        <v>1</v>
      </c>
      <c r="I5562" t="s">
        <v>19</v>
      </c>
      <c r="J5562">
        <v>0</v>
      </c>
      <c r="K5562">
        <v>77</v>
      </c>
      <c r="L5562" t="s">
        <v>38</v>
      </c>
      <c r="M5562" t="s">
        <v>37</v>
      </c>
      <c r="N5562" t="s">
        <v>30</v>
      </c>
      <c r="O5562" t="s">
        <v>36</v>
      </c>
      <c r="P5562">
        <v>0.53</v>
      </c>
      <c r="Q5562" s="2" t="b">
        <f>FALSE()</f>
        <v>0</v>
      </c>
      <c r="R5562">
        <v>0</v>
      </c>
    </row>
    <row r="5563" spans="1:18" x14ac:dyDescent="0.25">
      <c r="A5563">
        <v>205562</v>
      </c>
      <c r="B5563">
        <v>50436</v>
      </c>
      <c r="C5563" t="s">
        <v>34</v>
      </c>
      <c r="D5563">
        <v>2393.48</v>
      </c>
      <c r="E5563">
        <v>2542</v>
      </c>
      <c r="F5563">
        <v>2</v>
      </c>
      <c r="G5563">
        <v>3</v>
      </c>
      <c r="H5563">
        <v>0</v>
      </c>
      <c r="I5563" t="s">
        <v>33</v>
      </c>
      <c r="J5563">
        <v>0</v>
      </c>
      <c r="K5563">
        <v>51</v>
      </c>
      <c r="L5563" t="s">
        <v>20</v>
      </c>
      <c r="M5563" t="s">
        <v>35</v>
      </c>
      <c r="N5563" t="s">
        <v>22</v>
      </c>
      <c r="O5563" t="s">
        <v>27</v>
      </c>
      <c r="P5563">
        <v>2</v>
      </c>
      <c r="Q5563" s="2" t="b">
        <f>FALSE()</f>
        <v>0</v>
      </c>
      <c r="R5563">
        <v>0</v>
      </c>
    </row>
    <row r="5564" spans="1:18" x14ac:dyDescent="0.25">
      <c r="A5564">
        <v>205563</v>
      </c>
      <c r="B5564">
        <v>54476</v>
      </c>
      <c r="C5564" t="s">
        <v>34</v>
      </c>
      <c r="D5564">
        <v>3090.49</v>
      </c>
      <c r="E5564">
        <v>1005</v>
      </c>
      <c r="F5564">
        <v>1</v>
      </c>
      <c r="G5564">
        <v>2</v>
      </c>
      <c r="H5564">
        <v>1</v>
      </c>
      <c r="I5564" t="s">
        <v>32</v>
      </c>
      <c r="J5564">
        <v>0</v>
      </c>
      <c r="K5564">
        <v>27</v>
      </c>
      <c r="L5564" t="s">
        <v>24</v>
      </c>
      <c r="M5564" t="s">
        <v>25</v>
      </c>
      <c r="N5564" t="s">
        <v>30</v>
      </c>
      <c r="O5564" t="s">
        <v>36</v>
      </c>
      <c r="P5564">
        <v>0.82</v>
      </c>
      <c r="Q5564" s="2" t="b">
        <f>FALSE()</f>
        <v>0</v>
      </c>
      <c r="R5564">
        <v>0</v>
      </c>
    </row>
    <row r="5565" spans="1:18" x14ac:dyDescent="0.25">
      <c r="A5565">
        <v>205564</v>
      </c>
      <c r="B5565">
        <v>50681</v>
      </c>
      <c r="C5565" t="s">
        <v>18</v>
      </c>
      <c r="D5565">
        <v>1989.73</v>
      </c>
      <c r="E5565">
        <v>204</v>
      </c>
      <c r="F5565">
        <v>0</v>
      </c>
      <c r="G5565">
        <v>5</v>
      </c>
      <c r="H5565">
        <v>0</v>
      </c>
      <c r="I5565" t="s">
        <v>33</v>
      </c>
      <c r="J5565">
        <v>0</v>
      </c>
      <c r="K5565">
        <v>22</v>
      </c>
      <c r="L5565" t="s">
        <v>20</v>
      </c>
      <c r="M5565" t="s">
        <v>35</v>
      </c>
      <c r="N5565" t="s">
        <v>30</v>
      </c>
      <c r="O5565" t="s">
        <v>27</v>
      </c>
      <c r="P5565">
        <v>3.25</v>
      </c>
      <c r="Q5565" s="2" t="b">
        <f>FALSE()</f>
        <v>0</v>
      </c>
      <c r="R5565">
        <v>0</v>
      </c>
    </row>
    <row r="5566" spans="1:18" x14ac:dyDescent="0.25">
      <c r="A5566">
        <v>205565</v>
      </c>
      <c r="B5566">
        <v>51912</v>
      </c>
      <c r="C5566" t="s">
        <v>34</v>
      </c>
      <c r="D5566">
        <v>2063.12</v>
      </c>
      <c r="E5566">
        <v>2837</v>
      </c>
      <c r="F5566">
        <v>1</v>
      </c>
      <c r="G5566">
        <v>5</v>
      </c>
      <c r="H5566">
        <v>0</v>
      </c>
      <c r="I5566" t="s">
        <v>19</v>
      </c>
      <c r="J5566">
        <v>0</v>
      </c>
      <c r="K5566">
        <v>70</v>
      </c>
      <c r="L5566" t="s">
        <v>20</v>
      </c>
      <c r="M5566" t="s">
        <v>25</v>
      </c>
      <c r="N5566" t="s">
        <v>22</v>
      </c>
      <c r="O5566" t="s">
        <v>23</v>
      </c>
      <c r="P5566">
        <v>1.92</v>
      </c>
      <c r="Q5566" s="2" t="b">
        <f>FALSE()</f>
        <v>0</v>
      </c>
      <c r="R5566">
        <v>0</v>
      </c>
    </row>
    <row r="5567" spans="1:18" x14ac:dyDescent="0.25">
      <c r="A5567">
        <v>205566</v>
      </c>
      <c r="B5567">
        <v>55303</v>
      </c>
      <c r="C5567" t="s">
        <v>18</v>
      </c>
      <c r="D5567">
        <v>1563.2</v>
      </c>
      <c r="E5567">
        <v>1805</v>
      </c>
      <c r="F5567">
        <v>0</v>
      </c>
      <c r="G5567">
        <v>3</v>
      </c>
      <c r="H5567">
        <v>0</v>
      </c>
      <c r="I5567" t="s">
        <v>33</v>
      </c>
      <c r="J5567">
        <v>0</v>
      </c>
      <c r="K5567">
        <v>26</v>
      </c>
      <c r="L5567" t="s">
        <v>24</v>
      </c>
      <c r="M5567" t="s">
        <v>29</v>
      </c>
      <c r="N5567" t="s">
        <v>26</v>
      </c>
      <c r="O5567" t="s">
        <v>36</v>
      </c>
      <c r="P5567">
        <v>1.5</v>
      </c>
      <c r="Q5567" s="2" t="b">
        <f>FALSE()</f>
        <v>0</v>
      </c>
      <c r="R5567">
        <v>0</v>
      </c>
    </row>
    <row r="5568" spans="1:18" x14ac:dyDescent="0.25">
      <c r="A5568">
        <v>205567</v>
      </c>
      <c r="B5568">
        <v>51872</v>
      </c>
      <c r="C5568" t="s">
        <v>34</v>
      </c>
      <c r="D5568">
        <v>2734.47</v>
      </c>
      <c r="E5568">
        <v>277</v>
      </c>
      <c r="F5568">
        <v>3</v>
      </c>
      <c r="G5568">
        <v>5</v>
      </c>
      <c r="H5568">
        <v>1</v>
      </c>
      <c r="I5568" t="s">
        <v>33</v>
      </c>
      <c r="J5568">
        <v>1</v>
      </c>
      <c r="K5568">
        <v>53</v>
      </c>
      <c r="L5568" t="s">
        <v>20</v>
      </c>
      <c r="M5568" t="s">
        <v>37</v>
      </c>
      <c r="N5568" t="s">
        <v>30</v>
      </c>
      <c r="O5568" t="s">
        <v>27</v>
      </c>
      <c r="P5568">
        <v>10.57</v>
      </c>
      <c r="Q5568" s="2" t="b">
        <f>FALSE()</f>
        <v>0</v>
      </c>
      <c r="R5568">
        <v>1</v>
      </c>
    </row>
    <row r="5569" spans="1:18" x14ac:dyDescent="0.25">
      <c r="A5569">
        <v>205568</v>
      </c>
      <c r="B5569">
        <v>51716</v>
      </c>
      <c r="C5569" t="s">
        <v>34</v>
      </c>
      <c r="D5569">
        <v>2305.13</v>
      </c>
      <c r="E5569">
        <v>2171</v>
      </c>
      <c r="F5569">
        <v>2</v>
      </c>
      <c r="G5569">
        <v>4</v>
      </c>
      <c r="H5569">
        <v>0</v>
      </c>
      <c r="I5569" t="s">
        <v>19</v>
      </c>
      <c r="J5569">
        <v>0</v>
      </c>
      <c r="K5569">
        <v>71</v>
      </c>
      <c r="L5569" t="s">
        <v>20</v>
      </c>
      <c r="M5569" t="s">
        <v>37</v>
      </c>
      <c r="N5569" t="s">
        <v>30</v>
      </c>
      <c r="O5569" t="s">
        <v>27</v>
      </c>
      <c r="P5569">
        <v>0.72</v>
      </c>
      <c r="Q5569" s="2" t="b">
        <f>FALSE()</f>
        <v>0</v>
      </c>
      <c r="R5569">
        <v>0</v>
      </c>
    </row>
    <row r="5570" spans="1:18" x14ac:dyDescent="0.25">
      <c r="A5570">
        <v>205569</v>
      </c>
      <c r="B5570">
        <v>50891</v>
      </c>
      <c r="C5570" t="s">
        <v>34</v>
      </c>
      <c r="D5570">
        <v>2254.2199999999998</v>
      </c>
      <c r="E5570">
        <v>3215</v>
      </c>
      <c r="F5570">
        <v>0</v>
      </c>
      <c r="G5570">
        <v>1</v>
      </c>
      <c r="H5570">
        <v>0</v>
      </c>
      <c r="I5570" t="s">
        <v>32</v>
      </c>
      <c r="J5570">
        <v>0</v>
      </c>
      <c r="K5570">
        <v>36</v>
      </c>
      <c r="L5570" t="s">
        <v>24</v>
      </c>
      <c r="M5570" t="s">
        <v>37</v>
      </c>
      <c r="N5570" t="s">
        <v>26</v>
      </c>
      <c r="O5570" t="s">
        <v>27</v>
      </c>
      <c r="P5570">
        <v>3.81</v>
      </c>
      <c r="Q5570" s="2" t="b">
        <f>FALSE()</f>
        <v>0</v>
      </c>
      <c r="R5570">
        <v>0</v>
      </c>
    </row>
    <row r="5571" spans="1:18" x14ac:dyDescent="0.25">
      <c r="A5571">
        <v>205570</v>
      </c>
      <c r="B5571">
        <v>52002</v>
      </c>
      <c r="C5571" t="s">
        <v>18</v>
      </c>
      <c r="D5571">
        <v>4124.43</v>
      </c>
      <c r="E5571">
        <v>1942</v>
      </c>
      <c r="F5571">
        <v>3</v>
      </c>
      <c r="G5571">
        <v>6</v>
      </c>
      <c r="H5571">
        <v>1</v>
      </c>
      <c r="I5571" t="s">
        <v>33</v>
      </c>
      <c r="J5571">
        <v>0</v>
      </c>
      <c r="K5571">
        <v>20</v>
      </c>
      <c r="L5571" t="s">
        <v>24</v>
      </c>
      <c r="M5571" t="s">
        <v>21</v>
      </c>
      <c r="N5571" t="s">
        <v>26</v>
      </c>
      <c r="O5571" t="s">
        <v>27</v>
      </c>
      <c r="P5571">
        <v>0.46</v>
      </c>
      <c r="Q5571" s="2" t="b">
        <f>FALSE()</f>
        <v>0</v>
      </c>
      <c r="R5571">
        <v>1</v>
      </c>
    </row>
    <row r="5572" spans="1:18" x14ac:dyDescent="0.25">
      <c r="A5572">
        <v>205571</v>
      </c>
      <c r="B5572">
        <v>51237</v>
      </c>
      <c r="C5572" t="s">
        <v>28</v>
      </c>
      <c r="D5572">
        <v>2995.78</v>
      </c>
      <c r="E5572">
        <v>1862</v>
      </c>
      <c r="F5572">
        <v>2</v>
      </c>
      <c r="G5572">
        <v>2</v>
      </c>
      <c r="H5572">
        <v>0</v>
      </c>
      <c r="I5572" t="s">
        <v>33</v>
      </c>
      <c r="J5572">
        <v>0</v>
      </c>
      <c r="K5572">
        <v>18</v>
      </c>
      <c r="L5572" t="s">
        <v>20</v>
      </c>
      <c r="M5572" t="s">
        <v>31</v>
      </c>
      <c r="N5572" t="s">
        <v>30</v>
      </c>
      <c r="O5572" t="s">
        <v>36</v>
      </c>
      <c r="P5572">
        <v>4.13</v>
      </c>
      <c r="Q5572" s="2" t="b">
        <f>FALSE()</f>
        <v>0</v>
      </c>
      <c r="R5572">
        <v>0</v>
      </c>
    </row>
    <row r="5573" spans="1:18" x14ac:dyDescent="0.25">
      <c r="A5573">
        <v>205572</v>
      </c>
      <c r="B5573">
        <v>52371</v>
      </c>
      <c r="C5573" t="s">
        <v>18</v>
      </c>
      <c r="D5573">
        <v>2575.9699999999998</v>
      </c>
      <c r="E5573">
        <v>98</v>
      </c>
      <c r="F5573">
        <v>2</v>
      </c>
      <c r="G5573">
        <v>1</v>
      </c>
      <c r="H5573">
        <v>0</v>
      </c>
      <c r="I5573" t="s">
        <v>19</v>
      </c>
      <c r="J5573">
        <v>0</v>
      </c>
      <c r="K5573">
        <v>74</v>
      </c>
      <c r="L5573" t="s">
        <v>20</v>
      </c>
      <c r="M5573" t="s">
        <v>35</v>
      </c>
      <c r="N5573" t="s">
        <v>22</v>
      </c>
      <c r="O5573" t="s">
        <v>36</v>
      </c>
      <c r="P5573">
        <v>6.31</v>
      </c>
      <c r="Q5573" s="2" t="b">
        <f>FALSE()</f>
        <v>0</v>
      </c>
      <c r="R5573">
        <v>0</v>
      </c>
    </row>
    <row r="5574" spans="1:18" x14ac:dyDescent="0.25">
      <c r="A5574">
        <v>205573</v>
      </c>
      <c r="B5574">
        <v>50275</v>
      </c>
      <c r="C5574" t="s">
        <v>18</v>
      </c>
      <c r="D5574">
        <v>2213.2800000000002</v>
      </c>
      <c r="E5574">
        <v>3110</v>
      </c>
      <c r="F5574">
        <v>1</v>
      </c>
      <c r="G5574">
        <v>9</v>
      </c>
      <c r="H5574">
        <v>1</v>
      </c>
      <c r="I5574" t="s">
        <v>32</v>
      </c>
      <c r="J5574">
        <v>1</v>
      </c>
      <c r="K5574">
        <v>60</v>
      </c>
      <c r="L5574" t="s">
        <v>24</v>
      </c>
      <c r="M5574" t="s">
        <v>29</v>
      </c>
      <c r="N5574" t="s">
        <v>26</v>
      </c>
      <c r="O5574" t="s">
        <v>23</v>
      </c>
      <c r="P5574">
        <v>3.19</v>
      </c>
      <c r="Q5574" s="2" t="b">
        <f>FALSE()</f>
        <v>0</v>
      </c>
      <c r="R5574">
        <v>1</v>
      </c>
    </row>
    <row r="5575" spans="1:18" x14ac:dyDescent="0.25">
      <c r="A5575">
        <v>205574</v>
      </c>
      <c r="B5575">
        <v>51883</v>
      </c>
      <c r="C5575" t="s">
        <v>34</v>
      </c>
      <c r="D5575">
        <v>2190.56</v>
      </c>
      <c r="E5575">
        <v>472</v>
      </c>
      <c r="F5575">
        <v>0</v>
      </c>
      <c r="G5575">
        <v>4</v>
      </c>
      <c r="H5575">
        <v>0</v>
      </c>
      <c r="I5575" t="s">
        <v>33</v>
      </c>
      <c r="J5575">
        <v>0</v>
      </c>
      <c r="K5575">
        <v>42</v>
      </c>
      <c r="L5575" t="s">
        <v>24</v>
      </c>
      <c r="M5575" t="s">
        <v>35</v>
      </c>
      <c r="N5575" t="s">
        <v>22</v>
      </c>
      <c r="O5575" t="s">
        <v>36</v>
      </c>
      <c r="P5575">
        <v>4.67</v>
      </c>
      <c r="Q5575" s="2" t="b">
        <f>FALSE()</f>
        <v>0</v>
      </c>
      <c r="R5575">
        <v>0</v>
      </c>
    </row>
    <row r="5576" spans="1:18" x14ac:dyDescent="0.25">
      <c r="A5576">
        <v>205575</v>
      </c>
      <c r="B5576">
        <v>51564</v>
      </c>
      <c r="C5576" t="s">
        <v>18</v>
      </c>
      <c r="D5576">
        <v>605.79</v>
      </c>
      <c r="E5576">
        <v>695</v>
      </c>
      <c r="F5576">
        <v>0</v>
      </c>
      <c r="G5576">
        <v>4</v>
      </c>
      <c r="H5576">
        <v>1</v>
      </c>
      <c r="I5576" t="s">
        <v>19</v>
      </c>
      <c r="J5576">
        <v>0</v>
      </c>
      <c r="K5576">
        <v>69</v>
      </c>
      <c r="L5576" t="s">
        <v>24</v>
      </c>
      <c r="M5576" t="s">
        <v>37</v>
      </c>
      <c r="N5576" t="s">
        <v>30</v>
      </c>
      <c r="O5576" t="s">
        <v>36</v>
      </c>
      <c r="P5576">
        <v>3.16</v>
      </c>
      <c r="Q5576" s="2" t="b">
        <f>FALSE()</f>
        <v>0</v>
      </c>
      <c r="R5576">
        <v>0</v>
      </c>
    </row>
    <row r="5577" spans="1:18" x14ac:dyDescent="0.25">
      <c r="A5577">
        <v>205576</v>
      </c>
      <c r="B5577">
        <v>50715</v>
      </c>
      <c r="C5577" t="s">
        <v>34</v>
      </c>
      <c r="D5577">
        <v>2830.24</v>
      </c>
      <c r="E5577">
        <v>1905</v>
      </c>
      <c r="F5577">
        <v>3</v>
      </c>
      <c r="G5577">
        <v>6</v>
      </c>
      <c r="H5577">
        <v>0</v>
      </c>
      <c r="I5577" t="s">
        <v>33</v>
      </c>
      <c r="J5577">
        <v>1</v>
      </c>
      <c r="K5577">
        <v>28</v>
      </c>
      <c r="L5577" t="s">
        <v>24</v>
      </c>
      <c r="M5577" t="s">
        <v>29</v>
      </c>
      <c r="N5577" t="s">
        <v>22</v>
      </c>
      <c r="O5577" t="s">
        <v>27</v>
      </c>
      <c r="P5577">
        <v>6.08</v>
      </c>
      <c r="Q5577" s="2" t="b">
        <f>FALSE()</f>
        <v>0</v>
      </c>
      <c r="R5577">
        <v>1</v>
      </c>
    </row>
    <row r="5578" spans="1:18" x14ac:dyDescent="0.25">
      <c r="A5578">
        <v>205577</v>
      </c>
      <c r="B5578">
        <v>51517</v>
      </c>
      <c r="C5578" t="s">
        <v>18</v>
      </c>
      <c r="D5578">
        <v>1607.23</v>
      </c>
      <c r="E5578">
        <v>3327</v>
      </c>
      <c r="F5578">
        <v>1</v>
      </c>
      <c r="G5578">
        <v>2</v>
      </c>
      <c r="H5578">
        <v>0</v>
      </c>
      <c r="I5578" t="s">
        <v>33</v>
      </c>
      <c r="J5578">
        <v>0</v>
      </c>
      <c r="K5578">
        <v>76</v>
      </c>
      <c r="L5578" t="s">
        <v>24</v>
      </c>
      <c r="M5578" t="s">
        <v>25</v>
      </c>
      <c r="N5578" t="s">
        <v>22</v>
      </c>
      <c r="O5578" t="s">
        <v>36</v>
      </c>
      <c r="P5578">
        <v>0.36</v>
      </c>
      <c r="Q5578" s="2" t="b">
        <f>FALSE()</f>
        <v>0</v>
      </c>
      <c r="R5578">
        <v>0</v>
      </c>
    </row>
    <row r="5579" spans="1:18" x14ac:dyDescent="0.25">
      <c r="A5579">
        <v>205578</v>
      </c>
      <c r="B5579">
        <v>54691</v>
      </c>
      <c r="C5579" t="s">
        <v>18</v>
      </c>
      <c r="D5579">
        <v>1892.96</v>
      </c>
      <c r="E5579">
        <v>2182</v>
      </c>
      <c r="F5579">
        <v>1</v>
      </c>
      <c r="G5579">
        <v>10</v>
      </c>
      <c r="H5579">
        <v>0</v>
      </c>
      <c r="I5579" t="s">
        <v>33</v>
      </c>
      <c r="J5579">
        <v>0</v>
      </c>
      <c r="K5579">
        <v>21</v>
      </c>
      <c r="L5579" t="s">
        <v>20</v>
      </c>
      <c r="M5579" t="s">
        <v>31</v>
      </c>
      <c r="N5579" t="s">
        <v>30</v>
      </c>
      <c r="O5579" t="s">
        <v>23</v>
      </c>
      <c r="P5579">
        <v>7.0000000000000007E-2</v>
      </c>
      <c r="Q5579" s="2" t="b">
        <f>FALSE()</f>
        <v>0</v>
      </c>
      <c r="R5579">
        <v>1</v>
      </c>
    </row>
    <row r="5580" spans="1:18" x14ac:dyDescent="0.25">
      <c r="A5580">
        <v>205579</v>
      </c>
      <c r="B5580">
        <v>51279</v>
      </c>
      <c r="C5580" t="s">
        <v>18</v>
      </c>
      <c r="D5580">
        <v>4207.6899999999996</v>
      </c>
      <c r="E5580">
        <v>3559</v>
      </c>
      <c r="F5580">
        <v>0</v>
      </c>
      <c r="G5580">
        <v>8</v>
      </c>
      <c r="H5580">
        <v>0</v>
      </c>
      <c r="I5580" t="s">
        <v>19</v>
      </c>
      <c r="J5580">
        <v>0</v>
      </c>
      <c r="K5580">
        <v>51</v>
      </c>
      <c r="L5580" t="s">
        <v>24</v>
      </c>
      <c r="M5580" t="s">
        <v>35</v>
      </c>
      <c r="N5580" t="s">
        <v>22</v>
      </c>
      <c r="O5580" t="s">
        <v>27</v>
      </c>
      <c r="P5580">
        <v>7.2</v>
      </c>
      <c r="Q5580" s="2" t="b">
        <f>FALSE()</f>
        <v>0</v>
      </c>
      <c r="R5580">
        <v>1</v>
      </c>
    </row>
    <row r="5581" spans="1:18" x14ac:dyDescent="0.25">
      <c r="A5581">
        <v>205580</v>
      </c>
      <c r="B5581">
        <v>55553</v>
      </c>
      <c r="C5581" t="s">
        <v>18</v>
      </c>
      <c r="D5581">
        <v>4924.2</v>
      </c>
      <c r="E5581">
        <v>1818</v>
      </c>
      <c r="F5581">
        <v>0</v>
      </c>
      <c r="G5581">
        <v>4</v>
      </c>
      <c r="H5581">
        <v>0</v>
      </c>
      <c r="I5581" t="s">
        <v>19</v>
      </c>
      <c r="J5581">
        <v>0</v>
      </c>
      <c r="K5581">
        <v>34</v>
      </c>
      <c r="L5581" t="s">
        <v>24</v>
      </c>
      <c r="M5581" t="s">
        <v>31</v>
      </c>
      <c r="N5581" t="s">
        <v>30</v>
      </c>
      <c r="O5581" t="s">
        <v>36</v>
      </c>
      <c r="P5581">
        <v>5.28</v>
      </c>
      <c r="Q5581" s="2" t="b">
        <f>FALSE()</f>
        <v>0</v>
      </c>
      <c r="R5581">
        <v>1</v>
      </c>
    </row>
    <row r="5582" spans="1:18" x14ac:dyDescent="0.25">
      <c r="A5582">
        <v>205581</v>
      </c>
      <c r="B5582">
        <v>52521</v>
      </c>
      <c r="C5582" t="s">
        <v>18</v>
      </c>
      <c r="D5582">
        <v>3924.34</v>
      </c>
      <c r="E5582">
        <v>2754</v>
      </c>
      <c r="F5582">
        <v>0</v>
      </c>
      <c r="G5582">
        <v>4</v>
      </c>
      <c r="H5582">
        <v>0</v>
      </c>
      <c r="I5582" t="s">
        <v>33</v>
      </c>
      <c r="J5582">
        <v>0</v>
      </c>
      <c r="K5582">
        <v>63</v>
      </c>
      <c r="L5582" t="s">
        <v>24</v>
      </c>
      <c r="M5582" t="s">
        <v>31</v>
      </c>
      <c r="N5582" t="s">
        <v>26</v>
      </c>
      <c r="O5582" t="s">
        <v>36</v>
      </c>
      <c r="P5582">
        <v>4.54</v>
      </c>
      <c r="Q5582" s="2" t="b">
        <f>FALSE()</f>
        <v>0</v>
      </c>
      <c r="R5582">
        <v>1</v>
      </c>
    </row>
    <row r="5583" spans="1:18" x14ac:dyDescent="0.25">
      <c r="A5583">
        <v>205582</v>
      </c>
      <c r="B5583">
        <v>54028</v>
      </c>
      <c r="C5583" t="s">
        <v>34</v>
      </c>
      <c r="D5583">
        <v>633.35</v>
      </c>
      <c r="E5583">
        <v>3348</v>
      </c>
      <c r="F5583">
        <v>2</v>
      </c>
      <c r="G5583">
        <v>3</v>
      </c>
      <c r="H5583">
        <v>1</v>
      </c>
      <c r="I5583" t="s">
        <v>33</v>
      </c>
      <c r="J5583">
        <v>1</v>
      </c>
      <c r="K5583">
        <v>64</v>
      </c>
      <c r="L5583" t="s">
        <v>20</v>
      </c>
      <c r="M5583" t="s">
        <v>25</v>
      </c>
      <c r="N5583" t="s">
        <v>22</v>
      </c>
      <c r="O5583" t="s">
        <v>23</v>
      </c>
      <c r="P5583">
        <v>6.03</v>
      </c>
      <c r="Q5583" s="2" t="b">
        <f>FALSE()</f>
        <v>0</v>
      </c>
      <c r="R5583">
        <v>0</v>
      </c>
    </row>
    <row r="5584" spans="1:18" x14ac:dyDescent="0.25">
      <c r="A5584">
        <v>205583</v>
      </c>
      <c r="B5584">
        <v>55241</v>
      </c>
      <c r="C5584" t="s">
        <v>34</v>
      </c>
      <c r="D5584">
        <v>5044.38</v>
      </c>
      <c r="E5584">
        <v>478</v>
      </c>
      <c r="F5584">
        <v>1</v>
      </c>
      <c r="G5584">
        <v>2</v>
      </c>
      <c r="H5584">
        <v>0</v>
      </c>
      <c r="I5584" t="s">
        <v>33</v>
      </c>
      <c r="J5584">
        <v>0</v>
      </c>
      <c r="K5584">
        <v>38</v>
      </c>
      <c r="L5584" t="s">
        <v>20</v>
      </c>
      <c r="M5584" t="s">
        <v>37</v>
      </c>
      <c r="N5584" t="s">
        <v>30</v>
      </c>
      <c r="O5584" t="s">
        <v>27</v>
      </c>
      <c r="P5584">
        <v>0.88</v>
      </c>
      <c r="Q5584" s="2" t="b">
        <f>FALSE()</f>
        <v>0</v>
      </c>
      <c r="R5584">
        <v>1</v>
      </c>
    </row>
    <row r="5585" spans="1:18" x14ac:dyDescent="0.25">
      <c r="A5585">
        <v>205584</v>
      </c>
      <c r="B5585">
        <v>54208</v>
      </c>
      <c r="C5585" t="s">
        <v>18</v>
      </c>
      <c r="D5585">
        <v>312.41000000000003</v>
      </c>
      <c r="E5585">
        <v>315</v>
      </c>
      <c r="F5585">
        <v>0</v>
      </c>
      <c r="G5585">
        <v>4</v>
      </c>
      <c r="H5585">
        <v>0</v>
      </c>
      <c r="I5585" t="s">
        <v>33</v>
      </c>
      <c r="J5585">
        <v>0</v>
      </c>
      <c r="K5585">
        <v>29</v>
      </c>
      <c r="L5585" t="s">
        <v>24</v>
      </c>
      <c r="M5585" t="s">
        <v>37</v>
      </c>
      <c r="N5585" t="s">
        <v>22</v>
      </c>
      <c r="O5585" t="s">
        <v>36</v>
      </c>
      <c r="P5585">
        <v>4.3499999999999996</v>
      </c>
      <c r="Q5585" s="2" t="b">
        <f>FALSE()</f>
        <v>0</v>
      </c>
      <c r="R5585">
        <v>0</v>
      </c>
    </row>
    <row r="5586" spans="1:18" x14ac:dyDescent="0.25">
      <c r="A5586">
        <v>205585</v>
      </c>
      <c r="B5586">
        <v>55638</v>
      </c>
      <c r="C5586" t="s">
        <v>18</v>
      </c>
      <c r="D5586">
        <v>978.73</v>
      </c>
      <c r="E5586">
        <v>1738</v>
      </c>
      <c r="F5586">
        <v>1</v>
      </c>
      <c r="G5586">
        <v>3</v>
      </c>
      <c r="H5586">
        <v>1</v>
      </c>
      <c r="I5586" t="s">
        <v>19</v>
      </c>
      <c r="J5586">
        <v>1</v>
      </c>
      <c r="K5586">
        <v>47</v>
      </c>
      <c r="L5586" t="s">
        <v>20</v>
      </c>
      <c r="M5586" t="s">
        <v>31</v>
      </c>
      <c r="N5586" t="s">
        <v>30</v>
      </c>
      <c r="O5586" t="s">
        <v>23</v>
      </c>
      <c r="P5586">
        <v>1.89</v>
      </c>
      <c r="Q5586" s="2" t="b">
        <f>FALSE()</f>
        <v>0</v>
      </c>
      <c r="R5586">
        <v>0</v>
      </c>
    </row>
    <row r="5587" spans="1:18" x14ac:dyDescent="0.25">
      <c r="A5587">
        <v>205586</v>
      </c>
      <c r="B5587">
        <v>55639</v>
      </c>
      <c r="C5587" t="s">
        <v>28</v>
      </c>
      <c r="D5587">
        <v>1294.73</v>
      </c>
      <c r="E5587">
        <v>3296</v>
      </c>
      <c r="F5587">
        <v>0</v>
      </c>
      <c r="G5587">
        <v>3</v>
      </c>
      <c r="H5587">
        <v>1</v>
      </c>
      <c r="I5587" t="s">
        <v>33</v>
      </c>
      <c r="J5587">
        <v>0</v>
      </c>
      <c r="K5587">
        <v>80</v>
      </c>
      <c r="L5587" t="s">
        <v>20</v>
      </c>
      <c r="M5587" t="s">
        <v>21</v>
      </c>
      <c r="N5587" t="s">
        <v>22</v>
      </c>
      <c r="O5587" t="s">
        <v>36</v>
      </c>
      <c r="P5587">
        <v>2.73</v>
      </c>
      <c r="Q5587" s="2" t="b">
        <f>FALSE()</f>
        <v>0</v>
      </c>
      <c r="R5587">
        <v>0</v>
      </c>
    </row>
    <row r="5588" spans="1:18" x14ac:dyDescent="0.25">
      <c r="A5588">
        <v>205587</v>
      </c>
      <c r="B5588">
        <v>55143</v>
      </c>
      <c r="C5588" t="s">
        <v>18</v>
      </c>
      <c r="D5588">
        <v>2398.4499999999998</v>
      </c>
      <c r="E5588">
        <v>3558</v>
      </c>
      <c r="F5588">
        <v>0</v>
      </c>
      <c r="G5588">
        <v>2</v>
      </c>
      <c r="H5588">
        <v>0</v>
      </c>
      <c r="I5588" t="s">
        <v>33</v>
      </c>
      <c r="J5588">
        <v>0</v>
      </c>
      <c r="K5588">
        <v>18</v>
      </c>
      <c r="L5588" t="s">
        <v>20</v>
      </c>
      <c r="M5588" t="s">
        <v>29</v>
      </c>
      <c r="N5588" t="s">
        <v>22</v>
      </c>
      <c r="O5588" t="s">
        <v>36</v>
      </c>
      <c r="P5588">
        <v>1.92</v>
      </c>
      <c r="Q5588" s="2" t="b">
        <f>FALSE()</f>
        <v>0</v>
      </c>
      <c r="R5588">
        <v>0</v>
      </c>
    </row>
    <row r="5589" spans="1:18" x14ac:dyDescent="0.25">
      <c r="A5589">
        <v>205588</v>
      </c>
      <c r="B5589">
        <v>55415</v>
      </c>
      <c r="C5589" t="s">
        <v>34</v>
      </c>
      <c r="D5589">
        <v>2658.42</v>
      </c>
      <c r="E5589">
        <v>2143</v>
      </c>
      <c r="F5589">
        <v>0</v>
      </c>
      <c r="G5589">
        <v>1</v>
      </c>
      <c r="H5589">
        <v>1</v>
      </c>
      <c r="I5589" t="s">
        <v>19</v>
      </c>
      <c r="J5589">
        <v>0</v>
      </c>
      <c r="K5589">
        <v>20</v>
      </c>
      <c r="L5589" t="s">
        <v>24</v>
      </c>
      <c r="M5589" t="s">
        <v>21</v>
      </c>
      <c r="N5589" t="s">
        <v>22</v>
      </c>
      <c r="O5589" t="s">
        <v>36</v>
      </c>
      <c r="P5589">
        <v>2.72</v>
      </c>
      <c r="Q5589" s="2" t="b">
        <f>FALSE()</f>
        <v>0</v>
      </c>
      <c r="R5589">
        <v>0</v>
      </c>
    </row>
    <row r="5590" spans="1:18" x14ac:dyDescent="0.25">
      <c r="A5590">
        <v>205589</v>
      </c>
      <c r="B5590">
        <v>51274</v>
      </c>
      <c r="C5590" t="s">
        <v>18</v>
      </c>
      <c r="D5590">
        <v>4158.79</v>
      </c>
      <c r="E5590">
        <v>244</v>
      </c>
      <c r="F5590">
        <v>0</v>
      </c>
      <c r="G5590">
        <v>4</v>
      </c>
      <c r="H5590">
        <v>0</v>
      </c>
      <c r="I5590" t="s">
        <v>32</v>
      </c>
      <c r="J5590">
        <v>0</v>
      </c>
      <c r="K5590">
        <v>78</v>
      </c>
      <c r="L5590" t="s">
        <v>20</v>
      </c>
      <c r="M5590" t="s">
        <v>35</v>
      </c>
      <c r="N5590" t="s">
        <v>30</v>
      </c>
      <c r="O5590" t="s">
        <v>27</v>
      </c>
      <c r="P5590">
        <v>10.83</v>
      </c>
      <c r="Q5590" s="2" t="b">
        <f>FALSE()</f>
        <v>0</v>
      </c>
      <c r="R5590">
        <v>1</v>
      </c>
    </row>
    <row r="5591" spans="1:18" x14ac:dyDescent="0.25">
      <c r="A5591">
        <v>205590</v>
      </c>
      <c r="B5591">
        <v>50192</v>
      </c>
      <c r="C5591" t="s">
        <v>18</v>
      </c>
      <c r="D5591">
        <v>1296.31</v>
      </c>
      <c r="E5591">
        <v>1913</v>
      </c>
      <c r="F5591">
        <v>2</v>
      </c>
      <c r="G5591">
        <v>4</v>
      </c>
      <c r="H5591">
        <v>1</v>
      </c>
      <c r="I5591" t="s">
        <v>33</v>
      </c>
      <c r="J5591">
        <v>0</v>
      </c>
      <c r="K5591">
        <v>41</v>
      </c>
      <c r="L5591" t="s">
        <v>24</v>
      </c>
      <c r="M5591" t="s">
        <v>25</v>
      </c>
      <c r="N5591" t="s">
        <v>22</v>
      </c>
      <c r="O5591" t="s">
        <v>23</v>
      </c>
      <c r="P5591">
        <v>4.4800000000000004</v>
      </c>
      <c r="Q5591" s="2" t="b">
        <f>FALSE()</f>
        <v>0</v>
      </c>
      <c r="R5591">
        <v>0</v>
      </c>
    </row>
    <row r="5592" spans="1:18" x14ac:dyDescent="0.25">
      <c r="A5592">
        <v>205591</v>
      </c>
      <c r="B5592">
        <v>52777</v>
      </c>
      <c r="C5592" t="s">
        <v>34</v>
      </c>
      <c r="D5592">
        <v>8829.49</v>
      </c>
      <c r="E5592">
        <v>2857</v>
      </c>
      <c r="F5592">
        <v>1</v>
      </c>
      <c r="G5592">
        <v>3</v>
      </c>
      <c r="H5592">
        <v>0</v>
      </c>
      <c r="I5592" t="s">
        <v>33</v>
      </c>
      <c r="J5592">
        <v>0</v>
      </c>
      <c r="K5592">
        <v>70</v>
      </c>
      <c r="L5592" t="s">
        <v>20</v>
      </c>
      <c r="M5592" t="s">
        <v>31</v>
      </c>
      <c r="N5592" t="s">
        <v>22</v>
      </c>
      <c r="O5592" t="s">
        <v>27</v>
      </c>
      <c r="P5592">
        <v>5.29</v>
      </c>
      <c r="Q5592" s="2" t="b">
        <f>TRUE()</f>
        <v>1</v>
      </c>
      <c r="R5592">
        <v>1</v>
      </c>
    </row>
    <row r="5593" spans="1:18" x14ac:dyDescent="0.25">
      <c r="A5593">
        <v>205592</v>
      </c>
      <c r="B5593">
        <v>53286</v>
      </c>
      <c r="C5593" t="s">
        <v>34</v>
      </c>
      <c r="D5593">
        <v>4015.26</v>
      </c>
      <c r="E5593">
        <v>3398</v>
      </c>
      <c r="F5593">
        <v>0</v>
      </c>
      <c r="G5593">
        <v>2</v>
      </c>
      <c r="H5593">
        <v>0</v>
      </c>
      <c r="I5593" t="s">
        <v>33</v>
      </c>
      <c r="J5593">
        <v>1</v>
      </c>
      <c r="K5593">
        <v>81</v>
      </c>
      <c r="L5593" t="s">
        <v>24</v>
      </c>
      <c r="M5593" t="s">
        <v>21</v>
      </c>
      <c r="N5593" t="s">
        <v>26</v>
      </c>
      <c r="O5593" t="s">
        <v>23</v>
      </c>
      <c r="P5593">
        <v>4.43</v>
      </c>
      <c r="Q5593" s="2" t="b">
        <f>FALSE()</f>
        <v>0</v>
      </c>
      <c r="R5593">
        <v>1</v>
      </c>
    </row>
    <row r="5594" spans="1:18" x14ac:dyDescent="0.25">
      <c r="A5594">
        <v>205593</v>
      </c>
      <c r="B5594">
        <v>51811</v>
      </c>
      <c r="C5594" t="s">
        <v>18</v>
      </c>
      <c r="D5594">
        <v>948.14</v>
      </c>
      <c r="E5594">
        <v>2059</v>
      </c>
      <c r="F5594">
        <v>1</v>
      </c>
      <c r="G5594">
        <v>3</v>
      </c>
      <c r="H5594">
        <v>0</v>
      </c>
      <c r="I5594" t="s">
        <v>19</v>
      </c>
      <c r="J5594">
        <v>1</v>
      </c>
      <c r="K5594">
        <v>31</v>
      </c>
      <c r="L5594" t="s">
        <v>38</v>
      </c>
      <c r="M5594" t="s">
        <v>37</v>
      </c>
      <c r="N5594" t="s">
        <v>22</v>
      </c>
      <c r="O5594" t="s">
        <v>36</v>
      </c>
      <c r="P5594">
        <v>8.74</v>
      </c>
      <c r="Q5594" s="2" t="b">
        <f>FALSE()</f>
        <v>0</v>
      </c>
      <c r="R5594">
        <v>0</v>
      </c>
    </row>
    <row r="5595" spans="1:18" x14ac:dyDescent="0.25">
      <c r="A5595">
        <v>205594</v>
      </c>
      <c r="B5595">
        <v>55690</v>
      </c>
      <c r="C5595" t="s">
        <v>34</v>
      </c>
      <c r="D5595">
        <v>1505.96</v>
      </c>
      <c r="E5595">
        <v>2344</v>
      </c>
      <c r="F5595">
        <v>3</v>
      </c>
      <c r="G5595">
        <v>6</v>
      </c>
      <c r="H5595">
        <v>0</v>
      </c>
      <c r="I5595" t="s">
        <v>33</v>
      </c>
      <c r="J5595">
        <v>1</v>
      </c>
      <c r="K5595">
        <v>59</v>
      </c>
      <c r="L5595" t="s">
        <v>20</v>
      </c>
      <c r="M5595" t="s">
        <v>21</v>
      </c>
      <c r="N5595" t="s">
        <v>30</v>
      </c>
      <c r="O5595" t="s">
        <v>36</v>
      </c>
      <c r="P5595">
        <v>0.41</v>
      </c>
      <c r="Q5595" s="2" t="b">
        <f>FALSE()</f>
        <v>0</v>
      </c>
      <c r="R5595">
        <v>1</v>
      </c>
    </row>
    <row r="5596" spans="1:18" x14ac:dyDescent="0.25">
      <c r="A5596">
        <v>205595</v>
      </c>
      <c r="B5596">
        <v>53414</v>
      </c>
      <c r="C5596" t="s">
        <v>34</v>
      </c>
      <c r="D5596">
        <v>1524.74</v>
      </c>
      <c r="E5596">
        <v>3550</v>
      </c>
      <c r="F5596">
        <v>1</v>
      </c>
      <c r="G5596">
        <v>6</v>
      </c>
      <c r="H5596">
        <v>0</v>
      </c>
      <c r="I5596" t="s">
        <v>33</v>
      </c>
      <c r="J5596">
        <v>0</v>
      </c>
      <c r="K5596">
        <v>49</v>
      </c>
      <c r="L5596" t="s">
        <v>24</v>
      </c>
      <c r="M5596" t="s">
        <v>31</v>
      </c>
      <c r="N5596" t="s">
        <v>30</v>
      </c>
      <c r="O5596" t="s">
        <v>27</v>
      </c>
      <c r="P5596">
        <v>0.37</v>
      </c>
      <c r="Q5596" s="2" t="b">
        <f>FALSE()</f>
        <v>0</v>
      </c>
      <c r="R5596">
        <v>0</v>
      </c>
    </row>
    <row r="5597" spans="1:18" x14ac:dyDescent="0.25">
      <c r="A5597">
        <v>205596</v>
      </c>
      <c r="B5597">
        <v>54251</v>
      </c>
      <c r="C5597" t="s">
        <v>34</v>
      </c>
      <c r="D5597">
        <v>958.25</v>
      </c>
      <c r="E5597">
        <v>483</v>
      </c>
      <c r="F5597">
        <v>1</v>
      </c>
      <c r="G5597">
        <v>4</v>
      </c>
      <c r="H5597">
        <v>1</v>
      </c>
      <c r="I5597" t="s">
        <v>33</v>
      </c>
      <c r="J5597">
        <v>0</v>
      </c>
      <c r="K5597">
        <v>18</v>
      </c>
      <c r="L5597" t="s">
        <v>20</v>
      </c>
      <c r="M5597" t="s">
        <v>25</v>
      </c>
      <c r="N5597" t="s">
        <v>30</v>
      </c>
      <c r="O5597" t="s">
        <v>36</v>
      </c>
      <c r="P5597">
        <v>3.69</v>
      </c>
      <c r="Q5597" s="2" t="b">
        <f>FALSE()</f>
        <v>0</v>
      </c>
      <c r="R5597">
        <v>0</v>
      </c>
    </row>
    <row r="5598" spans="1:18" x14ac:dyDescent="0.25">
      <c r="A5598">
        <v>205597</v>
      </c>
      <c r="B5598">
        <v>51673</v>
      </c>
      <c r="C5598" t="s">
        <v>28</v>
      </c>
      <c r="D5598">
        <v>1369.75</v>
      </c>
      <c r="E5598">
        <v>753</v>
      </c>
      <c r="F5598">
        <v>1</v>
      </c>
      <c r="G5598">
        <v>6</v>
      </c>
      <c r="H5598">
        <v>0</v>
      </c>
      <c r="I5598" t="s">
        <v>32</v>
      </c>
      <c r="J5598">
        <v>0</v>
      </c>
      <c r="K5598">
        <v>56</v>
      </c>
      <c r="L5598" t="s">
        <v>20</v>
      </c>
      <c r="M5598" t="s">
        <v>25</v>
      </c>
      <c r="N5598" t="s">
        <v>22</v>
      </c>
      <c r="O5598" t="s">
        <v>36</v>
      </c>
      <c r="P5598">
        <v>2.62</v>
      </c>
      <c r="Q5598" s="2" t="b">
        <f>FALSE()</f>
        <v>0</v>
      </c>
      <c r="R5598">
        <v>0</v>
      </c>
    </row>
    <row r="5599" spans="1:18" x14ac:dyDescent="0.25">
      <c r="A5599">
        <v>205598</v>
      </c>
      <c r="B5599">
        <v>53133</v>
      </c>
      <c r="C5599" t="s">
        <v>34</v>
      </c>
      <c r="D5599">
        <v>1156.77</v>
      </c>
      <c r="E5599">
        <v>2439</v>
      </c>
      <c r="F5599">
        <v>0</v>
      </c>
      <c r="G5599">
        <v>6</v>
      </c>
      <c r="H5599">
        <v>1</v>
      </c>
      <c r="I5599" t="s">
        <v>32</v>
      </c>
      <c r="J5599">
        <v>0</v>
      </c>
      <c r="K5599">
        <v>54</v>
      </c>
      <c r="L5599" t="s">
        <v>24</v>
      </c>
      <c r="M5599" t="s">
        <v>21</v>
      </c>
      <c r="N5599" t="s">
        <v>30</v>
      </c>
      <c r="O5599" t="s">
        <v>27</v>
      </c>
      <c r="P5599">
        <v>5.59</v>
      </c>
      <c r="Q5599" s="2" t="b">
        <f>FALSE()</f>
        <v>0</v>
      </c>
      <c r="R5599">
        <v>0</v>
      </c>
    </row>
    <row r="5600" spans="1:18" x14ac:dyDescent="0.25">
      <c r="A5600">
        <v>205599</v>
      </c>
      <c r="B5600">
        <v>55617</v>
      </c>
      <c r="C5600" t="s">
        <v>28</v>
      </c>
      <c r="D5600">
        <v>1883.42</v>
      </c>
      <c r="E5600">
        <v>2873</v>
      </c>
      <c r="F5600">
        <v>0</v>
      </c>
      <c r="G5600">
        <v>6</v>
      </c>
      <c r="H5600">
        <v>1</v>
      </c>
      <c r="I5600" t="s">
        <v>33</v>
      </c>
      <c r="J5600">
        <v>0</v>
      </c>
      <c r="K5600">
        <v>77</v>
      </c>
      <c r="L5600" t="s">
        <v>20</v>
      </c>
      <c r="M5600" t="s">
        <v>25</v>
      </c>
      <c r="N5600" t="s">
        <v>26</v>
      </c>
      <c r="O5600" t="s">
        <v>27</v>
      </c>
      <c r="P5600">
        <v>2.4700000000000002</v>
      </c>
      <c r="Q5600" s="2" t="b">
        <f>FALSE()</f>
        <v>0</v>
      </c>
      <c r="R5600">
        <v>0</v>
      </c>
    </row>
    <row r="5601" spans="1:18" x14ac:dyDescent="0.25">
      <c r="A5601">
        <v>205600</v>
      </c>
      <c r="B5601">
        <v>50393</v>
      </c>
      <c r="C5601" t="s">
        <v>18</v>
      </c>
      <c r="D5601">
        <v>7859.72</v>
      </c>
      <c r="E5601">
        <v>1555</v>
      </c>
      <c r="F5601">
        <v>0</v>
      </c>
      <c r="G5601">
        <v>3</v>
      </c>
      <c r="H5601">
        <v>0</v>
      </c>
      <c r="I5601" t="s">
        <v>32</v>
      </c>
      <c r="J5601">
        <v>0</v>
      </c>
      <c r="K5601">
        <v>53</v>
      </c>
      <c r="L5601" t="s">
        <v>24</v>
      </c>
      <c r="M5601" t="s">
        <v>31</v>
      </c>
      <c r="N5601" t="s">
        <v>30</v>
      </c>
      <c r="O5601" t="s">
        <v>27</v>
      </c>
      <c r="P5601">
        <v>4.59</v>
      </c>
      <c r="Q5601" s="2" t="b">
        <f>TRUE()</f>
        <v>1</v>
      </c>
      <c r="R5601">
        <v>1</v>
      </c>
    </row>
    <row r="5602" spans="1:18" x14ac:dyDescent="0.25">
      <c r="A5602">
        <v>205601</v>
      </c>
      <c r="B5602">
        <v>50559</v>
      </c>
      <c r="C5602" t="s">
        <v>34</v>
      </c>
      <c r="D5602">
        <v>2148.5</v>
      </c>
      <c r="E5602">
        <v>737</v>
      </c>
      <c r="F5602">
        <v>0</v>
      </c>
      <c r="G5602">
        <v>5</v>
      </c>
      <c r="H5602">
        <v>0</v>
      </c>
      <c r="I5602" t="s">
        <v>19</v>
      </c>
      <c r="J5602">
        <v>0</v>
      </c>
      <c r="K5602">
        <v>81</v>
      </c>
      <c r="L5602" t="s">
        <v>20</v>
      </c>
      <c r="M5602" t="s">
        <v>25</v>
      </c>
      <c r="N5602" t="s">
        <v>26</v>
      </c>
      <c r="O5602" t="s">
        <v>36</v>
      </c>
      <c r="P5602">
        <v>0.26</v>
      </c>
      <c r="Q5602" s="2" t="b">
        <f>FALSE()</f>
        <v>0</v>
      </c>
      <c r="R5602">
        <v>0</v>
      </c>
    </row>
    <row r="5603" spans="1:18" x14ac:dyDescent="0.25">
      <c r="A5603">
        <v>205602</v>
      </c>
      <c r="B5603">
        <v>55997</v>
      </c>
      <c r="C5603" t="s">
        <v>34</v>
      </c>
      <c r="D5603">
        <v>1530.07</v>
      </c>
      <c r="E5603">
        <v>3264</v>
      </c>
      <c r="F5603">
        <v>1</v>
      </c>
      <c r="G5603">
        <v>5</v>
      </c>
      <c r="H5603">
        <v>1</v>
      </c>
      <c r="I5603" t="s">
        <v>32</v>
      </c>
      <c r="J5603">
        <v>0</v>
      </c>
      <c r="K5603">
        <v>75</v>
      </c>
      <c r="L5603" t="s">
        <v>20</v>
      </c>
      <c r="M5603" t="s">
        <v>21</v>
      </c>
      <c r="N5603" t="s">
        <v>22</v>
      </c>
      <c r="O5603" t="s">
        <v>27</v>
      </c>
      <c r="P5603">
        <v>6.92</v>
      </c>
      <c r="Q5603" s="2" t="b">
        <f>FALSE()</f>
        <v>0</v>
      </c>
      <c r="R5603">
        <v>0</v>
      </c>
    </row>
    <row r="5604" spans="1:18" x14ac:dyDescent="0.25">
      <c r="A5604">
        <v>205603</v>
      </c>
      <c r="B5604">
        <v>50422</v>
      </c>
      <c r="C5604" t="s">
        <v>28</v>
      </c>
      <c r="D5604">
        <v>3875.06</v>
      </c>
      <c r="E5604">
        <v>2239</v>
      </c>
      <c r="F5604">
        <v>0</v>
      </c>
      <c r="G5604">
        <v>6</v>
      </c>
      <c r="H5604">
        <v>0</v>
      </c>
      <c r="I5604" t="s">
        <v>19</v>
      </c>
      <c r="J5604">
        <v>1</v>
      </c>
      <c r="K5604">
        <v>56</v>
      </c>
      <c r="L5604" t="s">
        <v>20</v>
      </c>
      <c r="M5604" t="s">
        <v>35</v>
      </c>
      <c r="N5604" t="s">
        <v>30</v>
      </c>
      <c r="O5604" t="s">
        <v>36</v>
      </c>
      <c r="P5604">
        <v>0.5</v>
      </c>
      <c r="Q5604" s="2" t="b">
        <f>FALSE()</f>
        <v>0</v>
      </c>
      <c r="R5604">
        <v>1</v>
      </c>
    </row>
    <row r="5605" spans="1:18" x14ac:dyDescent="0.25">
      <c r="A5605">
        <v>205604</v>
      </c>
      <c r="B5605">
        <v>50087</v>
      </c>
      <c r="C5605" t="s">
        <v>18</v>
      </c>
      <c r="D5605">
        <v>1014.78</v>
      </c>
      <c r="E5605">
        <v>3641</v>
      </c>
      <c r="F5605">
        <v>2</v>
      </c>
      <c r="G5605">
        <v>2</v>
      </c>
      <c r="H5605">
        <v>1</v>
      </c>
      <c r="I5605" t="s">
        <v>19</v>
      </c>
      <c r="J5605">
        <v>0</v>
      </c>
      <c r="K5605">
        <v>60</v>
      </c>
      <c r="L5605" t="s">
        <v>24</v>
      </c>
      <c r="M5605" t="s">
        <v>31</v>
      </c>
      <c r="N5605" t="s">
        <v>30</v>
      </c>
      <c r="O5605" t="s">
        <v>27</v>
      </c>
      <c r="P5605">
        <v>1.87</v>
      </c>
      <c r="Q5605" s="2" t="b">
        <f>FALSE()</f>
        <v>0</v>
      </c>
      <c r="R5605">
        <v>0</v>
      </c>
    </row>
    <row r="5606" spans="1:18" x14ac:dyDescent="0.25">
      <c r="A5606">
        <v>205605</v>
      </c>
      <c r="B5606">
        <v>51813</v>
      </c>
      <c r="C5606" t="s">
        <v>34</v>
      </c>
      <c r="D5606">
        <v>2147.62</v>
      </c>
      <c r="E5606">
        <v>3363</v>
      </c>
      <c r="F5606">
        <v>0</v>
      </c>
      <c r="G5606">
        <v>7</v>
      </c>
      <c r="H5606">
        <v>1</v>
      </c>
      <c r="I5606" t="s">
        <v>33</v>
      </c>
      <c r="J5606">
        <v>1</v>
      </c>
      <c r="K5606">
        <v>54</v>
      </c>
      <c r="L5606" t="s">
        <v>20</v>
      </c>
      <c r="M5606" t="s">
        <v>31</v>
      </c>
      <c r="N5606" t="s">
        <v>30</v>
      </c>
      <c r="O5606" t="s">
        <v>27</v>
      </c>
      <c r="P5606">
        <v>3.99</v>
      </c>
      <c r="Q5606" s="2" t="b">
        <f>FALSE()</f>
        <v>0</v>
      </c>
      <c r="R5606">
        <v>1</v>
      </c>
    </row>
    <row r="5607" spans="1:18" x14ac:dyDescent="0.25">
      <c r="A5607">
        <v>205606</v>
      </c>
      <c r="B5607">
        <v>50913</v>
      </c>
      <c r="C5607" t="s">
        <v>18</v>
      </c>
      <c r="D5607">
        <v>3393.35</v>
      </c>
      <c r="E5607">
        <v>3380</v>
      </c>
      <c r="F5607">
        <v>2</v>
      </c>
      <c r="G5607">
        <v>2</v>
      </c>
      <c r="H5607">
        <v>0</v>
      </c>
      <c r="I5607" t="s">
        <v>33</v>
      </c>
      <c r="J5607">
        <v>0</v>
      </c>
      <c r="K5607">
        <v>41</v>
      </c>
      <c r="L5607" t="s">
        <v>20</v>
      </c>
      <c r="M5607" t="s">
        <v>31</v>
      </c>
      <c r="N5607" t="s">
        <v>22</v>
      </c>
      <c r="O5607" t="s">
        <v>36</v>
      </c>
      <c r="P5607">
        <v>2.27</v>
      </c>
      <c r="Q5607" s="2" t="b">
        <f>FALSE()</f>
        <v>0</v>
      </c>
      <c r="R5607">
        <v>0</v>
      </c>
    </row>
    <row r="5608" spans="1:18" x14ac:dyDescent="0.25">
      <c r="A5608">
        <v>205607</v>
      </c>
      <c r="B5608">
        <v>52088</v>
      </c>
      <c r="C5608" t="s">
        <v>34</v>
      </c>
      <c r="D5608">
        <v>1848</v>
      </c>
      <c r="E5608">
        <v>610</v>
      </c>
      <c r="F5608">
        <v>1</v>
      </c>
      <c r="G5608">
        <v>5</v>
      </c>
      <c r="H5608">
        <v>0</v>
      </c>
      <c r="I5608" t="s">
        <v>32</v>
      </c>
      <c r="J5608">
        <v>0</v>
      </c>
      <c r="K5608">
        <v>35</v>
      </c>
      <c r="L5608" t="s">
        <v>24</v>
      </c>
      <c r="M5608" t="s">
        <v>21</v>
      </c>
      <c r="N5608" t="s">
        <v>22</v>
      </c>
      <c r="O5608" t="s">
        <v>23</v>
      </c>
      <c r="P5608">
        <v>0.4</v>
      </c>
      <c r="Q5608" s="2" t="b">
        <f>FALSE()</f>
        <v>0</v>
      </c>
      <c r="R5608">
        <v>0</v>
      </c>
    </row>
    <row r="5609" spans="1:18" x14ac:dyDescent="0.25">
      <c r="A5609">
        <v>205608</v>
      </c>
      <c r="B5609">
        <v>53822</v>
      </c>
      <c r="C5609" t="s">
        <v>18</v>
      </c>
      <c r="D5609">
        <v>2919.04</v>
      </c>
      <c r="E5609">
        <v>556</v>
      </c>
      <c r="F5609">
        <v>0</v>
      </c>
      <c r="G5609">
        <v>6</v>
      </c>
      <c r="H5609">
        <v>1</v>
      </c>
      <c r="I5609" t="s">
        <v>33</v>
      </c>
      <c r="J5609">
        <v>0</v>
      </c>
      <c r="K5609">
        <v>66</v>
      </c>
      <c r="L5609" t="s">
        <v>20</v>
      </c>
      <c r="M5609" t="s">
        <v>31</v>
      </c>
      <c r="N5609" t="s">
        <v>26</v>
      </c>
      <c r="O5609" t="s">
        <v>36</v>
      </c>
      <c r="P5609">
        <v>6.83</v>
      </c>
      <c r="Q5609" s="2" t="b">
        <f>FALSE()</f>
        <v>0</v>
      </c>
      <c r="R5609">
        <v>0</v>
      </c>
    </row>
    <row r="5610" spans="1:18" x14ac:dyDescent="0.25">
      <c r="A5610">
        <v>205609</v>
      </c>
      <c r="B5610">
        <v>54550</v>
      </c>
      <c r="C5610" t="s">
        <v>34</v>
      </c>
      <c r="D5610">
        <v>1817.3</v>
      </c>
      <c r="E5610">
        <v>3519</v>
      </c>
      <c r="F5610">
        <v>0</v>
      </c>
      <c r="G5610">
        <v>4</v>
      </c>
      <c r="H5610">
        <v>0</v>
      </c>
      <c r="I5610" t="s">
        <v>33</v>
      </c>
      <c r="J5610">
        <v>0</v>
      </c>
      <c r="K5610">
        <v>18</v>
      </c>
      <c r="L5610" t="s">
        <v>24</v>
      </c>
      <c r="M5610" t="s">
        <v>21</v>
      </c>
      <c r="N5610" t="s">
        <v>22</v>
      </c>
      <c r="O5610" t="s">
        <v>36</v>
      </c>
      <c r="P5610">
        <v>1.64</v>
      </c>
      <c r="Q5610" s="2" t="b">
        <f>FALSE()</f>
        <v>0</v>
      </c>
      <c r="R5610">
        <v>0</v>
      </c>
    </row>
    <row r="5611" spans="1:18" x14ac:dyDescent="0.25">
      <c r="A5611">
        <v>205610</v>
      </c>
      <c r="B5611">
        <v>54633</v>
      </c>
      <c r="C5611" t="s">
        <v>34</v>
      </c>
      <c r="D5611">
        <v>2549.3000000000002</v>
      </c>
      <c r="E5611">
        <v>2926</v>
      </c>
      <c r="F5611">
        <v>2</v>
      </c>
      <c r="G5611">
        <v>2</v>
      </c>
      <c r="H5611">
        <v>0</v>
      </c>
      <c r="I5611" t="s">
        <v>33</v>
      </c>
      <c r="J5611">
        <v>0</v>
      </c>
      <c r="K5611">
        <v>65</v>
      </c>
      <c r="L5611" t="s">
        <v>24</v>
      </c>
      <c r="M5611" t="s">
        <v>25</v>
      </c>
      <c r="N5611" t="s">
        <v>30</v>
      </c>
      <c r="O5611" t="s">
        <v>36</v>
      </c>
      <c r="P5611">
        <v>3.75</v>
      </c>
      <c r="Q5611" s="2" t="b">
        <f>FALSE()</f>
        <v>0</v>
      </c>
      <c r="R5611">
        <v>0</v>
      </c>
    </row>
    <row r="5612" spans="1:18" x14ac:dyDescent="0.25">
      <c r="A5612">
        <v>205611</v>
      </c>
      <c r="B5612">
        <v>51068</v>
      </c>
      <c r="C5612" t="s">
        <v>18</v>
      </c>
      <c r="D5612">
        <v>989.31</v>
      </c>
      <c r="E5612">
        <v>2371</v>
      </c>
      <c r="F5612">
        <v>2</v>
      </c>
      <c r="G5612">
        <v>4</v>
      </c>
      <c r="H5612">
        <v>0</v>
      </c>
      <c r="I5612" t="s">
        <v>33</v>
      </c>
      <c r="J5612">
        <v>0</v>
      </c>
      <c r="K5612">
        <v>82</v>
      </c>
      <c r="L5612" t="s">
        <v>24</v>
      </c>
      <c r="M5612" t="s">
        <v>21</v>
      </c>
      <c r="N5612" t="s">
        <v>22</v>
      </c>
      <c r="O5612" t="s">
        <v>36</v>
      </c>
      <c r="P5612">
        <v>3.01</v>
      </c>
      <c r="Q5612" s="2" t="b">
        <f>FALSE()</f>
        <v>0</v>
      </c>
      <c r="R5612">
        <v>0</v>
      </c>
    </row>
    <row r="5613" spans="1:18" x14ac:dyDescent="0.25">
      <c r="A5613">
        <v>205612</v>
      </c>
      <c r="B5613">
        <v>51409</v>
      </c>
      <c r="C5613" t="s">
        <v>18</v>
      </c>
      <c r="D5613">
        <v>871.82</v>
      </c>
      <c r="E5613">
        <v>2089</v>
      </c>
      <c r="F5613">
        <v>1</v>
      </c>
      <c r="G5613">
        <v>2</v>
      </c>
      <c r="H5613">
        <v>0</v>
      </c>
      <c r="I5613" t="s">
        <v>33</v>
      </c>
      <c r="J5613">
        <v>1</v>
      </c>
      <c r="K5613">
        <v>19</v>
      </c>
      <c r="L5613" t="s">
        <v>24</v>
      </c>
      <c r="M5613" t="s">
        <v>37</v>
      </c>
      <c r="N5613" t="s">
        <v>22</v>
      </c>
      <c r="O5613" t="s">
        <v>36</v>
      </c>
      <c r="P5613">
        <v>0.23</v>
      </c>
      <c r="Q5613" s="2" t="b">
        <f>FALSE()</f>
        <v>0</v>
      </c>
      <c r="R5613">
        <v>0</v>
      </c>
    </row>
    <row r="5614" spans="1:18" x14ac:dyDescent="0.25">
      <c r="A5614">
        <v>205613</v>
      </c>
      <c r="B5614">
        <v>52529</v>
      </c>
      <c r="C5614" t="s">
        <v>18</v>
      </c>
      <c r="D5614">
        <v>7375.91</v>
      </c>
      <c r="E5614">
        <v>471</v>
      </c>
      <c r="F5614">
        <v>0</v>
      </c>
      <c r="G5614">
        <v>3</v>
      </c>
      <c r="H5614">
        <v>0</v>
      </c>
      <c r="I5614" t="s">
        <v>33</v>
      </c>
      <c r="J5614">
        <v>0</v>
      </c>
      <c r="K5614">
        <v>65</v>
      </c>
      <c r="L5614" t="s">
        <v>24</v>
      </c>
      <c r="M5614" t="s">
        <v>29</v>
      </c>
      <c r="N5614" t="s">
        <v>22</v>
      </c>
      <c r="O5614" t="s">
        <v>36</v>
      </c>
      <c r="P5614">
        <v>5.55</v>
      </c>
      <c r="Q5614" s="2" t="b">
        <f>TRUE()</f>
        <v>1</v>
      </c>
      <c r="R5614">
        <v>1</v>
      </c>
    </row>
    <row r="5615" spans="1:18" x14ac:dyDescent="0.25">
      <c r="A5615">
        <v>205614</v>
      </c>
      <c r="B5615">
        <v>50116</v>
      </c>
      <c r="C5615" t="s">
        <v>28</v>
      </c>
      <c r="D5615">
        <v>4285.12</v>
      </c>
      <c r="E5615">
        <v>1024</v>
      </c>
      <c r="F5615">
        <v>1</v>
      </c>
      <c r="G5615">
        <v>3</v>
      </c>
      <c r="H5615">
        <v>1</v>
      </c>
      <c r="I5615" t="s">
        <v>19</v>
      </c>
      <c r="J5615">
        <v>0</v>
      </c>
      <c r="K5615">
        <v>36</v>
      </c>
      <c r="L5615" t="s">
        <v>20</v>
      </c>
      <c r="M5615" t="s">
        <v>29</v>
      </c>
      <c r="N5615" t="s">
        <v>26</v>
      </c>
      <c r="O5615" t="s">
        <v>27</v>
      </c>
      <c r="P5615">
        <v>4.4400000000000004</v>
      </c>
      <c r="Q5615" s="2" t="b">
        <f>FALSE()</f>
        <v>0</v>
      </c>
      <c r="R5615">
        <v>1</v>
      </c>
    </row>
    <row r="5616" spans="1:18" x14ac:dyDescent="0.25">
      <c r="A5616">
        <v>205615</v>
      </c>
      <c r="B5616">
        <v>52907</v>
      </c>
      <c r="C5616" t="s">
        <v>28</v>
      </c>
      <c r="D5616">
        <v>5057.55</v>
      </c>
      <c r="E5616">
        <v>3024</v>
      </c>
      <c r="F5616">
        <v>0</v>
      </c>
      <c r="G5616">
        <v>5</v>
      </c>
      <c r="H5616">
        <v>0</v>
      </c>
      <c r="I5616" t="s">
        <v>19</v>
      </c>
      <c r="J5616">
        <v>1</v>
      </c>
      <c r="K5616">
        <v>74</v>
      </c>
      <c r="L5616" t="s">
        <v>20</v>
      </c>
      <c r="M5616" t="s">
        <v>25</v>
      </c>
      <c r="N5616" t="s">
        <v>30</v>
      </c>
      <c r="O5616" t="s">
        <v>36</v>
      </c>
      <c r="P5616">
        <v>4.28</v>
      </c>
      <c r="Q5616" s="2" t="b">
        <f>FALSE()</f>
        <v>0</v>
      </c>
      <c r="R5616">
        <v>1</v>
      </c>
    </row>
    <row r="5617" spans="1:18" x14ac:dyDescent="0.25">
      <c r="A5617">
        <v>205616</v>
      </c>
      <c r="B5617">
        <v>54206</v>
      </c>
      <c r="C5617" t="s">
        <v>18</v>
      </c>
      <c r="D5617">
        <v>2949.96</v>
      </c>
      <c r="E5617">
        <v>2092</v>
      </c>
      <c r="F5617">
        <v>2</v>
      </c>
      <c r="G5617">
        <v>4</v>
      </c>
      <c r="H5617">
        <v>1</v>
      </c>
      <c r="I5617" t="s">
        <v>33</v>
      </c>
      <c r="J5617">
        <v>0</v>
      </c>
      <c r="K5617">
        <v>27</v>
      </c>
      <c r="L5617" t="s">
        <v>24</v>
      </c>
      <c r="M5617" t="s">
        <v>37</v>
      </c>
      <c r="N5617" t="s">
        <v>22</v>
      </c>
      <c r="O5617" t="s">
        <v>36</v>
      </c>
      <c r="P5617">
        <v>3.37</v>
      </c>
      <c r="Q5617" s="2" t="b">
        <f>FALSE()</f>
        <v>0</v>
      </c>
      <c r="R5617">
        <v>0</v>
      </c>
    </row>
    <row r="5618" spans="1:18" x14ac:dyDescent="0.25">
      <c r="A5618">
        <v>205617</v>
      </c>
      <c r="B5618">
        <v>52217</v>
      </c>
      <c r="C5618" t="s">
        <v>18</v>
      </c>
      <c r="D5618">
        <v>3832.48</v>
      </c>
      <c r="E5618">
        <v>2280</v>
      </c>
      <c r="F5618">
        <v>0</v>
      </c>
      <c r="G5618">
        <v>8</v>
      </c>
      <c r="H5618">
        <v>1</v>
      </c>
      <c r="I5618" t="s">
        <v>33</v>
      </c>
      <c r="J5618">
        <v>1</v>
      </c>
      <c r="K5618">
        <v>60</v>
      </c>
      <c r="L5618" t="s">
        <v>24</v>
      </c>
      <c r="M5618" t="s">
        <v>29</v>
      </c>
      <c r="N5618" t="s">
        <v>22</v>
      </c>
      <c r="O5618" t="s">
        <v>36</v>
      </c>
      <c r="P5618">
        <v>0.56000000000000005</v>
      </c>
      <c r="Q5618" s="2" t="b">
        <f>FALSE()</f>
        <v>0</v>
      </c>
      <c r="R5618">
        <v>1</v>
      </c>
    </row>
    <row r="5619" spans="1:18" x14ac:dyDescent="0.25">
      <c r="A5619">
        <v>205618</v>
      </c>
      <c r="B5619">
        <v>50899</v>
      </c>
      <c r="C5619" t="s">
        <v>28</v>
      </c>
      <c r="D5619">
        <v>3797.97</v>
      </c>
      <c r="E5619">
        <v>378</v>
      </c>
      <c r="F5619">
        <v>2</v>
      </c>
      <c r="G5619">
        <v>6</v>
      </c>
      <c r="H5619">
        <v>0</v>
      </c>
      <c r="I5619" t="s">
        <v>33</v>
      </c>
      <c r="J5619">
        <v>0</v>
      </c>
      <c r="K5619">
        <v>68</v>
      </c>
      <c r="L5619" t="s">
        <v>20</v>
      </c>
      <c r="M5619" t="s">
        <v>29</v>
      </c>
      <c r="N5619" t="s">
        <v>30</v>
      </c>
      <c r="O5619" t="s">
        <v>36</v>
      </c>
      <c r="P5619">
        <v>4.4400000000000004</v>
      </c>
      <c r="Q5619" s="2" t="b">
        <f>FALSE()</f>
        <v>0</v>
      </c>
      <c r="R5619">
        <v>1</v>
      </c>
    </row>
    <row r="5620" spans="1:18" x14ac:dyDescent="0.25">
      <c r="A5620">
        <v>205619</v>
      </c>
      <c r="B5620">
        <v>51425</v>
      </c>
      <c r="C5620" t="s">
        <v>18</v>
      </c>
      <c r="D5620">
        <v>568.19000000000005</v>
      </c>
      <c r="E5620">
        <v>2438</v>
      </c>
      <c r="F5620">
        <v>4</v>
      </c>
      <c r="G5620">
        <v>8</v>
      </c>
      <c r="H5620">
        <v>1</v>
      </c>
      <c r="I5620" t="s">
        <v>19</v>
      </c>
      <c r="J5620">
        <v>0</v>
      </c>
      <c r="K5620">
        <v>26</v>
      </c>
      <c r="L5620" t="s">
        <v>20</v>
      </c>
      <c r="M5620" t="s">
        <v>37</v>
      </c>
      <c r="N5620" t="s">
        <v>26</v>
      </c>
      <c r="O5620" t="s">
        <v>36</v>
      </c>
      <c r="P5620">
        <v>5.51</v>
      </c>
      <c r="Q5620" s="2" t="b">
        <f>FALSE()</f>
        <v>0</v>
      </c>
      <c r="R5620">
        <v>1</v>
      </c>
    </row>
    <row r="5621" spans="1:18" x14ac:dyDescent="0.25">
      <c r="A5621">
        <v>205620</v>
      </c>
      <c r="B5621">
        <v>53970</v>
      </c>
      <c r="C5621" t="s">
        <v>18</v>
      </c>
      <c r="D5621">
        <v>539.79999999999995</v>
      </c>
      <c r="E5621">
        <v>698</v>
      </c>
      <c r="F5621">
        <v>0</v>
      </c>
      <c r="G5621">
        <v>8</v>
      </c>
      <c r="H5621">
        <v>0</v>
      </c>
      <c r="I5621" t="s">
        <v>33</v>
      </c>
      <c r="J5621">
        <v>0</v>
      </c>
      <c r="K5621">
        <v>53</v>
      </c>
      <c r="L5621" t="s">
        <v>20</v>
      </c>
      <c r="M5621" t="s">
        <v>29</v>
      </c>
      <c r="N5621" t="s">
        <v>22</v>
      </c>
      <c r="O5621" t="s">
        <v>27</v>
      </c>
      <c r="P5621">
        <v>1.88</v>
      </c>
      <c r="Q5621" s="2" t="b">
        <f>FALSE()</f>
        <v>0</v>
      </c>
      <c r="R5621">
        <v>1</v>
      </c>
    </row>
    <row r="5622" spans="1:18" x14ac:dyDescent="0.25">
      <c r="A5622">
        <v>205621</v>
      </c>
      <c r="B5622">
        <v>55723</v>
      </c>
      <c r="C5622" t="s">
        <v>34</v>
      </c>
      <c r="D5622">
        <v>1568.54</v>
      </c>
      <c r="E5622">
        <v>365</v>
      </c>
      <c r="F5622">
        <v>1</v>
      </c>
      <c r="G5622">
        <v>6</v>
      </c>
      <c r="H5622">
        <v>0</v>
      </c>
      <c r="I5622" t="s">
        <v>33</v>
      </c>
      <c r="J5622">
        <v>0</v>
      </c>
      <c r="K5622">
        <v>39</v>
      </c>
      <c r="L5622" t="s">
        <v>24</v>
      </c>
      <c r="M5622" t="s">
        <v>31</v>
      </c>
      <c r="N5622" t="s">
        <v>22</v>
      </c>
      <c r="O5622" t="s">
        <v>27</v>
      </c>
      <c r="P5622">
        <v>20.43</v>
      </c>
      <c r="Q5622" s="2" t="b">
        <f>FALSE()</f>
        <v>0</v>
      </c>
      <c r="R5622">
        <v>0</v>
      </c>
    </row>
    <row r="5623" spans="1:18" x14ac:dyDescent="0.25">
      <c r="A5623">
        <v>205622</v>
      </c>
      <c r="B5623">
        <v>50983</v>
      </c>
      <c r="C5623" t="s">
        <v>28</v>
      </c>
      <c r="D5623">
        <v>1331.73</v>
      </c>
      <c r="E5623">
        <v>3046</v>
      </c>
      <c r="F5623">
        <v>3</v>
      </c>
      <c r="G5623">
        <v>5</v>
      </c>
      <c r="H5623">
        <v>1</v>
      </c>
      <c r="I5623" t="s">
        <v>19</v>
      </c>
      <c r="J5623">
        <v>0</v>
      </c>
      <c r="K5623">
        <v>68</v>
      </c>
      <c r="L5623" t="s">
        <v>20</v>
      </c>
      <c r="M5623" t="s">
        <v>29</v>
      </c>
      <c r="N5623" t="s">
        <v>30</v>
      </c>
      <c r="O5623" t="s">
        <v>23</v>
      </c>
      <c r="P5623">
        <v>0</v>
      </c>
      <c r="Q5623" s="2" t="b">
        <f>FALSE()</f>
        <v>0</v>
      </c>
      <c r="R5623">
        <v>1</v>
      </c>
    </row>
    <row r="5624" spans="1:18" x14ac:dyDescent="0.25">
      <c r="A5624">
        <v>205623</v>
      </c>
      <c r="B5624">
        <v>53668</v>
      </c>
      <c r="C5624" t="s">
        <v>18</v>
      </c>
      <c r="D5624">
        <v>1165.08</v>
      </c>
      <c r="E5624">
        <v>3138</v>
      </c>
      <c r="F5624">
        <v>1</v>
      </c>
      <c r="G5624">
        <v>2</v>
      </c>
      <c r="H5624">
        <v>1</v>
      </c>
      <c r="I5624" t="s">
        <v>33</v>
      </c>
      <c r="J5624">
        <v>1</v>
      </c>
      <c r="K5624">
        <v>21</v>
      </c>
      <c r="L5624" t="s">
        <v>24</v>
      </c>
      <c r="M5624" t="s">
        <v>37</v>
      </c>
      <c r="N5624" t="s">
        <v>26</v>
      </c>
      <c r="O5624" t="s">
        <v>27</v>
      </c>
      <c r="P5624">
        <v>1.0900000000000001</v>
      </c>
      <c r="Q5624" s="2" t="b">
        <f>FALSE()</f>
        <v>0</v>
      </c>
      <c r="R5624">
        <v>0</v>
      </c>
    </row>
    <row r="5625" spans="1:18" x14ac:dyDescent="0.25">
      <c r="A5625">
        <v>205624</v>
      </c>
      <c r="B5625">
        <v>50373</v>
      </c>
      <c r="C5625" t="s">
        <v>18</v>
      </c>
      <c r="D5625">
        <v>1275.58</v>
      </c>
      <c r="E5625">
        <v>3624</v>
      </c>
      <c r="F5625">
        <v>1</v>
      </c>
      <c r="G5625">
        <v>2</v>
      </c>
      <c r="H5625">
        <v>0</v>
      </c>
      <c r="I5625" t="s">
        <v>19</v>
      </c>
      <c r="J5625">
        <v>0</v>
      </c>
      <c r="K5625">
        <v>51</v>
      </c>
      <c r="L5625" t="s">
        <v>20</v>
      </c>
      <c r="M5625" t="s">
        <v>25</v>
      </c>
      <c r="N5625" t="s">
        <v>22</v>
      </c>
      <c r="O5625" t="s">
        <v>23</v>
      </c>
      <c r="P5625">
        <v>0.57999999999999996</v>
      </c>
      <c r="Q5625" s="2" t="b">
        <f>FALSE()</f>
        <v>0</v>
      </c>
      <c r="R5625">
        <v>0</v>
      </c>
    </row>
    <row r="5626" spans="1:18" x14ac:dyDescent="0.25">
      <c r="A5626">
        <v>205625</v>
      </c>
      <c r="B5626">
        <v>52123</v>
      </c>
      <c r="C5626" t="s">
        <v>34</v>
      </c>
      <c r="D5626">
        <v>2869.94</v>
      </c>
      <c r="E5626">
        <v>3269</v>
      </c>
      <c r="F5626">
        <v>2</v>
      </c>
      <c r="G5626">
        <v>4</v>
      </c>
      <c r="H5626">
        <v>0</v>
      </c>
      <c r="I5626" t="s">
        <v>33</v>
      </c>
      <c r="J5626">
        <v>0</v>
      </c>
      <c r="K5626">
        <v>74</v>
      </c>
      <c r="L5626" t="s">
        <v>20</v>
      </c>
      <c r="M5626" t="s">
        <v>21</v>
      </c>
      <c r="N5626" t="s">
        <v>22</v>
      </c>
      <c r="O5626" t="s">
        <v>36</v>
      </c>
      <c r="P5626">
        <v>2.5499999999999998</v>
      </c>
      <c r="Q5626" s="2" t="b">
        <f>FALSE()</f>
        <v>0</v>
      </c>
      <c r="R5626">
        <v>0</v>
      </c>
    </row>
    <row r="5627" spans="1:18" x14ac:dyDescent="0.25">
      <c r="A5627">
        <v>205626</v>
      </c>
      <c r="B5627">
        <v>51590</v>
      </c>
      <c r="C5627" t="s">
        <v>28</v>
      </c>
      <c r="D5627">
        <v>958.31</v>
      </c>
      <c r="E5627">
        <v>810</v>
      </c>
      <c r="F5627">
        <v>2</v>
      </c>
      <c r="G5627">
        <v>2</v>
      </c>
      <c r="H5627">
        <v>0</v>
      </c>
      <c r="I5627" t="s">
        <v>32</v>
      </c>
      <c r="J5627">
        <v>0</v>
      </c>
      <c r="K5627">
        <v>30</v>
      </c>
      <c r="L5627" t="s">
        <v>24</v>
      </c>
      <c r="M5627" t="s">
        <v>21</v>
      </c>
      <c r="N5627" t="s">
        <v>22</v>
      </c>
      <c r="O5627" t="s">
        <v>36</v>
      </c>
      <c r="P5627">
        <v>7.5</v>
      </c>
      <c r="Q5627" s="2" t="b">
        <f>FALSE()</f>
        <v>0</v>
      </c>
      <c r="R5627">
        <v>0</v>
      </c>
    </row>
    <row r="5628" spans="1:18" x14ac:dyDescent="0.25">
      <c r="A5628">
        <v>205627</v>
      </c>
      <c r="B5628">
        <v>55769</v>
      </c>
      <c r="C5628" t="s">
        <v>18</v>
      </c>
      <c r="D5628">
        <v>4099.62</v>
      </c>
      <c r="E5628">
        <v>393</v>
      </c>
      <c r="F5628">
        <v>3</v>
      </c>
      <c r="G5628">
        <v>3</v>
      </c>
      <c r="H5628">
        <v>0</v>
      </c>
      <c r="I5628" t="s">
        <v>33</v>
      </c>
      <c r="J5628">
        <v>0</v>
      </c>
      <c r="K5628">
        <v>29</v>
      </c>
      <c r="L5628" t="s">
        <v>24</v>
      </c>
      <c r="M5628" t="s">
        <v>29</v>
      </c>
      <c r="N5628" t="s">
        <v>30</v>
      </c>
      <c r="O5628" t="s">
        <v>23</v>
      </c>
      <c r="P5628">
        <v>9.84</v>
      </c>
      <c r="Q5628" s="2" t="b">
        <f>FALSE()</f>
        <v>0</v>
      </c>
      <c r="R5628">
        <v>1</v>
      </c>
    </row>
    <row r="5629" spans="1:18" x14ac:dyDescent="0.25">
      <c r="A5629">
        <v>205628</v>
      </c>
      <c r="B5629">
        <v>53145</v>
      </c>
      <c r="C5629" t="s">
        <v>34</v>
      </c>
      <c r="D5629">
        <v>7437.96</v>
      </c>
      <c r="E5629">
        <v>1508</v>
      </c>
      <c r="F5629">
        <v>3</v>
      </c>
      <c r="G5629">
        <v>2</v>
      </c>
      <c r="H5629">
        <v>1</v>
      </c>
      <c r="I5629" t="s">
        <v>33</v>
      </c>
      <c r="J5629">
        <v>0</v>
      </c>
      <c r="K5629">
        <v>52</v>
      </c>
      <c r="L5629" t="s">
        <v>24</v>
      </c>
      <c r="M5629" t="s">
        <v>21</v>
      </c>
      <c r="N5629" t="s">
        <v>22</v>
      </c>
      <c r="O5629" t="s">
        <v>27</v>
      </c>
      <c r="P5629">
        <v>3.27</v>
      </c>
      <c r="Q5629" s="2" t="b">
        <f>TRUE()</f>
        <v>1</v>
      </c>
      <c r="R5629">
        <v>1</v>
      </c>
    </row>
    <row r="5630" spans="1:18" x14ac:dyDescent="0.25">
      <c r="A5630">
        <v>205629</v>
      </c>
      <c r="B5630">
        <v>53708</v>
      </c>
      <c r="C5630" t="s">
        <v>34</v>
      </c>
      <c r="D5630">
        <v>5639.91</v>
      </c>
      <c r="E5630">
        <v>3092</v>
      </c>
      <c r="F5630">
        <v>0</v>
      </c>
      <c r="G5630">
        <v>1</v>
      </c>
      <c r="H5630">
        <v>0</v>
      </c>
      <c r="I5630" t="s">
        <v>19</v>
      </c>
      <c r="J5630">
        <v>0</v>
      </c>
      <c r="K5630">
        <v>20</v>
      </c>
      <c r="L5630" t="s">
        <v>20</v>
      </c>
      <c r="M5630" t="s">
        <v>35</v>
      </c>
      <c r="N5630" t="s">
        <v>30</v>
      </c>
      <c r="O5630" t="s">
        <v>27</v>
      </c>
      <c r="P5630">
        <v>4.74</v>
      </c>
      <c r="Q5630" s="2" t="b">
        <f>FALSE()</f>
        <v>0</v>
      </c>
      <c r="R5630">
        <v>1</v>
      </c>
    </row>
    <row r="5631" spans="1:18" x14ac:dyDescent="0.25">
      <c r="A5631">
        <v>205630</v>
      </c>
      <c r="B5631">
        <v>55139</v>
      </c>
      <c r="C5631" t="s">
        <v>34</v>
      </c>
      <c r="D5631">
        <v>2419.84</v>
      </c>
      <c r="E5631">
        <v>1831</v>
      </c>
      <c r="F5631">
        <v>0</v>
      </c>
      <c r="G5631">
        <v>7</v>
      </c>
      <c r="H5631">
        <v>0</v>
      </c>
      <c r="I5631" t="s">
        <v>19</v>
      </c>
      <c r="J5631">
        <v>0</v>
      </c>
      <c r="K5631">
        <v>60</v>
      </c>
      <c r="L5631" t="s">
        <v>20</v>
      </c>
      <c r="M5631" t="s">
        <v>29</v>
      </c>
      <c r="N5631" t="s">
        <v>30</v>
      </c>
      <c r="O5631" t="s">
        <v>36</v>
      </c>
      <c r="P5631">
        <v>2.0299999999999998</v>
      </c>
      <c r="Q5631" s="2" t="b">
        <f>FALSE()</f>
        <v>0</v>
      </c>
      <c r="R5631">
        <v>1</v>
      </c>
    </row>
    <row r="5632" spans="1:18" x14ac:dyDescent="0.25">
      <c r="A5632">
        <v>205631</v>
      </c>
      <c r="B5632">
        <v>51633</v>
      </c>
      <c r="C5632" t="s">
        <v>18</v>
      </c>
      <c r="D5632">
        <v>415.94</v>
      </c>
      <c r="E5632">
        <v>851</v>
      </c>
      <c r="F5632">
        <v>0</v>
      </c>
      <c r="G5632">
        <v>2</v>
      </c>
      <c r="H5632">
        <v>1</v>
      </c>
      <c r="I5632" t="s">
        <v>19</v>
      </c>
      <c r="J5632">
        <v>0</v>
      </c>
      <c r="K5632">
        <v>29</v>
      </c>
      <c r="L5632" t="s">
        <v>24</v>
      </c>
      <c r="M5632" t="s">
        <v>35</v>
      </c>
      <c r="N5632" t="s">
        <v>22</v>
      </c>
      <c r="O5632" t="s">
        <v>27</v>
      </c>
      <c r="P5632">
        <v>5.43</v>
      </c>
      <c r="Q5632" s="2" t="b">
        <f>FALSE()</f>
        <v>0</v>
      </c>
      <c r="R5632">
        <v>0</v>
      </c>
    </row>
    <row r="5633" spans="1:18" x14ac:dyDescent="0.25">
      <c r="A5633">
        <v>205632</v>
      </c>
      <c r="B5633">
        <v>54733</v>
      </c>
      <c r="C5633" t="s">
        <v>18</v>
      </c>
      <c r="D5633">
        <v>2271.75</v>
      </c>
      <c r="E5633">
        <v>1209</v>
      </c>
      <c r="F5633">
        <v>2</v>
      </c>
      <c r="G5633">
        <v>7</v>
      </c>
      <c r="H5633">
        <v>0</v>
      </c>
      <c r="I5633" t="s">
        <v>33</v>
      </c>
      <c r="J5633">
        <v>1</v>
      </c>
      <c r="K5633">
        <v>84</v>
      </c>
      <c r="L5633" t="s">
        <v>20</v>
      </c>
      <c r="M5633" t="s">
        <v>21</v>
      </c>
      <c r="N5633" t="s">
        <v>30</v>
      </c>
      <c r="O5633" t="s">
        <v>36</v>
      </c>
      <c r="P5633">
        <v>7.33</v>
      </c>
      <c r="Q5633" s="2" t="b">
        <f>FALSE()</f>
        <v>0</v>
      </c>
      <c r="R5633">
        <v>1</v>
      </c>
    </row>
    <row r="5634" spans="1:18" x14ac:dyDescent="0.25">
      <c r="A5634">
        <v>205633</v>
      </c>
      <c r="B5634">
        <v>54665</v>
      </c>
      <c r="C5634" t="s">
        <v>18</v>
      </c>
      <c r="D5634">
        <v>2774</v>
      </c>
      <c r="E5634">
        <v>1960</v>
      </c>
      <c r="F5634">
        <v>1</v>
      </c>
      <c r="G5634">
        <v>3</v>
      </c>
      <c r="H5634">
        <v>0</v>
      </c>
      <c r="I5634" t="s">
        <v>33</v>
      </c>
      <c r="J5634">
        <v>0</v>
      </c>
      <c r="K5634">
        <v>48</v>
      </c>
      <c r="L5634" t="s">
        <v>24</v>
      </c>
      <c r="M5634" t="s">
        <v>37</v>
      </c>
      <c r="N5634" t="s">
        <v>22</v>
      </c>
      <c r="O5634" t="s">
        <v>36</v>
      </c>
      <c r="P5634">
        <v>2.57</v>
      </c>
      <c r="Q5634" s="2" t="b">
        <f>FALSE()</f>
        <v>0</v>
      </c>
      <c r="R5634">
        <v>0</v>
      </c>
    </row>
    <row r="5635" spans="1:18" x14ac:dyDescent="0.25">
      <c r="A5635">
        <v>205634</v>
      </c>
      <c r="B5635">
        <v>55750</v>
      </c>
      <c r="C5635" t="s">
        <v>18</v>
      </c>
      <c r="D5635">
        <v>808.4</v>
      </c>
      <c r="E5635">
        <v>2788</v>
      </c>
      <c r="F5635">
        <v>1</v>
      </c>
      <c r="G5635">
        <v>2</v>
      </c>
      <c r="H5635">
        <v>1</v>
      </c>
      <c r="I5635" t="s">
        <v>32</v>
      </c>
      <c r="J5635">
        <v>0</v>
      </c>
      <c r="K5635">
        <v>28</v>
      </c>
      <c r="L5635" t="s">
        <v>20</v>
      </c>
      <c r="M5635" t="s">
        <v>25</v>
      </c>
      <c r="N5635" t="s">
        <v>22</v>
      </c>
      <c r="O5635" t="s">
        <v>36</v>
      </c>
      <c r="P5635">
        <v>1.42</v>
      </c>
      <c r="Q5635" s="2" t="b">
        <f>FALSE()</f>
        <v>0</v>
      </c>
      <c r="R5635">
        <v>0</v>
      </c>
    </row>
    <row r="5636" spans="1:18" x14ac:dyDescent="0.25">
      <c r="A5636">
        <v>205635</v>
      </c>
      <c r="B5636">
        <v>50483</v>
      </c>
      <c r="C5636" t="s">
        <v>34</v>
      </c>
      <c r="D5636">
        <v>1167.25</v>
      </c>
      <c r="E5636">
        <v>2389</v>
      </c>
      <c r="F5636">
        <v>0</v>
      </c>
      <c r="G5636">
        <v>5</v>
      </c>
      <c r="H5636">
        <v>0</v>
      </c>
      <c r="I5636" t="s">
        <v>33</v>
      </c>
      <c r="J5636">
        <v>0</v>
      </c>
      <c r="K5636">
        <v>84</v>
      </c>
      <c r="L5636" t="s">
        <v>24</v>
      </c>
      <c r="M5636" t="s">
        <v>35</v>
      </c>
      <c r="N5636" t="s">
        <v>26</v>
      </c>
      <c r="O5636" t="s">
        <v>27</v>
      </c>
      <c r="P5636">
        <v>4.68</v>
      </c>
      <c r="Q5636" s="2" t="b">
        <f>FALSE()</f>
        <v>0</v>
      </c>
      <c r="R5636">
        <v>0</v>
      </c>
    </row>
    <row r="5637" spans="1:18" x14ac:dyDescent="0.25">
      <c r="A5637">
        <v>205636</v>
      </c>
      <c r="B5637">
        <v>51257</v>
      </c>
      <c r="C5637" t="s">
        <v>18</v>
      </c>
      <c r="D5637">
        <v>4386.87</v>
      </c>
      <c r="E5637">
        <v>1601</v>
      </c>
      <c r="F5637">
        <v>1</v>
      </c>
      <c r="G5637">
        <v>3</v>
      </c>
      <c r="H5637">
        <v>0</v>
      </c>
      <c r="I5637" t="s">
        <v>33</v>
      </c>
      <c r="J5637">
        <v>1</v>
      </c>
      <c r="K5637">
        <v>57</v>
      </c>
      <c r="L5637" t="s">
        <v>24</v>
      </c>
      <c r="M5637" t="s">
        <v>31</v>
      </c>
      <c r="N5637" t="s">
        <v>30</v>
      </c>
      <c r="O5637" t="s">
        <v>36</v>
      </c>
      <c r="P5637">
        <v>7.1</v>
      </c>
      <c r="Q5637" s="2" t="b">
        <f>FALSE()</f>
        <v>0</v>
      </c>
      <c r="R5637">
        <v>1</v>
      </c>
    </row>
    <row r="5638" spans="1:18" x14ac:dyDescent="0.25">
      <c r="A5638">
        <v>205637</v>
      </c>
      <c r="B5638">
        <v>54334</v>
      </c>
      <c r="C5638" t="s">
        <v>18</v>
      </c>
      <c r="D5638">
        <v>2983.28</v>
      </c>
      <c r="E5638">
        <v>1993</v>
      </c>
      <c r="F5638">
        <v>0</v>
      </c>
      <c r="G5638">
        <v>4</v>
      </c>
      <c r="H5638">
        <v>1</v>
      </c>
      <c r="I5638" t="s">
        <v>33</v>
      </c>
      <c r="J5638">
        <v>0</v>
      </c>
      <c r="K5638">
        <v>81</v>
      </c>
      <c r="L5638" t="s">
        <v>24</v>
      </c>
      <c r="M5638" t="s">
        <v>21</v>
      </c>
      <c r="N5638" t="s">
        <v>22</v>
      </c>
      <c r="O5638" t="s">
        <v>27</v>
      </c>
      <c r="P5638">
        <v>10.44</v>
      </c>
      <c r="Q5638" s="2" t="b">
        <f>FALSE()</f>
        <v>0</v>
      </c>
      <c r="R5638">
        <v>0</v>
      </c>
    </row>
    <row r="5639" spans="1:18" x14ac:dyDescent="0.25">
      <c r="A5639">
        <v>205638</v>
      </c>
      <c r="B5639">
        <v>53744</v>
      </c>
      <c r="C5639" t="s">
        <v>18</v>
      </c>
      <c r="D5639">
        <v>622.79</v>
      </c>
      <c r="E5639">
        <v>1283</v>
      </c>
      <c r="F5639">
        <v>2</v>
      </c>
      <c r="G5639">
        <v>3</v>
      </c>
      <c r="H5639">
        <v>0</v>
      </c>
      <c r="I5639" t="s">
        <v>33</v>
      </c>
      <c r="J5639">
        <v>0</v>
      </c>
      <c r="K5639">
        <v>84</v>
      </c>
      <c r="L5639" t="s">
        <v>24</v>
      </c>
      <c r="M5639" t="s">
        <v>29</v>
      </c>
      <c r="N5639" t="s">
        <v>22</v>
      </c>
      <c r="O5639" t="s">
        <v>36</v>
      </c>
      <c r="P5639">
        <v>4.5599999999999996</v>
      </c>
      <c r="Q5639" s="2" t="b">
        <f>FALSE()</f>
        <v>0</v>
      </c>
      <c r="R5639">
        <v>0</v>
      </c>
    </row>
    <row r="5640" spans="1:18" x14ac:dyDescent="0.25">
      <c r="A5640">
        <v>205639</v>
      </c>
      <c r="B5640">
        <v>51709</v>
      </c>
      <c r="C5640" t="s">
        <v>34</v>
      </c>
      <c r="D5640">
        <v>3954.29</v>
      </c>
      <c r="E5640">
        <v>3048</v>
      </c>
      <c r="F5640">
        <v>0</v>
      </c>
      <c r="G5640">
        <v>3</v>
      </c>
      <c r="H5640">
        <v>0</v>
      </c>
      <c r="I5640" t="s">
        <v>33</v>
      </c>
      <c r="J5640">
        <v>0</v>
      </c>
      <c r="K5640">
        <v>42</v>
      </c>
      <c r="L5640" t="s">
        <v>24</v>
      </c>
      <c r="M5640" t="s">
        <v>37</v>
      </c>
      <c r="N5640" t="s">
        <v>30</v>
      </c>
      <c r="O5640" t="s">
        <v>36</v>
      </c>
      <c r="P5640">
        <v>0.67</v>
      </c>
      <c r="Q5640" s="2" t="b">
        <f>FALSE()</f>
        <v>0</v>
      </c>
      <c r="R5640">
        <v>1</v>
      </c>
    </row>
    <row r="5641" spans="1:18" x14ac:dyDescent="0.25">
      <c r="A5641">
        <v>205640</v>
      </c>
      <c r="B5641">
        <v>50025</v>
      </c>
      <c r="C5641" t="s">
        <v>34</v>
      </c>
      <c r="D5641">
        <v>955.85</v>
      </c>
      <c r="E5641">
        <v>544</v>
      </c>
      <c r="F5641">
        <v>1</v>
      </c>
      <c r="G5641">
        <v>8</v>
      </c>
      <c r="H5641">
        <v>0</v>
      </c>
      <c r="I5641" t="s">
        <v>19</v>
      </c>
      <c r="J5641">
        <v>0</v>
      </c>
      <c r="K5641">
        <v>36</v>
      </c>
      <c r="L5641" t="s">
        <v>24</v>
      </c>
      <c r="M5641" t="s">
        <v>25</v>
      </c>
      <c r="N5641" t="s">
        <v>30</v>
      </c>
      <c r="O5641" t="s">
        <v>27</v>
      </c>
      <c r="P5641">
        <v>14.48</v>
      </c>
      <c r="Q5641" s="2" t="b">
        <f>FALSE()</f>
        <v>0</v>
      </c>
      <c r="R5641">
        <v>1</v>
      </c>
    </row>
    <row r="5642" spans="1:18" x14ac:dyDescent="0.25">
      <c r="A5642">
        <v>205641</v>
      </c>
      <c r="B5642">
        <v>50755</v>
      </c>
      <c r="C5642" t="s">
        <v>34</v>
      </c>
      <c r="D5642">
        <v>711.33</v>
      </c>
      <c r="E5642">
        <v>3084</v>
      </c>
      <c r="F5642">
        <v>1</v>
      </c>
      <c r="G5642">
        <v>2</v>
      </c>
      <c r="H5642">
        <v>1</v>
      </c>
      <c r="I5642" t="s">
        <v>19</v>
      </c>
      <c r="J5642">
        <v>0</v>
      </c>
      <c r="K5642">
        <v>24</v>
      </c>
      <c r="L5642" t="s">
        <v>24</v>
      </c>
      <c r="M5642" t="s">
        <v>31</v>
      </c>
      <c r="N5642" t="s">
        <v>26</v>
      </c>
      <c r="O5642" t="s">
        <v>27</v>
      </c>
      <c r="P5642">
        <v>5.97</v>
      </c>
      <c r="Q5642" s="2" t="b">
        <f>FALSE()</f>
        <v>0</v>
      </c>
      <c r="R5642">
        <v>0</v>
      </c>
    </row>
    <row r="5643" spans="1:18" x14ac:dyDescent="0.25">
      <c r="A5643">
        <v>205642</v>
      </c>
      <c r="B5643">
        <v>55658</v>
      </c>
      <c r="C5643" t="s">
        <v>34</v>
      </c>
      <c r="D5643">
        <v>3031.29</v>
      </c>
      <c r="E5643">
        <v>803</v>
      </c>
      <c r="F5643">
        <v>0</v>
      </c>
      <c r="G5643">
        <v>1</v>
      </c>
      <c r="H5643">
        <v>0</v>
      </c>
      <c r="I5643" t="s">
        <v>33</v>
      </c>
      <c r="J5643">
        <v>0</v>
      </c>
      <c r="K5643">
        <v>58</v>
      </c>
      <c r="L5643" t="s">
        <v>20</v>
      </c>
      <c r="M5643" t="s">
        <v>35</v>
      </c>
      <c r="N5643" t="s">
        <v>22</v>
      </c>
      <c r="O5643" t="s">
        <v>23</v>
      </c>
      <c r="P5643">
        <v>1.76</v>
      </c>
      <c r="Q5643" s="2" t="b">
        <f>FALSE()</f>
        <v>0</v>
      </c>
      <c r="R5643">
        <v>0</v>
      </c>
    </row>
    <row r="5644" spans="1:18" x14ac:dyDescent="0.25">
      <c r="A5644">
        <v>205643</v>
      </c>
      <c r="B5644">
        <v>54590</v>
      </c>
      <c r="C5644" t="s">
        <v>18</v>
      </c>
      <c r="D5644">
        <v>621.82000000000005</v>
      </c>
      <c r="E5644">
        <v>3400</v>
      </c>
      <c r="F5644">
        <v>1</v>
      </c>
      <c r="G5644">
        <v>3</v>
      </c>
      <c r="H5644">
        <v>0</v>
      </c>
      <c r="I5644" t="s">
        <v>32</v>
      </c>
      <c r="J5644">
        <v>0</v>
      </c>
      <c r="K5644">
        <v>37</v>
      </c>
      <c r="L5644" t="s">
        <v>20</v>
      </c>
      <c r="M5644" t="s">
        <v>37</v>
      </c>
      <c r="N5644" t="s">
        <v>30</v>
      </c>
      <c r="O5644" t="s">
        <v>23</v>
      </c>
      <c r="P5644">
        <v>2.93</v>
      </c>
      <c r="Q5644" s="2" t="b">
        <f>FALSE()</f>
        <v>0</v>
      </c>
      <c r="R5644">
        <v>0</v>
      </c>
    </row>
    <row r="5645" spans="1:18" x14ac:dyDescent="0.25">
      <c r="A5645">
        <v>205644</v>
      </c>
      <c r="B5645">
        <v>53054</v>
      </c>
      <c r="C5645" t="s">
        <v>18</v>
      </c>
      <c r="D5645">
        <v>1537.07</v>
      </c>
      <c r="E5645">
        <v>2207</v>
      </c>
      <c r="F5645">
        <v>0</v>
      </c>
      <c r="G5645">
        <v>3</v>
      </c>
      <c r="H5645">
        <v>0</v>
      </c>
      <c r="I5645" t="s">
        <v>33</v>
      </c>
      <c r="J5645">
        <v>0</v>
      </c>
      <c r="K5645">
        <v>45</v>
      </c>
      <c r="L5645" t="s">
        <v>24</v>
      </c>
      <c r="M5645" t="s">
        <v>21</v>
      </c>
      <c r="N5645" t="s">
        <v>22</v>
      </c>
      <c r="O5645" t="s">
        <v>36</v>
      </c>
      <c r="P5645">
        <v>3.47</v>
      </c>
      <c r="Q5645" s="2" t="b">
        <f>FALSE()</f>
        <v>0</v>
      </c>
      <c r="R5645">
        <v>0</v>
      </c>
    </row>
    <row r="5646" spans="1:18" x14ac:dyDescent="0.25">
      <c r="A5646">
        <v>205645</v>
      </c>
      <c r="B5646">
        <v>51856</v>
      </c>
      <c r="C5646" t="s">
        <v>18</v>
      </c>
      <c r="D5646">
        <v>824.41</v>
      </c>
      <c r="E5646">
        <v>1164</v>
      </c>
      <c r="F5646">
        <v>1</v>
      </c>
      <c r="G5646">
        <v>4</v>
      </c>
      <c r="H5646">
        <v>0</v>
      </c>
      <c r="I5646" t="s">
        <v>33</v>
      </c>
      <c r="J5646">
        <v>1</v>
      </c>
      <c r="K5646">
        <v>34</v>
      </c>
      <c r="L5646" t="s">
        <v>24</v>
      </c>
      <c r="M5646" t="s">
        <v>21</v>
      </c>
      <c r="N5646" t="s">
        <v>22</v>
      </c>
      <c r="O5646" t="s">
        <v>27</v>
      </c>
      <c r="P5646">
        <v>1.8</v>
      </c>
      <c r="Q5646" s="2" t="b">
        <f>FALSE()</f>
        <v>0</v>
      </c>
      <c r="R5646">
        <v>0</v>
      </c>
    </row>
    <row r="5647" spans="1:18" x14ac:dyDescent="0.25">
      <c r="A5647">
        <v>205646</v>
      </c>
      <c r="B5647">
        <v>51704</v>
      </c>
      <c r="C5647" t="s">
        <v>34</v>
      </c>
      <c r="D5647">
        <v>1262.44</v>
      </c>
      <c r="E5647">
        <v>235</v>
      </c>
      <c r="F5647">
        <v>1</v>
      </c>
      <c r="G5647">
        <v>9</v>
      </c>
      <c r="H5647">
        <v>1</v>
      </c>
      <c r="I5647" t="s">
        <v>33</v>
      </c>
      <c r="J5647">
        <v>0</v>
      </c>
      <c r="K5647">
        <v>36</v>
      </c>
      <c r="L5647" t="s">
        <v>24</v>
      </c>
      <c r="M5647" t="s">
        <v>21</v>
      </c>
      <c r="N5647" t="s">
        <v>22</v>
      </c>
      <c r="O5647" t="s">
        <v>27</v>
      </c>
      <c r="P5647">
        <v>1.92</v>
      </c>
      <c r="Q5647" s="2" t="b">
        <f>FALSE()</f>
        <v>0</v>
      </c>
      <c r="R5647">
        <v>1</v>
      </c>
    </row>
    <row r="5648" spans="1:18" x14ac:dyDescent="0.25">
      <c r="A5648">
        <v>205647</v>
      </c>
      <c r="B5648">
        <v>54838</v>
      </c>
      <c r="C5648" t="s">
        <v>18</v>
      </c>
      <c r="D5648">
        <v>2703.81</v>
      </c>
      <c r="E5648">
        <v>2125</v>
      </c>
      <c r="F5648">
        <v>1</v>
      </c>
      <c r="G5648">
        <v>4</v>
      </c>
      <c r="H5648">
        <v>0</v>
      </c>
      <c r="I5648" t="s">
        <v>33</v>
      </c>
      <c r="J5648">
        <v>0</v>
      </c>
      <c r="K5648">
        <v>63</v>
      </c>
      <c r="L5648" t="s">
        <v>24</v>
      </c>
      <c r="M5648" t="s">
        <v>35</v>
      </c>
      <c r="N5648" t="s">
        <v>22</v>
      </c>
      <c r="O5648" t="s">
        <v>36</v>
      </c>
      <c r="P5648">
        <v>1.1299999999999999</v>
      </c>
      <c r="Q5648" s="2" t="b">
        <f>FALSE()</f>
        <v>0</v>
      </c>
      <c r="R5648">
        <v>0</v>
      </c>
    </row>
    <row r="5649" spans="1:18" x14ac:dyDescent="0.25">
      <c r="A5649">
        <v>205648</v>
      </c>
      <c r="B5649">
        <v>50288</v>
      </c>
      <c r="C5649" t="s">
        <v>18</v>
      </c>
      <c r="D5649">
        <v>1055.5899999999999</v>
      </c>
      <c r="E5649">
        <v>1917</v>
      </c>
      <c r="F5649">
        <v>1</v>
      </c>
      <c r="G5649">
        <v>1</v>
      </c>
      <c r="H5649">
        <v>0</v>
      </c>
      <c r="I5649" t="s">
        <v>19</v>
      </c>
      <c r="J5649">
        <v>0</v>
      </c>
      <c r="K5649">
        <v>58</v>
      </c>
      <c r="L5649" t="s">
        <v>24</v>
      </c>
      <c r="M5649" t="s">
        <v>29</v>
      </c>
      <c r="N5649" t="s">
        <v>30</v>
      </c>
      <c r="O5649" t="s">
        <v>27</v>
      </c>
      <c r="P5649">
        <v>7.27</v>
      </c>
      <c r="Q5649" s="2" t="b">
        <f>FALSE()</f>
        <v>0</v>
      </c>
      <c r="R5649">
        <v>0</v>
      </c>
    </row>
    <row r="5650" spans="1:18" x14ac:dyDescent="0.25">
      <c r="A5650">
        <v>205649</v>
      </c>
      <c r="B5650">
        <v>54005</v>
      </c>
      <c r="C5650" t="s">
        <v>28</v>
      </c>
      <c r="D5650">
        <v>1045.5999999999999</v>
      </c>
      <c r="E5650">
        <v>3023</v>
      </c>
      <c r="F5650">
        <v>3</v>
      </c>
      <c r="G5650">
        <v>4</v>
      </c>
      <c r="H5650">
        <v>1</v>
      </c>
      <c r="I5650" t="s">
        <v>19</v>
      </c>
      <c r="J5650">
        <v>0</v>
      </c>
      <c r="K5650">
        <v>59</v>
      </c>
      <c r="L5650" t="s">
        <v>24</v>
      </c>
      <c r="M5650" t="s">
        <v>29</v>
      </c>
      <c r="N5650" t="s">
        <v>22</v>
      </c>
      <c r="O5650" t="s">
        <v>36</v>
      </c>
      <c r="P5650">
        <v>1.18</v>
      </c>
      <c r="Q5650" s="2" t="b">
        <f>FALSE()</f>
        <v>0</v>
      </c>
      <c r="R5650">
        <v>1</v>
      </c>
    </row>
    <row r="5651" spans="1:18" x14ac:dyDescent="0.25">
      <c r="A5651">
        <v>205650</v>
      </c>
      <c r="B5651">
        <v>51318</v>
      </c>
      <c r="C5651" t="s">
        <v>28</v>
      </c>
      <c r="D5651">
        <v>2861.65</v>
      </c>
      <c r="E5651">
        <v>858</v>
      </c>
      <c r="F5651">
        <v>1</v>
      </c>
      <c r="G5651">
        <v>2</v>
      </c>
      <c r="H5651">
        <v>0</v>
      </c>
      <c r="I5651" t="s">
        <v>32</v>
      </c>
      <c r="J5651">
        <v>1</v>
      </c>
      <c r="K5651">
        <v>84</v>
      </c>
      <c r="L5651" t="s">
        <v>20</v>
      </c>
      <c r="M5651" t="s">
        <v>37</v>
      </c>
      <c r="N5651" t="s">
        <v>30</v>
      </c>
      <c r="O5651" t="s">
        <v>27</v>
      </c>
      <c r="P5651">
        <v>5.85</v>
      </c>
      <c r="Q5651" s="2" t="b">
        <f>FALSE()</f>
        <v>0</v>
      </c>
      <c r="R5651">
        <v>0</v>
      </c>
    </row>
    <row r="5652" spans="1:18" x14ac:dyDescent="0.25">
      <c r="A5652">
        <v>205651</v>
      </c>
      <c r="B5652">
        <v>54012</v>
      </c>
      <c r="C5652" t="s">
        <v>34</v>
      </c>
      <c r="D5652">
        <v>5191.6899999999996</v>
      </c>
      <c r="E5652">
        <v>2117</v>
      </c>
      <c r="F5652">
        <v>1</v>
      </c>
      <c r="G5652">
        <v>3</v>
      </c>
      <c r="H5652">
        <v>0</v>
      </c>
      <c r="I5652" t="s">
        <v>33</v>
      </c>
      <c r="J5652">
        <v>0</v>
      </c>
      <c r="K5652">
        <v>47</v>
      </c>
      <c r="L5652" t="s">
        <v>20</v>
      </c>
      <c r="M5652" t="s">
        <v>21</v>
      </c>
      <c r="N5652" t="s">
        <v>26</v>
      </c>
      <c r="O5652" t="s">
        <v>23</v>
      </c>
      <c r="P5652">
        <v>1.55</v>
      </c>
      <c r="Q5652" s="2" t="b">
        <f>FALSE()</f>
        <v>0</v>
      </c>
      <c r="R5652">
        <v>1</v>
      </c>
    </row>
    <row r="5653" spans="1:18" x14ac:dyDescent="0.25">
      <c r="A5653">
        <v>205652</v>
      </c>
      <c r="B5653">
        <v>54973</v>
      </c>
      <c r="C5653" t="s">
        <v>28</v>
      </c>
      <c r="D5653">
        <v>3144.5</v>
      </c>
      <c r="E5653">
        <v>2101</v>
      </c>
      <c r="F5653">
        <v>0</v>
      </c>
      <c r="G5653">
        <v>2</v>
      </c>
      <c r="H5653">
        <v>0</v>
      </c>
      <c r="I5653" t="s">
        <v>19</v>
      </c>
      <c r="J5653">
        <v>1</v>
      </c>
      <c r="K5653">
        <v>34</v>
      </c>
      <c r="L5653" t="s">
        <v>24</v>
      </c>
      <c r="M5653" t="s">
        <v>31</v>
      </c>
      <c r="N5653" t="s">
        <v>22</v>
      </c>
      <c r="O5653" t="s">
        <v>36</v>
      </c>
      <c r="P5653">
        <v>1.63</v>
      </c>
      <c r="Q5653" s="2" t="b">
        <f>FALSE()</f>
        <v>0</v>
      </c>
      <c r="R5653">
        <v>0</v>
      </c>
    </row>
    <row r="5654" spans="1:18" x14ac:dyDescent="0.25">
      <c r="A5654">
        <v>205653</v>
      </c>
      <c r="B5654">
        <v>52817</v>
      </c>
      <c r="C5654" t="s">
        <v>34</v>
      </c>
      <c r="D5654">
        <v>3738.49</v>
      </c>
      <c r="E5654">
        <v>1814</v>
      </c>
      <c r="F5654">
        <v>0</v>
      </c>
      <c r="G5654">
        <v>8</v>
      </c>
      <c r="H5654">
        <v>0</v>
      </c>
      <c r="I5654" t="s">
        <v>33</v>
      </c>
      <c r="J5654">
        <v>1</v>
      </c>
      <c r="K5654">
        <v>69</v>
      </c>
      <c r="L5654" t="s">
        <v>24</v>
      </c>
      <c r="M5654" t="s">
        <v>25</v>
      </c>
      <c r="N5654" t="s">
        <v>22</v>
      </c>
      <c r="O5654" t="s">
        <v>27</v>
      </c>
      <c r="P5654">
        <v>0.35</v>
      </c>
      <c r="Q5654" s="2" t="b">
        <f>FALSE()</f>
        <v>0</v>
      </c>
      <c r="R5654">
        <v>1</v>
      </c>
    </row>
    <row r="5655" spans="1:18" x14ac:dyDescent="0.25">
      <c r="A5655">
        <v>205654</v>
      </c>
      <c r="B5655">
        <v>51478</v>
      </c>
      <c r="C5655" t="s">
        <v>18</v>
      </c>
      <c r="D5655">
        <v>2028.13</v>
      </c>
      <c r="E5655">
        <v>1084</v>
      </c>
      <c r="F5655">
        <v>3</v>
      </c>
      <c r="G5655">
        <v>5</v>
      </c>
      <c r="H5655">
        <v>0</v>
      </c>
      <c r="I5655" t="s">
        <v>33</v>
      </c>
      <c r="J5655">
        <v>0</v>
      </c>
      <c r="K5655">
        <v>19</v>
      </c>
      <c r="L5655" t="s">
        <v>20</v>
      </c>
      <c r="M5655" t="s">
        <v>35</v>
      </c>
      <c r="N5655" t="s">
        <v>30</v>
      </c>
      <c r="O5655" t="s">
        <v>36</v>
      </c>
      <c r="P5655">
        <v>5.57</v>
      </c>
      <c r="Q5655" s="2" t="b">
        <f>FALSE()</f>
        <v>0</v>
      </c>
      <c r="R5655">
        <v>1</v>
      </c>
    </row>
    <row r="5656" spans="1:18" x14ac:dyDescent="0.25">
      <c r="A5656">
        <v>205655</v>
      </c>
      <c r="B5656">
        <v>54380</v>
      </c>
      <c r="C5656" t="s">
        <v>34</v>
      </c>
      <c r="D5656">
        <v>6186.77</v>
      </c>
      <c r="E5656">
        <v>1859</v>
      </c>
      <c r="F5656">
        <v>0</v>
      </c>
      <c r="G5656">
        <v>5</v>
      </c>
      <c r="H5656">
        <v>0</v>
      </c>
      <c r="I5656" t="s">
        <v>19</v>
      </c>
      <c r="J5656">
        <v>0</v>
      </c>
      <c r="K5656">
        <v>53</v>
      </c>
      <c r="L5656" t="s">
        <v>20</v>
      </c>
      <c r="M5656" t="s">
        <v>37</v>
      </c>
      <c r="N5656" t="s">
        <v>22</v>
      </c>
      <c r="O5656" t="s">
        <v>36</v>
      </c>
      <c r="P5656">
        <v>0.85</v>
      </c>
      <c r="Q5656" s="2" t="b">
        <f>FALSE()</f>
        <v>0</v>
      </c>
      <c r="R5656">
        <v>1</v>
      </c>
    </row>
    <row r="5657" spans="1:18" x14ac:dyDescent="0.25">
      <c r="A5657">
        <v>205656</v>
      </c>
      <c r="B5657">
        <v>50664</v>
      </c>
      <c r="C5657" t="s">
        <v>18</v>
      </c>
      <c r="D5657">
        <v>772.12</v>
      </c>
      <c r="E5657">
        <v>1881</v>
      </c>
      <c r="F5657">
        <v>3</v>
      </c>
      <c r="G5657">
        <v>2</v>
      </c>
      <c r="H5657">
        <v>1</v>
      </c>
      <c r="I5657" t="s">
        <v>33</v>
      </c>
      <c r="J5657">
        <v>0</v>
      </c>
      <c r="K5657">
        <v>76</v>
      </c>
      <c r="L5657" t="s">
        <v>20</v>
      </c>
      <c r="M5657" t="s">
        <v>25</v>
      </c>
      <c r="N5657" t="s">
        <v>22</v>
      </c>
      <c r="O5657" t="s">
        <v>27</v>
      </c>
      <c r="P5657">
        <v>5.24</v>
      </c>
      <c r="Q5657" s="2" t="b">
        <f>FALSE()</f>
        <v>0</v>
      </c>
      <c r="R5657">
        <v>1</v>
      </c>
    </row>
    <row r="5658" spans="1:18" x14ac:dyDescent="0.25">
      <c r="A5658">
        <v>205657</v>
      </c>
      <c r="B5658">
        <v>50199</v>
      </c>
      <c r="C5658" t="s">
        <v>28</v>
      </c>
      <c r="D5658">
        <v>1932.09</v>
      </c>
      <c r="E5658">
        <v>964</v>
      </c>
      <c r="F5658">
        <v>1</v>
      </c>
      <c r="G5658">
        <v>5</v>
      </c>
      <c r="H5658">
        <v>0</v>
      </c>
      <c r="I5658" t="s">
        <v>33</v>
      </c>
      <c r="J5658">
        <v>0</v>
      </c>
      <c r="K5658">
        <v>81</v>
      </c>
      <c r="L5658" t="s">
        <v>20</v>
      </c>
      <c r="M5658" t="s">
        <v>31</v>
      </c>
      <c r="N5658" t="s">
        <v>30</v>
      </c>
      <c r="O5658" t="s">
        <v>36</v>
      </c>
      <c r="P5658">
        <v>2.23</v>
      </c>
      <c r="Q5658" s="2" t="b">
        <f>FALSE()</f>
        <v>0</v>
      </c>
      <c r="R5658">
        <v>0</v>
      </c>
    </row>
    <row r="5659" spans="1:18" x14ac:dyDescent="0.25">
      <c r="A5659">
        <v>205658</v>
      </c>
      <c r="B5659">
        <v>55050</v>
      </c>
      <c r="C5659" t="s">
        <v>34</v>
      </c>
      <c r="D5659">
        <v>1184.9000000000001</v>
      </c>
      <c r="E5659">
        <v>2988</v>
      </c>
      <c r="F5659">
        <v>2</v>
      </c>
      <c r="G5659">
        <v>3</v>
      </c>
      <c r="H5659">
        <v>0</v>
      </c>
      <c r="I5659" t="s">
        <v>19</v>
      </c>
      <c r="J5659">
        <v>0</v>
      </c>
      <c r="K5659">
        <v>27</v>
      </c>
      <c r="L5659" t="s">
        <v>20</v>
      </c>
      <c r="M5659" t="s">
        <v>29</v>
      </c>
      <c r="N5659" t="s">
        <v>22</v>
      </c>
      <c r="O5659" t="s">
        <v>27</v>
      </c>
      <c r="P5659">
        <v>3.9</v>
      </c>
      <c r="Q5659" s="2" t="b">
        <f>FALSE()</f>
        <v>0</v>
      </c>
      <c r="R5659">
        <v>0</v>
      </c>
    </row>
    <row r="5660" spans="1:18" x14ac:dyDescent="0.25">
      <c r="A5660">
        <v>205659</v>
      </c>
      <c r="B5660">
        <v>52983</v>
      </c>
      <c r="C5660" t="s">
        <v>34</v>
      </c>
      <c r="D5660">
        <v>3196.29</v>
      </c>
      <c r="E5660">
        <v>3345</v>
      </c>
      <c r="F5660">
        <v>1</v>
      </c>
      <c r="G5660">
        <v>3</v>
      </c>
      <c r="H5660">
        <v>1</v>
      </c>
      <c r="I5660" t="s">
        <v>19</v>
      </c>
      <c r="J5660">
        <v>0</v>
      </c>
      <c r="K5660">
        <v>57</v>
      </c>
      <c r="L5660" t="s">
        <v>24</v>
      </c>
      <c r="M5660" t="s">
        <v>25</v>
      </c>
      <c r="N5660" t="s">
        <v>22</v>
      </c>
      <c r="O5660" t="s">
        <v>36</v>
      </c>
      <c r="P5660">
        <v>0.78</v>
      </c>
      <c r="Q5660" s="2" t="b">
        <f>FALSE()</f>
        <v>0</v>
      </c>
      <c r="R5660">
        <v>0</v>
      </c>
    </row>
    <row r="5661" spans="1:18" x14ac:dyDescent="0.25">
      <c r="A5661">
        <v>205660</v>
      </c>
      <c r="B5661">
        <v>55564</v>
      </c>
      <c r="C5661" t="s">
        <v>34</v>
      </c>
      <c r="D5661">
        <v>1783.88</v>
      </c>
      <c r="E5661">
        <v>767</v>
      </c>
      <c r="F5661">
        <v>1</v>
      </c>
      <c r="G5661">
        <v>1</v>
      </c>
      <c r="H5661">
        <v>1</v>
      </c>
      <c r="I5661" t="s">
        <v>33</v>
      </c>
      <c r="J5661">
        <v>0</v>
      </c>
      <c r="K5661">
        <v>57</v>
      </c>
      <c r="L5661" t="s">
        <v>20</v>
      </c>
      <c r="M5661" t="s">
        <v>21</v>
      </c>
      <c r="N5661" t="s">
        <v>22</v>
      </c>
      <c r="O5661" t="s">
        <v>23</v>
      </c>
      <c r="P5661">
        <v>0.87</v>
      </c>
      <c r="Q5661" s="2" t="b">
        <f>FALSE()</f>
        <v>0</v>
      </c>
      <c r="R5661">
        <v>0</v>
      </c>
    </row>
    <row r="5662" spans="1:18" x14ac:dyDescent="0.25">
      <c r="A5662">
        <v>205661</v>
      </c>
      <c r="B5662">
        <v>50943</v>
      </c>
      <c r="C5662" t="s">
        <v>28</v>
      </c>
      <c r="D5662">
        <v>7658.09</v>
      </c>
      <c r="E5662">
        <v>1185</v>
      </c>
      <c r="F5662">
        <v>0</v>
      </c>
      <c r="G5662">
        <v>6</v>
      </c>
      <c r="H5662">
        <v>0</v>
      </c>
      <c r="I5662" t="s">
        <v>19</v>
      </c>
      <c r="J5662">
        <v>0</v>
      </c>
      <c r="K5662">
        <v>82</v>
      </c>
      <c r="L5662" t="s">
        <v>24</v>
      </c>
      <c r="M5662" t="s">
        <v>21</v>
      </c>
      <c r="N5662" t="s">
        <v>22</v>
      </c>
      <c r="O5662" t="s">
        <v>27</v>
      </c>
      <c r="P5662">
        <v>2.11</v>
      </c>
      <c r="Q5662" s="2" t="b">
        <f>TRUE()</f>
        <v>1</v>
      </c>
      <c r="R5662">
        <v>1</v>
      </c>
    </row>
    <row r="5663" spans="1:18" x14ac:dyDescent="0.25">
      <c r="A5663">
        <v>205662</v>
      </c>
      <c r="B5663">
        <v>55566</v>
      </c>
      <c r="C5663" t="s">
        <v>18</v>
      </c>
      <c r="D5663">
        <v>2192.44</v>
      </c>
      <c r="E5663">
        <v>118</v>
      </c>
      <c r="F5663">
        <v>3</v>
      </c>
      <c r="G5663">
        <v>4</v>
      </c>
      <c r="H5663">
        <v>0</v>
      </c>
      <c r="I5663" t="s">
        <v>33</v>
      </c>
      <c r="J5663">
        <v>0</v>
      </c>
      <c r="K5663">
        <v>48</v>
      </c>
      <c r="L5663" t="s">
        <v>24</v>
      </c>
      <c r="M5663" t="s">
        <v>21</v>
      </c>
      <c r="N5663" t="s">
        <v>30</v>
      </c>
      <c r="O5663" t="s">
        <v>27</v>
      </c>
      <c r="P5663">
        <v>3.38</v>
      </c>
      <c r="Q5663" s="2" t="b">
        <f>FALSE()</f>
        <v>0</v>
      </c>
      <c r="R5663">
        <v>1</v>
      </c>
    </row>
    <row r="5664" spans="1:18" x14ac:dyDescent="0.25">
      <c r="A5664">
        <v>205663</v>
      </c>
      <c r="B5664">
        <v>54817</v>
      </c>
      <c r="C5664" t="s">
        <v>18</v>
      </c>
      <c r="D5664">
        <v>1212.47</v>
      </c>
      <c r="E5664">
        <v>2510</v>
      </c>
      <c r="F5664">
        <v>0</v>
      </c>
      <c r="G5664">
        <v>5</v>
      </c>
      <c r="H5664">
        <v>0</v>
      </c>
      <c r="I5664" t="s">
        <v>33</v>
      </c>
      <c r="J5664">
        <v>0</v>
      </c>
      <c r="K5664">
        <v>83</v>
      </c>
      <c r="L5664" t="s">
        <v>24</v>
      </c>
      <c r="M5664" t="s">
        <v>31</v>
      </c>
      <c r="N5664" t="s">
        <v>22</v>
      </c>
      <c r="O5664" t="s">
        <v>27</v>
      </c>
      <c r="P5664">
        <v>0.95</v>
      </c>
      <c r="Q5664" s="2" t="b">
        <f>FALSE()</f>
        <v>0</v>
      </c>
      <c r="R5664">
        <v>0</v>
      </c>
    </row>
    <row r="5665" spans="1:18" x14ac:dyDescent="0.25">
      <c r="A5665">
        <v>205664</v>
      </c>
      <c r="B5665">
        <v>55854</v>
      </c>
      <c r="C5665" t="s">
        <v>18</v>
      </c>
      <c r="D5665">
        <v>3750.19</v>
      </c>
      <c r="E5665">
        <v>2285</v>
      </c>
      <c r="F5665">
        <v>1</v>
      </c>
      <c r="G5665">
        <v>6</v>
      </c>
      <c r="H5665">
        <v>0</v>
      </c>
      <c r="I5665" t="s">
        <v>19</v>
      </c>
      <c r="J5665">
        <v>0</v>
      </c>
      <c r="K5665">
        <v>22</v>
      </c>
      <c r="L5665" t="s">
        <v>20</v>
      </c>
      <c r="M5665" t="s">
        <v>31</v>
      </c>
      <c r="N5665" t="s">
        <v>30</v>
      </c>
      <c r="O5665" t="s">
        <v>27</v>
      </c>
      <c r="P5665">
        <v>2.2799999999999998</v>
      </c>
      <c r="Q5665" s="2" t="b">
        <f>FALSE()</f>
        <v>0</v>
      </c>
      <c r="R5665">
        <v>1</v>
      </c>
    </row>
    <row r="5666" spans="1:18" x14ac:dyDescent="0.25">
      <c r="A5666">
        <v>205665</v>
      </c>
      <c r="B5666">
        <v>50146</v>
      </c>
      <c r="C5666" t="s">
        <v>28</v>
      </c>
      <c r="D5666">
        <v>5032.17</v>
      </c>
      <c r="E5666">
        <v>3349</v>
      </c>
      <c r="F5666">
        <v>0</v>
      </c>
      <c r="G5666">
        <v>5</v>
      </c>
      <c r="H5666">
        <v>0</v>
      </c>
      <c r="I5666" t="s">
        <v>19</v>
      </c>
      <c r="J5666">
        <v>0</v>
      </c>
      <c r="K5666">
        <v>82</v>
      </c>
      <c r="L5666" t="s">
        <v>24</v>
      </c>
      <c r="M5666" t="s">
        <v>29</v>
      </c>
      <c r="N5666" t="s">
        <v>26</v>
      </c>
      <c r="O5666" t="s">
        <v>27</v>
      </c>
      <c r="P5666">
        <v>3.01</v>
      </c>
      <c r="Q5666" s="2" t="b">
        <f>FALSE()</f>
        <v>0</v>
      </c>
      <c r="R5666">
        <v>1</v>
      </c>
    </row>
    <row r="5667" spans="1:18" x14ac:dyDescent="0.25">
      <c r="A5667">
        <v>205666</v>
      </c>
      <c r="B5667">
        <v>51278</v>
      </c>
      <c r="C5667" t="s">
        <v>34</v>
      </c>
      <c r="D5667">
        <v>2374.48</v>
      </c>
      <c r="E5667">
        <v>199</v>
      </c>
      <c r="F5667">
        <v>0</v>
      </c>
      <c r="G5667">
        <v>2</v>
      </c>
      <c r="H5667">
        <v>0</v>
      </c>
      <c r="I5667" t="s">
        <v>19</v>
      </c>
      <c r="J5667">
        <v>0</v>
      </c>
      <c r="K5667">
        <v>53</v>
      </c>
      <c r="L5667" t="s">
        <v>24</v>
      </c>
      <c r="M5667" t="s">
        <v>25</v>
      </c>
      <c r="N5667" t="s">
        <v>26</v>
      </c>
      <c r="O5667" t="s">
        <v>36</v>
      </c>
      <c r="P5667">
        <v>3.73</v>
      </c>
      <c r="Q5667" s="2" t="b">
        <f>FALSE()</f>
        <v>0</v>
      </c>
      <c r="R5667">
        <v>0</v>
      </c>
    </row>
    <row r="5668" spans="1:18" x14ac:dyDescent="0.25">
      <c r="A5668">
        <v>205667</v>
      </c>
      <c r="B5668">
        <v>54662</v>
      </c>
      <c r="C5668" t="s">
        <v>18</v>
      </c>
      <c r="D5668">
        <v>1701.67</v>
      </c>
      <c r="E5668">
        <v>2846</v>
      </c>
      <c r="F5668">
        <v>0</v>
      </c>
      <c r="G5668">
        <v>3</v>
      </c>
      <c r="H5668">
        <v>0</v>
      </c>
      <c r="I5668" t="s">
        <v>33</v>
      </c>
      <c r="J5668">
        <v>1</v>
      </c>
      <c r="K5668">
        <v>58</v>
      </c>
      <c r="L5668" t="s">
        <v>20</v>
      </c>
      <c r="M5668" t="s">
        <v>25</v>
      </c>
      <c r="N5668" t="s">
        <v>22</v>
      </c>
      <c r="O5668" t="s">
        <v>23</v>
      </c>
      <c r="P5668">
        <v>1.02</v>
      </c>
      <c r="Q5668" s="2" t="b">
        <f>FALSE()</f>
        <v>0</v>
      </c>
      <c r="R5668">
        <v>0</v>
      </c>
    </row>
    <row r="5669" spans="1:18" x14ac:dyDescent="0.25">
      <c r="A5669">
        <v>205668</v>
      </c>
      <c r="B5669">
        <v>53104</v>
      </c>
      <c r="C5669" t="s">
        <v>28</v>
      </c>
      <c r="D5669">
        <v>1919.39</v>
      </c>
      <c r="E5669">
        <v>1942</v>
      </c>
      <c r="F5669">
        <v>1</v>
      </c>
      <c r="G5669">
        <v>3</v>
      </c>
      <c r="H5669">
        <v>0</v>
      </c>
      <c r="I5669" t="s">
        <v>19</v>
      </c>
      <c r="J5669">
        <v>0</v>
      </c>
      <c r="K5669">
        <v>78</v>
      </c>
      <c r="L5669" t="s">
        <v>20</v>
      </c>
      <c r="M5669" t="s">
        <v>31</v>
      </c>
      <c r="N5669" t="s">
        <v>26</v>
      </c>
      <c r="O5669" t="s">
        <v>27</v>
      </c>
      <c r="P5669">
        <v>0.01</v>
      </c>
      <c r="Q5669" s="2" t="b">
        <f>FALSE()</f>
        <v>0</v>
      </c>
      <c r="R5669">
        <v>0</v>
      </c>
    </row>
    <row r="5670" spans="1:18" x14ac:dyDescent="0.25">
      <c r="A5670">
        <v>205669</v>
      </c>
      <c r="B5670">
        <v>52790</v>
      </c>
      <c r="C5670" t="s">
        <v>28</v>
      </c>
      <c r="D5670">
        <v>3690.87</v>
      </c>
      <c r="E5670">
        <v>2802</v>
      </c>
      <c r="F5670">
        <v>1</v>
      </c>
      <c r="G5670">
        <v>3</v>
      </c>
      <c r="H5670">
        <v>1</v>
      </c>
      <c r="I5670" t="s">
        <v>33</v>
      </c>
      <c r="J5670">
        <v>0</v>
      </c>
      <c r="K5670">
        <v>45</v>
      </c>
      <c r="L5670" t="s">
        <v>20</v>
      </c>
      <c r="M5670" t="s">
        <v>31</v>
      </c>
      <c r="N5670" t="s">
        <v>22</v>
      </c>
      <c r="O5670" t="s">
        <v>27</v>
      </c>
      <c r="P5670">
        <v>0.25</v>
      </c>
      <c r="Q5670" s="2" t="b">
        <f>FALSE()</f>
        <v>0</v>
      </c>
      <c r="R5670">
        <v>1</v>
      </c>
    </row>
    <row r="5671" spans="1:18" x14ac:dyDescent="0.25">
      <c r="A5671">
        <v>205670</v>
      </c>
      <c r="B5671">
        <v>52615</v>
      </c>
      <c r="C5671" t="s">
        <v>34</v>
      </c>
      <c r="D5671">
        <v>3303.02</v>
      </c>
      <c r="E5671">
        <v>1575</v>
      </c>
      <c r="F5671">
        <v>1</v>
      </c>
      <c r="G5671">
        <v>5</v>
      </c>
      <c r="H5671">
        <v>0</v>
      </c>
      <c r="I5671" t="s">
        <v>33</v>
      </c>
      <c r="J5671">
        <v>0</v>
      </c>
      <c r="K5671">
        <v>64</v>
      </c>
      <c r="L5671" t="s">
        <v>24</v>
      </c>
      <c r="M5671" t="s">
        <v>31</v>
      </c>
      <c r="N5671" t="s">
        <v>26</v>
      </c>
      <c r="O5671" t="s">
        <v>27</v>
      </c>
      <c r="P5671">
        <v>5.24</v>
      </c>
      <c r="Q5671" s="2" t="b">
        <f>FALSE()</f>
        <v>0</v>
      </c>
      <c r="R5671">
        <v>0</v>
      </c>
    </row>
    <row r="5672" spans="1:18" x14ac:dyDescent="0.25">
      <c r="A5672">
        <v>205671</v>
      </c>
      <c r="B5672">
        <v>52550</v>
      </c>
      <c r="C5672" t="s">
        <v>34</v>
      </c>
      <c r="D5672">
        <v>4428.6400000000003</v>
      </c>
      <c r="E5672">
        <v>1342</v>
      </c>
      <c r="F5672">
        <v>2</v>
      </c>
      <c r="G5672">
        <v>4</v>
      </c>
      <c r="H5672">
        <v>0</v>
      </c>
      <c r="I5672" t="s">
        <v>19</v>
      </c>
      <c r="J5672">
        <v>0</v>
      </c>
      <c r="K5672">
        <v>60</v>
      </c>
      <c r="L5672" t="s">
        <v>20</v>
      </c>
      <c r="M5672" t="s">
        <v>29</v>
      </c>
      <c r="N5672" t="s">
        <v>22</v>
      </c>
      <c r="O5672" t="s">
        <v>36</v>
      </c>
      <c r="P5672">
        <v>3.73</v>
      </c>
      <c r="Q5672" s="2" t="b">
        <f>FALSE()</f>
        <v>0</v>
      </c>
      <c r="R5672">
        <v>1</v>
      </c>
    </row>
    <row r="5673" spans="1:18" x14ac:dyDescent="0.25">
      <c r="A5673">
        <v>205672</v>
      </c>
      <c r="B5673">
        <v>51950</v>
      </c>
      <c r="C5673" t="s">
        <v>34</v>
      </c>
      <c r="D5673">
        <v>5015.72</v>
      </c>
      <c r="E5673">
        <v>3153</v>
      </c>
      <c r="F5673">
        <v>3</v>
      </c>
      <c r="G5673">
        <v>6</v>
      </c>
      <c r="H5673">
        <v>1</v>
      </c>
      <c r="I5673" t="s">
        <v>19</v>
      </c>
      <c r="J5673">
        <v>0</v>
      </c>
      <c r="K5673">
        <v>61</v>
      </c>
      <c r="L5673" t="s">
        <v>24</v>
      </c>
      <c r="M5673" t="s">
        <v>37</v>
      </c>
      <c r="N5673" t="s">
        <v>26</v>
      </c>
      <c r="O5673" t="s">
        <v>27</v>
      </c>
      <c r="P5673">
        <v>0.05</v>
      </c>
      <c r="Q5673" s="2" t="b">
        <f>FALSE()</f>
        <v>0</v>
      </c>
      <c r="R5673">
        <v>1</v>
      </c>
    </row>
    <row r="5674" spans="1:18" x14ac:dyDescent="0.25">
      <c r="A5674">
        <v>205673</v>
      </c>
      <c r="B5674">
        <v>55559</v>
      </c>
      <c r="C5674" t="s">
        <v>18</v>
      </c>
      <c r="D5674">
        <v>1827.7</v>
      </c>
      <c r="E5674">
        <v>213</v>
      </c>
      <c r="F5674">
        <v>0</v>
      </c>
      <c r="G5674">
        <v>5</v>
      </c>
      <c r="H5674">
        <v>1</v>
      </c>
      <c r="I5674" t="s">
        <v>33</v>
      </c>
      <c r="J5674">
        <v>0</v>
      </c>
      <c r="K5674">
        <v>49</v>
      </c>
      <c r="L5674" t="s">
        <v>20</v>
      </c>
      <c r="M5674" t="s">
        <v>21</v>
      </c>
      <c r="N5674" t="s">
        <v>30</v>
      </c>
      <c r="O5674" t="s">
        <v>27</v>
      </c>
      <c r="P5674">
        <v>4.5</v>
      </c>
      <c r="Q5674" s="2" t="b">
        <f>FALSE()</f>
        <v>0</v>
      </c>
      <c r="R5674">
        <v>0</v>
      </c>
    </row>
    <row r="5675" spans="1:18" x14ac:dyDescent="0.25">
      <c r="A5675">
        <v>205674</v>
      </c>
      <c r="B5675">
        <v>54500</v>
      </c>
      <c r="C5675" t="s">
        <v>28</v>
      </c>
      <c r="D5675">
        <v>5622.43</v>
      </c>
      <c r="E5675">
        <v>2645</v>
      </c>
      <c r="F5675">
        <v>1</v>
      </c>
      <c r="G5675">
        <v>6</v>
      </c>
      <c r="H5675">
        <v>0</v>
      </c>
      <c r="I5675" t="s">
        <v>33</v>
      </c>
      <c r="J5675">
        <v>0</v>
      </c>
      <c r="K5675">
        <v>82</v>
      </c>
      <c r="L5675" t="s">
        <v>20</v>
      </c>
      <c r="M5675" t="s">
        <v>25</v>
      </c>
      <c r="N5675" t="s">
        <v>26</v>
      </c>
      <c r="O5675" t="s">
        <v>27</v>
      </c>
      <c r="P5675">
        <v>0.76</v>
      </c>
      <c r="Q5675" s="2" t="b">
        <f>FALSE()</f>
        <v>0</v>
      </c>
      <c r="R5675">
        <v>1</v>
      </c>
    </row>
    <row r="5676" spans="1:18" x14ac:dyDescent="0.25">
      <c r="A5676">
        <v>205675</v>
      </c>
      <c r="B5676">
        <v>54912</v>
      </c>
      <c r="C5676" t="s">
        <v>18</v>
      </c>
      <c r="D5676">
        <v>2904.43</v>
      </c>
      <c r="E5676">
        <v>2813</v>
      </c>
      <c r="F5676">
        <v>3</v>
      </c>
      <c r="G5676">
        <v>4</v>
      </c>
      <c r="H5676">
        <v>0</v>
      </c>
      <c r="I5676" t="s">
        <v>33</v>
      </c>
      <c r="J5676">
        <v>0</v>
      </c>
      <c r="K5676">
        <v>71</v>
      </c>
      <c r="L5676" t="s">
        <v>20</v>
      </c>
      <c r="M5676" t="s">
        <v>35</v>
      </c>
      <c r="N5676" t="s">
        <v>22</v>
      </c>
      <c r="O5676" t="s">
        <v>27</v>
      </c>
      <c r="P5676">
        <v>0.16</v>
      </c>
      <c r="Q5676" s="2" t="b">
        <f>FALSE()</f>
        <v>0</v>
      </c>
      <c r="R5676">
        <v>1</v>
      </c>
    </row>
    <row r="5677" spans="1:18" x14ac:dyDescent="0.25">
      <c r="A5677">
        <v>205676</v>
      </c>
      <c r="B5677">
        <v>54107</v>
      </c>
      <c r="C5677" t="s">
        <v>34</v>
      </c>
      <c r="D5677">
        <v>1818.79</v>
      </c>
      <c r="E5677">
        <v>2984</v>
      </c>
      <c r="F5677">
        <v>2</v>
      </c>
      <c r="G5677">
        <v>2</v>
      </c>
      <c r="H5677">
        <v>0</v>
      </c>
      <c r="I5677" t="s">
        <v>19</v>
      </c>
      <c r="J5677">
        <v>0</v>
      </c>
      <c r="K5677">
        <v>46</v>
      </c>
      <c r="L5677" t="s">
        <v>24</v>
      </c>
      <c r="M5677" t="s">
        <v>29</v>
      </c>
      <c r="N5677" t="s">
        <v>26</v>
      </c>
      <c r="O5677" t="s">
        <v>27</v>
      </c>
      <c r="P5677">
        <v>7.08</v>
      </c>
      <c r="Q5677" s="2" t="b">
        <f>FALSE()</f>
        <v>0</v>
      </c>
      <c r="R5677">
        <v>0</v>
      </c>
    </row>
    <row r="5678" spans="1:18" x14ac:dyDescent="0.25">
      <c r="A5678">
        <v>205677</v>
      </c>
      <c r="B5678">
        <v>55496</v>
      </c>
      <c r="C5678" t="s">
        <v>18</v>
      </c>
      <c r="D5678">
        <v>1032.1300000000001</v>
      </c>
      <c r="E5678">
        <v>3193</v>
      </c>
      <c r="F5678">
        <v>0</v>
      </c>
      <c r="G5678">
        <v>1</v>
      </c>
      <c r="H5678">
        <v>0</v>
      </c>
      <c r="I5678" t="s">
        <v>33</v>
      </c>
      <c r="J5678">
        <v>0</v>
      </c>
      <c r="K5678">
        <v>51</v>
      </c>
      <c r="L5678" t="s">
        <v>38</v>
      </c>
      <c r="M5678" t="s">
        <v>37</v>
      </c>
      <c r="N5678" t="s">
        <v>22</v>
      </c>
      <c r="O5678" t="s">
        <v>23</v>
      </c>
      <c r="P5678">
        <v>2.5499999999999998</v>
      </c>
      <c r="Q5678" s="2" t="b">
        <f>FALSE()</f>
        <v>0</v>
      </c>
      <c r="R5678">
        <v>0</v>
      </c>
    </row>
    <row r="5679" spans="1:18" x14ac:dyDescent="0.25">
      <c r="A5679">
        <v>205678</v>
      </c>
      <c r="B5679">
        <v>52022</v>
      </c>
      <c r="C5679" t="s">
        <v>18</v>
      </c>
      <c r="D5679">
        <v>6946.16</v>
      </c>
      <c r="E5679">
        <v>3518</v>
      </c>
      <c r="F5679">
        <v>1</v>
      </c>
      <c r="G5679">
        <v>4</v>
      </c>
      <c r="H5679">
        <v>0</v>
      </c>
      <c r="I5679" t="s">
        <v>19</v>
      </c>
      <c r="J5679">
        <v>0</v>
      </c>
      <c r="K5679">
        <v>28</v>
      </c>
      <c r="L5679" t="s">
        <v>20</v>
      </c>
      <c r="M5679" t="s">
        <v>37</v>
      </c>
      <c r="N5679" t="s">
        <v>22</v>
      </c>
      <c r="O5679" t="s">
        <v>36</v>
      </c>
      <c r="P5679">
        <v>4.42</v>
      </c>
      <c r="Q5679" s="2" t="b">
        <f>TRUE()</f>
        <v>1</v>
      </c>
      <c r="R5679">
        <v>1</v>
      </c>
    </row>
    <row r="5680" spans="1:18" x14ac:dyDescent="0.25">
      <c r="A5680">
        <v>205679</v>
      </c>
      <c r="B5680">
        <v>55192</v>
      </c>
      <c r="C5680" t="s">
        <v>34</v>
      </c>
      <c r="D5680">
        <v>4116.1000000000004</v>
      </c>
      <c r="E5680">
        <v>1436</v>
      </c>
      <c r="F5680">
        <v>1</v>
      </c>
      <c r="G5680">
        <v>4</v>
      </c>
      <c r="H5680">
        <v>0</v>
      </c>
      <c r="I5680" t="s">
        <v>33</v>
      </c>
      <c r="J5680">
        <v>0</v>
      </c>
      <c r="K5680">
        <v>76</v>
      </c>
      <c r="L5680" t="s">
        <v>20</v>
      </c>
      <c r="M5680" t="s">
        <v>37</v>
      </c>
      <c r="N5680" t="s">
        <v>22</v>
      </c>
      <c r="O5680" t="s">
        <v>36</v>
      </c>
      <c r="P5680">
        <v>1.0900000000000001</v>
      </c>
      <c r="Q5680" s="2" t="b">
        <f>FALSE()</f>
        <v>0</v>
      </c>
      <c r="R5680">
        <v>1</v>
      </c>
    </row>
    <row r="5681" spans="1:18" x14ac:dyDescent="0.25">
      <c r="A5681">
        <v>205680</v>
      </c>
      <c r="B5681">
        <v>55687</v>
      </c>
      <c r="C5681" t="s">
        <v>18</v>
      </c>
      <c r="D5681">
        <v>5440.9</v>
      </c>
      <c r="E5681">
        <v>1106</v>
      </c>
      <c r="F5681">
        <v>2</v>
      </c>
      <c r="G5681">
        <v>4</v>
      </c>
      <c r="H5681">
        <v>0</v>
      </c>
      <c r="I5681" t="s">
        <v>33</v>
      </c>
      <c r="J5681">
        <v>1</v>
      </c>
      <c r="K5681">
        <v>79</v>
      </c>
      <c r="L5681" t="s">
        <v>24</v>
      </c>
      <c r="M5681" t="s">
        <v>31</v>
      </c>
      <c r="N5681" t="s">
        <v>22</v>
      </c>
      <c r="O5681" t="s">
        <v>27</v>
      </c>
      <c r="P5681">
        <v>2.33</v>
      </c>
      <c r="Q5681" s="2" t="b">
        <f>FALSE()</f>
        <v>0</v>
      </c>
      <c r="R5681">
        <v>1</v>
      </c>
    </row>
    <row r="5682" spans="1:18" x14ac:dyDescent="0.25">
      <c r="A5682">
        <v>205681</v>
      </c>
      <c r="B5682">
        <v>52654</v>
      </c>
      <c r="C5682" t="s">
        <v>34</v>
      </c>
      <c r="D5682">
        <v>3142.66</v>
      </c>
      <c r="E5682">
        <v>2328</v>
      </c>
      <c r="F5682">
        <v>5</v>
      </c>
      <c r="G5682">
        <v>8</v>
      </c>
      <c r="H5682">
        <v>0</v>
      </c>
      <c r="I5682" t="s">
        <v>19</v>
      </c>
      <c r="J5682">
        <v>0</v>
      </c>
      <c r="K5682">
        <v>56</v>
      </c>
      <c r="L5682" t="s">
        <v>24</v>
      </c>
      <c r="M5682" t="s">
        <v>31</v>
      </c>
      <c r="N5682" t="s">
        <v>26</v>
      </c>
      <c r="O5682" t="s">
        <v>36</v>
      </c>
      <c r="P5682">
        <v>0.55000000000000004</v>
      </c>
      <c r="Q5682" s="2" t="b">
        <f>FALSE()</f>
        <v>0</v>
      </c>
      <c r="R5682">
        <v>1</v>
      </c>
    </row>
    <row r="5683" spans="1:18" x14ac:dyDescent="0.25">
      <c r="A5683">
        <v>205682</v>
      </c>
      <c r="B5683">
        <v>53167</v>
      </c>
      <c r="C5683" t="s">
        <v>18</v>
      </c>
      <c r="D5683">
        <v>2755.15</v>
      </c>
      <c r="E5683">
        <v>2438</v>
      </c>
      <c r="F5683">
        <v>0</v>
      </c>
      <c r="G5683">
        <v>0</v>
      </c>
      <c r="H5683">
        <v>1</v>
      </c>
      <c r="I5683" t="s">
        <v>19</v>
      </c>
      <c r="J5683">
        <v>0</v>
      </c>
      <c r="K5683">
        <v>25</v>
      </c>
      <c r="L5683" t="s">
        <v>20</v>
      </c>
      <c r="M5683" t="s">
        <v>21</v>
      </c>
      <c r="N5683" t="s">
        <v>26</v>
      </c>
      <c r="O5683" t="s">
        <v>36</v>
      </c>
      <c r="P5683">
        <v>8.8699999999999992</v>
      </c>
      <c r="Q5683" s="2" t="b">
        <f>FALSE()</f>
        <v>0</v>
      </c>
      <c r="R5683">
        <v>0</v>
      </c>
    </row>
    <row r="5684" spans="1:18" x14ac:dyDescent="0.25">
      <c r="A5684">
        <v>205683</v>
      </c>
      <c r="B5684">
        <v>55446</v>
      </c>
      <c r="C5684" t="s">
        <v>34</v>
      </c>
      <c r="D5684">
        <v>3041.55</v>
      </c>
      <c r="E5684">
        <v>2195</v>
      </c>
      <c r="F5684">
        <v>1</v>
      </c>
      <c r="G5684">
        <v>5</v>
      </c>
      <c r="H5684">
        <v>0</v>
      </c>
      <c r="I5684" t="s">
        <v>32</v>
      </c>
      <c r="J5684">
        <v>0</v>
      </c>
      <c r="K5684">
        <v>22</v>
      </c>
      <c r="L5684" t="s">
        <v>20</v>
      </c>
      <c r="M5684" t="s">
        <v>37</v>
      </c>
      <c r="N5684" t="s">
        <v>22</v>
      </c>
      <c r="O5684" t="s">
        <v>27</v>
      </c>
      <c r="P5684">
        <v>4.32</v>
      </c>
      <c r="Q5684" s="2" t="b">
        <f>FALSE()</f>
        <v>0</v>
      </c>
      <c r="R5684">
        <v>0</v>
      </c>
    </row>
    <row r="5685" spans="1:18" x14ac:dyDescent="0.25">
      <c r="A5685">
        <v>205684</v>
      </c>
      <c r="B5685">
        <v>54628</v>
      </c>
      <c r="C5685" t="s">
        <v>34</v>
      </c>
      <c r="D5685">
        <v>1149.43</v>
      </c>
      <c r="E5685">
        <v>1662</v>
      </c>
      <c r="F5685">
        <v>0</v>
      </c>
      <c r="G5685">
        <v>4</v>
      </c>
      <c r="H5685">
        <v>0</v>
      </c>
      <c r="I5685" t="s">
        <v>19</v>
      </c>
      <c r="J5685">
        <v>0</v>
      </c>
      <c r="K5685">
        <v>45</v>
      </c>
      <c r="L5685" t="s">
        <v>24</v>
      </c>
      <c r="M5685" t="s">
        <v>25</v>
      </c>
      <c r="N5685" t="s">
        <v>26</v>
      </c>
      <c r="O5685" t="s">
        <v>23</v>
      </c>
      <c r="P5685">
        <v>1.8</v>
      </c>
      <c r="Q5685" s="2" t="b">
        <f>FALSE()</f>
        <v>0</v>
      </c>
      <c r="R5685">
        <v>0</v>
      </c>
    </row>
    <row r="5686" spans="1:18" x14ac:dyDescent="0.25">
      <c r="A5686">
        <v>205685</v>
      </c>
      <c r="B5686">
        <v>53262</v>
      </c>
      <c r="C5686" t="s">
        <v>18</v>
      </c>
      <c r="D5686">
        <v>3968.43</v>
      </c>
      <c r="E5686">
        <v>1764</v>
      </c>
      <c r="F5686">
        <v>1</v>
      </c>
      <c r="G5686">
        <v>6</v>
      </c>
      <c r="H5686">
        <v>0</v>
      </c>
      <c r="I5686" t="s">
        <v>33</v>
      </c>
      <c r="J5686">
        <v>1</v>
      </c>
      <c r="K5686">
        <v>79</v>
      </c>
      <c r="L5686" t="s">
        <v>20</v>
      </c>
      <c r="M5686" t="s">
        <v>25</v>
      </c>
      <c r="N5686" t="s">
        <v>26</v>
      </c>
      <c r="O5686" t="s">
        <v>36</v>
      </c>
      <c r="P5686">
        <v>0.33</v>
      </c>
      <c r="Q5686" s="2" t="b">
        <f>FALSE()</f>
        <v>0</v>
      </c>
      <c r="R5686">
        <v>1</v>
      </c>
    </row>
    <row r="5687" spans="1:18" x14ac:dyDescent="0.25">
      <c r="A5687">
        <v>205686</v>
      </c>
      <c r="B5687">
        <v>52799</v>
      </c>
      <c r="C5687" t="s">
        <v>28</v>
      </c>
      <c r="D5687">
        <v>3705.41</v>
      </c>
      <c r="E5687">
        <v>3335</v>
      </c>
      <c r="F5687">
        <v>2</v>
      </c>
      <c r="G5687">
        <v>5</v>
      </c>
      <c r="H5687">
        <v>0</v>
      </c>
      <c r="I5687" t="s">
        <v>33</v>
      </c>
      <c r="J5687">
        <v>0</v>
      </c>
      <c r="K5687">
        <v>40</v>
      </c>
      <c r="L5687" t="s">
        <v>20</v>
      </c>
      <c r="M5687" t="s">
        <v>31</v>
      </c>
      <c r="N5687" t="s">
        <v>22</v>
      </c>
      <c r="O5687" t="s">
        <v>23</v>
      </c>
      <c r="P5687">
        <v>8.74</v>
      </c>
      <c r="Q5687" s="2" t="b">
        <f>FALSE()</f>
        <v>0</v>
      </c>
      <c r="R5687">
        <v>1</v>
      </c>
    </row>
    <row r="5688" spans="1:18" x14ac:dyDescent="0.25">
      <c r="A5688">
        <v>205687</v>
      </c>
      <c r="B5688">
        <v>53534</v>
      </c>
      <c r="C5688" t="s">
        <v>18</v>
      </c>
      <c r="D5688">
        <v>3596.74</v>
      </c>
      <c r="E5688">
        <v>2278</v>
      </c>
      <c r="F5688">
        <v>1</v>
      </c>
      <c r="G5688">
        <v>3</v>
      </c>
      <c r="H5688">
        <v>1</v>
      </c>
      <c r="I5688" t="s">
        <v>32</v>
      </c>
      <c r="J5688">
        <v>0</v>
      </c>
      <c r="K5688">
        <v>73</v>
      </c>
      <c r="L5688" t="s">
        <v>24</v>
      </c>
      <c r="M5688" t="s">
        <v>29</v>
      </c>
      <c r="N5688" t="s">
        <v>22</v>
      </c>
      <c r="O5688" t="s">
        <v>36</v>
      </c>
      <c r="P5688">
        <v>9.6</v>
      </c>
      <c r="Q5688" s="2" t="b">
        <f>FALSE()</f>
        <v>0</v>
      </c>
      <c r="R5688">
        <v>1</v>
      </c>
    </row>
    <row r="5689" spans="1:18" x14ac:dyDescent="0.25">
      <c r="A5689">
        <v>205688</v>
      </c>
      <c r="B5689">
        <v>53703</v>
      </c>
      <c r="C5689" t="s">
        <v>34</v>
      </c>
      <c r="D5689">
        <v>846.3</v>
      </c>
      <c r="E5689">
        <v>3362</v>
      </c>
      <c r="F5689">
        <v>2</v>
      </c>
      <c r="G5689">
        <v>4</v>
      </c>
      <c r="H5689">
        <v>0</v>
      </c>
      <c r="I5689" t="s">
        <v>33</v>
      </c>
      <c r="J5689">
        <v>0</v>
      </c>
      <c r="K5689">
        <v>52</v>
      </c>
      <c r="L5689" t="s">
        <v>24</v>
      </c>
      <c r="M5689" t="s">
        <v>35</v>
      </c>
      <c r="N5689" t="s">
        <v>30</v>
      </c>
      <c r="O5689" t="s">
        <v>23</v>
      </c>
      <c r="P5689">
        <v>0.05</v>
      </c>
      <c r="Q5689" s="2" t="b">
        <f>FALSE()</f>
        <v>0</v>
      </c>
      <c r="R5689">
        <v>0</v>
      </c>
    </row>
    <row r="5690" spans="1:18" x14ac:dyDescent="0.25">
      <c r="A5690">
        <v>205689</v>
      </c>
      <c r="B5690">
        <v>50963</v>
      </c>
      <c r="C5690" t="s">
        <v>28</v>
      </c>
      <c r="D5690">
        <v>2965.43</v>
      </c>
      <c r="E5690">
        <v>3403</v>
      </c>
      <c r="F5690">
        <v>1</v>
      </c>
      <c r="G5690">
        <v>4</v>
      </c>
      <c r="H5690">
        <v>0</v>
      </c>
      <c r="I5690" t="s">
        <v>33</v>
      </c>
      <c r="J5690">
        <v>0</v>
      </c>
      <c r="K5690">
        <v>28</v>
      </c>
      <c r="L5690" t="s">
        <v>24</v>
      </c>
      <c r="M5690" t="s">
        <v>25</v>
      </c>
      <c r="N5690" t="s">
        <v>22</v>
      </c>
      <c r="O5690" t="s">
        <v>36</v>
      </c>
      <c r="P5690">
        <v>1.1000000000000001</v>
      </c>
      <c r="Q5690" s="2" t="b">
        <f>FALSE()</f>
        <v>0</v>
      </c>
      <c r="R5690">
        <v>0</v>
      </c>
    </row>
    <row r="5691" spans="1:18" x14ac:dyDescent="0.25">
      <c r="A5691">
        <v>205690</v>
      </c>
      <c r="B5691">
        <v>54979</v>
      </c>
      <c r="C5691" t="s">
        <v>18</v>
      </c>
      <c r="D5691">
        <v>2702.79</v>
      </c>
      <c r="E5691">
        <v>461</v>
      </c>
      <c r="F5691">
        <v>2</v>
      </c>
      <c r="G5691">
        <v>1</v>
      </c>
      <c r="H5691">
        <v>0</v>
      </c>
      <c r="I5691" t="s">
        <v>19</v>
      </c>
      <c r="J5691">
        <v>0</v>
      </c>
      <c r="K5691">
        <v>28</v>
      </c>
      <c r="L5691" t="s">
        <v>20</v>
      </c>
      <c r="M5691" t="s">
        <v>37</v>
      </c>
      <c r="N5691" t="s">
        <v>22</v>
      </c>
      <c r="O5691" t="s">
        <v>23</v>
      </c>
      <c r="P5691">
        <v>1.08</v>
      </c>
      <c r="Q5691" s="2" t="b">
        <f>FALSE()</f>
        <v>0</v>
      </c>
      <c r="R5691">
        <v>0</v>
      </c>
    </row>
    <row r="5692" spans="1:18" x14ac:dyDescent="0.25">
      <c r="A5692">
        <v>205691</v>
      </c>
      <c r="B5692">
        <v>50764</v>
      </c>
      <c r="C5692" t="s">
        <v>18</v>
      </c>
      <c r="D5692">
        <v>3988.45</v>
      </c>
      <c r="E5692">
        <v>830</v>
      </c>
      <c r="F5692">
        <v>1</v>
      </c>
      <c r="G5692">
        <v>3</v>
      </c>
      <c r="H5692">
        <v>0</v>
      </c>
      <c r="I5692" t="s">
        <v>33</v>
      </c>
      <c r="J5692">
        <v>0</v>
      </c>
      <c r="K5692">
        <v>49</v>
      </c>
      <c r="L5692" t="s">
        <v>20</v>
      </c>
      <c r="M5692" t="s">
        <v>25</v>
      </c>
      <c r="N5692" t="s">
        <v>22</v>
      </c>
      <c r="O5692" t="s">
        <v>36</v>
      </c>
      <c r="P5692">
        <v>5.41</v>
      </c>
      <c r="Q5692" s="2" t="b">
        <f>FALSE()</f>
        <v>0</v>
      </c>
      <c r="R5692">
        <v>1</v>
      </c>
    </row>
    <row r="5693" spans="1:18" x14ac:dyDescent="0.25">
      <c r="A5693">
        <v>205692</v>
      </c>
      <c r="B5693">
        <v>54690</v>
      </c>
      <c r="C5693" t="s">
        <v>18</v>
      </c>
      <c r="D5693">
        <v>1698.69</v>
      </c>
      <c r="E5693">
        <v>652</v>
      </c>
      <c r="F5693">
        <v>4</v>
      </c>
      <c r="G5693">
        <v>3</v>
      </c>
      <c r="H5693">
        <v>0</v>
      </c>
      <c r="I5693" t="s">
        <v>33</v>
      </c>
      <c r="J5693">
        <v>0</v>
      </c>
      <c r="K5693">
        <v>32</v>
      </c>
      <c r="L5693" t="s">
        <v>24</v>
      </c>
      <c r="M5693" t="s">
        <v>25</v>
      </c>
      <c r="N5693" t="s">
        <v>22</v>
      </c>
      <c r="O5693" t="s">
        <v>23</v>
      </c>
      <c r="P5693">
        <v>5.0599999999999996</v>
      </c>
      <c r="Q5693" s="2" t="b">
        <f>FALSE()</f>
        <v>0</v>
      </c>
      <c r="R5693">
        <v>1</v>
      </c>
    </row>
    <row r="5694" spans="1:18" x14ac:dyDescent="0.25">
      <c r="A5694">
        <v>205693</v>
      </c>
      <c r="B5694">
        <v>51884</v>
      </c>
      <c r="C5694" t="s">
        <v>18</v>
      </c>
      <c r="D5694">
        <v>1827.85</v>
      </c>
      <c r="E5694">
        <v>479</v>
      </c>
      <c r="F5694">
        <v>0</v>
      </c>
      <c r="G5694">
        <v>10</v>
      </c>
      <c r="H5694">
        <v>0</v>
      </c>
      <c r="I5694" t="s">
        <v>33</v>
      </c>
      <c r="J5694">
        <v>0</v>
      </c>
      <c r="K5694">
        <v>46</v>
      </c>
      <c r="L5694" t="s">
        <v>24</v>
      </c>
      <c r="M5694" t="s">
        <v>31</v>
      </c>
      <c r="N5694" t="s">
        <v>22</v>
      </c>
      <c r="O5694" t="s">
        <v>27</v>
      </c>
      <c r="P5694">
        <v>7.52</v>
      </c>
      <c r="Q5694" s="2" t="b">
        <f>FALSE()</f>
        <v>0</v>
      </c>
      <c r="R5694">
        <v>1</v>
      </c>
    </row>
    <row r="5695" spans="1:18" x14ac:dyDescent="0.25">
      <c r="A5695">
        <v>205694</v>
      </c>
      <c r="B5695">
        <v>52696</v>
      </c>
      <c r="C5695" t="s">
        <v>18</v>
      </c>
      <c r="D5695">
        <v>6090.4</v>
      </c>
      <c r="E5695">
        <v>1872</v>
      </c>
      <c r="F5695">
        <v>1</v>
      </c>
      <c r="G5695">
        <v>2</v>
      </c>
      <c r="H5695">
        <v>0</v>
      </c>
      <c r="I5695" t="s">
        <v>32</v>
      </c>
      <c r="J5695">
        <v>0</v>
      </c>
      <c r="K5695">
        <v>66</v>
      </c>
      <c r="L5695" t="s">
        <v>38</v>
      </c>
      <c r="M5695" t="s">
        <v>35</v>
      </c>
      <c r="N5695" t="s">
        <v>30</v>
      </c>
      <c r="O5695" t="s">
        <v>36</v>
      </c>
      <c r="P5695">
        <v>4.6500000000000004</v>
      </c>
      <c r="Q5695" s="2" t="b">
        <f>FALSE()</f>
        <v>0</v>
      </c>
      <c r="R5695">
        <v>1</v>
      </c>
    </row>
    <row r="5696" spans="1:18" x14ac:dyDescent="0.25">
      <c r="A5696">
        <v>205695</v>
      </c>
      <c r="B5696">
        <v>55328</v>
      </c>
      <c r="C5696" t="s">
        <v>28</v>
      </c>
      <c r="D5696">
        <v>8174.45</v>
      </c>
      <c r="E5696">
        <v>35</v>
      </c>
      <c r="F5696">
        <v>1</v>
      </c>
      <c r="G5696">
        <v>1</v>
      </c>
      <c r="H5696">
        <v>1</v>
      </c>
      <c r="I5696" t="s">
        <v>33</v>
      </c>
      <c r="J5696">
        <v>0</v>
      </c>
      <c r="K5696">
        <v>75</v>
      </c>
      <c r="L5696" t="s">
        <v>24</v>
      </c>
      <c r="M5696" t="s">
        <v>29</v>
      </c>
      <c r="N5696" t="s">
        <v>30</v>
      </c>
      <c r="O5696" t="s">
        <v>36</v>
      </c>
      <c r="P5696">
        <v>5.8</v>
      </c>
      <c r="Q5696" s="2" t="b">
        <f>TRUE()</f>
        <v>1</v>
      </c>
      <c r="R5696">
        <v>1</v>
      </c>
    </row>
    <row r="5697" spans="1:18" x14ac:dyDescent="0.25">
      <c r="A5697">
        <v>205696</v>
      </c>
      <c r="B5697">
        <v>53810</v>
      </c>
      <c r="C5697" t="s">
        <v>18</v>
      </c>
      <c r="D5697">
        <v>2019.73</v>
      </c>
      <c r="E5697">
        <v>2725</v>
      </c>
      <c r="F5697">
        <v>3</v>
      </c>
      <c r="G5697">
        <v>3</v>
      </c>
      <c r="H5697">
        <v>1</v>
      </c>
      <c r="I5697" t="s">
        <v>33</v>
      </c>
      <c r="J5697">
        <v>1</v>
      </c>
      <c r="K5697">
        <v>83</v>
      </c>
      <c r="L5697" t="s">
        <v>20</v>
      </c>
      <c r="M5697" t="s">
        <v>21</v>
      </c>
      <c r="N5697" t="s">
        <v>22</v>
      </c>
      <c r="O5697" t="s">
        <v>36</v>
      </c>
      <c r="P5697">
        <v>0.56999999999999995</v>
      </c>
      <c r="Q5697" s="2" t="b">
        <f>FALSE()</f>
        <v>0</v>
      </c>
      <c r="R5697">
        <v>1</v>
      </c>
    </row>
    <row r="5698" spans="1:18" x14ac:dyDescent="0.25">
      <c r="A5698">
        <v>205697</v>
      </c>
      <c r="B5698">
        <v>53924</v>
      </c>
      <c r="C5698" t="s">
        <v>34</v>
      </c>
      <c r="D5698">
        <v>1004.41</v>
      </c>
      <c r="E5698">
        <v>3546</v>
      </c>
      <c r="F5698">
        <v>1</v>
      </c>
      <c r="G5698">
        <v>4</v>
      </c>
      <c r="H5698">
        <v>0</v>
      </c>
      <c r="I5698" t="s">
        <v>33</v>
      </c>
      <c r="J5698">
        <v>1</v>
      </c>
      <c r="K5698">
        <v>24</v>
      </c>
      <c r="L5698" t="s">
        <v>24</v>
      </c>
      <c r="M5698" t="s">
        <v>29</v>
      </c>
      <c r="N5698" t="s">
        <v>26</v>
      </c>
      <c r="O5698" t="s">
        <v>36</v>
      </c>
      <c r="P5698">
        <v>2.87</v>
      </c>
      <c r="Q5698" s="2" t="b">
        <f>FALSE()</f>
        <v>0</v>
      </c>
      <c r="R5698">
        <v>0</v>
      </c>
    </row>
    <row r="5699" spans="1:18" x14ac:dyDescent="0.25">
      <c r="A5699">
        <v>205698</v>
      </c>
      <c r="B5699">
        <v>54790</v>
      </c>
      <c r="C5699" t="s">
        <v>18</v>
      </c>
      <c r="D5699">
        <v>1370.39</v>
      </c>
      <c r="E5699">
        <v>2089</v>
      </c>
      <c r="F5699">
        <v>0</v>
      </c>
      <c r="G5699">
        <v>7</v>
      </c>
      <c r="H5699">
        <v>1</v>
      </c>
      <c r="I5699" t="s">
        <v>33</v>
      </c>
      <c r="J5699">
        <v>0</v>
      </c>
      <c r="K5699">
        <v>45</v>
      </c>
      <c r="L5699" t="s">
        <v>24</v>
      </c>
      <c r="M5699" t="s">
        <v>35</v>
      </c>
      <c r="N5699" t="s">
        <v>30</v>
      </c>
      <c r="O5699" t="s">
        <v>27</v>
      </c>
      <c r="P5699">
        <v>0.13</v>
      </c>
      <c r="Q5699" s="2" t="b">
        <f>FALSE()</f>
        <v>0</v>
      </c>
      <c r="R5699">
        <v>1</v>
      </c>
    </row>
    <row r="5700" spans="1:18" x14ac:dyDescent="0.25">
      <c r="A5700">
        <v>205699</v>
      </c>
      <c r="B5700">
        <v>53694</v>
      </c>
      <c r="C5700" t="s">
        <v>34</v>
      </c>
      <c r="D5700">
        <v>3604.03</v>
      </c>
      <c r="E5700">
        <v>1049</v>
      </c>
      <c r="F5700">
        <v>2</v>
      </c>
      <c r="G5700">
        <v>4</v>
      </c>
      <c r="H5700">
        <v>0</v>
      </c>
      <c r="I5700" t="s">
        <v>32</v>
      </c>
      <c r="J5700">
        <v>0</v>
      </c>
      <c r="K5700">
        <v>83</v>
      </c>
      <c r="L5700" t="s">
        <v>20</v>
      </c>
      <c r="M5700" t="s">
        <v>37</v>
      </c>
      <c r="N5700" t="s">
        <v>22</v>
      </c>
      <c r="O5700" t="s">
        <v>36</v>
      </c>
      <c r="P5700">
        <v>1.37</v>
      </c>
      <c r="Q5700" s="2" t="b">
        <f>FALSE()</f>
        <v>0</v>
      </c>
      <c r="R5700">
        <v>1</v>
      </c>
    </row>
    <row r="5701" spans="1:18" x14ac:dyDescent="0.25">
      <c r="A5701">
        <v>205700</v>
      </c>
      <c r="B5701">
        <v>53386</v>
      </c>
      <c r="C5701" t="s">
        <v>34</v>
      </c>
      <c r="D5701">
        <v>3833.68</v>
      </c>
      <c r="E5701">
        <v>38</v>
      </c>
      <c r="F5701">
        <v>1</v>
      </c>
      <c r="G5701">
        <v>7</v>
      </c>
      <c r="H5701">
        <v>0</v>
      </c>
      <c r="I5701" t="s">
        <v>33</v>
      </c>
      <c r="J5701">
        <v>1</v>
      </c>
      <c r="K5701">
        <v>28</v>
      </c>
      <c r="L5701" t="s">
        <v>20</v>
      </c>
      <c r="M5701" t="s">
        <v>35</v>
      </c>
      <c r="N5701" t="s">
        <v>26</v>
      </c>
      <c r="O5701" t="s">
        <v>36</v>
      </c>
      <c r="P5701">
        <v>2.93</v>
      </c>
      <c r="Q5701" s="2" t="b">
        <f>FALSE()</f>
        <v>0</v>
      </c>
      <c r="R5701">
        <v>1</v>
      </c>
    </row>
    <row r="5702" spans="1:18" x14ac:dyDescent="0.25">
      <c r="A5702">
        <v>205701</v>
      </c>
      <c r="B5702">
        <v>51391</v>
      </c>
      <c r="C5702" t="s">
        <v>18</v>
      </c>
      <c r="D5702">
        <v>2017.58</v>
      </c>
      <c r="E5702">
        <v>1173</v>
      </c>
      <c r="F5702">
        <v>3</v>
      </c>
      <c r="G5702">
        <v>3</v>
      </c>
      <c r="H5702">
        <v>1</v>
      </c>
      <c r="I5702" t="s">
        <v>33</v>
      </c>
      <c r="J5702">
        <v>0</v>
      </c>
      <c r="K5702">
        <v>54</v>
      </c>
      <c r="L5702" t="s">
        <v>20</v>
      </c>
      <c r="M5702" t="s">
        <v>37</v>
      </c>
      <c r="N5702" t="s">
        <v>22</v>
      </c>
      <c r="O5702" t="s">
        <v>27</v>
      </c>
      <c r="P5702">
        <v>0.43</v>
      </c>
      <c r="Q5702" s="2" t="b">
        <f>FALSE()</f>
        <v>0</v>
      </c>
      <c r="R5702">
        <v>1</v>
      </c>
    </row>
    <row r="5703" spans="1:18" x14ac:dyDescent="0.25">
      <c r="A5703">
        <v>205702</v>
      </c>
      <c r="B5703">
        <v>50081</v>
      </c>
      <c r="C5703" t="s">
        <v>34</v>
      </c>
      <c r="D5703">
        <v>5720.3</v>
      </c>
      <c r="E5703">
        <v>2280</v>
      </c>
      <c r="F5703">
        <v>0</v>
      </c>
      <c r="G5703">
        <v>2</v>
      </c>
      <c r="H5703">
        <v>1</v>
      </c>
      <c r="I5703" t="s">
        <v>33</v>
      </c>
      <c r="J5703">
        <v>0</v>
      </c>
      <c r="K5703">
        <v>36</v>
      </c>
      <c r="L5703" t="s">
        <v>20</v>
      </c>
      <c r="M5703" t="s">
        <v>21</v>
      </c>
      <c r="N5703" t="s">
        <v>26</v>
      </c>
      <c r="O5703" t="s">
        <v>27</v>
      </c>
      <c r="P5703">
        <v>9.94</v>
      </c>
      <c r="Q5703" s="2" t="b">
        <f>FALSE()</f>
        <v>0</v>
      </c>
      <c r="R5703">
        <v>1</v>
      </c>
    </row>
    <row r="5704" spans="1:18" x14ac:dyDescent="0.25">
      <c r="A5704">
        <v>205703</v>
      </c>
      <c r="B5704">
        <v>55464</v>
      </c>
      <c r="C5704" t="s">
        <v>18</v>
      </c>
      <c r="D5704">
        <v>2047.52</v>
      </c>
      <c r="E5704">
        <v>2656</v>
      </c>
      <c r="F5704">
        <v>2</v>
      </c>
      <c r="G5704">
        <v>7</v>
      </c>
      <c r="H5704">
        <v>1</v>
      </c>
      <c r="I5704" t="s">
        <v>19</v>
      </c>
      <c r="J5704">
        <v>0</v>
      </c>
      <c r="K5704">
        <v>36</v>
      </c>
      <c r="L5704" t="s">
        <v>20</v>
      </c>
      <c r="M5704" t="s">
        <v>29</v>
      </c>
      <c r="N5704" t="s">
        <v>30</v>
      </c>
      <c r="O5704" t="s">
        <v>36</v>
      </c>
      <c r="P5704">
        <v>0.11</v>
      </c>
      <c r="Q5704" s="2" t="b">
        <f>FALSE()</f>
        <v>0</v>
      </c>
      <c r="R5704">
        <v>1</v>
      </c>
    </row>
    <row r="5705" spans="1:18" x14ac:dyDescent="0.25">
      <c r="A5705">
        <v>205704</v>
      </c>
      <c r="B5705">
        <v>51393</v>
      </c>
      <c r="C5705" t="s">
        <v>18</v>
      </c>
      <c r="D5705">
        <v>3135.85</v>
      </c>
      <c r="E5705">
        <v>117</v>
      </c>
      <c r="F5705">
        <v>0</v>
      </c>
      <c r="G5705">
        <v>3</v>
      </c>
      <c r="H5705">
        <v>0</v>
      </c>
      <c r="I5705" t="s">
        <v>33</v>
      </c>
      <c r="J5705">
        <v>0</v>
      </c>
      <c r="K5705">
        <v>51</v>
      </c>
      <c r="L5705" t="s">
        <v>24</v>
      </c>
      <c r="M5705" t="s">
        <v>31</v>
      </c>
      <c r="N5705" t="s">
        <v>22</v>
      </c>
      <c r="O5705" t="s">
        <v>27</v>
      </c>
      <c r="P5705">
        <v>1.84</v>
      </c>
      <c r="Q5705" s="2" t="b">
        <f>FALSE()</f>
        <v>0</v>
      </c>
      <c r="R5705">
        <v>0</v>
      </c>
    </row>
    <row r="5706" spans="1:18" x14ac:dyDescent="0.25">
      <c r="A5706">
        <v>205705</v>
      </c>
      <c r="B5706">
        <v>52949</v>
      </c>
      <c r="C5706" t="s">
        <v>34</v>
      </c>
      <c r="D5706">
        <v>1112.73</v>
      </c>
      <c r="E5706">
        <v>862</v>
      </c>
      <c r="F5706">
        <v>0</v>
      </c>
      <c r="G5706">
        <v>5</v>
      </c>
      <c r="H5706">
        <v>0</v>
      </c>
      <c r="I5706" t="s">
        <v>19</v>
      </c>
      <c r="J5706">
        <v>1</v>
      </c>
      <c r="K5706">
        <v>72</v>
      </c>
      <c r="L5706" t="s">
        <v>20</v>
      </c>
      <c r="M5706" t="s">
        <v>37</v>
      </c>
      <c r="N5706" t="s">
        <v>26</v>
      </c>
      <c r="O5706" t="s">
        <v>23</v>
      </c>
      <c r="P5706">
        <v>8.89</v>
      </c>
      <c r="Q5706" s="2" t="b">
        <f>FALSE()</f>
        <v>0</v>
      </c>
      <c r="R5706">
        <v>0</v>
      </c>
    </row>
    <row r="5707" spans="1:18" x14ac:dyDescent="0.25">
      <c r="A5707">
        <v>205706</v>
      </c>
      <c r="B5707">
        <v>50262</v>
      </c>
      <c r="C5707" t="s">
        <v>34</v>
      </c>
      <c r="D5707">
        <v>2811.14</v>
      </c>
      <c r="E5707">
        <v>3313</v>
      </c>
      <c r="F5707">
        <v>1</v>
      </c>
      <c r="G5707">
        <v>1</v>
      </c>
      <c r="H5707">
        <v>0</v>
      </c>
      <c r="I5707" t="s">
        <v>33</v>
      </c>
      <c r="J5707">
        <v>0</v>
      </c>
      <c r="K5707">
        <v>24</v>
      </c>
      <c r="L5707" t="s">
        <v>20</v>
      </c>
      <c r="M5707" t="s">
        <v>31</v>
      </c>
      <c r="N5707" t="s">
        <v>30</v>
      </c>
      <c r="O5707" t="s">
        <v>36</v>
      </c>
      <c r="P5707">
        <v>4.07</v>
      </c>
      <c r="Q5707" s="2" t="b">
        <f>FALSE()</f>
        <v>0</v>
      </c>
      <c r="R5707">
        <v>0</v>
      </c>
    </row>
    <row r="5708" spans="1:18" x14ac:dyDescent="0.25">
      <c r="A5708">
        <v>205707</v>
      </c>
      <c r="B5708">
        <v>52266</v>
      </c>
      <c r="C5708" t="s">
        <v>18</v>
      </c>
      <c r="D5708">
        <v>1918.92</v>
      </c>
      <c r="E5708">
        <v>1524</v>
      </c>
      <c r="F5708">
        <v>2</v>
      </c>
      <c r="G5708">
        <v>5</v>
      </c>
      <c r="H5708">
        <v>0</v>
      </c>
      <c r="I5708" t="s">
        <v>19</v>
      </c>
      <c r="J5708">
        <v>0</v>
      </c>
      <c r="K5708">
        <v>63</v>
      </c>
      <c r="L5708" t="s">
        <v>20</v>
      </c>
      <c r="M5708" t="s">
        <v>35</v>
      </c>
      <c r="N5708" t="s">
        <v>30</v>
      </c>
      <c r="O5708" t="s">
        <v>23</v>
      </c>
      <c r="P5708">
        <v>1.38</v>
      </c>
      <c r="Q5708" s="2" t="b">
        <f>FALSE()</f>
        <v>0</v>
      </c>
      <c r="R5708">
        <v>0</v>
      </c>
    </row>
    <row r="5709" spans="1:18" x14ac:dyDescent="0.25">
      <c r="A5709">
        <v>205708</v>
      </c>
      <c r="B5709">
        <v>50171</v>
      </c>
      <c r="C5709" t="s">
        <v>18</v>
      </c>
      <c r="D5709">
        <v>2726.56</v>
      </c>
      <c r="E5709">
        <v>2619</v>
      </c>
      <c r="F5709">
        <v>1</v>
      </c>
      <c r="G5709">
        <v>2</v>
      </c>
      <c r="H5709">
        <v>1</v>
      </c>
      <c r="I5709" t="s">
        <v>19</v>
      </c>
      <c r="J5709">
        <v>0</v>
      </c>
      <c r="K5709">
        <v>59</v>
      </c>
      <c r="L5709" t="s">
        <v>24</v>
      </c>
      <c r="M5709" t="s">
        <v>35</v>
      </c>
      <c r="N5709" t="s">
        <v>22</v>
      </c>
      <c r="O5709" t="s">
        <v>36</v>
      </c>
      <c r="P5709">
        <v>2.33</v>
      </c>
      <c r="Q5709" s="2" t="b">
        <f>FALSE()</f>
        <v>0</v>
      </c>
      <c r="R5709">
        <v>0</v>
      </c>
    </row>
    <row r="5710" spans="1:18" x14ac:dyDescent="0.25">
      <c r="A5710">
        <v>205709</v>
      </c>
      <c r="B5710">
        <v>51471</v>
      </c>
      <c r="C5710" t="s">
        <v>18</v>
      </c>
      <c r="D5710">
        <v>5586.06</v>
      </c>
      <c r="E5710">
        <v>3011</v>
      </c>
      <c r="F5710">
        <v>0</v>
      </c>
      <c r="G5710">
        <v>9</v>
      </c>
      <c r="H5710">
        <v>1</v>
      </c>
      <c r="I5710" t="s">
        <v>33</v>
      </c>
      <c r="J5710">
        <v>0</v>
      </c>
      <c r="K5710">
        <v>21</v>
      </c>
      <c r="L5710" t="s">
        <v>38</v>
      </c>
      <c r="M5710" t="s">
        <v>29</v>
      </c>
      <c r="N5710" t="s">
        <v>30</v>
      </c>
      <c r="O5710" t="s">
        <v>36</v>
      </c>
      <c r="P5710">
        <v>0.08</v>
      </c>
      <c r="Q5710" s="2" t="b">
        <f>FALSE()</f>
        <v>0</v>
      </c>
      <c r="R5710">
        <v>1</v>
      </c>
    </row>
    <row r="5711" spans="1:18" x14ac:dyDescent="0.25">
      <c r="A5711">
        <v>205710</v>
      </c>
      <c r="B5711">
        <v>50053</v>
      </c>
      <c r="C5711" t="s">
        <v>34</v>
      </c>
      <c r="D5711">
        <v>784.6</v>
      </c>
      <c r="E5711">
        <v>2456</v>
      </c>
      <c r="F5711">
        <v>0</v>
      </c>
      <c r="G5711">
        <v>4</v>
      </c>
      <c r="H5711">
        <v>1</v>
      </c>
      <c r="I5711" t="s">
        <v>33</v>
      </c>
      <c r="J5711">
        <v>0</v>
      </c>
      <c r="K5711">
        <v>28</v>
      </c>
      <c r="L5711" t="s">
        <v>24</v>
      </c>
      <c r="M5711" t="s">
        <v>37</v>
      </c>
      <c r="N5711" t="s">
        <v>22</v>
      </c>
      <c r="O5711" t="s">
        <v>23</v>
      </c>
      <c r="P5711">
        <v>17.09</v>
      </c>
      <c r="Q5711" s="2" t="b">
        <f>FALSE()</f>
        <v>0</v>
      </c>
      <c r="R5711">
        <v>0</v>
      </c>
    </row>
    <row r="5712" spans="1:18" x14ac:dyDescent="0.25">
      <c r="A5712">
        <v>205711</v>
      </c>
      <c r="B5712">
        <v>53131</v>
      </c>
      <c r="C5712" t="s">
        <v>28</v>
      </c>
      <c r="D5712">
        <v>3791.32</v>
      </c>
      <c r="E5712">
        <v>530</v>
      </c>
      <c r="F5712">
        <v>1</v>
      </c>
      <c r="G5712">
        <v>5</v>
      </c>
      <c r="H5712">
        <v>1</v>
      </c>
      <c r="I5712" t="s">
        <v>33</v>
      </c>
      <c r="J5712">
        <v>0</v>
      </c>
      <c r="K5712">
        <v>63</v>
      </c>
      <c r="L5712" t="s">
        <v>24</v>
      </c>
      <c r="M5712" t="s">
        <v>31</v>
      </c>
      <c r="N5712" t="s">
        <v>30</v>
      </c>
      <c r="O5712" t="s">
        <v>27</v>
      </c>
      <c r="P5712">
        <v>24.45</v>
      </c>
      <c r="Q5712" s="2" t="b">
        <f>FALSE()</f>
        <v>0</v>
      </c>
      <c r="R5712">
        <v>1</v>
      </c>
    </row>
    <row r="5713" spans="1:18" x14ac:dyDescent="0.25">
      <c r="A5713">
        <v>205712</v>
      </c>
      <c r="B5713">
        <v>50857</v>
      </c>
      <c r="C5713" t="s">
        <v>28</v>
      </c>
      <c r="D5713">
        <v>1607.12</v>
      </c>
      <c r="E5713">
        <v>1930</v>
      </c>
      <c r="F5713">
        <v>1</v>
      </c>
      <c r="G5713">
        <v>2</v>
      </c>
      <c r="H5713">
        <v>1</v>
      </c>
      <c r="I5713" t="s">
        <v>33</v>
      </c>
      <c r="J5713">
        <v>0</v>
      </c>
      <c r="K5713">
        <v>45</v>
      </c>
      <c r="L5713" t="s">
        <v>24</v>
      </c>
      <c r="M5713" t="s">
        <v>25</v>
      </c>
      <c r="N5713" t="s">
        <v>22</v>
      </c>
      <c r="O5713" t="s">
        <v>23</v>
      </c>
      <c r="P5713">
        <v>0.51</v>
      </c>
      <c r="Q5713" s="2" t="b">
        <f>FALSE()</f>
        <v>0</v>
      </c>
      <c r="R5713">
        <v>0</v>
      </c>
    </row>
    <row r="5714" spans="1:18" x14ac:dyDescent="0.25">
      <c r="A5714">
        <v>205713</v>
      </c>
      <c r="B5714">
        <v>52046</v>
      </c>
      <c r="C5714" t="s">
        <v>18</v>
      </c>
      <c r="D5714">
        <v>723.13</v>
      </c>
      <c r="E5714">
        <v>623</v>
      </c>
      <c r="F5714">
        <v>3</v>
      </c>
      <c r="G5714">
        <v>6</v>
      </c>
      <c r="H5714">
        <v>1</v>
      </c>
      <c r="I5714" t="s">
        <v>19</v>
      </c>
      <c r="J5714">
        <v>0</v>
      </c>
      <c r="K5714">
        <v>28</v>
      </c>
      <c r="L5714" t="s">
        <v>20</v>
      </c>
      <c r="M5714" t="s">
        <v>31</v>
      </c>
      <c r="N5714" t="s">
        <v>26</v>
      </c>
      <c r="O5714" t="s">
        <v>36</v>
      </c>
      <c r="P5714">
        <v>0.1</v>
      </c>
      <c r="Q5714" s="2" t="b">
        <f>FALSE()</f>
        <v>0</v>
      </c>
      <c r="R5714">
        <v>1</v>
      </c>
    </row>
    <row r="5715" spans="1:18" x14ac:dyDescent="0.25">
      <c r="A5715">
        <v>205714</v>
      </c>
      <c r="B5715">
        <v>52061</v>
      </c>
      <c r="C5715" t="s">
        <v>18</v>
      </c>
      <c r="D5715">
        <v>2389.9</v>
      </c>
      <c r="E5715">
        <v>1415</v>
      </c>
      <c r="F5715">
        <v>1</v>
      </c>
      <c r="G5715">
        <v>4</v>
      </c>
      <c r="H5715">
        <v>1</v>
      </c>
      <c r="I5715" t="s">
        <v>33</v>
      </c>
      <c r="J5715">
        <v>1</v>
      </c>
      <c r="K5715">
        <v>47</v>
      </c>
      <c r="L5715" t="s">
        <v>20</v>
      </c>
      <c r="M5715" t="s">
        <v>37</v>
      </c>
      <c r="N5715" t="s">
        <v>30</v>
      </c>
      <c r="O5715" t="s">
        <v>36</v>
      </c>
      <c r="P5715">
        <v>1</v>
      </c>
      <c r="Q5715" s="2" t="b">
        <f>FALSE()</f>
        <v>0</v>
      </c>
      <c r="R5715">
        <v>0</v>
      </c>
    </row>
    <row r="5716" spans="1:18" x14ac:dyDescent="0.25">
      <c r="A5716">
        <v>205715</v>
      </c>
      <c r="B5716">
        <v>53740</v>
      </c>
      <c r="C5716" t="s">
        <v>18</v>
      </c>
      <c r="D5716">
        <v>690.65</v>
      </c>
      <c r="E5716">
        <v>2980</v>
      </c>
      <c r="F5716">
        <v>0</v>
      </c>
      <c r="G5716">
        <v>4</v>
      </c>
      <c r="H5716">
        <v>1</v>
      </c>
      <c r="I5716" t="s">
        <v>32</v>
      </c>
      <c r="J5716">
        <v>0</v>
      </c>
      <c r="K5716">
        <v>24</v>
      </c>
      <c r="L5716" t="s">
        <v>20</v>
      </c>
      <c r="M5716" t="s">
        <v>37</v>
      </c>
      <c r="N5716" t="s">
        <v>22</v>
      </c>
      <c r="O5716" t="s">
        <v>27</v>
      </c>
      <c r="P5716">
        <v>1.99</v>
      </c>
      <c r="Q5716" s="2" t="b">
        <f>FALSE()</f>
        <v>0</v>
      </c>
      <c r="R5716">
        <v>0</v>
      </c>
    </row>
    <row r="5717" spans="1:18" x14ac:dyDescent="0.25">
      <c r="A5717">
        <v>205716</v>
      </c>
      <c r="B5717">
        <v>50084</v>
      </c>
      <c r="C5717" t="s">
        <v>34</v>
      </c>
      <c r="D5717">
        <v>3751.1</v>
      </c>
      <c r="E5717">
        <v>1806</v>
      </c>
      <c r="F5717">
        <v>3</v>
      </c>
      <c r="G5717">
        <v>3</v>
      </c>
      <c r="H5717">
        <v>0</v>
      </c>
      <c r="I5717" t="s">
        <v>19</v>
      </c>
      <c r="J5717">
        <v>0</v>
      </c>
      <c r="K5717">
        <v>62</v>
      </c>
      <c r="L5717" t="s">
        <v>24</v>
      </c>
      <c r="M5717" t="s">
        <v>35</v>
      </c>
      <c r="N5717" t="s">
        <v>22</v>
      </c>
      <c r="O5717" t="s">
        <v>23</v>
      </c>
      <c r="P5717">
        <v>0.88</v>
      </c>
      <c r="Q5717" s="2" t="b">
        <f>FALSE()</f>
        <v>0</v>
      </c>
      <c r="R5717">
        <v>1</v>
      </c>
    </row>
    <row r="5718" spans="1:18" x14ac:dyDescent="0.25">
      <c r="A5718">
        <v>205717</v>
      </c>
      <c r="B5718">
        <v>55853</v>
      </c>
      <c r="C5718" t="s">
        <v>18</v>
      </c>
      <c r="D5718">
        <v>4466.54</v>
      </c>
      <c r="E5718">
        <v>180</v>
      </c>
      <c r="F5718">
        <v>3</v>
      </c>
      <c r="G5718">
        <v>6</v>
      </c>
      <c r="H5718">
        <v>0</v>
      </c>
      <c r="I5718" t="s">
        <v>33</v>
      </c>
      <c r="J5718">
        <v>0</v>
      </c>
      <c r="K5718">
        <v>26</v>
      </c>
      <c r="L5718" t="s">
        <v>20</v>
      </c>
      <c r="M5718" t="s">
        <v>21</v>
      </c>
      <c r="N5718" t="s">
        <v>30</v>
      </c>
      <c r="O5718" t="s">
        <v>36</v>
      </c>
      <c r="P5718">
        <v>1.3</v>
      </c>
      <c r="Q5718" s="2" t="b">
        <f>FALSE()</f>
        <v>0</v>
      </c>
      <c r="R5718">
        <v>1</v>
      </c>
    </row>
    <row r="5719" spans="1:18" x14ac:dyDescent="0.25">
      <c r="A5719">
        <v>205718</v>
      </c>
      <c r="B5719">
        <v>50427</v>
      </c>
      <c r="C5719" t="s">
        <v>18</v>
      </c>
      <c r="D5719">
        <v>3275.55</v>
      </c>
      <c r="E5719">
        <v>2489</v>
      </c>
      <c r="F5719">
        <v>0</v>
      </c>
      <c r="G5719">
        <v>6</v>
      </c>
      <c r="H5719">
        <v>0</v>
      </c>
      <c r="I5719" t="s">
        <v>32</v>
      </c>
      <c r="J5719">
        <v>0</v>
      </c>
      <c r="K5719">
        <v>71</v>
      </c>
      <c r="L5719" t="s">
        <v>24</v>
      </c>
      <c r="M5719" t="s">
        <v>29</v>
      </c>
      <c r="N5719" t="s">
        <v>30</v>
      </c>
      <c r="O5719" t="s">
        <v>36</v>
      </c>
      <c r="P5719">
        <v>1.66</v>
      </c>
      <c r="Q5719" s="2" t="b">
        <f>FALSE()</f>
        <v>0</v>
      </c>
      <c r="R5719">
        <v>0</v>
      </c>
    </row>
    <row r="5720" spans="1:18" x14ac:dyDescent="0.25">
      <c r="A5720">
        <v>205719</v>
      </c>
      <c r="B5720">
        <v>50758</v>
      </c>
      <c r="C5720" t="s">
        <v>28</v>
      </c>
      <c r="D5720">
        <v>3492.04</v>
      </c>
      <c r="E5720">
        <v>3150</v>
      </c>
      <c r="F5720">
        <v>1</v>
      </c>
      <c r="G5720">
        <v>0</v>
      </c>
      <c r="H5720">
        <v>1</v>
      </c>
      <c r="I5720" t="s">
        <v>19</v>
      </c>
      <c r="J5720">
        <v>0</v>
      </c>
      <c r="K5720">
        <v>34</v>
      </c>
      <c r="L5720" t="s">
        <v>20</v>
      </c>
      <c r="M5720" t="s">
        <v>21</v>
      </c>
      <c r="N5720" t="s">
        <v>30</v>
      </c>
      <c r="O5720" t="s">
        <v>27</v>
      </c>
      <c r="P5720">
        <v>1.01</v>
      </c>
      <c r="Q5720" s="2" t="b">
        <f>FALSE()</f>
        <v>0</v>
      </c>
      <c r="R5720">
        <v>0</v>
      </c>
    </row>
    <row r="5721" spans="1:18" x14ac:dyDescent="0.25">
      <c r="A5721">
        <v>205720</v>
      </c>
      <c r="B5721">
        <v>55747</v>
      </c>
      <c r="C5721" t="s">
        <v>18</v>
      </c>
      <c r="D5721">
        <v>5392.43</v>
      </c>
      <c r="E5721">
        <v>1543</v>
      </c>
      <c r="F5721">
        <v>0</v>
      </c>
      <c r="G5721">
        <v>2</v>
      </c>
      <c r="H5721">
        <v>0</v>
      </c>
      <c r="I5721" t="s">
        <v>19</v>
      </c>
      <c r="J5721">
        <v>0</v>
      </c>
      <c r="K5721">
        <v>69</v>
      </c>
      <c r="L5721" t="s">
        <v>20</v>
      </c>
      <c r="M5721" t="s">
        <v>25</v>
      </c>
      <c r="N5721" t="s">
        <v>26</v>
      </c>
      <c r="O5721" t="s">
        <v>27</v>
      </c>
      <c r="P5721">
        <v>0.94</v>
      </c>
      <c r="Q5721" s="2" t="b">
        <f>FALSE()</f>
        <v>0</v>
      </c>
      <c r="R5721">
        <v>1</v>
      </c>
    </row>
    <row r="5722" spans="1:18" x14ac:dyDescent="0.25">
      <c r="A5722">
        <v>205721</v>
      </c>
      <c r="B5722">
        <v>53597</v>
      </c>
      <c r="C5722" t="s">
        <v>18</v>
      </c>
      <c r="D5722">
        <v>2449.84</v>
      </c>
      <c r="E5722">
        <v>1846</v>
      </c>
      <c r="F5722">
        <v>2</v>
      </c>
      <c r="G5722">
        <v>1</v>
      </c>
      <c r="H5722">
        <v>0</v>
      </c>
      <c r="I5722" t="s">
        <v>19</v>
      </c>
      <c r="J5722">
        <v>0</v>
      </c>
      <c r="K5722">
        <v>59</v>
      </c>
      <c r="L5722" t="s">
        <v>24</v>
      </c>
      <c r="M5722" t="s">
        <v>35</v>
      </c>
      <c r="N5722" t="s">
        <v>22</v>
      </c>
      <c r="O5722" t="s">
        <v>27</v>
      </c>
      <c r="P5722">
        <v>0.24</v>
      </c>
      <c r="Q5722" s="2" t="b">
        <f>FALSE()</f>
        <v>0</v>
      </c>
      <c r="R5722">
        <v>0</v>
      </c>
    </row>
    <row r="5723" spans="1:18" x14ac:dyDescent="0.25">
      <c r="A5723">
        <v>205722</v>
      </c>
      <c r="B5723">
        <v>51420</v>
      </c>
      <c r="C5723" t="s">
        <v>18</v>
      </c>
      <c r="D5723">
        <v>2437.4</v>
      </c>
      <c r="E5723">
        <v>2568</v>
      </c>
      <c r="F5723">
        <v>0</v>
      </c>
      <c r="G5723">
        <v>3</v>
      </c>
      <c r="H5723">
        <v>0</v>
      </c>
      <c r="I5723" t="s">
        <v>19</v>
      </c>
      <c r="J5723">
        <v>0</v>
      </c>
      <c r="K5723">
        <v>38</v>
      </c>
      <c r="L5723" t="s">
        <v>20</v>
      </c>
      <c r="M5723" t="s">
        <v>35</v>
      </c>
      <c r="N5723" t="s">
        <v>22</v>
      </c>
      <c r="O5723" t="s">
        <v>23</v>
      </c>
      <c r="P5723">
        <v>0.7</v>
      </c>
      <c r="Q5723" s="2" t="b">
        <f>FALSE()</f>
        <v>0</v>
      </c>
      <c r="R5723">
        <v>0</v>
      </c>
    </row>
    <row r="5724" spans="1:18" x14ac:dyDescent="0.25">
      <c r="A5724">
        <v>205723</v>
      </c>
      <c r="B5724">
        <v>53810</v>
      </c>
      <c r="C5724" t="s">
        <v>18</v>
      </c>
      <c r="D5724">
        <v>2128.1999999999998</v>
      </c>
      <c r="E5724">
        <v>1573</v>
      </c>
      <c r="F5724">
        <v>0</v>
      </c>
      <c r="G5724">
        <v>8</v>
      </c>
      <c r="H5724">
        <v>0</v>
      </c>
      <c r="I5724" t="s">
        <v>33</v>
      </c>
      <c r="J5724">
        <v>0</v>
      </c>
      <c r="K5724">
        <v>64</v>
      </c>
      <c r="L5724" t="s">
        <v>24</v>
      </c>
      <c r="M5724" t="s">
        <v>35</v>
      </c>
      <c r="N5724" t="s">
        <v>30</v>
      </c>
      <c r="O5724" t="s">
        <v>36</v>
      </c>
      <c r="P5724">
        <v>0.43</v>
      </c>
      <c r="Q5724" s="2" t="b">
        <f>FALSE()</f>
        <v>0</v>
      </c>
      <c r="R5724">
        <v>1</v>
      </c>
    </row>
    <row r="5725" spans="1:18" x14ac:dyDescent="0.25">
      <c r="A5725">
        <v>205724</v>
      </c>
      <c r="B5725">
        <v>55304</v>
      </c>
      <c r="C5725" t="s">
        <v>18</v>
      </c>
      <c r="D5725">
        <v>4593.96</v>
      </c>
      <c r="E5725">
        <v>90</v>
      </c>
      <c r="F5725">
        <v>2</v>
      </c>
      <c r="G5725">
        <v>2</v>
      </c>
      <c r="H5725">
        <v>0</v>
      </c>
      <c r="I5725" t="s">
        <v>33</v>
      </c>
      <c r="J5725">
        <v>0</v>
      </c>
      <c r="K5725">
        <v>46</v>
      </c>
      <c r="L5725" t="s">
        <v>20</v>
      </c>
      <c r="M5725" t="s">
        <v>35</v>
      </c>
      <c r="N5725" t="s">
        <v>22</v>
      </c>
      <c r="O5725" t="s">
        <v>27</v>
      </c>
      <c r="P5725">
        <v>0.3</v>
      </c>
      <c r="Q5725" s="2" t="b">
        <f>FALSE()</f>
        <v>0</v>
      </c>
      <c r="R5725">
        <v>1</v>
      </c>
    </row>
    <row r="5726" spans="1:18" x14ac:dyDescent="0.25">
      <c r="A5726">
        <v>205725</v>
      </c>
      <c r="B5726">
        <v>54681</v>
      </c>
      <c r="C5726" t="s">
        <v>18</v>
      </c>
      <c r="D5726">
        <v>1531.34</v>
      </c>
      <c r="E5726">
        <v>3248</v>
      </c>
      <c r="F5726">
        <v>0</v>
      </c>
      <c r="G5726">
        <v>3</v>
      </c>
      <c r="H5726">
        <v>1</v>
      </c>
      <c r="I5726" t="s">
        <v>33</v>
      </c>
      <c r="J5726">
        <v>0</v>
      </c>
      <c r="K5726">
        <v>29</v>
      </c>
      <c r="L5726" t="s">
        <v>20</v>
      </c>
      <c r="M5726" t="s">
        <v>31</v>
      </c>
      <c r="N5726" t="s">
        <v>30</v>
      </c>
      <c r="O5726" t="s">
        <v>27</v>
      </c>
      <c r="P5726">
        <v>5.12</v>
      </c>
      <c r="Q5726" s="2" t="b">
        <f>FALSE()</f>
        <v>0</v>
      </c>
      <c r="R5726">
        <v>0</v>
      </c>
    </row>
    <row r="5727" spans="1:18" x14ac:dyDescent="0.25">
      <c r="A5727">
        <v>205726</v>
      </c>
      <c r="B5727">
        <v>52975</v>
      </c>
      <c r="C5727" t="s">
        <v>18</v>
      </c>
      <c r="D5727">
        <v>1410.2</v>
      </c>
      <c r="E5727">
        <v>1909</v>
      </c>
      <c r="F5727">
        <v>2</v>
      </c>
      <c r="G5727">
        <v>5</v>
      </c>
      <c r="H5727">
        <v>0</v>
      </c>
      <c r="I5727" t="s">
        <v>32</v>
      </c>
      <c r="J5727">
        <v>0</v>
      </c>
      <c r="K5727">
        <v>54</v>
      </c>
      <c r="L5727" t="s">
        <v>20</v>
      </c>
      <c r="M5727" t="s">
        <v>35</v>
      </c>
      <c r="N5727" t="s">
        <v>30</v>
      </c>
      <c r="O5727" t="s">
        <v>23</v>
      </c>
      <c r="P5727">
        <v>4.3</v>
      </c>
      <c r="Q5727" s="2" t="b">
        <f>FALSE()</f>
        <v>0</v>
      </c>
      <c r="R5727">
        <v>0</v>
      </c>
    </row>
    <row r="5728" spans="1:18" x14ac:dyDescent="0.25">
      <c r="A5728">
        <v>205727</v>
      </c>
      <c r="B5728">
        <v>53132</v>
      </c>
      <c r="C5728" t="s">
        <v>28</v>
      </c>
      <c r="D5728">
        <v>1569.6</v>
      </c>
      <c r="E5728">
        <v>192</v>
      </c>
      <c r="F5728">
        <v>0</v>
      </c>
      <c r="G5728">
        <v>7</v>
      </c>
      <c r="H5728">
        <v>0</v>
      </c>
      <c r="I5728" t="s">
        <v>19</v>
      </c>
      <c r="J5728">
        <v>0</v>
      </c>
      <c r="K5728">
        <v>78</v>
      </c>
      <c r="L5728" t="s">
        <v>24</v>
      </c>
      <c r="M5728" t="s">
        <v>21</v>
      </c>
      <c r="N5728" t="s">
        <v>22</v>
      </c>
      <c r="O5728" t="s">
        <v>27</v>
      </c>
      <c r="P5728">
        <v>4.1900000000000004</v>
      </c>
      <c r="Q5728" s="2" t="b">
        <f>FALSE()</f>
        <v>0</v>
      </c>
      <c r="R5728">
        <v>1</v>
      </c>
    </row>
    <row r="5729" spans="1:18" x14ac:dyDescent="0.25">
      <c r="A5729">
        <v>205728</v>
      </c>
      <c r="B5729">
        <v>52555</v>
      </c>
      <c r="C5729" t="s">
        <v>18</v>
      </c>
      <c r="D5729">
        <v>2366.7399999999998</v>
      </c>
      <c r="E5729">
        <v>1043</v>
      </c>
      <c r="F5729">
        <v>2</v>
      </c>
      <c r="G5729">
        <v>5</v>
      </c>
      <c r="H5729">
        <v>0</v>
      </c>
      <c r="I5729" t="s">
        <v>33</v>
      </c>
      <c r="J5729">
        <v>0</v>
      </c>
      <c r="K5729">
        <v>51</v>
      </c>
      <c r="L5729" t="s">
        <v>20</v>
      </c>
      <c r="M5729" t="s">
        <v>29</v>
      </c>
      <c r="N5729" t="s">
        <v>22</v>
      </c>
      <c r="O5729" t="s">
        <v>27</v>
      </c>
      <c r="P5729">
        <v>1.46</v>
      </c>
      <c r="Q5729" s="2" t="b">
        <f>FALSE()</f>
        <v>0</v>
      </c>
      <c r="R5729">
        <v>0</v>
      </c>
    </row>
    <row r="5730" spans="1:18" x14ac:dyDescent="0.25">
      <c r="A5730">
        <v>205729</v>
      </c>
      <c r="B5730">
        <v>50872</v>
      </c>
      <c r="C5730" t="s">
        <v>18</v>
      </c>
      <c r="D5730">
        <v>2513.8200000000002</v>
      </c>
      <c r="E5730">
        <v>2484</v>
      </c>
      <c r="F5730">
        <v>1</v>
      </c>
      <c r="G5730">
        <v>3</v>
      </c>
      <c r="H5730">
        <v>0</v>
      </c>
      <c r="I5730" t="s">
        <v>32</v>
      </c>
      <c r="J5730">
        <v>0</v>
      </c>
      <c r="K5730">
        <v>63</v>
      </c>
      <c r="L5730" t="s">
        <v>24</v>
      </c>
      <c r="M5730" t="s">
        <v>37</v>
      </c>
      <c r="N5730" t="s">
        <v>30</v>
      </c>
      <c r="O5730" t="s">
        <v>23</v>
      </c>
      <c r="P5730">
        <v>2.0299999999999998</v>
      </c>
      <c r="Q5730" s="2" t="b">
        <f>FALSE()</f>
        <v>0</v>
      </c>
      <c r="R5730">
        <v>0</v>
      </c>
    </row>
    <row r="5731" spans="1:18" x14ac:dyDescent="0.25">
      <c r="A5731">
        <v>205730</v>
      </c>
      <c r="B5731">
        <v>52483</v>
      </c>
      <c r="C5731" t="s">
        <v>18</v>
      </c>
      <c r="D5731">
        <v>718.77</v>
      </c>
      <c r="E5731">
        <v>3510</v>
      </c>
      <c r="F5731">
        <v>0</v>
      </c>
      <c r="G5731">
        <v>3</v>
      </c>
      <c r="H5731">
        <v>0</v>
      </c>
      <c r="I5731" t="s">
        <v>33</v>
      </c>
      <c r="J5731">
        <v>0</v>
      </c>
      <c r="K5731">
        <v>34</v>
      </c>
      <c r="L5731" t="s">
        <v>20</v>
      </c>
      <c r="M5731" t="s">
        <v>35</v>
      </c>
      <c r="N5731" t="s">
        <v>26</v>
      </c>
      <c r="O5731" t="s">
        <v>27</v>
      </c>
      <c r="P5731">
        <v>2.83</v>
      </c>
      <c r="Q5731" s="2" t="b">
        <f>FALSE()</f>
        <v>0</v>
      </c>
      <c r="R5731">
        <v>0</v>
      </c>
    </row>
    <row r="5732" spans="1:18" x14ac:dyDescent="0.25">
      <c r="A5732">
        <v>205731</v>
      </c>
      <c r="B5732">
        <v>55111</v>
      </c>
      <c r="C5732" t="s">
        <v>34</v>
      </c>
      <c r="D5732">
        <v>2417.9499999999998</v>
      </c>
      <c r="E5732">
        <v>63</v>
      </c>
      <c r="F5732">
        <v>2</v>
      </c>
      <c r="G5732">
        <v>3</v>
      </c>
      <c r="H5732">
        <v>0</v>
      </c>
      <c r="I5732" t="s">
        <v>19</v>
      </c>
      <c r="J5732">
        <v>0</v>
      </c>
      <c r="K5732">
        <v>36</v>
      </c>
      <c r="L5732" t="s">
        <v>20</v>
      </c>
      <c r="M5732" t="s">
        <v>29</v>
      </c>
      <c r="N5732" t="s">
        <v>22</v>
      </c>
      <c r="O5732" t="s">
        <v>27</v>
      </c>
      <c r="P5732">
        <v>1.98</v>
      </c>
      <c r="Q5732" s="2" t="b">
        <f>FALSE()</f>
        <v>0</v>
      </c>
      <c r="R5732">
        <v>0</v>
      </c>
    </row>
    <row r="5733" spans="1:18" x14ac:dyDescent="0.25">
      <c r="A5733">
        <v>205732</v>
      </c>
      <c r="B5733">
        <v>50488</v>
      </c>
      <c r="C5733" t="s">
        <v>18</v>
      </c>
      <c r="D5733">
        <v>6044.59</v>
      </c>
      <c r="E5733">
        <v>989</v>
      </c>
      <c r="F5733">
        <v>1</v>
      </c>
      <c r="G5733">
        <v>2</v>
      </c>
      <c r="H5733">
        <v>0</v>
      </c>
      <c r="I5733" t="s">
        <v>33</v>
      </c>
      <c r="J5733">
        <v>0</v>
      </c>
      <c r="K5733">
        <v>56</v>
      </c>
      <c r="L5733" t="s">
        <v>24</v>
      </c>
      <c r="M5733" t="s">
        <v>37</v>
      </c>
      <c r="N5733" t="s">
        <v>22</v>
      </c>
      <c r="O5733" t="s">
        <v>23</v>
      </c>
      <c r="P5733">
        <v>0.24</v>
      </c>
      <c r="Q5733" s="2" t="b">
        <f>FALSE()</f>
        <v>0</v>
      </c>
      <c r="R5733">
        <v>1</v>
      </c>
    </row>
    <row r="5734" spans="1:18" x14ac:dyDescent="0.25">
      <c r="A5734">
        <v>205733</v>
      </c>
      <c r="B5734">
        <v>50313</v>
      </c>
      <c r="C5734" t="s">
        <v>28</v>
      </c>
      <c r="D5734">
        <v>3762</v>
      </c>
      <c r="E5734">
        <v>2909</v>
      </c>
      <c r="F5734">
        <v>0</v>
      </c>
      <c r="G5734">
        <v>4</v>
      </c>
      <c r="H5734">
        <v>0</v>
      </c>
      <c r="I5734" t="s">
        <v>19</v>
      </c>
      <c r="J5734">
        <v>0</v>
      </c>
      <c r="K5734">
        <v>41</v>
      </c>
      <c r="L5734" t="s">
        <v>20</v>
      </c>
      <c r="M5734" t="s">
        <v>25</v>
      </c>
      <c r="N5734" t="s">
        <v>26</v>
      </c>
      <c r="O5734" t="s">
        <v>36</v>
      </c>
      <c r="P5734">
        <v>2.42</v>
      </c>
      <c r="Q5734" s="2" t="b">
        <f>FALSE()</f>
        <v>0</v>
      </c>
      <c r="R5734">
        <v>1</v>
      </c>
    </row>
    <row r="5735" spans="1:18" x14ac:dyDescent="0.25">
      <c r="A5735">
        <v>205734</v>
      </c>
      <c r="B5735">
        <v>54049</v>
      </c>
      <c r="C5735" t="s">
        <v>18</v>
      </c>
      <c r="D5735">
        <v>4289.8599999999997</v>
      </c>
      <c r="E5735">
        <v>1629</v>
      </c>
      <c r="F5735">
        <v>1</v>
      </c>
      <c r="G5735">
        <v>2</v>
      </c>
      <c r="H5735">
        <v>0</v>
      </c>
      <c r="I5735" t="s">
        <v>33</v>
      </c>
      <c r="J5735">
        <v>0</v>
      </c>
      <c r="K5735">
        <v>69</v>
      </c>
      <c r="L5735" t="s">
        <v>20</v>
      </c>
      <c r="M5735" t="s">
        <v>29</v>
      </c>
      <c r="N5735" t="s">
        <v>26</v>
      </c>
      <c r="O5735" t="s">
        <v>23</v>
      </c>
      <c r="P5735">
        <v>0.53</v>
      </c>
      <c r="Q5735" s="2" t="b">
        <f>FALSE()</f>
        <v>0</v>
      </c>
      <c r="R5735">
        <v>1</v>
      </c>
    </row>
    <row r="5736" spans="1:18" x14ac:dyDescent="0.25">
      <c r="A5736">
        <v>205735</v>
      </c>
      <c r="B5736">
        <v>53968</v>
      </c>
      <c r="C5736" t="s">
        <v>18</v>
      </c>
      <c r="D5736">
        <v>5936.02</v>
      </c>
      <c r="E5736">
        <v>3551</v>
      </c>
      <c r="F5736">
        <v>1</v>
      </c>
      <c r="G5736">
        <v>3</v>
      </c>
      <c r="H5736">
        <v>0</v>
      </c>
      <c r="I5736" t="s">
        <v>33</v>
      </c>
      <c r="J5736">
        <v>0</v>
      </c>
      <c r="K5736">
        <v>24</v>
      </c>
      <c r="L5736" t="s">
        <v>24</v>
      </c>
      <c r="M5736" t="s">
        <v>35</v>
      </c>
      <c r="N5736" t="s">
        <v>26</v>
      </c>
      <c r="O5736" t="s">
        <v>27</v>
      </c>
      <c r="P5736">
        <v>5.33</v>
      </c>
      <c r="Q5736" s="2" t="b">
        <f>FALSE()</f>
        <v>0</v>
      </c>
      <c r="R5736">
        <v>1</v>
      </c>
    </row>
    <row r="5737" spans="1:18" x14ac:dyDescent="0.25">
      <c r="A5737">
        <v>205736</v>
      </c>
      <c r="B5737">
        <v>54990</v>
      </c>
      <c r="C5737" t="s">
        <v>18</v>
      </c>
      <c r="D5737">
        <v>1335.78</v>
      </c>
      <c r="E5737">
        <v>1558</v>
      </c>
      <c r="F5737">
        <v>0</v>
      </c>
      <c r="G5737">
        <v>5</v>
      </c>
      <c r="H5737">
        <v>1</v>
      </c>
      <c r="I5737" t="s">
        <v>19</v>
      </c>
      <c r="J5737">
        <v>1</v>
      </c>
      <c r="K5737">
        <v>58</v>
      </c>
      <c r="L5737" t="s">
        <v>24</v>
      </c>
      <c r="M5737" t="s">
        <v>25</v>
      </c>
      <c r="N5737" t="s">
        <v>22</v>
      </c>
      <c r="O5737" t="s">
        <v>36</v>
      </c>
      <c r="P5737">
        <v>5.23</v>
      </c>
      <c r="Q5737" s="2" t="b">
        <f>FALSE()</f>
        <v>0</v>
      </c>
      <c r="R5737">
        <v>0</v>
      </c>
    </row>
    <row r="5738" spans="1:18" x14ac:dyDescent="0.25">
      <c r="A5738">
        <v>205737</v>
      </c>
      <c r="B5738">
        <v>50755</v>
      </c>
      <c r="C5738" t="s">
        <v>28</v>
      </c>
      <c r="D5738">
        <v>7059.96</v>
      </c>
      <c r="E5738">
        <v>2517</v>
      </c>
      <c r="F5738">
        <v>1</v>
      </c>
      <c r="G5738">
        <v>3</v>
      </c>
      <c r="H5738">
        <v>0</v>
      </c>
      <c r="I5738" t="s">
        <v>32</v>
      </c>
      <c r="J5738">
        <v>0</v>
      </c>
      <c r="K5738">
        <v>28</v>
      </c>
      <c r="L5738" t="s">
        <v>20</v>
      </c>
      <c r="M5738" t="s">
        <v>29</v>
      </c>
      <c r="N5738" t="s">
        <v>30</v>
      </c>
      <c r="O5738" t="s">
        <v>23</v>
      </c>
      <c r="P5738">
        <v>3.75</v>
      </c>
      <c r="Q5738" s="2" t="b">
        <f>TRUE()</f>
        <v>1</v>
      </c>
      <c r="R5738">
        <v>1</v>
      </c>
    </row>
    <row r="5739" spans="1:18" x14ac:dyDescent="0.25">
      <c r="A5739">
        <v>205738</v>
      </c>
      <c r="B5739">
        <v>52199</v>
      </c>
      <c r="C5739" t="s">
        <v>28</v>
      </c>
      <c r="D5739">
        <v>624.78</v>
      </c>
      <c r="E5739">
        <v>3318</v>
      </c>
      <c r="F5739">
        <v>1</v>
      </c>
      <c r="G5739">
        <v>3</v>
      </c>
      <c r="H5739">
        <v>1</v>
      </c>
      <c r="I5739" t="s">
        <v>19</v>
      </c>
      <c r="J5739">
        <v>0</v>
      </c>
      <c r="K5739">
        <v>64</v>
      </c>
      <c r="L5739" t="s">
        <v>24</v>
      </c>
      <c r="M5739" t="s">
        <v>37</v>
      </c>
      <c r="N5739" t="s">
        <v>22</v>
      </c>
      <c r="O5739" t="s">
        <v>36</v>
      </c>
      <c r="P5739">
        <v>2.2400000000000002</v>
      </c>
      <c r="Q5739" s="2" t="b">
        <f>FALSE()</f>
        <v>0</v>
      </c>
      <c r="R5739">
        <v>0</v>
      </c>
    </row>
    <row r="5740" spans="1:18" x14ac:dyDescent="0.25">
      <c r="A5740">
        <v>205739</v>
      </c>
      <c r="B5740">
        <v>55716</v>
      </c>
      <c r="C5740" t="s">
        <v>28</v>
      </c>
      <c r="D5740">
        <v>2776.97</v>
      </c>
      <c r="E5740">
        <v>2692</v>
      </c>
      <c r="F5740">
        <v>2</v>
      </c>
      <c r="G5740">
        <v>2</v>
      </c>
      <c r="H5740">
        <v>0</v>
      </c>
      <c r="I5740" t="s">
        <v>33</v>
      </c>
      <c r="J5740">
        <v>0</v>
      </c>
      <c r="K5740">
        <v>34</v>
      </c>
      <c r="L5740" t="s">
        <v>20</v>
      </c>
      <c r="M5740" t="s">
        <v>31</v>
      </c>
      <c r="N5740" t="s">
        <v>22</v>
      </c>
      <c r="O5740" t="s">
        <v>27</v>
      </c>
      <c r="P5740">
        <v>0.28000000000000003</v>
      </c>
      <c r="Q5740" s="2" t="b">
        <f>FALSE()</f>
        <v>0</v>
      </c>
      <c r="R5740">
        <v>0</v>
      </c>
    </row>
    <row r="5741" spans="1:18" x14ac:dyDescent="0.25">
      <c r="A5741">
        <v>205740</v>
      </c>
      <c r="B5741">
        <v>52058</v>
      </c>
      <c r="C5741" t="s">
        <v>34</v>
      </c>
      <c r="D5741">
        <v>6866.35</v>
      </c>
      <c r="E5741">
        <v>1319</v>
      </c>
      <c r="F5741">
        <v>1</v>
      </c>
      <c r="G5741">
        <v>1</v>
      </c>
      <c r="H5741">
        <v>0</v>
      </c>
      <c r="I5741" t="s">
        <v>32</v>
      </c>
      <c r="J5741">
        <v>0</v>
      </c>
      <c r="K5741">
        <v>77</v>
      </c>
      <c r="L5741" t="s">
        <v>24</v>
      </c>
      <c r="M5741" t="s">
        <v>29</v>
      </c>
      <c r="N5741" t="s">
        <v>22</v>
      </c>
      <c r="O5741" t="s">
        <v>27</v>
      </c>
      <c r="P5741">
        <v>1.17</v>
      </c>
      <c r="Q5741" s="2" t="b">
        <f>FALSE()</f>
        <v>0</v>
      </c>
      <c r="R5741">
        <v>1</v>
      </c>
    </row>
    <row r="5742" spans="1:18" x14ac:dyDescent="0.25">
      <c r="A5742">
        <v>205741</v>
      </c>
      <c r="B5742">
        <v>50580</v>
      </c>
      <c r="C5742" t="s">
        <v>18</v>
      </c>
      <c r="D5742">
        <v>2582.66</v>
      </c>
      <c r="E5742">
        <v>375</v>
      </c>
      <c r="F5742">
        <v>1</v>
      </c>
      <c r="G5742">
        <v>3</v>
      </c>
      <c r="H5742">
        <v>1</v>
      </c>
      <c r="I5742" t="s">
        <v>19</v>
      </c>
      <c r="J5742">
        <v>0</v>
      </c>
      <c r="K5742">
        <v>38</v>
      </c>
      <c r="L5742" t="s">
        <v>20</v>
      </c>
      <c r="M5742" t="s">
        <v>21</v>
      </c>
      <c r="N5742" t="s">
        <v>30</v>
      </c>
      <c r="O5742" t="s">
        <v>36</v>
      </c>
      <c r="P5742">
        <v>1.74</v>
      </c>
      <c r="Q5742" s="2" t="b">
        <f>FALSE()</f>
        <v>0</v>
      </c>
      <c r="R5742">
        <v>0</v>
      </c>
    </row>
    <row r="5743" spans="1:18" x14ac:dyDescent="0.25">
      <c r="A5743">
        <v>205742</v>
      </c>
      <c r="B5743">
        <v>54141</v>
      </c>
      <c r="C5743" t="s">
        <v>34</v>
      </c>
      <c r="D5743">
        <v>2048.5700000000002</v>
      </c>
      <c r="E5743">
        <v>1399</v>
      </c>
      <c r="F5743">
        <v>4</v>
      </c>
      <c r="G5743">
        <v>6</v>
      </c>
      <c r="H5743">
        <v>1</v>
      </c>
      <c r="I5743" t="s">
        <v>33</v>
      </c>
      <c r="J5743">
        <v>1</v>
      </c>
      <c r="K5743">
        <v>56</v>
      </c>
      <c r="L5743" t="s">
        <v>20</v>
      </c>
      <c r="M5743" t="s">
        <v>35</v>
      </c>
      <c r="N5743" t="s">
        <v>22</v>
      </c>
      <c r="O5743" t="s">
        <v>27</v>
      </c>
      <c r="P5743">
        <v>3.4</v>
      </c>
      <c r="Q5743" s="2" t="b">
        <f>FALSE()</f>
        <v>0</v>
      </c>
      <c r="R5743">
        <v>1</v>
      </c>
    </row>
    <row r="5744" spans="1:18" x14ac:dyDescent="0.25">
      <c r="A5744">
        <v>205743</v>
      </c>
      <c r="B5744">
        <v>54017</v>
      </c>
      <c r="C5744" t="s">
        <v>18</v>
      </c>
      <c r="D5744">
        <v>4497.1899999999996</v>
      </c>
      <c r="E5744">
        <v>1142</v>
      </c>
      <c r="F5744">
        <v>2</v>
      </c>
      <c r="G5744">
        <v>1</v>
      </c>
      <c r="H5744">
        <v>0</v>
      </c>
      <c r="I5744" t="s">
        <v>33</v>
      </c>
      <c r="J5744">
        <v>0</v>
      </c>
      <c r="K5744">
        <v>51</v>
      </c>
      <c r="L5744" t="s">
        <v>20</v>
      </c>
      <c r="M5744" t="s">
        <v>35</v>
      </c>
      <c r="N5744" t="s">
        <v>22</v>
      </c>
      <c r="O5744" t="s">
        <v>36</v>
      </c>
      <c r="P5744">
        <v>0.25</v>
      </c>
      <c r="Q5744" s="2" t="b">
        <f>FALSE()</f>
        <v>0</v>
      </c>
      <c r="R5744">
        <v>1</v>
      </c>
    </row>
    <row r="5745" spans="1:18" x14ac:dyDescent="0.25">
      <c r="A5745">
        <v>205744</v>
      </c>
      <c r="B5745">
        <v>52256</v>
      </c>
      <c r="C5745" t="s">
        <v>18</v>
      </c>
      <c r="D5745">
        <v>5154.93</v>
      </c>
      <c r="E5745">
        <v>2065</v>
      </c>
      <c r="F5745">
        <v>0</v>
      </c>
      <c r="G5745">
        <v>2</v>
      </c>
      <c r="H5745">
        <v>0</v>
      </c>
      <c r="I5745" t="s">
        <v>33</v>
      </c>
      <c r="J5745">
        <v>1</v>
      </c>
      <c r="K5745">
        <v>37</v>
      </c>
      <c r="L5745" t="s">
        <v>24</v>
      </c>
      <c r="M5745" t="s">
        <v>37</v>
      </c>
      <c r="N5745" t="s">
        <v>30</v>
      </c>
      <c r="O5745" t="s">
        <v>27</v>
      </c>
      <c r="P5745">
        <v>0.33</v>
      </c>
      <c r="Q5745" s="2" t="b">
        <f>FALSE()</f>
        <v>0</v>
      </c>
      <c r="R5745">
        <v>1</v>
      </c>
    </row>
    <row r="5746" spans="1:18" x14ac:dyDescent="0.25">
      <c r="A5746">
        <v>205745</v>
      </c>
      <c r="B5746">
        <v>51109</v>
      </c>
      <c r="C5746" t="s">
        <v>18</v>
      </c>
      <c r="D5746">
        <v>1539.46</v>
      </c>
      <c r="E5746">
        <v>2513</v>
      </c>
      <c r="F5746">
        <v>1</v>
      </c>
      <c r="G5746">
        <v>2</v>
      </c>
      <c r="H5746">
        <v>1</v>
      </c>
      <c r="I5746" t="s">
        <v>33</v>
      </c>
      <c r="J5746">
        <v>0</v>
      </c>
      <c r="K5746">
        <v>62</v>
      </c>
      <c r="L5746" t="s">
        <v>24</v>
      </c>
      <c r="M5746" t="s">
        <v>37</v>
      </c>
      <c r="N5746" t="s">
        <v>30</v>
      </c>
      <c r="O5746" t="s">
        <v>27</v>
      </c>
      <c r="P5746">
        <v>7.95</v>
      </c>
      <c r="Q5746" s="2" t="b">
        <f>FALSE()</f>
        <v>0</v>
      </c>
      <c r="R5746">
        <v>0</v>
      </c>
    </row>
    <row r="5747" spans="1:18" x14ac:dyDescent="0.25">
      <c r="A5747">
        <v>205746</v>
      </c>
      <c r="B5747">
        <v>52486</v>
      </c>
      <c r="C5747" t="s">
        <v>18</v>
      </c>
      <c r="D5747">
        <v>1642.42</v>
      </c>
      <c r="E5747">
        <v>1268</v>
      </c>
      <c r="F5747">
        <v>1</v>
      </c>
      <c r="G5747">
        <v>6</v>
      </c>
      <c r="H5747">
        <v>0</v>
      </c>
      <c r="I5747" t="s">
        <v>33</v>
      </c>
      <c r="J5747">
        <v>0</v>
      </c>
      <c r="K5747">
        <v>59</v>
      </c>
      <c r="L5747" t="s">
        <v>20</v>
      </c>
      <c r="M5747" t="s">
        <v>29</v>
      </c>
      <c r="N5747" t="s">
        <v>22</v>
      </c>
      <c r="O5747" t="s">
        <v>23</v>
      </c>
      <c r="P5747">
        <v>0.65</v>
      </c>
      <c r="Q5747" s="2" t="b">
        <f>FALSE()</f>
        <v>0</v>
      </c>
      <c r="R5747">
        <v>0</v>
      </c>
    </row>
    <row r="5748" spans="1:18" x14ac:dyDescent="0.25">
      <c r="A5748">
        <v>205747</v>
      </c>
      <c r="B5748">
        <v>51908</v>
      </c>
      <c r="C5748" t="s">
        <v>18</v>
      </c>
      <c r="D5748">
        <v>526.30999999999995</v>
      </c>
      <c r="E5748">
        <v>3597</v>
      </c>
      <c r="F5748">
        <v>3</v>
      </c>
      <c r="G5748">
        <v>1</v>
      </c>
      <c r="H5748">
        <v>0</v>
      </c>
      <c r="I5748" t="s">
        <v>33</v>
      </c>
      <c r="J5748">
        <v>0</v>
      </c>
      <c r="K5748">
        <v>22</v>
      </c>
      <c r="L5748" t="s">
        <v>20</v>
      </c>
      <c r="M5748" t="s">
        <v>21</v>
      </c>
      <c r="N5748" t="s">
        <v>30</v>
      </c>
      <c r="O5748" t="s">
        <v>27</v>
      </c>
      <c r="P5748">
        <v>3.23</v>
      </c>
      <c r="Q5748" s="2" t="b">
        <f>FALSE()</f>
        <v>0</v>
      </c>
      <c r="R5748">
        <v>1</v>
      </c>
    </row>
    <row r="5749" spans="1:18" x14ac:dyDescent="0.25">
      <c r="A5749">
        <v>205748</v>
      </c>
      <c r="B5749">
        <v>50616</v>
      </c>
      <c r="C5749" t="s">
        <v>18</v>
      </c>
      <c r="D5749">
        <v>4736.32</v>
      </c>
      <c r="E5749">
        <v>2529</v>
      </c>
      <c r="F5749">
        <v>3</v>
      </c>
      <c r="G5749">
        <v>1</v>
      </c>
      <c r="H5749">
        <v>0</v>
      </c>
      <c r="I5749" t="s">
        <v>33</v>
      </c>
      <c r="J5749">
        <v>1</v>
      </c>
      <c r="K5749">
        <v>32</v>
      </c>
      <c r="L5749" t="s">
        <v>24</v>
      </c>
      <c r="M5749" t="s">
        <v>31</v>
      </c>
      <c r="N5749" t="s">
        <v>30</v>
      </c>
      <c r="O5749" t="s">
        <v>27</v>
      </c>
      <c r="P5749">
        <v>0.85</v>
      </c>
      <c r="Q5749" s="2" t="b">
        <f>FALSE()</f>
        <v>0</v>
      </c>
      <c r="R5749">
        <v>1</v>
      </c>
    </row>
    <row r="5750" spans="1:18" x14ac:dyDescent="0.25">
      <c r="A5750">
        <v>205749</v>
      </c>
      <c r="B5750">
        <v>52785</v>
      </c>
      <c r="C5750" t="s">
        <v>34</v>
      </c>
      <c r="D5750">
        <v>11106.18</v>
      </c>
      <c r="E5750">
        <v>749</v>
      </c>
      <c r="F5750">
        <v>1</v>
      </c>
      <c r="G5750">
        <v>7</v>
      </c>
      <c r="H5750">
        <v>0</v>
      </c>
      <c r="I5750" t="s">
        <v>32</v>
      </c>
      <c r="J5750">
        <v>0</v>
      </c>
      <c r="K5750">
        <v>77</v>
      </c>
      <c r="L5750" t="s">
        <v>20</v>
      </c>
      <c r="M5750" t="s">
        <v>35</v>
      </c>
      <c r="N5750" t="s">
        <v>22</v>
      </c>
      <c r="O5750" t="s">
        <v>23</v>
      </c>
      <c r="P5750">
        <v>5.64</v>
      </c>
      <c r="Q5750" s="2" t="b">
        <f>TRUE()</f>
        <v>1</v>
      </c>
      <c r="R5750">
        <v>1</v>
      </c>
    </row>
    <row r="5751" spans="1:18" x14ac:dyDescent="0.25">
      <c r="A5751">
        <v>205750</v>
      </c>
      <c r="B5751">
        <v>53729</v>
      </c>
      <c r="C5751" t="s">
        <v>18</v>
      </c>
      <c r="D5751">
        <v>3929.87</v>
      </c>
      <c r="E5751">
        <v>2224</v>
      </c>
      <c r="F5751">
        <v>0</v>
      </c>
      <c r="G5751">
        <v>2</v>
      </c>
      <c r="H5751">
        <v>0</v>
      </c>
      <c r="I5751" t="s">
        <v>19</v>
      </c>
      <c r="J5751">
        <v>0</v>
      </c>
      <c r="K5751">
        <v>18</v>
      </c>
      <c r="L5751" t="s">
        <v>24</v>
      </c>
      <c r="M5751" t="s">
        <v>21</v>
      </c>
      <c r="N5751" t="s">
        <v>26</v>
      </c>
      <c r="O5751" t="s">
        <v>27</v>
      </c>
      <c r="P5751">
        <v>1.45</v>
      </c>
      <c r="Q5751" s="2" t="b">
        <f>FALSE()</f>
        <v>0</v>
      </c>
      <c r="R5751">
        <v>1</v>
      </c>
    </row>
    <row r="5752" spans="1:18" x14ac:dyDescent="0.25">
      <c r="A5752">
        <v>205751</v>
      </c>
      <c r="B5752">
        <v>50609</v>
      </c>
      <c r="C5752" t="s">
        <v>18</v>
      </c>
      <c r="D5752">
        <v>1272.02</v>
      </c>
      <c r="E5752">
        <v>3209</v>
      </c>
      <c r="F5752">
        <v>0</v>
      </c>
      <c r="G5752">
        <v>3</v>
      </c>
      <c r="H5752">
        <v>0</v>
      </c>
      <c r="I5752" t="s">
        <v>19</v>
      </c>
      <c r="J5752">
        <v>0</v>
      </c>
      <c r="K5752">
        <v>25</v>
      </c>
      <c r="L5752" t="s">
        <v>24</v>
      </c>
      <c r="M5752" t="s">
        <v>37</v>
      </c>
      <c r="N5752" t="s">
        <v>22</v>
      </c>
      <c r="O5752" t="s">
        <v>27</v>
      </c>
      <c r="P5752">
        <v>5.7</v>
      </c>
      <c r="Q5752" s="2" t="b">
        <f>FALSE()</f>
        <v>0</v>
      </c>
      <c r="R5752">
        <v>0</v>
      </c>
    </row>
    <row r="5753" spans="1:18" x14ac:dyDescent="0.25">
      <c r="A5753">
        <v>205752</v>
      </c>
      <c r="B5753">
        <v>50636</v>
      </c>
      <c r="C5753" t="s">
        <v>34</v>
      </c>
      <c r="D5753">
        <v>4587.6400000000003</v>
      </c>
      <c r="E5753">
        <v>1275</v>
      </c>
      <c r="F5753">
        <v>1</v>
      </c>
      <c r="G5753">
        <v>4</v>
      </c>
      <c r="H5753">
        <v>0</v>
      </c>
      <c r="I5753" t="s">
        <v>19</v>
      </c>
      <c r="J5753">
        <v>1</v>
      </c>
      <c r="K5753">
        <v>43</v>
      </c>
      <c r="L5753" t="s">
        <v>20</v>
      </c>
      <c r="M5753" t="s">
        <v>31</v>
      </c>
      <c r="N5753" t="s">
        <v>30</v>
      </c>
      <c r="O5753" t="s">
        <v>23</v>
      </c>
      <c r="P5753">
        <v>1.31</v>
      </c>
      <c r="Q5753" s="2" t="b">
        <f>FALSE()</f>
        <v>0</v>
      </c>
      <c r="R5753">
        <v>1</v>
      </c>
    </row>
    <row r="5754" spans="1:18" x14ac:dyDescent="0.25">
      <c r="A5754">
        <v>205753</v>
      </c>
      <c r="B5754">
        <v>54027</v>
      </c>
      <c r="C5754" t="s">
        <v>34</v>
      </c>
      <c r="D5754">
        <v>3860.88</v>
      </c>
      <c r="E5754">
        <v>2550</v>
      </c>
      <c r="F5754">
        <v>1</v>
      </c>
      <c r="G5754">
        <v>1</v>
      </c>
      <c r="H5754">
        <v>0</v>
      </c>
      <c r="I5754" t="s">
        <v>19</v>
      </c>
      <c r="J5754">
        <v>1</v>
      </c>
      <c r="K5754">
        <v>46</v>
      </c>
      <c r="L5754" t="s">
        <v>20</v>
      </c>
      <c r="M5754" t="s">
        <v>35</v>
      </c>
      <c r="N5754" t="s">
        <v>30</v>
      </c>
      <c r="O5754" t="s">
        <v>27</v>
      </c>
      <c r="P5754">
        <v>3.22</v>
      </c>
      <c r="Q5754" s="2" t="b">
        <f>FALSE()</f>
        <v>0</v>
      </c>
      <c r="R5754">
        <v>1</v>
      </c>
    </row>
    <row r="5755" spans="1:18" x14ac:dyDescent="0.25">
      <c r="A5755">
        <v>205754</v>
      </c>
      <c r="B5755">
        <v>51198</v>
      </c>
      <c r="C5755" t="s">
        <v>18</v>
      </c>
      <c r="D5755">
        <v>3208.6</v>
      </c>
      <c r="E5755">
        <v>701</v>
      </c>
      <c r="F5755">
        <v>1</v>
      </c>
      <c r="G5755">
        <v>2</v>
      </c>
      <c r="H5755">
        <v>0</v>
      </c>
      <c r="I5755" t="s">
        <v>32</v>
      </c>
      <c r="J5755">
        <v>0</v>
      </c>
      <c r="K5755">
        <v>62</v>
      </c>
      <c r="L5755" t="s">
        <v>24</v>
      </c>
      <c r="M5755" t="s">
        <v>29</v>
      </c>
      <c r="N5755" t="s">
        <v>22</v>
      </c>
      <c r="O5755" t="s">
        <v>27</v>
      </c>
      <c r="P5755">
        <v>2.2999999999999998</v>
      </c>
      <c r="Q5755" s="2" t="b">
        <f>FALSE()</f>
        <v>0</v>
      </c>
      <c r="R5755">
        <v>0</v>
      </c>
    </row>
    <row r="5756" spans="1:18" x14ac:dyDescent="0.25">
      <c r="A5756">
        <v>205755</v>
      </c>
      <c r="B5756">
        <v>55919</v>
      </c>
      <c r="C5756" t="s">
        <v>34</v>
      </c>
      <c r="D5756">
        <v>2445.5500000000002</v>
      </c>
      <c r="E5756">
        <v>2092</v>
      </c>
      <c r="F5756">
        <v>0</v>
      </c>
      <c r="G5756">
        <v>2</v>
      </c>
      <c r="H5756">
        <v>0</v>
      </c>
      <c r="I5756" t="s">
        <v>32</v>
      </c>
      <c r="J5756">
        <v>0</v>
      </c>
      <c r="K5756">
        <v>61</v>
      </c>
      <c r="L5756" t="s">
        <v>20</v>
      </c>
      <c r="M5756" t="s">
        <v>35</v>
      </c>
      <c r="N5756" t="s">
        <v>30</v>
      </c>
      <c r="O5756" t="s">
        <v>27</v>
      </c>
      <c r="P5756">
        <v>2.66</v>
      </c>
      <c r="Q5756" s="2" t="b">
        <f>FALSE()</f>
        <v>0</v>
      </c>
      <c r="R5756">
        <v>0</v>
      </c>
    </row>
    <row r="5757" spans="1:18" x14ac:dyDescent="0.25">
      <c r="A5757">
        <v>205756</v>
      </c>
      <c r="B5757">
        <v>52922</v>
      </c>
      <c r="C5757" t="s">
        <v>18</v>
      </c>
      <c r="D5757">
        <v>1013.3</v>
      </c>
      <c r="E5757">
        <v>1736</v>
      </c>
      <c r="F5757">
        <v>2</v>
      </c>
      <c r="G5757">
        <v>6</v>
      </c>
      <c r="H5757">
        <v>1</v>
      </c>
      <c r="I5757" t="s">
        <v>19</v>
      </c>
      <c r="J5757">
        <v>0</v>
      </c>
      <c r="K5757">
        <v>57</v>
      </c>
      <c r="L5757" t="s">
        <v>24</v>
      </c>
      <c r="M5757" t="s">
        <v>29</v>
      </c>
      <c r="N5757" t="s">
        <v>26</v>
      </c>
      <c r="O5757" t="s">
        <v>36</v>
      </c>
      <c r="P5757">
        <v>2.4700000000000002</v>
      </c>
      <c r="Q5757" s="2" t="b">
        <f>FALSE()</f>
        <v>0</v>
      </c>
      <c r="R5757">
        <v>0</v>
      </c>
    </row>
    <row r="5758" spans="1:18" x14ac:dyDescent="0.25">
      <c r="A5758">
        <v>205757</v>
      </c>
      <c r="B5758">
        <v>55516</v>
      </c>
      <c r="C5758" t="s">
        <v>18</v>
      </c>
      <c r="D5758">
        <v>218.81</v>
      </c>
      <c r="E5758">
        <v>3011</v>
      </c>
      <c r="F5758">
        <v>1</v>
      </c>
      <c r="G5758">
        <v>5</v>
      </c>
      <c r="H5758">
        <v>0</v>
      </c>
      <c r="I5758" t="s">
        <v>33</v>
      </c>
      <c r="J5758">
        <v>0</v>
      </c>
      <c r="K5758">
        <v>75</v>
      </c>
      <c r="L5758" t="s">
        <v>24</v>
      </c>
      <c r="M5758" t="s">
        <v>25</v>
      </c>
      <c r="N5758" t="s">
        <v>22</v>
      </c>
      <c r="O5758" t="s">
        <v>36</v>
      </c>
      <c r="P5758">
        <v>5.35</v>
      </c>
      <c r="Q5758" s="2" t="b">
        <f>FALSE()</f>
        <v>0</v>
      </c>
      <c r="R5758">
        <v>0</v>
      </c>
    </row>
    <row r="5759" spans="1:18" x14ac:dyDescent="0.25">
      <c r="A5759">
        <v>205758</v>
      </c>
      <c r="B5759">
        <v>51521</v>
      </c>
      <c r="C5759" t="s">
        <v>18</v>
      </c>
      <c r="D5759">
        <v>2504.66</v>
      </c>
      <c r="E5759">
        <v>58</v>
      </c>
      <c r="F5759">
        <v>1</v>
      </c>
      <c r="G5759">
        <v>2</v>
      </c>
      <c r="H5759">
        <v>0</v>
      </c>
      <c r="I5759" t="s">
        <v>33</v>
      </c>
      <c r="J5759">
        <v>0</v>
      </c>
      <c r="K5759">
        <v>42</v>
      </c>
      <c r="L5759" t="s">
        <v>20</v>
      </c>
      <c r="M5759" t="s">
        <v>37</v>
      </c>
      <c r="N5759" t="s">
        <v>22</v>
      </c>
      <c r="O5759" t="s">
        <v>23</v>
      </c>
      <c r="P5759">
        <v>1.1000000000000001</v>
      </c>
      <c r="Q5759" s="2" t="b">
        <f>FALSE()</f>
        <v>0</v>
      </c>
      <c r="R5759">
        <v>0</v>
      </c>
    </row>
    <row r="5760" spans="1:18" x14ac:dyDescent="0.25">
      <c r="A5760">
        <v>205759</v>
      </c>
      <c r="B5760">
        <v>51793</v>
      </c>
      <c r="C5760" t="s">
        <v>18</v>
      </c>
      <c r="D5760">
        <v>1569.18</v>
      </c>
      <c r="E5760">
        <v>222</v>
      </c>
      <c r="F5760">
        <v>0</v>
      </c>
      <c r="G5760">
        <v>3</v>
      </c>
      <c r="H5760">
        <v>0</v>
      </c>
      <c r="I5760" t="s">
        <v>19</v>
      </c>
      <c r="J5760">
        <v>0</v>
      </c>
      <c r="K5760">
        <v>46</v>
      </c>
      <c r="L5760" t="s">
        <v>24</v>
      </c>
      <c r="M5760" t="s">
        <v>37</v>
      </c>
      <c r="N5760" t="s">
        <v>22</v>
      </c>
      <c r="O5760" t="s">
        <v>36</v>
      </c>
      <c r="P5760">
        <v>2.85</v>
      </c>
      <c r="Q5760" s="2" t="b">
        <f>FALSE()</f>
        <v>0</v>
      </c>
      <c r="R5760">
        <v>0</v>
      </c>
    </row>
    <row r="5761" spans="1:18" x14ac:dyDescent="0.25">
      <c r="A5761">
        <v>205760</v>
      </c>
      <c r="B5761">
        <v>54394</v>
      </c>
      <c r="C5761" t="s">
        <v>18</v>
      </c>
      <c r="D5761">
        <v>935.65</v>
      </c>
      <c r="E5761">
        <v>3294</v>
      </c>
      <c r="F5761">
        <v>1</v>
      </c>
      <c r="G5761">
        <v>2</v>
      </c>
      <c r="H5761">
        <v>1</v>
      </c>
      <c r="I5761" t="s">
        <v>33</v>
      </c>
      <c r="J5761">
        <v>1</v>
      </c>
      <c r="K5761">
        <v>30</v>
      </c>
      <c r="L5761" t="s">
        <v>24</v>
      </c>
      <c r="M5761" t="s">
        <v>25</v>
      </c>
      <c r="N5761" t="s">
        <v>22</v>
      </c>
      <c r="O5761" t="s">
        <v>27</v>
      </c>
      <c r="P5761">
        <v>0.42</v>
      </c>
      <c r="Q5761" s="2" t="b">
        <f>FALSE()</f>
        <v>0</v>
      </c>
      <c r="R5761">
        <v>0</v>
      </c>
    </row>
    <row r="5762" spans="1:18" x14ac:dyDescent="0.25">
      <c r="A5762">
        <v>205761</v>
      </c>
      <c r="B5762">
        <v>52099</v>
      </c>
      <c r="C5762" t="s">
        <v>34</v>
      </c>
      <c r="D5762">
        <v>3831.07</v>
      </c>
      <c r="E5762">
        <v>2597</v>
      </c>
      <c r="F5762">
        <v>3</v>
      </c>
      <c r="G5762">
        <v>3</v>
      </c>
      <c r="H5762">
        <v>0</v>
      </c>
      <c r="I5762" t="s">
        <v>33</v>
      </c>
      <c r="J5762">
        <v>0</v>
      </c>
      <c r="K5762">
        <v>51</v>
      </c>
      <c r="L5762" t="s">
        <v>24</v>
      </c>
      <c r="M5762" t="s">
        <v>25</v>
      </c>
      <c r="N5762" t="s">
        <v>30</v>
      </c>
      <c r="O5762" t="s">
        <v>27</v>
      </c>
      <c r="P5762">
        <v>1.52</v>
      </c>
      <c r="Q5762" s="2" t="b">
        <f>FALSE()</f>
        <v>0</v>
      </c>
      <c r="R5762">
        <v>1</v>
      </c>
    </row>
    <row r="5763" spans="1:18" x14ac:dyDescent="0.25">
      <c r="A5763">
        <v>205762</v>
      </c>
      <c r="B5763">
        <v>50785</v>
      </c>
      <c r="C5763" t="s">
        <v>18</v>
      </c>
      <c r="D5763">
        <v>887.64</v>
      </c>
      <c r="E5763">
        <v>1409</v>
      </c>
      <c r="F5763">
        <v>1</v>
      </c>
      <c r="G5763">
        <v>7</v>
      </c>
      <c r="H5763">
        <v>0</v>
      </c>
      <c r="I5763" t="s">
        <v>19</v>
      </c>
      <c r="J5763">
        <v>0</v>
      </c>
      <c r="K5763">
        <v>55</v>
      </c>
      <c r="L5763" t="s">
        <v>24</v>
      </c>
      <c r="M5763" t="s">
        <v>21</v>
      </c>
      <c r="N5763" t="s">
        <v>30</v>
      </c>
      <c r="O5763" t="s">
        <v>23</v>
      </c>
      <c r="P5763">
        <v>0.89</v>
      </c>
      <c r="Q5763" s="2" t="b">
        <f>FALSE()</f>
        <v>0</v>
      </c>
      <c r="R5763">
        <v>1</v>
      </c>
    </row>
    <row r="5764" spans="1:18" x14ac:dyDescent="0.25">
      <c r="A5764">
        <v>205763</v>
      </c>
      <c r="B5764">
        <v>50191</v>
      </c>
      <c r="C5764" t="s">
        <v>18</v>
      </c>
      <c r="D5764">
        <v>4303.04</v>
      </c>
      <c r="E5764">
        <v>3318</v>
      </c>
      <c r="F5764">
        <v>4</v>
      </c>
      <c r="G5764">
        <v>2</v>
      </c>
      <c r="H5764">
        <v>0</v>
      </c>
      <c r="I5764" t="s">
        <v>33</v>
      </c>
      <c r="J5764">
        <v>0</v>
      </c>
      <c r="K5764">
        <v>70</v>
      </c>
      <c r="L5764" t="s">
        <v>24</v>
      </c>
      <c r="M5764" t="s">
        <v>21</v>
      </c>
      <c r="N5764" t="s">
        <v>30</v>
      </c>
      <c r="O5764" t="s">
        <v>23</v>
      </c>
      <c r="P5764">
        <v>3.04</v>
      </c>
      <c r="Q5764" s="2" t="b">
        <f>FALSE()</f>
        <v>0</v>
      </c>
      <c r="R5764">
        <v>1</v>
      </c>
    </row>
    <row r="5765" spans="1:18" x14ac:dyDescent="0.25">
      <c r="A5765">
        <v>205764</v>
      </c>
      <c r="B5765">
        <v>50430</v>
      </c>
      <c r="C5765" t="s">
        <v>28</v>
      </c>
      <c r="D5765">
        <v>662.38</v>
      </c>
      <c r="E5765">
        <v>2038</v>
      </c>
      <c r="F5765">
        <v>1</v>
      </c>
      <c r="G5765">
        <v>6</v>
      </c>
      <c r="H5765">
        <v>1</v>
      </c>
      <c r="I5765" t="s">
        <v>33</v>
      </c>
      <c r="J5765">
        <v>0</v>
      </c>
      <c r="K5765">
        <v>70</v>
      </c>
      <c r="L5765" t="s">
        <v>20</v>
      </c>
      <c r="M5765" t="s">
        <v>25</v>
      </c>
      <c r="N5765" t="s">
        <v>30</v>
      </c>
      <c r="O5765" t="s">
        <v>27</v>
      </c>
      <c r="P5765">
        <v>4.47</v>
      </c>
      <c r="Q5765" s="2" t="b">
        <f>FALSE()</f>
        <v>0</v>
      </c>
      <c r="R5765">
        <v>0</v>
      </c>
    </row>
    <row r="5766" spans="1:18" x14ac:dyDescent="0.25">
      <c r="A5766">
        <v>205765</v>
      </c>
      <c r="B5766">
        <v>50170</v>
      </c>
      <c r="C5766" t="s">
        <v>34</v>
      </c>
      <c r="D5766">
        <v>3343.02</v>
      </c>
      <c r="E5766">
        <v>570</v>
      </c>
      <c r="F5766">
        <v>4</v>
      </c>
      <c r="G5766">
        <v>5</v>
      </c>
      <c r="H5766">
        <v>1</v>
      </c>
      <c r="I5766" t="s">
        <v>33</v>
      </c>
      <c r="J5766">
        <v>0</v>
      </c>
      <c r="K5766">
        <v>52</v>
      </c>
      <c r="L5766" t="s">
        <v>20</v>
      </c>
      <c r="M5766" t="s">
        <v>21</v>
      </c>
      <c r="N5766" t="s">
        <v>22</v>
      </c>
      <c r="O5766" t="s">
        <v>36</v>
      </c>
      <c r="P5766">
        <v>0.98</v>
      </c>
      <c r="Q5766" s="2" t="b">
        <f>FALSE()</f>
        <v>0</v>
      </c>
      <c r="R5766">
        <v>1</v>
      </c>
    </row>
    <row r="5767" spans="1:18" x14ac:dyDescent="0.25">
      <c r="A5767">
        <v>205766</v>
      </c>
      <c r="B5767">
        <v>52255</v>
      </c>
      <c r="C5767" t="s">
        <v>18</v>
      </c>
      <c r="D5767">
        <v>3538.35</v>
      </c>
      <c r="E5767">
        <v>2457</v>
      </c>
      <c r="F5767">
        <v>0</v>
      </c>
      <c r="G5767">
        <v>4</v>
      </c>
      <c r="H5767">
        <v>0</v>
      </c>
      <c r="I5767" t="s">
        <v>33</v>
      </c>
      <c r="J5767">
        <v>0</v>
      </c>
      <c r="K5767">
        <v>64</v>
      </c>
      <c r="L5767" t="s">
        <v>20</v>
      </c>
      <c r="M5767" t="s">
        <v>37</v>
      </c>
      <c r="N5767" t="s">
        <v>26</v>
      </c>
      <c r="O5767" t="s">
        <v>27</v>
      </c>
      <c r="P5767">
        <v>3.1</v>
      </c>
      <c r="Q5767" s="2" t="b">
        <f>FALSE()</f>
        <v>0</v>
      </c>
      <c r="R5767">
        <v>0</v>
      </c>
    </row>
    <row r="5768" spans="1:18" x14ac:dyDescent="0.25">
      <c r="A5768">
        <v>205767</v>
      </c>
      <c r="B5768">
        <v>52527</v>
      </c>
      <c r="C5768" t="s">
        <v>34</v>
      </c>
      <c r="D5768">
        <v>4516.57</v>
      </c>
      <c r="E5768">
        <v>2405</v>
      </c>
      <c r="F5768">
        <v>1</v>
      </c>
      <c r="G5768">
        <v>7</v>
      </c>
      <c r="H5768">
        <v>0</v>
      </c>
      <c r="I5768" t="s">
        <v>32</v>
      </c>
      <c r="J5768">
        <v>0</v>
      </c>
      <c r="K5768">
        <v>66</v>
      </c>
      <c r="L5768" t="s">
        <v>24</v>
      </c>
      <c r="M5768" t="s">
        <v>37</v>
      </c>
      <c r="N5768" t="s">
        <v>22</v>
      </c>
      <c r="O5768" t="s">
        <v>27</v>
      </c>
      <c r="P5768">
        <v>0.59</v>
      </c>
      <c r="Q5768" s="2" t="b">
        <f>FALSE()</f>
        <v>0</v>
      </c>
      <c r="R5768">
        <v>1</v>
      </c>
    </row>
    <row r="5769" spans="1:18" x14ac:dyDescent="0.25">
      <c r="A5769">
        <v>205768</v>
      </c>
      <c r="B5769">
        <v>50154</v>
      </c>
      <c r="C5769" t="s">
        <v>34</v>
      </c>
      <c r="D5769">
        <v>1530.7</v>
      </c>
      <c r="E5769">
        <v>3374</v>
      </c>
      <c r="F5769">
        <v>0</v>
      </c>
      <c r="G5769">
        <v>8</v>
      </c>
      <c r="H5769">
        <v>0</v>
      </c>
      <c r="I5769" t="s">
        <v>33</v>
      </c>
      <c r="J5769">
        <v>0</v>
      </c>
      <c r="K5769">
        <v>24</v>
      </c>
      <c r="L5769" t="s">
        <v>20</v>
      </c>
      <c r="M5769" t="s">
        <v>35</v>
      </c>
      <c r="N5769" t="s">
        <v>22</v>
      </c>
      <c r="O5769" t="s">
        <v>23</v>
      </c>
      <c r="P5769">
        <v>4.2300000000000004</v>
      </c>
      <c r="Q5769" s="2" t="b">
        <f>FALSE()</f>
        <v>0</v>
      </c>
      <c r="R5769">
        <v>1</v>
      </c>
    </row>
    <row r="5770" spans="1:18" x14ac:dyDescent="0.25">
      <c r="A5770">
        <v>205769</v>
      </c>
      <c r="B5770">
        <v>54438</v>
      </c>
      <c r="C5770" t="s">
        <v>28</v>
      </c>
      <c r="D5770">
        <v>3277.42</v>
      </c>
      <c r="E5770">
        <v>711</v>
      </c>
      <c r="F5770">
        <v>0</v>
      </c>
      <c r="G5770">
        <v>2</v>
      </c>
      <c r="H5770">
        <v>1</v>
      </c>
      <c r="I5770" t="s">
        <v>33</v>
      </c>
      <c r="J5770">
        <v>0</v>
      </c>
      <c r="K5770">
        <v>61</v>
      </c>
      <c r="L5770" t="s">
        <v>24</v>
      </c>
      <c r="M5770" t="s">
        <v>29</v>
      </c>
      <c r="N5770" t="s">
        <v>26</v>
      </c>
      <c r="O5770" t="s">
        <v>23</v>
      </c>
      <c r="P5770">
        <v>1.95</v>
      </c>
      <c r="Q5770" s="2" t="b">
        <f>FALSE()</f>
        <v>0</v>
      </c>
      <c r="R5770">
        <v>0</v>
      </c>
    </row>
    <row r="5771" spans="1:18" x14ac:dyDescent="0.25">
      <c r="A5771">
        <v>205770</v>
      </c>
      <c r="B5771">
        <v>50865</v>
      </c>
      <c r="C5771" t="s">
        <v>28</v>
      </c>
      <c r="D5771">
        <v>1125.8499999999999</v>
      </c>
      <c r="E5771">
        <v>1768</v>
      </c>
      <c r="F5771">
        <v>2</v>
      </c>
      <c r="G5771">
        <v>4</v>
      </c>
      <c r="H5771">
        <v>0</v>
      </c>
      <c r="I5771" t="s">
        <v>32</v>
      </c>
      <c r="J5771">
        <v>1</v>
      </c>
      <c r="K5771">
        <v>69</v>
      </c>
      <c r="L5771" t="s">
        <v>24</v>
      </c>
      <c r="M5771" t="s">
        <v>37</v>
      </c>
      <c r="N5771" t="s">
        <v>30</v>
      </c>
      <c r="O5771" t="s">
        <v>27</v>
      </c>
      <c r="P5771">
        <v>1.31</v>
      </c>
      <c r="Q5771" s="2" t="b">
        <f>FALSE()</f>
        <v>0</v>
      </c>
      <c r="R5771">
        <v>0</v>
      </c>
    </row>
    <row r="5772" spans="1:18" x14ac:dyDescent="0.25">
      <c r="A5772">
        <v>205771</v>
      </c>
      <c r="B5772">
        <v>50167</v>
      </c>
      <c r="C5772" t="s">
        <v>34</v>
      </c>
      <c r="D5772">
        <v>2097.38</v>
      </c>
      <c r="E5772">
        <v>3492</v>
      </c>
      <c r="F5772">
        <v>1</v>
      </c>
      <c r="G5772">
        <v>6</v>
      </c>
      <c r="H5772">
        <v>0</v>
      </c>
      <c r="I5772" t="s">
        <v>33</v>
      </c>
      <c r="J5772">
        <v>0</v>
      </c>
      <c r="K5772">
        <v>22</v>
      </c>
      <c r="L5772" t="s">
        <v>24</v>
      </c>
      <c r="M5772" t="s">
        <v>37</v>
      </c>
      <c r="N5772" t="s">
        <v>22</v>
      </c>
      <c r="O5772" t="s">
        <v>36</v>
      </c>
      <c r="P5772">
        <v>1.77</v>
      </c>
      <c r="Q5772" s="2" t="b">
        <f>FALSE()</f>
        <v>0</v>
      </c>
      <c r="R5772">
        <v>0</v>
      </c>
    </row>
    <row r="5773" spans="1:18" x14ac:dyDescent="0.25">
      <c r="A5773">
        <v>205772</v>
      </c>
      <c r="B5773">
        <v>53273</v>
      </c>
      <c r="C5773" t="s">
        <v>34</v>
      </c>
      <c r="D5773">
        <v>2321.12</v>
      </c>
      <c r="E5773">
        <v>3061</v>
      </c>
      <c r="F5773">
        <v>1</v>
      </c>
      <c r="G5773">
        <v>7</v>
      </c>
      <c r="H5773">
        <v>0</v>
      </c>
      <c r="I5773" t="s">
        <v>32</v>
      </c>
      <c r="J5773">
        <v>0</v>
      </c>
      <c r="K5773">
        <v>57</v>
      </c>
      <c r="L5773" t="s">
        <v>20</v>
      </c>
      <c r="M5773" t="s">
        <v>21</v>
      </c>
      <c r="N5773" t="s">
        <v>26</v>
      </c>
      <c r="O5773" t="s">
        <v>27</v>
      </c>
      <c r="P5773">
        <v>0.81</v>
      </c>
      <c r="Q5773" s="2" t="b">
        <f>FALSE()</f>
        <v>0</v>
      </c>
      <c r="R5773">
        <v>1</v>
      </c>
    </row>
    <row r="5774" spans="1:18" x14ac:dyDescent="0.25">
      <c r="A5774">
        <v>205773</v>
      </c>
      <c r="B5774">
        <v>55518</v>
      </c>
      <c r="C5774" t="s">
        <v>34</v>
      </c>
      <c r="D5774">
        <v>1760.24</v>
      </c>
      <c r="E5774">
        <v>3118</v>
      </c>
      <c r="F5774">
        <v>3</v>
      </c>
      <c r="G5774">
        <v>3</v>
      </c>
      <c r="H5774">
        <v>0</v>
      </c>
      <c r="I5774" t="s">
        <v>32</v>
      </c>
      <c r="J5774">
        <v>1</v>
      </c>
      <c r="K5774">
        <v>57</v>
      </c>
      <c r="L5774" t="s">
        <v>24</v>
      </c>
      <c r="M5774" t="s">
        <v>21</v>
      </c>
      <c r="N5774" t="s">
        <v>22</v>
      </c>
      <c r="O5774" t="s">
        <v>27</v>
      </c>
      <c r="P5774">
        <v>0.93</v>
      </c>
      <c r="Q5774" s="2" t="b">
        <f>FALSE()</f>
        <v>0</v>
      </c>
      <c r="R5774">
        <v>1</v>
      </c>
    </row>
    <row r="5775" spans="1:18" x14ac:dyDescent="0.25">
      <c r="A5775">
        <v>205774</v>
      </c>
      <c r="B5775">
        <v>53033</v>
      </c>
      <c r="C5775" t="s">
        <v>18</v>
      </c>
      <c r="D5775">
        <v>5434.99</v>
      </c>
      <c r="E5775">
        <v>369</v>
      </c>
      <c r="F5775">
        <v>0</v>
      </c>
      <c r="G5775">
        <v>2</v>
      </c>
      <c r="H5775">
        <v>0</v>
      </c>
      <c r="I5775" t="s">
        <v>32</v>
      </c>
      <c r="J5775">
        <v>0</v>
      </c>
      <c r="K5775">
        <v>66</v>
      </c>
      <c r="L5775" t="s">
        <v>20</v>
      </c>
      <c r="M5775" t="s">
        <v>21</v>
      </c>
      <c r="N5775" t="s">
        <v>30</v>
      </c>
      <c r="O5775" t="s">
        <v>36</v>
      </c>
      <c r="P5775">
        <v>2.65</v>
      </c>
      <c r="Q5775" s="2" t="b">
        <f>FALSE()</f>
        <v>0</v>
      </c>
      <c r="R5775">
        <v>1</v>
      </c>
    </row>
    <row r="5776" spans="1:18" x14ac:dyDescent="0.25">
      <c r="A5776">
        <v>205775</v>
      </c>
      <c r="B5776">
        <v>55769</v>
      </c>
      <c r="C5776" t="s">
        <v>34</v>
      </c>
      <c r="D5776">
        <v>6954.09</v>
      </c>
      <c r="E5776">
        <v>751</v>
      </c>
      <c r="F5776">
        <v>0</v>
      </c>
      <c r="G5776">
        <v>5</v>
      </c>
      <c r="H5776">
        <v>1</v>
      </c>
      <c r="I5776" t="s">
        <v>32</v>
      </c>
      <c r="J5776">
        <v>0</v>
      </c>
      <c r="K5776">
        <v>83</v>
      </c>
      <c r="L5776" t="s">
        <v>20</v>
      </c>
      <c r="M5776" t="s">
        <v>25</v>
      </c>
      <c r="N5776" t="s">
        <v>22</v>
      </c>
      <c r="O5776" t="s">
        <v>36</v>
      </c>
      <c r="P5776">
        <v>0.25</v>
      </c>
      <c r="Q5776" s="2" t="b">
        <f>TRUE()</f>
        <v>1</v>
      </c>
      <c r="R5776">
        <v>1</v>
      </c>
    </row>
    <row r="5777" spans="1:18" x14ac:dyDescent="0.25">
      <c r="A5777">
        <v>205776</v>
      </c>
      <c r="B5777">
        <v>54316</v>
      </c>
      <c r="C5777" t="s">
        <v>34</v>
      </c>
      <c r="D5777">
        <v>5573.16</v>
      </c>
      <c r="E5777">
        <v>188</v>
      </c>
      <c r="F5777">
        <v>2</v>
      </c>
      <c r="G5777">
        <v>4</v>
      </c>
      <c r="H5777">
        <v>0</v>
      </c>
      <c r="I5777" t="s">
        <v>33</v>
      </c>
      <c r="J5777">
        <v>1</v>
      </c>
      <c r="K5777">
        <v>28</v>
      </c>
      <c r="L5777" t="s">
        <v>20</v>
      </c>
      <c r="M5777" t="s">
        <v>29</v>
      </c>
      <c r="N5777" t="s">
        <v>22</v>
      </c>
      <c r="O5777" t="s">
        <v>36</v>
      </c>
      <c r="P5777">
        <v>0.08</v>
      </c>
      <c r="Q5777" s="2" t="b">
        <f>FALSE()</f>
        <v>0</v>
      </c>
      <c r="R5777">
        <v>1</v>
      </c>
    </row>
    <row r="5778" spans="1:18" x14ac:dyDescent="0.25">
      <c r="A5778">
        <v>205777</v>
      </c>
      <c r="B5778">
        <v>51699</v>
      </c>
      <c r="C5778" t="s">
        <v>28</v>
      </c>
      <c r="D5778">
        <v>5798</v>
      </c>
      <c r="E5778">
        <v>1445</v>
      </c>
      <c r="F5778">
        <v>2</v>
      </c>
      <c r="G5778">
        <v>2</v>
      </c>
      <c r="H5778">
        <v>1</v>
      </c>
      <c r="I5778" t="s">
        <v>19</v>
      </c>
      <c r="J5778">
        <v>0</v>
      </c>
      <c r="K5778">
        <v>82</v>
      </c>
      <c r="L5778" t="s">
        <v>20</v>
      </c>
      <c r="M5778" t="s">
        <v>37</v>
      </c>
      <c r="N5778" t="s">
        <v>30</v>
      </c>
      <c r="O5778" t="s">
        <v>27</v>
      </c>
      <c r="P5778">
        <v>1.29</v>
      </c>
      <c r="Q5778" s="2" t="b">
        <f>FALSE()</f>
        <v>0</v>
      </c>
      <c r="R5778">
        <v>1</v>
      </c>
    </row>
    <row r="5779" spans="1:18" x14ac:dyDescent="0.25">
      <c r="A5779">
        <v>205778</v>
      </c>
      <c r="B5779">
        <v>53090</v>
      </c>
      <c r="C5779" t="s">
        <v>18</v>
      </c>
      <c r="D5779">
        <v>1335.15</v>
      </c>
      <c r="E5779">
        <v>2426</v>
      </c>
      <c r="F5779">
        <v>0</v>
      </c>
      <c r="G5779">
        <v>6</v>
      </c>
      <c r="H5779">
        <v>0</v>
      </c>
      <c r="I5779" t="s">
        <v>19</v>
      </c>
      <c r="J5779">
        <v>0</v>
      </c>
      <c r="K5779">
        <v>54</v>
      </c>
      <c r="L5779" t="s">
        <v>24</v>
      </c>
      <c r="M5779" t="s">
        <v>35</v>
      </c>
      <c r="N5779" t="s">
        <v>22</v>
      </c>
      <c r="O5779" t="s">
        <v>27</v>
      </c>
      <c r="P5779">
        <v>3.86</v>
      </c>
      <c r="Q5779" s="2" t="b">
        <f>FALSE()</f>
        <v>0</v>
      </c>
      <c r="R5779">
        <v>0</v>
      </c>
    </row>
    <row r="5780" spans="1:18" x14ac:dyDescent="0.25">
      <c r="A5780">
        <v>205779</v>
      </c>
      <c r="B5780">
        <v>55578</v>
      </c>
      <c r="C5780" t="s">
        <v>34</v>
      </c>
      <c r="D5780">
        <v>447.4</v>
      </c>
      <c r="E5780">
        <v>2656</v>
      </c>
      <c r="F5780">
        <v>1</v>
      </c>
      <c r="G5780">
        <v>0</v>
      </c>
      <c r="H5780">
        <v>0</v>
      </c>
      <c r="I5780" t="s">
        <v>32</v>
      </c>
      <c r="J5780">
        <v>0</v>
      </c>
      <c r="K5780">
        <v>19</v>
      </c>
      <c r="L5780" t="s">
        <v>20</v>
      </c>
      <c r="M5780" t="s">
        <v>25</v>
      </c>
      <c r="N5780" t="s">
        <v>26</v>
      </c>
      <c r="O5780" t="s">
        <v>27</v>
      </c>
      <c r="P5780">
        <v>8.3800000000000008</v>
      </c>
      <c r="Q5780" s="2" t="b">
        <f>FALSE()</f>
        <v>0</v>
      </c>
      <c r="R5780">
        <v>0</v>
      </c>
    </row>
    <row r="5781" spans="1:18" x14ac:dyDescent="0.25">
      <c r="A5781">
        <v>205780</v>
      </c>
      <c r="B5781">
        <v>53525</v>
      </c>
      <c r="C5781" t="s">
        <v>34</v>
      </c>
      <c r="D5781">
        <v>3054.31</v>
      </c>
      <c r="E5781">
        <v>1265</v>
      </c>
      <c r="F5781">
        <v>0</v>
      </c>
      <c r="G5781">
        <v>5</v>
      </c>
      <c r="H5781">
        <v>0</v>
      </c>
      <c r="I5781" t="s">
        <v>33</v>
      </c>
      <c r="J5781">
        <v>0</v>
      </c>
      <c r="K5781">
        <v>62</v>
      </c>
      <c r="L5781" t="s">
        <v>20</v>
      </c>
      <c r="M5781" t="s">
        <v>35</v>
      </c>
      <c r="N5781" t="s">
        <v>22</v>
      </c>
      <c r="O5781" t="s">
        <v>27</v>
      </c>
      <c r="P5781">
        <v>2.27</v>
      </c>
      <c r="Q5781" s="2" t="b">
        <f>FALSE()</f>
        <v>0</v>
      </c>
      <c r="R5781">
        <v>0</v>
      </c>
    </row>
    <row r="5782" spans="1:18" x14ac:dyDescent="0.25">
      <c r="A5782">
        <v>205781</v>
      </c>
      <c r="B5782">
        <v>50947</v>
      </c>
      <c r="C5782" t="s">
        <v>34</v>
      </c>
      <c r="D5782">
        <v>3520.92</v>
      </c>
      <c r="E5782">
        <v>1824</v>
      </c>
      <c r="F5782">
        <v>1</v>
      </c>
      <c r="G5782">
        <v>5</v>
      </c>
      <c r="H5782">
        <v>0</v>
      </c>
      <c r="I5782" t="s">
        <v>33</v>
      </c>
      <c r="J5782">
        <v>0</v>
      </c>
      <c r="K5782">
        <v>74</v>
      </c>
      <c r="L5782" t="s">
        <v>20</v>
      </c>
      <c r="M5782" t="s">
        <v>35</v>
      </c>
      <c r="N5782" t="s">
        <v>22</v>
      </c>
      <c r="O5782" t="s">
        <v>23</v>
      </c>
      <c r="P5782">
        <v>13.16</v>
      </c>
      <c r="Q5782" s="2" t="b">
        <f>FALSE()</f>
        <v>0</v>
      </c>
      <c r="R5782">
        <v>0</v>
      </c>
    </row>
    <row r="5783" spans="1:18" x14ac:dyDescent="0.25">
      <c r="A5783">
        <v>205782</v>
      </c>
      <c r="B5783">
        <v>55988</v>
      </c>
      <c r="C5783" t="s">
        <v>18</v>
      </c>
      <c r="D5783">
        <v>2726.06</v>
      </c>
      <c r="E5783">
        <v>3130</v>
      </c>
      <c r="F5783">
        <v>2</v>
      </c>
      <c r="G5783">
        <v>4</v>
      </c>
      <c r="H5783">
        <v>0</v>
      </c>
      <c r="I5783" t="s">
        <v>32</v>
      </c>
      <c r="J5783">
        <v>0</v>
      </c>
      <c r="K5783">
        <v>51</v>
      </c>
      <c r="L5783" t="s">
        <v>24</v>
      </c>
      <c r="M5783" t="s">
        <v>25</v>
      </c>
      <c r="N5783" t="s">
        <v>22</v>
      </c>
      <c r="O5783" t="s">
        <v>36</v>
      </c>
      <c r="P5783">
        <v>6.58</v>
      </c>
      <c r="Q5783" s="2" t="b">
        <f>FALSE()</f>
        <v>0</v>
      </c>
      <c r="R5783">
        <v>0</v>
      </c>
    </row>
    <row r="5784" spans="1:18" x14ac:dyDescent="0.25">
      <c r="A5784">
        <v>205783</v>
      </c>
      <c r="B5784">
        <v>52756</v>
      </c>
      <c r="C5784" t="s">
        <v>28</v>
      </c>
      <c r="D5784">
        <v>2699.59</v>
      </c>
      <c r="E5784">
        <v>2438</v>
      </c>
      <c r="F5784">
        <v>1</v>
      </c>
      <c r="G5784">
        <v>1</v>
      </c>
      <c r="H5784">
        <v>0</v>
      </c>
      <c r="I5784" t="s">
        <v>32</v>
      </c>
      <c r="J5784">
        <v>0</v>
      </c>
      <c r="K5784">
        <v>63</v>
      </c>
      <c r="L5784" t="s">
        <v>20</v>
      </c>
      <c r="M5784" t="s">
        <v>37</v>
      </c>
      <c r="N5784" t="s">
        <v>30</v>
      </c>
      <c r="O5784" t="s">
        <v>27</v>
      </c>
      <c r="P5784">
        <v>0.84</v>
      </c>
      <c r="Q5784" s="2" t="b">
        <f>FALSE()</f>
        <v>0</v>
      </c>
      <c r="R5784">
        <v>0</v>
      </c>
    </row>
    <row r="5785" spans="1:18" x14ac:dyDescent="0.25">
      <c r="A5785">
        <v>205784</v>
      </c>
      <c r="B5785">
        <v>52276</v>
      </c>
      <c r="C5785" t="s">
        <v>34</v>
      </c>
      <c r="D5785">
        <v>2843.87</v>
      </c>
      <c r="E5785">
        <v>518</v>
      </c>
      <c r="F5785">
        <v>0</v>
      </c>
      <c r="G5785">
        <v>4</v>
      </c>
      <c r="H5785">
        <v>0</v>
      </c>
      <c r="I5785" t="s">
        <v>33</v>
      </c>
      <c r="J5785">
        <v>0</v>
      </c>
      <c r="K5785">
        <v>66</v>
      </c>
      <c r="L5785" t="s">
        <v>24</v>
      </c>
      <c r="M5785" t="s">
        <v>25</v>
      </c>
      <c r="N5785" t="s">
        <v>22</v>
      </c>
      <c r="O5785" t="s">
        <v>36</v>
      </c>
      <c r="P5785">
        <v>1.1100000000000001</v>
      </c>
      <c r="Q5785" s="2" t="b">
        <f>FALSE()</f>
        <v>0</v>
      </c>
      <c r="R5785">
        <v>0</v>
      </c>
    </row>
    <row r="5786" spans="1:18" x14ac:dyDescent="0.25">
      <c r="A5786">
        <v>205785</v>
      </c>
      <c r="B5786">
        <v>51253</v>
      </c>
      <c r="C5786" t="s">
        <v>34</v>
      </c>
      <c r="D5786">
        <v>526.46</v>
      </c>
      <c r="E5786">
        <v>78</v>
      </c>
      <c r="F5786">
        <v>1</v>
      </c>
      <c r="G5786">
        <v>4</v>
      </c>
      <c r="H5786">
        <v>0</v>
      </c>
      <c r="I5786" t="s">
        <v>19</v>
      </c>
      <c r="J5786">
        <v>0</v>
      </c>
      <c r="K5786">
        <v>77</v>
      </c>
      <c r="L5786" t="s">
        <v>20</v>
      </c>
      <c r="M5786" t="s">
        <v>31</v>
      </c>
      <c r="N5786" t="s">
        <v>30</v>
      </c>
      <c r="O5786" t="s">
        <v>27</v>
      </c>
      <c r="P5786">
        <v>0.06</v>
      </c>
      <c r="Q5786" s="2" t="b">
        <f>FALSE()</f>
        <v>0</v>
      </c>
      <c r="R5786">
        <v>0</v>
      </c>
    </row>
    <row r="5787" spans="1:18" x14ac:dyDescent="0.25">
      <c r="A5787">
        <v>205786</v>
      </c>
      <c r="B5787">
        <v>55759</v>
      </c>
      <c r="C5787" t="s">
        <v>18</v>
      </c>
      <c r="D5787">
        <v>4246.8599999999997</v>
      </c>
      <c r="E5787">
        <v>1449</v>
      </c>
      <c r="F5787">
        <v>0</v>
      </c>
      <c r="G5787">
        <v>4</v>
      </c>
      <c r="H5787">
        <v>0</v>
      </c>
      <c r="I5787" t="s">
        <v>19</v>
      </c>
      <c r="J5787">
        <v>1</v>
      </c>
      <c r="K5787">
        <v>81</v>
      </c>
      <c r="L5787" t="s">
        <v>20</v>
      </c>
      <c r="M5787" t="s">
        <v>21</v>
      </c>
      <c r="N5787" t="s">
        <v>26</v>
      </c>
      <c r="O5787" t="s">
        <v>23</v>
      </c>
      <c r="P5787">
        <v>0.73</v>
      </c>
      <c r="Q5787" s="2" t="b">
        <f>FALSE()</f>
        <v>0</v>
      </c>
      <c r="R5787">
        <v>1</v>
      </c>
    </row>
    <row r="5788" spans="1:18" x14ac:dyDescent="0.25">
      <c r="A5788">
        <v>205787</v>
      </c>
      <c r="B5788">
        <v>54510</v>
      </c>
      <c r="C5788" t="s">
        <v>18</v>
      </c>
      <c r="D5788">
        <v>2721.45</v>
      </c>
      <c r="E5788">
        <v>2068</v>
      </c>
      <c r="F5788">
        <v>0</v>
      </c>
      <c r="G5788">
        <v>9</v>
      </c>
      <c r="H5788">
        <v>0</v>
      </c>
      <c r="I5788" t="s">
        <v>33</v>
      </c>
      <c r="J5788">
        <v>0</v>
      </c>
      <c r="K5788">
        <v>74</v>
      </c>
      <c r="L5788" t="s">
        <v>20</v>
      </c>
      <c r="M5788" t="s">
        <v>31</v>
      </c>
      <c r="N5788" t="s">
        <v>26</v>
      </c>
      <c r="O5788" t="s">
        <v>36</v>
      </c>
      <c r="P5788">
        <v>6.17</v>
      </c>
      <c r="Q5788" s="2" t="b">
        <f>FALSE()</f>
        <v>0</v>
      </c>
      <c r="R5788">
        <v>1</v>
      </c>
    </row>
    <row r="5789" spans="1:18" x14ac:dyDescent="0.25">
      <c r="A5789">
        <v>205788</v>
      </c>
      <c r="B5789">
        <v>51478</v>
      </c>
      <c r="C5789" t="s">
        <v>18</v>
      </c>
      <c r="D5789">
        <v>4605.72</v>
      </c>
      <c r="E5789">
        <v>1025</v>
      </c>
      <c r="F5789">
        <v>2</v>
      </c>
      <c r="G5789">
        <v>1</v>
      </c>
      <c r="H5789">
        <v>0</v>
      </c>
      <c r="I5789" t="s">
        <v>33</v>
      </c>
      <c r="J5789">
        <v>0</v>
      </c>
      <c r="K5789">
        <v>29</v>
      </c>
      <c r="L5789" t="s">
        <v>20</v>
      </c>
      <c r="M5789" t="s">
        <v>35</v>
      </c>
      <c r="N5789" t="s">
        <v>26</v>
      </c>
      <c r="O5789" t="s">
        <v>36</v>
      </c>
      <c r="P5789">
        <v>8.0399999999999991</v>
      </c>
      <c r="Q5789" s="2" t="b">
        <f>FALSE()</f>
        <v>0</v>
      </c>
      <c r="R5789">
        <v>1</v>
      </c>
    </row>
    <row r="5790" spans="1:18" x14ac:dyDescent="0.25">
      <c r="A5790">
        <v>205789</v>
      </c>
      <c r="B5790">
        <v>50866</v>
      </c>
      <c r="C5790" t="s">
        <v>28</v>
      </c>
      <c r="D5790">
        <v>2575.2800000000002</v>
      </c>
      <c r="E5790">
        <v>2286</v>
      </c>
      <c r="F5790">
        <v>1</v>
      </c>
      <c r="G5790">
        <v>2</v>
      </c>
      <c r="H5790">
        <v>0</v>
      </c>
      <c r="I5790" t="s">
        <v>33</v>
      </c>
      <c r="J5790">
        <v>0</v>
      </c>
      <c r="K5790">
        <v>37</v>
      </c>
      <c r="L5790" t="s">
        <v>20</v>
      </c>
      <c r="M5790" t="s">
        <v>29</v>
      </c>
      <c r="N5790" t="s">
        <v>30</v>
      </c>
      <c r="O5790" t="s">
        <v>23</v>
      </c>
      <c r="P5790">
        <v>0.1</v>
      </c>
      <c r="Q5790" s="2" t="b">
        <f>FALSE()</f>
        <v>0</v>
      </c>
      <c r="R5790">
        <v>0</v>
      </c>
    </row>
    <row r="5791" spans="1:18" x14ac:dyDescent="0.25">
      <c r="A5791">
        <v>205790</v>
      </c>
      <c r="B5791">
        <v>54278</v>
      </c>
      <c r="C5791" t="s">
        <v>34</v>
      </c>
      <c r="D5791">
        <v>3813.97</v>
      </c>
      <c r="E5791">
        <v>2961</v>
      </c>
      <c r="F5791">
        <v>0</v>
      </c>
      <c r="G5791">
        <v>1</v>
      </c>
      <c r="H5791">
        <v>1</v>
      </c>
      <c r="I5791" t="s">
        <v>19</v>
      </c>
      <c r="J5791">
        <v>0</v>
      </c>
      <c r="K5791">
        <v>30</v>
      </c>
      <c r="L5791" t="s">
        <v>38</v>
      </c>
      <c r="M5791" t="s">
        <v>25</v>
      </c>
      <c r="N5791" t="s">
        <v>30</v>
      </c>
      <c r="O5791" t="s">
        <v>36</v>
      </c>
      <c r="P5791">
        <v>9.9</v>
      </c>
      <c r="Q5791" s="2" t="b">
        <f>FALSE()</f>
        <v>0</v>
      </c>
      <c r="R5791">
        <v>1</v>
      </c>
    </row>
    <row r="5792" spans="1:18" x14ac:dyDescent="0.25">
      <c r="A5792">
        <v>205791</v>
      </c>
      <c r="B5792">
        <v>50746</v>
      </c>
      <c r="C5792" t="s">
        <v>18</v>
      </c>
      <c r="D5792">
        <v>1655.99</v>
      </c>
      <c r="E5792">
        <v>1331</v>
      </c>
      <c r="F5792">
        <v>1</v>
      </c>
      <c r="G5792">
        <v>5</v>
      </c>
      <c r="H5792">
        <v>1</v>
      </c>
      <c r="I5792" t="s">
        <v>19</v>
      </c>
      <c r="J5792">
        <v>1</v>
      </c>
      <c r="K5792">
        <v>51</v>
      </c>
      <c r="L5792" t="s">
        <v>20</v>
      </c>
      <c r="M5792" t="s">
        <v>35</v>
      </c>
      <c r="N5792" t="s">
        <v>22</v>
      </c>
      <c r="O5792" t="s">
        <v>27</v>
      </c>
      <c r="P5792">
        <v>0.76</v>
      </c>
      <c r="Q5792" s="2" t="b">
        <f>FALSE()</f>
        <v>0</v>
      </c>
      <c r="R5792">
        <v>0</v>
      </c>
    </row>
    <row r="5793" spans="1:18" x14ac:dyDescent="0.25">
      <c r="A5793">
        <v>205792</v>
      </c>
      <c r="B5793">
        <v>51293</v>
      </c>
      <c r="C5793" t="s">
        <v>34</v>
      </c>
      <c r="D5793">
        <v>1667.78</v>
      </c>
      <c r="E5793">
        <v>1440</v>
      </c>
      <c r="F5793">
        <v>0</v>
      </c>
      <c r="G5793">
        <v>9</v>
      </c>
      <c r="H5793">
        <v>0</v>
      </c>
      <c r="I5793" t="s">
        <v>33</v>
      </c>
      <c r="J5793">
        <v>0</v>
      </c>
      <c r="K5793">
        <v>80</v>
      </c>
      <c r="L5793" t="s">
        <v>24</v>
      </c>
      <c r="M5793" t="s">
        <v>35</v>
      </c>
      <c r="N5793" t="s">
        <v>22</v>
      </c>
      <c r="O5793" t="s">
        <v>36</v>
      </c>
      <c r="P5793">
        <v>3.05</v>
      </c>
      <c r="Q5793" s="2" t="b">
        <f>FALSE()</f>
        <v>0</v>
      </c>
      <c r="R5793">
        <v>1</v>
      </c>
    </row>
    <row r="5794" spans="1:18" x14ac:dyDescent="0.25">
      <c r="A5794">
        <v>205793</v>
      </c>
      <c r="B5794">
        <v>50778</v>
      </c>
      <c r="C5794" t="s">
        <v>34</v>
      </c>
      <c r="D5794">
        <v>2144.7600000000002</v>
      </c>
      <c r="E5794">
        <v>3217</v>
      </c>
      <c r="F5794">
        <v>0</v>
      </c>
      <c r="G5794">
        <v>3</v>
      </c>
      <c r="H5794">
        <v>1</v>
      </c>
      <c r="I5794" t="s">
        <v>33</v>
      </c>
      <c r="J5794">
        <v>0</v>
      </c>
      <c r="K5794">
        <v>57</v>
      </c>
      <c r="L5794" t="s">
        <v>20</v>
      </c>
      <c r="M5794" t="s">
        <v>31</v>
      </c>
      <c r="N5794" t="s">
        <v>30</v>
      </c>
      <c r="O5794" t="s">
        <v>27</v>
      </c>
      <c r="P5794">
        <v>2.66</v>
      </c>
      <c r="Q5794" s="2" t="b">
        <f>FALSE()</f>
        <v>0</v>
      </c>
      <c r="R5794">
        <v>0</v>
      </c>
    </row>
    <row r="5795" spans="1:18" x14ac:dyDescent="0.25">
      <c r="A5795">
        <v>205794</v>
      </c>
      <c r="B5795">
        <v>52273</v>
      </c>
      <c r="C5795" t="s">
        <v>18</v>
      </c>
      <c r="D5795">
        <v>6311.16</v>
      </c>
      <c r="E5795">
        <v>1603</v>
      </c>
      <c r="F5795">
        <v>2</v>
      </c>
      <c r="G5795">
        <v>4</v>
      </c>
      <c r="H5795">
        <v>1</v>
      </c>
      <c r="I5795" t="s">
        <v>33</v>
      </c>
      <c r="J5795">
        <v>1</v>
      </c>
      <c r="K5795">
        <v>68</v>
      </c>
      <c r="L5795" t="s">
        <v>20</v>
      </c>
      <c r="M5795" t="s">
        <v>29</v>
      </c>
      <c r="N5795" t="s">
        <v>22</v>
      </c>
      <c r="O5795" t="s">
        <v>27</v>
      </c>
      <c r="P5795">
        <v>3.32</v>
      </c>
      <c r="Q5795" s="2" t="b">
        <f>FALSE()</f>
        <v>0</v>
      </c>
      <c r="R5795">
        <v>1</v>
      </c>
    </row>
    <row r="5796" spans="1:18" x14ac:dyDescent="0.25">
      <c r="A5796">
        <v>205795</v>
      </c>
      <c r="B5796">
        <v>54931</v>
      </c>
      <c r="C5796" t="s">
        <v>34</v>
      </c>
      <c r="D5796">
        <v>1390.19</v>
      </c>
      <c r="E5796">
        <v>2802</v>
      </c>
      <c r="F5796">
        <v>2</v>
      </c>
      <c r="G5796">
        <v>6</v>
      </c>
      <c r="H5796">
        <v>1</v>
      </c>
      <c r="I5796" t="s">
        <v>19</v>
      </c>
      <c r="J5796">
        <v>0</v>
      </c>
      <c r="K5796">
        <v>63</v>
      </c>
      <c r="L5796" t="s">
        <v>24</v>
      </c>
      <c r="M5796" t="s">
        <v>25</v>
      </c>
      <c r="N5796" t="s">
        <v>26</v>
      </c>
      <c r="O5796" t="s">
        <v>27</v>
      </c>
      <c r="P5796">
        <v>3.73</v>
      </c>
      <c r="Q5796" s="2" t="b">
        <f>FALSE()</f>
        <v>0</v>
      </c>
      <c r="R5796">
        <v>0</v>
      </c>
    </row>
    <row r="5797" spans="1:18" x14ac:dyDescent="0.25">
      <c r="A5797">
        <v>205796</v>
      </c>
      <c r="B5797">
        <v>53171</v>
      </c>
      <c r="C5797" t="s">
        <v>34</v>
      </c>
      <c r="D5797">
        <v>243.7</v>
      </c>
      <c r="E5797">
        <v>3516</v>
      </c>
      <c r="F5797">
        <v>0</v>
      </c>
      <c r="G5797">
        <v>6</v>
      </c>
      <c r="H5797">
        <v>1</v>
      </c>
      <c r="I5797" t="s">
        <v>19</v>
      </c>
      <c r="J5797">
        <v>0</v>
      </c>
      <c r="K5797">
        <v>45</v>
      </c>
      <c r="L5797" t="s">
        <v>24</v>
      </c>
      <c r="M5797" t="s">
        <v>31</v>
      </c>
      <c r="N5797" t="s">
        <v>26</v>
      </c>
      <c r="O5797" t="s">
        <v>27</v>
      </c>
      <c r="P5797">
        <v>2.15</v>
      </c>
      <c r="Q5797" s="2" t="b">
        <f>FALSE()</f>
        <v>0</v>
      </c>
      <c r="R5797">
        <v>0</v>
      </c>
    </row>
    <row r="5798" spans="1:18" x14ac:dyDescent="0.25">
      <c r="A5798">
        <v>205797</v>
      </c>
      <c r="B5798">
        <v>55895</v>
      </c>
      <c r="C5798" t="s">
        <v>34</v>
      </c>
      <c r="D5798">
        <v>3214.35</v>
      </c>
      <c r="E5798">
        <v>1327</v>
      </c>
      <c r="F5798">
        <v>0</v>
      </c>
      <c r="G5798">
        <v>3</v>
      </c>
      <c r="H5798">
        <v>0</v>
      </c>
      <c r="I5798" t="s">
        <v>32</v>
      </c>
      <c r="J5798">
        <v>0</v>
      </c>
      <c r="K5798">
        <v>54</v>
      </c>
      <c r="L5798" t="s">
        <v>24</v>
      </c>
      <c r="M5798" t="s">
        <v>21</v>
      </c>
      <c r="N5798" t="s">
        <v>30</v>
      </c>
      <c r="O5798" t="s">
        <v>23</v>
      </c>
      <c r="P5798">
        <v>2.0299999999999998</v>
      </c>
      <c r="Q5798" s="2" t="b">
        <f>FALSE()</f>
        <v>0</v>
      </c>
      <c r="R5798">
        <v>0</v>
      </c>
    </row>
    <row r="5799" spans="1:18" x14ac:dyDescent="0.25">
      <c r="A5799">
        <v>205798</v>
      </c>
      <c r="B5799">
        <v>52294</v>
      </c>
      <c r="C5799" t="s">
        <v>18</v>
      </c>
      <c r="D5799">
        <v>3974.21</v>
      </c>
      <c r="E5799">
        <v>2469</v>
      </c>
      <c r="F5799">
        <v>3</v>
      </c>
      <c r="G5799">
        <v>1</v>
      </c>
      <c r="H5799">
        <v>0</v>
      </c>
      <c r="I5799" t="s">
        <v>33</v>
      </c>
      <c r="J5799">
        <v>0</v>
      </c>
      <c r="K5799">
        <v>67</v>
      </c>
      <c r="L5799" t="s">
        <v>20</v>
      </c>
      <c r="M5799" t="s">
        <v>35</v>
      </c>
      <c r="N5799" t="s">
        <v>22</v>
      </c>
      <c r="O5799" t="s">
        <v>27</v>
      </c>
      <c r="P5799">
        <v>2.56</v>
      </c>
      <c r="Q5799" s="2" t="b">
        <f>FALSE()</f>
        <v>0</v>
      </c>
      <c r="R5799">
        <v>1</v>
      </c>
    </row>
    <row r="5800" spans="1:18" x14ac:dyDescent="0.25">
      <c r="A5800">
        <v>205799</v>
      </c>
      <c r="B5800">
        <v>50456</v>
      </c>
      <c r="C5800" t="s">
        <v>18</v>
      </c>
      <c r="D5800">
        <v>5748.5</v>
      </c>
      <c r="E5800">
        <v>894</v>
      </c>
      <c r="F5800">
        <v>0</v>
      </c>
      <c r="G5800">
        <v>4</v>
      </c>
      <c r="H5800">
        <v>1</v>
      </c>
      <c r="I5800" t="s">
        <v>19</v>
      </c>
      <c r="J5800">
        <v>0</v>
      </c>
      <c r="K5800">
        <v>35</v>
      </c>
      <c r="L5800" t="s">
        <v>20</v>
      </c>
      <c r="M5800" t="s">
        <v>31</v>
      </c>
      <c r="N5800" t="s">
        <v>30</v>
      </c>
      <c r="O5800" t="s">
        <v>23</v>
      </c>
      <c r="P5800">
        <v>0.56000000000000005</v>
      </c>
      <c r="Q5800" s="2" t="b">
        <f>FALSE()</f>
        <v>0</v>
      </c>
      <c r="R5800">
        <v>1</v>
      </c>
    </row>
    <row r="5801" spans="1:18" x14ac:dyDescent="0.25">
      <c r="A5801">
        <v>205800</v>
      </c>
      <c r="B5801">
        <v>52282</v>
      </c>
      <c r="C5801" t="s">
        <v>18</v>
      </c>
      <c r="D5801">
        <v>6614.04</v>
      </c>
      <c r="E5801">
        <v>1540</v>
      </c>
      <c r="F5801">
        <v>1</v>
      </c>
      <c r="G5801">
        <v>3</v>
      </c>
      <c r="H5801">
        <v>0</v>
      </c>
      <c r="I5801" t="s">
        <v>33</v>
      </c>
      <c r="J5801">
        <v>0</v>
      </c>
      <c r="K5801">
        <v>40</v>
      </c>
      <c r="L5801" t="s">
        <v>20</v>
      </c>
      <c r="M5801" t="s">
        <v>25</v>
      </c>
      <c r="N5801" t="s">
        <v>30</v>
      </c>
      <c r="O5801" t="s">
        <v>36</v>
      </c>
      <c r="P5801">
        <v>0.98</v>
      </c>
      <c r="Q5801" s="2" t="b">
        <f>FALSE()</f>
        <v>0</v>
      </c>
      <c r="R5801">
        <v>1</v>
      </c>
    </row>
    <row r="5802" spans="1:18" x14ac:dyDescent="0.25">
      <c r="A5802">
        <v>205801</v>
      </c>
      <c r="B5802">
        <v>50205</v>
      </c>
      <c r="C5802" t="s">
        <v>28</v>
      </c>
      <c r="D5802">
        <v>936.54</v>
      </c>
      <c r="E5802">
        <v>2590</v>
      </c>
      <c r="F5802">
        <v>2</v>
      </c>
      <c r="G5802">
        <v>5</v>
      </c>
      <c r="H5802">
        <v>0</v>
      </c>
      <c r="I5802" t="s">
        <v>33</v>
      </c>
      <c r="J5802">
        <v>0</v>
      </c>
      <c r="K5802">
        <v>59</v>
      </c>
      <c r="L5802" t="s">
        <v>20</v>
      </c>
      <c r="M5802" t="s">
        <v>25</v>
      </c>
      <c r="N5802" t="s">
        <v>26</v>
      </c>
      <c r="O5802" t="s">
        <v>27</v>
      </c>
      <c r="P5802">
        <v>3.38</v>
      </c>
      <c r="Q5802" s="2" t="b">
        <f>FALSE()</f>
        <v>0</v>
      </c>
      <c r="R5802">
        <v>0</v>
      </c>
    </row>
    <row r="5803" spans="1:18" x14ac:dyDescent="0.25">
      <c r="A5803">
        <v>205802</v>
      </c>
      <c r="B5803">
        <v>52005</v>
      </c>
      <c r="C5803" t="s">
        <v>18</v>
      </c>
      <c r="D5803">
        <v>1700.1</v>
      </c>
      <c r="E5803">
        <v>2353</v>
      </c>
      <c r="F5803">
        <v>1</v>
      </c>
      <c r="G5803">
        <v>1</v>
      </c>
      <c r="H5803">
        <v>0</v>
      </c>
      <c r="I5803" t="s">
        <v>19</v>
      </c>
      <c r="J5803">
        <v>0</v>
      </c>
      <c r="K5803">
        <v>50</v>
      </c>
      <c r="L5803" t="s">
        <v>20</v>
      </c>
      <c r="M5803" t="s">
        <v>37</v>
      </c>
      <c r="N5803" t="s">
        <v>30</v>
      </c>
      <c r="O5803" t="s">
        <v>27</v>
      </c>
      <c r="P5803">
        <v>0.93</v>
      </c>
      <c r="Q5803" s="2" t="b">
        <f>FALSE()</f>
        <v>0</v>
      </c>
      <c r="R5803">
        <v>0</v>
      </c>
    </row>
    <row r="5804" spans="1:18" x14ac:dyDescent="0.25">
      <c r="A5804">
        <v>205803</v>
      </c>
      <c r="B5804">
        <v>54982</v>
      </c>
      <c r="C5804" t="s">
        <v>34</v>
      </c>
      <c r="D5804">
        <v>2528.36</v>
      </c>
      <c r="E5804">
        <v>1983</v>
      </c>
      <c r="F5804">
        <v>1</v>
      </c>
      <c r="G5804">
        <v>8</v>
      </c>
      <c r="H5804">
        <v>1</v>
      </c>
      <c r="I5804" t="s">
        <v>33</v>
      </c>
      <c r="J5804">
        <v>0</v>
      </c>
      <c r="K5804">
        <v>48</v>
      </c>
      <c r="L5804" t="s">
        <v>24</v>
      </c>
      <c r="M5804" t="s">
        <v>35</v>
      </c>
      <c r="N5804" t="s">
        <v>22</v>
      </c>
      <c r="O5804" t="s">
        <v>36</v>
      </c>
      <c r="P5804">
        <v>2.34</v>
      </c>
      <c r="Q5804" s="2" t="b">
        <f>FALSE()</f>
        <v>0</v>
      </c>
      <c r="R5804">
        <v>1</v>
      </c>
    </row>
    <row r="5805" spans="1:18" x14ac:dyDescent="0.25">
      <c r="A5805">
        <v>205804</v>
      </c>
      <c r="B5805">
        <v>50100</v>
      </c>
      <c r="C5805" t="s">
        <v>28</v>
      </c>
      <c r="D5805">
        <v>3472.99</v>
      </c>
      <c r="E5805">
        <v>2954</v>
      </c>
      <c r="F5805">
        <v>1</v>
      </c>
      <c r="G5805">
        <v>3</v>
      </c>
      <c r="H5805">
        <v>0</v>
      </c>
      <c r="I5805" t="s">
        <v>32</v>
      </c>
      <c r="J5805">
        <v>0</v>
      </c>
      <c r="K5805">
        <v>43</v>
      </c>
      <c r="L5805" t="s">
        <v>20</v>
      </c>
      <c r="M5805" t="s">
        <v>35</v>
      </c>
      <c r="N5805" t="s">
        <v>26</v>
      </c>
      <c r="O5805" t="s">
        <v>23</v>
      </c>
      <c r="P5805">
        <v>2.2799999999999998</v>
      </c>
      <c r="Q5805" s="2" t="b">
        <f>FALSE()</f>
        <v>0</v>
      </c>
      <c r="R5805">
        <v>0</v>
      </c>
    </row>
    <row r="5806" spans="1:18" x14ac:dyDescent="0.25">
      <c r="A5806">
        <v>205805</v>
      </c>
      <c r="B5806">
        <v>53418</v>
      </c>
      <c r="C5806" t="s">
        <v>18</v>
      </c>
      <c r="D5806">
        <v>4601.95</v>
      </c>
      <c r="E5806">
        <v>2958</v>
      </c>
      <c r="F5806">
        <v>2</v>
      </c>
      <c r="G5806">
        <v>6</v>
      </c>
      <c r="H5806">
        <v>1</v>
      </c>
      <c r="I5806" t="s">
        <v>33</v>
      </c>
      <c r="J5806">
        <v>0</v>
      </c>
      <c r="K5806">
        <v>22</v>
      </c>
      <c r="L5806" t="s">
        <v>20</v>
      </c>
      <c r="M5806" t="s">
        <v>35</v>
      </c>
      <c r="N5806" t="s">
        <v>22</v>
      </c>
      <c r="O5806" t="s">
        <v>36</v>
      </c>
      <c r="P5806">
        <v>9.11</v>
      </c>
      <c r="Q5806" s="2" t="b">
        <f>FALSE()</f>
        <v>0</v>
      </c>
      <c r="R5806">
        <v>1</v>
      </c>
    </row>
    <row r="5807" spans="1:18" x14ac:dyDescent="0.25">
      <c r="A5807">
        <v>205806</v>
      </c>
      <c r="B5807">
        <v>51262</v>
      </c>
      <c r="C5807" t="s">
        <v>28</v>
      </c>
      <c r="D5807">
        <v>4927.74</v>
      </c>
      <c r="E5807">
        <v>1280</v>
      </c>
      <c r="F5807">
        <v>1</v>
      </c>
      <c r="G5807">
        <v>6</v>
      </c>
      <c r="H5807">
        <v>0</v>
      </c>
      <c r="I5807" t="s">
        <v>33</v>
      </c>
      <c r="J5807">
        <v>1</v>
      </c>
      <c r="K5807">
        <v>41</v>
      </c>
      <c r="L5807" t="s">
        <v>24</v>
      </c>
      <c r="M5807" t="s">
        <v>25</v>
      </c>
      <c r="N5807" t="s">
        <v>22</v>
      </c>
      <c r="O5807" t="s">
        <v>27</v>
      </c>
      <c r="P5807">
        <v>3.44</v>
      </c>
      <c r="Q5807" s="2" t="b">
        <f>FALSE()</f>
        <v>0</v>
      </c>
      <c r="R5807">
        <v>1</v>
      </c>
    </row>
    <row r="5808" spans="1:18" x14ac:dyDescent="0.25">
      <c r="A5808">
        <v>205807</v>
      </c>
      <c r="B5808">
        <v>55075</v>
      </c>
      <c r="C5808" t="s">
        <v>18</v>
      </c>
      <c r="D5808">
        <v>2127.87</v>
      </c>
      <c r="E5808">
        <v>2137</v>
      </c>
      <c r="F5808">
        <v>3</v>
      </c>
      <c r="G5808">
        <v>4</v>
      </c>
      <c r="H5808">
        <v>0</v>
      </c>
      <c r="I5808" t="s">
        <v>19</v>
      </c>
      <c r="J5808">
        <v>0</v>
      </c>
      <c r="K5808">
        <v>49</v>
      </c>
      <c r="L5808" t="s">
        <v>20</v>
      </c>
      <c r="M5808" t="s">
        <v>37</v>
      </c>
      <c r="N5808" t="s">
        <v>22</v>
      </c>
      <c r="O5808" t="s">
        <v>36</v>
      </c>
      <c r="P5808">
        <v>2.8</v>
      </c>
      <c r="Q5808" s="2" t="b">
        <f>FALSE()</f>
        <v>0</v>
      </c>
      <c r="R5808">
        <v>1</v>
      </c>
    </row>
    <row r="5809" spans="1:18" x14ac:dyDescent="0.25">
      <c r="A5809">
        <v>205808</v>
      </c>
      <c r="B5809">
        <v>54740</v>
      </c>
      <c r="C5809" t="s">
        <v>34</v>
      </c>
      <c r="D5809">
        <v>6949.8</v>
      </c>
      <c r="E5809">
        <v>387</v>
      </c>
      <c r="F5809">
        <v>3</v>
      </c>
      <c r="G5809">
        <v>3</v>
      </c>
      <c r="H5809">
        <v>0</v>
      </c>
      <c r="I5809" t="s">
        <v>19</v>
      </c>
      <c r="J5809">
        <v>0</v>
      </c>
      <c r="K5809">
        <v>43</v>
      </c>
      <c r="L5809" t="s">
        <v>20</v>
      </c>
      <c r="M5809" t="s">
        <v>35</v>
      </c>
      <c r="N5809" t="s">
        <v>26</v>
      </c>
      <c r="O5809" t="s">
        <v>27</v>
      </c>
      <c r="P5809">
        <v>0.87</v>
      </c>
      <c r="Q5809" s="2" t="b">
        <f>TRUE()</f>
        <v>1</v>
      </c>
      <c r="R5809">
        <v>1</v>
      </c>
    </row>
    <row r="5810" spans="1:18" x14ac:dyDescent="0.25">
      <c r="A5810">
        <v>205809</v>
      </c>
      <c r="B5810">
        <v>52905</v>
      </c>
      <c r="C5810" t="s">
        <v>18</v>
      </c>
      <c r="D5810">
        <v>622.22</v>
      </c>
      <c r="E5810">
        <v>887</v>
      </c>
      <c r="F5810">
        <v>0</v>
      </c>
      <c r="G5810">
        <v>2</v>
      </c>
      <c r="H5810">
        <v>0</v>
      </c>
      <c r="I5810" t="s">
        <v>32</v>
      </c>
      <c r="J5810">
        <v>0</v>
      </c>
      <c r="K5810">
        <v>75</v>
      </c>
      <c r="L5810" t="s">
        <v>20</v>
      </c>
      <c r="M5810" t="s">
        <v>21</v>
      </c>
      <c r="N5810" t="s">
        <v>26</v>
      </c>
      <c r="O5810" t="s">
        <v>27</v>
      </c>
      <c r="P5810">
        <v>0.56999999999999995</v>
      </c>
      <c r="Q5810" s="2" t="b">
        <f>FALSE()</f>
        <v>0</v>
      </c>
      <c r="R5810">
        <v>0</v>
      </c>
    </row>
    <row r="5811" spans="1:18" x14ac:dyDescent="0.25">
      <c r="A5811">
        <v>205810</v>
      </c>
      <c r="B5811">
        <v>51034</v>
      </c>
      <c r="C5811" t="s">
        <v>18</v>
      </c>
      <c r="D5811">
        <v>1285.4000000000001</v>
      </c>
      <c r="E5811">
        <v>323</v>
      </c>
      <c r="F5811">
        <v>0</v>
      </c>
      <c r="G5811">
        <v>4</v>
      </c>
      <c r="H5811">
        <v>0</v>
      </c>
      <c r="I5811" t="s">
        <v>33</v>
      </c>
      <c r="J5811">
        <v>0</v>
      </c>
      <c r="K5811">
        <v>19</v>
      </c>
      <c r="L5811" t="s">
        <v>20</v>
      </c>
      <c r="M5811" t="s">
        <v>31</v>
      </c>
      <c r="N5811" t="s">
        <v>26</v>
      </c>
      <c r="O5811" t="s">
        <v>27</v>
      </c>
      <c r="P5811">
        <v>0.57999999999999996</v>
      </c>
      <c r="Q5811" s="2" t="b">
        <f>FALSE()</f>
        <v>0</v>
      </c>
      <c r="R5811">
        <v>0</v>
      </c>
    </row>
    <row r="5812" spans="1:18" x14ac:dyDescent="0.25">
      <c r="A5812">
        <v>205811</v>
      </c>
      <c r="B5812">
        <v>52137</v>
      </c>
      <c r="C5812" t="s">
        <v>28</v>
      </c>
      <c r="D5812">
        <v>3944.67</v>
      </c>
      <c r="E5812">
        <v>2161</v>
      </c>
      <c r="F5812">
        <v>1</v>
      </c>
      <c r="G5812">
        <v>3</v>
      </c>
      <c r="H5812">
        <v>0</v>
      </c>
      <c r="I5812" t="s">
        <v>32</v>
      </c>
      <c r="J5812">
        <v>0</v>
      </c>
      <c r="K5812">
        <v>66</v>
      </c>
      <c r="L5812" t="s">
        <v>24</v>
      </c>
      <c r="M5812" t="s">
        <v>35</v>
      </c>
      <c r="N5812" t="s">
        <v>26</v>
      </c>
      <c r="O5812" t="s">
        <v>27</v>
      </c>
      <c r="P5812">
        <v>0.26</v>
      </c>
      <c r="Q5812" s="2" t="b">
        <f>FALSE()</f>
        <v>0</v>
      </c>
      <c r="R5812">
        <v>1</v>
      </c>
    </row>
    <row r="5813" spans="1:18" x14ac:dyDescent="0.25">
      <c r="A5813">
        <v>205812</v>
      </c>
      <c r="B5813">
        <v>51033</v>
      </c>
      <c r="C5813" t="s">
        <v>28</v>
      </c>
      <c r="D5813">
        <v>493.02</v>
      </c>
      <c r="E5813">
        <v>2468</v>
      </c>
      <c r="F5813">
        <v>1</v>
      </c>
      <c r="G5813">
        <v>4</v>
      </c>
      <c r="H5813">
        <v>0</v>
      </c>
      <c r="I5813" t="s">
        <v>33</v>
      </c>
      <c r="J5813">
        <v>0</v>
      </c>
      <c r="K5813">
        <v>40</v>
      </c>
      <c r="L5813" t="s">
        <v>20</v>
      </c>
      <c r="M5813" t="s">
        <v>31</v>
      </c>
      <c r="N5813" t="s">
        <v>30</v>
      </c>
      <c r="O5813" t="s">
        <v>27</v>
      </c>
      <c r="P5813">
        <v>0.49</v>
      </c>
      <c r="Q5813" s="2" t="b">
        <f>FALSE()</f>
        <v>0</v>
      </c>
      <c r="R5813">
        <v>0</v>
      </c>
    </row>
    <row r="5814" spans="1:18" x14ac:dyDescent="0.25">
      <c r="A5814">
        <v>205813</v>
      </c>
      <c r="B5814">
        <v>55785</v>
      </c>
      <c r="C5814" t="s">
        <v>18</v>
      </c>
      <c r="D5814">
        <v>4945.2299999999996</v>
      </c>
      <c r="E5814">
        <v>2952</v>
      </c>
      <c r="F5814">
        <v>0</v>
      </c>
      <c r="G5814">
        <v>5</v>
      </c>
      <c r="H5814">
        <v>1</v>
      </c>
      <c r="I5814" t="s">
        <v>33</v>
      </c>
      <c r="J5814">
        <v>0</v>
      </c>
      <c r="K5814">
        <v>18</v>
      </c>
      <c r="L5814" t="s">
        <v>20</v>
      </c>
      <c r="M5814" t="s">
        <v>29</v>
      </c>
      <c r="N5814" t="s">
        <v>22</v>
      </c>
      <c r="O5814" t="s">
        <v>36</v>
      </c>
      <c r="P5814">
        <v>1.19</v>
      </c>
      <c r="Q5814" s="2" t="b">
        <f>FALSE()</f>
        <v>0</v>
      </c>
      <c r="R5814">
        <v>1</v>
      </c>
    </row>
    <row r="5815" spans="1:18" x14ac:dyDescent="0.25">
      <c r="A5815">
        <v>205814</v>
      </c>
      <c r="B5815">
        <v>51365</v>
      </c>
      <c r="C5815" t="s">
        <v>34</v>
      </c>
      <c r="D5815">
        <v>2427.23</v>
      </c>
      <c r="E5815">
        <v>1447</v>
      </c>
      <c r="F5815">
        <v>2</v>
      </c>
      <c r="G5815">
        <v>8</v>
      </c>
      <c r="H5815">
        <v>1</v>
      </c>
      <c r="I5815" t="s">
        <v>33</v>
      </c>
      <c r="J5815">
        <v>1</v>
      </c>
      <c r="K5815">
        <v>44</v>
      </c>
      <c r="L5815" t="s">
        <v>24</v>
      </c>
      <c r="M5815" t="s">
        <v>29</v>
      </c>
      <c r="N5815" t="s">
        <v>30</v>
      </c>
      <c r="O5815" t="s">
        <v>36</v>
      </c>
      <c r="P5815">
        <v>2.06</v>
      </c>
      <c r="Q5815" s="2" t="b">
        <f>FALSE()</f>
        <v>0</v>
      </c>
      <c r="R5815">
        <v>1</v>
      </c>
    </row>
    <row r="5816" spans="1:18" x14ac:dyDescent="0.25">
      <c r="A5816">
        <v>205815</v>
      </c>
      <c r="B5816">
        <v>51628</v>
      </c>
      <c r="C5816" t="s">
        <v>34</v>
      </c>
      <c r="D5816">
        <v>1710.48</v>
      </c>
      <c r="E5816">
        <v>1156</v>
      </c>
      <c r="F5816">
        <v>0</v>
      </c>
      <c r="G5816">
        <v>4</v>
      </c>
      <c r="H5816">
        <v>1</v>
      </c>
      <c r="I5816" t="s">
        <v>33</v>
      </c>
      <c r="J5816">
        <v>0</v>
      </c>
      <c r="K5816">
        <v>67</v>
      </c>
      <c r="L5816" t="s">
        <v>24</v>
      </c>
      <c r="M5816" t="s">
        <v>29</v>
      </c>
      <c r="N5816" t="s">
        <v>22</v>
      </c>
      <c r="O5816" t="s">
        <v>23</v>
      </c>
      <c r="P5816">
        <v>0.75</v>
      </c>
      <c r="Q5816" s="2" t="b">
        <f>FALSE()</f>
        <v>0</v>
      </c>
      <c r="R5816">
        <v>0</v>
      </c>
    </row>
    <row r="5817" spans="1:18" x14ac:dyDescent="0.25">
      <c r="A5817">
        <v>205816</v>
      </c>
      <c r="B5817">
        <v>52085</v>
      </c>
      <c r="C5817" t="s">
        <v>18</v>
      </c>
      <c r="D5817">
        <v>748.74</v>
      </c>
      <c r="E5817">
        <v>1573</v>
      </c>
      <c r="F5817">
        <v>1</v>
      </c>
      <c r="G5817">
        <v>2</v>
      </c>
      <c r="H5817">
        <v>0</v>
      </c>
      <c r="I5817" t="s">
        <v>19</v>
      </c>
      <c r="J5817">
        <v>0</v>
      </c>
      <c r="K5817">
        <v>52</v>
      </c>
      <c r="L5817" t="s">
        <v>20</v>
      </c>
      <c r="M5817" t="s">
        <v>29</v>
      </c>
      <c r="N5817" t="s">
        <v>22</v>
      </c>
      <c r="O5817" t="s">
        <v>27</v>
      </c>
      <c r="P5817">
        <v>4.3499999999999996</v>
      </c>
      <c r="Q5817" s="2" t="b">
        <f>FALSE()</f>
        <v>0</v>
      </c>
      <c r="R5817">
        <v>0</v>
      </c>
    </row>
    <row r="5818" spans="1:18" x14ac:dyDescent="0.25">
      <c r="A5818">
        <v>205817</v>
      </c>
      <c r="B5818">
        <v>54836</v>
      </c>
      <c r="C5818" t="s">
        <v>34</v>
      </c>
      <c r="D5818">
        <v>1560.45</v>
      </c>
      <c r="E5818">
        <v>1495</v>
      </c>
      <c r="F5818">
        <v>2</v>
      </c>
      <c r="G5818">
        <v>3</v>
      </c>
      <c r="H5818">
        <v>0</v>
      </c>
      <c r="I5818" t="s">
        <v>33</v>
      </c>
      <c r="J5818">
        <v>0</v>
      </c>
      <c r="K5818">
        <v>79</v>
      </c>
      <c r="L5818" t="s">
        <v>24</v>
      </c>
      <c r="M5818" t="s">
        <v>29</v>
      </c>
      <c r="N5818" t="s">
        <v>22</v>
      </c>
      <c r="O5818" t="s">
        <v>23</v>
      </c>
      <c r="P5818">
        <v>3.39</v>
      </c>
      <c r="Q5818" s="2" t="b">
        <f>FALSE()</f>
        <v>0</v>
      </c>
      <c r="R5818">
        <v>0</v>
      </c>
    </row>
    <row r="5819" spans="1:18" x14ac:dyDescent="0.25">
      <c r="A5819">
        <v>205818</v>
      </c>
      <c r="B5819">
        <v>52137</v>
      </c>
      <c r="C5819" t="s">
        <v>18</v>
      </c>
      <c r="D5819">
        <v>2277.0500000000002</v>
      </c>
      <c r="E5819">
        <v>905</v>
      </c>
      <c r="F5819">
        <v>0</v>
      </c>
      <c r="G5819">
        <v>4</v>
      </c>
      <c r="H5819">
        <v>1</v>
      </c>
      <c r="I5819" t="s">
        <v>33</v>
      </c>
      <c r="J5819">
        <v>0</v>
      </c>
      <c r="K5819">
        <v>50</v>
      </c>
      <c r="L5819" t="s">
        <v>24</v>
      </c>
      <c r="M5819" t="s">
        <v>21</v>
      </c>
      <c r="N5819" t="s">
        <v>22</v>
      </c>
      <c r="O5819" t="s">
        <v>36</v>
      </c>
      <c r="P5819">
        <v>0.41</v>
      </c>
      <c r="Q5819" s="2" t="b">
        <f>FALSE()</f>
        <v>0</v>
      </c>
      <c r="R5819">
        <v>0</v>
      </c>
    </row>
    <row r="5820" spans="1:18" x14ac:dyDescent="0.25">
      <c r="A5820">
        <v>205819</v>
      </c>
      <c r="B5820">
        <v>50866</v>
      </c>
      <c r="C5820" t="s">
        <v>18</v>
      </c>
      <c r="D5820">
        <v>4000.63</v>
      </c>
      <c r="E5820">
        <v>2090</v>
      </c>
      <c r="F5820">
        <v>0</v>
      </c>
      <c r="G5820">
        <v>1</v>
      </c>
      <c r="H5820">
        <v>0</v>
      </c>
      <c r="I5820" t="s">
        <v>33</v>
      </c>
      <c r="J5820">
        <v>0</v>
      </c>
      <c r="K5820">
        <v>36</v>
      </c>
      <c r="L5820" t="s">
        <v>20</v>
      </c>
      <c r="M5820" t="s">
        <v>25</v>
      </c>
      <c r="N5820" t="s">
        <v>30</v>
      </c>
      <c r="O5820" t="s">
        <v>27</v>
      </c>
      <c r="P5820">
        <v>8.58</v>
      </c>
      <c r="Q5820" s="2" t="b">
        <f>FALSE()</f>
        <v>0</v>
      </c>
      <c r="R5820">
        <v>1</v>
      </c>
    </row>
    <row r="5821" spans="1:18" x14ac:dyDescent="0.25">
      <c r="A5821">
        <v>205820</v>
      </c>
      <c r="B5821">
        <v>53433</v>
      </c>
      <c r="C5821" t="s">
        <v>18</v>
      </c>
      <c r="D5821">
        <v>3319.8</v>
      </c>
      <c r="E5821">
        <v>230</v>
      </c>
      <c r="F5821">
        <v>2</v>
      </c>
      <c r="G5821">
        <v>2</v>
      </c>
      <c r="H5821">
        <v>0</v>
      </c>
      <c r="I5821" t="s">
        <v>33</v>
      </c>
      <c r="J5821">
        <v>1</v>
      </c>
      <c r="K5821">
        <v>74</v>
      </c>
      <c r="L5821" t="s">
        <v>24</v>
      </c>
      <c r="M5821" t="s">
        <v>21</v>
      </c>
      <c r="N5821" t="s">
        <v>22</v>
      </c>
      <c r="O5821" t="s">
        <v>36</v>
      </c>
      <c r="P5821">
        <v>7.56</v>
      </c>
      <c r="Q5821" s="2" t="b">
        <f>FALSE()</f>
        <v>0</v>
      </c>
      <c r="R5821">
        <v>0</v>
      </c>
    </row>
    <row r="5822" spans="1:18" x14ac:dyDescent="0.25">
      <c r="A5822">
        <v>205821</v>
      </c>
      <c r="B5822">
        <v>50806</v>
      </c>
      <c r="C5822" t="s">
        <v>18</v>
      </c>
      <c r="D5822">
        <v>998.68</v>
      </c>
      <c r="E5822">
        <v>2584</v>
      </c>
      <c r="F5822">
        <v>1</v>
      </c>
      <c r="G5822">
        <v>3</v>
      </c>
      <c r="H5822">
        <v>0</v>
      </c>
      <c r="I5822" t="s">
        <v>19</v>
      </c>
      <c r="J5822">
        <v>0</v>
      </c>
      <c r="K5822">
        <v>62</v>
      </c>
      <c r="L5822" t="s">
        <v>24</v>
      </c>
      <c r="M5822" t="s">
        <v>31</v>
      </c>
      <c r="N5822" t="s">
        <v>22</v>
      </c>
      <c r="O5822" t="s">
        <v>27</v>
      </c>
      <c r="P5822">
        <v>0.47</v>
      </c>
      <c r="Q5822" s="2" t="b">
        <f>FALSE()</f>
        <v>0</v>
      </c>
      <c r="R5822">
        <v>0</v>
      </c>
    </row>
    <row r="5823" spans="1:18" x14ac:dyDescent="0.25">
      <c r="A5823">
        <v>205822</v>
      </c>
      <c r="B5823">
        <v>53512</v>
      </c>
      <c r="C5823" t="s">
        <v>34</v>
      </c>
      <c r="D5823">
        <v>586.23</v>
      </c>
      <c r="E5823">
        <v>3404</v>
      </c>
      <c r="F5823">
        <v>2</v>
      </c>
      <c r="G5823">
        <v>4</v>
      </c>
      <c r="H5823">
        <v>0</v>
      </c>
      <c r="I5823" t="s">
        <v>33</v>
      </c>
      <c r="J5823">
        <v>0</v>
      </c>
      <c r="K5823">
        <v>74</v>
      </c>
      <c r="L5823" t="s">
        <v>20</v>
      </c>
      <c r="M5823" t="s">
        <v>25</v>
      </c>
      <c r="N5823" t="s">
        <v>30</v>
      </c>
      <c r="O5823" t="s">
        <v>36</v>
      </c>
      <c r="P5823">
        <v>0.49</v>
      </c>
      <c r="Q5823" s="2" t="b">
        <f>FALSE()</f>
        <v>0</v>
      </c>
      <c r="R5823">
        <v>0</v>
      </c>
    </row>
    <row r="5824" spans="1:18" x14ac:dyDescent="0.25">
      <c r="A5824">
        <v>205823</v>
      </c>
      <c r="B5824">
        <v>53615</v>
      </c>
      <c r="C5824" t="s">
        <v>34</v>
      </c>
      <c r="D5824">
        <v>5898.52</v>
      </c>
      <c r="E5824">
        <v>1952</v>
      </c>
      <c r="F5824">
        <v>0</v>
      </c>
      <c r="G5824">
        <v>3</v>
      </c>
      <c r="H5824">
        <v>1</v>
      </c>
      <c r="I5824" t="s">
        <v>32</v>
      </c>
      <c r="J5824">
        <v>0</v>
      </c>
      <c r="K5824">
        <v>68</v>
      </c>
      <c r="L5824" t="s">
        <v>24</v>
      </c>
      <c r="M5824" t="s">
        <v>25</v>
      </c>
      <c r="N5824" t="s">
        <v>22</v>
      </c>
      <c r="O5824" t="s">
        <v>36</v>
      </c>
      <c r="P5824">
        <v>2.97</v>
      </c>
      <c r="Q5824" s="2" t="b">
        <f>FALSE()</f>
        <v>0</v>
      </c>
      <c r="R5824">
        <v>1</v>
      </c>
    </row>
    <row r="5825" spans="1:18" x14ac:dyDescent="0.25">
      <c r="A5825">
        <v>205824</v>
      </c>
      <c r="B5825">
        <v>53667</v>
      </c>
      <c r="C5825" t="s">
        <v>18</v>
      </c>
      <c r="D5825">
        <v>5788.32</v>
      </c>
      <c r="E5825">
        <v>197</v>
      </c>
      <c r="F5825">
        <v>1</v>
      </c>
      <c r="G5825">
        <v>5</v>
      </c>
      <c r="H5825">
        <v>1</v>
      </c>
      <c r="I5825" t="s">
        <v>19</v>
      </c>
      <c r="J5825">
        <v>0</v>
      </c>
      <c r="K5825">
        <v>38</v>
      </c>
      <c r="L5825" t="s">
        <v>20</v>
      </c>
      <c r="M5825" t="s">
        <v>31</v>
      </c>
      <c r="N5825" t="s">
        <v>22</v>
      </c>
      <c r="O5825" t="s">
        <v>36</v>
      </c>
      <c r="P5825">
        <v>3.26</v>
      </c>
      <c r="Q5825" s="2" t="b">
        <f>FALSE()</f>
        <v>0</v>
      </c>
      <c r="R5825">
        <v>1</v>
      </c>
    </row>
    <row r="5826" spans="1:18" x14ac:dyDescent="0.25">
      <c r="A5826">
        <v>205825</v>
      </c>
      <c r="B5826">
        <v>55888</v>
      </c>
      <c r="C5826" t="s">
        <v>18</v>
      </c>
      <c r="D5826">
        <v>5984.33</v>
      </c>
      <c r="E5826">
        <v>50</v>
      </c>
      <c r="F5826">
        <v>1</v>
      </c>
      <c r="G5826">
        <v>2</v>
      </c>
      <c r="H5826">
        <v>0</v>
      </c>
      <c r="I5826" t="s">
        <v>19</v>
      </c>
      <c r="J5826">
        <v>0</v>
      </c>
      <c r="K5826">
        <v>46</v>
      </c>
      <c r="L5826" t="s">
        <v>24</v>
      </c>
      <c r="M5826" t="s">
        <v>37</v>
      </c>
      <c r="N5826" t="s">
        <v>30</v>
      </c>
      <c r="O5826" t="s">
        <v>36</v>
      </c>
      <c r="P5826">
        <v>10.77</v>
      </c>
      <c r="Q5826" s="2" t="b">
        <f>FALSE()</f>
        <v>0</v>
      </c>
      <c r="R5826">
        <v>1</v>
      </c>
    </row>
    <row r="5827" spans="1:18" x14ac:dyDescent="0.25">
      <c r="A5827">
        <v>205826</v>
      </c>
      <c r="B5827">
        <v>50302</v>
      </c>
      <c r="C5827" t="s">
        <v>28</v>
      </c>
      <c r="D5827">
        <v>3130.33</v>
      </c>
      <c r="E5827">
        <v>1729</v>
      </c>
      <c r="F5827">
        <v>3</v>
      </c>
      <c r="G5827">
        <v>2</v>
      </c>
      <c r="H5827">
        <v>1</v>
      </c>
      <c r="I5827" t="s">
        <v>32</v>
      </c>
      <c r="J5827">
        <v>0</v>
      </c>
      <c r="K5827">
        <v>66</v>
      </c>
      <c r="L5827" t="s">
        <v>24</v>
      </c>
      <c r="M5827" t="s">
        <v>29</v>
      </c>
      <c r="N5827" t="s">
        <v>22</v>
      </c>
      <c r="O5827" t="s">
        <v>23</v>
      </c>
      <c r="P5827">
        <v>6.21</v>
      </c>
      <c r="Q5827" s="2" t="b">
        <f>FALSE()</f>
        <v>0</v>
      </c>
      <c r="R5827">
        <v>1</v>
      </c>
    </row>
    <row r="5828" spans="1:18" x14ac:dyDescent="0.25">
      <c r="A5828">
        <v>205827</v>
      </c>
      <c r="B5828">
        <v>53606</v>
      </c>
      <c r="C5828" t="s">
        <v>28</v>
      </c>
      <c r="D5828">
        <v>1342.21</v>
      </c>
      <c r="E5828">
        <v>597</v>
      </c>
      <c r="F5828">
        <v>1</v>
      </c>
      <c r="G5828">
        <v>2</v>
      </c>
      <c r="H5828">
        <v>0</v>
      </c>
      <c r="I5828" t="s">
        <v>19</v>
      </c>
      <c r="J5828">
        <v>0</v>
      </c>
      <c r="K5828">
        <v>22</v>
      </c>
      <c r="L5828" t="s">
        <v>24</v>
      </c>
      <c r="M5828" t="s">
        <v>21</v>
      </c>
      <c r="N5828" t="s">
        <v>30</v>
      </c>
      <c r="O5828" t="s">
        <v>36</v>
      </c>
      <c r="P5828">
        <v>0.26</v>
      </c>
      <c r="Q5828" s="2" t="b">
        <f>FALSE()</f>
        <v>0</v>
      </c>
      <c r="R5828">
        <v>0</v>
      </c>
    </row>
    <row r="5829" spans="1:18" x14ac:dyDescent="0.25">
      <c r="A5829">
        <v>205828</v>
      </c>
      <c r="B5829">
        <v>54735</v>
      </c>
      <c r="C5829" t="s">
        <v>28</v>
      </c>
      <c r="D5829">
        <v>224.03</v>
      </c>
      <c r="E5829">
        <v>2252</v>
      </c>
      <c r="F5829">
        <v>4</v>
      </c>
      <c r="G5829">
        <v>3</v>
      </c>
      <c r="H5829">
        <v>0</v>
      </c>
      <c r="I5829" t="s">
        <v>33</v>
      </c>
      <c r="J5829">
        <v>0</v>
      </c>
      <c r="K5829">
        <v>51</v>
      </c>
      <c r="L5829" t="s">
        <v>24</v>
      </c>
      <c r="M5829" t="s">
        <v>21</v>
      </c>
      <c r="N5829" t="s">
        <v>22</v>
      </c>
      <c r="O5829" t="s">
        <v>27</v>
      </c>
      <c r="P5829">
        <v>4.95</v>
      </c>
      <c r="Q5829" s="2" t="b">
        <f>FALSE()</f>
        <v>0</v>
      </c>
      <c r="R5829">
        <v>1</v>
      </c>
    </row>
    <row r="5830" spans="1:18" x14ac:dyDescent="0.25">
      <c r="A5830">
        <v>205829</v>
      </c>
      <c r="B5830">
        <v>50312</v>
      </c>
      <c r="C5830" t="s">
        <v>18</v>
      </c>
      <c r="D5830">
        <v>1059.1600000000001</v>
      </c>
      <c r="E5830">
        <v>770</v>
      </c>
      <c r="F5830">
        <v>0</v>
      </c>
      <c r="G5830">
        <v>3</v>
      </c>
      <c r="H5830">
        <v>0</v>
      </c>
      <c r="I5830" t="s">
        <v>32</v>
      </c>
      <c r="J5830">
        <v>1</v>
      </c>
      <c r="K5830">
        <v>34</v>
      </c>
      <c r="L5830" t="s">
        <v>24</v>
      </c>
      <c r="M5830" t="s">
        <v>21</v>
      </c>
      <c r="N5830" t="s">
        <v>22</v>
      </c>
      <c r="O5830" t="s">
        <v>27</v>
      </c>
      <c r="P5830">
        <v>1.37</v>
      </c>
      <c r="Q5830" s="2" t="b">
        <f>FALSE()</f>
        <v>0</v>
      </c>
      <c r="R5830">
        <v>0</v>
      </c>
    </row>
    <row r="5831" spans="1:18" x14ac:dyDescent="0.25">
      <c r="A5831">
        <v>205830</v>
      </c>
      <c r="B5831">
        <v>53885</v>
      </c>
      <c r="C5831" t="s">
        <v>18</v>
      </c>
      <c r="D5831">
        <v>11081.58</v>
      </c>
      <c r="E5831">
        <v>624</v>
      </c>
      <c r="F5831">
        <v>0</v>
      </c>
      <c r="G5831">
        <v>3</v>
      </c>
      <c r="H5831">
        <v>0</v>
      </c>
      <c r="I5831" t="s">
        <v>33</v>
      </c>
      <c r="J5831">
        <v>0</v>
      </c>
      <c r="K5831">
        <v>30</v>
      </c>
      <c r="L5831" t="s">
        <v>24</v>
      </c>
      <c r="M5831" t="s">
        <v>25</v>
      </c>
      <c r="N5831" t="s">
        <v>26</v>
      </c>
      <c r="O5831" t="s">
        <v>36</v>
      </c>
      <c r="P5831">
        <v>0.65</v>
      </c>
      <c r="Q5831" s="2" t="b">
        <f>TRUE()</f>
        <v>1</v>
      </c>
      <c r="R5831">
        <v>1</v>
      </c>
    </row>
    <row r="5832" spans="1:18" x14ac:dyDescent="0.25">
      <c r="A5832">
        <v>205831</v>
      </c>
      <c r="B5832">
        <v>51563</v>
      </c>
      <c r="C5832" t="s">
        <v>18</v>
      </c>
      <c r="D5832">
        <v>2778.43</v>
      </c>
      <c r="E5832">
        <v>3323</v>
      </c>
      <c r="F5832">
        <v>1</v>
      </c>
      <c r="G5832">
        <v>1</v>
      </c>
      <c r="H5832">
        <v>0</v>
      </c>
      <c r="I5832" t="s">
        <v>33</v>
      </c>
      <c r="J5832">
        <v>0</v>
      </c>
      <c r="K5832">
        <v>55</v>
      </c>
      <c r="L5832" t="s">
        <v>20</v>
      </c>
      <c r="M5832" t="s">
        <v>35</v>
      </c>
      <c r="N5832" t="s">
        <v>30</v>
      </c>
      <c r="O5832" t="s">
        <v>27</v>
      </c>
      <c r="P5832">
        <v>0.96</v>
      </c>
      <c r="Q5832" s="2" t="b">
        <f>FALSE()</f>
        <v>0</v>
      </c>
      <c r="R5832">
        <v>0</v>
      </c>
    </row>
    <row r="5833" spans="1:18" x14ac:dyDescent="0.25">
      <c r="A5833">
        <v>205832</v>
      </c>
      <c r="B5833">
        <v>55464</v>
      </c>
      <c r="C5833" t="s">
        <v>34</v>
      </c>
      <c r="D5833">
        <v>3908.58</v>
      </c>
      <c r="E5833">
        <v>3092</v>
      </c>
      <c r="F5833">
        <v>3</v>
      </c>
      <c r="G5833">
        <v>3</v>
      </c>
      <c r="H5833">
        <v>0</v>
      </c>
      <c r="I5833" t="s">
        <v>33</v>
      </c>
      <c r="J5833">
        <v>0</v>
      </c>
      <c r="K5833">
        <v>66</v>
      </c>
      <c r="L5833" t="s">
        <v>24</v>
      </c>
      <c r="M5833" t="s">
        <v>37</v>
      </c>
      <c r="N5833" t="s">
        <v>26</v>
      </c>
      <c r="O5833" t="s">
        <v>36</v>
      </c>
      <c r="P5833">
        <v>9.83</v>
      </c>
      <c r="Q5833" s="2" t="b">
        <f>FALSE()</f>
        <v>0</v>
      </c>
      <c r="R5833">
        <v>1</v>
      </c>
    </row>
    <row r="5834" spans="1:18" x14ac:dyDescent="0.25">
      <c r="A5834">
        <v>205833</v>
      </c>
      <c r="B5834">
        <v>52703</v>
      </c>
      <c r="C5834" t="s">
        <v>18</v>
      </c>
      <c r="D5834">
        <v>6938.58</v>
      </c>
      <c r="E5834">
        <v>233</v>
      </c>
      <c r="F5834">
        <v>0</v>
      </c>
      <c r="G5834">
        <v>3</v>
      </c>
      <c r="H5834">
        <v>0</v>
      </c>
      <c r="I5834" t="s">
        <v>33</v>
      </c>
      <c r="J5834">
        <v>1</v>
      </c>
      <c r="K5834">
        <v>59</v>
      </c>
      <c r="L5834" t="s">
        <v>20</v>
      </c>
      <c r="M5834" t="s">
        <v>37</v>
      </c>
      <c r="N5834" t="s">
        <v>22</v>
      </c>
      <c r="O5834" t="s">
        <v>23</v>
      </c>
      <c r="P5834">
        <v>8.6</v>
      </c>
      <c r="Q5834" s="2" t="b">
        <f>TRUE()</f>
        <v>1</v>
      </c>
      <c r="R5834">
        <v>1</v>
      </c>
    </row>
    <row r="5835" spans="1:18" x14ac:dyDescent="0.25">
      <c r="A5835">
        <v>205834</v>
      </c>
      <c r="B5835">
        <v>50751</v>
      </c>
      <c r="C5835" t="s">
        <v>34</v>
      </c>
      <c r="D5835">
        <v>1056.58</v>
      </c>
      <c r="E5835">
        <v>2323</v>
      </c>
      <c r="F5835">
        <v>0</v>
      </c>
      <c r="G5835">
        <v>6</v>
      </c>
      <c r="H5835">
        <v>0</v>
      </c>
      <c r="I5835" t="s">
        <v>19</v>
      </c>
      <c r="J5835">
        <v>0</v>
      </c>
      <c r="K5835">
        <v>69</v>
      </c>
      <c r="L5835" t="s">
        <v>24</v>
      </c>
      <c r="M5835" t="s">
        <v>37</v>
      </c>
      <c r="N5835" t="s">
        <v>26</v>
      </c>
      <c r="O5835" t="s">
        <v>27</v>
      </c>
      <c r="P5835">
        <v>4.7300000000000004</v>
      </c>
      <c r="Q5835" s="2" t="b">
        <f>FALSE()</f>
        <v>0</v>
      </c>
      <c r="R5835">
        <v>0</v>
      </c>
    </row>
    <row r="5836" spans="1:18" x14ac:dyDescent="0.25">
      <c r="A5836">
        <v>205835</v>
      </c>
      <c r="B5836">
        <v>50248</v>
      </c>
      <c r="C5836" t="s">
        <v>18</v>
      </c>
      <c r="D5836">
        <v>1827.39</v>
      </c>
      <c r="E5836">
        <v>720</v>
      </c>
      <c r="F5836">
        <v>2</v>
      </c>
      <c r="G5836">
        <v>5</v>
      </c>
      <c r="H5836">
        <v>0</v>
      </c>
      <c r="I5836" t="s">
        <v>32</v>
      </c>
      <c r="J5836">
        <v>1</v>
      </c>
      <c r="K5836">
        <v>44</v>
      </c>
      <c r="L5836" t="s">
        <v>20</v>
      </c>
      <c r="M5836" t="s">
        <v>31</v>
      </c>
      <c r="N5836" t="s">
        <v>22</v>
      </c>
      <c r="O5836" t="s">
        <v>36</v>
      </c>
      <c r="P5836">
        <v>13.5</v>
      </c>
      <c r="Q5836" s="2" t="b">
        <f>FALSE()</f>
        <v>0</v>
      </c>
      <c r="R5836">
        <v>0</v>
      </c>
    </row>
    <row r="5837" spans="1:18" x14ac:dyDescent="0.25">
      <c r="A5837">
        <v>205836</v>
      </c>
      <c r="B5837">
        <v>53772</v>
      </c>
      <c r="C5837" t="s">
        <v>18</v>
      </c>
      <c r="D5837">
        <v>2164.0500000000002</v>
      </c>
      <c r="E5837">
        <v>1566</v>
      </c>
      <c r="F5837">
        <v>1</v>
      </c>
      <c r="G5837">
        <v>5</v>
      </c>
      <c r="H5837">
        <v>0</v>
      </c>
      <c r="I5837" t="s">
        <v>33</v>
      </c>
      <c r="J5837">
        <v>0</v>
      </c>
      <c r="K5837">
        <v>56</v>
      </c>
      <c r="L5837" t="s">
        <v>24</v>
      </c>
      <c r="M5837" t="s">
        <v>35</v>
      </c>
      <c r="N5837" t="s">
        <v>22</v>
      </c>
      <c r="O5837" t="s">
        <v>27</v>
      </c>
      <c r="P5837">
        <v>5.42</v>
      </c>
      <c r="Q5837" s="2" t="b">
        <f>FALSE()</f>
        <v>0</v>
      </c>
      <c r="R5837">
        <v>0</v>
      </c>
    </row>
    <row r="5838" spans="1:18" x14ac:dyDescent="0.25">
      <c r="A5838">
        <v>205837</v>
      </c>
      <c r="B5838">
        <v>54313</v>
      </c>
      <c r="C5838" t="s">
        <v>18</v>
      </c>
      <c r="D5838">
        <v>2262.7199999999998</v>
      </c>
      <c r="E5838">
        <v>97</v>
      </c>
      <c r="F5838">
        <v>1</v>
      </c>
      <c r="G5838">
        <v>6</v>
      </c>
      <c r="H5838">
        <v>0</v>
      </c>
      <c r="I5838" t="s">
        <v>33</v>
      </c>
      <c r="J5838">
        <v>0</v>
      </c>
      <c r="K5838">
        <v>47</v>
      </c>
      <c r="L5838" t="s">
        <v>20</v>
      </c>
      <c r="M5838" t="s">
        <v>29</v>
      </c>
      <c r="N5838" t="s">
        <v>26</v>
      </c>
      <c r="O5838" t="s">
        <v>27</v>
      </c>
      <c r="P5838">
        <v>1.28</v>
      </c>
      <c r="Q5838" s="2" t="b">
        <f>FALSE()</f>
        <v>0</v>
      </c>
      <c r="R5838">
        <v>0</v>
      </c>
    </row>
    <row r="5839" spans="1:18" x14ac:dyDescent="0.25">
      <c r="A5839">
        <v>205838</v>
      </c>
      <c r="B5839">
        <v>54528</v>
      </c>
      <c r="C5839" t="s">
        <v>18</v>
      </c>
      <c r="D5839">
        <v>2245.8200000000002</v>
      </c>
      <c r="E5839">
        <v>1546</v>
      </c>
      <c r="F5839">
        <v>0</v>
      </c>
      <c r="G5839">
        <v>3</v>
      </c>
      <c r="H5839">
        <v>0</v>
      </c>
      <c r="I5839" t="s">
        <v>32</v>
      </c>
      <c r="J5839">
        <v>0</v>
      </c>
      <c r="K5839">
        <v>69</v>
      </c>
      <c r="L5839" t="s">
        <v>20</v>
      </c>
      <c r="M5839" t="s">
        <v>31</v>
      </c>
      <c r="N5839" t="s">
        <v>22</v>
      </c>
      <c r="O5839" t="s">
        <v>23</v>
      </c>
      <c r="P5839">
        <v>1.53</v>
      </c>
      <c r="Q5839" s="2" t="b">
        <f>FALSE()</f>
        <v>0</v>
      </c>
      <c r="R5839">
        <v>0</v>
      </c>
    </row>
    <row r="5840" spans="1:18" x14ac:dyDescent="0.25">
      <c r="A5840">
        <v>205839</v>
      </c>
      <c r="B5840">
        <v>52552</v>
      </c>
      <c r="C5840" t="s">
        <v>28</v>
      </c>
      <c r="D5840">
        <v>2259.06</v>
      </c>
      <c r="E5840">
        <v>494</v>
      </c>
      <c r="F5840">
        <v>0</v>
      </c>
      <c r="G5840">
        <v>5</v>
      </c>
      <c r="H5840">
        <v>0</v>
      </c>
      <c r="I5840" t="s">
        <v>33</v>
      </c>
      <c r="J5840">
        <v>0</v>
      </c>
      <c r="K5840">
        <v>82</v>
      </c>
      <c r="L5840" t="s">
        <v>20</v>
      </c>
      <c r="M5840" t="s">
        <v>37</v>
      </c>
      <c r="N5840" t="s">
        <v>26</v>
      </c>
      <c r="O5840" t="s">
        <v>27</v>
      </c>
      <c r="P5840">
        <v>6.64</v>
      </c>
      <c r="Q5840" s="2" t="b">
        <f>FALSE()</f>
        <v>0</v>
      </c>
      <c r="R5840">
        <v>0</v>
      </c>
    </row>
    <row r="5841" spans="1:18" x14ac:dyDescent="0.25">
      <c r="A5841">
        <v>205840</v>
      </c>
      <c r="B5841">
        <v>54759</v>
      </c>
      <c r="C5841" t="s">
        <v>18</v>
      </c>
      <c r="D5841">
        <v>3748.55</v>
      </c>
      <c r="E5841">
        <v>404</v>
      </c>
      <c r="F5841">
        <v>0</v>
      </c>
      <c r="G5841">
        <v>3</v>
      </c>
      <c r="H5841">
        <v>0</v>
      </c>
      <c r="I5841" t="s">
        <v>33</v>
      </c>
      <c r="J5841">
        <v>0</v>
      </c>
      <c r="K5841">
        <v>81</v>
      </c>
      <c r="L5841" t="s">
        <v>24</v>
      </c>
      <c r="M5841" t="s">
        <v>21</v>
      </c>
      <c r="N5841" t="s">
        <v>30</v>
      </c>
      <c r="O5841" t="s">
        <v>36</v>
      </c>
      <c r="P5841">
        <v>6.48</v>
      </c>
      <c r="Q5841" s="2" t="b">
        <f>FALSE()</f>
        <v>0</v>
      </c>
      <c r="R5841">
        <v>1</v>
      </c>
    </row>
    <row r="5842" spans="1:18" x14ac:dyDescent="0.25">
      <c r="A5842">
        <v>205841</v>
      </c>
      <c r="B5842">
        <v>53475</v>
      </c>
      <c r="C5842" t="s">
        <v>34</v>
      </c>
      <c r="D5842">
        <v>2701.1</v>
      </c>
      <c r="E5842">
        <v>1653</v>
      </c>
      <c r="F5842">
        <v>1</v>
      </c>
      <c r="G5842">
        <v>1</v>
      </c>
      <c r="H5842">
        <v>0</v>
      </c>
      <c r="I5842" t="s">
        <v>19</v>
      </c>
      <c r="J5842">
        <v>0</v>
      </c>
      <c r="K5842">
        <v>48</v>
      </c>
      <c r="L5842" t="s">
        <v>20</v>
      </c>
      <c r="M5842" t="s">
        <v>25</v>
      </c>
      <c r="N5842" t="s">
        <v>30</v>
      </c>
      <c r="O5842" t="s">
        <v>27</v>
      </c>
      <c r="P5842">
        <v>0.11</v>
      </c>
      <c r="Q5842" s="2" t="b">
        <f>FALSE()</f>
        <v>0</v>
      </c>
      <c r="R5842">
        <v>0</v>
      </c>
    </row>
    <row r="5843" spans="1:18" x14ac:dyDescent="0.25">
      <c r="A5843">
        <v>205842</v>
      </c>
      <c r="B5843">
        <v>50074</v>
      </c>
      <c r="C5843" t="s">
        <v>18</v>
      </c>
      <c r="D5843">
        <v>1053.3599999999999</v>
      </c>
      <c r="E5843">
        <v>403</v>
      </c>
      <c r="F5843">
        <v>0</v>
      </c>
      <c r="G5843">
        <v>5</v>
      </c>
      <c r="H5843">
        <v>0</v>
      </c>
      <c r="I5843" t="s">
        <v>19</v>
      </c>
      <c r="J5843">
        <v>0</v>
      </c>
      <c r="K5843">
        <v>56</v>
      </c>
      <c r="L5843" t="s">
        <v>24</v>
      </c>
      <c r="M5843" t="s">
        <v>25</v>
      </c>
      <c r="N5843" t="s">
        <v>22</v>
      </c>
      <c r="O5843" t="s">
        <v>36</v>
      </c>
      <c r="P5843">
        <v>0.41</v>
      </c>
      <c r="Q5843" s="2" t="b">
        <f>FALSE()</f>
        <v>0</v>
      </c>
      <c r="R5843">
        <v>0</v>
      </c>
    </row>
    <row r="5844" spans="1:18" x14ac:dyDescent="0.25">
      <c r="A5844">
        <v>205843</v>
      </c>
      <c r="B5844">
        <v>54096</v>
      </c>
      <c r="C5844" t="s">
        <v>34</v>
      </c>
      <c r="D5844">
        <v>1774.53</v>
      </c>
      <c r="E5844">
        <v>207</v>
      </c>
      <c r="F5844">
        <v>2</v>
      </c>
      <c r="G5844">
        <v>5</v>
      </c>
      <c r="H5844">
        <v>0</v>
      </c>
      <c r="I5844" t="s">
        <v>33</v>
      </c>
      <c r="J5844">
        <v>0</v>
      </c>
      <c r="K5844">
        <v>29</v>
      </c>
      <c r="L5844" t="s">
        <v>24</v>
      </c>
      <c r="M5844" t="s">
        <v>35</v>
      </c>
      <c r="N5844" t="s">
        <v>22</v>
      </c>
      <c r="O5844" t="s">
        <v>23</v>
      </c>
      <c r="P5844">
        <v>1.63</v>
      </c>
      <c r="Q5844" s="2" t="b">
        <f>FALSE()</f>
        <v>0</v>
      </c>
      <c r="R5844">
        <v>0</v>
      </c>
    </row>
    <row r="5845" spans="1:18" x14ac:dyDescent="0.25">
      <c r="A5845">
        <v>205844</v>
      </c>
      <c r="B5845">
        <v>50330</v>
      </c>
      <c r="C5845" t="s">
        <v>34</v>
      </c>
      <c r="D5845">
        <v>2843.04</v>
      </c>
      <c r="E5845">
        <v>3118</v>
      </c>
      <c r="F5845">
        <v>0</v>
      </c>
      <c r="G5845">
        <v>6</v>
      </c>
      <c r="H5845">
        <v>1</v>
      </c>
      <c r="I5845" t="s">
        <v>32</v>
      </c>
      <c r="J5845">
        <v>0</v>
      </c>
      <c r="K5845">
        <v>46</v>
      </c>
      <c r="L5845" t="s">
        <v>24</v>
      </c>
      <c r="M5845" t="s">
        <v>29</v>
      </c>
      <c r="N5845" t="s">
        <v>22</v>
      </c>
      <c r="O5845" t="s">
        <v>36</v>
      </c>
      <c r="P5845">
        <v>1</v>
      </c>
      <c r="Q5845" s="2" t="b">
        <f>FALSE()</f>
        <v>0</v>
      </c>
      <c r="R5845">
        <v>0</v>
      </c>
    </row>
    <row r="5846" spans="1:18" x14ac:dyDescent="0.25">
      <c r="A5846">
        <v>205845</v>
      </c>
      <c r="B5846">
        <v>52943</v>
      </c>
      <c r="C5846" t="s">
        <v>18</v>
      </c>
      <c r="D5846">
        <v>8316.49</v>
      </c>
      <c r="E5846">
        <v>1814</v>
      </c>
      <c r="F5846">
        <v>0</v>
      </c>
      <c r="G5846">
        <v>3</v>
      </c>
      <c r="H5846">
        <v>0</v>
      </c>
      <c r="I5846" t="s">
        <v>33</v>
      </c>
      <c r="J5846">
        <v>0</v>
      </c>
      <c r="K5846">
        <v>84</v>
      </c>
      <c r="L5846" t="s">
        <v>24</v>
      </c>
      <c r="M5846" t="s">
        <v>37</v>
      </c>
      <c r="N5846" t="s">
        <v>26</v>
      </c>
      <c r="O5846" t="s">
        <v>36</v>
      </c>
      <c r="P5846">
        <v>2.42</v>
      </c>
      <c r="Q5846" s="2" t="b">
        <f>TRUE()</f>
        <v>1</v>
      </c>
      <c r="R5846">
        <v>1</v>
      </c>
    </row>
    <row r="5847" spans="1:18" x14ac:dyDescent="0.25">
      <c r="A5847">
        <v>205846</v>
      </c>
      <c r="B5847">
        <v>55538</v>
      </c>
      <c r="C5847" t="s">
        <v>18</v>
      </c>
      <c r="D5847">
        <v>1443.66</v>
      </c>
      <c r="E5847">
        <v>330</v>
      </c>
      <c r="F5847">
        <v>0</v>
      </c>
      <c r="G5847">
        <v>2</v>
      </c>
      <c r="H5847">
        <v>0</v>
      </c>
      <c r="I5847" t="s">
        <v>33</v>
      </c>
      <c r="J5847">
        <v>0</v>
      </c>
      <c r="K5847">
        <v>57</v>
      </c>
      <c r="L5847" t="s">
        <v>20</v>
      </c>
      <c r="M5847" t="s">
        <v>37</v>
      </c>
      <c r="N5847" t="s">
        <v>26</v>
      </c>
      <c r="O5847" t="s">
        <v>36</v>
      </c>
      <c r="P5847">
        <v>2.76</v>
      </c>
      <c r="Q5847" s="2" t="b">
        <f>FALSE()</f>
        <v>0</v>
      </c>
      <c r="R5847">
        <v>0</v>
      </c>
    </row>
    <row r="5848" spans="1:18" x14ac:dyDescent="0.25">
      <c r="A5848">
        <v>205847</v>
      </c>
      <c r="B5848">
        <v>54269</v>
      </c>
      <c r="C5848" t="s">
        <v>18</v>
      </c>
      <c r="D5848">
        <v>2903.07</v>
      </c>
      <c r="E5848">
        <v>2826</v>
      </c>
      <c r="F5848">
        <v>2</v>
      </c>
      <c r="G5848">
        <v>5</v>
      </c>
      <c r="H5848">
        <v>0</v>
      </c>
      <c r="I5848" t="s">
        <v>19</v>
      </c>
      <c r="J5848">
        <v>0</v>
      </c>
      <c r="K5848">
        <v>50</v>
      </c>
      <c r="L5848" t="s">
        <v>20</v>
      </c>
      <c r="M5848" t="s">
        <v>31</v>
      </c>
      <c r="N5848" t="s">
        <v>26</v>
      </c>
      <c r="O5848" t="s">
        <v>36</v>
      </c>
      <c r="P5848">
        <v>15.53</v>
      </c>
      <c r="Q5848" s="2" t="b">
        <f>FALSE()</f>
        <v>0</v>
      </c>
      <c r="R5848">
        <v>0</v>
      </c>
    </row>
    <row r="5849" spans="1:18" x14ac:dyDescent="0.25">
      <c r="A5849">
        <v>205848</v>
      </c>
      <c r="B5849">
        <v>55310</v>
      </c>
      <c r="C5849" t="s">
        <v>18</v>
      </c>
      <c r="D5849">
        <v>5044.45</v>
      </c>
      <c r="E5849">
        <v>3542</v>
      </c>
      <c r="F5849">
        <v>2</v>
      </c>
      <c r="G5849">
        <v>2</v>
      </c>
      <c r="H5849">
        <v>1</v>
      </c>
      <c r="I5849" t="s">
        <v>33</v>
      </c>
      <c r="J5849">
        <v>0</v>
      </c>
      <c r="K5849">
        <v>54</v>
      </c>
      <c r="L5849" t="s">
        <v>24</v>
      </c>
      <c r="M5849" t="s">
        <v>31</v>
      </c>
      <c r="N5849" t="s">
        <v>30</v>
      </c>
      <c r="O5849" t="s">
        <v>23</v>
      </c>
      <c r="P5849">
        <v>7.41</v>
      </c>
      <c r="Q5849" s="2" t="b">
        <f>FALSE()</f>
        <v>0</v>
      </c>
      <c r="R5849">
        <v>1</v>
      </c>
    </row>
    <row r="5850" spans="1:18" x14ac:dyDescent="0.25">
      <c r="A5850">
        <v>205849</v>
      </c>
      <c r="B5850">
        <v>54845</v>
      </c>
      <c r="C5850" t="s">
        <v>34</v>
      </c>
      <c r="D5850">
        <v>3883.64</v>
      </c>
      <c r="E5850">
        <v>1780</v>
      </c>
      <c r="F5850">
        <v>0</v>
      </c>
      <c r="G5850">
        <v>3</v>
      </c>
      <c r="H5850">
        <v>1</v>
      </c>
      <c r="I5850" t="s">
        <v>33</v>
      </c>
      <c r="J5850">
        <v>0</v>
      </c>
      <c r="K5850">
        <v>32</v>
      </c>
      <c r="L5850" t="s">
        <v>20</v>
      </c>
      <c r="M5850" t="s">
        <v>37</v>
      </c>
      <c r="N5850" t="s">
        <v>30</v>
      </c>
      <c r="O5850" t="s">
        <v>36</v>
      </c>
      <c r="P5850">
        <v>2.02</v>
      </c>
      <c r="Q5850" s="2" t="b">
        <f>FALSE()</f>
        <v>0</v>
      </c>
      <c r="R5850">
        <v>1</v>
      </c>
    </row>
    <row r="5851" spans="1:18" x14ac:dyDescent="0.25">
      <c r="A5851">
        <v>205850</v>
      </c>
      <c r="B5851">
        <v>53406</v>
      </c>
      <c r="C5851" t="s">
        <v>34</v>
      </c>
      <c r="D5851">
        <v>2184.44</v>
      </c>
      <c r="E5851">
        <v>298</v>
      </c>
      <c r="F5851">
        <v>1</v>
      </c>
      <c r="G5851">
        <v>6</v>
      </c>
      <c r="H5851">
        <v>0</v>
      </c>
      <c r="I5851" t="s">
        <v>33</v>
      </c>
      <c r="J5851">
        <v>0</v>
      </c>
      <c r="K5851">
        <v>34</v>
      </c>
      <c r="L5851" t="s">
        <v>24</v>
      </c>
      <c r="M5851" t="s">
        <v>29</v>
      </c>
      <c r="N5851" t="s">
        <v>22</v>
      </c>
      <c r="O5851" t="s">
        <v>36</v>
      </c>
      <c r="P5851">
        <v>1.76</v>
      </c>
      <c r="Q5851" s="2" t="b">
        <f>FALSE()</f>
        <v>0</v>
      </c>
      <c r="R5851">
        <v>0</v>
      </c>
    </row>
    <row r="5852" spans="1:18" x14ac:dyDescent="0.25">
      <c r="A5852">
        <v>205851</v>
      </c>
      <c r="B5852">
        <v>54968</v>
      </c>
      <c r="C5852" t="s">
        <v>18</v>
      </c>
      <c r="D5852">
        <v>1785.39</v>
      </c>
      <c r="E5852">
        <v>954</v>
      </c>
      <c r="F5852">
        <v>2</v>
      </c>
      <c r="G5852">
        <v>5</v>
      </c>
      <c r="H5852">
        <v>0</v>
      </c>
      <c r="I5852" t="s">
        <v>32</v>
      </c>
      <c r="J5852">
        <v>0</v>
      </c>
      <c r="K5852">
        <v>25</v>
      </c>
      <c r="L5852" t="s">
        <v>24</v>
      </c>
      <c r="M5852" t="s">
        <v>25</v>
      </c>
      <c r="N5852" t="s">
        <v>26</v>
      </c>
      <c r="O5852" t="s">
        <v>23</v>
      </c>
      <c r="P5852">
        <v>0.77</v>
      </c>
      <c r="Q5852" s="2" t="b">
        <f>FALSE()</f>
        <v>0</v>
      </c>
      <c r="R5852">
        <v>0</v>
      </c>
    </row>
    <row r="5853" spans="1:18" x14ac:dyDescent="0.25">
      <c r="A5853">
        <v>205852</v>
      </c>
      <c r="B5853">
        <v>55324</v>
      </c>
      <c r="C5853" t="s">
        <v>28</v>
      </c>
      <c r="D5853">
        <v>5403.92</v>
      </c>
      <c r="E5853">
        <v>762</v>
      </c>
      <c r="F5853">
        <v>1</v>
      </c>
      <c r="G5853">
        <v>5</v>
      </c>
      <c r="H5853">
        <v>1</v>
      </c>
      <c r="I5853" t="s">
        <v>33</v>
      </c>
      <c r="J5853">
        <v>0</v>
      </c>
      <c r="K5853">
        <v>64</v>
      </c>
      <c r="L5853" t="s">
        <v>24</v>
      </c>
      <c r="M5853" t="s">
        <v>35</v>
      </c>
      <c r="N5853" t="s">
        <v>30</v>
      </c>
      <c r="O5853" t="s">
        <v>36</v>
      </c>
      <c r="P5853">
        <v>1.45</v>
      </c>
      <c r="Q5853" s="2" t="b">
        <f>FALSE()</f>
        <v>0</v>
      </c>
      <c r="R5853">
        <v>1</v>
      </c>
    </row>
    <row r="5854" spans="1:18" x14ac:dyDescent="0.25">
      <c r="A5854">
        <v>205853</v>
      </c>
      <c r="B5854">
        <v>55267</v>
      </c>
      <c r="C5854" t="s">
        <v>34</v>
      </c>
      <c r="D5854">
        <v>2503.7399999999998</v>
      </c>
      <c r="E5854">
        <v>3086</v>
      </c>
      <c r="F5854">
        <v>2</v>
      </c>
      <c r="G5854">
        <v>5</v>
      </c>
      <c r="H5854">
        <v>0</v>
      </c>
      <c r="I5854" t="s">
        <v>33</v>
      </c>
      <c r="J5854">
        <v>0</v>
      </c>
      <c r="K5854">
        <v>45</v>
      </c>
      <c r="L5854" t="s">
        <v>24</v>
      </c>
      <c r="M5854" t="s">
        <v>21</v>
      </c>
      <c r="N5854" t="s">
        <v>26</v>
      </c>
      <c r="O5854" t="s">
        <v>36</v>
      </c>
      <c r="P5854">
        <v>3.64</v>
      </c>
      <c r="Q5854" s="2" t="b">
        <f>FALSE()</f>
        <v>0</v>
      </c>
      <c r="R5854">
        <v>0</v>
      </c>
    </row>
    <row r="5855" spans="1:18" x14ac:dyDescent="0.25">
      <c r="A5855">
        <v>205854</v>
      </c>
      <c r="B5855">
        <v>53226</v>
      </c>
      <c r="C5855" t="s">
        <v>28</v>
      </c>
      <c r="D5855">
        <v>1938.22</v>
      </c>
      <c r="E5855">
        <v>3352</v>
      </c>
      <c r="F5855">
        <v>2</v>
      </c>
      <c r="G5855">
        <v>4</v>
      </c>
      <c r="H5855">
        <v>0</v>
      </c>
      <c r="I5855" t="s">
        <v>33</v>
      </c>
      <c r="J5855">
        <v>1</v>
      </c>
      <c r="K5855">
        <v>39</v>
      </c>
      <c r="L5855" t="s">
        <v>24</v>
      </c>
      <c r="M5855" t="s">
        <v>37</v>
      </c>
      <c r="N5855" t="s">
        <v>22</v>
      </c>
      <c r="O5855" t="s">
        <v>27</v>
      </c>
      <c r="P5855">
        <v>5.27</v>
      </c>
      <c r="Q5855" s="2" t="b">
        <f>FALSE()</f>
        <v>0</v>
      </c>
      <c r="R5855">
        <v>0</v>
      </c>
    </row>
    <row r="5856" spans="1:18" x14ac:dyDescent="0.25">
      <c r="A5856">
        <v>205855</v>
      </c>
      <c r="B5856">
        <v>50363</v>
      </c>
      <c r="C5856" t="s">
        <v>18</v>
      </c>
      <c r="D5856">
        <v>7392.76</v>
      </c>
      <c r="E5856">
        <v>2097</v>
      </c>
      <c r="F5856">
        <v>0</v>
      </c>
      <c r="G5856">
        <v>5</v>
      </c>
      <c r="H5856">
        <v>0</v>
      </c>
      <c r="I5856" t="s">
        <v>19</v>
      </c>
      <c r="J5856">
        <v>1</v>
      </c>
      <c r="K5856">
        <v>69</v>
      </c>
      <c r="L5856" t="s">
        <v>20</v>
      </c>
      <c r="M5856" t="s">
        <v>29</v>
      </c>
      <c r="N5856" t="s">
        <v>22</v>
      </c>
      <c r="O5856" t="s">
        <v>23</v>
      </c>
      <c r="P5856">
        <v>0.35</v>
      </c>
      <c r="Q5856" s="2" t="b">
        <f>TRUE()</f>
        <v>1</v>
      </c>
      <c r="R5856">
        <v>1</v>
      </c>
    </row>
    <row r="5857" spans="1:18" x14ac:dyDescent="0.25">
      <c r="A5857">
        <v>205856</v>
      </c>
      <c r="B5857">
        <v>54834</v>
      </c>
      <c r="C5857" t="s">
        <v>34</v>
      </c>
      <c r="D5857">
        <v>1318.2</v>
      </c>
      <c r="E5857">
        <v>3115</v>
      </c>
      <c r="F5857">
        <v>1</v>
      </c>
      <c r="G5857">
        <v>3</v>
      </c>
      <c r="H5857">
        <v>0</v>
      </c>
      <c r="I5857" t="s">
        <v>19</v>
      </c>
      <c r="J5857">
        <v>1</v>
      </c>
      <c r="K5857">
        <v>61</v>
      </c>
      <c r="L5857" t="s">
        <v>24</v>
      </c>
      <c r="M5857" t="s">
        <v>37</v>
      </c>
      <c r="N5857" t="s">
        <v>22</v>
      </c>
      <c r="O5857" t="s">
        <v>27</v>
      </c>
      <c r="P5857">
        <v>4.8099999999999996</v>
      </c>
      <c r="Q5857" s="2" t="b">
        <f>FALSE()</f>
        <v>0</v>
      </c>
      <c r="R5857">
        <v>0</v>
      </c>
    </row>
    <row r="5858" spans="1:18" x14ac:dyDescent="0.25">
      <c r="A5858">
        <v>205857</v>
      </c>
      <c r="B5858">
        <v>51321</v>
      </c>
      <c r="C5858" t="s">
        <v>34</v>
      </c>
      <c r="D5858">
        <v>3569.7</v>
      </c>
      <c r="E5858">
        <v>860</v>
      </c>
      <c r="F5858">
        <v>2</v>
      </c>
      <c r="G5858">
        <v>5</v>
      </c>
      <c r="H5858">
        <v>1</v>
      </c>
      <c r="I5858" t="s">
        <v>33</v>
      </c>
      <c r="J5858">
        <v>0</v>
      </c>
      <c r="K5858">
        <v>44</v>
      </c>
      <c r="L5858" t="s">
        <v>24</v>
      </c>
      <c r="M5858" t="s">
        <v>31</v>
      </c>
      <c r="N5858" t="s">
        <v>22</v>
      </c>
      <c r="O5858" t="s">
        <v>27</v>
      </c>
      <c r="P5858">
        <v>0.7</v>
      </c>
      <c r="Q5858" s="2" t="b">
        <f>FALSE()</f>
        <v>0</v>
      </c>
      <c r="R5858">
        <v>0</v>
      </c>
    </row>
    <row r="5859" spans="1:18" x14ac:dyDescent="0.25">
      <c r="A5859">
        <v>205858</v>
      </c>
      <c r="B5859">
        <v>52355</v>
      </c>
      <c r="C5859" t="s">
        <v>34</v>
      </c>
      <c r="D5859">
        <v>2479.87</v>
      </c>
      <c r="E5859">
        <v>1809</v>
      </c>
      <c r="F5859">
        <v>1</v>
      </c>
      <c r="G5859">
        <v>6</v>
      </c>
      <c r="H5859">
        <v>1</v>
      </c>
      <c r="I5859" t="s">
        <v>33</v>
      </c>
      <c r="J5859">
        <v>0</v>
      </c>
      <c r="K5859">
        <v>79</v>
      </c>
      <c r="L5859" t="s">
        <v>20</v>
      </c>
      <c r="M5859" t="s">
        <v>29</v>
      </c>
      <c r="N5859" t="s">
        <v>30</v>
      </c>
      <c r="O5859" t="s">
        <v>27</v>
      </c>
      <c r="P5859">
        <v>3.3</v>
      </c>
      <c r="Q5859" s="2" t="b">
        <f>FALSE()</f>
        <v>0</v>
      </c>
      <c r="R5859">
        <v>0</v>
      </c>
    </row>
    <row r="5860" spans="1:18" x14ac:dyDescent="0.25">
      <c r="A5860">
        <v>205859</v>
      </c>
      <c r="B5860">
        <v>54826</v>
      </c>
      <c r="C5860" t="s">
        <v>18</v>
      </c>
      <c r="D5860">
        <v>3864.66</v>
      </c>
      <c r="E5860">
        <v>3156</v>
      </c>
      <c r="F5860">
        <v>3</v>
      </c>
      <c r="G5860">
        <v>7</v>
      </c>
      <c r="H5860">
        <v>0</v>
      </c>
      <c r="I5860" t="s">
        <v>33</v>
      </c>
      <c r="J5860">
        <v>0</v>
      </c>
      <c r="K5860">
        <v>58</v>
      </c>
      <c r="L5860" t="s">
        <v>20</v>
      </c>
      <c r="M5860" t="s">
        <v>21</v>
      </c>
      <c r="N5860" t="s">
        <v>30</v>
      </c>
      <c r="O5860" t="s">
        <v>23</v>
      </c>
      <c r="P5860">
        <v>0.12</v>
      </c>
      <c r="Q5860" s="2" t="b">
        <f>FALSE()</f>
        <v>0</v>
      </c>
      <c r="R5860">
        <v>1</v>
      </c>
    </row>
    <row r="5861" spans="1:18" x14ac:dyDescent="0.25">
      <c r="A5861">
        <v>205860</v>
      </c>
      <c r="B5861">
        <v>52152</v>
      </c>
      <c r="C5861" t="s">
        <v>34</v>
      </c>
      <c r="D5861">
        <v>2443.56</v>
      </c>
      <c r="E5861">
        <v>59</v>
      </c>
      <c r="F5861">
        <v>0</v>
      </c>
      <c r="G5861">
        <v>3</v>
      </c>
      <c r="H5861">
        <v>1</v>
      </c>
      <c r="I5861" t="s">
        <v>33</v>
      </c>
      <c r="J5861">
        <v>0</v>
      </c>
      <c r="K5861">
        <v>84</v>
      </c>
      <c r="L5861" t="s">
        <v>20</v>
      </c>
      <c r="M5861" t="s">
        <v>21</v>
      </c>
      <c r="N5861" t="s">
        <v>22</v>
      </c>
      <c r="O5861" t="s">
        <v>27</v>
      </c>
      <c r="P5861">
        <v>2.39</v>
      </c>
      <c r="Q5861" s="2" t="b">
        <f>FALSE()</f>
        <v>0</v>
      </c>
      <c r="R5861">
        <v>0</v>
      </c>
    </row>
    <row r="5862" spans="1:18" x14ac:dyDescent="0.25">
      <c r="A5862">
        <v>205861</v>
      </c>
      <c r="B5862">
        <v>51828</v>
      </c>
      <c r="C5862" t="s">
        <v>18</v>
      </c>
      <c r="D5862">
        <v>3837.34</v>
      </c>
      <c r="E5862">
        <v>3588</v>
      </c>
      <c r="F5862">
        <v>1</v>
      </c>
      <c r="G5862">
        <v>2</v>
      </c>
      <c r="H5862">
        <v>1</v>
      </c>
      <c r="I5862" t="s">
        <v>33</v>
      </c>
      <c r="J5862">
        <v>1</v>
      </c>
      <c r="K5862">
        <v>40</v>
      </c>
      <c r="L5862" t="s">
        <v>24</v>
      </c>
      <c r="M5862" t="s">
        <v>31</v>
      </c>
      <c r="N5862" t="s">
        <v>26</v>
      </c>
      <c r="O5862" t="s">
        <v>36</v>
      </c>
      <c r="P5862">
        <v>2.9</v>
      </c>
      <c r="Q5862" s="2" t="b">
        <f>FALSE()</f>
        <v>0</v>
      </c>
      <c r="R5862">
        <v>1</v>
      </c>
    </row>
    <row r="5863" spans="1:18" x14ac:dyDescent="0.25">
      <c r="A5863">
        <v>205862</v>
      </c>
      <c r="B5863">
        <v>54300</v>
      </c>
      <c r="C5863" t="s">
        <v>28</v>
      </c>
      <c r="D5863">
        <v>4126.8999999999996</v>
      </c>
      <c r="E5863">
        <v>1555</v>
      </c>
      <c r="F5863">
        <v>1</v>
      </c>
      <c r="G5863">
        <v>1</v>
      </c>
      <c r="H5863">
        <v>1</v>
      </c>
      <c r="I5863" t="s">
        <v>19</v>
      </c>
      <c r="J5863">
        <v>1</v>
      </c>
      <c r="K5863">
        <v>69</v>
      </c>
      <c r="L5863" t="s">
        <v>24</v>
      </c>
      <c r="M5863" t="s">
        <v>31</v>
      </c>
      <c r="N5863" t="s">
        <v>22</v>
      </c>
      <c r="O5863" t="s">
        <v>36</v>
      </c>
      <c r="P5863">
        <v>4.8</v>
      </c>
      <c r="Q5863" s="2" t="b">
        <f>FALSE()</f>
        <v>0</v>
      </c>
      <c r="R5863">
        <v>1</v>
      </c>
    </row>
    <row r="5864" spans="1:18" x14ac:dyDescent="0.25">
      <c r="A5864">
        <v>205863</v>
      </c>
      <c r="B5864">
        <v>53632</v>
      </c>
      <c r="C5864" t="s">
        <v>28</v>
      </c>
      <c r="D5864">
        <v>2100.9499999999998</v>
      </c>
      <c r="E5864">
        <v>754</v>
      </c>
      <c r="F5864">
        <v>1</v>
      </c>
      <c r="G5864">
        <v>3</v>
      </c>
      <c r="H5864">
        <v>0</v>
      </c>
      <c r="I5864" t="s">
        <v>19</v>
      </c>
      <c r="J5864">
        <v>0</v>
      </c>
      <c r="K5864">
        <v>34</v>
      </c>
      <c r="L5864" t="s">
        <v>24</v>
      </c>
      <c r="M5864" t="s">
        <v>37</v>
      </c>
      <c r="N5864" t="s">
        <v>26</v>
      </c>
      <c r="O5864" t="s">
        <v>23</v>
      </c>
      <c r="P5864">
        <v>0.64</v>
      </c>
      <c r="Q5864" s="2" t="b">
        <f>FALSE()</f>
        <v>0</v>
      </c>
      <c r="R5864">
        <v>0</v>
      </c>
    </row>
    <row r="5865" spans="1:18" x14ac:dyDescent="0.25">
      <c r="A5865">
        <v>205864</v>
      </c>
      <c r="B5865">
        <v>55900</v>
      </c>
      <c r="C5865" t="s">
        <v>28</v>
      </c>
      <c r="D5865">
        <v>1508.24</v>
      </c>
      <c r="E5865">
        <v>2589</v>
      </c>
      <c r="F5865">
        <v>0</v>
      </c>
      <c r="G5865">
        <v>0</v>
      </c>
      <c r="H5865">
        <v>0</v>
      </c>
      <c r="I5865" t="s">
        <v>33</v>
      </c>
      <c r="J5865">
        <v>0</v>
      </c>
      <c r="K5865">
        <v>66</v>
      </c>
      <c r="L5865" t="s">
        <v>24</v>
      </c>
      <c r="M5865" t="s">
        <v>21</v>
      </c>
      <c r="N5865" t="s">
        <v>30</v>
      </c>
      <c r="O5865" t="s">
        <v>23</v>
      </c>
      <c r="P5865">
        <v>2.0699999999999998</v>
      </c>
      <c r="Q5865" s="2" t="b">
        <f>FALSE()</f>
        <v>0</v>
      </c>
      <c r="R5865">
        <v>0</v>
      </c>
    </row>
    <row r="5866" spans="1:18" x14ac:dyDescent="0.25">
      <c r="A5866">
        <v>205865</v>
      </c>
      <c r="B5866">
        <v>51511</v>
      </c>
      <c r="C5866" t="s">
        <v>18</v>
      </c>
      <c r="D5866">
        <v>952.4</v>
      </c>
      <c r="E5866">
        <v>969</v>
      </c>
      <c r="F5866">
        <v>2</v>
      </c>
      <c r="G5866">
        <v>5</v>
      </c>
      <c r="H5866">
        <v>0</v>
      </c>
      <c r="I5866" t="s">
        <v>33</v>
      </c>
      <c r="J5866">
        <v>0</v>
      </c>
      <c r="K5866">
        <v>32</v>
      </c>
      <c r="L5866" t="s">
        <v>20</v>
      </c>
      <c r="M5866" t="s">
        <v>35</v>
      </c>
      <c r="N5866" t="s">
        <v>26</v>
      </c>
      <c r="O5866" t="s">
        <v>27</v>
      </c>
      <c r="P5866">
        <v>3.46</v>
      </c>
      <c r="Q5866" s="2" t="b">
        <f>FALSE()</f>
        <v>0</v>
      </c>
      <c r="R5866">
        <v>0</v>
      </c>
    </row>
    <row r="5867" spans="1:18" x14ac:dyDescent="0.25">
      <c r="A5867">
        <v>205866</v>
      </c>
      <c r="B5867">
        <v>51220</v>
      </c>
      <c r="C5867" t="s">
        <v>18</v>
      </c>
      <c r="D5867">
        <v>2204.4</v>
      </c>
      <c r="E5867">
        <v>3118</v>
      </c>
      <c r="F5867">
        <v>0</v>
      </c>
      <c r="G5867">
        <v>2</v>
      </c>
      <c r="H5867">
        <v>0</v>
      </c>
      <c r="I5867" t="s">
        <v>33</v>
      </c>
      <c r="J5867">
        <v>0</v>
      </c>
      <c r="K5867">
        <v>52</v>
      </c>
      <c r="L5867" t="s">
        <v>20</v>
      </c>
      <c r="M5867" t="s">
        <v>31</v>
      </c>
      <c r="N5867" t="s">
        <v>22</v>
      </c>
      <c r="O5867" t="s">
        <v>27</v>
      </c>
      <c r="P5867">
        <v>12.05</v>
      </c>
      <c r="Q5867" s="2" t="b">
        <f>FALSE()</f>
        <v>0</v>
      </c>
      <c r="R5867">
        <v>0</v>
      </c>
    </row>
    <row r="5868" spans="1:18" x14ac:dyDescent="0.25">
      <c r="A5868">
        <v>205867</v>
      </c>
      <c r="B5868">
        <v>53373</v>
      </c>
      <c r="C5868" t="s">
        <v>34</v>
      </c>
      <c r="D5868">
        <v>1767.84</v>
      </c>
      <c r="E5868">
        <v>3566</v>
      </c>
      <c r="F5868">
        <v>0</v>
      </c>
      <c r="G5868">
        <v>2</v>
      </c>
      <c r="H5868">
        <v>0</v>
      </c>
      <c r="I5868" t="s">
        <v>33</v>
      </c>
      <c r="J5868">
        <v>0</v>
      </c>
      <c r="K5868">
        <v>83</v>
      </c>
      <c r="L5868" t="s">
        <v>24</v>
      </c>
      <c r="M5868" t="s">
        <v>21</v>
      </c>
      <c r="N5868" t="s">
        <v>26</v>
      </c>
      <c r="O5868" t="s">
        <v>36</v>
      </c>
      <c r="P5868">
        <v>1.22</v>
      </c>
      <c r="Q5868" s="2" t="b">
        <f>FALSE()</f>
        <v>0</v>
      </c>
      <c r="R5868">
        <v>0</v>
      </c>
    </row>
    <row r="5869" spans="1:18" x14ac:dyDescent="0.25">
      <c r="A5869">
        <v>205868</v>
      </c>
      <c r="B5869">
        <v>52904</v>
      </c>
      <c r="C5869" t="s">
        <v>34</v>
      </c>
      <c r="D5869">
        <v>12445.41</v>
      </c>
      <c r="E5869">
        <v>1304</v>
      </c>
      <c r="F5869">
        <v>1</v>
      </c>
      <c r="G5869">
        <v>5</v>
      </c>
      <c r="H5869">
        <v>1</v>
      </c>
      <c r="I5869" t="s">
        <v>19</v>
      </c>
      <c r="J5869">
        <v>0</v>
      </c>
      <c r="K5869">
        <v>45</v>
      </c>
      <c r="L5869" t="s">
        <v>20</v>
      </c>
      <c r="M5869" t="s">
        <v>31</v>
      </c>
      <c r="N5869" t="s">
        <v>30</v>
      </c>
      <c r="O5869" t="s">
        <v>27</v>
      </c>
      <c r="P5869">
        <v>2.44</v>
      </c>
      <c r="Q5869" s="2" t="b">
        <f>TRUE()</f>
        <v>1</v>
      </c>
      <c r="R5869">
        <v>1</v>
      </c>
    </row>
    <row r="5870" spans="1:18" x14ac:dyDescent="0.25">
      <c r="A5870">
        <v>205869</v>
      </c>
      <c r="B5870">
        <v>55953</v>
      </c>
      <c r="C5870" t="s">
        <v>18</v>
      </c>
      <c r="D5870">
        <v>1274.6600000000001</v>
      </c>
      <c r="E5870">
        <v>2869</v>
      </c>
      <c r="F5870">
        <v>4</v>
      </c>
      <c r="G5870">
        <v>8</v>
      </c>
      <c r="H5870">
        <v>1</v>
      </c>
      <c r="I5870" t="s">
        <v>19</v>
      </c>
      <c r="J5870">
        <v>0</v>
      </c>
      <c r="K5870">
        <v>51</v>
      </c>
      <c r="L5870" t="s">
        <v>24</v>
      </c>
      <c r="M5870" t="s">
        <v>37</v>
      </c>
      <c r="N5870" t="s">
        <v>22</v>
      </c>
      <c r="O5870" t="s">
        <v>27</v>
      </c>
      <c r="P5870">
        <v>10.11</v>
      </c>
      <c r="Q5870" s="2" t="b">
        <f>FALSE()</f>
        <v>0</v>
      </c>
      <c r="R5870">
        <v>1</v>
      </c>
    </row>
    <row r="5871" spans="1:18" x14ac:dyDescent="0.25">
      <c r="A5871">
        <v>205870</v>
      </c>
      <c r="B5871">
        <v>53597</v>
      </c>
      <c r="C5871" t="s">
        <v>34</v>
      </c>
      <c r="D5871">
        <v>435.07</v>
      </c>
      <c r="E5871">
        <v>3066</v>
      </c>
      <c r="F5871">
        <v>2</v>
      </c>
      <c r="G5871">
        <v>5</v>
      </c>
      <c r="H5871">
        <v>0</v>
      </c>
      <c r="I5871" t="s">
        <v>19</v>
      </c>
      <c r="J5871">
        <v>0</v>
      </c>
      <c r="K5871">
        <v>31</v>
      </c>
      <c r="L5871" t="s">
        <v>24</v>
      </c>
      <c r="M5871" t="s">
        <v>31</v>
      </c>
      <c r="N5871" t="s">
        <v>22</v>
      </c>
      <c r="O5871" t="s">
        <v>27</v>
      </c>
      <c r="P5871">
        <v>2.29</v>
      </c>
      <c r="Q5871" s="2" t="b">
        <f>FALSE()</f>
        <v>0</v>
      </c>
      <c r="R5871">
        <v>0</v>
      </c>
    </row>
    <row r="5872" spans="1:18" x14ac:dyDescent="0.25">
      <c r="A5872">
        <v>205871</v>
      </c>
      <c r="B5872">
        <v>55814</v>
      </c>
      <c r="C5872" t="s">
        <v>34</v>
      </c>
      <c r="D5872">
        <v>1763.69</v>
      </c>
      <c r="E5872">
        <v>1263</v>
      </c>
      <c r="F5872">
        <v>3</v>
      </c>
      <c r="G5872">
        <v>1</v>
      </c>
      <c r="H5872">
        <v>0</v>
      </c>
      <c r="I5872" t="s">
        <v>19</v>
      </c>
      <c r="J5872">
        <v>0</v>
      </c>
      <c r="K5872">
        <v>74</v>
      </c>
      <c r="L5872" t="s">
        <v>20</v>
      </c>
      <c r="M5872" t="s">
        <v>31</v>
      </c>
      <c r="N5872" t="s">
        <v>30</v>
      </c>
      <c r="O5872" t="s">
        <v>23</v>
      </c>
      <c r="P5872">
        <v>0.5</v>
      </c>
      <c r="Q5872" s="2" t="b">
        <f>FALSE()</f>
        <v>0</v>
      </c>
      <c r="R5872">
        <v>1</v>
      </c>
    </row>
    <row r="5873" spans="1:18" x14ac:dyDescent="0.25">
      <c r="A5873">
        <v>205872</v>
      </c>
      <c r="B5873">
        <v>55133</v>
      </c>
      <c r="C5873" t="s">
        <v>34</v>
      </c>
      <c r="D5873">
        <v>954.6</v>
      </c>
      <c r="E5873">
        <v>2339</v>
      </c>
      <c r="F5873">
        <v>1</v>
      </c>
      <c r="G5873">
        <v>3</v>
      </c>
      <c r="H5873">
        <v>0</v>
      </c>
      <c r="I5873" t="s">
        <v>33</v>
      </c>
      <c r="J5873">
        <v>0</v>
      </c>
      <c r="K5873">
        <v>56</v>
      </c>
      <c r="L5873" t="s">
        <v>24</v>
      </c>
      <c r="M5873" t="s">
        <v>25</v>
      </c>
      <c r="N5873" t="s">
        <v>22</v>
      </c>
      <c r="O5873" t="s">
        <v>27</v>
      </c>
      <c r="P5873">
        <v>0.31</v>
      </c>
      <c r="Q5873" s="2" t="b">
        <f>FALSE()</f>
        <v>0</v>
      </c>
      <c r="R5873">
        <v>0</v>
      </c>
    </row>
    <row r="5874" spans="1:18" x14ac:dyDescent="0.25">
      <c r="A5874">
        <v>205873</v>
      </c>
      <c r="B5874">
        <v>54139</v>
      </c>
      <c r="C5874" t="s">
        <v>28</v>
      </c>
      <c r="D5874">
        <v>1457.93</v>
      </c>
      <c r="E5874">
        <v>1843</v>
      </c>
      <c r="F5874">
        <v>1</v>
      </c>
      <c r="G5874">
        <v>5</v>
      </c>
      <c r="H5874">
        <v>0</v>
      </c>
      <c r="I5874" t="s">
        <v>33</v>
      </c>
      <c r="J5874">
        <v>0</v>
      </c>
      <c r="K5874">
        <v>77</v>
      </c>
      <c r="L5874" t="s">
        <v>24</v>
      </c>
      <c r="M5874" t="s">
        <v>25</v>
      </c>
      <c r="N5874" t="s">
        <v>22</v>
      </c>
      <c r="O5874" t="s">
        <v>27</v>
      </c>
      <c r="P5874">
        <v>2.48</v>
      </c>
      <c r="Q5874" s="2" t="b">
        <f>FALSE()</f>
        <v>0</v>
      </c>
      <c r="R5874">
        <v>0</v>
      </c>
    </row>
    <row r="5875" spans="1:18" x14ac:dyDescent="0.25">
      <c r="A5875">
        <v>205874</v>
      </c>
      <c r="B5875">
        <v>52191</v>
      </c>
      <c r="C5875" t="s">
        <v>28</v>
      </c>
      <c r="D5875">
        <v>2577</v>
      </c>
      <c r="E5875">
        <v>1073</v>
      </c>
      <c r="F5875">
        <v>1</v>
      </c>
      <c r="G5875">
        <v>3</v>
      </c>
      <c r="H5875">
        <v>0</v>
      </c>
      <c r="I5875" t="s">
        <v>33</v>
      </c>
      <c r="J5875">
        <v>1</v>
      </c>
      <c r="K5875">
        <v>50</v>
      </c>
      <c r="L5875" t="s">
        <v>24</v>
      </c>
      <c r="M5875" t="s">
        <v>25</v>
      </c>
      <c r="N5875" t="s">
        <v>22</v>
      </c>
      <c r="O5875" t="s">
        <v>36</v>
      </c>
      <c r="P5875">
        <v>1.1499999999999999</v>
      </c>
      <c r="Q5875" s="2" t="b">
        <f>FALSE()</f>
        <v>0</v>
      </c>
      <c r="R5875">
        <v>0</v>
      </c>
    </row>
    <row r="5876" spans="1:18" x14ac:dyDescent="0.25">
      <c r="A5876">
        <v>205875</v>
      </c>
      <c r="B5876">
        <v>54413</v>
      </c>
      <c r="C5876" t="s">
        <v>34</v>
      </c>
      <c r="D5876">
        <v>2309.86</v>
      </c>
      <c r="E5876">
        <v>566</v>
      </c>
      <c r="F5876">
        <v>1</v>
      </c>
      <c r="G5876">
        <v>4</v>
      </c>
      <c r="H5876">
        <v>0</v>
      </c>
      <c r="I5876" t="s">
        <v>33</v>
      </c>
      <c r="J5876">
        <v>0</v>
      </c>
      <c r="K5876">
        <v>24</v>
      </c>
      <c r="L5876" t="s">
        <v>38</v>
      </c>
      <c r="M5876" t="s">
        <v>29</v>
      </c>
      <c r="N5876" t="s">
        <v>22</v>
      </c>
      <c r="O5876" t="s">
        <v>27</v>
      </c>
      <c r="P5876">
        <v>1.85</v>
      </c>
      <c r="Q5876" s="2" t="b">
        <f>FALSE()</f>
        <v>0</v>
      </c>
      <c r="R5876">
        <v>0</v>
      </c>
    </row>
    <row r="5877" spans="1:18" x14ac:dyDescent="0.25">
      <c r="A5877">
        <v>205876</v>
      </c>
      <c r="B5877">
        <v>54542</v>
      </c>
      <c r="C5877" t="s">
        <v>18</v>
      </c>
      <c r="D5877">
        <v>4683.03</v>
      </c>
      <c r="E5877">
        <v>1393</v>
      </c>
      <c r="F5877">
        <v>0</v>
      </c>
      <c r="G5877">
        <v>4</v>
      </c>
      <c r="H5877">
        <v>0</v>
      </c>
      <c r="I5877" t="s">
        <v>19</v>
      </c>
      <c r="J5877">
        <v>0</v>
      </c>
      <c r="K5877">
        <v>76</v>
      </c>
      <c r="L5877" t="s">
        <v>20</v>
      </c>
      <c r="M5877" t="s">
        <v>29</v>
      </c>
      <c r="N5877" t="s">
        <v>26</v>
      </c>
      <c r="O5877" t="s">
        <v>23</v>
      </c>
      <c r="P5877">
        <v>0.49</v>
      </c>
      <c r="Q5877" s="2" t="b">
        <f>FALSE()</f>
        <v>0</v>
      </c>
      <c r="R5877">
        <v>1</v>
      </c>
    </row>
    <row r="5878" spans="1:18" x14ac:dyDescent="0.25">
      <c r="A5878">
        <v>205877</v>
      </c>
      <c r="B5878">
        <v>51660</v>
      </c>
      <c r="C5878" t="s">
        <v>18</v>
      </c>
      <c r="D5878">
        <v>1072.18</v>
      </c>
      <c r="E5878">
        <v>218</v>
      </c>
      <c r="F5878">
        <v>1</v>
      </c>
      <c r="G5878">
        <v>2</v>
      </c>
      <c r="H5878">
        <v>0</v>
      </c>
      <c r="I5878" t="s">
        <v>33</v>
      </c>
      <c r="J5878">
        <v>1</v>
      </c>
      <c r="K5878">
        <v>31</v>
      </c>
      <c r="L5878" t="s">
        <v>20</v>
      </c>
      <c r="M5878" t="s">
        <v>31</v>
      </c>
      <c r="N5878" t="s">
        <v>30</v>
      </c>
      <c r="O5878" t="s">
        <v>27</v>
      </c>
      <c r="P5878">
        <v>0.69</v>
      </c>
      <c r="Q5878" s="2" t="b">
        <f>FALSE()</f>
        <v>0</v>
      </c>
      <c r="R5878">
        <v>0</v>
      </c>
    </row>
    <row r="5879" spans="1:18" x14ac:dyDescent="0.25">
      <c r="A5879">
        <v>205878</v>
      </c>
      <c r="B5879">
        <v>54950</v>
      </c>
      <c r="C5879" t="s">
        <v>28</v>
      </c>
      <c r="D5879">
        <v>4875.41</v>
      </c>
      <c r="E5879">
        <v>1055</v>
      </c>
      <c r="F5879">
        <v>2</v>
      </c>
      <c r="G5879">
        <v>8</v>
      </c>
      <c r="H5879">
        <v>0</v>
      </c>
      <c r="I5879" t="s">
        <v>33</v>
      </c>
      <c r="J5879">
        <v>1</v>
      </c>
      <c r="K5879">
        <v>39</v>
      </c>
      <c r="L5879" t="s">
        <v>20</v>
      </c>
      <c r="M5879" t="s">
        <v>31</v>
      </c>
      <c r="N5879" t="s">
        <v>22</v>
      </c>
      <c r="O5879" t="s">
        <v>23</v>
      </c>
      <c r="P5879">
        <v>3.25</v>
      </c>
      <c r="Q5879" s="2" t="b">
        <f>FALSE()</f>
        <v>0</v>
      </c>
      <c r="R5879">
        <v>1</v>
      </c>
    </row>
    <row r="5880" spans="1:18" x14ac:dyDescent="0.25">
      <c r="A5880">
        <v>205879</v>
      </c>
      <c r="B5880">
        <v>52858</v>
      </c>
      <c r="C5880" t="s">
        <v>34</v>
      </c>
      <c r="D5880">
        <v>2767.95</v>
      </c>
      <c r="E5880">
        <v>3431</v>
      </c>
      <c r="F5880">
        <v>4</v>
      </c>
      <c r="G5880">
        <v>5</v>
      </c>
      <c r="H5880">
        <v>1</v>
      </c>
      <c r="I5880" t="s">
        <v>33</v>
      </c>
      <c r="J5880">
        <v>0</v>
      </c>
      <c r="K5880">
        <v>47</v>
      </c>
      <c r="L5880" t="s">
        <v>20</v>
      </c>
      <c r="M5880" t="s">
        <v>29</v>
      </c>
      <c r="N5880" t="s">
        <v>26</v>
      </c>
      <c r="O5880" t="s">
        <v>36</v>
      </c>
      <c r="P5880">
        <v>4.95</v>
      </c>
      <c r="Q5880" s="2" t="b">
        <f>FALSE()</f>
        <v>0</v>
      </c>
      <c r="R5880">
        <v>1</v>
      </c>
    </row>
    <row r="5881" spans="1:18" x14ac:dyDescent="0.25">
      <c r="A5881">
        <v>205880</v>
      </c>
      <c r="B5881">
        <v>55111</v>
      </c>
      <c r="C5881" t="s">
        <v>34</v>
      </c>
      <c r="D5881">
        <v>3572.48</v>
      </c>
      <c r="E5881">
        <v>2991</v>
      </c>
      <c r="F5881">
        <v>0</v>
      </c>
      <c r="G5881">
        <v>7</v>
      </c>
      <c r="H5881">
        <v>0</v>
      </c>
      <c r="I5881" t="s">
        <v>33</v>
      </c>
      <c r="J5881">
        <v>0</v>
      </c>
      <c r="K5881">
        <v>30</v>
      </c>
      <c r="L5881" t="s">
        <v>20</v>
      </c>
      <c r="M5881" t="s">
        <v>21</v>
      </c>
      <c r="N5881" t="s">
        <v>26</v>
      </c>
      <c r="O5881" t="s">
        <v>27</v>
      </c>
      <c r="P5881">
        <v>1.26</v>
      </c>
      <c r="Q5881" s="2" t="b">
        <f>FALSE()</f>
        <v>0</v>
      </c>
      <c r="R5881">
        <v>1</v>
      </c>
    </row>
    <row r="5882" spans="1:18" x14ac:dyDescent="0.25">
      <c r="A5882">
        <v>205881</v>
      </c>
      <c r="B5882">
        <v>53001</v>
      </c>
      <c r="C5882" t="s">
        <v>28</v>
      </c>
      <c r="D5882">
        <v>3183.61</v>
      </c>
      <c r="E5882">
        <v>3620</v>
      </c>
      <c r="F5882">
        <v>1</v>
      </c>
      <c r="G5882">
        <v>3</v>
      </c>
      <c r="H5882">
        <v>1</v>
      </c>
      <c r="I5882" t="s">
        <v>19</v>
      </c>
      <c r="J5882">
        <v>0</v>
      </c>
      <c r="K5882">
        <v>53</v>
      </c>
      <c r="L5882" t="s">
        <v>24</v>
      </c>
      <c r="M5882" t="s">
        <v>29</v>
      </c>
      <c r="N5882" t="s">
        <v>26</v>
      </c>
      <c r="O5882" t="s">
        <v>23</v>
      </c>
      <c r="P5882">
        <v>1.93</v>
      </c>
      <c r="Q5882" s="2" t="b">
        <f>FALSE()</f>
        <v>0</v>
      </c>
      <c r="R5882">
        <v>0</v>
      </c>
    </row>
    <row r="5883" spans="1:18" x14ac:dyDescent="0.25">
      <c r="A5883">
        <v>205882</v>
      </c>
      <c r="B5883">
        <v>53897</v>
      </c>
      <c r="C5883" t="s">
        <v>18</v>
      </c>
      <c r="D5883">
        <v>1929.36</v>
      </c>
      <c r="E5883">
        <v>2549</v>
      </c>
      <c r="F5883">
        <v>0</v>
      </c>
      <c r="G5883">
        <v>6</v>
      </c>
      <c r="H5883">
        <v>1</v>
      </c>
      <c r="I5883" t="s">
        <v>33</v>
      </c>
      <c r="J5883">
        <v>0</v>
      </c>
      <c r="K5883">
        <v>25</v>
      </c>
      <c r="L5883" t="s">
        <v>20</v>
      </c>
      <c r="M5883" t="s">
        <v>21</v>
      </c>
      <c r="N5883" t="s">
        <v>22</v>
      </c>
      <c r="O5883" t="s">
        <v>27</v>
      </c>
      <c r="P5883">
        <v>0.71</v>
      </c>
      <c r="Q5883" s="2" t="b">
        <f>FALSE()</f>
        <v>0</v>
      </c>
      <c r="R5883">
        <v>0</v>
      </c>
    </row>
    <row r="5884" spans="1:18" x14ac:dyDescent="0.25">
      <c r="A5884">
        <v>205883</v>
      </c>
      <c r="B5884">
        <v>53317</v>
      </c>
      <c r="C5884" t="s">
        <v>34</v>
      </c>
      <c r="D5884">
        <v>3647.34</v>
      </c>
      <c r="E5884">
        <v>764</v>
      </c>
      <c r="F5884">
        <v>0</v>
      </c>
      <c r="G5884">
        <v>2</v>
      </c>
      <c r="H5884">
        <v>1</v>
      </c>
      <c r="I5884" t="s">
        <v>19</v>
      </c>
      <c r="J5884">
        <v>0</v>
      </c>
      <c r="K5884">
        <v>72</v>
      </c>
      <c r="L5884" t="s">
        <v>24</v>
      </c>
      <c r="M5884" t="s">
        <v>29</v>
      </c>
      <c r="N5884" t="s">
        <v>22</v>
      </c>
      <c r="O5884" t="s">
        <v>36</v>
      </c>
      <c r="P5884">
        <v>1.62</v>
      </c>
      <c r="Q5884" s="2" t="b">
        <f>FALSE()</f>
        <v>0</v>
      </c>
      <c r="R5884">
        <v>1</v>
      </c>
    </row>
    <row r="5885" spans="1:18" x14ac:dyDescent="0.25">
      <c r="A5885">
        <v>205884</v>
      </c>
      <c r="B5885">
        <v>51895</v>
      </c>
      <c r="C5885" t="s">
        <v>34</v>
      </c>
      <c r="D5885">
        <v>5438.7</v>
      </c>
      <c r="E5885">
        <v>208</v>
      </c>
      <c r="F5885">
        <v>0</v>
      </c>
      <c r="G5885">
        <v>5</v>
      </c>
      <c r="H5885">
        <v>0</v>
      </c>
      <c r="I5885" t="s">
        <v>33</v>
      </c>
      <c r="J5885">
        <v>0</v>
      </c>
      <c r="K5885">
        <v>56</v>
      </c>
      <c r="L5885" t="s">
        <v>38</v>
      </c>
      <c r="M5885" t="s">
        <v>37</v>
      </c>
      <c r="N5885" t="s">
        <v>30</v>
      </c>
      <c r="O5885" t="s">
        <v>23</v>
      </c>
      <c r="P5885">
        <v>4.4400000000000004</v>
      </c>
      <c r="Q5885" s="2" t="b">
        <f>FALSE()</f>
        <v>0</v>
      </c>
      <c r="R5885">
        <v>1</v>
      </c>
    </row>
    <row r="5886" spans="1:18" x14ac:dyDescent="0.25">
      <c r="A5886">
        <v>205885</v>
      </c>
      <c r="B5886">
        <v>55397</v>
      </c>
      <c r="C5886" t="s">
        <v>18</v>
      </c>
      <c r="D5886">
        <v>2075.84</v>
      </c>
      <c r="E5886">
        <v>2218</v>
      </c>
      <c r="F5886">
        <v>1</v>
      </c>
      <c r="G5886">
        <v>5</v>
      </c>
      <c r="H5886">
        <v>0</v>
      </c>
      <c r="I5886" t="s">
        <v>19</v>
      </c>
      <c r="J5886">
        <v>0</v>
      </c>
      <c r="K5886">
        <v>72</v>
      </c>
      <c r="L5886" t="s">
        <v>20</v>
      </c>
      <c r="M5886" t="s">
        <v>37</v>
      </c>
      <c r="N5886" t="s">
        <v>22</v>
      </c>
      <c r="O5886" t="s">
        <v>27</v>
      </c>
      <c r="P5886">
        <v>7.96</v>
      </c>
      <c r="Q5886" s="2" t="b">
        <f>FALSE()</f>
        <v>0</v>
      </c>
      <c r="R5886">
        <v>0</v>
      </c>
    </row>
    <row r="5887" spans="1:18" x14ac:dyDescent="0.25">
      <c r="A5887">
        <v>205886</v>
      </c>
      <c r="B5887">
        <v>53093</v>
      </c>
      <c r="C5887" t="s">
        <v>34</v>
      </c>
      <c r="D5887">
        <v>3621.51</v>
      </c>
      <c r="E5887">
        <v>2064</v>
      </c>
      <c r="F5887">
        <v>1</v>
      </c>
      <c r="G5887">
        <v>8</v>
      </c>
      <c r="H5887">
        <v>0</v>
      </c>
      <c r="I5887" t="s">
        <v>33</v>
      </c>
      <c r="J5887">
        <v>0</v>
      </c>
      <c r="K5887">
        <v>23</v>
      </c>
      <c r="L5887" t="s">
        <v>24</v>
      </c>
      <c r="M5887" t="s">
        <v>21</v>
      </c>
      <c r="N5887" t="s">
        <v>26</v>
      </c>
      <c r="O5887" t="s">
        <v>27</v>
      </c>
      <c r="P5887">
        <v>3.86</v>
      </c>
      <c r="Q5887" s="2" t="b">
        <f>FALSE()</f>
        <v>0</v>
      </c>
      <c r="R5887">
        <v>1</v>
      </c>
    </row>
    <row r="5888" spans="1:18" x14ac:dyDescent="0.25">
      <c r="A5888">
        <v>205887</v>
      </c>
      <c r="B5888">
        <v>55753</v>
      </c>
      <c r="C5888" t="s">
        <v>18</v>
      </c>
      <c r="D5888">
        <v>2120.8200000000002</v>
      </c>
      <c r="E5888">
        <v>3135</v>
      </c>
      <c r="F5888">
        <v>1</v>
      </c>
      <c r="G5888">
        <v>5</v>
      </c>
      <c r="H5888">
        <v>0</v>
      </c>
      <c r="I5888" t="s">
        <v>32</v>
      </c>
      <c r="J5888">
        <v>0</v>
      </c>
      <c r="K5888">
        <v>61</v>
      </c>
      <c r="L5888" t="s">
        <v>24</v>
      </c>
      <c r="M5888" t="s">
        <v>21</v>
      </c>
      <c r="N5888" t="s">
        <v>22</v>
      </c>
      <c r="O5888" t="s">
        <v>27</v>
      </c>
      <c r="P5888">
        <v>3.19</v>
      </c>
      <c r="Q5888" s="2" t="b">
        <f>FALSE()</f>
        <v>0</v>
      </c>
      <c r="R5888">
        <v>0</v>
      </c>
    </row>
    <row r="5889" spans="1:18" x14ac:dyDescent="0.25">
      <c r="A5889">
        <v>205888</v>
      </c>
      <c r="B5889">
        <v>53106</v>
      </c>
      <c r="C5889" t="s">
        <v>34</v>
      </c>
      <c r="D5889">
        <v>5169.8599999999997</v>
      </c>
      <c r="E5889">
        <v>1646</v>
      </c>
      <c r="F5889">
        <v>0</v>
      </c>
      <c r="G5889">
        <v>3</v>
      </c>
      <c r="H5889">
        <v>0</v>
      </c>
      <c r="I5889" t="s">
        <v>33</v>
      </c>
      <c r="J5889">
        <v>0</v>
      </c>
      <c r="K5889">
        <v>76</v>
      </c>
      <c r="L5889" t="s">
        <v>20</v>
      </c>
      <c r="M5889" t="s">
        <v>37</v>
      </c>
      <c r="N5889" t="s">
        <v>22</v>
      </c>
      <c r="O5889" t="s">
        <v>23</v>
      </c>
      <c r="P5889">
        <v>3.83</v>
      </c>
      <c r="Q5889" s="2" t="b">
        <f>FALSE()</f>
        <v>0</v>
      </c>
      <c r="R5889">
        <v>1</v>
      </c>
    </row>
    <row r="5890" spans="1:18" x14ac:dyDescent="0.25">
      <c r="A5890">
        <v>205889</v>
      </c>
      <c r="B5890">
        <v>50665</v>
      </c>
      <c r="C5890" t="s">
        <v>18</v>
      </c>
      <c r="D5890">
        <v>4316.92</v>
      </c>
      <c r="E5890">
        <v>2869</v>
      </c>
      <c r="F5890">
        <v>0</v>
      </c>
      <c r="G5890">
        <v>2</v>
      </c>
      <c r="H5890">
        <v>1</v>
      </c>
      <c r="I5890" t="s">
        <v>19</v>
      </c>
      <c r="J5890">
        <v>1</v>
      </c>
      <c r="K5890">
        <v>76</v>
      </c>
      <c r="L5890" t="s">
        <v>24</v>
      </c>
      <c r="M5890" t="s">
        <v>37</v>
      </c>
      <c r="N5890" t="s">
        <v>22</v>
      </c>
      <c r="O5890" t="s">
        <v>27</v>
      </c>
      <c r="P5890">
        <v>3.84</v>
      </c>
      <c r="Q5890" s="2" t="b">
        <f>FALSE()</f>
        <v>0</v>
      </c>
      <c r="R5890">
        <v>1</v>
      </c>
    </row>
    <row r="5891" spans="1:18" x14ac:dyDescent="0.25">
      <c r="A5891">
        <v>205890</v>
      </c>
      <c r="B5891">
        <v>51280</v>
      </c>
      <c r="C5891" t="s">
        <v>18</v>
      </c>
      <c r="D5891">
        <v>1582.4</v>
      </c>
      <c r="E5891">
        <v>3313</v>
      </c>
      <c r="F5891">
        <v>2</v>
      </c>
      <c r="G5891">
        <v>5</v>
      </c>
      <c r="H5891">
        <v>0</v>
      </c>
      <c r="I5891" t="s">
        <v>19</v>
      </c>
      <c r="J5891">
        <v>0</v>
      </c>
      <c r="K5891">
        <v>65</v>
      </c>
      <c r="L5891" t="s">
        <v>24</v>
      </c>
      <c r="M5891" t="s">
        <v>37</v>
      </c>
      <c r="N5891" t="s">
        <v>22</v>
      </c>
      <c r="O5891" t="s">
        <v>27</v>
      </c>
      <c r="P5891">
        <v>1.63</v>
      </c>
      <c r="Q5891" s="2" t="b">
        <f>FALSE()</f>
        <v>0</v>
      </c>
      <c r="R5891">
        <v>0</v>
      </c>
    </row>
    <row r="5892" spans="1:18" x14ac:dyDescent="0.25">
      <c r="A5892">
        <v>205891</v>
      </c>
      <c r="B5892">
        <v>51533</v>
      </c>
      <c r="C5892" t="s">
        <v>18</v>
      </c>
      <c r="D5892">
        <v>3611.58</v>
      </c>
      <c r="E5892">
        <v>3587</v>
      </c>
      <c r="F5892">
        <v>0</v>
      </c>
      <c r="G5892">
        <v>5</v>
      </c>
      <c r="H5892">
        <v>1</v>
      </c>
      <c r="I5892" t="s">
        <v>19</v>
      </c>
      <c r="J5892">
        <v>0</v>
      </c>
      <c r="K5892">
        <v>43</v>
      </c>
      <c r="L5892" t="s">
        <v>20</v>
      </c>
      <c r="M5892" t="s">
        <v>25</v>
      </c>
      <c r="N5892" t="s">
        <v>22</v>
      </c>
      <c r="O5892" t="s">
        <v>36</v>
      </c>
      <c r="P5892">
        <v>1.3</v>
      </c>
      <c r="Q5892" s="2" t="b">
        <f>FALSE()</f>
        <v>0</v>
      </c>
      <c r="R5892">
        <v>1</v>
      </c>
    </row>
    <row r="5893" spans="1:18" x14ac:dyDescent="0.25">
      <c r="A5893">
        <v>205892</v>
      </c>
      <c r="B5893">
        <v>51654</v>
      </c>
      <c r="C5893" t="s">
        <v>18</v>
      </c>
      <c r="D5893">
        <v>1509.32</v>
      </c>
      <c r="E5893">
        <v>314</v>
      </c>
      <c r="F5893">
        <v>1</v>
      </c>
      <c r="G5893">
        <v>5</v>
      </c>
      <c r="H5893">
        <v>0</v>
      </c>
      <c r="I5893" t="s">
        <v>19</v>
      </c>
      <c r="J5893">
        <v>0</v>
      </c>
      <c r="K5893">
        <v>44</v>
      </c>
      <c r="L5893" t="s">
        <v>24</v>
      </c>
      <c r="M5893" t="s">
        <v>37</v>
      </c>
      <c r="N5893" t="s">
        <v>22</v>
      </c>
      <c r="O5893" t="s">
        <v>27</v>
      </c>
      <c r="P5893">
        <v>1.05</v>
      </c>
      <c r="Q5893" s="2" t="b">
        <f>FALSE()</f>
        <v>0</v>
      </c>
      <c r="R5893">
        <v>0</v>
      </c>
    </row>
    <row r="5894" spans="1:18" x14ac:dyDescent="0.25">
      <c r="A5894">
        <v>205893</v>
      </c>
      <c r="B5894">
        <v>55002</v>
      </c>
      <c r="C5894" t="s">
        <v>28</v>
      </c>
      <c r="D5894">
        <v>1223.51</v>
      </c>
      <c r="E5894">
        <v>2177</v>
      </c>
      <c r="F5894">
        <v>2</v>
      </c>
      <c r="G5894">
        <v>3</v>
      </c>
      <c r="H5894">
        <v>1</v>
      </c>
      <c r="I5894" t="s">
        <v>19</v>
      </c>
      <c r="J5894">
        <v>0</v>
      </c>
      <c r="K5894">
        <v>45</v>
      </c>
      <c r="L5894" t="s">
        <v>20</v>
      </c>
      <c r="M5894" t="s">
        <v>31</v>
      </c>
      <c r="N5894" t="s">
        <v>26</v>
      </c>
      <c r="O5894" t="s">
        <v>36</v>
      </c>
      <c r="P5894">
        <v>4.82</v>
      </c>
      <c r="Q5894" s="2" t="b">
        <f>FALSE()</f>
        <v>0</v>
      </c>
      <c r="R5894">
        <v>0</v>
      </c>
    </row>
    <row r="5895" spans="1:18" x14ac:dyDescent="0.25">
      <c r="A5895">
        <v>205894</v>
      </c>
      <c r="B5895">
        <v>52924</v>
      </c>
      <c r="C5895" t="s">
        <v>18</v>
      </c>
      <c r="D5895">
        <v>874.66</v>
      </c>
      <c r="E5895">
        <v>3509</v>
      </c>
      <c r="F5895">
        <v>2</v>
      </c>
      <c r="G5895">
        <v>8</v>
      </c>
      <c r="H5895">
        <v>0</v>
      </c>
      <c r="I5895" t="s">
        <v>33</v>
      </c>
      <c r="J5895">
        <v>0</v>
      </c>
      <c r="K5895">
        <v>39</v>
      </c>
      <c r="L5895" t="s">
        <v>20</v>
      </c>
      <c r="M5895" t="s">
        <v>21</v>
      </c>
      <c r="N5895" t="s">
        <v>26</v>
      </c>
      <c r="O5895" t="s">
        <v>27</v>
      </c>
      <c r="P5895">
        <v>4.3099999999999996</v>
      </c>
      <c r="Q5895" s="2" t="b">
        <f>FALSE()</f>
        <v>0</v>
      </c>
      <c r="R5895">
        <v>1</v>
      </c>
    </row>
    <row r="5896" spans="1:18" x14ac:dyDescent="0.25">
      <c r="A5896">
        <v>205895</v>
      </c>
      <c r="B5896">
        <v>52659</v>
      </c>
      <c r="C5896" t="s">
        <v>18</v>
      </c>
      <c r="D5896">
        <v>994.78</v>
      </c>
      <c r="E5896">
        <v>2231</v>
      </c>
      <c r="F5896">
        <v>1</v>
      </c>
      <c r="G5896">
        <v>4</v>
      </c>
      <c r="H5896">
        <v>0</v>
      </c>
      <c r="I5896" t="s">
        <v>32</v>
      </c>
      <c r="J5896">
        <v>0</v>
      </c>
      <c r="K5896">
        <v>46</v>
      </c>
      <c r="L5896" t="s">
        <v>24</v>
      </c>
      <c r="M5896" t="s">
        <v>31</v>
      </c>
      <c r="N5896" t="s">
        <v>26</v>
      </c>
      <c r="O5896" t="s">
        <v>36</v>
      </c>
      <c r="P5896">
        <v>0.04</v>
      </c>
      <c r="Q5896" s="2" t="b">
        <f>FALSE()</f>
        <v>0</v>
      </c>
      <c r="R5896">
        <v>0</v>
      </c>
    </row>
    <row r="5897" spans="1:18" x14ac:dyDescent="0.25">
      <c r="A5897">
        <v>205896</v>
      </c>
      <c r="B5897">
        <v>54558</v>
      </c>
      <c r="C5897" t="s">
        <v>28</v>
      </c>
      <c r="D5897">
        <v>2481.6</v>
      </c>
      <c r="E5897">
        <v>801</v>
      </c>
      <c r="F5897">
        <v>1</v>
      </c>
      <c r="G5897">
        <v>1</v>
      </c>
      <c r="H5897">
        <v>0</v>
      </c>
      <c r="I5897" t="s">
        <v>33</v>
      </c>
      <c r="J5897">
        <v>0</v>
      </c>
      <c r="K5897">
        <v>80</v>
      </c>
      <c r="L5897" t="s">
        <v>24</v>
      </c>
      <c r="M5897" t="s">
        <v>31</v>
      </c>
      <c r="N5897" t="s">
        <v>26</v>
      </c>
      <c r="O5897" t="s">
        <v>27</v>
      </c>
      <c r="P5897">
        <v>0.45</v>
      </c>
      <c r="Q5897" s="2" t="b">
        <f>FALSE()</f>
        <v>0</v>
      </c>
      <c r="R5897">
        <v>0</v>
      </c>
    </row>
    <row r="5898" spans="1:18" x14ac:dyDescent="0.25">
      <c r="A5898">
        <v>205897</v>
      </c>
      <c r="B5898">
        <v>55572</v>
      </c>
      <c r="C5898" t="s">
        <v>28</v>
      </c>
      <c r="D5898">
        <v>4891.97</v>
      </c>
      <c r="E5898">
        <v>2054</v>
      </c>
      <c r="F5898">
        <v>0</v>
      </c>
      <c r="G5898">
        <v>2</v>
      </c>
      <c r="H5898">
        <v>0</v>
      </c>
      <c r="I5898" t="s">
        <v>19</v>
      </c>
      <c r="J5898">
        <v>0</v>
      </c>
      <c r="K5898">
        <v>29</v>
      </c>
      <c r="L5898" t="s">
        <v>20</v>
      </c>
      <c r="M5898" t="s">
        <v>37</v>
      </c>
      <c r="N5898" t="s">
        <v>22</v>
      </c>
      <c r="O5898" t="s">
        <v>23</v>
      </c>
      <c r="P5898">
        <v>1.86</v>
      </c>
      <c r="Q5898" s="2" t="b">
        <f>FALSE()</f>
        <v>0</v>
      </c>
      <c r="R5898">
        <v>1</v>
      </c>
    </row>
    <row r="5899" spans="1:18" x14ac:dyDescent="0.25">
      <c r="A5899">
        <v>205898</v>
      </c>
      <c r="B5899">
        <v>50730</v>
      </c>
      <c r="C5899" t="s">
        <v>18</v>
      </c>
      <c r="D5899">
        <v>1430.82</v>
      </c>
      <c r="E5899">
        <v>3311</v>
      </c>
      <c r="F5899">
        <v>2</v>
      </c>
      <c r="G5899">
        <v>5</v>
      </c>
      <c r="H5899">
        <v>1</v>
      </c>
      <c r="I5899" t="s">
        <v>19</v>
      </c>
      <c r="J5899">
        <v>0</v>
      </c>
      <c r="K5899">
        <v>26</v>
      </c>
      <c r="L5899" t="s">
        <v>20</v>
      </c>
      <c r="M5899" t="s">
        <v>25</v>
      </c>
      <c r="N5899" t="s">
        <v>22</v>
      </c>
      <c r="O5899" t="s">
        <v>36</v>
      </c>
      <c r="P5899">
        <v>0.45</v>
      </c>
      <c r="Q5899" s="2" t="b">
        <f>FALSE()</f>
        <v>0</v>
      </c>
      <c r="R5899">
        <v>0</v>
      </c>
    </row>
    <row r="5900" spans="1:18" x14ac:dyDescent="0.25">
      <c r="A5900">
        <v>205899</v>
      </c>
      <c r="B5900">
        <v>51936</v>
      </c>
      <c r="C5900" t="s">
        <v>18</v>
      </c>
      <c r="D5900">
        <v>6392.17</v>
      </c>
      <c r="E5900">
        <v>726</v>
      </c>
      <c r="F5900">
        <v>0</v>
      </c>
      <c r="G5900">
        <v>4</v>
      </c>
      <c r="H5900">
        <v>0</v>
      </c>
      <c r="I5900" t="s">
        <v>33</v>
      </c>
      <c r="J5900">
        <v>0</v>
      </c>
      <c r="K5900">
        <v>69</v>
      </c>
      <c r="L5900" t="s">
        <v>20</v>
      </c>
      <c r="M5900" t="s">
        <v>21</v>
      </c>
      <c r="N5900" t="s">
        <v>22</v>
      </c>
      <c r="O5900" t="s">
        <v>27</v>
      </c>
      <c r="P5900">
        <v>5.32</v>
      </c>
      <c r="Q5900" s="2" t="b">
        <f>FALSE()</f>
        <v>0</v>
      </c>
      <c r="R5900">
        <v>1</v>
      </c>
    </row>
    <row r="5901" spans="1:18" x14ac:dyDescent="0.25">
      <c r="A5901">
        <v>205900</v>
      </c>
      <c r="B5901">
        <v>50001</v>
      </c>
      <c r="C5901" t="s">
        <v>34</v>
      </c>
      <c r="D5901">
        <v>1181.83</v>
      </c>
      <c r="E5901">
        <v>3445</v>
      </c>
      <c r="F5901">
        <v>0</v>
      </c>
      <c r="G5901">
        <v>3</v>
      </c>
      <c r="H5901">
        <v>0</v>
      </c>
      <c r="I5901" t="s">
        <v>33</v>
      </c>
      <c r="J5901">
        <v>1</v>
      </c>
      <c r="K5901">
        <v>79</v>
      </c>
      <c r="L5901" t="s">
        <v>24</v>
      </c>
      <c r="M5901" t="s">
        <v>31</v>
      </c>
      <c r="N5901" t="s">
        <v>30</v>
      </c>
      <c r="O5901" t="s">
        <v>36</v>
      </c>
      <c r="P5901">
        <v>0.48</v>
      </c>
      <c r="Q5901" s="2" t="b">
        <f>FALSE()</f>
        <v>0</v>
      </c>
      <c r="R5901">
        <v>0</v>
      </c>
    </row>
    <row r="5902" spans="1:18" x14ac:dyDescent="0.25">
      <c r="A5902">
        <v>205901</v>
      </c>
      <c r="B5902">
        <v>50181</v>
      </c>
      <c r="C5902" t="s">
        <v>18</v>
      </c>
      <c r="D5902">
        <v>4406.71</v>
      </c>
      <c r="E5902">
        <v>2428</v>
      </c>
      <c r="F5902">
        <v>0</v>
      </c>
      <c r="G5902">
        <v>4</v>
      </c>
      <c r="H5902">
        <v>1</v>
      </c>
      <c r="I5902" t="s">
        <v>33</v>
      </c>
      <c r="J5902">
        <v>1</v>
      </c>
      <c r="K5902">
        <v>52</v>
      </c>
      <c r="L5902" t="s">
        <v>24</v>
      </c>
      <c r="M5902" t="s">
        <v>35</v>
      </c>
      <c r="N5902" t="s">
        <v>22</v>
      </c>
      <c r="O5902" t="s">
        <v>23</v>
      </c>
      <c r="P5902">
        <v>6.77</v>
      </c>
      <c r="Q5902" s="2" t="b">
        <f>FALSE()</f>
        <v>0</v>
      </c>
      <c r="R5902">
        <v>1</v>
      </c>
    </row>
    <row r="5903" spans="1:18" x14ac:dyDescent="0.25">
      <c r="A5903">
        <v>205902</v>
      </c>
      <c r="B5903">
        <v>52865</v>
      </c>
      <c r="C5903" t="s">
        <v>18</v>
      </c>
      <c r="D5903">
        <v>2927.16</v>
      </c>
      <c r="E5903">
        <v>3219</v>
      </c>
      <c r="F5903">
        <v>2</v>
      </c>
      <c r="G5903">
        <v>4</v>
      </c>
      <c r="H5903">
        <v>1</v>
      </c>
      <c r="I5903" t="s">
        <v>32</v>
      </c>
      <c r="J5903">
        <v>0</v>
      </c>
      <c r="K5903">
        <v>60</v>
      </c>
      <c r="L5903" t="s">
        <v>24</v>
      </c>
      <c r="M5903" t="s">
        <v>35</v>
      </c>
      <c r="N5903" t="s">
        <v>22</v>
      </c>
      <c r="O5903" t="s">
        <v>27</v>
      </c>
      <c r="P5903">
        <v>1.1200000000000001</v>
      </c>
      <c r="Q5903" s="2" t="b">
        <f>FALSE()</f>
        <v>0</v>
      </c>
      <c r="R5903">
        <v>0</v>
      </c>
    </row>
    <row r="5904" spans="1:18" x14ac:dyDescent="0.25">
      <c r="A5904">
        <v>205903</v>
      </c>
      <c r="B5904">
        <v>50049</v>
      </c>
      <c r="C5904" t="s">
        <v>18</v>
      </c>
      <c r="D5904">
        <v>3639.82</v>
      </c>
      <c r="E5904">
        <v>3334</v>
      </c>
      <c r="F5904">
        <v>4</v>
      </c>
      <c r="G5904">
        <v>5</v>
      </c>
      <c r="H5904">
        <v>1</v>
      </c>
      <c r="I5904" t="s">
        <v>19</v>
      </c>
      <c r="J5904">
        <v>1</v>
      </c>
      <c r="K5904">
        <v>83</v>
      </c>
      <c r="L5904" t="s">
        <v>24</v>
      </c>
      <c r="M5904" t="s">
        <v>25</v>
      </c>
      <c r="N5904" t="s">
        <v>22</v>
      </c>
      <c r="O5904" t="s">
        <v>36</v>
      </c>
      <c r="P5904">
        <v>1.25</v>
      </c>
      <c r="Q5904" s="2" t="b">
        <f>FALSE()</f>
        <v>0</v>
      </c>
      <c r="R5904">
        <v>1</v>
      </c>
    </row>
    <row r="5905" spans="1:18" x14ac:dyDescent="0.25">
      <c r="A5905">
        <v>205904</v>
      </c>
      <c r="B5905">
        <v>50836</v>
      </c>
      <c r="C5905" t="s">
        <v>18</v>
      </c>
      <c r="D5905">
        <v>931.56</v>
      </c>
      <c r="E5905">
        <v>1571</v>
      </c>
      <c r="F5905">
        <v>1</v>
      </c>
      <c r="G5905">
        <v>3</v>
      </c>
      <c r="H5905">
        <v>0</v>
      </c>
      <c r="I5905" t="s">
        <v>33</v>
      </c>
      <c r="J5905">
        <v>1</v>
      </c>
      <c r="K5905">
        <v>33</v>
      </c>
      <c r="L5905" t="s">
        <v>24</v>
      </c>
      <c r="M5905" t="s">
        <v>25</v>
      </c>
      <c r="N5905" t="s">
        <v>22</v>
      </c>
      <c r="O5905" t="s">
        <v>36</v>
      </c>
      <c r="P5905">
        <v>1.89</v>
      </c>
      <c r="Q5905" s="2" t="b">
        <f>FALSE()</f>
        <v>0</v>
      </c>
      <c r="R5905">
        <v>0</v>
      </c>
    </row>
    <row r="5906" spans="1:18" x14ac:dyDescent="0.25">
      <c r="A5906">
        <v>205905</v>
      </c>
      <c r="B5906">
        <v>54644</v>
      </c>
      <c r="C5906" t="s">
        <v>34</v>
      </c>
      <c r="D5906">
        <v>1611.77</v>
      </c>
      <c r="E5906">
        <v>2769</v>
      </c>
      <c r="F5906">
        <v>1</v>
      </c>
      <c r="G5906">
        <v>4</v>
      </c>
      <c r="H5906">
        <v>0</v>
      </c>
      <c r="I5906" t="s">
        <v>33</v>
      </c>
      <c r="J5906">
        <v>0</v>
      </c>
      <c r="K5906">
        <v>43</v>
      </c>
      <c r="L5906" t="s">
        <v>24</v>
      </c>
      <c r="M5906" t="s">
        <v>31</v>
      </c>
      <c r="N5906" t="s">
        <v>22</v>
      </c>
      <c r="O5906" t="s">
        <v>36</v>
      </c>
      <c r="P5906">
        <v>2.34</v>
      </c>
      <c r="Q5906" s="2" t="b">
        <f>FALSE()</f>
        <v>0</v>
      </c>
      <c r="R5906">
        <v>0</v>
      </c>
    </row>
    <row r="5907" spans="1:18" x14ac:dyDescent="0.25">
      <c r="A5907">
        <v>205906</v>
      </c>
      <c r="B5907">
        <v>51758</v>
      </c>
      <c r="C5907" t="s">
        <v>18</v>
      </c>
      <c r="D5907">
        <v>1593.45</v>
      </c>
      <c r="E5907">
        <v>2936</v>
      </c>
      <c r="F5907">
        <v>0</v>
      </c>
      <c r="G5907">
        <v>3</v>
      </c>
      <c r="H5907">
        <v>0</v>
      </c>
      <c r="I5907" t="s">
        <v>33</v>
      </c>
      <c r="J5907">
        <v>1</v>
      </c>
      <c r="K5907">
        <v>33</v>
      </c>
      <c r="L5907" t="s">
        <v>20</v>
      </c>
      <c r="M5907" t="s">
        <v>25</v>
      </c>
      <c r="N5907" t="s">
        <v>22</v>
      </c>
      <c r="O5907" t="s">
        <v>36</v>
      </c>
      <c r="P5907">
        <v>8.3000000000000007</v>
      </c>
      <c r="Q5907" s="2" t="b">
        <f>FALSE()</f>
        <v>0</v>
      </c>
      <c r="R5907">
        <v>0</v>
      </c>
    </row>
    <row r="5908" spans="1:18" x14ac:dyDescent="0.25">
      <c r="A5908">
        <v>205907</v>
      </c>
      <c r="B5908">
        <v>51507</v>
      </c>
      <c r="C5908" t="s">
        <v>28</v>
      </c>
      <c r="D5908">
        <v>610.53</v>
      </c>
      <c r="E5908">
        <v>461</v>
      </c>
      <c r="F5908">
        <v>0</v>
      </c>
      <c r="G5908">
        <v>8</v>
      </c>
      <c r="H5908">
        <v>0</v>
      </c>
      <c r="I5908" t="s">
        <v>33</v>
      </c>
      <c r="J5908">
        <v>0</v>
      </c>
      <c r="K5908">
        <v>72</v>
      </c>
      <c r="L5908" t="s">
        <v>24</v>
      </c>
      <c r="M5908" t="s">
        <v>29</v>
      </c>
      <c r="N5908" t="s">
        <v>22</v>
      </c>
      <c r="O5908" t="s">
        <v>36</v>
      </c>
      <c r="P5908">
        <v>0.95</v>
      </c>
      <c r="Q5908" s="2" t="b">
        <f>FALSE()</f>
        <v>0</v>
      </c>
      <c r="R5908">
        <v>1</v>
      </c>
    </row>
    <row r="5909" spans="1:18" x14ac:dyDescent="0.25">
      <c r="A5909">
        <v>205908</v>
      </c>
      <c r="B5909">
        <v>50547</v>
      </c>
      <c r="C5909" t="s">
        <v>18</v>
      </c>
      <c r="D5909">
        <v>7425.01</v>
      </c>
      <c r="E5909">
        <v>1920</v>
      </c>
      <c r="F5909">
        <v>0</v>
      </c>
      <c r="G5909">
        <v>6</v>
      </c>
      <c r="H5909">
        <v>0</v>
      </c>
      <c r="I5909" t="s">
        <v>19</v>
      </c>
      <c r="J5909">
        <v>1</v>
      </c>
      <c r="K5909">
        <v>58</v>
      </c>
      <c r="L5909" t="s">
        <v>20</v>
      </c>
      <c r="M5909" t="s">
        <v>31</v>
      </c>
      <c r="N5909" t="s">
        <v>22</v>
      </c>
      <c r="O5909" t="s">
        <v>36</v>
      </c>
      <c r="P5909">
        <v>3.97</v>
      </c>
      <c r="Q5909" s="2" t="b">
        <f>TRUE()</f>
        <v>1</v>
      </c>
      <c r="R5909">
        <v>1</v>
      </c>
    </row>
    <row r="5910" spans="1:18" x14ac:dyDescent="0.25">
      <c r="A5910">
        <v>205909</v>
      </c>
      <c r="B5910">
        <v>52371</v>
      </c>
      <c r="C5910" t="s">
        <v>18</v>
      </c>
      <c r="D5910">
        <v>4575.01</v>
      </c>
      <c r="E5910">
        <v>3057</v>
      </c>
      <c r="F5910">
        <v>2</v>
      </c>
      <c r="G5910">
        <v>1</v>
      </c>
      <c r="H5910">
        <v>1</v>
      </c>
      <c r="I5910" t="s">
        <v>19</v>
      </c>
      <c r="J5910">
        <v>0</v>
      </c>
      <c r="K5910">
        <v>58</v>
      </c>
      <c r="L5910" t="s">
        <v>24</v>
      </c>
      <c r="M5910" t="s">
        <v>35</v>
      </c>
      <c r="N5910" t="s">
        <v>30</v>
      </c>
      <c r="O5910" t="s">
        <v>23</v>
      </c>
      <c r="P5910">
        <v>0.28000000000000003</v>
      </c>
      <c r="Q5910" s="2" t="b">
        <f>FALSE()</f>
        <v>0</v>
      </c>
      <c r="R5910">
        <v>1</v>
      </c>
    </row>
    <row r="5911" spans="1:18" x14ac:dyDescent="0.25">
      <c r="A5911">
        <v>205910</v>
      </c>
      <c r="B5911">
        <v>53555</v>
      </c>
      <c r="C5911" t="s">
        <v>34</v>
      </c>
      <c r="D5911">
        <v>852.48</v>
      </c>
      <c r="E5911">
        <v>1569</v>
      </c>
      <c r="F5911">
        <v>1</v>
      </c>
      <c r="G5911">
        <v>2</v>
      </c>
      <c r="H5911">
        <v>0</v>
      </c>
      <c r="I5911" t="s">
        <v>33</v>
      </c>
      <c r="J5911">
        <v>0</v>
      </c>
      <c r="K5911">
        <v>64</v>
      </c>
      <c r="L5911" t="s">
        <v>24</v>
      </c>
      <c r="M5911" t="s">
        <v>29</v>
      </c>
      <c r="N5911" t="s">
        <v>30</v>
      </c>
      <c r="O5911" t="s">
        <v>36</v>
      </c>
      <c r="P5911">
        <v>5.93</v>
      </c>
      <c r="Q5911" s="2" t="b">
        <f>FALSE()</f>
        <v>0</v>
      </c>
      <c r="R5911">
        <v>0</v>
      </c>
    </row>
    <row r="5912" spans="1:18" x14ac:dyDescent="0.25">
      <c r="A5912">
        <v>205911</v>
      </c>
      <c r="B5912">
        <v>51170</v>
      </c>
      <c r="C5912" t="s">
        <v>18</v>
      </c>
      <c r="D5912">
        <v>1315.18</v>
      </c>
      <c r="E5912">
        <v>1397</v>
      </c>
      <c r="F5912">
        <v>1</v>
      </c>
      <c r="G5912">
        <v>4</v>
      </c>
      <c r="H5912">
        <v>0</v>
      </c>
      <c r="I5912" t="s">
        <v>33</v>
      </c>
      <c r="J5912">
        <v>0</v>
      </c>
      <c r="K5912">
        <v>26</v>
      </c>
      <c r="L5912" t="s">
        <v>24</v>
      </c>
      <c r="M5912" t="s">
        <v>21</v>
      </c>
      <c r="N5912" t="s">
        <v>30</v>
      </c>
      <c r="O5912" t="s">
        <v>36</v>
      </c>
      <c r="P5912">
        <v>4.59</v>
      </c>
      <c r="Q5912" s="2" t="b">
        <f>FALSE()</f>
        <v>0</v>
      </c>
      <c r="R5912">
        <v>0</v>
      </c>
    </row>
    <row r="5913" spans="1:18" x14ac:dyDescent="0.25">
      <c r="A5913">
        <v>205912</v>
      </c>
      <c r="B5913">
        <v>51093</v>
      </c>
      <c r="C5913" t="s">
        <v>18</v>
      </c>
      <c r="D5913">
        <v>5110.26</v>
      </c>
      <c r="E5913">
        <v>2641</v>
      </c>
      <c r="F5913">
        <v>4</v>
      </c>
      <c r="G5913">
        <v>8</v>
      </c>
      <c r="H5913">
        <v>0</v>
      </c>
      <c r="I5913" t="s">
        <v>33</v>
      </c>
      <c r="J5913">
        <v>0</v>
      </c>
      <c r="K5913">
        <v>26</v>
      </c>
      <c r="L5913" t="s">
        <v>24</v>
      </c>
      <c r="M5913" t="s">
        <v>35</v>
      </c>
      <c r="N5913" t="s">
        <v>30</v>
      </c>
      <c r="O5913" t="s">
        <v>36</v>
      </c>
      <c r="P5913">
        <v>0.34</v>
      </c>
      <c r="Q5913" s="2" t="b">
        <f>FALSE()</f>
        <v>0</v>
      </c>
      <c r="R5913">
        <v>1</v>
      </c>
    </row>
    <row r="5914" spans="1:18" x14ac:dyDescent="0.25">
      <c r="A5914">
        <v>205913</v>
      </c>
      <c r="B5914">
        <v>50721</v>
      </c>
      <c r="C5914" t="s">
        <v>18</v>
      </c>
      <c r="D5914">
        <v>1572.52</v>
      </c>
      <c r="E5914">
        <v>436</v>
      </c>
      <c r="F5914">
        <v>1</v>
      </c>
      <c r="G5914">
        <v>3</v>
      </c>
      <c r="H5914">
        <v>0</v>
      </c>
      <c r="I5914" t="s">
        <v>33</v>
      </c>
      <c r="J5914">
        <v>0</v>
      </c>
      <c r="K5914">
        <v>67</v>
      </c>
      <c r="L5914" t="s">
        <v>20</v>
      </c>
      <c r="M5914" t="s">
        <v>25</v>
      </c>
      <c r="N5914" t="s">
        <v>30</v>
      </c>
      <c r="O5914" t="s">
        <v>27</v>
      </c>
      <c r="P5914">
        <v>2.75</v>
      </c>
      <c r="Q5914" s="2" t="b">
        <f>FALSE()</f>
        <v>0</v>
      </c>
      <c r="R5914">
        <v>0</v>
      </c>
    </row>
    <row r="5915" spans="1:18" x14ac:dyDescent="0.25">
      <c r="A5915">
        <v>205914</v>
      </c>
      <c r="B5915">
        <v>55789</v>
      </c>
      <c r="C5915" t="s">
        <v>34</v>
      </c>
      <c r="D5915">
        <v>4276.37</v>
      </c>
      <c r="E5915">
        <v>1034</v>
      </c>
      <c r="F5915">
        <v>1</v>
      </c>
      <c r="G5915">
        <v>1</v>
      </c>
      <c r="H5915">
        <v>0</v>
      </c>
      <c r="I5915" t="s">
        <v>19</v>
      </c>
      <c r="J5915">
        <v>0</v>
      </c>
      <c r="K5915">
        <v>74</v>
      </c>
      <c r="L5915" t="s">
        <v>20</v>
      </c>
      <c r="M5915" t="s">
        <v>25</v>
      </c>
      <c r="N5915" t="s">
        <v>30</v>
      </c>
      <c r="O5915" t="s">
        <v>36</v>
      </c>
      <c r="P5915">
        <v>4.57</v>
      </c>
      <c r="Q5915" s="2" t="b">
        <f>FALSE()</f>
        <v>0</v>
      </c>
      <c r="R5915">
        <v>1</v>
      </c>
    </row>
    <row r="5916" spans="1:18" x14ac:dyDescent="0.25">
      <c r="A5916">
        <v>205915</v>
      </c>
      <c r="B5916">
        <v>54538</v>
      </c>
      <c r="C5916" t="s">
        <v>34</v>
      </c>
      <c r="D5916">
        <v>2471.21</v>
      </c>
      <c r="E5916">
        <v>2467</v>
      </c>
      <c r="F5916">
        <v>1</v>
      </c>
      <c r="G5916">
        <v>3</v>
      </c>
      <c r="H5916">
        <v>0</v>
      </c>
      <c r="I5916" t="s">
        <v>33</v>
      </c>
      <c r="J5916">
        <v>0</v>
      </c>
      <c r="K5916">
        <v>41</v>
      </c>
      <c r="L5916" t="s">
        <v>24</v>
      </c>
      <c r="M5916" t="s">
        <v>21</v>
      </c>
      <c r="N5916" t="s">
        <v>30</v>
      </c>
      <c r="O5916" t="s">
        <v>23</v>
      </c>
      <c r="P5916">
        <v>0.2</v>
      </c>
      <c r="Q5916" s="2" t="b">
        <f>FALSE()</f>
        <v>0</v>
      </c>
      <c r="R5916">
        <v>0</v>
      </c>
    </row>
    <row r="5917" spans="1:18" x14ac:dyDescent="0.25">
      <c r="A5917">
        <v>205916</v>
      </c>
      <c r="B5917">
        <v>51868</v>
      </c>
      <c r="C5917" t="s">
        <v>34</v>
      </c>
      <c r="D5917">
        <v>885.21</v>
      </c>
      <c r="E5917">
        <v>3037</v>
      </c>
      <c r="F5917">
        <v>3</v>
      </c>
      <c r="G5917">
        <v>3</v>
      </c>
      <c r="H5917">
        <v>1</v>
      </c>
      <c r="I5917" t="s">
        <v>33</v>
      </c>
      <c r="J5917">
        <v>0</v>
      </c>
      <c r="K5917">
        <v>56</v>
      </c>
      <c r="L5917" t="s">
        <v>20</v>
      </c>
      <c r="M5917" t="s">
        <v>31</v>
      </c>
      <c r="N5917" t="s">
        <v>22</v>
      </c>
      <c r="O5917" t="s">
        <v>27</v>
      </c>
      <c r="P5917">
        <v>0.24</v>
      </c>
      <c r="Q5917" s="2" t="b">
        <f>FALSE()</f>
        <v>0</v>
      </c>
      <c r="R5917">
        <v>1</v>
      </c>
    </row>
    <row r="5918" spans="1:18" x14ac:dyDescent="0.25">
      <c r="A5918">
        <v>205917</v>
      </c>
      <c r="B5918">
        <v>51022</v>
      </c>
      <c r="C5918" t="s">
        <v>34</v>
      </c>
      <c r="D5918">
        <v>519.13</v>
      </c>
      <c r="E5918">
        <v>2221</v>
      </c>
      <c r="F5918">
        <v>1</v>
      </c>
      <c r="G5918">
        <v>1</v>
      </c>
      <c r="H5918">
        <v>0</v>
      </c>
      <c r="I5918" t="s">
        <v>33</v>
      </c>
      <c r="J5918">
        <v>0</v>
      </c>
      <c r="K5918">
        <v>49</v>
      </c>
      <c r="L5918" t="s">
        <v>20</v>
      </c>
      <c r="M5918" t="s">
        <v>31</v>
      </c>
      <c r="N5918" t="s">
        <v>22</v>
      </c>
      <c r="O5918" t="s">
        <v>36</v>
      </c>
      <c r="P5918">
        <v>1.27</v>
      </c>
      <c r="Q5918" s="2" t="b">
        <f>FALSE()</f>
        <v>0</v>
      </c>
      <c r="R5918">
        <v>0</v>
      </c>
    </row>
    <row r="5919" spans="1:18" x14ac:dyDescent="0.25">
      <c r="A5919">
        <v>205918</v>
      </c>
      <c r="B5919">
        <v>51250</v>
      </c>
      <c r="C5919" t="s">
        <v>18</v>
      </c>
      <c r="D5919">
        <v>4444.3900000000003</v>
      </c>
      <c r="E5919">
        <v>1851</v>
      </c>
      <c r="F5919">
        <v>1</v>
      </c>
      <c r="G5919">
        <v>4</v>
      </c>
      <c r="H5919">
        <v>1</v>
      </c>
      <c r="I5919" t="s">
        <v>33</v>
      </c>
      <c r="J5919">
        <v>0</v>
      </c>
      <c r="K5919">
        <v>79</v>
      </c>
      <c r="L5919" t="s">
        <v>20</v>
      </c>
      <c r="M5919" t="s">
        <v>25</v>
      </c>
      <c r="N5919" t="s">
        <v>26</v>
      </c>
      <c r="O5919" t="s">
        <v>27</v>
      </c>
      <c r="P5919">
        <v>1.77</v>
      </c>
      <c r="Q5919" s="2" t="b">
        <f>FALSE()</f>
        <v>0</v>
      </c>
      <c r="R5919">
        <v>1</v>
      </c>
    </row>
    <row r="5920" spans="1:18" x14ac:dyDescent="0.25">
      <c r="A5920">
        <v>205919</v>
      </c>
      <c r="B5920">
        <v>53898</v>
      </c>
      <c r="C5920" t="s">
        <v>34</v>
      </c>
      <c r="D5920">
        <v>4279.95</v>
      </c>
      <c r="E5920">
        <v>2204</v>
      </c>
      <c r="F5920">
        <v>4</v>
      </c>
      <c r="G5920">
        <v>3</v>
      </c>
      <c r="H5920">
        <v>0</v>
      </c>
      <c r="I5920" t="s">
        <v>19</v>
      </c>
      <c r="J5920">
        <v>0</v>
      </c>
      <c r="K5920">
        <v>54</v>
      </c>
      <c r="L5920" t="s">
        <v>20</v>
      </c>
      <c r="M5920" t="s">
        <v>31</v>
      </c>
      <c r="N5920" t="s">
        <v>26</v>
      </c>
      <c r="O5920" t="s">
        <v>36</v>
      </c>
      <c r="P5920">
        <v>4.82</v>
      </c>
      <c r="Q5920" s="2" t="b">
        <f>FALSE()</f>
        <v>0</v>
      </c>
      <c r="R5920">
        <v>1</v>
      </c>
    </row>
    <row r="5921" spans="1:18" x14ac:dyDescent="0.25">
      <c r="A5921">
        <v>205920</v>
      </c>
      <c r="B5921">
        <v>52061</v>
      </c>
      <c r="C5921" t="s">
        <v>28</v>
      </c>
      <c r="D5921">
        <v>2181.02</v>
      </c>
      <c r="E5921">
        <v>2509</v>
      </c>
      <c r="F5921">
        <v>2</v>
      </c>
      <c r="G5921">
        <v>4</v>
      </c>
      <c r="H5921">
        <v>0</v>
      </c>
      <c r="I5921" t="s">
        <v>33</v>
      </c>
      <c r="J5921">
        <v>0</v>
      </c>
      <c r="K5921">
        <v>26</v>
      </c>
      <c r="L5921" t="s">
        <v>20</v>
      </c>
      <c r="M5921" t="s">
        <v>31</v>
      </c>
      <c r="N5921" t="s">
        <v>26</v>
      </c>
      <c r="O5921" t="s">
        <v>23</v>
      </c>
      <c r="P5921">
        <v>3</v>
      </c>
      <c r="Q5921" s="2" t="b">
        <f>FALSE()</f>
        <v>0</v>
      </c>
      <c r="R5921">
        <v>0</v>
      </c>
    </row>
    <row r="5922" spans="1:18" x14ac:dyDescent="0.25">
      <c r="A5922">
        <v>205921</v>
      </c>
      <c r="B5922">
        <v>53042</v>
      </c>
      <c r="C5922" t="s">
        <v>28</v>
      </c>
      <c r="D5922">
        <v>2323.39</v>
      </c>
      <c r="E5922">
        <v>3585</v>
      </c>
      <c r="F5922">
        <v>2</v>
      </c>
      <c r="G5922">
        <v>6</v>
      </c>
      <c r="H5922">
        <v>0</v>
      </c>
      <c r="I5922" t="s">
        <v>19</v>
      </c>
      <c r="J5922">
        <v>1</v>
      </c>
      <c r="K5922">
        <v>61</v>
      </c>
      <c r="L5922" t="s">
        <v>20</v>
      </c>
      <c r="M5922" t="s">
        <v>37</v>
      </c>
      <c r="N5922" t="s">
        <v>22</v>
      </c>
      <c r="O5922" t="s">
        <v>27</v>
      </c>
      <c r="P5922">
        <v>0.56999999999999995</v>
      </c>
      <c r="Q5922" s="2" t="b">
        <f>FALSE()</f>
        <v>0</v>
      </c>
      <c r="R5922">
        <v>0</v>
      </c>
    </row>
    <row r="5923" spans="1:18" x14ac:dyDescent="0.25">
      <c r="A5923">
        <v>205922</v>
      </c>
      <c r="B5923">
        <v>50352</v>
      </c>
      <c r="C5923" t="s">
        <v>18</v>
      </c>
      <c r="D5923">
        <v>5169.95</v>
      </c>
      <c r="E5923">
        <v>2536</v>
      </c>
      <c r="F5923">
        <v>1</v>
      </c>
      <c r="G5923">
        <v>4</v>
      </c>
      <c r="H5923">
        <v>0</v>
      </c>
      <c r="I5923" t="s">
        <v>33</v>
      </c>
      <c r="J5923">
        <v>0</v>
      </c>
      <c r="K5923">
        <v>34</v>
      </c>
      <c r="L5923" t="s">
        <v>24</v>
      </c>
      <c r="M5923" t="s">
        <v>37</v>
      </c>
      <c r="N5923" t="s">
        <v>22</v>
      </c>
      <c r="O5923" t="s">
        <v>27</v>
      </c>
      <c r="P5923">
        <v>1.1399999999999999</v>
      </c>
      <c r="Q5923" s="2" t="b">
        <f>FALSE()</f>
        <v>0</v>
      </c>
      <c r="R5923">
        <v>1</v>
      </c>
    </row>
    <row r="5924" spans="1:18" x14ac:dyDescent="0.25">
      <c r="A5924">
        <v>205923</v>
      </c>
      <c r="B5924">
        <v>52564</v>
      </c>
      <c r="C5924" t="s">
        <v>34</v>
      </c>
      <c r="D5924">
        <v>4300.07</v>
      </c>
      <c r="E5924">
        <v>2697</v>
      </c>
      <c r="F5924">
        <v>1</v>
      </c>
      <c r="G5924">
        <v>2</v>
      </c>
      <c r="H5924">
        <v>0</v>
      </c>
      <c r="I5924" t="s">
        <v>33</v>
      </c>
      <c r="J5924">
        <v>0</v>
      </c>
      <c r="K5924">
        <v>50</v>
      </c>
      <c r="L5924" t="s">
        <v>20</v>
      </c>
      <c r="M5924" t="s">
        <v>21</v>
      </c>
      <c r="N5924" t="s">
        <v>26</v>
      </c>
      <c r="O5924" t="s">
        <v>27</v>
      </c>
      <c r="P5924">
        <v>8.68</v>
      </c>
      <c r="Q5924" s="2" t="b">
        <f>FALSE()</f>
        <v>0</v>
      </c>
      <c r="R5924">
        <v>1</v>
      </c>
    </row>
    <row r="5925" spans="1:18" x14ac:dyDescent="0.25">
      <c r="A5925">
        <v>205924</v>
      </c>
      <c r="B5925">
        <v>54088</v>
      </c>
      <c r="C5925" t="s">
        <v>18</v>
      </c>
      <c r="D5925">
        <v>3212.1</v>
      </c>
      <c r="E5925">
        <v>869</v>
      </c>
      <c r="F5925">
        <v>0</v>
      </c>
      <c r="G5925">
        <v>5</v>
      </c>
      <c r="H5925">
        <v>0</v>
      </c>
      <c r="I5925" t="s">
        <v>19</v>
      </c>
      <c r="J5925">
        <v>0</v>
      </c>
      <c r="K5925">
        <v>38</v>
      </c>
      <c r="L5925" t="s">
        <v>20</v>
      </c>
      <c r="M5925" t="s">
        <v>21</v>
      </c>
      <c r="N5925" t="s">
        <v>22</v>
      </c>
      <c r="O5925" t="s">
        <v>36</v>
      </c>
      <c r="P5925">
        <v>0.89</v>
      </c>
      <c r="Q5925" s="2" t="b">
        <f>FALSE()</f>
        <v>0</v>
      </c>
      <c r="R5925">
        <v>0</v>
      </c>
    </row>
    <row r="5926" spans="1:18" x14ac:dyDescent="0.25">
      <c r="A5926">
        <v>205925</v>
      </c>
      <c r="B5926">
        <v>50198</v>
      </c>
      <c r="C5926" t="s">
        <v>34</v>
      </c>
      <c r="D5926">
        <v>2523.79</v>
      </c>
      <c r="E5926">
        <v>71</v>
      </c>
      <c r="F5926">
        <v>1</v>
      </c>
      <c r="G5926">
        <v>5</v>
      </c>
      <c r="H5926">
        <v>0</v>
      </c>
      <c r="I5926" t="s">
        <v>33</v>
      </c>
      <c r="J5926">
        <v>1</v>
      </c>
      <c r="K5926">
        <v>48</v>
      </c>
      <c r="L5926" t="s">
        <v>24</v>
      </c>
      <c r="M5926" t="s">
        <v>21</v>
      </c>
      <c r="N5926" t="s">
        <v>22</v>
      </c>
      <c r="O5926" t="s">
        <v>36</v>
      </c>
      <c r="P5926">
        <v>0.79</v>
      </c>
      <c r="Q5926" s="2" t="b">
        <f>FALSE()</f>
        <v>0</v>
      </c>
      <c r="R5926">
        <v>0</v>
      </c>
    </row>
    <row r="5927" spans="1:18" x14ac:dyDescent="0.25">
      <c r="A5927">
        <v>205926</v>
      </c>
      <c r="B5927">
        <v>50542</v>
      </c>
      <c r="C5927" t="s">
        <v>34</v>
      </c>
      <c r="D5927">
        <v>4043.34</v>
      </c>
      <c r="E5927">
        <v>1537</v>
      </c>
      <c r="F5927">
        <v>0</v>
      </c>
      <c r="G5927">
        <v>3</v>
      </c>
      <c r="H5927">
        <v>0</v>
      </c>
      <c r="I5927" t="s">
        <v>33</v>
      </c>
      <c r="J5927">
        <v>0</v>
      </c>
      <c r="K5927">
        <v>60</v>
      </c>
      <c r="L5927" t="s">
        <v>20</v>
      </c>
      <c r="M5927" t="s">
        <v>37</v>
      </c>
      <c r="N5927" t="s">
        <v>26</v>
      </c>
      <c r="O5927" t="s">
        <v>27</v>
      </c>
      <c r="P5927">
        <v>1.1299999999999999</v>
      </c>
      <c r="Q5927" s="2" t="b">
        <f>FALSE()</f>
        <v>0</v>
      </c>
      <c r="R5927">
        <v>1</v>
      </c>
    </row>
    <row r="5928" spans="1:18" x14ac:dyDescent="0.25">
      <c r="A5928">
        <v>205927</v>
      </c>
      <c r="B5928">
        <v>50445</v>
      </c>
      <c r="C5928" t="s">
        <v>18</v>
      </c>
      <c r="D5928">
        <v>1083.44</v>
      </c>
      <c r="E5928">
        <v>911</v>
      </c>
      <c r="F5928">
        <v>2</v>
      </c>
      <c r="G5928">
        <v>5</v>
      </c>
      <c r="H5928">
        <v>0</v>
      </c>
      <c r="I5928" t="s">
        <v>33</v>
      </c>
      <c r="J5928">
        <v>0</v>
      </c>
      <c r="K5928">
        <v>65</v>
      </c>
      <c r="L5928" t="s">
        <v>20</v>
      </c>
      <c r="M5928" t="s">
        <v>35</v>
      </c>
      <c r="N5928" t="s">
        <v>22</v>
      </c>
      <c r="O5928" t="s">
        <v>27</v>
      </c>
      <c r="P5928">
        <v>3.65</v>
      </c>
      <c r="Q5928" s="2" t="b">
        <f>FALSE()</f>
        <v>0</v>
      </c>
      <c r="R5928">
        <v>0</v>
      </c>
    </row>
    <row r="5929" spans="1:18" x14ac:dyDescent="0.25">
      <c r="A5929">
        <v>205928</v>
      </c>
      <c r="B5929">
        <v>54624</v>
      </c>
      <c r="C5929" t="s">
        <v>28</v>
      </c>
      <c r="D5929">
        <v>2215.54</v>
      </c>
      <c r="E5929">
        <v>2686</v>
      </c>
      <c r="F5929">
        <v>1</v>
      </c>
      <c r="G5929">
        <v>4</v>
      </c>
      <c r="H5929">
        <v>0</v>
      </c>
      <c r="I5929" t="s">
        <v>32</v>
      </c>
      <c r="J5929">
        <v>1</v>
      </c>
      <c r="K5929">
        <v>65</v>
      </c>
      <c r="L5929" t="s">
        <v>20</v>
      </c>
      <c r="M5929" t="s">
        <v>21</v>
      </c>
      <c r="N5929" t="s">
        <v>30</v>
      </c>
      <c r="O5929" t="s">
        <v>36</v>
      </c>
      <c r="P5929">
        <v>3.19</v>
      </c>
      <c r="Q5929" s="2" t="b">
        <f>FALSE()</f>
        <v>0</v>
      </c>
      <c r="R5929">
        <v>0</v>
      </c>
    </row>
    <row r="5930" spans="1:18" x14ac:dyDescent="0.25">
      <c r="A5930">
        <v>205929</v>
      </c>
      <c r="B5930">
        <v>51100</v>
      </c>
      <c r="C5930" t="s">
        <v>34</v>
      </c>
      <c r="D5930">
        <v>538.99</v>
      </c>
      <c r="E5930">
        <v>928</v>
      </c>
      <c r="F5930">
        <v>4</v>
      </c>
      <c r="G5930">
        <v>8</v>
      </c>
      <c r="H5930">
        <v>0</v>
      </c>
      <c r="I5930" t="s">
        <v>33</v>
      </c>
      <c r="J5930">
        <v>0</v>
      </c>
      <c r="K5930">
        <v>43</v>
      </c>
      <c r="L5930" t="s">
        <v>24</v>
      </c>
      <c r="M5930" t="s">
        <v>21</v>
      </c>
      <c r="N5930" t="s">
        <v>22</v>
      </c>
      <c r="O5930" t="s">
        <v>36</v>
      </c>
      <c r="P5930">
        <v>4.63</v>
      </c>
      <c r="Q5930" s="2" t="b">
        <f>FALSE()</f>
        <v>0</v>
      </c>
      <c r="R5930">
        <v>1</v>
      </c>
    </row>
    <row r="5931" spans="1:18" x14ac:dyDescent="0.25">
      <c r="A5931">
        <v>205930</v>
      </c>
      <c r="B5931">
        <v>50238</v>
      </c>
      <c r="C5931" t="s">
        <v>34</v>
      </c>
      <c r="D5931">
        <v>1179.72</v>
      </c>
      <c r="E5931">
        <v>3130</v>
      </c>
      <c r="F5931">
        <v>3</v>
      </c>
      <c r="G5931">
        <v>5</v>
      </c>
      <c r="H5931">
        <v>0</v>
      </c>
      <c r="I5931" t="s">
        <v>19</v>
      </c>
      <c r="J5931">
        <v>0</v>
      </c>
      <c r="K5931">
        <v>43</v>
      </c>
      <c r="L5931" t="s">
        <v>24</v>
      </c>
      <c r="M5931" t="s">
        <v>35</v>
      </c>
      <c r="N5931" t="s">
        <v>22</v>
      </c>
      <c r="O5931" t="s">
        <v>23</v>
      </c>
      <c r="P5931">
        <v>1.29</v>
      </c>
      <c r="Q5931" s="2" t="b">
        <f>FALSE()</f>
        <v>0</v>
      </c>
      <c r="R5931">
        <v>1</v>
      </c>
    </row>
    <row r="5932" spans="1:18" x14ac:dyDescent="0.25">
      <c r="A5932">
        <v>205931</v>
      </c>
      <c r="B5932">
        <v>54702</v>
      </c>
      <c r="C5932" t="s">
        <v>18</v>
      </c>
      <c r="D5932">
        <v>4218.3999999999996</v>
      </c>
      <c r="E5932">
        <v>2569</v>
      </c>
      <c r="F5932">
        <v>2</v>
      </c>
      <c r="G5932">
        <v>4</v>
      </c>
      <c r="H5932">
        <v>1</v>
      </c>
      <c r="I5932" t="s">
        <v>33</v>
      </c>
      <c r="J5932">
        <v>0</v>
      </c>
      <c r="K5932">
        <v>46</v>
      </c>
      <c r="L5932" t="s">
        <v>20</v>
      </c>
      <c r="M5932" t="s">
        <v>21</v>
      </c>
      <c r="N5932" t="s">
        <v>30</v>
      </c>
      <c r="O5932" t="s">
        <v>36</v>
      </c>
      <c r="P5932">
        <v>4.54</v>
      </c>
      <c r="Q5932" s="2" t="b">
        <f>FALSE()</f>
        <v>0</v>
      </c>
      <c r="R5932">
        <v>1</v>
      </c>
    </row>
    <row r="5933" spans="1:18" x14ac:dyDescent="0.25">
      <c r="A5933">
        <v>205932</v>
      </c>
      <c r="B5933">
        <v>52249</v>
      </c>
      <c r="C5933" t="s">
        <v>18</v>
      </c>
      <c r="D5933">
        <v>812.16</v>
      </c>
      <c r="E5933">
        <v>88</v>
      </c>
      <c r="F5933">
        <v>0</v>
      </c>
      <c r="G5933">
        <v>4</v>
      </c>
      <c r="H5933">
        <v>1</v>
      </c>
      <c r="I5933" t="s">
        <v>33</v>
      </c>
      <c r="J5933">
        <v>0</v>
      </c>
      <c r="K5933">
        <v>82</v>
      </c>
      <c r="L5933" t="s">
        <v>20</v>
      </c>
      <c r="M5933" t="s">
        <v>37</v>
      </c>
      <c r="N5933" t="s">
        <v>22</v>
      </c>
      <c r="O5933" t="s">
        <v>27</v>
      </c>
      <c r="P5933">
        <v>6.73</v>
      </c>
      <c r="Q5933" s="2" t="b">
        <f>FALSE()</f>
        <v>0</v>
      </c>
      <c r="R5933">
        <v>0</v>
      </c>
    </row>
    <row r="5934" spans="1:18" x14ac:dyDescent="0.25">
      <c r="A5934">
        <v>205933</v>
      </c>
      <c r="B5934">
        <v>53844</v>
      </c>
      <c r="C5934" t="s">
        <v>18</v>
      </c>
      <c r="D5934">
        <v>5800.32</v>
      </c>
      <c r="E5934">
        <v>3527</v>
      </c>
      <c r="F5934">
        <v>0</v>
      </c>
      <c r="G5934">
        <v>8</v>
      </c>
      <c r="H5934">
        <v>0</v>
      </c>
      <c r="I5934" t="s">
        <v>19</v>
      </c>
      <c r="J5934">
        <v>0</v>
      </c>
      <c r="K5934">
        <v>67</v>
      </c>
      <c r="L5934" t="s">
        <v>24</v>
      </c>
      <c r="M5934" t="s">
        <v>29</v>
      </c>
      <c r="N5934" t="s">
        <v>22</v>
      </c>
      <c r="O5934" t="s">
        <v>36</v>
      </c>
      <c r="P5934">
        <v>0.81</v>
      </c>
      <c r="Q5934" s="2" t="b">
        <f>FALSE()</f>
        <v>0</v>
      </c>
      <c r="R5934">
        <v>1</v>
      </c>
    </row>
    <row r="5935" spans="1:18" x14ac:dyDescent="0.25">
      <c r="A5935">
        <v>205934</v>
      </c>
      <c r="B5935">
        <v>51066</v>
      </c>
      <c r="C5935" t="s">
        <v>34</v>
      </c>
      <c r="D5935">
        <v>5314.44</v>
      </c>
      <c r="E5935">
        <v>239</v>
      </c>
      <c r="F5935">
        <v>0</v>
      </c>
      <c r="G5935">
        <v>3</v>
      </c>
      <c r="H5935">
        <v>1</v>
      </c>
      <c r="I5935" t="s">
        <v>19</v>
      </c>
      <c r="J5935">
        <v>0</v>
      </c>
      <c r="K5935">
        <v>75</v>
      </c>
      <c r="L5935" t="s">
        <v>20</v>
      </c>
      <c r="M5935" t="s">
        <v>25</v>
      </c>
      <c r="N5935" t="s">
        <v>26</v>
      </c>
      <c r="O5935" t="s">
        <v>36</v>
      </c>
      <c r="P5935">
        <v>0.66</v>
      </c>
      <c r="Q5935" s="2" t="b">
        <f>FALSE()</f>
        <v>0</v>
      </c>
      <c r="R5935">
        <v>1</v>
      </c>
    </row>
    <row r="5936" spans="1:18" x14ac:dyDescent="0.25">
      <c r="A5936">
        <v>205935</v>
      </c>
      <c r="B5936">
        <v>54425</v>
      </c>
      <c r="C5936" t="s">
        <v>34</v>
      </c>
      <c r="D5936">
        <v>692.2</v>
      </c>
      <c r="E5936">
        <v>1210</v>
      </c>
      <c r="F5936">
        <v>1</v>
      </c>
      <c r="G5936">
        <v>5</v>
      </c>
      <c r="H5936">
        <v>0</v>
      </c>
      <c r="I5936" t="s">
        <v>33</v>
      </c>
      <c r="J5936">
        <v>1</v>
      </c>
      <c r="K5936">
        <v>76</v>
      </c>
      <c r="L5936" t="s">
        <v>24</v>
      </c>
      <c r="M5936" t="s">
        <v>31</v>
      </c>
      <c r="N5936" t="s">
        <v>26</v>
      </c>
      <c r="O5936" t="s">
        <v>27</v>
      </c>
      <c r="P5936">
        <v>2.7</v>
      </c>
      <c r="Q5936" s="2" t="b">
        <f>FALSE()</f>
        <v>0</v>
      </c>
      <c r="R5936">
        <v>0</v>
      </c>
    </row>
    <row r="5937" spans="1:18" x14ac:dyDescent="0.25">
      <c r="A5937">
        <v>205936</v>
      </c>
      <c r="B5937">
        <v>54190</v>
      </c>
      <c r="C5937" t="s">
        <v>34</v>
      </c>
      <c r="D5937">
        <v>407.75</v>
      </c>
      <c r="E5937">
        <v>2141</v>
      </c>
      <c r="F5937">
        <v>0</v>
      </c>
      <c r="G5937">
        <v>3</v>
      </c>
      <c r="H5937">
        <v>0</v>
      </c>
      <c r="I5937" t="s">
        <v>19</v>
      </c>
      <c r="J5937">
        <v>0</v>
      </c>
      <c r="K5937">
        <v>82</v>
      </c>
      <c r="L5937" t="s">
        <v>24</v>
      </c>
      <c r="M5937" t="s">
        <v>21</v>
      </c>
      <c r="N5937" t="s">
        <v>22</v>
      </c>
      <c r="O5937" t="s">
        <v>36</v>
      </c>
      <c r="P5937">
        <v>2.89</v>
      </c>
      <c r="Q5937" s="2" t="b">
        <f>FALSE()</f>
        <v>0</v>
      </c>
      <c r="R5937">
        <v>0</v>
      </c>
    </row>
    <row r="5938" spans="1:18" x14ac:dyDescent="0.25">
      <c r="A5938">
        <v>205937</v>
      </c>
      <c r="B5938">
        <v>52711</v>
      </c>
      <c r="C5938" t="s">
        <v>18</v>
      </c>
      <c r="D5938">
        <v>2007.02</v>
      </c>
      <c r="E5938">
        <v>86</v>
      </c>
      <c r="F5938">
        <v>1</v>
      </c>
      <c r="G5938">
        <v>4</v>
      </c>
      <c r="H5938">
        <v>1</v>
      </c>
      <c r="I5938" t="s">
        <v>19</v>
      </c>
      <c r="J5938">
        <v>1</v>
      </c>
      <c r="K5938">
        <v>36</v>
      </c>
      <c r="L5938" t="s">
        <v>24</v>
      </c>
      <c r="M5938" t="s">
        <v>29</v>
      </c>
      <c r="N5938" t="s">
        <v>22</v>
      </c>
      <c r="O5938" t="s">
        <v>36</v>
      </c>
      <c r="P5938">
        <v>3.01</v>
      </c>
      <c r="Q5938" s="2" t="b">
        <f>FALSE()</f>
        <v>0</v>
      </c>
      <c r="R5938">
        <v>0</v>
      </c>
    </row>
    <row r="5939" spans="1:18" x14ac:dyDescent="0.25">
      <c r="A5939">
        <v>205938</v>
      </c>
      <c r="B5939">
        <v>50668</v>
      </c>
      <c r="C5939" t="s">
        <v>28</v>
      </c>
      <c r="D5939">
        <v>1150.55</v>
      </c>
      <c r="E5939">
        <v>89</v>
      </c>
      <c r="F5939">
        <v>0</v>
      </c>
      <c r="G5939">
        <v>4</v>
      </c>
      <c r="H5939">
        <v>1</v>
      </c>
      <c r="I5939" t="s">
        <v>32</v>
      </c>
      <c r="J5939">
        <v>0</v>
      </c>
      <c r="K5939">
        <v>42</v>
      </c>
      <c r="L5939" t="s">
        <v>20</v>
      </c>
      <c r="M5939" t="s">
        <v>25</v>
      </c>
      <c r="N5939" t="s">
        <v>26</v>
      </c>
      <c r="O5939" t="s">
        <v>36</v>
      </c>
      <c r="P5939">
        <v>1.23</v>
      </c>
      <c r="Q5939" s="2" t="b">
        <f>FALSE()</f>
        <v>0</v>
      </c>
      <c r="R5939">
        <v>0</v>
      </c>
    </row>
    <row r="5940" spans="1:18" x14ac:dyDescent="0.25">
      <c r="A5940">
        <v>205939</v>
      </c>
      <c r="B5940">
        <v>52442</v>
      </c>
      <c r="C5940" t="s">
        <v>18</v>
      </c>
      <c r="D5940">
        <v>3477.53</v>
      </c>
      <c r="E5940">
        <v>3395</v>
      </c>
      <c r="F5940">
        <v>2</v>
      </c>
      <c r="G5940">
        <v>4</v>
      </c>
      <c r="H5940">
        <v>0</v>
      </c>
      <c r="I5940" t="s">
        <v>32</v>
      </c>
      <c r="J5940">
        <v>0</v>
      </c>
      <c r="K5940">
        <v>30</v>
      </c>
      <c r="L5940" t="s">
        <v>24</v>
      </c>
      <c r="M5940" t="s">
        <v>21</v>
      </c>
      <c r="N5940" t="s">
        <v>30</v>
      </c>
      <c r="O5940" t="s">
        <v>27</v>
      </c>
      <c r="P5940">
        <v>0.12</v>
      </c>
      <c r="Q5940" s="2" t="b">
        <f>FALSE()</f>
        <v>0</v>
      </c>
      <c r="R5940">
        <v>0</v>
      </c>
    </row>
    <row r="5941" spans="1:18" x14ac:dyDescent="0.25">
      <c r="A5941">
        <v>205940</v>
      </c>
      <c r="B5941">
        <v>53835</v>
      </c>
      <c r="C5941" t="s">
        <v>18</v>
      </c>
      <c r="D5941">
        <v>4754.3100000000004</v>
      </c>
      <c r="E5941">
        <v>1201</v>
      </c>
      <c r="F5941">
        <v>1</v>
      </c>
      <c r="G5941">
        <v>6</v>
      </c>
      <c r="H5941">
        <v>1</v>
      </c>
      <c r="I5941" t="s">
        <v>33</v>
      </c>
      <c r="J5941">
        <v>0</v>
      </c>
      <c r="K5941">
        <v>76</v>
      </c>
      <c r="L5941" t="s">
        <v>24</v>
      </c>
      <c r="M5941" t="s">
        <v>29</v>
      </c>
      <c r="N5941" t="s">
        <v>30</v>
      </c>
      <c r="O5941" t="s">
        <v>36</v>
      </c>
      <c r="P5941">
        <v>0.19</v>
      </c>
      <c r="Q5941" s="2" t="b">
        <f>FALSE()</f>
        <v>0</v>
      </c>
      <c r="R5941">
        <v>1</v>
      </c>
    </row>
    <row r="5942" spans="1:18" x14ac:dyDescent="0.25">
      <c r="A5942">
        <v>205941</v>
      </c>
      <c r="B5942">
        <v>52735</v>
      </c>
      <c r="C5942" t="s">
        <v>18</v>
      </c>
      <c r="D5942">
        <v>251.2</v>
      </c>
      <c r="E5942">
        <v>468</v>
      </c>
      <c r="F5942">
        <v>0</v>
      </c>
      <c r="G5942">
        <v>6</v>
      </c>
      <c r="H5942">
        <v>0</v>
      </c>
      <c r="I5942" t="s">
        <v>19</v>
      </c>
      <c r="J5942">
        <v>0</v>
      </c>
      <c r="K5942">
        <v>23</v>
      </c>
      <c r="L5942" t="s">
        <v>20</v>
      </c>
      <c r="M5942" t="s">
        <v>35</v>
      </c>
      <c r="N5942" t="s">
        <v>26</v>
      </c>
      <c r="O5942" t="s">
        <v>27</v>
      </c>
      <c r="P5942">
        <v>3.47</v>
      </c>
      <c r="Q5942" s="2" t="b">
        <f>FALSE()</f>
        <v>0</v>
      </c>
      <c r="R5942">
        <v>0</v>
      </c>
    </row>
    <row r="5943" spans="1:18" x14ac:dyDescent="0.25">
      <c r="A5943">
        <v>205942</v>
      </c>
      <c r="B5943">
        <v>53022</v>
      </c>
      <c r="C5943" t="s">
        <v>18</v>
      </c>
      <c r="D5943">
        <v>3676.85</v>
      </c>
      <c r="E5943">
        <v>903</v>
      </c>
      <c r="F5943">
        <v>0</v>
      </c>
      <c r="G5943">
        <v>2</v>
      </c>
      <c r="H5943">
        <v>0</v>
      </c>
      <c r="I5943" t="s">
        <v>33</v>
      </c>
      <c r="J5943">
        <v>0</v>
      </c>
      <c r="K5943">
        <v>42</v>
      </c>
      <c r="L5943" t="s">
        <v>20</v>
      </c>
      <c r="M5943" t="s">
        <v>29</v>
      </c>
      <c r="N5943" t="s">
        <v>22</v>
      </c>
      <c r="O5943" t="s">
        <v>27</v>
      </c>
      <c r="P5943">
        <v>0.47</v>
      </c>
      <c r="Q5943" s="2" t="b">
        <f>FALSE()</f>
        <v>0</v>
      </c>
      <c r="R5943">
        <v>1</v>
      </c>
    </row>
    <row r="5944" spans="1:18" x14ac:dyDescent="0.25">
      <c r="A5944">
        <v>205943</v>
      </c>
      <c r="B5944">
        <v>52940</v>
      </c>
      <c r="C5944" t="s">
        <v>18</v>
      </c>
      <c r="D5944">
        <v>6165.26</v>
      </c>
      <c r="E5944">
        <v>3360</v>
      </c>
      <c r="F5944">
        <v>4</v>
      </c>
      <c r="G5944">
        <v>4</v>
      </c>
      <c r="H5944">
        <v>0</v>
      </c>
      <c r="I5944" t="s">
        <v>33</v>
      </c>
      <c r="J5944">
        <v>0</v>
      </c>
      <c r="K5944">
        <v>80</v>
      </c>
      <c r="L5944" t="s">
        <v>20</v>
      </c>
      <c r="M5944" t="s">
        <v>35</v>
      </c>
      <c r="N5944" t="s">
        <v>26</v>
      </c>
      <c r="O5944" t="s">
        <v>27</v>
      </c>
      <c r="P5944">
        <v>3.52</v>
      </c>
      <c r="Q5944" s="2" t="b">
        <f>FALSE()</f>
        <v>0</v>
      </c>
      <c r="R5944">
        <v>1</v>
      </c>
    </row>
    <row r="5945" spans="1:18" x14ac:dyDescent="0.25">
      <c r="A5945">
        <v>205944</v>
      </c>
      <c r="B5945">
        <v>52651</v>
      </c>
      <c r="C5945" t="s">
        <v>34</v>
      </c>
      <c r="D5945">
        <v>3578.78</v>
      </c>
      <c r="E5945">
        <v>1054</v>
      </c>
      <c r="F5945">
        <v>0</v>
      </c>
      <c r="G5945">
        <v>8</v>
      </c>
      <c r="H5945">
        <v>0</v>
      </c>
      <c r="I5945" t="s">
        <v>19</v>
      </c>
      <c r="J5945">
        <v>1</v>
      </c>
      <c r="K5945">
        <v>61</v>
      </c>
      <c r="L5945" t="s">
        <v>24</v>
      </c>
      <c r="M5945" t="s">
        <v>25</v>
      </c>
      <c r="N5945" t="s">
        <v>22</v>
      </c>
      <c r="O5945" t="s">
        <v>27</v>
      </c>
      <c r="P5945">
        <v>1.03</v>
      </c>
      <c r="Q5945" s="2" t="b">
        <f>FALSE()</f>
        <v>0</v>
      </c>
      <c r="R5945">
        <v>1</v>
      </c>
    </row>
    <row r="5946" spans="1:18" x14ac:dyDescent="0.25">
      <c r="A5946">
        <v>205945</v>
      </c>
      <c r="B5946">
        <v>52774</v>
      </c>
      <c r="C5946" t="s">
        <v>34</v>
      </c>
      <c r="D5946">
        <v>4037.56</v>
      </c>
      <c r="E5946">
        <v>1863</v>
      </c>
      <c r="F5946">
        <v>1</v>
      </c>
      <c r="G5946">
        <v>4</v>
      </c>
      <c r="H5946">
        <v>0</v>
      </c>
      <c r="I5946" t="s">
        <v>33</v>
      </c>
      <c r="J5946">
        <v>0</v>
      </c>
      <c r="K5946">
        <v>47</v>
      </c>
      <c r="L5946" t="s">
        <v>20</v>
      </c>
      <c r="M5946" t="s">
        <v>37</v>
      </c>
      <c r="N5946" t="s">
        <v>30</v>
      </c>
      <c r="O5946" t="s">
        <v>23</v>
      </c>
      <c r="P5946">
        <v>1.72</v>
      </c>
      <c r="Q5946" s="2" t="b">
        <f>FALSE()</f>
        <v>0</v>
      </c>
      <c r="R5946">
        <v>1</v>
      </c>
    </row>
    <row r="5947" spans="1:18" x14ac:dyDescent="0.25">
      <c r="A5947">
        <v>205946</v>
      </c>
      <c r="B5947">
        <v>54373</v>
      </c>
      <c r="C5947" t="s">
        <v>28</v>
      </c>
      <c r="D5947">
        <v>6216.26</v>
      </c>
      <c r="E5947">
        <v>1826</v>
      </c>
      <c r="F5947">
        <v>1</v>
      </c>
      <c r="G5947">
        <v>7</v>
      </c>
      <c r="H5947">
        <v>0</v>
      </c>
      <c r="I5947" t="s">
        <v>33</v>
      </c>
      <c r="J5947">
        <v>0</v>
      </c>
      <c r="K5947">
        <v>45</v>
      </c>
      <c r="L5947" t="s">
        <v>20</v>
      </c>
      <c r="M5947" t="s">
        <v>29</v>
      </c>
      <c r="N5947" t="s">
        <v>22</v>
      </c>
      <c r="O5947" t="s">
        <v>27</v>
      </c>
      <c r="P5947">
        <v>2.0099999999999998</v>
      </c>
      <c r="Q5947" s="2" t="b">
        <f>FALSE()</f>
        <v>0</v>
      </c>
      <c r="R5947">
        <v>1</v>
      </c>
    </row>
    <row r="5948" spans="1:18" x14ac:dyDescent="0.25">
      <c r="A5948">
        <v>205947</v>
      </c>
      <c r="B5948">
        <v>50313</v>
      </c>
      <c r="C5948" t="s">
        <v>18</v>
      </c>
      <c r="D5948">
        <v>1713.91</v>
      </c>
      <c r="E5948">
        <v>997</v>
      </c>
      <c r="F5948">
        <v>2</v>
      </c>
      <c r="G5948">
        <v>4</v>
      </c>
      <c r="H5948">
        <v>0</v>
      </c>
      <c r="I5948" t="s">
        <v>19</v>
      </c>
      <c r="J5948">
        <v>0</v>
      </c>
      <c r="K5948">
        <v>38</v>
      </c>
      <c r="L5948" t="s">
        <v>20</v>
      </c>
      <c r="M5948" t="s">
        <v>31</v>
      </c>
      <c r="N5948" t="s">
        <v>26</v>
      </c>
      <c r="O5948" t="s">
        <v>23</v>
      </c>
      <c r="P5948">
        <v>2.37</v>
      </c>
      <c r="Q5948" s="2" t="b">
        <f>FALSE()</f>
        <v>0</v>
      </c>
      <c r="R5948">
        <v>0</v>
      </c>
    </row>
    <row r="5949" spans="1:18" x14ac:dyDescent="0.25">
      <c r="A5949">
        <v>205948</v>
      </c>
      <c r="B5949">
        <v>50764</v>
      </c>
      <c r="C5949" t="s">
        <v>34</v>
      </c>
      <c r="D5949">
        <v>866.35</v>
      </c>
      <c r="E5949">
        <v>2118</v>
      </c>
      <c r="F5949">
        <v>0</v>
      </c>
      <c r="G5949">
        <v>4</v>
      </c>
      <c r="H5949">
        <v>0</v>
      </c>
      <c r="I5949" t="s">
        <v>33</v>
      </c>
      <c r="J5949">
        <v>1</v>
      </c>
      <c r="K5949">
        <v>57</v>
      </c>
      <c r="L5949" t="s">
        <v>20</v>
      </c>
      <c r="M5949" t="s">
        <v>25</v>
      </c>
      <c r="N5949" t="s">
        <v>26</v>
      </c>
      <c r="O5949" t="s">
        <v>27</v>
      </c>
      <c r="P5949">
        <v>4.0999999999999996</v>
      </c>
      <c r="Q5949" s="2" t="b">
        <f>FALSE()</f>
        <v>0</v>
      </c>
      <c r="R5949">
        <v>0</v>
      </c>
    </row>
    <row r="5950" spans="1:18" x14ac:dyDescent="0.25">
      <c r="A5950">
        <v>205949</v>
      </c>
      <c r="B5950">
        <v>55763</v>
      </c>
      <c r="C5950" t="s">
        <v>18</v>
      </c>
      <c r="D5950">
        <v>663.53</v>
      </c>
      <c r="E5950">
        <v>1289</v>
      </c>
      <c r="F5950">
        <v>1</v>
      </c>
      <c r="G5950">
        <v>4</v>
      </c>
      <c r="H5950">
        <v>1</v>
      </c>
      <c r="I5950" t="s">
        <v>19</v>
      </c>
      <c r="J5950">
        <v>0</v>
      </c>
      <c r="K5950">
        <v>77</v>
      </c>
      <c r="L5950" t="s">
        <v>24</v>
      </c>
      <c r="M5950" t="s">
        <v>29</v>
      </c>
      <c r="N5950" t="s">
        <v>22</v>
      </c>
      <c r="O5950" t="s">
        <v>36</v>
      </c>
      <c r="P5950">
        <v>5.53</v>
      </c>
      <c r="Q5950" s="2" t="b">
        <f>FALSE()</f>
        <v>0</v>
      </c>
      <c r="R5950">
        <v>0</v>
      </c>
    </row>
    <row r="5951" spans="1:18" x14ac:dyDescent="0.25">
      <c r="A5951">
        <v>205950</v>
      </c>
      <c r="B5951">
        <v>55995</v>
      </c>
      <c r="C5951" t="s">
        <v>34</v>
      </c>
      <c r="D5951">
        <v>1354.12</v>
      </c>
      <c r="E5951">
        <v>2796</v>
      </c>
      <c r="F5951">
        <v>0</v>
      </c>
      <c r="G5951">
        <v>2</v>
      </c>
      <c r="H5951">
        <v>1</v>
      </c>
      <c r="I5951" t="s">
        <v>33</v>
      </c>
      <c r="J5951">
        <v>0</v>
      </c>
      <c r="K5951">
        <v>40</v>
      </c>
      <c r="L5951" t="s">
        <v>24</v>
      </c>
      <c r="M5951" t="s">
        <v>29</v>
      </c>
      <c r="N5951" t="s">
        <v>22</v>
      </c>
      <c r="O5951" t="s">
        <v>36</v>
      </c>
      <c r="P5951">
        <v>0.04</v>
      </c>
      <c r="Q5951" s="2" t="b">
        <f>FALSE()</f>
        <v>0</v>
      </c>
      <c r="R5951">
        <v>0</v>
      </c>
    </row>
    <row r="5952" spans="1:18" x14ac:dyDescent="0.25">
      <c r="A5952">
        <v>205951</v>
      </c>
      <c r="B5952">
        <v>55736</v>
      </c>
      <c r="C5952" t="s">
        <v>18</v>
      </c>
      <c r="D5952">
        <v>2301.12</v>
      </c>
      <c r="E5952">
        <v>3637</v>
      </c>
      <c r="F5952">
        <v>2</v>
      </c>
      <c r="G5952">
        <v>3</v>
      </c>
      <c r="H5952">
        <v>1</v>
      </c>
      <c r="I5952" t="s">
        <v>33</v>
      </c>
      <c r="J5952">
        <v>0</v>
      </c>
      <c r="K5952">
        <v>80</v>
      </c>
      <c r="L5952" t="s">
        <v>20</v>
      </c>
      <c r="M5952" t="s">
        <v>35</v>
      </c>
      <c r="N5952" t="s">
        <v>30</v>
      </c>
      <c r="O5952" t="s">
        <v>36</v>
      </c>
      <c r="P5952">
        <v>0.98</v>
      </c>
      <c r="Q5952" s="2" t="b">
        <f>FALSE()</f>
        <v>0</v>
      </c>
      <c r="R5952">
        <v>0</v>
      </c>
    </row>
    <row r="5953" spans="1:18" x14ac:dyDescent="0.25">
      <c r="A5953">
        <v>205952</v>
      </c>
      <c r="B5953">
        <v>50754</v>
      </c>
      <c r="C5953" t="s">
        <v>34</v>
      </c>
      <c r="D5953">
        <v>2396.5500000000002</v>
      </c>
      <c r="E5953">
        <v>2838</v>
      </c>
      <c r="F5953">
        <v>1</v>
      </c>
      <c r="G5953">
        <v>3</v>
      </c>
      <c r="H5953">
        <v>0</v>
      </c>
      <c r="I5953" t="s">
        <v>33</v>
      </c>
      <c r="J5953">
        <v>0</v>
      </c>
      <c r="K5953">
        <v>51</v>
      </c>
      <c r="L5953" t="s">
        <v>24</v>
      </c>
      <c r="M5953" t="s">
        <v>37</v>
      </c>
      <c r="N5953" t="s">
        <v>26</v>
      </c>
      <c r="O5953" t="s">
        <v>23</v>
      </c>
      <c r="P5953">
        <v>2.65</v>
      </c>
      <c r="Q5953" s="2" t="b">
        <f>FALSE()</f>
        <v>0</v>
      </c>
      <c r="R5953">
        <v>0</v>
      </c>
    </row>
    <row r="5954" spans="1:18" x14ac:dyDescent="0.25">
      <c r="A5954">
        <v>205953</v>
      </c>
      <c r="B5954">
        <v>51889</v>
      </c>
      <c r="C5954" t="s">
        <v>34</v>
      </c>
      <c r="D5954">
        <v>1804.95</v>
      </c>
      <c r="E5954">
        <v>1527</v>
      </c>
      <c r="F5954">
        <v>0</v>
      </c>
      <c r="G5954">
        <v>6</v>
      </c>
      <c r="H5954">
        <v>0</v>
      </c>
      <c r="I5954" t="s">
        <v>19</v>
      </c>
      <c r="J5954">
        <v>0</v>
      </c>
      <c r="K5954">
        <v>46</v>
      </c>
      <c r="L5954" t="s">
        <v>24</v>
      </c>
      <c r="M5954" t="s">
        <v>31</v>
      </c>
      <c r="N5954" t="s">
        <v>26</v>
      </c>
      <c r="O5954" t="s">
        <v>36</v>
      </c>
      <c r="P5954">
        <v>1.1499999999999999</v>
      </c>
      <c r="Q5954" s="2" t="b">
        <f>FALSE()</f>
        <v>0</v>
      </c>
      <c r="R5954">
        <v>0</v>
      </c>
    </row>
    <row r="5955" spans="1:18" x14ac:dyDescent="0.25">
      <c r="A5955">
        <v>205954</v>
      </c>
      <c r="B5955">
        <v>54242</v>
      </c>
      <c r="C5955" t="s">
        <v>18</v>
      </c>
      <c r="D5955">
        <v>3940.59</v>
      </c>
      <c r="E5955">
        <v>345</v>
      </c>
      <c r="F5955">
        <v>1</v>
      </c>
      <c r="G5955">
        <v>2</v>
      </c>
      <c r="H5955">
        <v>0</v>
      </c>
      <c r="I5955" t="s">
        <v>32</v>
      </c>
      <c r="J5955">
        <v>0</v>
      </c>
      <c r="K5955">
        <v>53</v>
      </c>
      <c r="L5955" t="s">
        <v>24</v>
      </c>
      <c r="M5955" t="s">
        <v>35</v>
      </c>
      <c r="N5955" t="s">
        <v>22</v>
      </c>
      <c r="O5955" t="s">
        <v>36</v>
      </c>
      <c r="P5955">
        <v>3.29</v>
      </c>
      <c r="Q5955" s="2" t="b">
        <f>FALSE()</f>
        <v>0</v>
      </c>
      <c r="R5955">
        <v>1</v>
      </c>
    </row>
    <row r="5956" spans="1:18" x14ac:dyDescent="0.25">
      <c r="A5956">
        <v>205955</v>
      </c>
      <c r="B5956">
        <v>53880</v>
      </c>
      <c r="C5956" t="s">
        <v>18</v>
      </c>
      <c r="D5956">
        <v>2806.69</v>
      </c>
      <c r="E5956">
        <v>962</v>
      </c>
      <c r="F5956">
        <v>0</v>
      </c>
      <c r="G5956">
        <v>5</v>
      </c>
      <c r="H5956">
        <v>0</v>
      </c>
      <c r="I5956" t="s">
        <v>32</v>
      </c>
      <c r="J5956">
        <v>0</v>
      </c>
      <c r="K5956">
        <v>80</v>
      </c>
      <c r="L5956" t="s">
        <v>24</v>
      </c>
      <c r="M5956" t="s">
        <v>25</v>
      </c>
      <c r="N5956" t="s">
        <v>30</v>
      </c>
      <c r="O5956" t="s">
        <v>36</v>
      </c>
      <c r="P5956">
        <v>3.39</v>
      </c>
      <c r="Q5956" s="2" t="b">
        <f>FALSE()</f>
        <v>0</v>
      </c>
      <c r="R5956">
        <v>0</v>
      </c>
    </row>
    <row r="5957" spans="1:18" x14ac:dyDescent="0.25">
      <c r="A5957">
        <v>205956</v>
      </c>
      <c r="B5957">
        <v>52810</v>
      </c>
      <c r="C5957" t="s">
        <v>18</v>
      </c>
      <c r="D5957">
        <v>708.72</v>
      </c>
      <c r="E5957">
        <v>3436</v>
      </c>
      <c r="F5957">
        <v>0</v>
      </c>
      <c r="G5957">
        <v>3</v>
      </c>
      <c r="H5957">
        <v>0</v>
      </c>
      <c r="I5957" t="s">
        <v>32</v>
      </c>
      <c r="J5957">
        <v>0</v>
      </c>
      <c r="K5957">
        <v>60</v>
      </c>
      <c r="L5957" t="s">
        <v>24</v>
      </c>
      <c r="M5957" t="s">
        <v>37</v>
      </c>
      <c r="N5957" t="s">
        <v>26</v>
      </c>
      <c r="O5957" t="s">
        <v>36</v>
      </c>
      <c r="P5957">
        <v>3.44</v>
      </c>
      <c r="Q5957" s="2" t="b">
        <f>FALSE()</f>
        <v>0</v>
      </c>
      <c r="R5957">
        <v>0</v>
      </c>
    </row>
    <row r="5958" spans="1:18" x14ac:dyDescent="0.25">
      <c r="A5958">
        <v>205957</v>
      </c>
      <c r="B5958">
        <v>50052</v>
      </c>
      <c r="C5958" t="s">
        <v>18</v>
      </c>
      <c r="D5958">
        <v>1048.8499999999999</v>
      </c>
      <c r="E5958">
        <v>695</v>
      </c>
      <c r="F5958">
        <v>2</v>
      </c>
      <c r="G5958">
        <v>3</v>
      </c>
      <c r="H5958">
        <v>0</v>
      </c>
      <c r="I5958" t="s">
        <v>33</v>
      </c>
      <c r="J5958">
        <v>0</v>
      </c>
      <c r="K5958">
        <v>57</v>
      </c>
      <c r="L5958" t="s">
        <v>24</v>
      </c>
      <c r="M5958" t="s">
        <v>37</v>
      </c>
      <c r="N5958" t="s">
        <v>26</v>
      </c>
      <c r="O5958" t="s">
        <v>27</v>
      </c>
      <c r="P5958">
        <v>0.99</v>
      </c>
      <c r="Q5958" s="2" t="b">
        <f>FALSE()</f>
        <v>0</v>
      </c>
      <c r="R5958">
        <v>0</v>
      </c>
    </row>
    <row r="5959" spans="1:18" x14ac:dyDescent="0.25">
      <c r="A5959">
        <v>205958</v>
      </c>
      <c r="B5959">
        <v>55510</v>
      </c>
      <c r="C5959" t="s">
        <v>34</v>
      </c>
      <c r="D5959">
        <v>722.74</v>
      </c>
      <c r="E5959">
        <v>1002</v>
      </c>
      <c r="F5959">
        <v>1</v>
      </c>
      <c r="G5959">
        <v>5</v>
      </c>
      <c r="H5959">
        <v>0</v>
      </c>
      <c r="I5959" t="s">
        <v>32</v>
      </c>
      <c r="J5959">
        <v>0</v>
      </c>
      <c r="K5959">
        <v>23</v>
      </c>
      <c r="L5959" t="s">
        <v>20</v>
      </c>
      <c r="M5959" t="s">
        <v>25</v>
      </c>
      <c r="N5959" t="s">
        <v>30</v>
      </c>
      <c r="O5959" t="s">
        <v>27</v>
      </c>
      <c r="P5959">
        <v>3.99</v>
      </c>
      <c r="Q5959" s="2" t="b">
        <f>FALSE()</f>
        <v>0</v>
      </c>
      <c r="R5959">
        <v>0</v>
      </c>
    </row>
    <row r="5960" spans="1:18" x14ac:dyDescent="0.25">
      <c r="A5960">
        <v>205959</v>
      </c>
      <c r="B5960">
        <v>51383</v>
      </c>
      <c r="C5960" t="s">
        <v>18</v>
      </c>
      <c r="D5960">
        <v>1796.6</v>
      </c>
      <c r="E5960">
        <v>1100</v>
      </c>
      <c r="F5960">
        <v>1</v>
      </c>
      <c r="G5960">
        <v>1</v>
      </c>
      <c r="H5960">
        <v>0</v>
      </c>
      <c r="I5960" t="s">
        <v>19</v>
      </c>
      <c r="J5960">
        <v>1</v>
      </c>
      <c r="K5960">
        <v>33</v>
      </c>
      <c r="L5960" t="s">
        <v>24</v>
      </c>
      <c r="M5960" t="s">
        <v>21</v>
      </c>
      <c r="N5960" t="s">
        <v>22</v>
      </c>
      <c r="O5960" t="s">
        <v>27</v>
      </c>
      <c r="P5960">
        <v>4.16</v>
      </c>
      <c r="Q5960" s="2" t="b">
        <f>FALSE()</f>
        <v>0</v>
      </c>
      <c r="R5960">
        <v>0</v>
      </c>
    </row>
    <row r="5961" spans="1:18" x14ac:dyDescent="0.25">
      <c r="A5961">
        <v>205960</v>
      </c>
      <c r="B5961">
        <v>51732</v>
      </c>
      <c r="C5961" t="s">
        <v>28</v>
      </c>
      <c r="D5961">
        <v>2940.85</v>
      </c>
      <c r="E5961">
        <v>3505</v>
      </c>
      <c r="F5961">
        <v>0</v>
      </c>
      <c r="G5961">
        <v>6</v>
      </c>
      <c r="H5961">
        <v>0</v>
      </c>
      <c r="I5961" t="s">
        <v>32</v>
      </c>
      <c r="J5961">
        <v>0</v>
      </c>
      <c r="K5961">
        <v>55</v>
      </c>
      <c r="L5961" t="s">
        <v>20</v>
      </c>
      <c r="M5961" t="s">
        <v>25</v>
      </c>
      <c r="N5961" t="s">
        <v>22</v>
      </c>
      <c r="O5961" t="s">
        <v>36</v>
      </c>
      <c r="P5961">
        <v>1.78</v>
      </c>
      <c r="Q5961" s="2" t="b">
        <f>FALSE()</f>
        <v>0</v>
      </c>
      <c r="R5961">
        <v>0</v>
      </c>
    </row>
    <row r="5962" spans="1:18" x14ac:dyDescent="0.25">
      <c r="A5962">
        <v>205961</v>
      </c>
      <c r="B5962">
        <v>52354</v>
      </c>
      <c r="C5962" t="s">
        <v>18</v>
      </c>
      <c r="D5962">
        <v>1694.97</v>
      </c>
      <c r="E5962">
        <v>75</v>
      </c>
      <c r="F5962">
        <v>1</v>
      </c>
      <c r="G5962">
        <v>5</v>
      </c>
      <c r="H5962">
        <v>0</v>
      </c>
      <c r="I5962" t="s">
        <v>19</v>
      </c>
      <c r="J5962">
        <v>1</v>
      </c>
      <c r="K5962">
        <v>32</v>
      </c>
      <c r="L5962" t="s">
        <v>20</v>
      </c>
      <c r="M5962" t="s">
        <v>31</v>
      </c>
      <c r="N5962" t="s">
        <v>22</v>
      </c>
      <c r="O5962" t="s">
        <v>23</v>
      </c>
      <c r="P5962">
        <v>10.38</v>
      </c>
      <c r="Q5962" s="2" t="b">
        <f>FALSE()</f>
        <v>0</v>
      </c>
      <c r="R5962">
        <v>0</v>
      </c>
    </row>
    <row r="5963" spans="1:18" x14ac:dyDescent="0.25">
      <c r="A5963">
        <v>205962</v>
      </c>
      <c r="B5963">
        <v>54635</v>
      </c>
      <c r="C5963" t="s">
        <v>34</v>
      </c>
      <c r="D5963">
        <v>489.94</v>
      </c>
      <c r="E5963">
        <v>2619</v>
      </c>
      <c r="F5963">
        <v>2</v>
      </c>
      <c r="G5963">
        <v>5</v>
      </c>
      <c r="H5963">
        <v>1</v>
      </c>
      <c r="I5963" t="s">
        <v>19</v>
      </c>
      <c r="J5963">
        <v>0</v>
      </c>
      <c r="K5963">
        <v>83</v>
      </c>
      <c r="L5963" t="s">
        <v>24</v>
      </c>
      <c r="M5963" t="s">
        <v>25</v>
      </c>
      <c r="N5963" t="s">
        <v>22</v>
      </c>
      <c r="O5963" t="s">
        <v>23</v>
      </c>
      <c r="P5963">
        <v>0.99</v>
      </c>
      <c r="Q5963" s="2" t="b">
        <f>FALSE()</f>
        <v>0</v>
      </c>
      <c r="R5963">
        <v>0</v>
      </c>
    </row>
    <row r="5964" spans="1:18" x14ac:dyDescent="0.25">
      <c r="A5964">
        <v>205963</v>
      </c>
      <c r="B5964">
        <v>52421</v>
      </c>
      <c r="C5964" t="s">
        <v>18</v>
      </c>
      <c r="D5964">
        <v>1576.75</v>
      </c>
      <c r="E5964">
        <v>3522</v>
      </c>
      <c r="F5964">
        <v>0</v>
      </c>
      <c r="G5964">
        <v>3</v>
      </c>
      <c r="H5964">
        <v>0</v>
      </c>
      <c r="I5964" t="s">
        <v>19</v>
      </c>
      <c r="J5964">
        <v>0</v>
      </c>
      <c r="K5964">
        <v>70</v>
      </c>
      <c r="L5964" t="s">
        <v>20</v>
      </c>
      <c r="M5964" t="s">
        <v>21</v>
      </c>
      <c r="N5964" t="s">
        <v>22</v>
      </c>
      <c r="O5964" t="s">
        <v>36</v>
      </c>
      <c r="P5964">
        <v>4.1500000000000004</v>
      </c>
      <c r="Q5964" s="2" t="b">
        <f>FALSE()</f>
        <v>0</v>
      </c>
      <c r="R5964">
        <v>0</v>
      </c>
    </row>
    <row r="5965" spans="1:18" x14ac:dyDescent="0.25">
      <c r="A5965">
        <v>205964</v>
      </c>
      <c r="B5965">
        <v>55301</v>
      </c>
      <c r="C5965" t="s">
        <v>34</v>
      </c>
      <c r="D5965">
        <v>292.36</v>
      </c>
      <c r="E5965">
        <v>1849</v>
      </c>
      <c r="F5965">
        <v>2</v>
      </c>
      <c r="G5965">
        <v>2</v>
      </c>
      <c r="H5965">
        <v>0</v>
      </c>
      <c r="I5965" t="s">
        <v>19</v>
      </c>
      <c r="J5965">
        <v>0</v>
      </c>
      <c r="K5965">
        <v>52</v>
      </c>
      <c r="L5965" t="s">
        <v>20</v>
      </c>
      <c r="M5965" t="s">
        <v>35</v>
      </c>
      <c r="N5965" t="s">
        <v>30</v>
      </c>
      <c r="O5965" t="s">
        <v>27</v>
      </c>
      <c r="P5965">
        <v>5.43</v>
      </c>
      <c r="Q5965" s="2" t="b">
        <f>FALSE()</f>
        <v>0</v>
      </c>
      <c r="R5965">
        <v>0</v>
      </c>
    </row>
    <row r="5966" spans="1:18" x14ac:dyDescent="0.25">
      <c r="A5966">
        <v>205965</v>
      </c>
      <c r="B5966">
        <v>52919</v>
      </c>
      <c r="C5966" t="s">
        <v>34</v>
      </c>
      <c r="D5966">
        <v>6088.52</v>
      </c>
      <c r="E5966">
        <v>3412</v>
      </c>
      <c r="F5966">
        <v>3</v>
      </c>
      <c r="G5966">
        <v>6</v>
      </c>
      <c r="H5966">
        <v>0</v>
      </c>
      <c r="I5966" t="s">
        <v>33</v>
      </c>
      <c r="J5966">
        <v>1</v>
      </c>
      <c r="K5966">
        <v>68</v>
      </c>
      <c r="L5966" t="s">
        <v>24</v>
      </c>
      <c r="M5966" t="s">
        <v>37</v>
      </c>
      <c r="N5966" t="s">
        <v>26</v>
      </c>
      <c r="O5966" t="s">
        <v>27</v>
      </c>
      <c r="P5966">
        <v>3.66</v>
      </c>
      <c r="Q5966" s="2" t="b">
        <f>FALSE()</f>
        <v>0</v>
      </c>
      <c r="R5966">
        <v>1</v>
      </c>
    </row>
    <row r="5967" spans="1:18" x14ac:dyDescent="0.25">
      <c r="A5967">
        <v>205966</v>
      </c>
      <c r="B5967">
        <v>52168</v>
      </c>
      <c r="C5967" t="s">
        <v>18</v>
      </c>
      <c r="D5967">
        <v>6071.87</v>
      </c>
      <c r="E5967">
        <v>1042</v>
      </c>
      <c r="F5967">
        <v>0</v>
      </c>
      <c r="G5967">
        <v>4</v>
      </c>
      <c r="H5967">
        <v>0</v>
      </c>
      <c r="I5967" t="s">
        <v>19</v>
      </c>
      <c r="J5967">
        <v>1</v>
      </c>
      <c r="K5967">
        <v>26</v>
      </c>
      <c r="L5967" t="s">
        <v>24</v>
      </c>
      <c r="M5967" t="s">
        <v>21</v>
      </c>
      <c r="N5967" t="s">
        <v>30</v>
      </c>
      <c r="O5967" t="s">
        <v>27</v>
      </c>
      <c r="P5967">
        <v>0.38</v>
      </c>
      <c r="Q5967" s="2" t="b">
        <f>FALSE()</f>
        <v>0</v>
      </c>
      <c r="R5967">
        <v>1</v>
      </c>
    </row>
    <row r="5968" spans="1:18" x14ac:dyDescent="0.25">
      <c r="A5968">
        <v>205967</v>
      </c>
      <c r="B5968">
        <v>54451</v>
      </c>
      <c r="C5968" t="s">
        <v>18</v>
      </c>
      <c r="D5968">
        <v>1787.16</v>
      </c>
      <c r="E5968">
        <v>1724</v>
      </c>
      <c r="F5968">
        <v>1</v>
      </c>
      <c r="G5968">
        <v>5</v>
      </c>
      <c r="H5968">
        <v>1</v>
      </c>
      <c r="I5968" t="s">
        <v>33</v>
      </c>
      <c r="J5968">
        <v>0</v>
      </c>
      <c r="K5968">
        <v>26</v>
      </c>
      <c r="L5968" t="s">
        <v>24</v>
      </c>
      <c r="M5968" t="s">
        <v>25</v>
      </c>
      <c r="N5968" t="s">
        <v>22</v>
      </c>
      <c r="O5968" t="s">
        <v>36</v>
      </c>
      <c r="P5968">
        <v>2.66</v>
      </c>
      <c r="Q5968" s="2" t="b">
        <f>FALSE()</f>
        <v>0</v>
      </c>
      <c r="R5968">
        <v>0</v>
      </c>
    </row>
    <row r="5969" spans="1:18" x14ac:dyDescent="0.25">
      <c r="A5969">
        <v>205968</v>
      </c>
      <c r="B5969">
        <v>50299</v>
      </c>
      <c r="C5969" t="s">
        <v>34</v>
      </c>
      <c r="D5969">
        <v>1406.64</v>
      </c>
      <c r="E5969">
        <v>864</v>
      </c>
      <c r="F5969">
        <v>2</v>
      </c>
      <c r="G5969">
        <v>1</v>
      </c>
      <c r="H5969">
        <v>0</v>
      </c>
      <c r="I5969" t="s">
        <v>33</v>
      </c>
      <c r="J5969">
        <v>0</v>
      </c>
      <c r="K5969">
        <v>26</v>
      </c>
      <c r="L5969" t="s">
        <v>20</v>
      </c>
      <c r="M5969" t="s">
        <v>21</v>
      </c>
      <c r="N5969" t="s">
        <v>22</v>
      </c>
      <c r="O5969" t="s">
        <v>27</v>
      </c>
      <c r="P5969">
        <v>9.49</v>
      </c>
      <c r="Q5969" s="2" t="b">
        <f>FALSE()</f>
        <v>0</v>
      </c>
      <c r="R5969">
        <v>0</v>
      </c>
    </row>
    <row r="5970" spans="1:18" x14ac:dyDescent="0.25">
      <c r="A5970">
        <v>205969</v>
      </c>
      <c r="B5970">
        <v>55933</v>
      </c>
      <c r="C5970" t="s">
        <v>18</v>
      </c>
      <c r="D5970">
        <v>2215.73</v>
      </c>
      <c r="E5970">
        <v>2485</v>
      </c>
      <c r="F5970">
        <v>0</v>
      </c>
      <c r="G5970">
        <v>1</v>
      </c>
      <c r="H5970">
        <v>1</v>
      </c>
      <c r="I5970" t="s">
        <v>19</v>
      </c>
      <c r="J5970">
        <v>0</v>
      </c>
      <c r="K5970">
        <v>56</v>
      </c>
      <c r="L5970" t="s">
        <v>24</v>
      </c>
      <c r="M5970" t="s">
        <v>31</v>
      </c>
      <c r="N5970" t="s">
        <v>22</v>
      </c>
      <c r="O5970" t="s">
        <v>23</v>
      </c>
      <c r="P5970">
        <v>0.03</v>
      </c>
      <c r="Q5970" s="2" t="b">
        <f>FALSE()</f>
        <v>0</v>
      </c>
      <c r="R5970">
        <v>0</v>
      </c>
    </row>
    <row r="5971" spans="1:18" x14ac:dyDescent="0.25">
      <c r="A5971">
        <v>205970</v>
      </c>
      <c r="B5971">
        <v>54856</v>
      </c>
      <c r="C5971" t="s">
        <v>18</v>
      </c>
      <c r="D5971">
        <v>6444.15</v>
      </c>
      <c r="E5971">
        <v>2559</v>
      </c>
      <c r="F5971">
        <v>0</v>
      </c>
      <c r="G5971">
        <v>1</v>
      </c>
      <c r="H5971">
        <v>0</v>
      </c>
      <c r="I5971" t="s">
        <v>33</v>
      </c>
      <c r="J5971">
        <v>0</v>
      </c>
      <c r="K5971">
        <v>58</v>
      </c>
      <c r="L5971" t="s">
        <v>24</v>
      </c>
      <c r="M5971" t="s">
        <v>25</v>
      </c>
      <c r="N5971" t="s">
        <v>22</v>
      </c>
      <c r="O5971" t="s">
        <v>27</v>
      </c>
      <c r="P5971">
        <v>2.8</v>
      </c>
      <c r="Q5971" s="2" t="b">
        <f>FALSE()</f>
        <v>0</v>
      </c>
      <c r="R5971">
        <v>1</v>
      </c>
    </row>
    <row r="5972" spans="1:18" x14ac:dyDescent="0.25">
      <c r="A5972">
        <v>205971</v>
      </c>
      <c r="B5972">
        <v>55737</v>
      </c>
      <c r="C5972" t="s">
        <v>18</v>
      </c>
      <c r="D5972">
        <v>2858.39</v>
      </c>
      <c r="E5972">
        <v>988</v>
      </c>
      <c r="F5972">
        <v>0</v>
      </c>
      <c r="G5972">
        <v>5</v>
      </c>
      <c r="H5972">
        <v>1</v>
      </c>
      <c r="I5972" t="s">
        <v>19</v>
      </c>
      <c r="J5972">
        <v>0</v>
      </c>
      <c r="K5972">
        <v>43</v>
      </c>
      <c r="L5972" t="s">
        <v>20</v>
      </c>
      <c r="M5972" t="s">
        <v>35</v>
      </c>
      <c r="N5972" t="s">
        <v>22</v>
      </c>
      <c r="O5972" t="s">
        <v>23</v>
      </c>
      <c r="P5972">
        <v>5.47</v>
      </c>
      <c r="Q5972" s="2" t="b">
        <f>FALSE()</f>
        <v>0</v>
      </c>
      <c r="R5972">
        <v>0</v>
      </c>
    </row>
    <row r="5973" spans="1:18" x14ac:dyDescent="0.25">
      <c r="A5973">
        <v>205972</v>
      </c>
      <c r="B5973">
        <v>52349</v>
      </c>
      <c r="C5973" t="s">
        <v>18</v>
      </c>
      <c r="D5973">
        <v>650.91999999999996</v>
      </c>
      <c r="E5973">
        <v>2432</v>
      </c>
      <c r="F5973">
        <v>0</v>
      </c>
      <c r="G5973">
        <v>6</v>
      </c>
      <c r="H5973">
        <v>0</v>
      </c>
      <c r="I5973" t="s">
        <v>33</v>
      </c>
      <c r="J5973">
        <v>0</v>
      </c>
      <c r="K5973">
        <v>65</v>
      </c>
      <c r="L5973" t="s">
        <v>24</v>
      </c>
      <c r="M5973" t="s">
        <v>31</v>
      </c>
      <c r="N5973" t="s">
        <v>22</v>
      </c>
      <c r="O5973" t="s">
        <v>36</v>
      </c>
      <c r="P5973">
        <v>3.38</v>
      </c>
      <c r="Q5973" s="2" t="b">
        <f>FALSE()</f>
        <v>0</v>
      </c>
      <c r="R5973">
        <v>0</v>
      </c>
    </row>
    <row r="5974" spans="1:18" x14ac:dyDescent="0.25">
      <c r="A5974">
        <v>205973</v>
      </c>
      <c r="B5974">
        <v>52349</v>
      </c>
      <c r="C5974" t="s">
        <v>18</v>
      </c>
      <c r="D5974">
        <v>4014.44</v>
      </c>
      <c r="E5974">
        <v>471</v>
      </c>
      <c r="F5974">
        <v>1</v>
      </c>
      <c r="G5974">
        <v>2</v>
      </c>
      <c r="H5974">
        <v>0</v>
      </c>
      <c r="I5974" t="s">
        <v>19</v>
      </c>
      <c r="J5974">
        <v>0</v>
      </c>
      <c r="K5974">
        <v>82</v>
      </c>
      <c r="L5974" t="s">
        <v>24</v>
      </c>
      <c r="M5974" t="s">
        <v>35</v>
      </c>
      <c r="N5974" t="s">
        <v>22</v>
      </c>
      <c r="O5974" t="s">
        <v>27</v>
      </c>
      <c r="P5974">
        <v>1.58</v>
      </c>
      <c r="Q5974" s="2" t="b">
        <f>FALSE()</f>
        <v>0</v>
      </c>
      <c r="R5974">
        <v>1</v>
      </c>
    </row>
    <row r="5975" spans="1:18" x14ac:dyDescent="0.25">
      <c r="A5975">
        <v>205974</v>
      </c>
      <c r="B5975">
        <v>55364</v>
      </c>
      <c r="C5975" t="s">
        <v>18</v>
      </c>
      <c r="D5975">
        <v>2054.86</v>
      </c>
      <c r="E5975">
        <v>550</v>
      </c>
      <c r="F5975">
        <v>1</v>
      </c>
      <c r="G5975">
        <v>4</v>
      </c>
      <c r="H5975">
        <v>0</v>
      </c>
      <c r="I5975" t="s">
        <v>19</v>
      </c>
      <c r="J5975">
        <v>0</v>
      </c>
      <c r="K5975">
        <v>32</v>
      </c>
      <c r="L5975" t="s">
        <v>20</v>
      </c>
      <c r="M5975" t="s">
        <v>37</v>
      </c>
      <c r="N5975" t="s">
        <v>22</v>
      </c>
      <c r="O5975" t="s">
        <v>27</v>
      </c>
      <c r="P5975">
        <v>7.82</v>
      </c>
      <c r="Q5975" s="2" t="b">
        <f>FALSE()</f>
        <v>0</v>
      </c>
      <c r="R5975">
        <v>0</v>
      </c>
    </row>
    <row r="5976" spans="1:18" x14ac:dyDescent="0.25">
      <c r="A5976">
        <v>205975</v>
      </c>
      <c r="B5976">
        <v>55474</v>
      </c>
      <c r="C5976" t="s">
        <v>28</v>
      </c>
      <c r="D5976">
        <v>4401.82</v>
      </c>
      <c r="E5976">
        <v>2019</v>
      </c>
      <c r="F5976">
        <v>1</v>
      </c>
      <c r="G5976">
        <v>7</v>
      </c>
      <c r="H5976">
        <v>0</v>
      </c>
      <c r="I5976" t="s">
        <v>33</v>
      </c>
      <c r="J5976">
        <v>1</v>
      </c>
      <c r="K5976">
        <v>82</v>
      </c>
      <c r="L5976" t="s">
        <v>20</v>
      </c>
      <c r="M5976" t="s">
        <v>25</v>
      </c>
      <c r="N5976" t="s">
        <v>26</v>
      </c>
      <c r="O5976" t="s">
        <v>27</v>
      </c>
      <c r="P5976">
        <v>0.5</v>
      </c>
      <c r="Q5976" s="2" t="b">
        <f>FALSE()</f>
        <v>0</v>
      </c>
      <c r="R5976">
        <v>1</v>
      </c>
    </row>
    <row r="5977" spans="1:18" x14ac:dyDescent="0.25">
      <c r="A5977">
        <v>205976</v>
      </c>
      <c r="B5977">
        <v>50578</v>
      </c>
      <c r="C5977" t="s">
        <v>18</v>
      </c>
      <c r="D5977">
        <v>667.89</v>
      </c>
      <c r="E5977">
        <v>1484</v>
      </c>
      <c r="F5977">
        <v>0</v>
      </c>
      <c r="G5977">
        <v>3</v>
      </c>
      <c r="H5977">
        <v>0</v>
      </c>
      <c r="I5977" t="s">
        <v>33</v>
      </c>
      <c r="J5977">
        <v>0</v>
      </c>
      <c r="K5977">
        <v>36</v>
      </c>
      <c r="L5977" t="s">
        <v>24</v>
      </c>
      <c r="M5977" t="s">
        <v>37</v>
      </c>
      <c r="N5977" t="s">
        <v>30</v>
      </c>
      <c r="O5977" t="s">
        <v>36</v>
      </c>
      <c r="P5977">
        <v>3.02</v>
      </c>
      <c r="Q5977" s="2" t="b">
        <f>FALSE()</f>
        <v>0</v>
      </c>
      <c r="R5977">
        <v>0</v>
      </c>
    </row>
    <row r="5978" spans="1:18" x14ac:dyDescent="0.25">
      <c r="A5978">
        <v>205977</v>
      </c>
      <c r="B5978">
        <v>51348</v>
      </c>
      <c r="C5978" t="s">
        <v>34</v>
      </c>
      <c r="D5978">
        <v>5976.12</v>
      </c>
      <c r="E5978">
        <v>870</v>
      </c>
      <c r="F5978">
        <v>0</v>
      </c>
      <c r="G5978">
        <v>3</v>
      </c>
      <c r="H5978">
        <v>1</v>
      </c>
      <c r="I5978" t="s">
        <v>33</v>
      </c>
      <c r="J5978">
        <v>0</v>
      </c>
      <c r="K5978">
        <v>55</v>
      </c>
      <c r="L5978" t="s">
        <v>20</v>
      </c>
      <c r="M5978" t="s">
        <v>21</v>
      </c>
      <c r="N5978" t="s">
        <v>30</v>
      </c>
      <c r="O5978" t="s">
        <v>27</v>
      </c>
      <c r="P5978">
        <v>3.39</v>
      </c>
      <c r="Q5978" s="2" t="b">
        <f>FALSE()</f>
        <v>0</v>
      </c>
      <c r="R5978">
        <v>1</v>
      </c>
    </row>
    <row r="5979" spans="1:18" x14ac:dyDescent="0.25">
      <c r="A5979">
        <v>205978</v>
      </c>
      <c r="B5979">
        <v>52141</v>
      </c>
      <c r="C5979" t="s">
        <v>18</v>
      </c>
      <c r="D5979">
        <v>1115.21</v>
      </c>
      <c r="E5979">
        <v>373</v>
      </c>
      <c r="F5979">
        <v>0</v>
      </c>
      <c r="G5979">
        <v>1</v>
      </c>
      <c r="H5979">
        <v>1</v>
      </c>
      <c r="I5979" t="s">
        <v>33</v>
      </c>
      <c r="J5979">
        <v>0</v>
      </c>
      <c r="K5979">
        <v>21</v>
      </c>
      <c r="L5979" t="s">
        <v>24</v>
      </c>
      <c r="M5979" t="s">
        <v>29</v>
      </c>
      <c r="N5979" t="s">
        <v>22</v>
      </c>
      <c r="O5979" t="s">
        <v>23</v>
      </c>
      <c r="P5979">
        <v>0.25</v>
      </c>
      <c r="Q5979" s="2" t="b">
        <f>FALSE()</f>
        <v>0</v>
      </c>
      <c r="R5979">
        <v>0</v>
      </c>
    </row>
    <row r="5980" spans="1:18" x14ac:dyDescent="0.25">
      <c r="A5980">
        <v>205979</v>
      </c>
      <c r="B5980">
        <v>51307</v>
      </c>
      <c r="C5980" t="s">
        <v>18</v>
      </c>
      <c r="D5980">
        <v>3435.49</v>
      </c>
      <c r="E5980">
        <v>1394</v>
      </c>
      <c r="F5980">
        <v>2</v>
      </c>
      <c r="G5980">
        <v>2</v>
      </c>
      <c r="H5980">
        <v>0</v>
      </c>
      <c r="I5980" t="s">
        <v>33</v>
      </c>
      <c r="J5980">
        <v>1</v>
      </c>
      <c r="K5980">
        <v>33</v>
      </c>
      <c r="L5980" t="s">
        <v>20</v>
      </c>
      <c r="M5980" t="s">
        <v>29</v>
      </c>
      <c r="N5980" t="s">
        <v>22</v>
      </c>
      <c r="O5980" t="s">
        <v>27</v>
      </c>
      <c r="P5980">
        <v>1.8</v>
      </c>
      <c r="Q5980" s="2" t="b">
        <f>FALSE()</f>
        <v>0</v>
      </c>
      <c r="R5980">
        <v>0</v>
      </c>
    </row>
    <row r="5981" spans="1:18" x14ac:dyDescent="0.25">
      <c r="A5981">
        <v>205980</v>
      </c>
      <c r="B5981">
        <v>51224</v>
      </c>
      <c r="C5981" t="s">
        <v>18</v>
      </c>
      <c r="D5981">
        <v>3115.66</v>
      </c>
      <c r="E5981">
        <v>2590</v>
      </c>
      <c r="F5981">
        <v>1</v>
      </c>
      <c r="G5981">
        <v>3</v>
      </c>
      <c r="H5981">
        <v>0</v>
      </c>
      <c r="I5981" t="s">
        <v>33</v>
      </c>
      <c r="J5981">
        <v>0</v>
      </c>
      <c r="K5981">
        <v>27</v>
      </c>
      <c r="L5981" t="s">
        <v>20</v>
      </c>
      <c r="M5981" t="s">
        <v>21</v>
      </c>
      <c r="N5981" t="s">
        <v>22</v>
      </c>
      <c r="O5981" t="s">
        <v>27</v>
      </c>
      <c r="P5981">
        <v>1.58</v>
      </c>
      <c r="Q5981" s="2" t="b">
        <f>FALSE()</f>
        <v>0</v>
      </c>
      <c r="R5981">
        <v>0</v>
      </c>
    </row>
    <row r="5982" spans="1:18" x14ac:dyDescent="0.25">
      <c r="A5982">
        <v>205981</v>
      </c>
      <c r="B5982">
        <v>51005</v>
      </c>
      <c r="C5982" t="s">
        <v>18</v>
      </c>
      <c r="D5982">
        <v>2192.71</v>
      </c>
      <c r="E5982">
        <v>1704</v>
      </c>
      <c r="F5982">
        <v>0</v>
      </c>
      <c r="G5982">
        <v>3</v>
      </c>
      <c r="H5982">
        <v>0</v>
      </c>
      <c r="I5982" t="s">
        <v>33</v>
      </c>
      <c r="J5982">
        <v>0</v>
      </c>
      <c r="K5982">
        <v>52</v>
      </c>
      <c r="L5982" t="s">
        <v>24</v>
      </c>
      <c r="M5982" t="s">
        <v>31</v>
      </c>
      <c r="N5982" t="s">
        <v>22</v>
      </c>
      <c r="O5982" t="s">
        <v>23</v>
      </c>
      <c r="P5982">
        <v>2.0299999999999998</v>
      </c>
      <c r="Q5982" s="2" t="b">
        <f>FALSE()</f>
        <v>0</v>
      </c>
      <c r="R5982">
        <v>0</v>
      </c>
    </row>
    <row r="5983" spans="1:18" x14ac:dyDescent="0.25">
      <c r="A5983">
        <v>205982</v>
      </c>
      <c r="B5983">
        <v>54941</v>
      </c>
      <c r="C5983" t="s">
        <v>18</v>
      </c>
      <c r="D5983">
        <v>4035.32</v>
      </c>
      <c r="E5983">
        <v>1756</v>
      </c>
      <c r="F5983">
        <v>2</v>
      </c>
      <c r="G5983">
        <v>1</v>
      </c>
      <c r="H5983">
        <v>0</v>
      </c>
      <c r="I5983" t="s">
        <v>33</v>
      </c>
      <c r="J5983">
        <v>0</v>
      </c>
      <c r="K5983">
        <v>29</v>
      </c>
      <c r="L5983" t="s">
        <v>24</v>
      </c>
      <c r="M5983" t="s">
        <v>21</v>
      </c>
      <c r="N5983" t="s">
        <v>30</v>
      </c>
      <c r="O5983" t="s">
        <v>23</v>
      </c>
      <c r="P5983">
        <v>2.33</v>
      </c>
      <c r="Q5983" s="2" t="b">
        <f>FALSE()</f>
        <v>0</v>
      </c>
      <c r="R5983">
        <v>1</v>
      </c>
    </row>
    <row r="5984" spans="1:18" x14ac:dyDescent="0.25">
      <c r="A5984">
        <v>205983</v>
      </c>
      <c r="B5984">
        <v>50113</v>
      </c>
      <c r="C5984" t="s">
        <v>18</v>
      </c>
      <c r="D5984">
        <v>2028.16</v>
      </c>
      <c r="E5984">
        <v>1607</v>
      </c>
      <c r="F5984">
        <v>0</v>
      </c>
      <c r="G5984">
        <v>7</v>
      </c>
      <c r="H5984">
        <v>0</v>
      </c>
      <c r="I5984" t="s">
        <v>33</v>
      </c>
      <c r="J5984">
        <v>0</v>
      </c>
      <c r="K5984">
        <v>57</v>
      </c>
      <c r="L5984" t="s">
        <v>20</v>
      </c>
      <c r="M5984" t="s">
        <v>21</v>
      </c>
      <c r="N5984" t="s">
        <v>26</v>
      </c>
      <c r="O5984" t="s">
        <v>27</v>
      </c>
      <c r="P5984">
        <v>9.1999999999999993</v>
      </c>
      <c r="Q5984" s="2" t="b">
        <f>FALSE()</f>
        <v>0</v>
      </c>
      <c r="R5984">
        <v>1</v>
      </c>
    </row>
    <row r="5985" spans="1:18" x14ac:dyDescent="0.25">
      <c r="A5985">
        <v>205984</v>
      </c>
      <c r="B5985">
        <v>50237</v>
      </c>
      <c r="C5985" t="s">
        <v>18</v>
      </c>
      <c r="D5985">
        <v>1966.7</v>
      </c>
      <c r="E5985">
        <v>271</v>
      </c>
      <c r="F5985">
        <v>1</v>
      </c>
      <c r="G5985">
        <v>5</v>
      </c>
      <c r="H5985">
        <v>0</v>
      </c>
      <c r="I5985" t="s">
        <v>33</v>
      </c>
      <c r="J5985">
        <v>0</v>
      </c>
      <c r="K5985">
        <v>43</v>
      </c>
      <c r="L5985" t="s">
        <v>20</v>
      </c>
      <c r="M5985" t="s">
        <v>35</v>
      </c>
      <c r="N5985" t="s">
        <v>22</v>
      </c>
      <c r="O5985" t="s">
        <v>23</v>
      </c>
      <c r="P5985">
        <v>0.28999999999999998</v>
      </c>
      <c r="Q5985" s="2" t="b">
        <f>FALSE()</f>
        <v>0</v>
      </c>
      <c r="R5985">
        <v>0</v>
      </c>
    </row>
    <row r="5986" spans="1:18" x14ac:dyDescent="0.25">
      <c r="A5986">
        <v>205985</v>
      </c>
      <c r="B5986">
        <v>53956</v>
      </c>
      <c r="C5986" t="s">
        <v>18</v>
      </c>
      <c r="D5986">
        <v>1395.94</v>
      </c>
      <c r="E5986">
        <v>1282</v>
      </c>
      <c r="F5986">
        <v>1</v>
      </c>
      <c r="G5986">
        <v>2</v>
      </c>
      <c r="H5986">
        <v>0</v>
      </c>
      <c r="I5986" t="s">
        <v>33</v>
      </c>
      <c r="J5986">
        <v>1</v>
      </c>
      <c r="K5986">
        <v>76</v>
      </c>
      <c r="L5986" t="s">
        <v>24</v>
      </c>
      <c r="M5986" t="s">
        <v>21</v>
      </c>
      <c r="N5986" t="s">
        <v>22</v>
      </c>
      <c r="O5986" t="s">
        <v>36</v>
      </c>
      <c r="P5986">
        <v>3.55</v>
      </c>
      <c r="Q5986" s="2" t="b">
        <f>FALSE()</f>
        <v>0</v>
      </c>
      <c r="R5986">
        <v>0</v>
      </c>
    </row>
    <row r="5987" spans="1:18" x14ac:dyDescent="0.25">
      <c r="A5987">
        <v>205986</v>
      </c>
      <c r="B5987">
        <v>50937</v>
      </c>
      <c r="C5987" t="s">
        <v>28</v>
      </c>
      <c r="D5987">
        <v>2888.16</v>
      </c>
      <c r="E5987">
        <v>827</v>
      </c>
      <c r="F5987">
        <v>3</v>
      </c>
      <c r="G5987">
        <v>1</v>
      </c>
      <c r="H5987">
        <v>0</v>
      </c>
      <c r="I5987" t="s">
        <v>19</v>
      </c>
      <c r="J5987">
        <v>0</v>
      </c>
      <c r="K5987">
        <v>33</v>
      </c>
      <c r="L5987" t="s">
        <v>24</v>
      </c>
      <c r="M5987" t="s">
        <v>25</v>
      </c>
      <c r="N5987" t="s">
        <v>22</v>
      </c>
      <c r="O5987" t="s">
        <v>23</v>
      </c>
      <c r="P5987">
        <v>5.68</v>
      </c>
      <c r="Q5987" s="2" t="b">
        <f>FALSE()</f>
        <v>0</v>
      </c>
      <c r="R5987">
        <v>1</v>
      </c>
    </row>
    <row r="5988" spans="1:18" x14ac:dyDescent="0.25">
      <c r="A5988">
        <v>205987</v>
      </c>
      <c r="B5988">
        <v>50080</v>
      </c>
      <c r="C5988" t="s">
        <v>18</v>
      </c>
      <c r="D5988">
        <v>1974.29</v>
      </c>
      <c r="E5988">
        <v>711</v>
      </c>
      <c r="F5988">
        <v>1</v>
      </c>
      <c r="G5988">
        <v>3</v>
      </c>
      <c r="H5988">
        <v>1</v>
      </c>
      <c r="I5988" t="s">
        <v>33</v>
      </c>
      <c r="J5988">
        <v>0</v>
      </c>
      <c r="K5988">
        <v>46</v>
      </c>
      <c r="L5988" t="s">
        <v>20</v>
      </c>
      <c r="M5988" t="s">
        <v>31</v>
      </c>
      <c r="N5988" t="s">
        <v>30</v>
      </c>
      <c r="O5988" t="s">
        <v>36</v>
      </c>
      <c r="P5988">
        <v>0.55000000000000004</v>
      </c>
      <c r="Q5988" s="2" t="b">
        <f>FALSE()</f>
        <v>0</v>
      </c>
      <c r="R5988">
        <v>0</v>
      </c>
    </row>
    <row r="5989" spans="1:18" x14ac:dyDescent="0.25">
      <c r="A5989">
        <v>205988</v>
      </c>
      <c r="B5989">
        <v>55310</v>
      </c>
      <c r="C5989" t="s">
        <v>34</v>
      </c>
      <c r="D5989">
        <v>953.51</v>
      </c>
      <c r="E5989">
        <v>1215</v>
      </c>
      <c r="F5989">
        <v>2</v>
      </c>
      <c r="G5989">
        <v>6</v>
      </c>
      <c r="H5989">
        <v>0</v>
      </c>
      <c r="I5989" t="s">
        <v>33</v>
      </c>
      <c r="J5989">
        <v>0</v>
      </c>
      <c r="K5989">
        <v>55</v>
      </c>
      <c r="L5989" t="s">
        <v>20</v>
      </c>
      <c r="M5989" t="s">
        <v>25</v>
      </c>
      <c r="N5989" t="s">
        <v>22</v>
      </c>
      <c r="O5989" t="s">
        <v>36</v>
      </c>
      <c r="P5989">
        <v>0</v>
      </c>
      <c r="Q5989" s="2" t="b">
        <f>FALSE()</f>
        <v>0</v>
      </c>
      <c r="R5989">
        <v>0</v>
      </c>
    </row>
    <row r="5990" spans="1:18" x14ac:dyDescent="0.25">
      <c r="A5990">
        <v>205989</v>
      </c>
      <c r="B5990">
        <v>51782</v>
      </c>
      <c r="C5990" t="s">
        <v>18</v>
      </c>
      <c r="D5990">
        <v>2825.61</v>
      </c>
      <c r="E5990">
        <v>3514</v>
      </c>
      <c r="F5990">
        <v>0</v>
      </c>
      <c r="G5990">
        <v>2</v>
      </c>
      <c r="H5990">
        <v>0</v>
      </c>
      <c r="I5990" t="s">
        <v>19</v>
      </c>
      <c r="J5990">
        <v>0</v>
      </c>
      <c r="K5990">
        <v>28</v>
      </c>
      <c r="L5990" t="s">
        <v>20</v>
      </c>
      <c r="M5990" t="s">
        <v>25</v>
      </c>
      <c r="N5990" t="s">
        <v>22</v>
      </c>
      <c r="O5990" t="s">
        <v>27</v>
      </c>
      <c r="P5990">
        <v>2.4</v>
      </c>
      <c r="Q5990" s="2" t="b">
        <f>FALSE()</f>
        <v>0</v>
      </c>
      <c r="R5990">
        <v>0</v>
      </c>
    </row>
    <row r="5991" spans="1:18" x14ac:dyDescent="0.25">
      <c r="A5991">
        <v>205990</v>
      </c>
      <c r="B5991">
        <v>51651</v>
      </c>
      <c r="C5991" t="s">
        <v>34</v>
      </c>
      <c r="D5991">
        <v>987.02</v>
      </c>
      <c r="E5991">
        <v>2929</v>
      </c>
      <c r="F5991">
        <v>1</v>
      </c>
      <c r="G5991">
        <v>1</v>
      </c>
      <c r="H5991">
        <v>0</v>
      </c>
      <c r="I5991" t="s">
        <v>19</v>
      </c>
      <c r="J5991">
        <v>0</v>
      </c>
      <c r="K5991">
        <v>20</v>
      </c>
      <c r="L5991" t="s">
        <v>24</v>
      </c>
      <c r="M5991" t="s">
        <v>35</v>
      </c>
      <c r="N5991" t="s">
        <v>26</v>
      </c>
      <c r="O5991" t="s">
        <v>36</v>
      </c>
      <c r="P5991">
        <v>2.93</v>
      </c>
      <c r="Q5991" s="2" t="b">
        <f>FALSE()</f>
        <v>0</v>
      </c>
      <c r="R5991">
        <v>0</v>
      </c>
    </row>
    <row r="5992" spans="1:18" x14ac:dyDescent="0.25">
      <c r="A5992">
        <v>205991</v>
      </c>
      <c r="B5992">
        <v>55576</v>
      </c>
      <c r="C5992" t="s">
        <v>18</v>
      </c>
      <c r="D5992">
        <v>1052.8699999999999</v>
      </c>
      <c r="E5992">
        <v>1869</v>
      </c>
      <c r="F5992">
        <v>0</v>
      </c>
      <c r="G5992">
        <v>4</v>
      </c>
      <c r="H5992">
        <v>1</v>
      </c>
      <c r="I5992" t="s">
        <v>32</v>
      </c>
      <c r="J5992">
        <v>0</v>
      </c>
      <c r="K5992">
        <v>74</v>
      </c>
      <c r="L5992" t="s">
        <v>20</v>
      </c>
      <c r="M5992" t="s">
        <v>29</v>
      </c>
      <c r="N5992" t="s">
        <v>22</v>
      </c>
      <c r="O5992" t="s">
        <v>27</v>
      </c>
      <c r="P5992">
        <v>1.73</v>
      </c>
      <c r="Q5992" s="2" t="b">
        <f>FALSE()</f>
        <v>0</v>
      </c>
      <c r="R5992">
        <v>0</v>
      </c>
    </row>
    <row r="5993" spans="1:18" x14ac:dyDescent="0.25">
      <c r="A5993">
        <v>205992</v>
      </c>
      <c r="B5993">
        <v>54746</v>
      </c>
      <c r="C5993" t="s">
        <v>34</v>
      </c>
      <c r="D5993">
        <v>1525.52</v>
      </c>
      <c r="E5993">
        <v>3286</v>
      </c>
      <c r="F5993">
        <v>1</v>
      </c>
      <c r="G5993">
        <v>6</v>
      </c>
      <c r="H5993">
        <v>0</v>
      </c>
      <c r="I5993" t="s">
        <v>33</v>
      </c>
      <c r="J5993">
        <v>0</v>
      </c>
      <c r="K5993">
        <v>53</v>
      </c>
      <c r="L5993" t="s">
        <v>24</v>
      </c>
      <c r="M5993" t="s">
        <v>35</v>
      </c>
      <c r="N5993" t="s">
        <v>30</v>
      </c>
      <c r="O5993" t="s">
        <v>27</v>
      </c>
      <c r="P5993">
        <v>1.64</v>
      </c>
      <c r="Q5993" s="2" t="b">
        <f>FALSE()</f>
        <v>0</v>
      </c>
      <c r="R5993">
        <v>0</v>
      </c>
    </row>
    <row r="5994" spans="1:18" x14ac:dyDescent="0.25">
      <c r="A5994">
        <v>205993</v>
      </c>
      <c r="B5994">
        <v>52088</v>
      </c>
      <c r="C5994" t="s">
        <v>34</v>
      </c>
      <c r="D5994">
        <v>2296.44</v>
      </c>
      <c r="E5994">
        <v>1418</v>
      </c>
      <c r="F5994">
        <v>3</v>
      </c>
      <c r="G5994">
        <v>1</v>
      </c>
      <c r="H5994">
        <v>0</v>
      </c>
      <c r="I5994" t="s">
        <v>33</v>
      </c>
      <c r="J5994">
        <v>0</v>
      </c>
      <c r="K5994">
        <v>42</v>
      </c>
      <c r="L5994" t="s">
        <v>24</v>
      </c>
      <c r="M5994" t="s">
        <v>31</v>
      </c>
      <c r="N5994" t="s">
        <v>30</v>
      </c>
      <c r="O5994" t="s">
        <v>36</v>
      </c>
      <c r="P5994">
        <v>5.32</v>
      </c>
      <c r="Q5994" s="2" t="b">
        <f>FALSE()</f>
        <v>0</v>
      </c>
      <c r="R5994">
        <v>1</v>
      </c>
    </row>
    <row r="5995" spans="1:18" x14ac:dyDescent="0.25">
      <c r="A5995">
        <v>205994</v>
      </c>
      <c r="B5995">
        <v>51945</v>
      </c>
      <c r="C5995" t="s">
        <v>28</v>
      </c>
      <c r="D5995">
        <v>1940.41</v>
      </c>
      <c r="E5995">
        <v>49</v>
      </c>
      <c r="F5995">
        <v>2</v>
      </c>
      <c r="G5995">
        <v>4</v>
      </c>
      <c r="H5995">
        <v>0</v>
      </c>
      <c r="I5995" t="s">
        <v>33</v>
      </c>
      <c r="J5995">
        <v>0</v>
      </c>
      <c r="K5995">
        <v>70</v>
      </c>
      <c r="L5995" t="s">
        <v>20</v>
      </c>
      <c r="M5995" t="s">
        <v>37</v>
      </c>
      <c r="N5995" t="s">
        <v>22</v>
      </c>
      <c r="O5995" t="s">
        <v>27</v>
      </c>
      <c r="P5995">
        <v>2.97</v>
      </c>
      <c r="Q5995" s="2" t="b">
        <f>FALSE()</f>
        <v>0</v>
      </c>
      <c r="R5995">
        <v>0</v>
      </c>
    </row>
    <row r="5996" spans="1:18" x14ac:dyDescent="0.25">
      <c r="A5996">
        <v>205995</v>
      </c>
      <c r="B5996">
        <v>55130</v>
      </c>
      <c r="C5996" t="s">
        <v>28</v>
      </c>
      <c r="D5996">
        <v>465.08</v>
      </c>
      <c r="E5996">
        <v>2487</v>
      </c>
      <c r="F5996">
        <v>0</v>
      </c>
      <c r="G5996">
        <v>7</v>
      </c>
      <c r="H5996">
        <v>0</v>
      </c>
      <c r="I5996" t="s">
        <v>19</v>
      </c>
      <c r="J5996">
        <v>1</v>
      </c>
      <c r="K5996">
        <v>43</v>
      </c>
      <c r="L5996" t="s">
        <v>20</v>
      </c>
      <c r="M5996" t="s">
        <v>37</v>
      </c>
      <c r="N5996" t="s">
        <v>22</v>
      </c>
      <c r="O5996" t="s">
        <v>36</v>
      </c>
      <c r="P5996">
        <v>0.44</v>
      </c>
      <c r="Q5996" s="2" t="b">
        <f>FALSE()</f>
        <v>0</v>
      </c>
      <c r="R5996">
        <v>1</v>
      </c>
    </row>
    <row r="5997" spans="1:18" x14ac:dyDescent="0.25">
      <c r="A5997">
        <v>205996</v>
      </c>
      <c r="B5997">
        <v>53652</v>
      </c>
      <c r="C5997" t="s">
        <v>34</v>
      </c>
      <c r="D5997">
        <v>1059.97</v>
      </c>
      <c r="E5997">
        <v>2216</v>
      </c>
      <c r="F5997">
        <v>0</v>
      </c>
      <c r="G5997">
        <v>4</v>
      </c>
      <c r="H5997">
        <v>0</v>
      </c>
      <c r="I5997" t="s">
        <v>19</v>
      </c>
      <c r="J5997">
        <v>0</v>
      </c>
      <c r="K5997">
        <v>42</v>
      </c>
      <c r="L5997" t="s">
        <v>24</v>
      </c>
      <c r="M5997" t="s">
        <v>25</v>
      </c>
      <c r="N5997" t="s">
        <v>22</v>
      </c>
      <c r="O5997" t="s">
        <v>27</v>
      </c>
      <c r="P5997">
        <v>0.94</v>
      </c>
      <c r="Q5997" s="2" t="b">
        <f>FALSE()</f>
        <v>0</v>
      </c>
      <c r="R5997">
        <v>0</v>
      </c>
    </row>
    <row r="5998" spans="1:18" x14ac:dyDescent="0.25">
      <c r="A5998">
        <v>205997</v>
      </c>
      <c r="B5998">
        <v>54594</v>
      </c>
      <c r="C5998" t="s">
        <v>34</v>
      </c>
      <c r="D5998">
        <v>1519.41</v>
      </c>
      <c r="E5998">
        <v>2902</v>
      </c>
      <c r="F5998">
        <v>1</v>
      </c>
      <c r="G5998">
        <v>6</v>
      </c>
      <c r="H5998">
        <v>0</v>
      </c>
      <c r="I5998" t="s">
        <v>19</v>
      </c>
      <c r="J5998">
        <v>0</v>
      </c>
      <c r="K5998">
        <v>53</v>
      </c>
      <c r="L5998" t="s">
        <v>24</v>
      </c>
      <c r="M5998" t="s">
        <v>37</v>
      </c>
      <c r="N5998" t="s">
        <v>30</v>
      </c>
      <c r="O5998" t="s">
        <v>23</v>
      </c>
      <c r="P5998">
        <v>4.49</v>
      </c>
      <c r="Q5998" s="2" t="b">
        <f>FALSE()</f>
        <v>0</v>
      </c>
      <c r="R5998">
        <v>0</v>
      </c>
    </row>
    <row r="5999" spans="1:18" x14ac:dyDescent="0.25">
      <c r="A5999">
        <v>205998</v>
      </c>
      <c r="B5999">
        <v>51178</v>
      </c>
      <c r="C5999" t="s">
        <v>34</v>
      </c>
      <c r="D5999">
        <v>1852.84</v>
      </c>
      <c r="E5999">
        <v>1341</v>
      </c>
      <c r="F5999">
        <v>0</v>
      </c>
      <c r="G5999">
        <v>4</v>
      </c>
      <c r="H5999">
        <v>0</v>
      </c>
      <c r="I5999" t="s">
        <v>19</v>
      </c>
      <c r="J5999">
        <v>0</v>
      </c>
      <c r="K5999">
        <v>64</v>
      </c>
      <c r="L5999" t="s">
        <v>20</v>
      </c>
      <c r="M5999" t="s">
        <v>21</v>
      </c>
      <c r="N5999" t="s">
        <v>22</v>
      </c>
      <c r="O5999" t="s">
        <v>27</v>
      </c>
      <c r="P5999">
        <v>3.52</v>
      </c>
      <c r="Q5999" s="2" t="b">
        <f>FALSE()</f>
        <v>0</v>
      </c>
      <c r="R5999">
        <v>0</v>
      </c>
    </row>
    <row r="6000" spans="1:18" x14ac:dyDescent="0.25">
      <c r="A6000">
        <v>205999</v>
      </c>
      <c r="B6000">
        <v>54914</v>
      </c>
      <c r="C6000" t="s">
        <v>18</v>
      </c>
      <c r="D6000">
        <v>6362.72</v>
      </c>
      <c r="E6000">
        <v>1122</v>
      </c>
      <c r="F6000">
        <v>0</v>
      </c>
      <c r="G6000">
        <v>1</v>
      </c>
      <c r="H6000">
        <v>0</v>
      </c>
      <c r="I6000" t="s">
        <v>19</v>
      </c>
      <c r="J6000">
        <v>1</v>
      </c>
      <c r="K6000">
        <v>75</v>
      </c>
      <c r="L6000" t="s">
        <v>24</v>
      </c>
      <c r="M6000" t="s">
        <v>31</v>
      </c>
      <c r="N6000" t="s">
        <v>22</v>
      </c>
      <c r="O6000" t="s">
        <v>27</v>
      </c>
      <c r="P6000">
        <v>4.17</v>
      </c>
      <c r="Q6000" s="2" t="b">
        <f>FALSE()</f>
        <v>0</v>
      </c>
      <c r="R6000">
        <v>1</v>
      </c>
    </row>
    <row r="6001" spans="1:18" x14ac:dyDescent="0.25">
      <c r="A6001">
        <v>206000</v>
      </c>
      <c r="B6001">
        <v>55760</v>
      </c>
      <c r="C6001" t="s">
        <v>34</v>
      </c>
      <c r="D6001">
        <v>1847.13</v>
      </c>
      <c r="E6001">
        <v>289</v>
      </c>
      <c r="F6001">
        <v>0</v>
      </c>
      <c r="G6001">
        <v>7</v>
      </c>
      <c r="H6001">
        <v>0</v>
      </c>
      <c r="I6001" t="s">
        <v>19</v>
      </c>
      <c r="J6001">
        <v>1</v>
      </c>
      <c r="K6001">
        <v>23</v>
      </c>
      <c r="L6001" t="s">
        <v>24</v>
      </c>
      <c r="M6001" t="s">
        <v>37</v>
      </c>
      <c r="N6001" t="s">
        <v>30</v>
      </c>
      <c r="O6001" t="s">
        <v>36</v>
      </c>
      <c r="P6001">
        <v>1</v>
      </c>
      <c r="Q6001" s="2" t="b">
        <f>FALSE()</f>
        <v>0</v>
      </c>
      <c r="R6001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01"/>
  <sheetViews>
    <sheetView zoomScaleNormal="100" workbookViewId="0"/>
  </sheetViews>
  <sheetFormatPr defaultColWidth="8.7109375" defaultRowHeight="15" x14ac:dyDescent="0.25"/>
  <cols>
    <col min="1" max="2" width="22" customWidth="1"/>
  </cols>
  <sheetData>
    <row r="1" spans="1:2" ht="30" x14ac:dyDescent="0.25">
      <c r="A1" s="1" t="s">
        <v>39</v>
      </c>
      <c r="B1" s="1" t="s">
        <v>40</v>
      </c>
    </row>
    <row r="2" spans="1:2" x14ac:dyDescent="0.25">
      <c r="A2" s="3">
        <f>IF(Raw_Data!J2=0,Raw_Data!D2,"")</f>
        <v>1171.6199999999999</v>
      </c>
      <c r="B2" s="3" t="str">
        <f>IF(Raw_Data!J2=1,Raw_Data!D2,"")</f>
        <v/>
      </c>
    </row>
    <row r="3" spans="1:2" x14ac:dyDescent="0.25">
      <c r="A3" s="3">
        <f>IF(Raw_Data!J3=0,Raw_Data!D3,"")</f>
        <v>1192.21</v>
      </c>
      <c r="B3" s="3" t="str">
        <f>IF(Raw_Data!J3=1,Raw_Data!D3,"")</f>
        <v/>
      </c>
    </row>
    <row r="4" spans="1:2" x14ac:dyDescent="0.25">
      <c r="A4" s="3">
        <f>IF(Raw_Data!J4=0,Raw_Data!D4,"")</f>
        <v>3567.16</v>
      </c>
      <c r="B4" s="3" t="str">
        <f>IF(Raw_Data!J4=1,Raw_Data!D4,"")</f>
        <v/>
      </c>
    </row>
    <row r="5" spans="1:2" x14ac:dyDescent="0.25">
      <c r="A5" s="3">
        <f>IF(Raw_Data!J5=0,Raw_Data!D5,"")</f>
        <v>1311.54</v>
      </c>
      <c r="B5" s="3" t="str">
        <f>IF(Raw_Data!J5=1,Raw_Data!D5,"")</f>
        <v/>
      </c>
    </row>
    <row r="6" spans="1:2" x14ac:dyDescent="0.25">
      <c r="A6" s="3">
        <f>IF(Raw_Data!J6=0,Raw_Data!D6,"")</f>
        <v>1237.5899999999999</v>
      </c>
      <c r="B6" s="3" t="str">
        <f>IF(Raw_Data!J6=1,Raw_Data!D6,"")</f>
        <v/>
      </c>
    </row>
    <row r="7" spans="1:2" x14ac:dyDescent="0.25">
      <c r="A7" s="3">
        <f>IF(Raw_Data!J7=0,Raw_Data!D7,"")</f>
        <v>6705.69</v>
      </c>
      <c r="B7" s="3" t="str">
        <f>IF(Raw_Data!J7=1,Raw_Data!D7,"")</f>
        <v/>
      </c>
    </row>
    <row r="8" spans="1:2" x14ac:dyDescent="0.25">
      <c r="A8" s="3">
        <f>IF(Raw_Data!J8=0,Raw_Data!D8,"")</f>
        <v>1411.26</v>
      </c>
      <c r="B8" s="3" t="str">
        <f>IF(Raw_Data!J8=1,Raw_Data!D8,"")</f>
        <v/>
      </c>
    </row>
    <row r="9" spans="1:2" x14ac:dyDescent="0.25">
      <c r="A9" s="3">
        <f>IF(Raw_Data!J9=0,Raw_Data!D9,"")</f>
        <v>3183.48</v>
      </c>
      <c r="B9" s="3" t="str">
        <f>IF(Raw_Data!J9=1,Raw_Data!D9,"")</f>
        <v/>
      </c>
    </row>
    <row r="10" spans="1:2" x14ac:dyDescent="0.25">
      <c r="A10" s="3">
        <f>IF(Raw_Data!J10=0,Raw_Data!D10,"")</f>
        <v>2017.59</v>
      </c>
      <c r="B10" s="3" t="str">
        <f>IF(Raw_Data!J10=1,Raw_Data!D10,"")</f>
        <v/>
      </c>
    </row>
    <row r="11" spans="1:2" x14ac:dyDescent="0.25">
      <c r="A11" s="3">
        <f>IF(Raw_Data!J11=0,Raw_Data!D11,"")</f>
        <v>1885.14</v>
      </c>
      <c r="B11" s="3" t="str">
        <f>IF(Raw_Data!J11=1,Raw_Data!D11,"")</f>
        <v/>
      </c>
    </row>
    <row r="12" spans="1:2" x14ac:dyDescent="0.25">
      <c r="A12" s="3">
        <f>IF(Raw_Data!J12=0,Raw_Data!D12,"")</f>
        <v>1345.32</v>
      </c>
      <c r="B12" s="3" t="str">
        <f>IF(Raw_Data!J12=1,Raw_Data!D12,"")</f>
        <v/>
      </c>
    </row>
    <row r="13" spans="1:2" x14ac:dyDescent="0.25">
      <c r="A13" s="3">
        <f>IF(Raw_Data!J13=0,Raw_Data!D13,"")</f>
        <v>1077.33</v>
      </c>
      <c r="B13" s="3" t="str">
        <f>IF(Raw_Data!J13=1,Raw_Data!D13,"")</f>
        <v/>
      </c>
    </row>
    <row r="14" spans="1:2" x14ac:dyDescent="0.25">
      <c r="A14" s="3">
        <f>IF(Raw_Data!J14=0,Raw_Data!D14,"")</f>
        <v>3762.01</v>
      </c>
      <c r="B14" s="3" t="str">
        <f>IF(Raw_Data!J14=1,Raw_Data!D14,"")</f>
        <v/>
      </c>
    </row>
    <row r="15" spans="1:2" x14ac:dyDescent="0.25">
      <c r="A15" s="3">
        <f>IF(Raw_Data!J15=0,Raw_Data!D15,"")</f>
        <v>4620.24</v>
      </c>
      <c r="B15" s="3" t="str">
        <f>IF(Raw_Data!J15=1,Raw_Data!D15,"")</f>
        <v/>
      </c>
    </row>
    <row r="16" spans="1:2" x14ac:dyDescent="0.25">
      <c r="A16" s="3">
        <f>IF(Raw_Data!J16=0,Raw_Data!D16,"")</f>
        <v>2740.91</v>
      </c>
      <c r="B16" s="3" t="str">
        <f>IF(Raw_Data!J16=1,Raw_Data!D16,"")</f>
        <v/>
      </c>
    </row>
    <row r="17" spans="1:2" x14ac:dyDescent="0.25">
      <c r="A17" s="3" t="str">
        <f>IF(Raw_Data!J17=0,Raw_Data!D17,"")</f>
        <v/>
      </c>
      <c r="B17" s="3">
        <f>IF(Raw_Data!J17=1,Raw_Data!D17,"")</f>
        <v>1179.3800000000001</v>
      </c>
    </row>
    <row r="18" spans="1:2" x14ac:dyDescent="0.25">
      <c r="A18" s="3">
        <f>IF(Raw_Data!J18=0,Raw_Data!D18,"")</f>
        <v>7989.15</v>
      </c>
      <c r="B18" s="3" t="str">
        <f>IF(Raw_Data!J18=1,Raw_Data!D18,"")</f>
        <v/>
      </c>
    </row>
    <row r="19" spans="1:2" x14ac:dyDescent="0.25">
      <c r="A19" s="3" t="str">
        <f>IF(Raw_Data!J19=0,Raw_Data!D19,"")</f>
        <v/>
      </c>
      <c r="B19" s="3">
        <f>IF(Raw_Data!J19=1,Raw_Data!D19,"")</f>
        <v>1129.6199999999999</v>
      </c>
    </row>
    <row r="20" spans="1:2" x14ac:dyDescent="0.25">
      <c r="A20" s="3">
        <f>IF(Raw_Data!J20=0,Raw_Data!D20,"")</f>
        <v>2931.98</v>
      </c>
      <c r="B20" s="3" t="str">
        <f>IF(Raw_Data!J20=1,Raw_Data!D20,"")</f>
        <v/>
      </c>
    </row>
    <row r="21" spans="1:2" x14ac:dyDescent="0.25">
      <c r="A21" s="3">
        <f>IF(Raw_Data!J21=0,Raw_Data!D21,"")</f>
        <v>2458.2800000000002</v>
      </c>
      <c r="B21" s="3" t="str">
        <f>IF(Raw_Data!J21=1,Raw_Data!D21,"")</f>
        <v/>
      </c>
    </row>
    <row r="22" spans="1:2" x14ac:dyDescent="0.25">
      <c r="A22" s="3">
        <f>IF(Raw_Data!J22=0,Raw_Data!D22,"")</f>
        <v>552.26</v>
      </c>
      <c r="B22" s="3" t="str">
        <f>IF(Raw_Data!J22=1,Raw_Data!D22,"")</f>
        <v/>
      </c>
    </row>
    <row r="23" spans="1:2" x14ac:dyDescent="0.25">
      <c r="A23" s="3" t="str">
        <f>IF(Raw_Data!J23=0,Raw_Data!D23,"")</f>
        <v/>
      </c>
      <c r="B23" s="3">
        <f>IF(Raw_Data!J23=1,Raw_Data!D23,"")</f>
        <v>693.07</v>
      </c>
    </row>
    <row r="24" spans="1:2" x14ac:dyDescent="0.25">
      <c r="A24" s="3">
        <f>IF(Raw_Data!J24=0,Raw_Data!D24,"")</f>
        <v>4236.42</v>
      </c>
      <c r="B24" s="3" t="str">
        <f>IF(Raw_Data!J24=1,Raw_Data!D24,"")</f>
        <v/>
      </c>
    </row>
    <row r="25" spans="1:2" x14ac:dyDescent="0.25">
      <c r="A25" s="3">
        <f>IF(Raw_Data!J25=0,Raw_Data!D25,"")</f>
        <v>2827.56</v>
      </c>
      <c r="B25" s="3" t="str">
        <f>IF(Raw_Data!J25=1,Raw_Data!D25,"")</f>
        <v/>
      </c>
    </row>
    <row r="26" spans="1:2" x14ac:dyDescent="0.25">
      <c r="A26" s="3" t="str">
        <f>IF(Raw_Data!J26=0,Raw_Data!D26,"")</f>
        <v/>
      </c>
      <c r="B26" s="3">
        <f>IF(Raw_Data!J26=1,Raw_Data!D26,"")</f>
        <v>3316.87</v>
      </c>
    </row>
    <row r="27" spans="1:2" x14ac:dyDescent="0.25">
      <c r="A27" s="3">
        <f>IF(Raw_Data!J27=0,Raw_Data!D27,"")</f>
        <v>2239.5300000000002</v>
      </c>
      <c r="B27" s="3" t="str">
        <f>IF(Raw_Data!J27=1,Raw_Data!D27,"")</f>
        <v/>
      </c>
    </row>
    <row r="28" spans="1:2" x14ac:dyDescent="0.25">
      <c r="A28" s="3">
        <f>IF(Raw_Data!J28=0,Raw_Data!D28,"")</f>
        <v>597.96</v>
      </c>
      <c r="B28" s="3" t="str">
        <f>IF(Raw_Data!J28=1,Raw_Data!D28,"")</f>
        <v/>
      </c>
    </row>
    <row r="29" spans="1:2" x14ac:dyDescent="0.25">
      <c r="A29" s="3">
        <f>IF(Raw_Data!J29=0,Raw_Data!D29,"")</f>
        <v>5502.59</v>
      </c>
      <c r="B29" s="3" t="str">
        <f>IF(Raw_Data!J29=1,Raw_Data!D29,"")</f>
        <v/>
      </c>
    </row>
    <row r="30" spans="1:2" x14ac:dyDescent="0.25">
      <c r="A30" s="3">
        <f>IF(Raw_Data!J30=0,Raw_Data!D30,"")</f>
        <v>3994.26</v>
      </c>
      <c r="B30" s="3" t="str">
        <f>IF(Raw_Data!J30=1,Raw_Data!D30,"")</f>
        <v/>
      </c>
    </row>
    <row r="31" spans="1:2" x14ac:dyDescent="0.25">
      <c r="A31" s="3" t="str">
        <f>IF(Raw_Data!J31=0,Raw_Data!D31,"")</f>
        <v/>
      </c>
      <c r="B31" s="3">
        <f>IF(Raw_Data!J31=1,Raw_Data!D31,"")</f>
        <v>1574.98</v>
      </c>
    </row>
    <row r="32" spans="1:2" x14ac:dyDescent="0.25">
      <c r="A32" s="3">
        <f>IF(Raw_Data!J32=0,Raw_Data!D32,"")</f>
        <v>1653.07</v>
      </c>
      <c r="B32" s="3" t="str">
        <f>IF(Raw_Data!J32=1,Raw_Data!D32,"")</f>
        <v/>
      </c>
    </row>
    <row r="33" spans="1:2" x14ac:dyDescent="0.25">
      <c r="A33" s="3">
        <f>IF(Raw_Data!J33=0,Raw_Data!D33,"")</f>
        <v>1303.8800000000001</v>
      </c>
      <c r="B33" s="3" t="str">
        <f>IF(Raw_Data!J33=1,Raw_Data!D33,"")</f>
        <v/>
      </c>
    </row>
    <row r="34" spans="1:2" x14ac:dyDescent="0.25">
      <c r="A34" s="3" t="str">
        <f>IF(Raw_Data!J34=0,Raw_Data!D34,"")</f>
        <v/>
      </c>
      <c r="B34" s="3">
        <f>IF(Raw_Data!J34=1,Raw_Data!D34,"")</f>
        <v>3359.04</v>
      </c>
    </row>
    <row r="35" spans="1:2" x14ac:dyDescent="0.25">
      <c r="A35" s="3">
        <f>IF(Raw_Data!J35=0,Raw_Data!D35,"")</f>
        <v>1580.63</v>
      </c>
      <c r="B35" s="3" t="str">
        <f>IF(Raw_Data!J35=1,Raw_Data!D35,"")</f>
        <v/>
      </c>
    </row>
    <row r="36" spans="1:2" x14ac:dyDescent="0.25">
      <c r="A36" s="3" t="str">
        <f>IF(Raw_Data!J36=0,Raw_Data!D36,"")</f>
        <v/>
      </c>
      <c r="B36" s="3">
        <f>IF(Raw_Data!J36=1,Raw_Data!D36,"")</f>
        <v>2755.09</v>
      </c>
    </row>
    <row r="37" spans="1:2" x14ac:dyDescent="0.25">
      <c r="A37" s="3">
        <f>IF(Raw_Data!J37=0,Raw_Data!D37,"")</f>
        <v>8117.04</v>
      </c>
      <c r="B37" s="3" t="str">
        <f>IF(Raw_Data!J37=1,Raw_Data!D37,"")</f>
        <v/>
      </c>
    </row>
    <row r="38" spans="1:2" x14ac:dyDescent="0.25">
      <c r="A38" s="3">
        <f>IF(Raw_Data!J38=0,Raw_Data!D38,"")</f>
        <v>2642.62</v>
      </c>
      <c r="B38" s="3" t="str">
        <f>IF(Raw_Data!J38=1,Raw_Data!D38,"")</f>
        <v/>
      </c>
    </row>
    <row r="39" spans="1:2" x14ac:dyDescent="0.25">
      <c r="A39" s="3">
        <f>IF(Raw_Data!J39=0,Raw_Data!D39,"")</f>
        <v>4036.99</v>
      </c>
      <c r="B39" s="3" t="str">
        <f>IF(Raw_Data!J39=1,Raw_Data!D39,"")</f>
        <v/>
      </c>
    </row>
    <row r="40" spans="1:2" x14ac:dyDescent="0.25">
      <c r="A40" s="3">
        <f>IF(Raw_Data!J40=0,Raw_Data!D40,"")</f>
        <v>3172.48</v>
      </c>
      <c r="B40" s="3" t="str">
        <f>IF(Raw_Data!J40=1,Raw_Data!D40,"")</f>
        <v/>
      </c>
    </row>
    <row r="41" spans="1:2" x14ac:dyDescent="0.25">
      <c r="A41" s="3">
        <f>IF(Raw_Data!J41=0,Raw_Data!D41,"")</f>
        <v>3549.58</v>
      </c>
      <c r="B41" s="3" t="str">
        <f>IF(Raw_Data!J41=1,Raw_Data!D41,"")</f>
        <v/>
      </c>
    </row>
    <row r="42" spans="1:2" x14ac:dyDescent="0.25">
      <c r="A42" s="3">
        <f>IF(Raw_Data!J42=0,Raw_Data!D42,"")</f>
        <v>4798.21</v>
      </c>
      <c r="B42" s="3" t="str">
        <f>IF(Raw_Data!J42=1,Raw_Data!D42,"")</f>
        <v/>
      </c>
    </row>
    <row r="43" spans="1:2" x14ac:dyDescent="0.25">
      <c r="A43" s="3" t="str">
        <f>IF(Raw_Data!J43=0,Raw_Data!D43,"")</f>
        <v/>
      </c>
      <c r="B43" s="3">
        <f>IF(Raw_Data!J43=1,Raw_Data!D43,"")</f>
        <v>684.49</v>
      </c>
    </row>
    <row r="44" spans="1:2" x14ac:dyDescent="0.25">
      <c r="A44" s="3">
        <f>IF(Raw_Data!J44=0,Raw_Data!D44,"")</f>
        <v>1018.53</v>
      </c>
      <c r="B44" s="3" t="str">
        <f>IF(Raw_Data!J44=1,Raw_Data!D44,"")</f>
        <v/>
      </c>
    </row>
    <row r="45" spans="1:2" x14ac:dyDescent="0.25">
      <c r="A45" s="3">
        <f>IF(Raw_Data!J45=0,Raw_Data!D45,"")</f>
        <v>3928.5</v>
      </c>
      <c r="B45" s="3" t="str">
        <f>IF(Raw_Data!J45=1,Raw_Data!D45,"")</f>
        <v/>
      </c>
    </row>
    <row r="46" spans="1:2" x14ac:dyDescent="0.25">
      <c r="A46" s="3">
        <f>IF(Raw_Data!J46=0,Raw_Data!D46,"")</f>
        <v>1249.21</v>
      </c>
      <c r="B46" s="3" t="str">
        <f>IF(Raw_Data!J46=1,Raw_Data!D46,"")</f>
        <v/>
      </c>
    </row>
    <row r="47" spans="1:2" x14ac:dyDescent="0.25">
      <c r="A47" s="3">
        <f>IF(Raw_Data!J47=0,Raw_Data!D47,"")</f>
        <v>3130.16</v>
      </c>
      <c r="B47" s="3" t="str">
        <f>IF(Raw_Data!J47=1,Raw_Data!D47,"")</f>
        <v/>
      </c>
    </row>
    <row r="48" spans="1:2" x14ac:dyDescent="0.25">
      <c r="A48" s="3">
        <f>IF(Raw_Data!J48=0,Raw_Data!D48,"")</f>
        <v>2622.38</v>
      </c>
      <c r="B48" s="3" t="str">
        <f>IF(Raw_Data!J48=1,Raw_Data!D48,"")</f>
        <v/>
      </c>
    </row>
    <row r="49" spans="1:2" x14ac:dyDescent="0.25">
      <c r="A49" s="3">
        <f>IF(Raw_Data!J49=0,Raw_Data!D49,"")</f>
        <v>1898.89</v>
      </c>
      <c r="B49" s="3" t="str">
        <f>IF(Raw_Data!J49=1,Raw_Data!D49,"")</f>
        <v/>
      </c>
    </row>
    <row r="50" spans="1:2" x14ac:dyDescent="0.25">
      <c r="A50" s="3">
        <f>IF(Raw_Data!J50=0,Raw_Data!D50,"")</f>
        <v>2035.2</v>
      </c>
      <c r="B50" s="3" t="str">
        <f>IF(Raw_Data!J50=1,Raw_Data!D50,"")</f>
        <v/>
      </c>
    </row>
    <row r="51" spans="1:2" x14ac:dyDescent="0.25">
      <c r="A51" s="3">
        <f>IF(Raw_Data!J51=0,Raw_Data!D51,"")</f>
        <v>1869.35</v>
      </c>
      <c r="B51" s="3" t="str">
        <f>IF(Raw_Data!J51=1,Raw_Data!D51,"")</f>
        <v/>
      </c>
    </row>
    <row r="52" spans="1:2" x14ac:dyDescent="0.25">
      <c r="A52" s="3">
        <f>IF(Raw_Data!J52=0,Raw_Data!D52,"")</f>
        <v>1115.3800000000001</v>
      </c>
      <c r="B52" s="3" t="str">
        <f>IF(Raw_Data!J52=1,Raw_Data!D52,"")</f>
        <v/>
      </c>
    </row>
    <row r="53" spans="1:2" x14ac:dyDescent="0.25">
      <c r="A53" s="3">
        <f>IF(Raw_Data!J53=0,Raw_Data!D53,"")</f>
        <v>774.52</v>
      </c>
      <c r="B53" s="3" t="str">
        <f>IF(Raw_Data!J53=1,Raw_Data!D53,"")</f>
        <v/>
      </c>
    </row>
    <row r="54" spans="1:2" x14ac:dyDescent="0.25">
      <c r="A54" s="3">
        <f>IF(Raw_Data!J54=0,Raw_Data!D54,"")</f>
        <v>2219.75</v>
      </c>
      <c r="B54" s="3" t="str">
        <f>IF(Raw_Data!J54=1,Raw_Data!D54,"")</f>
        <v/>
      </c>
    </row>
    <row r="55" spans="1:2" x14ac:dyDescent="0.25">
      <c r="A55" s="3">
        <f>IF(Raw_Data!J55=0,Raw_Data!D55,"")</f>
        <v>2250.46</v>
      </c>
      <c r="B55" s="3" t="str">
        <f>IF(Raw_Data!J55=1,Raw_Data!D55,"")</f>
        <v/>
      </c>
    </row>
    <row r="56" spans="1:2" x14ac:dyDescent="0.25">
      <c r="A56" s="3">
        <f>IF(Raw_Data!J56=0,Raw_Data!D56,"")</f>
        <v>2427.19</v>
      </c>
      <c r="B56" s="3" t="str">
        <f>IF(Raw_Data!J56=1,Raw_Data!D56,"")</f>
        <v/>
      </c>
    </row>
    <row r="57" spans="1:2" x14ac:dyDescent="0.25">
      <c r="A57" s="3">
        <f>IF(Raw_Data!J57=0,Raw_Data!D57,"")</f>
        <v>1298.46</v>
      </c>
      <c r="B57" s="3" t="str">
        <f>IF(Raw_Data!J57=1,Raw_Data!D57,"")</f>
        <v/>
      </c>
    </row>
    <row r="58" spans="1:2" x14ac:dyDescent="0.25">
      <c r="A58" s="3" t="str">
        <f>IF(Raw_Data!J58=0,Raw_Data!D58,"")</f>
        <v/>
      </c>
      <c r="B58" s="3">
        <f>IF(Raw_Data!J58=1,Raw_Data!D58,"")</f>
        <v>2793.24</v>
      </c>
    </row>
    <row r="59" spans="1:2" x14ac:dyDescent="0.25">
      <c r="A59" s="3">
        <f>IF(Raw_Data!J59=0,Raw_Data!D59,"")</f>
        <v>1933.12</v>
      </c>
      <c r="B59" s="3" t="str">
        <f>IF(Raw_Data!J59=1,Raw_Data!D59,"")</f>
        <v/>
      </c>
    </row>
    <row r="60" spans="1:2" x14ac:dyDescent="0.25">
      <c r="A60" s="3">
        <f>IF(Raw_Data!J60=0,Raw_Data!D60,"")</f>
        <v>1569.73</v>
      </c>
      <c r="B60" s="3" t="str">
        <f>IF(Raw_Data!J60=1,Raw_Data!D60,"")</f>
        <v/>
      </c>
    </row>
    <row r="61" spans="1:2" x14ac:dyDescent="0.25">
      <c r="A61" s="3">
        <f>IF(Raw_Data!J61=0,Raw_Data!D61,"")</f>
        <v>2033.61</v>
      </c>
      <c r="B61" s="3" t="str">
        <f>IF(Raw_Data!J61=1,Raw_Data!D61,"")</f>
        <v/>
      </c>
    </row>
    <row r="62" spans="1:2" x14ac:dyDescent="0.25">
      <c r="A62" s="3">
        <f>IF(Raw_Data!J62=0,Raw_Data!D62,"")</f>
        <v>2433.46</v>
      </c>
      <c r="B62" s="3" t="str">
        <f>IF(Raw_Data!J62=1,Raw_Data!D62,"")</f>
        <v/>
      </c>
    </row>
    <row r="63" spans="1:2" x14ac:dyDescent="0.25">
      <c r="A63" s="3">
        <f>IF(Raw_Data!J63=0,Raw_Data!D63,"")</f>
        <v>6766.89</v>
      </c>
      <c r="B63" s="3" t="str">
        <f>IF(Raw_Data!J63=1,Raw_Data!D63,"")</f>
        <v/>
      </c>
    </row>
    <row r="64" spans="1:2" x14ac:dyDescent="0.25">
      <c r="A64" s="3">
        <f>IF(Raw_Data!J64=0,Raw_Data!D64,"")</f>
        <v>2473.9</v>
      </c>
      <c r="B64" s="3" t="str">
        <f>IF(Raw_Data!J64=1,Raw_Data!D64,"")</f>
        <v/>
      </c>
    </row>
    <row r="65" spans="1:2" x14ac:dyDescent="0.25">
      <c r="A65" s="3">
        <f>IF(Raw_Data!J65=0,Raw_Data!D65,"")</f>
        <v>1328.89</v>
      </c>
      <c r="B65" s="3" t="str">
        <f>IF(Raw_Data!J65=1,Raw_Data!D65,"")</f>
        <v/>
      </c>
    </row>
    <row r="66" spans="1:2" x14ac:dyDescent="0.25">
      <c r="A66" s="3">
        <f>IF(Raw_Data!J66=0,Raw_Data!D66,"")</f>
        <v>2872.63</v>
      </c>
      <c r="B66" s="3" t="str">
        <f>IF(Raw_Data!J66=1,Raw_Data!D66,"")</f>
        <v/>
      </c>
    </row>
    <row r="67" spans="1:2" x14ac:dyDescent="0.25">
      <c r="A67" s="3">
        <f>IF(Raw_Data!J67=0,Raw_Data!D67,"")</f>
        <v>587.44000000000005</v>
      </c>
      <c r="B67" s="3" t="str">
        <f>IF(Raw_Data!J67=1,Raw_Data!D67,"")</f>
        <v/>
      </c>
    </row>
    <row r="68" spans="1:2" x14ac:dyDescent="0.25">
      <c r="A68" s="3">
        <f>IF(Raw_Data!J68=0,Raw_Data!D68,"")</f>
        <v>4906.0200000000004</v>
      </c>
      <c r="B68" s="3" t="str">
        <f>IF(Raw_Data!J68=1,Raw_Data!D68,"")</f>
        <v/>
      </c>
    </row>
    <row r="69" spans="1:2" x14ac:dyDescent="0.25">
      <c r="A69" s="3">
        <f>IF(Raw_Data!J69=0,Raw_Data!D69,"")</f>
        <v>177.77</v>
      </c>
      <c r="B69" s="3" t="str">
        <f>IF(Raw_Data!J69=1,Raw_Data!D69,"")</f>
        <v/>
      </c>
    </row>
    <row r="70" spans="1:2" x14ac:dyDescent="0.25">
      <c r="A70" s="3">
        <f>IF(Raw_Data!J70=0,Raw_Data!D70,"")</f>
        <v>958.41</v>
      </c>
      <c r="B70" s="3" t="str">
        <f>IF(Raw_Data!J70=1,Raw_Data!D70,"")</f>
        <v/>
      </c>
    </row>
    <row r="71" spans="1:2" x14ac:dyDescent="0.25">
      <c r="A71" s="3">
        <f>IF(Raw_Data!J71=0,Raw_Data!D71,"")</f>
        <v>7746.92</v>
      </c>
      <c r="B71" s="3" t="str">
        <f>IF(Raw_Data!J71=1,Raw_Data!D71,"")</f>
        <v/>
      </c>
    </row>
    <row r="72" spans="1:2" x14ac:dyDescent="0.25">
      <c r="A72" s="3">
        <f>IF(Raw_Data!J72=0,Raw_Data!D72,"")</f>
        <v>3577.11</v>
      </c>
      <c r="B72" s="3" t="str">
        <f>IF(Raw_Data!J72=1,Raw_Data!D72,"")</f>
        <v/>
      </c>
    </row>
    <row r="73" spans="1:2" x14ac:dyDescent="0.25">
      <c r="A73" s="3" t="str">
        <f>IF(Raw_Data!J73=0,Raw_Data!D73,"")</f>
        <v/>
      </c>
      <c r="B73" s="3">
        <f>IF(Raw_Data!J73=1,Raw_Data!D73,"")</f>
        <v>711.08</v>
      </c>
    </row>
    <row r="74" spans="1:2" x14ac:dyDescent="0.25">
      <c r="A74" s="3">
        <f>IF(Raw_Data!J74=0,Raw_Data!D74,"")</f>
        <v>8014.37</v>
      </c>
      <c r="B74" s="3" t="str">
        <f>IF(Raw_Data!J74=1,Raw_Data!D74,"")</f>
        <v/>
      </c>
    </row>
    <row r="75" spans="1:2" x14ac:dyDescent="0.25">
      <c r="A75" s="3" t="str">
        <f>IF(Raw_Data!J75=0,Raw_Data!D75,"")</f>
        <v/>
      </c>
      <c r="B75" s="3">
        <f>IF(Raw_Data!J75=1,Raw_Data!D75,"")</f>
        <v>2690.62</v>
      </c>
    </row>
    <row r="76" spans="1:2" x14ac:dyDescent="0.25">
      <c r="A76" s="3" t="str">
        <f>IF(Raw_Data!J76=0,Raw_Data!D76,"")</f>
        <v/>
      </c>
      <c r="B76" s="3">
        <f>IF(Raw_Data!J76=1,Raw_Data!D76,"")</f>
        <v>834.37</v>
      </c>
    </row>
    <row r="77" spans="1:2" x14ac:dyDescent="0.25">
      <c r="A77" s="3">
        <f>IF(Raw_Data!J77=0,Raw_Data!D77,"")</f>
        <v>1403.61</v>
      </c>
      <c r="B77" s="3" t="str">
        <f>IF(Raw_Data!J77=1,Raw_Data!D77,"")</f>
        <v/>
      </c>
    </row>
    <row r="78" spans="1:2" x14ac:dyDescent="0.25">
      <c r="A78" s="3" t="str">
        <f>IF(Raw_Data!J78=0,Raw_Data!D78,"")</f>
        <v/>
      </c>
      <c r="B78" s="3">
        <f>IF(Raw_Data!J78=1,Raw_Data!D78,"")</f>
        <v>633.41999999999996</v>
      </c>
    </row>
    <row r="79" spans="1:2" x14ac:dyDescent="0.25">
      <c r="A79" s="3">
        <f>IF(Raw_Data!J79=0,Raw_Data!D79,"")</f>
        <v>7285.43</v>
      </c>
      <c r="B79" s="3" t="str">
        <f>IF(Raw_Data!J79=1,Raw_Data!D79,"")</f>
        <v/>
      </c>
    </row>
    <row r="80" spans="1:2" x14ac:dyDescent="0.25">
      <c r="A80" s="3">
        <f>IF(Raw_Data!J80=0,Raw_Data!D80,"")</f>
        <v>534.85</v>
      </c>
      <c r="B80" s="3" t="str">
        <f>IF(Raw_Data!J80=1,Raw_Data!D80,"")</f>
        <v/>
      </c>
    </row>
    <row r="81" spans="1:2" x14ac:dyDescent="0.25">
      <c r="A81" s="3">
        <f>IF(Raw_Data!J81=0,Raw_Data!D81,"")</f>
        <v>915.05</v>
      </c>
      <c r="B81" s="3" t="str">
        <f>IF(Raw_Data!J81=1,Raw_Data!D81,"")</f>
        <v/>
      </c>
    </row>
    <row r="82" spans="1:2" x14ac:dyDescent="0.25">
      <c r="A82" s="3">
        <f>IF(Raw_Data!J82=0,Raw_Data!D82,"")</f>
        <v>1548.09</v>
      </c>
      <c r="B82" s="3" t="str">
        <f>IF(Raw_Data!J82=1,Raw_Data!D82,"")</f>
        <v/>
      </c>
    </row>
    <row r="83" spans="1:2" x14ac:dyDescent="0.25">
      <c r="A83" s="3">
        <f>IF(Raw_Data!J83=0,Raw_Data!D83,"")</f>
        <v>1552.41</v>
      </c>
      <c r="B83" s="3" t="str">
        <f>IF(Raw_Data!J83=1,Raw_Data!D83,"")</f>
        <v/>
      </c>
    </row>
    <row r="84" spans="1:2" x14ac:dyDescent="0.25">
      <c r="A84" s="3">
        <f>IF(Raw_Data!J84=0,Raw_Data!D84,"")</f>
        <v>2884.59</v>
      </c>
      <c r="B84" s="3" t="str">
        <f>IF(Raw_Data!J84=1,Raw_Data!D84,"")</f>
        <v/>
      </c>
    </row>
    <row r="85" spans="1:2" x14ac:dyDescent="0.25">
      <c r="A85" s="3">
        <f>IF(Raw_Data!J85=0,Raw_Data!D85,"")</f>
        <v>2289.36</v>
      </c>
      <c r="B85" s="3" t="str">
        <f>IF(Raw_Data!J85=1,Raw_Data!D85,"")</f>
        <v/>
      </c>
    </row>
    <row r="86" spans="1:2" x14ac:dyDescent="0.25">
      <c r="A86" s="3">
        <f>IF(Raw_Data!J86=0,Raw_Data!D86,"")</f>
        <v>1647.01</v>
      </c>
      <c r="B86" s="3" t="str">
        <f>IF(Raw_Data!J86=1,Raw_Data!D86,"")</f>
        <v/>
      </c>
    </row>
    <row r="87" spans="1:2" x14ac:dyDescent="0.25">
      <c r="A87" s="3">
        <f>IF(Raw_Data!J87=0,Raw_Data!D87,"")</f>
        <v>3492.03</v>
      </c>
      <c r="B87" s="3" t="str">
        <f>IF(Raw_Data!J87=1,Raw_Data!D87,"")</f>
        <v/>
      </c>
    </row>
    <row r="88" spans="1:2" x14ac:dyDescent="0.25">
      <c r="A88" s="3">
        <f>IF(Raw_Data!J88=0,Raw_Data!D88,"")</f>
        <v>1332.91</v>
      </c>
      <c r="B88" s="3" t="str">
        <f>IF(Raw_Data!J88=1,Raw_Data!D88,"")</f>
        <v/>
      </c>
    </row>
    <row r="89" spans="1:2" x14ac:dyDescent="0.25">
      <c r="A89" s="3">
        <f>IF(Raw_Data!J89=0,Raw_Data!D89,"")</f>
        <v>3144.12</v>
      </c>
      <c r="B89" s="3" t="str">
        <f>IF(Raw_Data!J89=1,Raw_Data!D89,"")</f>
        <v/>
      </c>
    </row>
    <row r="90" spans="1:2" x14ac:dyDescent="0.25">
      <c r="A90" s="3" t="str">
        <f>IF(Raw_Data!J90=0,Raw_Data!D90,"")</f>
        <v/>
      </c>
      <c r="B90" s="3">
        <f>IF(Raw_Data!J90=1,Raw_Data!D90,"")</f>
        <v>1324.28</v>
      </c>
    </row>
    <row r="91" spans="1:2" x14ac:dyDescent="0.25">
      <c r="A91" s="3" t="str">
        <f>IF(Raw_Data!J91=0,Raw_Data!D91,"")</f>
        <v/>
      </c>
      <c r="B91" s="3">
        <f>IF(Raw_Data!J91=1,Raw_Data!D91,"")</f>
        <v>10284.36</v>
      </c>
    </row>
    <row r="92" spans="1:2" x14ac:dyDescent="0.25">
      <c r="A92" s="3">
        <f>IF(Raw_Data!J92=0,Raw_Data!D92,"")</f>
        <v>2162.06</v>
      </c>
      <c r="B92" s="3" t="str">
        <f>IF(Raw_Data!J92=1,Raw_Data!D92,"")</f>
        <v/>
      </c>
    </row>
    <row r="93" spans="1:2" x14ac:dyDescent="0.25">
      <c r="A93" s="3">
        <f>IF(Raw_Data!J93=0,Raw_Data!D93,"")</f>
        <v>1737.68</v>
      </c>
      <c r="B93" s="3" t="str">
        <f>IF(Raw_Data!J93=1,Raw_Data!D93,"")</f>
        <v/>
      </c>
    </row>
    <row r="94" spans="1:2" x14ac:dyDescent="0.25">
      <c r="A94" s="3">
        <f>IF(Raw_Data!J94=0,Raw_Data!D94,"")</f>
        <v>1630.47</v>
      </c>
      <c r="B94" s="3" t="str">
        <f>IF(Raw_Data!J94=1,Raw_Data!D94,"")</f>
        <v/>
      </c>
    </row>
    <row r="95" spans="1:2" x14ac:dyDescent="0.25">
      <c r="A95" s="3" t="str">
        <f>IF(Raw_Data!J95=0,Raw_Data!D95,"")</f>
        <v/>
      </c>
      <c r="B95" s="3">
        <f>IF(Raw_Data!J95=1,Raw_Data!D95,"")</f>
        <v>2388.77</v>
      </c>
    </row>
    <row r="96" spans="1:2" x14ac:dyDescent="0.25">
      <c r="A96" s="3">
        <f>IF(Raw_Data!J96=0,Raw_Data!D96,"")</f>
        <v>4488.8900000000003</v>
      </c>
      <c r="B96" s="3" t="str">
        <f>IF(Raw_Data!J96=1,Raw_Data!D96,"")</f>
        <v/>
      </c>
    </row>
    <row r="97" spans="1:2" x14ac:dyDescent="0.25">
      <c r="A97" s="3">
        <f>IF(Raw_Data!J97=0,Raw_Data!D97,"")</f>
        <v>1004.52</v>
      </c>
      <c r="B97" s="3" t="str">
        <f>IF(Raw_Data!J97=1,Raw_Data!D97,"")</f>
        <v/>
      </c>
    </row>
    <row r="98" spans="1:2" x14ac:dyDescent="0.25">
      <c r="A98" s="3">
        <f>IF(Raw_Data!J98=0,Raw_Data!D98,"")</f>
        <v>2426.41</v>
      </c>
      <c r="B98" s="3" t="str">
        <f>IF(Raw_Data!J98=1,Raw_Data!D98,"")</f>
        <v/>
      </c>
    </row>
    <row r="99" spans="1:2" x14ac:dyDescent="0.25">
      <c r="A99" s="3" t="str">
        <f>IF(Raw_Data!J99=0,Raw_Data!D99,"")</f>
        <v/>
      </c>
      <c r="B99" s="3">
        <f>IF(Raw_Data!J99=1,Raw_Data!D99,"")</f>
        <v>1951.31</v>
      </c>
    </row>
    <row r="100" spans="1:2" x14ac:dyDescent="0.25">
      <c r="A100" s="3">
        <f>IF(Raw_Data!J100=0,Raw_Data!D100,"")</f>
        <v>2587.06</v>
      </c>
      <c r="B100" s="3" t="str">
        <f>IF(Raw_Data!J100=1,Raw_Data!D100,"")</f>
        <v/>
      </c>
    </row>
    <row r="101" spans="1:2" x14ac:dyDescent="0.25">
      <c r="A101" s="3">
        <f>IF(Raw_Data!J101=0,Raw_Data!D101,"")</f>
        <v>2281.11</v>
      </c>
      <c r="B101" s="3" t="str">
        <f>IF(Raw_Data!J101=1,Raw_Data!D101,"")</f>
        <v/>
      </c>
    </row>
    <row r="102" spans="1:2" x14ac:dyDescent="0.25">
      <c r="A102" s="3">
        <f>IF(Raw_Data!J102=0,Raw_Data!D102,"")</f>
        <v>4476.7700000000004</v>
      </c>
      <c r="B102" s="3" t="str">
        <f>IF(Raw_Data!J102=1,Raw_Data!D102,"")</f>
        <v/>
      </c>
    </row>
    <row r="103" spans="1:2" x14ac:dyDescent="0.25">
      <c r="A103" s="3">
        <f>IF(Raw_Data!J103=0,Raw_Data!D103,"")</f>
        <v>285.83999999999997</v>
      </c>
      <c r="B103" s="3" t="str">
        <f>IF(Raw_Data!J103=1,Raw_Data!D103,"")</f>
        <v/>
      </c>
    </row>
    <row r="104" spans="1:2" x14ac:dyDescent="0.25">
      <c r="A104" s="3">
        <f>IF(Raw_Data!J104=0,Raw_Data!D104,"")</f>
        <v>3294.62</v>
      </c>
      <c r="B104" s="3" t="str">
        <f>IF(Raw_Data!J104=1,Raw_Data!D104,"")</f>
        <v/>
      </c>
    </row>
    <row r="105" spans="1:2" x14ac:dyDescent="0.25">
      <c r="A105" s="3">
        <f>IF(Raw_Data!J105=0,Raw_Data!D105,"")</f>
        <v>1553.61</v>
      </c>
      <c r="B105" s="3" t="str">
        <f>IF(Raw_Data!J105=1,Raw_Data!D105,"")</f>
        <v/>
      </c>
    </row>
    <row r="106" spans="1:2" x14ac:dyDescent="0.25">
      <c r="A106" s="3">
        <f>IF(Raw_Data!J106=0,Raw_Data!D106,"")</f>
        <v>4915.34</v>
      </c>
      <c r="B106" s="3" t="str">
        <f>IF(Raw_Data!J106=1,Raw_Data!D106,"")</f>
        <v/>
      </c>
    </row>
    <row r="107" spans="1:2" x14ac:dyDescent="0.25">
      <c r="A107" s="3" t="str">
        <f>IF(Raw_Data!J107=0,Raw_Data!D107,"")</f>
        <v/>
      </c>
      <c r="B107" s="3">
        <f>IF(Raw_Data!J107=1,Raw_Data!D107,"")</f>
        <v>3583.04</v>
      </c>
    </row>
    <row r="108" spans="1:2" x14ac:dyDescent="0.25">
      <c r="A108" s="3" t="str">
        <f>IF(Raw_Data!J108=0,Raw_Data!D108,"")</f>
        <v/>
      </c>
      <c r="B108" s="3">
        <f>IF(Raw_Data!J108=1,Raw_Data!D108,"")</f>
        <v>3417.8</v>
      </c>
    </row>
    <row r="109" spans="1:2" x14ac:dyDescent="0.25">
      <c r="A109" s="3">
        <f>IF(Raw_Data!J109=0,Raw_Data!D109,"")</f>
        <v>2187.98</v>
      </c>
      <c r="B109" s="3" t="str">
        <f>IF(Raw_Data!J109=1,Raw_Data!D109,"")</f>
        <v/>
      </c>
    </row>
    <row r="110" spans="1:2" x14ac:dyDescent="0.25">
      <c r="A110" s="3" t="str">
        <f>IF(Raw_Data!J110=0,Raw_Data!D110,"")</f>
        <v/>
      </c>
      <c r="B110" s="3">
        <f>IF(Raw_Data!J110=1,Raw_Data!D110,"")</f>
        <v>1404.38</v>
      </c>
    </row>
    <row r="111" spans="1:2" x14ac:dyDescent="0.25">
      <c r="A111" s="3">
        <f>IF(Raw_Data!J111=0,Raw_Data!D111,"")</f>
        <v>1896.37</v>
      </c>
      <c r="B111" s="3" t="str">
        <f>IF(Raw_Data!J111=1,Raw_Data!D111,"")</f>
        <v/>
      </c>
    </row>
    <row r="112" spans="1:2" x14ac:dyDescent="0.25">
      <c r="A112" s="3">
        <f>IF(Raw_Data!J112=0,Raw_Data!D112,"")</f>
        <v>1609.83</v>
      </c>
      <c r="B112" s="3" t="str">
        <f>IF(Raw_Data!J112=1,Raw_Data!D112,"")</f>
        <v/>
      </c>
    </row>
    <row r="113" spans="1:2" x14ac:dyDescent="0.25">
      <c r="A113" s="3">
        <f>IF(Raw_Data!J113=0,Raw_Data!D113,"")</f>
        <v>3888.92</v>
      </c>
      <c r="B113" s="3" t="str">
        <f>IF(Raw_Data!J113=1,Raw_Data!D113,"")</f>
        <v/>
      </c>
    </row>
    <row r="114" spans="1:2" x14ac:dyDescent="0.25">
      <c r="A114" s="3">
        <f>IF(Raw_Data!J114=0,Raw_Data!D114,"")</f>
        <v>4268.1099999999997</v>
      </c>
      <c r="B114" s="3" t="str">
        <f>IF(Raw_Data!J114=1,Raw_Data!D114,"")</f>
        <v/>
      </c>
    </row>
    <row r="115" spans="1:2" x14ac:dyDescent="0.25">
      <c r="A115" s="3">
        <f>IF(Raw_Data!J115=0,Raw_Data!D115,"")</f>
        <v>2326.5100000000002</v>
      </c>
      <c r="B115" s="3" t="str">
        <f>IF(Raw_Data!J115=1,Raw_Data!D115,"")</f>
        <v/>
      </c>
    </row>
    <row r="116" spans="1:2" x14ac:dyDescent="0.25">
      <c r="A116" s="3">
        <f>IF(Raw_Data!J116=0,Raw_Data!D116,"")</f>
        <v>5614.32</v>
      </c>
      <c r="B116" s="3" t="str">
        <f>IF(Raw_Data!J116=1,Raw_Data!D116,"")</f>
        <v/>
      </c>
    </row>
    <row r="117" spans="1:2" x14ac:dyDescent="0.25">
      <c r="A117" s="3">
        <f>IF(Raw_Data!J117=0,Raw_Data!D117,"")</f>
        <v>3823.58</v>
      </c>
      <c r="B117" s="3" t="str">
        <f>IF(Raw_Data!J117=1,Raw_Data!D117,"")</f>
        <v/>
      </c>
    </row>
    <row r="118" spans="1:2" x14ac:dyDescent="0.25">
      <c r="A118" s="3">
        <f>IF(Raw_Data!J118=0,Raw_Data!D118,"")</f>
        <v>1878.71</v>
      </c>
      <c r="B118" s="3" t="str">
        <f>IF(Raw_Data!J118=1,Raw_Data!D118,"")</f>
        <v/>
      </c>
    </row>
    <row r="119" spans="1:2" x14ac:dyDescent="0.25">
      <c r="A119" s="3">
        <f>IF(Raw_Data!J119=0,Raw_Data!D119,"")</f>
        <v>2047.36</v>
      </c>
      <c r="B119" s="3" t="str">
        <f>IF(Raw_Data!J119=1,Raw_Data!D119,"")</f>
        <v/>
      </c>
    </row>
    <row r="120" spans="1:2" x14ac:dyDescent="0.25">
      <c r="A120" s="3">
        <f>IF(Raw_Data!J120=0,Raw_Data!D120,"")</f>
        <v>3646.88</v>
      </c>
      <c r="B120" s="3" t="str">
        <f>IF(Raw_Data!J120=1,Raw_Data!D120,"")</f>
        <v/>
      </c>
    </row>
    <row r="121" spans="1:2" x14ac:dyDescent="0.25">
      <c r="A121" s="3">
        <f>IF(Raw_Data!J121=0,Raw_Data!D121,"")</f>
        <v>684.18</v>
      </c>
      <c r="B121" s="3" t="str">
        <f>IF(Raw_Data!J121=1,Raw_Data!D121,"")</f>
        <v/>
      </c>
    </row>
    <row r="122" spans="1:2" x14ac:dyDescent="0.25">
      <c r="A122" s="3">
        <f>IF(Raw_Data!J122=0,Raw_Data!D122,"")</f>
        <v>329.97</v>
      </c>
      <c r="B122" s="3" t="str">
        <f>IF(Raw_Data!J122=1,Raw_Data!D122,"")</f>
        <v/>
      </c>
    </row>
    <row r="123" spans="1:2" x14ac:dyDescent="0.25">
      <c r="A123" s="3">
        <f>IF(Raw_Data!J123=0,Raw_Data!D123,"")</f>
        <v>3427.24</v>
      </c>
      <c r="B123" s="3" t="str">
        <f>IF(Raw_Data!J123=1,Raw_Data!D123,"")</f>
        <v/>
      </c>
    </row>
    <row r="124" spans="1:2" x14ac:dyDescent="0.25">
      <c r="A124" s="3" t="str">
        <f>IF(Raw_Data!J124=0,Raw_Data!D124,"")</f>
        <v/>
      </c>
      <c r="B124" s="3">
        <f>IF(Raw_Data!J124=1,Raw_Data!D124,"")</f>
        <v>2878.87</v>
      </c>
    </row>
    <row r="125" spans="1:2" x14ac:dyDescent="0.25">
      <c r="A125" s="3">
        <f>IF(Raw_Data!J125=0,Raw_Data!D125,"")</f>
        <v>4073.18</v>
      </c>
      <c r="B125" s="3" t="str">
        <f>IF(Raw_Data!J125=1,Raw_Data!D125,"")</f>
        <v/>
      </c>
    </row>
    <row r="126" spans="1:2" x14ac:dyDescent="0.25">
      <c r="A126" s="3">
        <f>IF(Raw_Data!J126=0,Raw_Data!D126,"")</f>
        <v>1187.97</v>
      </c>
      <c r="B126" s="3" t="str">
        <f>IF(Raw_Data!J126=1,Raw_Data!D126,"")</f>
        <v/>
      </c>
    </row>
    <row r="127" spans="1:2" x14ac:dyDescent="0.25">
      <c r="A127" s="3" t="str">
        <f>IF(Raw_Data!J127=0,Raw_Data!D127,"")</f>
        <v/>
      </c>
      <c r="B127" s="3">
        <f>IF(Raw_Data!J127=1,Raw_Data!D127,"")</f>
        <v>8164.01</v>
      </c>
    </row>
    <row r="128" spans="1:2" x14ac:dyDescent="0.25">
      <c r="A128" s="3">
        <f>IF(Raw_Data!J128=0,Raw_Data!D128,"")</f>
        <v>1207.8599999999999</v>
      </c>
      <c r="B128" s="3" t="str">
        <f>IF(Raw_Data!J128=1,Raw_Data!D128,"")</f>
        <v/>
      </c>
    </row>
    <row r="129" spans="1:2" x14ac:dyDescent="0.25">
      <c r="A129" s="3">
        <f>IF(Raw_Data!J129=0,Raw_Data!D129,"")</f>
        <v>873.92</v>
      </c>
      <c r="B129" s="3" t="str">
        <f>IF(Raw_Data!J129=1,Raw_Data!D129,"")</f>
        <v/>
      </c>
    </row>
    <row r="130" spans="1:2" x14ac:dyDescent="0.25">
      <c r="A130" s="3">
        <f>IF(Raw_Data!J130=0,Raw_Data!D130,"")</f>
        <v>2672.27</v>
      </c>
      <c r="B130" s="3" t="str">
        <f>IF(Raw_Data!J130=1,Raw_Data!D130,"")</f>
        <v/>
      </c>
    </row>
    <row r="131" spans="1:2" x14ac:dyDescent="0.25">
      <c r="A131" s="3">
        <f>IF(Raw_Data!J131=0,Raw_Data!D131,"")</f>
        <v>1801.15</v>
      </c>
      <c r="B131" s="3" t="str">
        <f>IF(Raw_Data!J131=1,Raw_Data!D131,"")</f>
        <v/>
      </c>
    </row>
    <row r="132" spans="1:2" x14ac:dyDescent="0.25">
      <c r="A132" s="3">
        <f>IF(Raw_Data!J132=0,Raw_Data!D132,"")</f>
        <v>2492.0500000000002</v>
      </c>
      <c r="B132" s="3" t="str">
        <f>IF(Raw_Data!J132=1,Raw_Data!D132,"")</f>
        <v/>
      </c>
    </row>
    <row r="133" spans="1:2" x14ac:dyDescent="0.25">
      <c r="A133" s="3">
        <f>IF(Raw_Data!J133=0,Raw_Data!D133,"")</f>
        <v>3860.09</v>
      </c>
      <c r="B133" s="3" t="str">
        <f>IF(Raw_Data!J133=1,Raw_Data!D133,"")</f>
        <v/>
      </c>
    </row>
    <row r="134" spans="1:2" x14ac:dyDescent="0.25">
      <c r="A134" s="3">
        <f>IF(Raw_Data!J134=0,Raw_Data!D134,"")</f>
        <v>636.59</v>
      </c>
      <c r="B134" s="3" t="str">
        <f>IF(Raw_Data!J134=1,Raw_Data!D134,"")</f>
        <v/>
      </c>
    </row>
    <row r="135" spans="1:2" x14ac:dyDescent="0.25">
      <c r="A135" s="3">
        <f>IF(Raw_Data!J135=0,Raw_Data!D135,"")</f>
        <v>464.38</v>
      </c>
      <c r="B135" s="3" t="str">
        <f>IF(Raw_Data!J135=1,Raw_Data!D135,"")</f>
        <v/>
      </c>
    </row>
    <row r="136" spans="1:2" x14ac:dyDescent="0.25">
      <c r="A136" s="3">
        <f>IF(Raw_Data!J136=0,Raw_Data!D136,"")</f>
        <v>4153.45</v>
      </c>
      <c r="B136" s="3" t="str">
        <f>IF(Raw_Data!J136=1,Raw_Data!D136,"")</f>
        <v/>
      </c>
    </row>
    <row r="137" spans="1:2" x14ac:dyDescent="0.25">
      <c r="A137" s="3" t="str">
        <f>IF(Raw_Data!J137=0,Raw_Data!D137,"")</f>
        <v/>
      </c>
      <c r="B137" s="3">
        <f>IF(Raw_Data!J137=1,Raw_Data!D137,"")</f>
        <v>2225.06</v>
      </c>
    </row>
    <row r="138" spans="1:2" x14ac:dyDescent="0.25">
      <c r="A138" s="3" t="str">
        <f>IF(Raw_Data!J138=0,Raw_Data!D138,"")</f>
        <v/>
      </c>
      <c r="B138" s="3">
        <f>IF(Raw_Data!J138=1,Raw_Data!D138,"")</f>
        <v>645.21</v>
      </c>
    </row>
    <row r="139" spans="1:2" x14ac:dyDescent="0.25">
      <c r="A139" s="3">
        <f>IF(Raw_Data!J139=0,Raw_Data!D139,"")</f>
        <v>1874.27</v>
      </c>
      <c r="B139" s="3" t="str">
        <f>IF(Raw_Data!J139=1,Raw_Data!D139,"")</f>
        <v/>
      </c>
    </row>
    <row r="140" spans="1:2" x14ac:dyDescent="0.25">
      <c r="A140" s="3" t="str">
        <f>IF(Raw_Data!J140=0,Raw_Data!D140,"")</f>
        <v/>
      </c>
      <c r="B140" s="3">
        <f>IF(Raw_Data!J140=1,Raw_Data!D140,"")</f>
        <v>2043.97</v>
      </c>
    </row>
    <row r="141" spans="1:2" x14ac:dyDescent="0.25">
      <c r="A141" s="3">
        <f>IF(Raw_Data!J141=0,Raw_Data!D141,"")</f>
        <v>912.86</v>
      </c>
      <c r="B141" s="3" t="str">
        <f>IF(Raw_Data!J141=1,Raw_Data!D141,"")</f>
        <v/>
      </c>
    </row>
    <row r="142" spans="1:2" x14ac:dyDescent="0.25">
      <c r="A142" s="3">
        <f>IF(Raw_Data!J142=0,Raw_Data!D142,"")</f>
        <v>2550.71</v>
      </c>
      <c r="B142" s="3" t="str">
        <f>IF(Raw_Data!J142=1,Raw_Data!D142,"")</f>
        <v/>
      </c>
    </row>
    <row r="143" spans="1:2" x14ac:dyDescent="0.25">
      <c r="A143" s="3">
        <f>IF(Raw_Data!J143=0,Raw_Data!D143,"")</f>
        <v>3171.09</v>
      </c>
      <c r="B143" s="3" t="str">
        <f>IF(Raw_Data!J143=1,Raw_Data!D143,"")</f>
        <v/>
      </c>
    </row>
    <row r="144" spans="1:2" x14ac:dyDescent="0.25">
      <c r="A144" s="3">
        <f>IF(Raw_Data!J144=0,Raw_Data!D144,"")</f>
        <v>1442.97</v>
      </c>
      <c r="B144" s="3" t="str">
        <f>IF(Raw_Data!J144=1,Raw_Data!D144,"")</f>
        <v/>
      </c>
    </row>
    <row r="145" spans="1:2" x14ac:dyDescent="0.25">
      <c r="A145" s="3">
        <f>IF(Raw_Data!J145=0,Raw_Data!D145,"")</f>
        <v>281.29000000000002</v>
      </c>
      <c r="B145" s="3" t="str">
        <f>IF(Raw_Data!J145=1,Raw_Data!D145,"")</f>
        <v/>
      </c>
    </row>
    <row r="146" spans="1:2" x14ac:dyDescent="0.25">
      <c r="A146" s="3">
        <f>IF(Raw_Data!J146=0,Raw_Data!D146,"")</f>
        <v>863.92</v>
      </c>
      <c r="B146" s="3" t="str">
        <f>IF(Raw_Data!J146=1,Raw_Data!D146,"")</f>
        <v/>
      </c>
    </row>
    <row r="147" spans="1:2" x14ac:dyDescent="0.25">
      <c r="A147" s="3" t="str">
        <f>IF(Raw_Data!J147=0,Raw_Data!D147,"")</f>
        <v/>
      </c>
      <c r="B147" s="3">
        <f>IF(Raw_Data!J147=1,Raw_Data!D147,"")</f>
        <v>1909.81</v>
      </c>
    </row>
    <row r="148" spans="1:2" x14ac:dyDescent="0.25">
      <c r="A148" s="3" t="str">
        <f>IF(Raw_Data!J148=0,Raw_Data!D148,"")</f>
        <v/>
      </c>
      <c r="B148" s="3">
        <f>IF(Raw_Data!J148=1,Raw_Data!D148,"")</f>
        <v>1193.5</v>
      </c>
    </row>
    <row r="149" spans="1:2" x14ac:dyDescent="0.25">
      <c r="A149" s="3">
        <f>IF(Raw_Data!J149=0,Raw_Data!D149,"")</f>
        <v>2040.85</v>
      </c>
      <c r="B149" s="3" t="str">
        <f>IF(Raw_Data!J149=1,Raw_Data!D149,"")</f>
        <v/>
      </c>
    </row>
    <row r="150" spans="1:2" x14ac:dyDescent="0.25">
      <c r="A150" s="3">
        <f>IF(Raw_Data!J150=0,Raw_Data!D150,"")</f>
        <v>4436.91</v>
      </c>
      <c r="B150" s="3" t="str">
        <f>IF(Raw_Data!J150=1,Raw_Data!D150,"")</f>
        <v/>
      </c>
    </row>
    <row r="151" spans="1:2" x14ac:dyDescent="0.25">
      <c r="A151" s="3">
        <f>IF(Raw_Data!J151=0,Raw_Data!D151,"")</f>
        <v>1776.62</v>
      </c>
      <c r="B151" s="3" t="str">
        <f>IF(Raw_Data!J151=1,Raw_Data!D151,"")</f>
        <v/>
      </c>
    </row>
    <row r="152" spans="1:2" x14ac:dyDescent="0.25">
      <c r="A152" s="3">
        <f>IF(Raw_Data!J152=0,Raw_Data!D152,"")</f>
        <v>1154.57</v>
      </c>
      <c r="B152" s="3" t="str">
        <f>IF(Raw_Data!J152=1,Raw_Data!D152,"")</f>
        <v/>
      </c>
    </row>
    <row r="153" spans="1:2" x14ac:dyDescent="0.25">
      <c r="A153" s="3">
        <f>IF(Raw_Data!J153=0,Raw_Data!D153,"")</f>
        <v>2691.32</v>
      </c>
      <c r="B153" s="3" t="str">
        <f>IF(Raw_Data!J153=1,Raw_Data!D153,"")</f>
        <v/>
      </c>
    </row>
    <row r="154" spans="1:2" x14ac:dyDescent="0.25">
      <c r="A154" s="3">
        <f>IF(Raw_Data!J154=0,Raw_Data!D154,"")</f>
        <v>4437.22</v>
      </c>
      <c r="B154" s="3" t="str">
        <f>IF(Raw_Data!J154=1,Raw_Data!D154,"")</f>
        <v/>
      </c>
    </row>
    <row r="155" spans="1:2" x14ac:dyDescent="0.25">
      <c r="A155" s="3" t="str">
        <f>IF(Raw_Data!J155=0,Raw_Data!D155,"")</f>
        <v/>
      </c>
      <c r="B155" s="3">
        <f>IF(Raw_Data!J155=1,Raw_Data!D155,"")</f>
        <v>3223.01</v>
      </c>
    </row>
    <row r="156" spans="1:2" x14ac:dyDescent="0.25">
      <c r="A156" s="3">
        <f>IF(Raw_Data!J156=0,Raw_Data!D156,"")</f>
        <v>2559.4299999999998</v>
      </c>
      <c r="B156" s="3" t="str">
        <f>IF(Raw_Data!J156=1,Raw_Data!D156,"")</f>
        <v/>
      </c>
    </row>
    <row r="157" spans="1:2" x14ac:dyDescent="0.25">
      <c r="A157" s="3" t="str">
        <f>IF(Raw_Data!J157=0,Raw_Data!D157,"")</f>
        <v/>
      </c>
      <c r="B157" s="3">
        <f>IF(Raw_Data!J157=1,Raw_Data!D157,"")</f>
        <v>631.54</v>
      </c>
    </row>
    <row r="158" spans="1:2" x14ac:dyDescent="0.25">
      <c r="A158" s="3">
        <f>IF(Raw_Data!J158=0,Raw_Data!D158,"")</f>
        <v>2692.87</v>
      </c>
      <c r="B158" s="3" t="str">
        <f>IF(Raw_Data!J158=1,Raw_Data!D158,"")</f>
        <v/>
      </c>
    </row>
    <row r="159" spans="1:2" x14ac:dyDescent="0.25">
      <c r="A159" s="3">
        <f>IF(Raw_Data!J159=0,Raw_Data!D159,"")</f>
        <v>5610.25</v>
      </c>
      <c r="B159" s="3" t="str">
        <f>IF(Raw_Data!J159=1,Raw_Data!D159,"")</f>
        <v/>
      </c>
    </row>
    <row r="160" spans="1:2" x14ac:dyDescent="0.25">
      <c r="A160" s="3">
        <f>IF(Raw_Data!J160=0,Raw_Data!D160,"")</f>
        <v>809.82</v>
      </c>
      <c r="B160" s="3" t="str">
        <f>IF(Raw_Data!J160=1,Raw_Data!D160,"")</f>
        <v/>
      </c>
    </row>
    <row r="161" spans="1:2" x14ac:dyDescent="0.25">
      <c r="A161" s="3">
        <f>IF(Raw_Data!J161=0,Raw_Data!D161,"")</f>
        <v>1958.11</v>
      </c>
      <c r="B161" s="3" t="str">
        <f>IF(Raw_Data!J161=1,Raw_Data!D161,"")</f>
        <v/>
      </c>
    </row>
    <row r="162" spans="1:2" x14ac:dyDescent="0.25">
      <c r="A162" s="3">
        <f>IF(Raw_Data!J162=0,Raw_Data!D162,"")</f>
        <v>4932.88</v>
      </c>
      <c r="B162" s="3" t="str">
        <f>IF(Raw_Data!J162=1,Raw_Data!D162,"")</f>
        <v/>
      </c>
    </row>
    <row r="163" spans="1:2" x14ac:dyDescent="0.25">
      <c r="A163" s="3" t="str">
        <f>IF(Raw_Data!J163=0,Raw_Data!D163,"")</f>
        <v/>
      </c>
      <c r="B163" s="3">
        <f>IF(Raw_Data!J163=1,Raw_Data!D163,"")</f>
        <v>1568.08</v>
      </c>
    </row>
    <row r="164" spans="1:2" x14ac:dyDescent="0.25">
      <c r="A164" s="3">
        <f>IF(Raw_Data!J164=0,Raw_Data!D164,"")</f>
        <v>3583.33</v>
      </c>
      <c r="B164" s="3" t="str">
        <f>IF(Raw_Data!J164=1,Raw_Data!D164,"")</f>
        <v/>
      </c>
    </row>
    <row r="165" spans="1:2" x14ac:dyDescent="0.25">
      <c r="A165" s="3">
        <f>IF(Raw_Data!J165=0,Raw_Data!D165,"")</f>
        <v>1769.49</v>
      </c>
      <c r="B165" s="3" t="str">
        <f>IF(Raw_Data!J165=1,Raw_Data!D165,"")</f>
        <v/>
      </c>
    </row>
    <row r="166" spans="1:2" x14ac:dyDescent="0.25">
      <c r="A166" s="3">
        <f>IF(Raw_Data!J166=0,Raw_Data!D166,"")</f>
        <v>4921.4799999999996</v>
      </c>
      <c r="B166" s="3" t="str">
        <f>IF(Raw_Data!J166=1,Raw_Data!D166,"")</f>
        <v/>
      </c>
    </row>
    <row r="167" spans="1:2" x14ac:dyDescent="0.25">
      <c r="A167" s="3">
        <f>IF(Raw_Data!J167=0,Raw_Data!D167,"")</f>
        <v>1317.9</v>
      </c>
      <c r="B167" s="3" t="str">
        <f>IF(Raw_Data!J167=1,Raw_Data!D167,"")</f>
        <v/>
      </c>
    </row>
    <row r="168" spans="1:2" x14ac:dyDescent="0.25">
      <c r="A168" s="3">
        <f>IF(Raw_Data!J168=0,Raw_Data!D168,"")</f>
        <v>1550.43</v>
      </c>
      <c r="B168" s="3" t="str">
        <f>IF(Raw_Data!J168=1,Raw_Data!D168,"")</f>
        <v/>
      </c>
    </row>
    <row r="169" spans="1:2" x14ac:dyDescent="0.25">
      <c r="A169" s="3">
        <f>IF(Raw_Data!J169=0,Raw_Data!D169,"")</f>
        <v>4701.8500000000004</v>
      </c>
      <c r="B169" s="3" t="str">
        <f>IF(Raw_Data!J169=1,Raw_Data!D169,"")</f>
        <v/>
      </c>
    </row>
    <row r="170" spans="1:2" x14ac:dyDescent="0.25">
      <c r="A170" s="3">
        <f>IF(Raw_Data!J170=0,Raw_Data!D170,"")</f>
        <v>5325.53</v>
      </c>
      <c r="B170" s="3" t="str">
        <f>IF(Raw_Data!J170=1,Raw_Data!D170,"")</f>
        <v/>
      </c>
    </row>
    <row r="171" spans="1:2" x14ac:dyDescent="0.25">
      <c r="A171" s="3">
        <f>IF(Raw_Data!J171=0,Raw_Data!D171,"")</f>
        <v>976.36</v>
      </c>
      <c r="B171" s="3" t="str">
        <f>IF(Raw_Data!J171=1,Raw_Data!D171,"")</f>
        <v/>
      </c>
    </row>
    <row r="172" spans="1:2" x14ac:dyDescent="0.25">
      <c r="A172" s="3" t="str">
        <f>IF(Raw_Data!J172=0,Raw_Data!D172,"")</f>
        <v/>
      </c>
      <c r="B172" s="3">
        <f>IF(Raw_Data!J172=1,Raw_Data!D172,"")</f>
        <v>1469.49</v>
      </c>
    </row>
    <row r="173" spans="1:2" x14ac:dyDescent="0.25">
      <c r="A173" s="3">
        <f>IF(Raw_Data!J173=0,Raw_Data!D173,"")</f>
        <v>3461.1</v>
      </c>
      <c r="B173" s="3" t="str">
        <f>IF(Raw_Data!J173=1,Raw_Data!D173,"")</f>
        <v/>
      </c>
    </row>
    <row r="174" spans="1:2" x14ac:dyDescent="0.25">
      <c r="A174" s="3">
        <f>IF(Raw_Data!J174=0,Raw_Data!D174,"")</f>
        <v>3769.06</v>
      </c>
      <c r="B174" s="3" t="str">
        <f>IF(Raw_Data!J174=1,Raw_Data!D174,"")</f>
        <v/>
      </c>
    </row>
    <row r="175" spans="1:2" x14ac:dyDescent="0.25">
      <c r="A175" s="3">
        <f>IF(Raw_Data!J175=0,Raw_Data!D175,"")</f>
        <v>2767.53</v>
      </c>
      <c r="B175" s="3" t="str">
        <f>IF(Raw_Data!J175=1,Raw_Data!D175,"")</f>
        <v/>
      </c>
    </row>
    <row r="176" spans="1:2" x14ac:dyDescent="0.25">
      <c r="A176" s="3">
        <f>IF(Raw_Data!J176=0,Raw_Data!D176,"")</f>
        <v>1245.6500000000001</v>
      </c>
      <c r="B176" s="3" t="str">
        <f>IF(Raw_Data!J176=1,Raw_Data!D176,"")</f>
        <v/>
      </c>
    </row>
    <row r="177" spans="1:2" x14ac:dyDescent="0.25">
      <c r="A177" s="3">
        <f>IF(Raw_Data!J177=0,Raw_Data!D177,"")</f>
        <v>2323.16</v>
      </c>
      <c r="B177" s="3" t="str">
        <f>IF(Raw_Data!J177=1,Raw_Data!D177,"")</f>
        <v/>
      </c>
    </row>
    <row r="178" spans="1:2" x14ac:dyDescent="0.25">
      <c r="A178" s="3">
        <f>IF(Raw_Data!J178=0,Raw_Data!D178,"")</f>
        <v>4855.0200000000004</v>
      </c>
      <c r="B178" s="3" t="str">
        <f>IF(Raw_Data!J178=1,Raw_Data!D178,"")</f>
        <v/>
      </c>
    </row>
    <row r="179" spans="1:2" x14ac:dyDescent="0.25">
      <c r="A179" s="3">
        <f>IF(Raw_Data!J179=0,Raw_Data!D179,"")</f>
        <v>1494.84</v>
      </c>
      <c r="B179" s="3" t="str">
        <f>IF(Raw_Data!J179=1,Raw_Data!D179,"")</f>
        <v/>
      </c>
    </row>
    <row r="180" spans="1:2" x14ac:dyDescent="0.25">
      <c r="A180" s="3">
        <f>IF(Raw_Data!J180=0,Raw_Data!D180,"")</f>
        <v>4051.64</v>
      </c>
      <c r="B180" s="3" t="str">
        <f>IF(Raw_Data!J180=1,Raw_Data!D180,"")</f>
        <v/>
      </c>
    </row>
    <row r="181" spans="1:2" x14ac:dyDescent="0.25">
      <c r="A181" s="3">
        <f>IF(Raw_Data!J181=0,Raw_Data!D181,"")</f>
        <v>1169.57</v>
      </c>
      <c r="B181" s="3" t="str">
        <f>IF(Raw_Data!J181=1,Raw_Data!D181,"")</f>
        <v/>
      </c>
    </row>
    <row r="182" spans="1:2" x14ac:dyDescent="0.25">
      <c r="A182" s="3">
        <f>IF(Raw_Data!J182=0,Raw_Data!D182,"")</f>
        <v>575.4</v>
      </c>
      <c r="B182" s="3" t="str">
        <f>IF(Raw_Data!J182=1,Raw_Data!D182,"")</f>
        <v/>
      </c>
    </row>
    <row r="183" spans="1:2" x14ac:dyDescent="0.25">
      <c r="A183" s="3">
        <f>IF(Raw_Data!J183=0,Raw_Data!D183,"")</f>
        <v>5224.59</v>
      </c>
      <c r="B183" s="3" t="str">
        <f>IF(Raw_Data!J183=1,Raw_Data!D183,"")</f>
        <v/>
      </c>
    </row>
    <row r="184" spans="1:2" x14ac:dyDescent="0.25">
      <c r="A184" s="3">
        <f>IF(Raw_Data!J184=0,Raw_Data!D184,"")</f>
        <v>2152.86</v>
      </c>
      <c r="B184" s="3" t="str">
        <f>IF(Raw_Data!J184=1,Raw_Data!D184,"")</f>
        <v/>
      </c>
    </row>
    <row r="185" spans="1:2" x14ac:dyDescent="0.25">
      <c r="A185" s="3">
        <f>IF(Raw_Data!J185=0,Raw_Data!D185,"")</f>
        <v>4397.05</v>
      </c>
      <c r="B185" s="3" t="str">
        <f>IF(Raw_Data!J185=1,Raw_Data!D185,"")</f>
        <v/>
      </c>
    </row>
    <row r="186" spans="1:2" x14ac:dyDescent="0.25">
      <c r="A186" s="3" t="str">
        <f>IF(Raw_Data!J186=0,Raw_Data!D186,"")</f>
        <v/>
      </c>
      <c r="B186" s="3">
        <f>IF(Raw_Data!J186=1,Raw_Data!D186,"")</f>
        <v>1898.39</v>
      </c>
    </row>
    <row r="187" spans="1:2" x14ac:dyDescent="0.25">
      <c r="A187" s="3">
        <f>IF(Raw_Data!J187=0,Raw_Data!D187,"")</f>
        <v>1094.28</v>
      </c>
      <c r="B187" s="3" t="str">
        <f>IF(Raw_Data!J187=1,Raw_Data!D187,"")</f>
        <v/>
      </c>
    </row>
    <row r="188" spans="1:2" x14ac:dyDescent="0.25">
      <c r="A188" s="3" t="str">
        <f>IF(Raw_Data!J188=0,Raw_Data!D188,"")</f>
        <v/>
      </c>
      <c r="B188" s="3">
        <f>IF(Raw_Data!J188=1,Raw_Data!D188,"")</f>
        <v>3696.51</v>
      </c>
    </row>
    <row r="189" spans="1:2" x14ac:dyDescent="0.25">
      <c r="A189" s="3">
        <f>IF(Raw_Data!J189=0,Raw_Data!D189,"")</f>
        <v>1982.27</v>
      </c>
      <c r="B189" s="3" t="str">
        <f>IF(Raw_Data!J189=1,Raw_Data!D189,"")</f>
        <v/>
      </c>
    </row>
    <row r="190" spans="1:2" x14ac:dyDescent="0.25">
      <c r="A190" s="3">
        <f>IF(Raw_Data!J190=0,Raw_Data!D190,"")</f>
        <v>6134.42</v>
      </c>
      <c r="B190" s="3" t="str">
        <f>IF(Raw_Data!J190=1,Raw_Data!D190,"")</f>
        <v/>
      </c>
    </row>
    <row r="191" spans="1:2" x14ac:dyDescent="0.25">
      <c r="A191" s="3">
        <f>IF(Raw_Data!J191=0,Raw_Data!D191,"")</f>
        <v>1262.75</v>
      </c>
      <c r="B191" s="3" t="str">
        <f>IF(Raw_Data!J191=1,Raw_Data!D191,"")</f>
        <v/>
      </c>
    </row>
    <row r="192" spans="1:2" x14ac:dyDescent="0.25">
      <c r="A192" s="3">
        <f>IF(Raw_Data!J192=0,Raw_Data!D192,"")</f>
        <v>173.02</v>
      </c>
      <c r="B192" s="3" t="str">
        <f>IF(Raw_Data!J192=1,Raw_Data!D192,"")</f>
        <v/>
      </c>
    </row>
    <row r="193" spans="1:2" x14ac:dyDescent="0.25">
      <c r="A193" s="3">
        <f>IF(Raw_Data!J193=0,Raw_Data!D193,"")</f>
        <v>2981.23</v>
      </c>
      <c r="B193" s="3" t="str">
        <f>IF(Raw_Data!J193=1,Raw_Data!D193,"")</f>
        <v/>
      </c>
    </row>
    <row r="194" spans="1:2" x14ac:dyDescent="0.25">
      <c r="A194" s="3">
        <f>IF(Raw_Data!J194=0,Raw_Data!D194,"")</f>
        <v>3086.19</v>
      </c>
      <c r="B194" s="3" t="str">
        <f>IF(Raw_Data!J194=1,Raw_Data!D194,"")</f>
        <v/>
      </c>
    </row>
    <row r="195" spans="1:2" x14ac:dyDescent="0.25">
      <c r="A195" s="3">
        <f>IF(Raw_Data!J195=0,Raw_Data!D195,"")</f>
        <v>808.16</v>
      </c>
      <c r="B195" s="3" t="str">
        <f>IF(Raw_Data!J195=1,Raw_Data!D195,"")</f>
        <v/>
      </c>
    </row>
    <row r="196" spans="1:2" x14ac:dyDescent="0.25">
      <c r="A196" s="3">
        <f>IF(Raw_Data!J196=0,Raw_Data!D196,"")</f>
        <v>571.29</v>
      </c>
      <c r="B196" s="3" t="str">
        <f>IF(Raw_Data!J196=1,Raw_Data!D196,"")</f>
        <v/>
      </c>
    </row>
    <row r="197" spans="1:2" x14ac:dyDescent="0.25">
      <c r="A197" s="3" t="str">
        <f>IF(Raw_Data!J197=0,Raw_Data!D197,"")</f>
        <v/>
      </c>
      <c r="B197" s="3">
        <f>IF(Raw_Data!J197=1,Raw_Data!D197,"")</f>
        <v>4060.92</v>
      </c>
    </row>
    <row r="198" spans="1:2" x14ac:dyDescent="0.25">
      <c r="A198" s="3">
        <f>IF(Raw_Data!J198=0,Raw_Data!D198,"")</f>
        <v>1005.91</v>
      </c>
      <c r="B198" s="3" t="str">
        <f>IF(Raw_Data!J198=1,Raw_Data!D198,"")</f>
        <v/>
      </c>
    </row>
    <row r="199" spans="1:2" x14ac:dyDescent="0.25">
      <c r="A199" s="3">
        <f>IF(Raw_Data!J199=0,Raw_Data!D199,"")</f>
        <v>941.51</v>
      </c>
      <c r="B199" s="3" t="str">
        <f>IF(Raw_Data!J199=1,Raw_Data!D199,"")</f>
        <v/>
      </c>
    </row>
    <row r="200" spans="1:2" x14ac:dyDescent="0.25">
      <c r="A200" s="3">
        <f>IF(Raw_Data!J200=0,Raw_Data!D200,"")</f>
        <v>1190.77</v>
      </c>
      <c r="B200" s="3" t="str">
        <f>IF(Raw_Data!J200=1,Raw_Data!D200,"")</f>
        <v/>
      </c>
    </row>
    <row r="201" spans="1:2" x14ac:dyDescent="0.25">
      <c r="A201" s="3">
        <f>IF(Raw_Data!J201=0,Raw_Data!D201,"")</f>
        <v>2544.4299999999998</v>
      </c>
      <c r="B201" s="3" t="str">
        <f>IF(Raw_Data!J201=1,Raw_Data!D201,"")</f>
        <v/>
      </c>
    </row>
    <row r="202" spans="1:2" x14ac:dyDescent="0.25">
      <c r="A202" s="3" t="str">
        <f>IF(Raw_Data!J202=0,Raw_Data!D202,"")</f>
        <v/>
      </c>
      <c r="B202" s="3">
        <f>IF(Raw_Data!J202=1,Raw_Data!D202,"")</f>
        <v>2437.4</v>
      </c>
    </row>
    <row r="203" spans="1:2" x14ac:dyDescent="0.25">
      <c r="A203" s="3" t="str">
        <f>IF(Raw_Data!J203=0,Raw_Data!D203,"")</f>
        <v/>
      </c>
      <c r="B203" s="3">
        <f>IF(Raw_Data!J203=1,Raw_Data!D203,"")</f>
        <v>1473.58</v>
      </c>
    </row>
    <row r="204" spans="1:2" x14ac:dyDescent="0.25">
      <c r="A204" s="3">
        <f>IF(Raw_Data!J204=0,Raw_Data!D204,"")</f>
        <v>3909.64</v>
      </c>
      <c r="B204" s="3" t="str">
        <f>IF(Raw_Data!J204=1,Raw_Data!D204,"")</f>
        <v/>
      </c>
    </row>
    <row r="205" spans="1:2" x14ac:dyDescent="0.25">
      <c r="A205" s="3">
        <f>IF(Raw_Data!J205=0,Raw_Data!D205,"")</f>
        <v>959.53</v>
      </c>
      <c r="B205" s="3" t="str">
        <f>IF(Raw_Data!J205=1,Raw_Data!D205,"")</f>
        <v/>
      </c>
    </row>
    <row r="206" spans="1:2" x14ac:dyDescent="0.25">
      <c r="A206" s="3" t="str">
        <f>IF(Raw_Data!J206=0,Raw_Data!D206,"")</f>
        <v/>
      </c>
      <c r="B206" s="3">
        <f>IF(Raw_Data!J206=1,Raw_Data!D206,"")</f>
        <v>1995.57</v>
      </c>
    </row>
    <row r="207" spans="1:2" x14ac:dyDescent="0.25">
      <c r="A207" s="3">
        <f>IF(Raw_Data!J207=0,Raw_Data!D207,"")</f>
        <v>556.89</v>
      </c>
      <c r="B207" s="3" t="str">
        <f>IF(Raw_Data!J207=1,Raw_Data!D207,"")</f>
        <v/>
      </c>
    </row>
    <row r="208" spans="1:2" x14ac:dyDescent="0.25">
      <c r="A208" s="3">
        <f>IF(Raw_Data!J208=0,Raw_Data!D208,"")</f>
        <v>954.7</v>
      </c>
      <c r="B208" s="3" t="str">
        <f>IF(Raw_Data!J208=1,Raw_Data!D208,"")</f>
        <v/>
      </c>
    </row>
    <row r="209" spans="1:2" x14ac:dyDescent="0.25">
      <c r="A209" s="3">
        <f>IF(Raw_Data!J209=0,Raw_Data!D209,"")</f>
        <v>2554.33</v>
      </c>
      <c r="B209" s="3" t="str">
        <f>IF(Raw_Data!J209=1,Raw_Data!D209,"")</f>
        <v/>
      </c>
    </row>
    <row r="210" spans="1:2" x14ac:dyDescent="0.25">
      <c r="A210" s="3">
        <f>IF(Raw_Data!J210=0,Raw_Data!D210,"")</f>
        <v>7467.56</v>
      </c>
      <c r="B210" s="3" t="str">
        <f>IF(Raw_Data!J210=1,Raw_Data!D210,"")</f>
        <v/>
      </c>
    </row>
    <row r="211" spans="1:2" x14ac:dyDescent="0.25">
      <c r="A211" s="3">
        <f>IF(Raw_Data!J211=0,Raw_Data!D211,"")</f>
        <v>2934.59</v>
      </c>
      <c r="B211" s="3" t="str">
        <f>IF(Raw_Data!J211=1,Raw_Data!D211,"")</f>
        <v/>
      </c>
    </row>
    <row r="212" spans="1:2" x14ac:dyDescent="0.25">
      <c r="A212" s="3" t="str">
        <f>IF(Raw_Data!J212=0,Raw_Data!D212,"")</f>
        <v/>
      </c>
      <c r="B212" s="3">
        <f>IF(Raw_Data!J212=1,Raw_Data!D212,"")</f>
        <v>4783</v>
      </c>
    </row>
    <row r="213" spans="1:2" x14ac:dyDescent="0.25">
      <c r="A213" s="3" t="str">
        <f>IF(Raw_Data!J213=0,Raw_Data!D213,"")</f>
        <v/>
      </c>
      <c r="B213" s="3">
        <f>IF(Raw_Data!J213=1,Raw_Data!D213,"")</f>
        <v>1431.56</v>
      </c>
    </row>
    <row r="214" spans="1:2" x14ac:dyDescent="0.25">
      <c r="A214" s="3" t="str">
        <f>IF(Raw_Data!J214=0,Raw_Data!D214,"")</f>
        <v/>
      </c>
      <c r="B214" s="3">
        <f>IF(Raw_Data!J214=1,Raw_Data!D214,"")</f>
        <v>1194.21</v>
      </c>
    </row>
    <row r="215" spans="1:2" x14ac:dyDescent="0.25">
      <c r="A215" s="3">
        <f>IF(Raw_Data!J215=0,Raw_Data!D215,"")</f>
        <v>1984.88</v>
      </c>
      <c r="B215" s="3" t="str">
        <f>IF(Raw_Data!J215=1,Raw_Data!D215,"")</f>
        <v/>
      </c>
    </row>
    <row r="216" spans="1:2" x14ac:dyDescent="0.25">
      <c r="A216" s="3">
        <f>IF(Raw_Data!J216=0,Raw_Data!D216,"")</f>
        <v>1364.08</v>
      </c>
      <c r="B216" s="3" t="str">
        <f>IF(Raw_Data!J216=1,Raw_Data!D216,"")</f>
        <v/>
      </c>
    </row>
    <row r="217" spans="1:2" x14ac:dyDescent="0.25">
      <c r="A217" s="3" t="str">
        <f>IF(Raw_Data!J217=0,Raw_Data!D217,"")</f>
        <v/>
      </c>
      <c r="B217" s="3">
        <f>IF(Raw_Data!J217=1,Raw_Data!D217,"")</f>
        <v>3459.1</v>
      </c>
    </row>
    <row r="218" spans="1:2" x14ac:dyDescent="0.25">
      <c r="A218" s="3">
        <f>IF(Raw_Data!J218=0,Raw_Data!D218,"")</f>
        <v>2736.18</v>
      </c>
      <c r="B218" s="3" t="str">
        <f>IF(Raw_Data!J218=1,Raw_Data!D218,"")</f>
        <v/>
      </c>
    </row>
    <row r="219" spans="1:2" x14ac:dyDescent="0.25">
      <c r="A219" s="3">
        <f>IF(Raw_Data!J219=0,Raw_Data!D219,"")</f>
        <v>2826.77</v>
      </c>
      <c r="B219" s="3" t="str">
        <f>IF(Raw_Data!J219=1,Raw_Data!D219,"")</f>
        <v/>
      </c>
    </row>
    <row r="220" spans="1:2" x14ac:dyDescent="0.25">
      <c r="A220" s="3">
        <f>IF(Raw_Data!J220=0,Raw_Data!D220,"")</f>
        <v>5069.4399999999996</v>
      </c>
      <c r="B220" s="3" t="str">
        <f>IF(Raw_Data!J220=1,Raw_Data!D220,"")</f>
        <v/>
      </c>
    </row>
    <row r="221" spans="1:2" x14ac:dyDescent="0.25">
      <c r="A221" s="3">
        <f>IF(Raw_Data!J221=0,Raw_Data!D221,"")</f>
        <v>4378.46</v>
      </c>
      <c r="B221" s="3" t="str">
        <f>IF(Raw_Data!J221=1,Raw_Data!D221,"")</f>
        <v/>
      </c>
    </row>
    <row r="222" spans="1:2" x14ac:dyDescent="0.25">
      <c r="A222" s="3">
        <f>IF(Raw_Data!J222=0,Raw_Data!D222,"")</f>
        <v>2892.75</v>
      </c>
      <c r="B222" s="3" t="str">
        <f>IF(Raw_Data!J222=1,Raw_Data!D222,"")</f>
        <v/>
      </c>
    </row>
    <row r="223" spans="1:2" x14ac:dyDescent="0.25">
      <c r="A223" s="3" t="str">
        <f>IF(Raw_Data!J223=0,Raw_Data!D223,"")</f>
        <v/>
      </c>
      <c r="B223" s="3">
        <f>IF(Raw_Data!J223=1,Raw_Data!D223,"")</f>
        <v>862.31</v>
      </c>
    </row>
    <row r="224" spans="1:2" x14ac:dyDescent="0.25">
      <c r="A224" s="3">
        <f>IF(Raw_Data!J224=0,Raw_Data!D224,"")</f>
        <v>1743.82</v>
      </c>
      <c r="B224" s="3" t="str">
        <f>IF(Raw_Data!J224=1,Raw_Data!D224,"")</f>
        <v/>
      </c>
    </row>
    <row r="225" spans="1:2" x14ac:dyDescent="0.25">
      <c r="A225" s="3">
        <f>IF(Raw_Data!J225=0,Raw_Data!D225,"")</f>
        <v>5656.93</v>
      </c>
      <c r="B225" s="3" t="str">
        <f>IF(Raw_Data!J225=1,Raw_Data!D225,"")</f>
        <v/>
      </c>
    </row>
    <row r="226" spans="1:2" x14ac:dyDescent="0.25">
      <c r="A226" s="3" t="str">
        <f>IF(Raw_Data!J226=0,Raw_Data!D226,"")</f>
        <v/>
      </c>
      <c r="B226" s="3">
        <f>IF(Raw_Data!J226=1,Raw_Data!D226,"")</f>
        <v>1318.16</v>
      </c>
    </row>
    <row r="227" spans="1:2" x14ac:dyDescent="0.25">
      <c r="A227" s="3" t="str">
        <f>IF(Raw_Data!J227=0,Raw_Data!D227,"")</f>
        <v/>
      </c>
      <c r="B227" s="3">
        <f>IF(Raw_Data!J227=1,Raw_Data!D227,"")</f>
        <v>3072.5</v>
      </c>
    </row>
    <row r="228" spans="1:2" x14ac:dyDescent="0.25">
      <c r="A228" s="3" t="str">
        <f>IF(Raw_Data!J228=0,Raw_Data!D228,"")</f>
        <v/>
      </c>
      <c r="B228" s="3">
        <f>IF(Raw_Data!J228=1,Raw_Data!D228,"")</f>
        <v>2016.91</v>
      </c>
    </row>
    <row r="229" spans="1:2" x14ac:dyDescent="0.25">
      <c r="A229" s="3">
        <f>IF(Raw_Data!J229=0,Raw_Data!D229,"")</f>
        <v>2113.1999999999998</v>
      </c>
      <c r="B229" s="3" t="str">
        <f>IF(Raw_Data!J229=1,Raw_Data!D229,"")</f>
        <v/>
      </c>
    </row>
    <row r="230" spans="1:2" x14ac:dyDescent="0.25">
      <c r="A230" s="3">
        <f>IF(Raw_Data!J230=0,Raw_Data!D230,"")</f>
        <v>1177.56</v>
      </c>
      <c r="B230" s="3" t="str">
        <f>IF(Raw_Data!J230=1,Raw_Data!D230,"")</f>
        <v/>
      </c>
    </row>
    <row r="231" spans="1:2" x14ac:dyDescent="0.25">
      <c r="A231" s="3">
        <f>IF(Raw_Data!J231=0,Raw_Data!D231,"")</f>
        <v>4995.74</v>
      </c>
      <c r="B231" s="3" t="str">
        <f>IF(Raw_Data!J231=1,Raw_Data!D231,"")</f>
        <v/>
      </c>
    </row>
    <row r="232" spans="1:2" x14ac:dyDescent="0.25">
      <c r="A232" s="3" t="str">
        <f>IF(Raw_Data!J232=0,Raw_Data!D232,"")</f>
        <v/>
      </c>
      <c r="B232" s="3">
        <f>IF(Raw_Data!J232=1,Raw_Data!D232,"")</f>
        <v>2242.92</v>
      </c>
    </row>
    <row r="233" spans="1:2" x14ac:dyDescent="0.25">
      <c r="A233" s="3">
        <f>IF(Raw_Data!J233=0,Raw_Data!D233,"")</f>
        <v>698.62</v>
      </c>
      <c r="B233" s="3" t="str">
        <f>IF(Raw_Data!J233=1,Raw_Data!D233,"")</f>
        <v/>
      </c>
    </row>
    <row r="234" spans="1:2" x14ac:dyDescent="0.25">
      <c r="A234" s="3">
        <f>IF(Raw_Data!J234=0,Raw_Data!D234,"")</f>
        <v>5470.44</v>
      </c>
      <c r="B234" s="3" t="str">
        <f>IF(Raw_Data!J234=1,Raw_Data!D234,"")</f>
        <v/>
      </c>
    </row>
    <row r="235" spans="1:2" x14ac:dyDescent="0.25">
      <c r="A235" s="3" t="str">
        <f>IF(Raw_Data!J235=0,Raw_Data!D235,"")</f>
        <v/>
      </c>
      <c r="B235" s="3">
        <f>IF(Raw_Data!J235=1,Raw_Data!D235,"")</f>
        <v>947.33</v>
      </c>
    </row>
    <row r="236" spans="1:2" x14ac:dyDescent="0.25">
      <c r="A236" s="3">
        <f>IF(Raw_Data!J236=0,Raw_Data!D236,"")</f>
        <v>4398.75</v>
      </c>
      <c r="B236" s="3" t="str">
        <f>IF(Raw_Data!J236=1,Raw_Data!D236,"")</f>
        <v/>
      </c>
    </row>
    <row r="237" spans="1:2" x14ac:dyDescent="0.25">
      <c r="A237" s="3">
        <f>IF(Raw_Data!J237=0,Raw_Data!D237,"")</f>
        <v>2231.16</v>
      </c>
      <c r="B237" s="3" t="str">
        <f>IF(Raw_Data!J237=1,Raw_Data!D237,"")</f>
        <v/>
      </c>
    </row>
    <row r="238" spans="1:2" x14ac:dyDescent="0.25">
      <c r="A238" s="3" t="str">
        <f>IF(Raw_Data!J238=0,Raw_Data!D238,"")</f>
        <v/>
      </c>
      <c r="B238" s="3">
        <f>IF(Raw_Data!J238=1,Raw_Data!D238,"")</f>
        <v>3030.25</v>
      </c>
    </row>
    <row r="239" spans="1:2" x14ac:dyDescent="0.25">
      <c r="A239" s="3">
        <f>IF(Raw_Data!J239=0,Raw_Data!D239,"")</f>
        <v>1329.87</v>
      </c>
      <c r="B239" s="3" t="str">
        <f>IF(Raw_Data!J239=1,Raw_Data!D239,"")</f>
        <v/>
      </c>
    </row>
    <row r="240" spans="1:2" x14ac:dyDescent="0.25">
      <c r="A240" s="3">
        <f>IF(Raw_Data!J240=0,Raw_Data!D240,"")</f>
        <v>2837.03</v>
      </c>
      <c r="B240" s="3" t="str">
        <f>IF(Raw_Data!J240=1,Raw_Data!D240,"")</f>
        <v/>
      </c>
    </row>
    <row r="241" spans="1:2" x14ac:dyDescent="0.25">
      <c r="A241" s="3">
        <f>IF(Raw_Data!J241=0,Raw_Data!D241,"")</f>
        <v>2761.06</v>
      </c>
      <c r="B241" s="3" t="str">
        <f>IF(Raw_Data!J241=1,Raw_Data!D241,"")</f>
        <v/>
      </c>
    </row>
    <row r="242" spans="1:2" x14ac:dyDescent="0.25">
      <c r="A242" s="3">
        <f>IF(Raw_Data!J242=0,Raw_Data!D242,"")</f>
        <v>1225.71</v>
      </c>
      <c r="B242" s="3" t="str">
        <f>IF(Raw_Data!J242=1,Raw_Data!D242,"")</f>
        <v/>
      </c>
    </row>
    <row r="243" spans="1:2" x14ac:dyDescent="0.25">
      <c r="A243" s="3">
        <f>IF(Raw_Data!J243=0,Raw_Data!D243,"")</f>
        <v>4562.5200000000004</v>
      </c>
      <c r="B243" s="3" t="str">
        <f>IF(Raw_Data!J243=1,Raw_Data!D243,"")</f>
        <v/>
      </c>
    </row>
    <row r="244" spans="1:2" x14ac:dyDescent="0.25">
      <c r="A244" s="3">
        <f>IF(Raw_Data!J244=0,Raw_Data!D244,"")</f>
        <v>745.42</v>
      </c>
      <c r="B244" s="3" t="str">
        <f>IF(Raw_Data!J244=1,Raw_Data!D244,"")</f>
        <v/>
      </c>
    </row>
    <row r="245" spans="1:2" x14ac:dyDescent="0.25">
      <c r="A245" s="3">
        <f>IF(Raw_Data!J245=0,Raw_Data!D245,"")</f>
        <v>2036.26</v>
      </c>
      <c r="B245" s="3" t="str">
        <f>IF(Raw_Data!J245=1,Raw_Data!D245,"")</f>
        <v/>
      </c>
    </row>
    <row r="246" spans="1:2" x14ac:dyDescent="0.25">
      <c r="A246" s="3">
        <f>IF(Raw_Data!J246=0,Raw_Data!D246,"")</f>
        <v>1233.3499999999999</v>
      </c>
      <c r="B246" s="3" t="str">
        <f>IF(Raw_Data!J246=1,Raw_Data!D246,"")</f>
        <v/>
      </c>
    </row>
    <row r="247" spans="1:2" x14ac:dyDescent="0.25">
      <c r="A247" s="3">
        <f>IF(Raw_Data!J247=0,Raw_Data!D247,"")</f>
        <v>3446.85</v>
      </c>
      <c r="B247" s="3" t="str">
        <f>IF(Raw_Data!J247=1,Raw_Data!D247,"")</f>
        <v/>
      </c>
    </row>
    <row r="248" spans="1:2" x14ac:dyDescent="0.25">
      <c r="A248" s="3">
        <f>IF(Raw_Data!J248=0,Raw_Data!D248,"")</f>
        <v>3147.62</v>
      </c>
      <c r="B248" s="3" t="str">
        <f>IF(Raw_Data!J248=1,Raw_Data!D248,"")</f>
        <v/>
      </c>
    </row>
    <row r="249" spans="1:2" x14ac:dyDescent="0.25">
      <c r="A249" s="3" t="str">
        <f>IF(Raw_Data!J249=0,Raw_Data!D249,"")</f>
        <v/>
      </c>
      <c r="B249" s="3">
        <f>IF(Raw_Data!J249=1,Raw_Data!D249,"")</f>
        <v>3897.97</v>
      </c>
    </row>
    <row r="250" spans="1:2" x14ac:dyDescent="0.25">
      <c r="A250" s="3">
        <f>IF(Raw_Data!J250=0,Raw_Data!D250,"")</f>
        <v>3934.32</v>
      </c>
      <c r="B250" s="3" t="str">
        <f>IF(Raw_Data!J250=1,Raw_Data!D250,"")</f>
        <v/>
      </c>
    </row>
    <row r="251" spans="1:2" x14ac:dyDescent="0.25">
      <c r="A251" s="3" t="str">
        <f>IF(Raw_Data!J251=0,Raw_Data!D251,"")</f>
        <v/>
      </c>
      <c r="B251" s="3">
        <f>IF(Raw_Data!J251=1,Raw_Data!D251,"")</f>
        <v>3341.49</v>
      </c>
    </row>
    <row r="252" spans="1:2" x14ac:dyDescent="0.25">
      <c r="A252" s="3">
        <f>IF(Raw_Data!J252=0,Raw_Data!D252,"")</f>
        <v>901.14</v>
      </c>
      <c r="B252" s="3" t="str">
        <f>IF(Raw_Data!J252=1,Raw_Data!D252,"")</f>
        <v/>
      </c>
    </row>
    <row r="253" spans="1:2" x14ac:dyDescent="0.25">
      <c r="A253" s="3" t="str">
        <f>IF(Raw_Data!J253=0,Raw_Data!D253,"")</f>
        <v/>
      </c>
      <c r="B253" s="3">
        <f>IF(Raw_Data!J253=1,Raw_Data!D253,"")</f>
        <v>3955.97</v>
      </c>
    </row>
    <row r="254" spans="1:2" x14ac:dyDescent="0.25">
      <c r="A254" s="3">
        <f>IF(Raw_Data!J254=0,Raw_Data!D254,"")</f>
        <v>9531.3700000000008</v>
      </c>
      <c r="B254" s="3" t="str">
        <f>IF(Raw_Data!J254=1,Raw_Data!D254,"")</f>
        <v/>
      </c>
    </row>
    <row r="255" spans="1:2" x14ac:dyDescent="0.25">
      <c r="A255" s="3">
        <f>IF(Raw_Data!J255=0,Raw_Data!D255,"")</f>
        <v>194.61</v>
      </c>
      <c r="B255" s="3" t="str">
        <f>IF(Raw_Data!J255=1,Raw_Data!D255,"")</f>
        <v/>
      </c>
    </row>
    <row r="256" spans="1:2" x14ac:dyDescent="0.25">
      <c r="A256" s="3">
        <f>IF(Raw_Data!J256=0,Raw_Data!D256,"")</f>
        <v>921.63</v>
      </c>
      <c r="B256" s="3" t="str">
        <f>IF(Raw_Data!J256=1,Raw_Data!D256,"")</f>
        <v/>
      </c>
    </row>
    <row r="257" spans="1:2" x14ac:dyDescent="0.25">
      <c r="A257" s="3">
        <f>IF(Raw_Data!J257=0,Raw_Data!D257,"")</f>
        <v>2151.9</v>
      </c>
      <c r="B257" s="3" t="str">
        <f>IF(Raw_Data!J257=1,Raw_Data!D257,"")</f>
        <v/>
      </c>
    </row>
    <row r="258" spans="1:2" x14ac:dyDescent="0.25">
      <c r="A258" s="3">
        <f>IF(Raw_Data!J258=0,Raw_Data!D258,"")</f>
        <v>929.83</v>
      </c>
      <c r="B258" s="3" t="str">
        <f>IF(Raw_Data!J258=1,Raw_Data!D258,"")</f>
        <v/>
      </c>
    </row>
    <row r="259" spans="1:2" x14ac:dyDescent="0.25">
      <c r="A259" s="3">
        <f>IF(Raw_Data!J259=0,Raw_Data!D259,"")</f>
        <v>1389.95</v>
      </c>
      <c r="B259" s="3" t="str">
        <f>IF(Raw_Data!J259=1,Raw_Data!D259,"")</f>
        <v/>
      </c>
    </row>
    <row r="260" spans="1:2" x14ac:dyDescent="0.25">
      <c r="A260" s="3">
        <f>IF(Raw_Data!J260=0,Raw_Data!D260,"")</f>
        <v>4593.71</v>
      </c>
      <c r="B260" s="3" t="str">
        <f>IF(Raw_Data!J260=1,Raw_Data!D260,"")</f>
        <v/>
      </c>
    </row>
    <row r="261" spans="1:2" x14ac:dyDescent="0.25">
      <c r="A261" s="3">
        <f>IF(Raw_Data!J261=0,Raw_Data!D261,"")</f>
        <v>4624.66</v>
      </c>
      <c r="B261" s="3" t="str">
        <f>IF(Raw_Data!J261=1,Raw_Data!D261,"")</f>
        <v/>
      </c>
    </row>
    <row r="262" spans="1:2" x14ac:dyDescent="0.25">
      <c r="A262" s="3" t="str">
        <f>IF(Raw_Data!J262=0,Raw_Data!D262,"")</f>
        <v/>
      </c>
      <c r="B262" s="3">
        <f>IF(Raw_Data!J262=1,Raw_Data!D262,"")</f>
        <v>7764.86</v>
      </c>
    </row>
    <row r="263" spans="1:2" x14ac:dyDescent="0.25">
      <c r="A263" s="3">
        <f>IF(Raw_Data!J263=0,Raw_Data!D263,"")</f>
        <v>3900.06</v>
      </c>
      <c r="B263" s="3" t="str">
        <f>IF(Raw_Data!J263=1,Raw_Data!D263,"")</f>
        <v/>
      </c>
    </row>
    <row r="264" spans="1:2" x14ac:dyDescent="0.25">
      <c r="A264" s="3" t="str">
        <f>IF(Raw_Data!J264=0,Raw_Data!D264,"")</f>
        <v/>
      </c>
      <c r="B264" s="3">
        <f>IF(Raw_Data!J264=1,Raw_Data!D264,"")</f>
        <v>5258.06</v>
      </c>
    </row>
    <row r="265" spans="1:2" x14ac:dyDescent="0.25">
      <c r="A265" s="3">
        <f>IF(Raw_Data!J265=0,Raw_Data!D265,"")</f>
        <v>621.21</v>
      </c>
      <c r="B265" s="3" t="str">
        <f>IF(Raw_Data!J265=1,Raw_Data!D265,"")</f>
        <v/>
      </c>
    </row>
    <row r="266" spans="1:2" x14ac:dyDescent="0.25">
      <c r="A266" s="3">
        <f>IF(Raw_Data!J266=0,Raw_Data!D266,"")</f>
        <v>2583.46</v>
      </c>
      <c r="B266" s="3" t="str">
        <f>IF(Raw_Data!J266=1,Raw_Data!D266,"")</f>
        <v/>
      </c>
    </row>
    <row r="267" spans="1:2" x14ac:dyDescent="0.25">
      <c r="A267" s="3">
        <f>IF(Raw_Data!J267=0,Raw_Data!D267,"")</f>
        <v>3059.63</v>
      </c>
      <c r="B267" s="3" t="str">
        <f>IF(Raw_Data!J267=1,Raw_Data!D267,"")</f>
        <v/>
      </c>
    </row>
    <row r="268" spans="1:2" x14ac:dyDescent="0.25">
      <c r="A268" s="3">
        <f>IF(Raw_Data!J268=0,Raw_Data!D268,"")</f>
        <v>883.33</v>
      </c>
      <c r="B268" s="3" t="str">
        <f>IF(Raw_Data!J268=1,Raw_Data!D268,"")</f>
        <v/>
      </c>
    </row>
    <row r="269" spans="1:2" x14ac:dyDescent="0.25">
      <c r="A269" s="3">
        <f>IF(Raw_Data!J269=0,Raw_Data!D269,"")</f>
        <v>1324.48</v>
      </c>
      <c r="B269" s="3" t="str">
        <f>IF(Raw_Data!J269=1,Raw_Data!D269,"")</f>
        <v/>
      </c>
    </row>
    <row r="270" spans="1:2" x14ac:dyDescent="0.25">
      <c r="A270" s="3">
        <f>IF(Raw_Data!J270=0,Raw_Data!D270,"")</f>
        <v>2661.29</v>
      </c>
      <c r="B270" s="3" t="str">
        <f>IF(Raw_Data!J270=1,Raw_Data!D270,"")</f>
        <v/>
      </c>
    </row>
    <row r="271" spans="1:2" x14ac:dyDescent="0.25">
      <c r="A271" s="3">
        <f>IF(Raw_Data!J271=0,Raw_Data!D271,"")</f>
        <v>3747.22</v>
      </c>
      <c r="B271" s="3" t="str">
        <f>IF(Raw_Data!J271=1,Raw_Data!D271,"")</f>
        <v/>
      </c>
    </row>
    <row r="272" spans="1:2" x14ac:dyDescent="0.25">
      <c r="A272" s="3">
        <f>IF(Raw_Data!J272=0,Raw_Data!D272,"")</f>
        <v>248.26</v>
      </c>
      <c r="B272" s="3" t="str">
        <f>IF(Raw_Data!J272=1,Raw_Data!D272,"")</f>
        <v/>
      </c>
    </row>
    <row r="273" spans="1:2" x14ac:dyDescent="0.25">
      <c r="A273" s="3">
        <f>IF(Raw_Data!J273=0,Raw_Data!D273,"")</f>
        <v>5188.04</v>
      </c>
      <c r="B273" s="3" t="str">
        <f>IF(Raw_Data!J273=1,Raw_Data!D273,"")</f>
        <v/>
      </c>
    </row>
    <row r="274" spans="1:2" x14ac:dyDescent="0.25">
      <c r="A274" s="3">
        <f>IF(Raw_Data!J274=0,Raw_Data!D274,"")</f>
        <v>1666.4</v>
      </c>
      <c r="B274" s="3" t="str">
        <f>IF(Raw_Data!J274=1,Raw_Data!D274,"")</f>
        <v/>
      </c>
    </row>
    <row r="275" spans="1:2" x14ac:dyDescent="0.25">
      <c r="A275" s="3">
        <f>IF(Raw_Data!J275=0,Raw_Data!D275,"")</f>
        <v>1591.71</v>
      </c>
      <c r="B275" s="3" t="str">
        <f>IF(Raw_Data!J275=1,Raw_Data!D275,"")</f>
        <v/>
      </c>
    </row>
    <row r="276" spans="1:2" x14ac:dyDescent="0.25">
      <c r="A276" s="3">
        <f>IF(Raw_Data!J276=0,Raw_Data!D276,"")</f>
        <v>1662.21</v>
      </c>
      <c r="B276" s="3" t="str">
        <f>IF(Raw_Data!J276=1,Raw_Data!D276,"")</f>
        <v/>
      </c>
    </row>
    <row r="277" spans="1:2" x14ac:dyDescent="0.25">
      <c r="A277" s="3">
        <f>IF(Raw_Data!J277=0,Raw_Data!D277,"")</f>
        <v>485.99</v>
      </c>
      <c r="B277" s="3" t="str">
        <f>IF(Raw_Data!J277=1,Raw_Data!D277,"")</f>
        <v/>
      </c>
    </row>
    <row r="278" spans="1:2" x14ac:dyDescent="0.25">
      <c r="A278" s="3">
        <f>IF(Raw_Data!J278=0,Raw_Data!D278,"")</f>
        <v>3085.89</v>
      </c>
      <c r="B278" s="3" t="str">
        <f>IF(Raw_Data!J278=1,Raw_Data!D278,"")</f>
        <v/>
      </c>
    </row>
    <row r="279" spans="1:2" x14ac:dyDescent="0.25">
      <c r="A279" s="3">
        <f>IF(Raw_Data!J279=0,Raw_Data!D279,"")</f>
        <v>5004.45</v>
      </c>
      <c r="B279" s="3" t="str">
        <f>IF(Raw_Data!J279=1,Raw_Data!D279,"")</f>
        <v/>
      </c>
    </row>
    <row r="280" spans="1:2" x14ac:dyDescent="0.25">
      <c r="A280" s="3">
        <f>IF(Raw_Data!J280=0,Raw_Data!D280,"")</f>
        <v>4660.2</v>
      </c>
      <c r="B280" s="3" t="str">
        <f>IF(Raw_Data!J280=1,Raw_Data!D280,"")</f>
        <v/>
      </c>
    </row>
    <row r="281" spans="1:2" x14ac:dyDescent="0.25">
      <c r="A281" s="3">
        <f>IF(Raw_Data!J281=0,Raw_Data!D281,"")</f>
        <v>2151.9899999999998</v>
      </c>
      <c r="B281" s="3" t="str">
        <f>IF(Raw_Data!J281=1,Raw_Data!D281,"")</f>
        <v/>
      </c>
    </row>
    <row r="282" spans="1:2" x14ac:dyDescent="0.25">
      <c r="A282" s="3">
        <f>IF(Raw_Data!J282=0,Raw_Data!D282,"")</f>
        <v>2565.6</v>
      </c>
      <c r="B282" s="3" t="str">
        <f>IF(Raw_Data!J282=1,Raw_Data!D282,"")</f>
        <v/>
      </c>
    </row>
    <row r="283" spans="1:2" x14ac:dyDescent="0.25">
      <c r="A283" s="3">
        <f>IF(Raw_Data!J283=0,Raw_Data!D283,"")</f>
        <v>1535.02</v>
      </c>
      <c r="B283" s="3" t="str">
        <f>IF(Raw_Data!J283=1,Raw_Data!D283,"")</f>
        <v/>
      </c>
    </row>
    <row r="284" spans="1:2" x14ac:dyDescent="0.25">
      <c r="A284" s="3">
        <f>IF(Raw_Data!J284=0,Raw_Data!D284,"")</f>
        <v>2194.4499999999998</v>
      </c>
      <c r="B284" s="3" t="str">
        <f>IF(Raw_Data!J284=1,Raw_Data!D284,"")</f>
        <v/>
      </c>
    </row>
    <row r="285" spans="1:2" x14ac:dyDescent="0.25">
      <c r="A285" s="3">
        <f>IF(Raw_Data!J285=0,Raw_Data!D285,"")</f>
        <v>4269.53</v>
      </c>
      <c r="B285" s="3" t="str">
        <f>IF(Raw_Data!J285=1,Raw_Data!D285,"")</f>
        <v/>
      </c>
    </row>
    <row r="286" spans="1:2" x14ac:dyDescent="0.25">
      <c r="A286" s="3">
        <f>IF(Raw_Data!J286=0,Raw_Data!D286,"")</f>
        <v>1314.11</v>
      </c>
      <c r="B286" s="3" t="str">
        <f>IF(Raw_Data!J286=1,Raw_Data!D286,"")</f>
        <v/>
      </c>
    </row>
    <row r="287" spans="1:2" x14ac:dyDescent="0.25">
      <c r="A287" s="3">
        <f>IF(Raw_Data!J287=0,Raw_Data!D287,"")</f>
        <v>743.81</v>
      </c>
      <c r="B287" s="3" t="str">
        <f>IF(Raw_Data!J287=1,Raw_Data!D287,"")</f>
        <v/>
      </c>
    </row>
    <row r="288" spans="1:2" x14ac:dyDescent="0.25">
      <c r="A288" s="3">
        <f>IF(Raw_Data!J288=0,Raw_Data!D288,"")</f>
        <v>1961.98</v>
      </c>
      <c r="B288" s="3" t="str">
        <f>IF(Raw_Data!J288=1,Raw_Data!D288,"")</f>
        <v/>
      </c>
    </row>
    <row r="289" spans="1:2" x14ac:dyDescent="0.25">
      <c r="A289" s="3">
        <f>IF(Raw_Data!J289=0,Raw_Data!D289,"")</f>
        <v>2024.69</v>
      </c>
      <c r="B289" s="3" t="str">
        <f>IF(Raw_Data!J289=1,Raw_Data!D289,"")</f>
        <v/>
      </c>
    </row>
    <row r="290" spans="1:2" x14ac:dyDescent="0.25">
      <c r="A290" s="3">
        <f>IF(Raw_Data!J290=0,Raw_Data!D290,"")</f>
        <v>2993.28</v>
      </c>
      <c r="B290" s="3" t="str">
        <f>IF(Raw_Data!J290=1,Raw_Data!D290,"")</f>
        <v/>
      </c>
    </row>
    <row r="291" spans="1:2" x14ac:dyDescent="0.25">
      <c r="A291" s="3">
        <f>IF(Raw_Data!J291=0,Raw_Data!D291,"")</f>
        <v>4720.53</v>
      </c>
      <c r="B291" s="3" t="str">
        <f>IF(Raw_Data!J291=1,Raw_Data!D291,"")</f>
        <v/>
      </c>
    </row>
    <row r="292" spans="1:2" x14ac:dyDescent="0.25">
      <c r="A292" s="3">
        <f>IF(Raw_Data!J292=0,Raw_Data!D292,"")</f>
        <v>3831.21</v>
      </c>
      <c r="B292" s="3" t="str">
        <f>IF(Raw_Data!J292=1,Raw_Data!D292,"")</f>
        <v/>
      </c>
    </row>
    <row r="293" spans="1:2" x14ac:dyDescent="0.25">
      <c r="A293" s="3" t="str">
        <f>IF(Raw_Data!J293=0,Raw_Data!D293,"")</f>
        <v/>
      </c>
      <c r="B293" s="3">
        <f>IF(Raw_Data!J293=1,Raw_Data!D293,"")</f>
        <v>576.13</v>
      </c>
    </row>
    <row r="294" spans="1:2" x14ac:dyDescent="0.25">
      <c r="A294" s="3">
        <f>IF(Raw_Data!J294=0,Raw_Data!D294,"")</f>
        <v>2808.46</v>
      </c>
      <c r="B294" s="3" t="str">
        <f>IF(Raw_Data!J294=1,Raw_Data!D294,"")</f>
        <v/>
      </c>
    </row>
    <row r="295" spans="1:2" x14ac:dyDescent="0.25">
      <c r="A295" s="3">
        <f>IF(Raw_Data!J295=0,Raw_Data!D295,"")</f>
        <v>1754.24</v>
      </c>
      <c r="B295" s="3" t="str">
        <f>IF(Raw_Data!J295=1,Raw_Data!D295,"")</f>
        <v/>
      </c>
    </row>
    <row r="296" spans="1:2" x14ac:dyDescent="0.25">
      <c r="A296" s="3">
        <f>IF(Raw_Data!J296=0,Raw_Data!D296,"")</f>
        <v>1464.5</v>
      </c>
      <c r="B296" s="3" t="str">
        <f>IF(Raw_Data!J296=1,Raw_Data!D296,"")</f>
        <v/>
      </c>
    </row>
    <row r="297" spans="1:2" x14ac:dyDescent="0.25">
      <c r="A297" s="3">
        <f>IF(Raw_Data!J297=0,Raw_Data!D297,"")</f>
        <v>685.1</v>
      </c>
      <c r="B297" s="3" t="str">
        <f>IF(Raw_Data!J297=1,Raw_Data!D297,"")</f>
        <v/>
      </c>
    </row>
    <row r="298" spans="1:2" x14ac:dyDescent="0.25">
      <c r="A298" s="3">
        <f>IF(Raw_Data!J298=0,Raw_Data!D298,"")</f>
        <v>6748.95</v>
      </c>
      <c r="B298" s="3" t="str">
        <f>IF(Raw_Data!J298=1,Raw_Data!D298,"")</f>
        <v/>
      </c>
    </row>
    <row r="299" spans="1:2" x14ac:dyDescent="0.25">
      <c r="A299" s="3">
        <f>IF(Raw_Data!J299=0,Raw_Data!D299,"")</f>
        <v>2100.79</v>
      </c>
      <c r="B299" s="3" t="str">
        <f>IF(Raw_Data!J299=1,Raw_Data!D299,"")</f>
        <v/>
      </c>
    </row>
    <row r="300" spans="1:2" x14ac:dyDescent="0.25">
      <c r="A300" s="3">
        <f>IF(Raw_Data!J300=0,Raw_Data!D300,"")</f>
        <v>707.56</v>
      </c>
      <c r="B300" s="3" t="str">
        <f>IF(Raw_Data!J300=1,Raw_Data!D300,"")</f>
        <v/>
      </c>
    </row>
    <row r="301" spans="1:2" x14ac:dyDescent="0.25">
      <c r="A301" s="3">
        <f>IF(Raw_Data!J301=0,Raw_Data!D301,"")</f>
        <v>4705.1099999999997</v>
      </c>
      <c r="B301" s="3" t="str">
        <f>IF(Raw_Data!J301=1,Raw_Data!D301,"")</f>
        <v/>
      </c>
    </row>
    <row r="302" spans="1:2" x14ac:dyDescent="0.25">
      <c r="A302" s="3">
        <f>IF(Raw_Data!J302=0,Raw_Data!D302,"")</f>
        <v>1894.81</v>
      </c>
      <c r="B302" s="3" t="str">
        <f>IF(Raw_Data!J302=1,Raw_Data!D302,"")</f>
        <v/>
      </c>
    </row>
    <row r="303" spans="1:2" x14ac:dyDescent="0.25">
      <c r="A303" s="3">
        <f>IF(Raw_Data!J303=0,Raw_Data!D303,"")</f>
        <v>1807.65</v>
      </c>
      <c r="B303" s="3" t="str">
        <f>IF(Raw_Data!J303=1,Raw_Data!D303,"")</f>
        <v/>
      </c>
    </row>
    <row r="304" spans="1:2" x14ac:dyDescent="0.25">
      <c r="A304" s="3">
        <f>IF(Raw_Data!J304=0,Raw_Data!D304,"")</f>
        <v>4072.46</v>
      </c>
      <c r="B304" s="3" t="str">
        <f>IF(Raw_Data!J304=1,Raw_Data!D304,"")</f>
        <v/>
      </c>
    </row>
    <row r="305" spans="1:2" x14ac:dyDescent="0.25">
      <c r="A305" s="3" t="str">
        <f>IF(Raw_Data!J305=0,Raw_Data!D305,"")</f>
        <v/>
      </c>
      <c r="B305" s="3">
        <f>IF(Raw_Data!J305=1,Raw_Data!D305,"")</f>
        <v>672.6</v>
      </c>
    </row>
    <row r="306" spans="1:2" x14ac:dyDescent="0.25">
      <c r="A306" s="3">
        <f>IF(Raw_Data!J306=0,Raw_Data!D306,"")</f>
        <v>1059.1300000000001</v>
      </c>
      <c r="B306" s="3" t="str">
        <f>IF(Raw_Data!J306=1,Raw_Data!D306,"")</f>
        <v/>
      </c>
    </row>
    <row r="307" spans="1:2" x14ac:dyDescent="0.25">
      <c r="A307" s="3">
        <f>IF(Raw_Data!J307=0,Raw_Data!D307,"")</f>
        <v>4209.3100000000004</v>
      </c>
      <c r="B307" s="3" t="str">
        <f>IF(Raw_Data!J307=1,Raw_Data!D307,"")</f>
        <v/>
      </c>
    </row>
    <row r="308" spans="1:2" x14ac:dyDescent="0.25">
      <c r="A308" s="3">
        <f>IF(Raw_Data!J308=0,Raw_Data!D308,"")</f>
        <v>2085.84</v>
      </c>
      <c r="B308" s="3" t="str">
        <f>IF(Raw_Data!J308=1,Raw_Data!D308,"")</f>
        <v/>
      </c>
    </row>
    <row r="309" spans="1:2" x14ac:dyDescent="0.25">
      <c r="A309" s="3" t="str">
        <f>IF(Raw_Data!J309=0,Raw_Data!D309,"")</f>
        <v/>
      </c>
      <c r="B309" s="3">
        <f>IF(Raw_Data!J309=1,Raw_Data!D309,"")</f>
        <v>7420.44</v>
      </c>
    </row>
    <row r="310" spans="1:2" x14ac:dyDescent="0.25">
      <c r="A310" s="3">
        <f>IF(Raw_Data!J310=0,Raw_Data!D310,"")</f>
        <v>7870.57</v>
      </c>
      <c r="B310" s="3" t="str">
        <f>IF(Raw_Data!J310=1,Raw_Data!D310,"")</f>
        <v/>
      </c>
    </row>
    <row r="311" spans="1:2" x14ac:dyDescent="0.25">
      <c r="A311" s="3">
        <f>IF(Raw_Data!J311=0,Raw_Data!D311,"")</f>
        <v>2342.13</v>
      </c>
      <c r="B311" s="3" t="str">
        <f>IF(Raw_Data!J311=1,Raw_Data!D311,"")</f>
        <v/>
      </c>
    </row>
    <row r="312" spans="1:2" x14ac:dyDescent="0.25">
      <c r="A312" s="3">
        <f>IF(Raw_Data!J312=0,Raw_Data!D312,"")</f>
        <v>1480.13</v>
      </c>
      <c r="B312" s="3" t="str">
        <f>IF(Raw_Data!J312=1,Raw_Data!D312,"")</f>
        <v/>
      </c>
    </row>
    <row r="313" spans="1:2" x14ac:dyDescent="0.25">
      <c r="A313" s="3">
        <f>IF(Raw_Data!J313=0,Raw_Data!D313,"")</f>
        <v>2276.0100000000002</v>
      </c>
      <c r="B313" s="3" t="str">
        <f>IF(Raw_Data!J313=1,Raw_Data!D313,"")</f>
        <v/>
      </c>
    </row>
    <row r="314" spans="1:2" x14ac:dyDescent="0.25">
      <c r="A314" s="3">
        <f>IF(Raw_Data!J314=0,Raw_Data!D314,"")</f>
        <v>1229.2</v>
      </c>
      <c r="B314" s="3" t="str">
        <f>IF(Raw_Data!J314=1,Raw_Data!D314,"")</f>
        <v/>
      </c>
    </row>
    <row r="315" spans="1:2" x14ac:dyDescent="0.25">
      <c r="A315" s="3">
        <f>IF(Raw_Data!J315=0,Raw_Data!D315,"")</f>
        <v>3303.1</v>
      </c>
      <c r="B315" s="3" t="str">
        <f>IF(Raw_Data!J315=1,Raw_Data!D315,"")</f>
        <v/>
      </c>
    </row>
    <row r="316" spans="1:2" x14ac:dyDescent="0.25">
      <c r="A316" s="3">
        <f>IF(Raw_Data!J316=0,Raw_Data!D316,"")</f>
        <v>3495.1</v>
      </c>
      <c r="B316" s="3" t="str">
        <f>IF(Raw_Data!J316=1,Raw_Data!D316,"")</f>
        <v/>
      </c>
    </row>
    <row r="317" spans="1:2" x14ac:dyDescent="0.25">
      <c r="A317" s="3">
        <f>IF(Raw_Data!J317=0,Raw_Data!D317,"")</f>
        <v>1148.3599999999999</v>
      </c>
      <c r="B317" s="3" t="str">
        <f>IF(Raw_Data!J317=1,Raw_Data!D317,"")</f>
        <v/>
      </c>
    </row>
    <row r="318" spans="1:2" x14ac:dyDescent="0.25">
      <c r="A318" s="3" t="str">
        <f>IF(Raw_Data!J318=0,Raw_Data!D318,"")</f>
        <v/>
      </c>
      <c r="B318" s="3">
        <f>IF(Raw_Data!J318=1,Raw_Data!D318,"")</f>
        <v>3277.73</v>
      </c>
    </row>
    <row r="319" spans="1:2" x14ac:dyDescent="0.25">
      <c r="A319" s="3">
        <f>IF(Raw_Data!J319=0,Raw_Data!D319,"")</f>
        <v>229.19</v>
      </c>
      <c r="B319" s="3" t="str">
        <f>IF(Raw_Data!J319=1,Raw_Data!D319,"")</f>
        <v/>
      </c>
    </row>
    <row r="320" spans="1:2" x14ac:dyDescent="0.25">
      <c r="A320" s="3">
        <f>IF(Raw_Data!J320=0,Raw_Data!D320,"")</f>
        <v>659.18</v>
      </c>
      <c r="B320" s="3" t="str">
        <f>IF(Raw_Data!J320=1,Raw_Data!D320,"")</f>
        <v/>
      </c>
    </row>
    <row r="321" spans="1:2" x14ac:dyDescent="0.25">
      <c r="A321" s="3" t="str">
        <f>IF(Raw_Data!J321=0,Raw_Data!D321,"")</f>
        <v/>
      </c>
      <c r="B321" s="3">
        <f>IF(Raw_Data!J321=1,Raw_Data!D321,"")</f>
        <v>571.95000000000005</v>
      </c>
    </row>
    <row r="322" spans="1:2" x14ac:dyDescent="0.25">
      <c r="A322" s="3">
        <f>IF(Raw_Data!J322=0,Raw_Data!D322,"")</f>
        <v>1915.31</v>
      </c>
      <c r="B322" s="3" t="str">
        <f>IF(Raw_Data!J322=1,Raw_Data!D322,"")</f>
        <v/>
      </c>
    </row>
    <row r="323" spans="1:2" x14ac:dyDescent="0.25">
      <c r="A323" s="3">
        <f>IF(Raw_Data!J323=0,Raw_Data!D323,"")</f>
        <v>1323.87</v>
      </c>
      <c r="B323" s="3" t="str">
        <f>IF(Raw_Data!J323=1,Raw_Data!D323,"")</f>
        <v/>
      </c>
    </row>
    <row r="324" spans="1:2" x14ac:dyDescent="0.25">
      <c r="A324" s="3">
        <f>IF(Raw_Data!J324=0,Raw_Data!D324,"")</f>
        <v>2616.0100000000002</v>
      </c>
      <c r="B324" s="3" t="str">
        <f>IF(Raw_Data!J324=1,Raw_Data!D324,"")</f>
        <v/>
      </c>
    </row>
    <row r="325" spans="1:2" x14ac:dyDescent="0.25">
      <c r="A325" s="3">
        <f>IF(Raw_Data!J325=0,Raw_Data!D325,"")</f>
        <v>6015.89</v>
      </c>
      <c r="B325" s="3" t="str">
        <f>IF(Raw_Data!J325=1,Raw_Data!D325,"")</f>
        <v/>
      </c>
    </row>
    <row r="326" spans="1:2" x14ac:dyDescent="0.25">
      <c r="A326" s="3">
        <f>IF(Raw_Data!J326=0,Raw_Data!D326,"")</f>
        <v>1810.6</v>
      </c>
      <c r="B326" s="3" t="str">
        <f>IF(Raw_Data!J326=1,Raw_Data!D326,"")</f>
        <v/>
      </c>
    </row>
    <row r="327" spans="1:2" x14ac:dyDescent="0.25">
      <c r="A327" s="3">
        <f>IF(Raw_Data!J327=0,Raw_Data!D327,"")</f>
        <v>2441.87</v>
      </c>
      <c r="B327" s="3" t="str">
        <f>IF(Raw_Data!J327=1,Raw_Data!D327,"")</f>
        <v/>
      </c>
    </row>
    <row r="328" spans="1:2" x14ac:dyDescent="0.25">
      <c r="A328" s="3">
        <f>IF(Raw_Data!J328=0,Raw_Data!D328,"")</f>
        <v>1835.2</v>
      </c>
      <c r="B328" s="3" t="str">
        <f>IF(Raw_Data!J328=1,Raw_Data!D328,"")</f>
        <v/>
      </c>
    </row>
    <row r="329" spans="1:2" x14ac:dyDescent="0.25">
      <c r="A329" s="3">
        <f>IF(Raw_Data!J329=0,Raw_Data!D329,"")</f>
        <v>6024.17</v>
      </c>
      <c r="B329" s="3" t="str">
        <f>IF(Raw_Data!J329=1,Raw_Data!D329,"")</f>
        <v/>
      </c>
    </row>
    <row r="330" spans="1:2" x14ac:dyDescent="0.25">
      <c r="A330" s="3">
        <f>IF(Raw_Data!J330=0,Raw_Data!D330,"")</f>
        <v>2031.23</v>
      </c>
      <c r="B330" s="3" t="str">
        <f>IF(Raw_Data!J330=1,Raw_Data!D330,"")</f>
        <v/>
      </c>
    </row>
    <row r="331" spans="1:2" x14ac:dyDescent="0.25">
      <c r="A331" s="3">
        <f>IF(Raw_Data!J331=0,Raw_Data!D331,"")</f>
        <v>1232.45</v>
      </c>
      <c r="B331" s="3" t="str">
        <f>IF(Raw_Data!J331=1,Raw_Data!D331,"")</f>
        <v/>
      </c>
    </row>
    <row r="332" spans="1:2" x14ac:dyDescent="0.25">
      <c r="A332" s="3">
        <f>IF(Raw_Data!J332=0,Raw_Data!D332,"")</f>
        <v>3878.51</v>
      </c>
      <c r="B332" s="3" t="str">
        <f>IF(Raw_Data!J332=1,Raw_Data!D332,"")</f>
        <v/>
      </c>
    </row>
    <row r="333" spans="1:2" x14ac:dyDescent="0.25">
      <c r="A333" s="3">
        <f>IF(Raw_Data!J333=0,Raw_Data!D333,"")</f>
        <v>4312.59</v>
      </c>
      <c r="B333" s="3" t="str">
        <f>IF(Raw_Data!J333=1,Raw_Data!D333,"")</f>
        <v/>
      </c>
    </row>
    <row r="334" spans="1:2" x14ac:dyDescent="0.25">
      <c r="A334" s="3">
        <f>IF(Raw_Data!J334=0,Raw_Data!D334,"")</f>
        <v>3459.35</v>
      </c>
      <c r="B334" s="3" t="str">
        <f>IF(Raw_Data!J334=1,Raw_Data!D334,"")</f>
        <v/>
      </c>
    </row>
    <row r="335" spans="1:2" x14ac:dyDescent="0.25">
      <c r="A335" s="3" t="str">
        <f>IF(Raw_Data!J335=0,Raw_Data!D335,"")</f>
        <v/>
      </c>
      <c r="B335" s="3">
        <f>IF(Raw_Data!J335=1,Raw_Data!D335,"")</f>
        <v>905.03</v>
      </c>
    </row>
    <row r="336" spans="1:2" x14ac:dyDescent="0.25">
      <c r="A336" s="3">
        <f>IF(Raw_Data!J336=0,Raw_Data!D336,"")</f>
        <v>3357.28</v>
      </c>
      <c r="B336" s="3" t="str">
        <f>IF(Raw_Data!J336=1,Raw_Data!D336,"")</f>
        <v/>
      </c>
    </row>
    <row r="337" spans="1:2" x14ac:dyDescent="0.25">
      <c r="A337" s="3">
        <f>IF(Raw_Data!J337=0,Raw_Data!D337,"")</f>
        <v>3078.26</v>
      </c>
      <c r="B337" s="3" t="str">
        <f>IF(Raw_Data!J337=1,Raw_Data!D337,"")</f>
        <v/>
      </c>
    </row>
    <row r="338" spans="1:2" x14ac:dyDescent="0.25">
      <c r="A338" s="3">
        <f>IF(Raw_Data!J338=0,Raw_Data!D338,"")</f>
        <v>4032.82</v>
      </c>
      <c r="B338" s="3" t="str">
        <f>IF(Raw_Data!J338=1,Raw_Data!D338,"")</f>
        <v/>
      </c>
    </row>
    <row r="339" spans="1:2" x14ac:dyDescent="0.25">
      <c r="A339" s="3">
        <f>IF(Raw_Data!J339=0,Raw_Data!D339,"")</f>
        <v>738.03</v>
      </c>
      <c r="B339" s="3" t="str">
        <f>IF(Raw_Data!J339=1,Raw_Data!D339,"")</f>
        <v/>
      </c>
    </row>
    <row r="340" spans="1:2" x14ac:dyDescent="0.25">
      <c r="A340" s="3">
        <f>IF(Raw_Data!J340=0,Raw_Data!D340,"")</f>
        <v>3367.09</v>
      </c>
      <c r="B340" s="3" t="str">
        <f>IF(Raw_Data!J340=1,Raw_Data!D340,"")</f>
        <v/>
      </c>
    </row>
    <row r="341" spans="1:2" x14ac:dyDescent="0.25">
      <c r="A341" s="3">
        <f>IF(Raw_Data!J341=0,Raw_Data!D341,"")</f>
        <v>1546</v>
      </c>
      <c r="B341" s="3" t="str">
        <f>IF(Raw_Data!J341=1,Raw_Data!D341,"")</f>
        <v/>
      </c>
    </row>
    <row r="342" spans="1:2" x14ac:dyDescent="0.25">
      <c r="A342" s="3">
        <f>IF(Raw_Data!J342=0,Raw_Data!D342,"")</f>
        <v>2005.3</v>
      </c>
      <c r="B342" s="3" t="str">
        <f>IF(Raw_Data!J342=1,Raw_Data!D342,"")</f>
        <v/>
      </c>
    </row>
    <row r="343" spans="1:2" x14ac:dyDescent="0.25">
      <c r="A343" s="3">
        <f>IF(Raw_Data!J343=0,Raw_Data!D343,"")</f>
        <v>10728.94</v>
      </c>
      <c r="B343" s="3" t="str">
        <f>IF(Raw_Data!J343=1,Raw_Data!D343,"")</f>
        <v/>
      </c>
    </row>
    <row r="344" spans="1:2" x14ac:dyDescent="0.25">
      <c r="A344" s="3">
        <f>IF(Raw_Data!J344=0,Raw_Data!D344,"")</f>
        <v>4805.62</v>
      </c>
      <c r="B344" s="3" t="str">
        <f>IF(Raw_Data!J344=1,Raw_Data!D344,"")</f>
        <v/>
      </c>
    </row>
    <row r="345" spans="1:2" x14ac:dyDescent="0.25">
      <c r="A345" s="3" t="str">
        <f>IF(Raw_Data!J345=0,Raw_Data!D345,"")</f>
        <v/>
      </c>
      <c r="B345" s="3">
        <f>IF(Raw_Data!J345=1,Raw_Data!D345,"")</f>
        <v>4318.3100000000004</v>
      </c>
    </row>
    <row r="346" spans="1:2" x14ac:dyDescent="0.25">
      <c r="A346" s="3">
        <f>IF(Raw_Data!J346=0,Raw_Data!D346,"")</f>
        <v>149.77000000000001</v>
      </c>
      <c r="B346" s="3" t="str">
        <f>IF(Raw_Data!J346=1,Raw_Data!D346,"")</f>
        <v/>
      </c>
    </row>
    <row r="347" spans="1:2" x14ac:dyDescent="0.25">
      <c r="A347" s="3" t="str">
        <f>IF(Raw_Data!J347=0,Raw_Data!D347,"")</f>
        <v/>
      </c>
      <c r="B347" s="3">
        <f>IF(Raw_Data!J347=1,Raw_Data!D347,"")</f>
        <v>2587.31</v>
      </c>
    </row>
    <row r="348" spans="1:2" x14ac:dyDescent="0.25">
      <c r="A348" s="3" t="str">
        <f>IF(Raw_Data!J348=0,Raw_Data!D348,"")</f>
        <v/>
      </c>
      <c r="B348" s="3">
        <f>IF(Raw_Data!J348=1,Raw_Data!D348,"")</f>
        <v>4152.1899999999996</v>
      </c>
    </row>
    <row r="349" spans="1:2" x14ac:dyDescent="0.25">
      <c r="A349" s="3" t="str">
        <f>IF(Raw_Data!J349=0,Raw_Data!D349,"")</f>
        <v/>
      </c>
      <c r="B349" s="3">
        <f>IF(Raw_Data!J349=1,Raw_Data!D349,"")</f>
        <v>3309.82</v>
      </c>
    </row>
    <row r="350" spans="1:2" x14ac:dyDescent="0.25">
      <c r="A350" s="3">
        <f>IF(Raw_Data!J350=0,Raw_Data!D350,"")</f>
        <v>931.7</v>
      </c>
      <c r="B350" s="3" t="str">
        <f>IF(Raw_Data!J350=1,Raw_Data!D350,"")</f>
        <v/>
      </c>
    </row>
    <row r="351" spans="1:2" x14ac:dyDescent="0.25">
      <c r="A351" s="3">
        <f>IF(Raw_Data!J351=0,Raw_Data!D351,"")</f>
        <v>5339.8</v>
      </c>
      <c r="B351" s="3" t="str">
        <f>IF(Raw_Data!J351=1,Raw_Data!D351,"")</f>
        <v/>
      </c>
    </row>
    <row r="352" spans="1:2" x14ac:dyDescent="0.25">
      <c r="A352" s="3">
        <f>IF(Raw_Data!J352=0,Raw_Data!D352,"")</f>
        <v>2568.0100000000002</v>
      </c>
      <c r="B352" s="3" t="str">
        <f>IF(Raw_Data!J352=1,Raw_Data!D352,"")</f>
        <v/>
      </c>
    </row>
    <row r="353" spans="1:2" x14ac:dyDescent="0.25">
      <c r="A353" s="3">
        <f>IF(Raw_Data!J353=0,Raw_Data!D353,"")</f>
        <v>3609.42</v>
      </c>
      <c r="B353" s="3" t="str">
        <f>IF(Raw_Data!J353=1,Raw_Data!D353,"")</f>
        <v/>
      </c>
    </row>
    <row r="354" spans="1:2" x14ac:dyDescent="0.25">
      <c r="A354" s="3">
        <f>IF(Raw_Data!J354=0,Raw_Data!D354,"")</f>
        <v>4114.55</v>
      </c>
      <c r="B354" s="3" t="str">
        <f>IF(Raw_Data!J354=1,Raw_Data!D354,"")</f>
        <v/>
      </c>
    </row>
    <row r="355" spans="1:2" x14ac:dyDescent="0.25">
      <c r="A355" s="3">
        <f>IF(Raw_Data!J355=0,Raw_Data!D355,"")</f>
        <v>1919.01</v>
      </c>
      <c r="B355" s="3" t="str">
        <f>IF(Raw_Data!J355=1,Raw_Data!D355,"")</f>
        <v/>
      </c>
    </row>
    <row r="356" spans="1:2" x14ac:dyDescent="0.25">
      <c r="A356" s="3">
        <f>IF(Raw_Data!J356=0,Raw_Data!D356,"")</f>
        <v>1592.5</v>
      </c>
      <c r="B356" s="3" t="str">
        <f>IF(Raw_Data!J356=1,Raw_Data!D356,"")</f>
        <v/>
      </c>
    </row>
    <row r="357" spans="1:2" x14ac:dyDescent="0.25">
      <c r="A357" s="3" t="str">
        <f>IF(Raw_Data!J357=0,Raw_Data!D357,"")</f>
        <v/>
      </c>
      <c r="B357" s="3">
        <f>IF(Raw_Data!J357=1,Raw_Data!D357,"")</f>
        <v>3218.98</v>
      </c>
    </row>
    <row r="358" spans="1:2" x14ac:dyDescent="0.25">
      <c r="A358" s="3">
        <f>IF(Raw_Data!J358=0,Raw_Data!D358,"")</f>
        <v>3020.19</v>
      </c>
      <c r="B358" s="3" t="str">
        <f>IF(Raw_Data!J358=1,Raw_Data!D358,"")</f>
        <v/>
      </c>
    </row>
    <row r="359" spans="1:2" x14ac:dyDescent="0.25">
      <c r="A359" s="3">
        <f>IF(Raw_Data!J359=0,Raw_Data!D359,"")</f>
        <v>619.46</v>
      </c>
      <c r="B359" s="3" t="str">
        <f>IF(Raw_Data!J359=1,Raw_Data!D359,"")</f>
        <v/>
      </c>
    </row>
    <row r="360" spans="1:2" x14ac:dyDescent="0.25">
      <c r="A360" s="3">
        <f>IF(Raw_Data!J360=0,Raw_Data!D360,"")</f>
        <v>962.23</v>
      </c>
      <c r="B360" s="3" t="str">
        <f>IF(Raw_Data!J360=1,Raw_Data!D360,"")</f>
        <v/>
      </c>
    </row>
    <row r="361" spans="1:2" x14ac:dyDescent="0.25">
      <c r="A361" s="3">
        <f>IF(Raw_Data!J361=0,Raw_Data!D361,"")</f>
        <v>1767.3</v>
      </c>
      <c r="B361" s="3" t="str">
        <f>IF(Raw_Data!J361=1,Raw_Data!D361,"")</f>
        <v/>
      </c>
    </row>
    <row r="362" spans="1:2" x14ac:dyDescent="0.25">
      <c r="A362" s="3">
        <f>IF(Raw_Data!J362=0,Raw_Data!D362,"")</f>
        <v>3209.96</v>
      </c>
      <c r="B362" s="3" t="str">
        <f>IF(Raw_Data!J362=1,Raw_Data!D362,"")</f>
        <v/>
      </c>
    </row>
    <row r="363" spans="1:2" x14ac:dyDescent="0.25">
      <c r="A363" s="3" t="str">
        <f>IF(Raw_Data!J363=0,Raw_Data!D363,"")</f>
        <v/>
      </c>
      <c r="B363" s="3">
        <f>IF(Raw_Data!J363=1,Raw_Data!D363,"")</f>
        <v>3512.15</v>
      </c>
    </row>
    <row r="364" spans="1:2" x14ac:dyDescent="0.25">
      <c r="A364" s="3">
        <f>IF(Raw_Data!J364=0,Raw_Data!D364,"")</f>
        <v>563.79</v>
      </c>
      <c r="B364" s="3" t="str">
        <f>IF(Raw_Data!J364=1,Raw_Data!D364,"")</f>
        <v/>
      </c>
    </row>
    <row r="365" spans="1:2" x14ac:dyDescent="0.25">
      <c r="A365" s="3">
        <f>IF(Raw_Data!J365=0,Raw_Data!D365,"")</f>
        <v>2056.84</v>
      </c>
      <c r="B365" s="3" t="str">
        <f>IF(Raw_Data!J365=1,Raw_Data!D365,"")</f>
        <v/>
      </c>
    </row>
    <row r="366" spans="1:2" x14ac:dyDescent="0.25">
      <c r="A366" s="3">
        <f>IF(Raw_Data!J366=0,Raw_Data!D366,"")</f>
        <v>623.12</v>
      </c>
      <c r="B366" s="3" t="str">
        <f>IF(Raw_Data!J366=1,Raw_Data!D366,"")</f>
        <v/>
      </c>
    </row>
    <row r="367" spans="1:2" x14ac:dyDescent="0.25">
      <c r="A367" s="3">
        <f>IF(Raw_Data!J367=0,Raw_Data!D367,"")</f>
        <v>3062.94</v>
      </c>
      <c r="B367" s="3" t="str">
        <f>IF(Raw_Data!J367=1,Raw_Data!D367,"")</f>
        <v/>
      </c>
    </row>
    <row r="368" spans="1:2" x14ac:dyDescent="0.25">
      <c r="A368" s="3">
        <f>IF(Raw_Data!J368=0,Raw_Data!D368,"")</f>
        <v>2362.94</v>
      </c>
      <c r="B368" s="3" t="str">
        <f>IF(Raw_Data!J368=1,Raw_Data!D368,"")</f>
        <v/>
      </c>
    </row>
    <row r="369" spans="1:2" x14ac:dyDescent="0.25">
      <c r="A369" s="3">
        <f>IF(Raw_Data!J369=0,Raw_Data!D369,"")</f>
        <v>832.96</v>
      </c>
      <c r="B369" s="3" t="str">
        <f>IF(Raw_Data!J369=1,Raw_Data!D369,"")</f>
        <v/>
      </c>
    </row>
    <row r="370" spans="1:2" x14ac:dyDescent="0.25">
      <c r="A370" s="3">
        <f>IF(Raw_Data!J370=0,Raw_Data!D370,"")</f>
        <v>2763.88</v>
      </c>
      <c r="B370" s="3" t="str">
        <f>IF(Raw_Data!J370=1,Raw_Data!D370,"")</f>
        <v/>
      </c>
    </row>
    <row r="371" spans="1:2" x14ac:dyDescent="0.25">
      <c r="A371" s="3">
        <f>IF(Raw_Data!J371=0,Raw_Data!D371,"")</f>
        <v>2000</v>
      </c>
      <c r="B371" s="3" t="str">
        <f>IF(Raw_Data!J371=1,Raw_Data!D371,"")</f>
        <v/>
      </c>
    </row>
    <row r="372" spans="1:2" x14ac:dyDescent="0.25">
      <c r="A372" s="3">
        <f>IF(Raw_Data!J372=0,Raw_Data!D372,"")</f>
        <v>1661.62</v>
      </c>
      <c r="B372" s="3" t="str">
        <f>IF(Raw_Data!J372=1,Raw_Data!D372,"")</f>
        <v/>
      </c>
    </row>
    <row r="373" spans="1:2" x14ac:dyDescent="0.25">
      <c r="A373" s="3">
        <f>IF(Raw_Data!J373=0,Raw_Data!D373,"")</f>
        <v>2331.84</v>
      </c>
      <c r="B373" s="3" t="str">
        <f>IF(Raw_Data!J373=1,Raw_Data!D373,"")</f>
        <v/>
      </c>
    </row>
    <row r="374" spans="1:2" x14ac:dyDescent="0.25">
      <c r="A374" s="3" t="str">
        <f>IF(Raw_Data!J374=0,Raw_Data!D374,"")</f>
        <v/>
      </c>
      <c r="B374" s="3">
        <f>IF(Raw_Data!J374=1,Raw_Data!D374,"")</f>
        <v>1534.31</v>
      </c>
    </row>
    <row r="375" spans="1:2" x14ac:dyDescent="0.25">
      <c r="A375" s="3">
        <f>IF(Raw_Data!J375=0,Raw_Data!D375,"")</f>
        <v>4780.68</v>
      </c>
      <c r="B375" s="3" t="str">
        <f>IF(Raw_Data!J375=1,Raw_Data!D375,"")</f>
        <v/>
      </c>
    </row>
    <row r="376" spans="1:2" x14ac:dyDescent="0.25">
      <c r="A376" s="3" t="str">
        <f>IF(Raw_Data!J376=0,Raw_Data!D376,"")</f>
        <v/>
      </c>
      <c r="B376" s="3">
        <f>IF(Raw_Data!J376=1,Raw_Data!D376,"")</f>
        <v>1683.65</v>
      </c>
    </row>
    <row r="377" spans="1:2" x14ac:dyDescent="0.25">
      <c r="A377" s="3" t="str">
        <f>IF(Raw_Data!J377=0,Raw_Data!D377,"")</f>
        <v/>
      </c>
      <c r="B377" s="3">
        <f>IF(Raw_Data!J377=1,Raw_Data!D377,"")</f>
        <v>736.76</v>
      </c>
    </row>
    <row r="378" spans="1:2" x14ac:dyDescent="0.25">
      <c r="A378" s="3" t="str">
        <f>IF(Raw_Data!J378=0,Raw_Data!D378,"")</f>
        <v/>
      </c>
      <c r="B378" s="3">
        <f>IF(Raw_Data!J378=1,Raw_Data!D378,"")</f>
        <v>1813.27</v>
      </c>
    </row>
    <row r="379" spans="1:2" x14ac:dyDescent="0.25">
      <c r="A379" s="3" t="str">
        <f>IF(Raw_Data!J379=0,Raw_Data!D379,"")</f>
        <v/>
      </c>
      <c r="B379" s="3">
        <f>IF(Raw_Data!J379=1,Raw_Data!D379,"")</f>
        <v>3185.41</v>
      </c>
    </row>
    <row r="380" spans="1:2" x14ac:dyDescent="0.25">
      <c r="A380" s="3">
        <f>IF(Raw_Data!J380=0,Raw_Data!D380,"")</f>
        <v>4320.2299999999996</v>
      </c>
      <c r="B380" s="3" t="str">
        <f>IF(Raw_Data!J380=1,Raw_Data!D380,"")</f>
        <v/>
      </c>
    </row>
    <row r="381" spans="1:2" x14ac:dyDescent="0.25">
      <c r="A381" s="3">
        <f>IF(Raw_Data!J381=0,Raw_Data!D381,"")</f>
        <v>7687.37</v>
      </c>
      <c r="B381" s="3" t="str">
        <f>IF(Raw_Data!J381=1,Raw_Data!D381,"")</f>
        <v/>
      </c>
    </row>
    <row r="382" spans="1:2" x14ac:dyDescent="0.25">
      <c r="A382" s="3">
        <f>IF(Raw_Data!J382=0,Raw_Data!D382,"")</f>
        <v>3453.86</v>
      </c>
      <c r="B382" s="3" t="str">
        <f>IF(Raw_Data!J382=1,Raw_Data!D382,"")</f>
        <v/>
      </c>
    </row>
    <row r="383" spans="1:2" x14ac:dyDescent="0.25">
      <c r="A383" s="3">
        <f>IF(Raw_Data!J383=0,Raw_Data!D383,"")</f>
        <v>2723.25</v>
      </c>
      <c r="B383" s="3" t="str">
        <f>IF(Raw_Data!J383=1,Raw_Data!D383,"")</f>
        <v/>
      </c>
    </row>
    <row r="384" spans="1:2" x14ac:dyDescent="0.25">
      <c r="A384" s="3" t="str">
        <f>IF(Raw_Data!J384=0,Raw_Data!D384,"")</f>
        <v/>
      </c>
      <c r="B384" s="3">
        <f>IF(Raw_Data!J384=1,Raw_Data!D384,"")</f>
        <v>4083.06</v>
      </c>
    </row>
    <row r="385" spans="1:2" x14ac:dyDescent="0.25">
      <c r="A385" s="3">
        <f>IF(Raw_Data!J385=0,Raw_Data!D385,"")</f>
        <v>1806.4</v>
      </c>
      <c r="B385" s="3" t="str">
        <f>IF(Raw_Data!J385=1,Raw_Data!D385,"")</f>
        <v/>
      </c>
    </row>
    <row r="386" spans="1:2" x14ac:dyDescent="0.25">
      <c r="A386" s="3">
        <f>IF(Raw_Data!J386=0,Raw_Data!D386,"")</f>
        <v>3031.14</v>
      </c>
      <c r="B386" s="3" t="str">
        <f>IF(Raw_Data!J386=1,Raw_Data!D386,"")</f>
        <v/>
      </c>
    </row>
    <row r="387" spans="1:2" x14ac:dyDescent="0.25">
      <c r="A387" s="3">
        <f>IF(Raw_Data!J387=0,Raw_Data!D387,"")</f>
        <v>3097.29</v>
      </c>
      <c r="B387" s="3" t="str">
        <f>IF(Raw_Data!J387=1,Raw_Data!D387,"")</f>
        <v/>
      </c>
    </row>
    <row r="388" spans="1:2" x14ac:dyDescent="0.25">
      <c r="A388" s="3">
        <f>IF(Raw_Data!J388=0,Raw_Data!D388,"")</f>
        <v>2588.79</v>
      </c>
      <c r="B388" s="3" t="str">
        <f>IF(Raw_Data!J388=1,Raw_Data!D388,"")</f>
        <v/>
      </c>
    </row>
    <row r="389" spans="1:2" x14ac:dyDescent="0.25">
      <c r="A389" s="3">
        <f>IF(Raw_Data!J389=0,Raw_Data!D389,"")</f>
        <v>293.42</v>
      </c>
      <c r="B389" s="3" t="str">
        <f>IF(Raw_Data!J389=1,Raw_Data!D389,"")</f>
        <v/>
      </c>
    </row>
    <row r="390" spans="1:2" x14ac:dyDescent="0.25">
      <c r="A390" s="3">
        <f>IF(Raw_Data!J390=0,Raw_Data!D390,"")</f>
        <v>9695.75</v>
      </c>
      <c r="B390" s="3" t="str">
        <f>IF(Raw_Data!J390=1,Raw_Data!D390,"")</f>
        <v/>
      </c>
    </row>
    <row r="391" spans="1:2" x14ac:dyDescent="0.25">
      <c r="A391" s="3">
        <f>IF(Raw_Data!J391=0,Raw_Data!D391,"")</f>
        <v>1864.2</v>
      </c>
      <c r="B391" s="3" t="str">
        <f>IF(Raw_Data!J391=1,Raw_Data!D391,"")</f>
        <v/>
      </c>
    </row>
    <row r="392" spans="1:2" x14ac:dyDescent="0.25">
      <c r="A392" s="3">
        <f>IF(Raw_Data!J392=0,Raw_Data!D392,"")</f>
        <v>1069.98</v>
      </c>
      <c r="B392" s="3" t="str">
        <f>IF(Raw_Data!J392=1,Raw_Data!D392,"")</f>
        <v/>
      </c>
    </row>
    <row r="393" spans="1:2" x14ac:dyDescent="0.25">
      <c r="A393" s="3">
        <f>IF(Raw_Data!J393=0,Raw_Data!D393,"")</f>
        <v>1347.77</v>
      </c>
      <c r="B393" s="3" t="str">
        <f>IF(Raw_Data!J393=1,Raw_Data!D393,"")</f>
        <v/>
      </c>
    </row>
    <row r="394" spans="1:2" x14ac:dyDescent="0.25">
      <c r="A394" s="3" t="str">
        <f>IF(Raw_Data!J394=0,Raw_Data!D394,"")</f>
        <v/>
      </c>
      <c r="B394" s="3">
        <f>IF(Raw_Data!J394=1,Raw_Data!D394,"")</f>
        <v>7633.22</v>
      </c>
    </row>
    <row r="395" spans="1:2" x14ac:dyDescent="0.25">
      <c r="A395" s="3" t="str">
        <f>IF(Raw_Data!J395=0,Raw_Data!D395,"")</f>
        <v/>
      </c>
      <c r="B395" s="3">
        <f>IF(Raw_Data!J395=1,Raw_Data!D395,"")</f>
        <v>333.42</v>
      </c>
    </row>
    <row r="396" spans="1:2" x14ac:dyDescent="0.25">
      <c r="A396" s="3">
        <f>IF(Raw_Data!J396=0,Raw_Data!D396,"")</f>
        <v>1373.87</v>
      </c>
      <c r="B396" s="3" t="str">
        <f>IF(Raw_Data!J396=1,Raw_Data!D396,"")</f>
        <v/>
      </c>
    </row>
    <row r="397" spans="1:2" x14ac:dyDescent="0.25">
      <c r="A397" s="3">
        <f>IF(Raw_Data!J397=0,Raw_Data!D397,"")</f>
        <v>2063.65</v>
      </c>
      <c r="B397" s="3" t="str">
        <f>IF(Raw_Data!J397=1,Raw_Data!D397,"")</f>
        <v/>
      </c>
    </row>
    <row r="398" spans="1:2" x14ac:dyDescent="0.25">
      <c r="A398" s="3">
        <f>IF(Raw_Data!J398=0,Raw_Data!D398,"")</f>
        <v>5338.26</v>
      </c>
      <c r="B398" s="3" t="str">
        <f>IF(Raw_Data!J398=1,Raw_Data!D398,"")</f>
        <v/>
      </c>
    </row>
    <row r="399" spans="1:2" x14ac:dyDescent="0.25">
      <c r="A399" s="3">
        <f>IF(Raw_Data!J399=0,Raw_Data!D399,"")</f>
        <v>2065.61</v>
      </c>
      <c r="B399" s="3" t="str">
        <f>IF(Raw_Data!J399=1,Raw_Data!D399,"")</f>
        <v/>
      </c>
    </row>
    <row r="400" spans="1:2" x14ac:dyDescent="0.25">
      <c r="A400" s="3">
        <f>IF(Raw_Data!J400=0,Raw_Data!D400,"")</f>
        <v>3764.16</v>
      </c>
      <c r="B400" s="3" t="str">
        <f>IF(Raw_Data!J400=1,Raw_Data!D400,"")</f>
        <v/>
      </c>
    </row>
    <row r="401" spans="1:2" x14ac:dyDescent="0.25">
      <c r="A401" s="3">
        <f>IF(Raw_Data!J401=0,Raw_Data!D401,"")</f>
        <v>1841.23</v>
      </c>
      <c r="B401" s="3" t="str">
        <f>IF(Raw_Data!J401=1,Raw_Data!D401,"")</f>
        <v/>
      </c>
    </row>
    <row r="402" spans="1:2" x14ac:dyDescent="0.25">
      <c r="A402" s="3">
        <f>IF(Raw_Data!J402=0,Raw_Data!D402,"")</f>
        <v>4370.55</v>
      </c>
      <c r="B402" s="3" t="str">
        <f>IF(Raw_Data!J402=1,Raw_Data!D402,"")</f>
        <v/>
      </c>
    </row>
    <row r="403" spans="1:2" x14ac:dyDescent="0.25">
      <c r="A403" s="3">
        <f>IF(Raw_Data!J403=0,Raw_Data!D403,"")</f>
        <v>1269.8699999999999</v>
      </c>
      <c r="B403" s="3" t="str">
        <f>IF(Raw_Data!J403=1,Raw_Data!D403,"")</f>
        <v/>
      </c>
    </row>
    <row r="404" spans="1:2" x14ac:dyDescent="0.25">
      <c r="A404" s="3">
        <f>IF(Raw_Data!J404=0,Raw_Data!D404,"")</f>
        <v>1037.79</v>
      </c>
      <c r="B404" s="3" t="str">
        <f>IF(Raw_Data!J404=1,Raw_Data!D404,"")</f>
        <v/>
      </c>
    </row>
    <row r="405" spans="1:2" x14ac:dyDescent="0.25">
      <c r="A405" s="3" t="str">
        <f>IF(Raw_Data!J405=0,Raw_Data!D405,"")</f>
        <v/>
      </c>
      <c r="B405" s="3">
        <f>IF(Raw_Data!J405=1,Raw_Data!D405,"")</f>
        <v>1698.8</v>
      </c>
    </row>
    <row r="406" spans="1:2" x14ac:dyDescent="0.25">
      <c r="A406" s="3">
        <f>IF(Raw_Data!J406=0,Raw_Data!D406,"")</f>
        <v>1281.29</v>
      </c>
      <c r="B406" s="3" t="str">
        <f>IF(Raw_Data!J406=1,Raw_Data!D406,"")</f>
        <v/>
      </c>
    </row>
    <row r="407" spans="1:2" x14ac:dyDescent="0.25">
      <c r="A407" s="3">
        <f>IF(Raw_Data!J407=0,Raw_Data!D407,"")</f>
        <v>2517.2600000000002</v>
      </c>
      <c r="B407" s="3" t="str">
        <f>IF(Raw_Data!J407=1,Raw_Data!D407,"")</f>
        <v/>
      </c>
    </row>
    <row r="408" spans="1:2" x14ac:dyDescent="0.25">
      <c r="A408" s="3" t="str">
        <f>IF(Raw_Data!J408=0,Raw_Data!D408,"")</f>
        <v/>
      </c>
      <c r="B408" s="3">
        <f>IF(Raw_Data!J408=1,Raw_Data!D408,"")</f>
        <v>1653.82</v>
      </c>
    </row>
    <row r="409" spans="1:2" x14ac:dyDescent="0.25">
      <c r="A409" s="3">
        <f>IF(Raw_Data!J409=0,Raw_Data!D409,"")</f>
        <v>6712.95</v>
      </c>
      <c r="B409" s="3" t="str">
        <f>IF(Raw_Data!J409=1,Raw_Data!D409,"")</f>
        <v/>
      </c>
    </row>
    <row r="410" spans="1:2" x14ac:dyDescent="0.25">
      <c r="A410" s="3">
        <f>IF(Raw_Data!J410=0,Raw_Data!D410,"")</f>
        <v>805.73</v>
      </c>
      <c r="B410" s="3" t="str">
        <f>IF(Raw_Data!J410=1,Raw_Data!D410,"")</f>
        <v/>
      </c>
    </row>
    <row r="411" spans="1:2" x14ac:dyDescent="0.25">
      <c r="A411" s="3">
        <f>IF(Raw_Data!J411=0,Raw_Data!D411,"")</f>
        <v>1461.99</v>
      </c>
      <c r="B411" s="3" t="str">
        <f>IF(Raw_Data!J411=1,Raw_Data!D411,"")</f>
        <v/>
      </c>
    </row>
    <row r="412" spans="1:2" x14ac:dyDescent="0.25">
      <c r="A412" s="3" t="str">
        <f>IF(Raw_Data!J412=0,Raw_Data!D412,"")</f>
        <v/>
      </c>
      <c r="B412" s="3">
        <f>IF(Raw_Data!J412=1,Raw_Data!D412,"")</f>
        <v>1963.73</v>
      </c>
    </row>
    <row r="413" spans="1:2" x14ac:dyDescent="0.25">
      <c r="A413" s="3" t="str">
        <f>IF(Raw_Data!J413=0,Raw_Data!D413,"")</f>
        <v/>
      </c>
      <c r="B413" s="3">
        <f>IF(Raw_Data!J413=1,Raw_Data!D413,"")</f>
        <v>482.51</v>
      </c>
    </row>
    <row r="414" spans="1:2" x14ac:dyDescent="0.25">
      <c r="A414" s="3">
        <f>IF(Raw_Data!J414=0,Raw_Data!D414,"")</f>
        <v>2083.7399999999998</v>
      </c>
      <c r="B414" s="3" t="str">
        <f>IF(Raw_Data!J414=1,Raw_Data!D414,"")</f>
        <v/>
      </c>
    </row>
    <row r="415" spans="1:2" x14ac:dyDescent="0.25">
      <c r="A415" s="3">
        <f>IF(Raw_Data!J415=0,Raw_Data!D415,"")</f>
        <v>4349</v>
      </c>
      <c r="B415" s="3" t="str">
        <f>IF(Raw_Data!J415=1,Raw_Data!D415,"")</f>
        <v/>
      </c>
    </row>
    <row r="416" spans="1:2" x14ac:dyDescent="0.25">
      <c r="A416" s="3">
        <f>IF(Raw_Data!J416=0,Raw_Data!D416,"")</f>
        <v>4151.32</v>
      </c>
      <c r="B416" s="3" t="str">
        <f>IF(Raw_Data!J416=1,Raw_Data!D416,"")</f>
        <v/>
      </c>
    </row>
    <row r="417" spans="1:2" x14ac:dyDescent="0.25">
      <c r="A417" s="3">
        <f>IF(Raw_Data!J417=0,Raw_Data!D417,"")</f>
        <v>4990.1400000000003</v>
      </c>
      <c r="B417" s="3" t="str">
        <f>IF(Raw_Data!J417=1,Raw_Data!D417,"")</f>
        <v/>
      </c>
    </row>
    <row r="418" spans="1:2" x14ac:dyDescent="0.25">
      <c r="A418" s="3">
        <f>IF(Raw_Data!J418=0,Raw_Data!D418,"")</f>
        <v>1613.44</v>
      </c>
      <c r="B418" s="3" t="str">
        <f>IF(Raw_Data!J418=1,Raw_Data!D418,"")</f>
        <v/>
      </c>
    </row>
    <row r="419" spans="1:2" x14ac:dyDescent="0.25">
      <c r="A419" s="3">
        <f>IF(Raw_Data!J419=0,Raw_Data!D419,"")</f>
        <v>776.67</v>
      </c>
      <c r="B419" s="3" t="str">
        <f>IF(Raw_Data!J419=1,Raw_Data!D419,"")</f>
        <v/>
      </c>
    </row>
    <row r="420" spans="1:2" x14ac:dyDescent="0.25">
      <c r="A420" s="3">
        <f>IF(Raw_Data!J420=0,Raw_Data!D420,"")</f>
        <v>617.38</v>
      </c>
      <c r="B420" s="3" t="str">
        <f>IF(Raw_Data!J420=1,Raw_Data!D420,"")</f>
        <v/>
      </c>
    </row>
    <row r="421" spans="1:2" x14ac:dyDescent="0.25">
      <c r="A421" s="3">
        <f>IF(Raw_Data!J421=0,Raw_Data!D421,"")</f>
        <v>1101.78</v>
      </c>
      <c r="B421" s="3" t="str">
        <f>IF(Raw_Data!J421=1,Raw_Data!D421,"")</f>
        <v/>
      </c>
    </row>
    <row r="422" spans="1:2" x14ac:dyDescent="0.25">
      <c r="A422" s="3">
        <f>IF(Raw_Data!J422=0,Raw_Data!D422,"")</f>
        <v>4084.1</v>
      </c>
      <c r="B422" s="3" t="str">
        <f>IF(Raw_Data!J422=1,Raw_Data!D422,"")</f>
        <v/>
      </c>
    </row>
    <row r="423" spans="1:2" x14ac:dyDescent="0.25">
      <c r="A423" s="3" t="str">
        <f>IF(Raw_Data!J423=0,Raw_Data!D423,"")</f>
        <v/>
      </c>
      <c r="B423" s="3">
        <f>IF(Raw_Data!J423=1,Raw_Data!D423,"")</f>
        <v>586.45000000000005</v>
      </c>
    </row>
    <row r="424" spans="1:2" x14ac:dyDescent="0.25">
      <c r="A424" s="3">
        <f>IF(Raw_Data!J424=0,Raw_Data!D424,"")</f>
        <v>5269.03</v>
      </c>
      <c r="B424" s="3" t="str">
        <f>IF(Raw_Data!J424=1,Raw_Data!D424,"")</f>
        <v/>
      </c>
    </row>
    <row r="425" spans="1:2" x14ac:dyDescent="0.25">
      <c r="A425" s="3" t="str">
        <f>IF(Raw_Data!J425=0,Raw_Data!D425,"")</f>
        <v/>
      </c>
      <c r="B425" s="3">
        <f>IF(Raw_Data!J425=1,Raw_Data!D425,"")</f>
        <v>1358.41</v>
      </c>
    </row>
    <row r="426" spans="1:2" x14ac:dyDescent="0.25">
      <c r="A426" s="3">
        <f>IF(Raw_Data!J426=0,Raw_Data!D426,"")</f>
        <v>5242.72</v>
      </c>
      <c r="B426" s="3" t="str">
        <f>IF(Raw_Data!J426=1,Raw_Data!D426,"")</f>
        <v/>
      </c>
    </row>
    <row r="427" spans="1:2" x14ac:dyDescent="0.25">
      <c r="A427" s="3">
        <f>IF(Raw_Data!J427=0,Raw_Data!D427,"")</f>
        <v>4352.58</v>
      </c>
      <c r="B427" s="3" t="str">
        <f>IF(Raw_Data!J427=1,Raw_Data!D427,"")</f>
        <v/>
      </c>
    </row>
    <row r="428" spans="1:2" x14ac:dyDescent="0.25">
      <c r="A428" s="3" t="str">
        <f>IF(Raw_Data!J428=0,Raw_Data!D428,"")</f>
        <v/>
      </c>
      <c r="B428" s="3">
        <f>IF(Raw_Data!J428=1,Raw_Data!D428,"")</f>
        <v>2664.56</v>
      </c>
    </row>
    <row r="429" spans="1:2" x14ac:dyDescent="0.25">
      <c r="A429" s="3">
        <f>IF(Raw_Data!J429=0,Raw_Data!D429,"")</f>
        <v>2277.64</v>
      </c>
      <c r="B429" s="3" t="str">
        <f>IF(Raw_Data!J429=1,Raw_Data!D429,"")</f>
        <v/>
      </c>
    </row>
    <row r="430" spans="1:2" x14ac:dyDescent="0.25">
      <c r="A430" s="3" t="str">
        <f>IF(Raw_Data!J430=0,Raw_Data!D430,"")</f>
        <v/>
      </c>
      <c r="B430" s="3">
        <f>IF(Raw_Data!J430=1,Raw_Data!D430,"")</f>
        <v>3588.2</v>
      </c>
    </row>
    <row r="431" spans="1:2" x14ac:dyDescent="0.25">
      <c r="A431" s="3" t="str">
        <f>IF(Raw_Data!J431=0,Raw_Data!D431,"")</f>
        <v/>
      </c>
      <c r="B431" s="3">
        <f>IF(Raw_Data!J431=1,Raw_Data!D431,"")</f>
        <v>3546.27</v>
      </c>
    </row>
    <row r="432" spans="1:2" x14ac:dyDescent="0.25">
      <c r="A432" s="3">
        <f>IF(Raw_Data!J432=0,Raw_Data!D432,"")</f>
        <v>1130.47</v>
      </c>
      <c r="B432" s="3" t="str">
        <f>IF(Raw_Data!J432=1,Raw_Data!D432,"")</f>
        <v/>
      </c>
    </row>
    <row r="433" spans="1:2" x14ac:dyDescent="0.25">
      <c r="A433" s="3">
        <f>IF(Raw_Data!J433=0,Raw_Data!D433,"")</f>
        <v>584.71</v>
      </c>
      <c r="B433" s="3" t="str">
        <f>IF(Raw_Data!J433=1,Raw_Data!D433,"")</f>
        <v/>
      </c>
    </row>
    <row r="434" spans="1:2" x14ac:dyDescent="0.25">
      <c r="A434" s="3">
        <f>IF(Raw_Data!J434=0,Raw_Data!D434,"")</f>
        <v>1343.2</v>
      </c>
      <c r="B434" s="3" t="str">
        <f>IF(Raw_Data!J434=1,Raw_Data!D434,"")</f>
        <v/>
      </c>
    </row>
    <row r="435" spans="1:2" x14ac:dyDescent="0.25">
      <c r="A435" s="3" t="str">
        <f>IF(Raw_Data!J435=0,Raw_Data!D435,"")</f>
        <v/>
      </c>
      <c r="B435" s="3">
        <f>IF(Raw_Data!J435=1,Raw_Data!D435,"")</f>
        <v>1169.08</v>
      </c>
    </row>
    <row r="436" spans="1:2" x14ac:dyDescent="0.25">
      <c r="A436" s="3">
        <f>IF(Raw_Data!J436=0,Raw_Data!D436,"")</f>
        <v>3594.18</v>
      </c>
      <c r="B436" s="3" t="str">
        <f>IF(Raw_Data!J436=1,Raw_Data!D436,"")</f>
        <v/>
      </c>
    </row>
    <row r="437" spans="1:2" x14ac:dyDescent="0.25">
      <c r="A437" s="3">
        <f>IF(Raw_Data!J437=0,Raw_Data!D437,"")</f>
        <v>2478.0500000000002</v>
      </c>
      <c r="B437" s="3" t="str">
        <f>IF(Raw_Data!J437=1,Raw_Data!D437,"")</f>
        <v/>
      </c>
    </row>
    <row r="438" spans="1:2" x14ac:dyDescent="0.25">
      <c r="A438" s="3">
        <f>IF(Raw_Data!J438=0,Raw_Data!D438,"")</f>
        <v>1231.3900000000001</v>
      </c>
      <c r="B438" s="3" t="str">
        <f>IF(Raw_Data!J438=1,Raw_Data!D438,"")</f>
        <v/>
      </c>
    </row>
    <row r="439" spans="1:2" x14ac:dyDescent="0.25">
      <c r="A439" s="3">
        <f>IF(Raw_Data!J439=0,Raw_Data!D439,"")</f>
        <v>862.83</v>
      </c>
      <c r="B439" s="3" t="str">
        <f>IF(Raw_Data!J439=1,Raw_Data!D439,"")</f>
        <v/>
      </c>
    </row>
    <row r="440" spans="1:2" x14ac:dyDescent="0.25">
      <c r="A440" s="3">
        <f>IF(Raw_Data!J440=0,Raw_Data!D440,"")</f>
        <v>984.19</v>
      </c>
      <c r="B440" s="3" t="str">
        <f>IF(Raw_Data!J440=1,Raw_Data!D440,"")</f>
        <v/>
      </c>
    </row>
    <row r="441" spans="1:2" x14ac:dyDescent="0.25">
      <c r="A441" s="3">
        <f>IF(Raw_Data!J441=0,Raw_Data!D441,"")</f>
        <v>1694.87</v>
      </c>
      <c r="B441" s="3" t="str">
        <f>IF(Raw_Data!J441=1,Raw_Data!D441,"")</f>
        <v/>
      </c>
    </row>
    <row r="442" spans="1:2" x14ac:dyDescent="0.25">
      <c r="A442" s="3">
        <f>IF(Raw_Data!J442=0,Raw_Data!D442,"")</f>
        <v>1713.62</v>
      </c>
      <c r="B442" s="3" t="str">
        <f>IF(Raw_Data!J442=1,Raw_Data!D442,"")</f>
        <v/>
      </c>
    </row>
    <row r="443" spans="1:2" x14ac:dyDescent="0.25">
      <c r="A443" s="3">
        <f>IF(Raw_Data!J443=0,Raw_Data!D443,"")</f>
        <v>4206.67</v>
      </c>
      <c r="B443" s="3" t="str">
        <f>IF(Raw_Data!J443=1,Raw_Data!D443,"")</f>
        <v/>
      </c>
    </row>
    <row r="444" spans="1:2" x14ac:dyDescent="0.25">
      <c r="A444" s="3">
        <f>IF(Raw_Data!J444=0,Raw_Data!D444,"")</f>
        <v>2466.29</v>
      </c>
      <c r="B444" s="3" t="str">
        <f>IF(Raw_Data!J444=1,Raw_Data!D444,"")</f>
        <v/>
      </c>
    </row>
    <row r="445" spans="1:2" x14ac:dyDescent="0.25">
      <c r="A445" s="3">
        <f>IF(Raw_Data!J445=0,Raw_Data!D445,"")</f>
        <v>284.45</v>
      </c>
      <c r="B445" s="3" t="str">
        <f>IF(Raw_Data!J445=1,Raw_Data!D445,"")</f>
        <v/>
      </c>
    </row>
    <row r="446" spans="1:2" x14ac:dyDescent="0.25">
      <c r="A446" s="3">
        <f>IF(Raw_Data!J446=0,Raw_Data!D446,"")</f>
        <v>3039.59</v>
      </c>
      <c r="B446" s="3" t="str">
        <f>IF(Raw_Data!J446=1,Raw_Data!D446,"")</f>
        <v/>
      </c>
    </row>
    <row r="447" spans="1:2" x14ac:dyDescent="0.25">
      <c r="A447" s="3">
        <f>IF(Raw_Data!J447=0,Raw_Data!D447,"")</f>
        <v>1878.9</v>
      </c>
      <c r="B447" s="3" t="str">
        <f>IF(Raw_Data!J447=1,Raw_Data!D447,"")</f>
        <v/>
      </c>
    </row>
    <row r="448" spans="1:2" x14ac:dyDescent="0.25">
      <c r="A448" s="3" t="str">
        <f>IF(Raw_Data!J448=0,Raw_Data!D448,"")</f>
        <v/>
      </c>
      <c r="B448" s="3">
        <f>IF(Raw_Data!J448=1,Raw_Data!D448,"")</f>
        <v>1573.04</v>
      </c>
    </row>
    <row r="449" spans="1:2" x14ac:dyDescent="0.25">
      <c r="A449" s="3">
        <f>IF(Raw_Data!J449=0,Raw_Data!D449,"")</f>
        <v>962.41</v>
      </c>
      <c r="B449" s="3" t="str">
        <f>IF(Raw_Data!J449=1,Raw_Data!D449,"")</f>
        <v/>
      </c>
    </row>
    <row r="450" spans="1:2" x14ac:dyDescent="0.25">
      <c r="A450" s="3">
        <f>IF(Raw_Data!J450=0,Raw_Data!D450,"")</f>
        <v>1527.46</v>
      </c>
      <c r="B450" s="3" t="str">
        <f>IF(Raw_Data!J450=1,Raw_Data!D450,"")</f>
        <v/>
      </c>
    </row>
    <row r="451" spans="1:2" x14ac:dyDescent="0.25">
      <c r="A451" s="3" t="str">
        <f>IF(Raw_Data!J451=0,Raw_Data!D451,"")</f>
        <v/>
      </c>
      <c r="B451" s="3">
        <f>IF(Raw_Data!J451=1,Raw_Data!D451,"")</f>
        <v>919.09</v>
      </c>
    </row>
    <row r="452" spans="1:2" x14ac:dyDescent="0.25">
      <c r="A452" s="3" t="str">
        <f>IF(Raw_Data!J452=0,Raw_Data!D452,"")</f>
        <v/>
      </c>
      <c r="B452" s="3">
        <f>IF(Raw_Data!J452=1,Raw_Data!D452,"")</f>
        <v>3635.44</v>
      </c>
    </row>
    <row r="453" spans="1:2" x14ac:dyDescent="0.25">
      <c r="A453" s="3">
        <f>IF(Raw_Data!J453=0,Raw_Data!D453,"")</f>
        <v>2070.63</v>
      </c>
      <c r="B453" s="3" t="str">
        <f>IF(Raw_Data!J453=1,Raw_Data!D453,"")</f>
        <v/>
      </c>
    </row>
    <row r="454" spans="1:2" x14ac:dyDescent="0.25">
      <c r="A454" s="3">
        <f>IF(Raw_Data!J454=0,Raw_Data!D454,"")</f>
        <v>1587.06</v>
      </c>
      <c r="B454" s="3" t="str">
        <f>IF(Raw_Data!J454=1,Raw_Data!D454,"")</f>
        <v/>
      </c>
    </row>
    <row r="455" spans="1:2" x14ac:dyDescent="0.25">
      <c r="A455" s="3">
        <f>IF(Raw_Data!J455=0,Raw_Data!D455,"")</f>
        <v>603.38</v>
      </c>
      <c r="B455" s="3" t="str">
        <f>IF(Raw_Data!J455=1,Raw_Data!D455,"")</f>
        <v/>
      </c>
    </row>
    <row r="456" spans="1:2" x14ac:dyDescent="0.25">
      <c r="A456" s="3" t="str">
        <f>IF(Raw_Data!J456=0,Raw_Data!D456,"")</f>
        <v/>
      </c>
      <c r="B456" s="3">
        <f>IF(Raw_Data!J456=1,Raw_Data!D456,"")</f>
        <v>4525.07</v>
      </c>
    </row>
    <row r="457" spans="1:2" x14ac:dyDescent="0.25">
      <c r="A457" s="3">
        <f>IF(Raw_Data!J457=0,Raw_Data!D457,"")</f>
        <v>5630.9</v>
      </c>
      <c r="B457" s="3" t="str">
        <f>IF(Raw_Data!J457=1,Raw_Data!D457,"")</f>
        <v/>
      </c>
    </row>
    <row r="458" spans="1:2" x14ac:dyDescent="0.25">
      <c r="A458" s="3">
        <f>IF(Raw_Data!J458=0,Raw_Data!D458,"")</f>
        <v>2475.41</v>
      </c>
      <c r="B458" s="3" t="str">
        <f>IF(Raw_Data!J458=1,Raw_Data!D458,"")</f>
        <v/>
      </c>
    </row>
    <row r="459" spans="1:2" x14ac:dyDescent="0.25">
      <c r="A459" s="3">
        <f>IF(Raw_Data!J459=0,Raw_Data!D459,"")</f>
        <v>959.08</v>
      </c>
      <c r="B459" s="3" t="str">
        <f>IF(Raw_Data!J459=1,Raw_Data!D459,"")</f>
        <v/>
      </c>
    </row>
    <row r="460" spans="1:2" x14ac:dyDescent="0.25">
      <c r="A460" s="3">
        <f>IF(Raw_Data!J460=0,Raw_Data!D460,"")</f>
        <v>3467.43</v>
      </c>
      <c r="B460" s="3" t="str">
        <f>IF(Raw_Data!J460=1,Raw_Data!D460,"")</f>
        <v/>
      </c>
    </row>
    <row r="461" spans="1:2" x14ac:dyDescent="0.25">
      <c r="A461" s="3">
        <f>IF(Raw_Data!J461=0,Raw_Data!D461,"")</f>
        <v>1483.82</v>
      </c>
      <c r="B461" s="3" t="str">
        <f>IF(Raw_Data!J461=1,Raw_Data!D461,"")</f>
        <v/>
      </c>
    </row>
    <row r="462" spans="1:2" x14ac:dyDescent="0.25">
      <c r="A462" s="3">
        <f>IF(Raw_Data!J462=0,Raw_Data!D462,"")</f>
        <v>690.74</v>
      </c>
      <c r="B462" s="3" t="str">
        <f>IF(Raw_Data!J462=1,Raw_Data!D462,"")</f>
        <v/>
      </c>
    </row>
    <row r="463" spans="1:2" x14ac:dyDescent="0.25">
      <c r="A463" s="3">
        <f>IF(Raw_Data!J463=0,Raw_Data!D463,"")</f>
        <v>1286.48</v>
      </c>
      <c r="B463" s="3" t="str">
        <f>IF(Raw_Data!J463=1,Raw_Data!D463,"")</f>
        <v/>
      </c>
    </row>
    <row r="464" spans="1:2" x14ac:dyDescent="0.25">
      <c r="A464" s="3" t="str">
        <f>IF(Raw_Data!J464=0,Raw_Data!D464,"")</f>
        <v/>
      </c>
      <c r="B464" s="3">
        <f>IF(Raw_Data!J464=1,Raw_Data!D464,"")</f>
        <v>4584.16</v>
      </c>
    </row>
    <row r="465" spans="1:2" x14ac:dyDescent="0.25">
      <c r="A465" s="3">
        <f>IF(Raw_Data!J465=0,Raw_Data!D465,"")</f>
        <v>4208</v>
      </c>
      <c r="B465" s="3" t="str">
        <f>IF(Raw_Data!J465=1,Raw_Data!D465,"")</f>
        <v/>
      </c>
    </row>
    <row r="466" spans="1:2" x14ac:dyDescent="0.25">
      <c r="A466" s="3">
        <f>IF(Raw_Data!J466=0,Raw_Data!D466,"")</f>
        <v>1100.57</v>
      </c>
      <c r="B466" s="3" t="str">
        <f>IF(Raw_Data!J466=1,Raw_Data!D466,"")</f>
        <v/>
      </c>
    </row>
    <row r="467" spans="1:2" x14ac:dyDescent="0.25">
      <c r="A467" s="3">
        <f>IF(Raw_Data!J467=0,Raw_Data!D467,"")</f>
        <v>3523.46</v>
      </c>
      <c r="B467" s="3" t="str">
        <f>IF(Raw_Data!J467=1,Raw_Data!D467,"")</f>
        <v/>
      </c>
    </row>
    <row r="468" spans="1:2" x14ac:dyDescent="0.25">
      <c r="A468" s="3">
        <f>IF(Raw_Data!J468=0,Raw_Data!D468,"")</f>
        <v>2648.27</v>
      </c>
      <c r="B468" s="3" t="str">
        <f>IF(Raw_Data!J468=1,Raw_Data!D468,"")</f>
        <v/>
      </c>
    </row>
    <row r="469" spans="1:2" x14ac:dyDescent="0.25">
      <c r="A469" s="3">
        <f>IF(Raw_Data!J469=0,Raw_Data!D469,"")</f>
        <v>2935.14</v>
      </c>
      <c r="B469" s="3" t="str">
        <f>IF(Raw_Data!J469=1,Raw_Data!D469,"")</f>
        <v/>
      </c>
    </row>
    <row r="470" spans="1:2" x14ac:dyDescent="0.25">
      <c r="A470" s="3">
        <f>IF(Raw_Data!J470=0,Raw_Data!D470,"")</f>
        <v>1846.08</v>
      </c>
      <c r="B470" s="3" t="str">
        <f>IF(Raw_Data!J470=1,Raw_Data!D470,"")</f>
        <v/>
      </c>
    </row>
    <row r="471" spans="1:2" x14ac:dyDescent="0.25">
      <c r="A471" s="3">
        <f>IF(Raw_Data!J471=0,Raw_Data!D471,"")</f>
        <v>2957.18</v>
      </c>
      <c r="B471" s="3" t="str">
        <f>IF(Raw_Data!J471=1,Raw_Data!D471,"")</f>
        <v/>
      </c>
    </row>
    <row r="472" spans="1:2" x14ac:dyDescent="0.25">
      <c r="A472" s="3">
        <f>IF(Raw_Data!J472=0,Raw_Data!D472,"")</f>
        <v>4839.6000000000004</v>
      </c>
      <c r="B472" s="3" t="str">
        <f>IF(Raw_Data!J472=1,Raw_Data!D472,"")</f>
        <v/>
      </c>
    </row>
    <row r="473" spans="1:2" x14ac:dyDescent="0.25">
      <c r="A473" s="3">
        <f>IF(Raw_Data!J473=0,Raw_Data!D473,"")</f>
        <v>1818.05</v>
      </c>
      <c r="B473" s="3" t="str">
        <f>IF(Raw_Data!J473=1,Raw_Data!D473,"")</f>
        <v/>
      </c>
    </row>
    <row r="474" spans="1:2" x14ac:dyDescent="0.25">
      <c r="A474" s="3">
        <f>IF(Raw_Data!J474=0,Raw_Data!D474,"")</f>
        <v>1747.75</v>
      </c>
      <c r="B474" s="3" t="str">
        <f>IF(Raw_Data!J474=1,Raw_Data!D474,"")</f>
        <v/>
      </c>
    </row>
    <row r="475" spans="1:2" x14ac:dyDescent="0.25">
      <c r="A475" s="3">
        <f>IF(Raw_Data!J475=0,Raw_Data!D475,"")</f>
        <v>2980.01</v>
      </c>
      <c r="B475" s="3" t="str">
        <f>IF(Raw_Data!J475=1,Raw_Data!D475,"")</f>
        <v/>
      </c>
    </row>
    <row r="476" spans="1:2" x14ac:dyDescent="0.25">
      <c r="A476" s="3" t="str">
        <f>IF(Raw_Data!J476=0,Raw_Data!D476,"")</f>
        <v/>
      </c>
      <c r="B476" s="3">
        <f>IF(Raw_Data!J476=1,Raw_Data!D476,"")</f>
        <v>3070.77</v>
      </c>
    </row>
    <row r="477" spans="1:2" x14ac:dyDescent="0.25">
      <c r="A477" s="3" t="str">
        <f>IF(Raw_Data!J477=0,Raw_Data!D477,"")</f>
        <v/>
      </c>
      <c r="B477" s="3">
        <f>IF(Raw_Data!J477=1,Raw_Data!D477,"")</f>
        <v>1436.91</v>
      </c>
    </row>
    <row r="478" spans="1:2" x14ac:dyDescent="0.25">
      <c r="A478" s="3">
        <f>IF(Raw_Data!J478=0,Raw_Data!D478,"")</f>
        <v>1079.76</v>
      </c>
      <c r="B478" s="3" t="str">
        <f>IF(Raw_Data!J478=1,Raw_Data!D478,"")</f>
        <v/>
      </c>
    </row>
    <row r="479" spans="1:2" x14ac:dyDescent="0.25">
      <c r="A479" s="3">
        <f>IF(Raw_Data!J479=0,Raw_Data!D479,"")</f>
        <v>2729.63</v>
      </c>
      <c r="B479" s="3" t="str">
        <f>IF(Raw_Data!J479=1,Raw_Data!D479,"")</f>
        <v/>
      </c>
    </row>
    <row r="480" spans="1:2" x14ac:dyDescent="0.25">
      <c r="A480" s="3">
        <f>IF(Raw_Data!J480=0,Raw_Data!D480,"")</f>
        <v>2607.67</v>
      </c>
      <c r="B480" s="3" t="str">
        <f>IF(Raw_Data!J480=1,Raw_Data!D480,"")</f>
        <v/>
      </c>
    </row>
    <row r="481" spans="1:2" x14ac:dyDescent="0.25">
      <c r="A481" s="3" t="str">
        <f>IF(Raw_Data!J481=0,Raw_Data!D481,"")</f>
        <v/>
      </c>
      <c r="B481" s="3">
        <f>IF(Raw_Data!J481=1,Raw_Data!D481,"")</f>
        <v>3881.05</v>
      </c>
    </row>
    <row r="482" spans="1:2" x14ac:dyDescent="0.25">
      <c r="A482" s="3" t="str">
        <f>IF(Raw_Data!J482=0,Raw_Data!D482,"")</f>
        <v/>
      </c>
      <c r="B482" s="3">
        <f>IF(Raw_Data!J482=1,Raw_Data!D482,"")</f>
        <v>1384.81</v>
      </c>
    </row>
    <row r="483" spans="1:2" x14ac:dyDescent="0.25">
      <c r="A483" s="3">
        <f>IF(Raw_Data!J483=0,Raw_Data!D483,"")</f>
        <v>2941.71</v>
      </c>
      <c r="B483" s="3" t="str">
        <f>IF(Raw_Data!J483=1,Raw_Data!D483,"")</f>
        <v/>
      </c>
    </row>
    <row r="484" spans="1:2" x14ac:dyDescent="0.25">
      <c r="A484" s="3">
        <f>IF(Raw_Data!J484=0,Raw_Data!D484,"")</f>
        <v>1240.82</v>
      </c>
      <c r="B484" s="3" t="str">
        <f>IF(Raw_Data!J484=1,Raw_Data!D484,"")</f>
        <v/>
      </c>
    </row>
    <row r="485" spans="1:2" x14ac:dyDescent="0.25">
      <c r="A485" s="3" t="str">
        <f>IF(Raw_Data!J485=0,Raw_Data!D485,"")</f>
        <v/>
      </c>
      <c r="B485" s="3">
        <f>IF(Raw_Data!J485=1,Raw_Data!D485,"")</f>
        <v>4290.79</v>
      </c>
    </row>
    <row r="486" spans="1:2" x14ac:dyDescent="0.25">
      <c r="A486" s="3" t="str">
        <f>IF(Raw_Data!J486=0,Raw_Data!D486,"")</f>
        <v/>
      </c>
      <c r="B486" s="3">
        <f>IF(Raw_Data!J486=1,Raw_Data!D486,"")</f>
        <v>3511.42</v>
      </c>
    </row>
    <row r="487" spans="1:2" x14ac:dyDescent="0.25">
      <c r="A487" s="3">
        <f>IF(Raw_Data!J487=0,Raw_Data!D487,"")</f>
        <v>3248.84</v>
      </c>
      <c r="B487" s="3" t="str">
        <f>IF(Raw_Data!J487=1,Raw_Data!D487,"")</f>
        <v/>
      </c>
    </row>
    <row r="488" spans="1:2" x14ac:dyDescent="0.25">
      <c r="A488" s="3">
        <f>IF(Raw_Data!J488=0,Raw_Data!D488,"")</f>
        <v>3949.26</v>
      </c>
      <c r="B488" s="3" t="str">
        <f>IF(Raw_Data!J488=1,Raw_Data!D488,"")</f>
        <v/>
      </c>
    </row>
    <row r="489" spans="1:2" x14ac:dyDescent="0.25">
      <c r="A489" s="3">
        <f>IF(Raw_Data!J489=0,Raw_Data!D489,"")</f>
        <v>839.15</v>
      </c>
      <c r="B489" s="3" t="str">
        <f>IF(Raw_Data!J489=1,Raw_Data!D489,"")</f>
        <v/>
      </c>
    </row>
    <row r="490" spans="1:2" x14ac:dyDescent="0.25">
      <c r="A490" s="3">
        <f>IF(Raw_Data!J490=0,Raw_Data!D490,"")</f>
        <v>3645.24</v>
      </c>
      <c r="B490" s="3" t="str">
        <f>IF(Raw_Data!J490=1,Raw_Data!D490,"")</f>
        <v/>
      </c>
    </row>
    <row r="491" spans="1:2" x14ac:dyDescent="0.25">
      <c r="A491" s="3">
        <f>IF(Raw_Data!J491=0,Raw_Data!D491,"")</f>
        <v>3138.73</v>
      </c>
      <c r="B491" s="3" t="str">
        <f>IF(Raw_Data!J491=1,Raw_Data!D491,"")</f>
        <v/>
      </c>
    </row>
    <row r="492" spans="1:2" x14ac:dyDescent="0.25">
      <c r="A492" s="3">
        <f>IF(Raw_Data!J492=0,Raw_Data!D492,"")</f>
        <v>2554.4</v>
      </c>
      <c r="B492" s="3" t="str">
        <f>IF(Raw_Data!J492=1,Raw_Data!D492,"")</f>
        <v/>
      </c>
    </row>
    <row r="493" spans="1:2" x14ac:dyDescent="0.25">
      <c r="A493" s="3">
        <f>IF(Raw_Data!J493=0,Raw_Data!D493,"")</f>
        <v>2457.98</v>
      </c>
      <c r="B493" s="3" t="str">
        <f>IF(Raw_Data!J493=1,Raw_Data!D493,"")</f>
        <v/>
      </c>
    </row>
    <row r="494" spans="1:2" x14ac:dyDescent="0.25">
      <c r="A494" s="3">
        <f>IF(Raw_Data!J494=0,Raw_Data!D494,"")</f>
        <v>1171.8</v>
      </c>
      <c r="B494" s="3" t="str">
        <f>IF(Raw_Data!J494=1,Raw_Data!D494,"")</f>
        <v/>
      </c>
    </row>
    <row r="495" spans="1:2" x14ac:dyDescent="0.25">
      <c r="A495" s="3">
        <f>IF(Raw_Data!J495=0,Raw_Data!D495,"")</f>
        <v>2571.7199999999998</v>
      </c>
      <c r="B495" s="3" t="str">
        <f>IF(Raw_Data!J495=1,Raw_Data!D495,"")</f>
        <v/>
      </c>
    </row>
    <row r="496" spans="1:2" x14ac:dyDescent="0.25">
      <c r="A496" s="3">
        <f>IF(Raw_Data!J496=0,Raw_Data!D496,"")</f>
        <v>1620.65</v>
      </c>
      <c r="B496" s="3" t="str">
        <f>IF(Raw_Data!J496=1,Raw_Data!D496,"")</f>
        <v/>
      </c>
    </row>
    <row r="497" spans="1:2" x14ac:dyDescent="0.25">
      <c r="A497" s="3">
        <f>IF(Raw_Data!J497=0,Raw_Data!D497,"")</f>
        <v>2056.64</v>
      </c>
      <c r="B497" s="3" t="str">
        <f>IF(Raw_Data!J497=1,Raw_Data!D497,"")</f>
        <v/>
      </c>
    </row>
    <row r="498" spans="1:2" x14ac:dyDescent="0.25">
      <c r="A498" s="3">
        <f>IF(Raw_Data!J498=0,Raw_Data!D498,"")</f>
        <v>6016.92</v>
      </c>
      <c r="B498" s="3" t="str">
        <f>IF(Raw_Data!J498=1,Raw_Data!D498,"")</f>
        <v/>
      </c>
    </row>
    <row r="499" spans="1:2" x14ac:dyDescent="0.25">
      <c r="A499" s="3">
        <f>IF(Raw_Data!J499=0,Raw_Data!D499,"")</f>
        <v>8546.0499999999993</v>
      </c>
      <c r="B499" s="3" t="str">
        <f>IF(Raw_Data!J499=1,Raw_Data!D499,"")</f>
        <v/>
      </c>
    </row>
    <row r="500" spans="1:2" x14ac:dyDescent="0.25">
      <c r="A500" s="3">
        <f>IF(Raw_Data!J500=0,Raw_Data!D500,"")</f>
        <v>890.66</v>
      </c>
      <c r="B500" s="3" t="str">
        <f>IF(Raw_Data!J500=1,Raw_Data!D500,"")</f>
        <v/>
      </c>
    </row>
    <row r="501" spans="1:2" x14ac:dyDescent="0.25">
      <c r="A501" s="3">
        <f>IF(Raw_Data!J501=0,Raw_Data!D501,"")</f>
        <v>1968.74</v>
      </c>
      <c r="B501" s="3" t="str">
        <f>IF(Raw_Data!J501=1,Raw_Data!D501,"")</f>
        <v/>
      </c>
    </row>
    <row r="502" spans="1:2" x14ac:dyDescent="0.25">
      <c r="A502" s="3">
        <f>IF(Raw_Data!J502=0,Raw_Data!D502,"")</f>
        <v>8645.48</v>
      </c>
      <c r="B502" s="3" t="str">
        <f>IF(Raw_Data!J502=1,Raw_Data!D502,"")</f>
        <v/>
      </c>
    </row>
    <row r="503" spans="1:2" x14ac:dyDescent="0.25">
      <c r="A503" s="3">
        <f>IF(Raw_Data!J503=0,Raw_Data!D503,"")</f>
        <v>1258.54</v>
      </c>
      <c r="B503" s="3" t="str">
        <f>IF(Raw_Data!J503=1,Raw_Data!D503,"")</f>
        <v/>
      </c>
    </row>
    <row r="504" spans="1:2" x14ac:dyDescent="0.25">
      <c r="A504" s="3">
        <f>IF(Raw_Data!J504=0,Raw_Data!D504,"")</f>
        <v>2878.91</v>
      </c>
      <c r="B504" s="3" t="str">
        <f>IF(Raw_Data!J504=1,Raw_Data!D504,"")</f>
        <v/>
      </c>
    </row>
    <row r="505" spans="1:2" x14ac:dyDescent="0.25">
      <c r="A505" s="3">
        <f>IF(Raw_Data!J505=0,Raw_Data!D505,"")</f>
        <v>1275.94</v>
      </c>
      <c r="B505" s="3" t="str">
        <f>IF(Raw_Data!J505=1,Raw_Data!D505,"")</f>
        <v/>
      </c>
    </row>
    <row r="506" spans="1:2" x14ac:dyDescent="0.25">
      <c r="A506" s="3">
        <f>IF(Raw_Data!J506=0,Raw_Data!D506,"")</f>
        <v>3031.99</v>
      </c>
      <c r="B506" s="3" t="str">
        <f>IF(Raw_Data!J506=1,Raw_Data!D506,"")</f>
        <v/>
      </c>
    </row>
    <row r="507" spans="1:2" x14ac:dyDescent="0.25">
      <c r="A507" s="3">
        <f>IF(Raw_Data!J507=0,Raw_Data!D507,"")</f>
        <v>3679.02</v>
      </c>
      <c r="B507" s="3" t="str">
        <f>IF(Raw_Data!J507=1,Raw_Data!D507,"")</f>
        <v/>
      </c>
    </row>
    <row r="508" spans="1:2" x14ac:dyDescent="0.25">
      <c r="A508" s="3" t="str">
        <f>IF(Raw_Data!J508=0,Raw_Data!D508,"")</f>
        <v/>
      </c>
      <c r="B508" s="3">
        <f>IF(Raw_Data!J508=1,Raw_Data!D508,"")</f>
        <v>2836.3</v>
      </c>
    </row>
    <row r="509" spans="1:2" x14ac:dyDescent="0.25">
      <c r="A509" s="3">
        <f>IF(Raw_Data!J509=0,Raw_Data!D509,"")</f>
        <v>4248.0200000000004</v>
      </c>
      <c r="B509" s="3" t="str">
        <f>IF(Raw_Data!J509=1,Raw_Data!D509,"")</f>
        <v/>
      </c>
    </row>
    <row r="510" spans="1:2" x14ac:dyDescent="0.25">
      <c r="A510" s="3" t="str">
        <f>IF(Raw_Data!J510=0,Raw_Data!D510,"")</f>
        <v/>
      </c>
      <c r="B510" s="3">
        <f>IF(Raw_Data!J510=1,Raw_Data!D510,"")</f>
        <v>2193.77</v>
      </c>
    </row>
    <row r="511" spans="1:2" x14ac:dyDescent="0.25">
      <c r="A511" s="3" t="str">
        <f>IF(Raw_Data!J511=0,Raw_Data!D511,"")</f>
        <v/>
      </c>
      <c r="B511" s="3">
        <f>IF(Raw_Data!J511=1,Raw_Data!D511,"")</f>
        <v>5907.86</v>
      </c>
    </row>
    <row r="512" spans="1:2" x14ac:dyDescent="0.25">
      <c r="A512" s="3" t="str">
        <f>IF(Raw_Data!J512=0,Raw_Data!D512,"")</f>
        <v/>
      </c>
      <c r="B512" s="3">
        <f>IF(Raw_Data!J512=1,Raw_Data!D512,"")</f>
        <v>2088.98</v>
      </c>
    </row>
    <row r="513" spans="1:2" x14ac:dyDescent="0.25">
      <c r="A513" s="3">
        <f>IF(Raw_Data!J513=0,Raw_Data!D513,"")</f>
        <v>1756.84</v>
      </c>
      <c r="B513" s="3" t="str">
        <f>IF(Raw_Data!J513=1,Raw_Data!D513,"")</f>
        <v/>
      </c>
    </row>
    <row r="514" spans="1:2" x14ac:dyDescent="0.25">
      <c r="A514" s="3">
        <f>IF(Raw_Data!J514=0,Raw_Data!D514,"")</f>
        <v>1006.32</v>
      </c>
      <c r="B514" s="3" t="str">
        <f>IF(Raw_Data!J514=1,Raw_Data!D514,"")</f>
        <v/>
      </c>
    </row>
    <row r="515" spans="1:2" x14ac:dyDescent="0.25">
      <c r="A515" s="3">
        <f>IF(Raw_Data!J515=0,Raw_Data!D515,"")</f>
        <v>1517.49</v>
      </c>
      <c r="B515" s="3" t="str">
        <f>IF(Raw_Data!J515=1,Raw_Data!D515,"")</f>
        <v/>
      </c>
    </row>
    <row r="516" spans="1:2" x14ac:dyDescent="0.25">
      <c r="A516" s="3">
        <f>IF(Raw_Data!J516=0,Raw_Data!D516,"")</f>
        <v>6294.9</v>
      </c>
      <c r="B516" s="3" t="str">
        <f>IF(Raw_Data!J516=1,Raw_Data!D516,"")</f>
        <v/>
      </c>
    </row>
    <row r="517" spans="1:2" x14ac:dyDescent="0.25">
      <c r="A517" s="3">
        <f>IF(Raw_Data!J517=0,Raw_Data!D517,"")</f>
        <v>3701.74</v>
      </c>
      <c r="B517" s="3" t="str">
        <f>IF(Raw_Data!J517=1,Raw_Data!D517,"")</f>
        <v/>
      </c>
    </row>
    <row r="518" spans="1:2" x14ac:dyDescent="0.25">
      <c r="A518" s="3">
        <f>IF(Raw_Data!J518=0,Raw_Data!D518,"")</f>
        <v>5286.61</v>
      </c>
      <c r="B518" s="3" t="str">
        <f>IF(Raw_Data!J518=1,Raw_Data!D518,"")</f>
        <v/>
      </c>
    </row>
    <row r="519" spans="1:2" x14ac:dyDescent="0.25">
      <c r="A519" s="3" t="str">
        <f>IF(Raw_Data!J519=0,Raw_Data!D519,"")</f>
        <v/>
      </c>
      <c r="B519" s="3">
        <f>IF(Raw_Data!J519=1,Raw_Data!D519,"")</f>
        <v>2758.05</v>
      </c>
    </row>
    <row r="520" spans="1:2" x14ac:dyDescent="0.25">
      <c r="A520" s="3" t="str">
        <f>IF(Raw_Data!J520=0,Raw_Data!D520,"")</f>
        <v/>
      </c>
      <c r="B520" s="3">
        <f>IF(Raw_Data!J520=1,Raw_Data!D520,"")</f>
        <v>8129.31</v>
      </c>
    </row>
    <row r="521" spans="1:2" x14ac:dyDescent="0.25">
      <c r="A521" s="3">
        <f>IF(Raw_Data!J521=0,Raw_Data!D521,"")</f>
        <v>1166.76</v>
      </c>
      <c r="B521" s="3" t="str">
        <f>IF(Raw_Data!J521=1,Raw_Data!D521,"")</f>
        <v/>
      </c>
    </row>
    <row r="522" spans="1:2" x14ac:dyDescent="0.25">
      <c r="A522" s="3">
        <f>IF(Raw_Data!J522=0,Raw_Data!D522,"")</f>
        <v>4657.7</v>
      </c>
      <c r="B522" s="3" t="str">
        <f>IF(Raw_Data!J522=1,Raw_Data!D522,"")</f>
        <v/>
      </c>
    </row>
    <row r="523" spans="1:2" x14ac:dyDescent="0.25">
      <c r="A523" s="3">
        <f>IF(Raw_Data!J523=0,Raw_Data!D523,"")</f>
        <v>1397.73</v>
      </c>
      <c r="B523" s="3" t="str">
        <f>IF(Raw_Data!J523=1,Raw_Data!D523,"")</f>
        <v/>
      </c>
    </row>
    <row r="524" spans="1:2" x14ac:dyDescent="0.25">
      <c r="A524" s="3">
        <f>IF(Raw_Data!J524=0,Raw_Data!D524,"")</f>
        <v>1933.91</v>
      </c>
      <c r="B524" s="3" t="str">
        <f>IF(Raw_Data!J524=1,Raw_Data!D524,"")</f>
        <v/>
      </c>
    </row>
    <row r="525" spans="1:2" x14ac:dyDescent="0.25">
      <c r="A525" s="3">
        <f>IF(Raw_Data!J525=0,Raw_Data!D525,"")</f>
        <v>2689.32</v>
      </c>
      <c r="B525" s="3" t="str">
        <f>IF(Raw_Data!J525=1,Raw_Data!D525,"")</f>
        <v/>
      </c>
    </row>
    <row r="526" spans="1:2" x14ac:dyDescent="0.25">
      <c r="A526" s="3">
        <f>IF(Raw_Data!J526=0,Raw_Data!D526,"")</f>
        <v>3378.71</v>
      </c>
      <c r="B526" s="3" t="str">
        <f>IF(Raw_Data!J526=1,Raw_Data!D526,"")</f>
        <v/>
      </c>
    </row>
    <row r="527" spans="1:2" x14ac:dyDescent="0.25">
      <c r="A527" s="3">
        <f>IF(Raw_Data!J527=0,Raw_Data!D527,"")</f>
        <v>6064.46</v>
      </c>
      <c r="B527" s="3" t="str">
        <f>IF(Raw_Data!J527=1,Raw_Data!D527,"")</f>
        <v/>
      </c>
    </row>
    <row r="528" spans="1:2" x14ac:dyDescent="0.25">
      <c r="A528" s="3">
        <f>IF(Raw_Data!J528=0,Raw_Data!D528,"")</f>
        <v>3435.6</v>
      </c>
      <c r="B528" s="3" t="str">
        <f>IF(Raw_Data!J528=1,Raw_Data!D528,"")</f>
        <v/>
      </c>
    </row>
    <row r="529" spans="1:2" x14ac:dyDescent="0.25">
      <c r="A529" s="3">
        <f>IF(Raw_Data!J529=0,Raw_Data!D529,"")</f>
        <v>4974.8599999999997</v>
      </c>
      <c r="B529" s="3" t="str">
        <f>IF(Raw_Data!J529=1,Raw_Data!D529,"")</f>
        <v/>
      </c>
    </row>
    <row r="530" spans="1:2" x14ac:dyDescent="0.25">
      <c r="A530" s="3">
        <f>IF(Raw_Data!J530=0,Raw_Data!D530,"")</f>
        <v>1879.44</v>
      </c>
      <c r="B530" s="3" t="str">
        <f>IF(Raw_Data!J530=1,Raw_Data!D530,"")</f>
        <v/>
      </c>
    </row>
    <row r="531" spans="1:2" x14ac:dyDescent="0.25">
      <c r="A531" s="3">
        <f>IF(Raw_Data!J531=0,Raw_Data!D531,"")</f>
        <v>896.46</v>
      </c>
      <c r="B531" s="3" t="str">
        <f>IF(Raw_Data!J531=1,Raw_Data!D531,"")</f>
        <v/>
      </c>
    </row>
    <row r="532" spans="1:2" x14ac:dyDescent="0.25">
      <c r="A532" s="3">
        <f>IF(Raw_Data!J532=0,Raw_Data!D532,"")</f>
        <v>5187.04</v>
      </c>
      <c r="B532" s="3" t="str">
        <f>IF(Raw_Data!J532=1,Raw_Data!D532,"")</f>
        <v/>
      </c>
    </row>
    <row r="533" spans="1:2" x14ac:dyDescent="0.25">
      <c r="A533" s="3">
        <f>IF(Raw_Data!J533=0,Raw_Data!D533,"")</f>
        <v>1932.35</v>
      </c>
      <c r="B533" s="3" t="str">
        <f>IF(Raw_Data!J533=1,Raw_Data!D533,"")</f>
        <v/>
      </c>
    </row>
    <row r="534" spans="1:2" x14ac:dyDescent="0.25">
      <c r="A534" s="3" t="str">
        <f>IF(Raw_Data!J534=0,Raw_Data!D534,"")</f>
        <v/>
      </c>
      <c r="B534" s="3">
        <f>IF(Raw_Data!J534=1,Raw_Data!D534,"")</f>
        <v>1129.3499999999999</v>
      </c>
    </row>
    <row r="535" spans="1:2" x14ac:dyDescent="0.25">
      <c r="A535" s="3">
        <f>IF(Raw_Data!J535=0,Raw_Data!D535,"")</f>
        <v>1799.4</v>
      </c>
      <c r="B535" s="3" t="str">
        <f>IF(Raw_Data!J535=1,Raw_Data!D535,"")</f>
        <v/>
      </c>
    </row>
    <row r="536" spans="1:2" x14ac:dyDescent="0.25">
      <c r="A536" s="3">
        <f>IF(Raw_Data!J536=0,Raw_Data!D536,"")</f>
        <v>2866.47</v>
      </c>
      <c r="B536" s="3" t="str">
        <f>IF(Raw_Data!J536=1,Raw_Data!D536,"")</f>
        <v/>
      </c>
    </row>
    <row r="537" spans="1:2" x14ac:dyDescent="0.25">
      <c r="A537" s="3">
        <f>IF(Raw_Data!J537=0,Raw_Data!D537,"")</f>
        <v>3299.21</v>
      </c>
      <c r="B537" s="3" t="str">
        <f>IF(Raw_Data!J537=1,Raw_Data!D537,"")</f>
        <v/>
      </c>
    </row>
    <row r="538" spans="1:2" x14ac:dyDescent="0.25">
      <c r="A538" s="3">
        <f>IF(Raw_Data!J538=0,Raw_Data!D538,"")</f>
        <v>2859.75</v>
      </c>
      <c r="B538" s="3" t="str">
        <f>IF(Raw_Data!J538=1,Raw_Data!D538,"")</f>
        <v/>
      </c>
    </row>
    <row r="539" spans="1:2" x14ac:dyDescent="0.25">
      <c r="A539" s="3">
        <f>IF(Raw_Data!J539=0,Raw_Data!D539,"")</f>
        <v>917.8</v>
      </c>
      <c r="B539" s="3" t="str">
        <f>IF(Raw_Data!J539=1,Raw_Data!D539,"")</f>
        <v/>
      </c>
    </row>
    <row r="540" spans="1:2" x14ac:dyDescent="0.25">
      <c r="A540" s="3">
        <f>IF(Raw_Data!J540=0,Raw_Data!D540,"")</f>
        <v>1775.67</v>
      </c>
      <c r="B540" s="3" t="str">
        <f>IF(Raw_Data!J540=1,Raw_Data!D540,"")</f>
        <v/>
      </c>
    </row>
    <row r="541" spans="1:2" x14ac:dyDescent="0.25">
      <c r="A541" s="3">
        <f>IF(Raw_Data!J541=0,Raw_Data!D541,"")</f>
        <v>3536.17</v>
      </c>
      <c r="B541" s="3" t="str">
        <f>IF(Raw_Data!J541=1,Raw_Data!D541,"")</f>
        <v/>
      </c>
    </row>
    <row r="542" spans="1:2" x14ac:dyDescent="0.25">
      <c r="A542" s="3">
        <f>IF(Raw_Data!J542=0,Raw_Data!D542,"")</f>
        <v>1273.83</v>
      </c>
      <c r="B542" s="3" t="str">
        <f>IF(Raw_Data!J542=1,Raw_Data!D542,"")</f>
        <v/>
      </c>
    </row>
    <row r="543" spans="1:2" x14ac:dyDescent="0.25">
      <c r="A543" s="3" t="str">
        <f>IF(Raw_Data!J543=0,Raw_Data!D543,"")</f>
        <v/>
      </c>
      <c r="B543" s="3">
        <f>IF(Raw_Data!J543=1,Raw_Data!D543,"")</f>
        <v>3299.71</v>
      </c>
    </row>
    <row r="544" spans="1:2" x14ac:dyDescent="0.25">
      <c r="A544" s="3">
        <f>IF(Raw_Data!J544=0,Raw_Data!D544,"")</f>
        <v>4802.7299999999996</v>
      </c>
      <c r="B544" s="3" t="str">
        <f>IF(Raw_Data!J544=1,Raw_Data!D544,"")</f>
        <v/>
      </c>
    </row>
    <row r="545" spans="1:2" x14ac:dyDescent="0.25">
      <c r="A545" s="3">
        <f>IF(Raw_Data!J545=0,Raw_Data!D545,"")</f>
        <v>3175.82</v>
      </c>
      <c r="B545" s="3" t="str">
        <f>IF(Raw_Data!J545=1,Raw_Data!D545,"")</f>
        <v/>
      </c>
    </row>
    <row r="546" spans="1:2" x14ac:dyDescent="0.25">
      <c r="A546" s="3">
        <f>IF(Raw_Data!J546=0,Raw_Data!D546,"")</f>
        <v>3939.92</v>
      </c>
      <c r="B546" s="3" t="str">
        <f>IF(Raw_Data!J546=1,Raw_Data!D546,"")</f>
        <v/>
      </c>
    </row>
    <row r="547" spans="1:2" x14ac:dyDescent="0.25">
      <c r="A547" s="3">
        <f>IF(Raw_Data!J547=0,Raw_Data!D547,"")</f>
        <v>1398.83</v>
      </c>
      <c r="B547" s="3" t="str">
        <f>IF(Raw_Data!J547=1,Raw_Data!D547,"")</f>
        <v/>
      </c>
    </row>
    <row r="548" spans="1:2" x14ac:dyDescent="0.25">
      <c r="A548" s="3" t="str">
        <f>IF(Raw_Data!J548=0,Raw_Data!D548,"")</f>
        <v/>
      </c>
      <c r="B548" s="3">
        <f>IF(Raw_Data!J548=1,Raw_Data!D548,"")</f>
        <v>3513.46</v>
      </c>
    </row>
    <row r="549" spans="1:2" x14ac:dyDescent="0.25">
      <c r="A549" s="3">
        <f>IF(Raw_Data!J549=0,Raw_Data!D549,"")</f>
        <v>3882</v>
      </c>
      <c r="B549" s="3" t="str">
        <f>IF(Raw_Data!J549=1,Raw_Data!D549,"")</f>
        <v/>
      </c>
    </row>
    <row r="550" spans="1:2" x14ac:dyDescent="0.25">
      <c r="A550" s="3" t="str">
        <f>IF(Raw_Data!J550=0,Raw_Data!D550,"")</f>
        <v/>
      </c>
      <c r="B550" s="3">
        <f>IF(Raw_Data!J550=1,Raw_Data!D550,"")</f>
        <v>5929.51</v>
      </c>
    </row>
    <row r="551" spans="1:2" x14ac:dyDescent="0.25">
      <c r="A551" s="3">
        <f>IF(Raw_Data!J551=0,Raw_Data!D551,"")</f>
        <v>4433.59</v>
      </c>
      <c r="B551" s="3" t="str">
        <f>IF(Raw_Data!J551=1,Raw_Data!D551,"")</f>
        <v/>
      </c>
    </row>
    <row r="552" spans="1:2" x14ac:dyDescent="0.25">
      <c r="A552" s="3">
        <f>IF(Raw_Data!J552=0,Raw_Data!D552,"")</f>
        <v>243.97</v>
      </c>
      <c r="B552" s="3" t="str">
        <f>IF(Raw_Data!J552=1,Raw_Data!D552,"")</f>
        <v/>
      </c>
    </row>
    <row r="553" spans="1:2" x14ac:dyDescent="0.25">
      <c r="A553" s="3">
        <f>IF(Raw_Data!J553=0,Raw_Data!D553,"")</f>
        <v>2612.12</v>
      </c>
      <c r="B553" s="3" t="str">
        <f>IF(Raw_Data!J553=1,Raw_Data!D553,"")</f>
        <v/>
      </c>
    </row>
    <row r="554" spans="1:2" x14ac:dyDescent="0.25">
      <c r="A554" s="3" t="str">
        <f>IF(Raw_Data!J554=0,Raw_Data!D554,"")</f>
        <v/>
      </c>
      <c r="B554" s="3">
        <f>IF(Raw_Data!J554=1,Raw_Data!D554,"")</f>
        <v>1965.08</v>
      </c>
    </row>
    <row r="555" spans="1:2" x14ac:dyDescent="0.25">
      <c r="A555" s="3">
        <f>IF(Raw_Data!J555=0,Raw_Data!D555,"")</f>
        <v>1542.79</v>
      </c>
      <c r="B555" s="3" t="str">
        <f>IF(Raw_Data!J555=1,Raw_Data!D555,"")</f>
        <v/>
      </c>
    </row>
    <row r="556" spans="1:2" x14ac:dyDescent="0.25">
      <c r="A556" s="3">
        <f>IF(Raw_Data!J556=0,Raw_Data!D556,"")</f>
        <v>1399.72</v>
      </c>
      <c r="B556" s="3" t="str">
        <f>IF(Raw_Data!J556=1,Raw_Data!D556,"")</f>
        <v/>
      </c>
    </row>
    <row r="557" spans="1:2" x14ac:dyDescent="0.25">
      <c r="A557" s="3">
        <f>IF(Raw_Data!J557=0,Raw_Data!D557,"")</f>
        <v>2085.86</v>
      </c>
      <c r="B557" s="3" t="str">
        <f>IF(Raw_Data!J557=1,Raw_Data!D557,"")</f>
        <v/>
      </c>
    </row>
    <row r="558" spans="1:2" x14ac:dyDescent="0.25">
      <c r="A558" s="3">
        <f>IF(Raw_Data!J558=0,Raw_Data!D558,"")</f>
        <v>2109.5100000000002</v>
      </c>
      <c r="B558" s="3" t="str">
        <f>IF(Raw_Data!J558=1,Raw_Data!D558,"")</f>
        <v/>
      </c>
    </row>
    <row r="559" spans="1:2" x14ac:dyDescent="0.25">
      <c r="A559" s="3">
        <f>IF(Raw_Data!J559=0,Raw_Data!D559,"")</f>
        <v>3139.5</v>
      </c>
      <c r="B559" s="3" t="str">
        <f>IF(Raw_Data!J559=1,Raw_Data!D559,"")</f>
        <v/>
      </c>
    </row>
    <row r="560" spans="1:2" x14ac:dyDescent="0.25">
      <c r="A560" s="3">
        <f>IF(Raw_Data!J560=0,Raw_Data!D560,"")</f>
        <v>775.78</v>
      </c>
      <c r="B560" s="3" t="str">
        <f>IF(Raw_Data!J560=1,Raw_Data!D560,"")</f>
        <v/>
      </c>
    </row>
    <row r="561" spans="1:2" x14ac:dyDescent="0.25">
      <c r="A561" s="3" t="str">
        <f>IF(Raw_Data!J561=0,Raw_Data!D561,"")</f>
        <v/>
      </c>
      <c r="B561" s="3">
        <f>IF(Raw_Data!J561=1,Raw_Data!D561,"")</f>
        <v>2526.8200000000002</v>
      </c>
    </row>
    <row r="562" spans="1:2" x14ac:dyDescent="0.25">
      <c r="A562" s="3">
        <f>IF(Raw_Data!J562=0,Raw_Data!D562,"")</f>
        <v>4861.7</v>
      </c>
      <c r="B562" s="3" t="str">
        <f>IF(Raw_Data!J562=1,Raw_Data!D562,"")</f>
        <v/>
      </c>
    </row>
    <row r="563" spans="1:2" x14ac:dyDescent="0.25">
      <c r="A563" s="3">
        <f>IF(Raw_Data!J563=0,Raw_Data!D563,"")</f>
        <v>7051.08</v>
      </c>
      <c r="B563" s="3" t="str">
        <f>IF(Raw_Data!J563=1,Raw_Data!D563,"")</f>
        <v/>
      </c>
    </row>
    <row r="564" spans="1:2" x14ac:dyDescent="0.25">
      <c r="A564" s="3" t="str">
        <f>IF(Raw_Data!J564=0,Raw_Data!D564,"")</f>
        <v/>
      </c>
      <c r="B564" s="3">
        <f>IF(Raw_Data!J564=1,Raw_Data!D564,"")</f>
        <v>2524.0500000000002</v>
      </c>
    </row>
    <row r="565" spans="1:2" x14ac:dyDescent="0.25">
      <c r="A565" s="3">
        <f>IF(Raw_Data!J565=0,Raw_Data!D565,"")</f>
        <v>6062.07</v>
      </c>
      <c r="B565" s="3" t="str">
        <f>IF(Raw_Data!J565=1,Raw_Data!D565,"")</f>
        <v/>
      </c>
    </row>
    <row r="566" spans="1:2" x14ac:dyDescent="0.25">
      <c r="A566" s="3">
        <f>IF(Raw_Data!J566=0,Raw_Data!D566,"")</f>
        <v>865.62</v>
      </c>
      <c r="B566" s="3" t="str">
        <f>IF(Raw_Data!J566=1,Raw_Data!D566,"")</f>
        <v/>
      </c>
    </row>
    <row r="567" spans="1:2" x14ac:dyDescent="0.25">
      <c r="A567" s="3">
        <f>IF(Raw_Data!J567=0,Raw_Data!D567,"")</f>
        <v>2059.77</v>
      </c>
      <c r="B567" s="3" t="str">
        <f>IF(Raw_Data!J567=1,Raw_Data!D567,"")</f>
        <v/>
      </c>
    </row>
    <row r="568" spans="1:2" x14ac:dyDescent="0.25">
      <c r="A568" s="3">
        <f>IF(Raw_Data!J568=0,Raw_Data!D568,"")</f>
        <v>1452.7</v>
      </c>
      <c r="B568" s="3" t="str">
        <f>IF(Raw_Data!J568=1,Raw_Data!D568,"")</f>
        <v/>
      </c>
    </row>
    <row r="569" spans="1:2" x14ac:dyDescent="0.25">
      <c r="A569" s="3">
        <f>IF(Raw_Data!J569=0,Raw_Data!D569,"")</f>
        <v>230.6</v>
      </c>
      <c r="B569" s="3" t="str">
        <f>IF(Raw_Data!J569=1,Raw_Data!D569,"")</f>
        <v/>
      </c>
    </row>
    <row r="570" spans="1:2" x14ac:dyDescent="0.25">
      <c r="A570" s="3">
        <f>IF(Raw_Data!J570=0,Raw_Data!D570,"")</f>
        <v>3922.2</v>
      </c>
      <c r="B570" s="3" t="str">
        <f>IF(Raw_Data!J570=1,Raw_Data!D570,"")</f>
        <v/>
      </c>
    </row>
    <row r="571" spans="1:2" x14ac:dyDescent="0.25">
      <c r="A571" s="3">
        <f>IF(Raw_Data!J571=0,Raw_Data!D571,"")</f>
        <v>2502.65</v>
      </c>
      <c r="B571" s="3" t="str">
        <f>IF(Raw_Data!J571=1,Raw_Data!D571,"")</f>
        <v/>
      </c>
    </row>
    <row r="572" spans="1:2" x14ac:dyDescent="0.25">
      <c r="A572" s="3" t="str">
        <f>IF(Raw_Data!J572=0,Raw_Data!D572,"")</f>
        <v/>
      </c>
      <c r="B572" s="3">
        <f>IF(Raw_Data!J572=1,Raw_Data!D572,"")</f>
        <v>6726.92</v>
      </c>
    </row>
    <row r="573" spans="1:2" x14ac:dyDescent="0.25">
      <c r="A573" s="3" t="str">
        <f>IF(Raw_Data!J573=0,Raw_Data!D573,"")</f>
        <v/>
      </c>
      <c r="B573" s="3">
        <f>IF(Raw_Data!J573=1,Raw_Data!D573,"")</f>
        <v>2252</v>
      </c>
    </row>
    <row r="574" spans="1:2" x14ac:dyDescent="0.25">
      <c r="A574" s="3" t="str">
        <f>IF(Raw_Data!J574=0,Raw_Data!D574,"")</f>
        <v/>
      </c>
      <c r="B574" s="3">
        <f>IF(Raw_Data!J574=1,Raw_Data!D574,"")</f>
        <v>4146.34</v>
      </c>
    </row>
    <row r="575" spans="1:2" x14ac:dyDescent="0.25">
      <c r="A575" s="3">
        <f>IF(Raw_Data!J575=0,Raw_Data!D575,"")</f>
        <v>2239.9699999999998</v>
      </c>
      <c r="B575" s="3" t="str">
        <f>IF(Raw_Data!J575=1,Raw_Data!D575,"")</f>
        <v/>
      </c>
    </row>
    <row r="576" spans="1:2" x14ac:dyDescent="0.25">
      <c r="A576" s="3">
        <f>IF(Raw_Data!J576=0,Raw_Data!D576,"")</f>
        <v>2910.94</v>
      </c>
      <c r="B576" s="3" t="str">
        <f>IF(Raw_Data!J576=1,Raw_Data!D576,"")</f>
        <v/>
      </c>
    </row>
    <row r="577" spans="1:2" x14ac:dyDescent="0.25">
      <c r="A577" s="3">
        <f>IF(Raw_Data!J577=0,Raw_Data!D577,"")</f>
        <v>1072.42</v>
      </c>
      <c r="B577" s="3" t="str">
        <f>IF(Raw_Data!J577=1,Raw_Data!D577,"")</f>
        <v/>
      </c>
    </row>
    <row r="578" spans="1:2" x14ac:dyDescent="0.25">
      <c r="A578" s="3">
        <f>IF(Raw_Data!J578=0,Raw_Data!D578,"")</f>
        <v>1229.3499999999999</v>
      </c>
      <c r="B578" s="3" t="str">
        <f>IF(Raw_Data!J578=1,Raw_Data!D578,"")</f>
        <v/>
      </c>
    </row>
    <row r="579" spans="1:2" x14ac:dyDescent="0.25">
      <c r="A579" s="3">
        <f>IF(Raw_Data!J579=0,Raw_Data!D579,"")</f>
        <v>784.57</v>
      </c>
      <c r="B579" s="3" t="str">
        <f>IF(Raw_Data!J579=1,Raw_Data!D579,"")</f>
        <v/>
      </c>
    </row>
    <row r="580" spans="1:2" x14ac:dyDescent="0.25">
      <c r="A580" s="3">
        <f>IF(Raw_Data!J580=0,Raw_Data!D580,"")</f>
        <v>3330.64</v>
      </c>
      <c r="B580" s="3" t="str">
        <f>IF(Raw_Data!J580=1,Raw_Data!D580,"")</f>
        <v/>
      </c>
    </row>
    <row r="581" spans="1:2" x14ac:dyDescent="0.25">
      <c r="A581" s="3">
        <f>IF(Raw_Data!J581=0,Raw_Data!D581,"")</f>
        <v>3221.78</v>
      </c>
      <c r="B581" s="3" t="str">
        <f>IF(Raw_Data!J581=1,Raw_Data!D581,"")</f>
        <v/>
      </c>
    </row>
    <row r="582" spans="1:2" x14ac:dyDescent="0.25">
      <c r="A582" s="3">
        <f>IF(Raw_Data!J582=0,Raw_Data!D582,"")</f>
        <v>5124.03</v>
      </c>
      <c r="B582" s="3" t="str">
        <f>IF(Raw_Data!J582=1,Raw_Data!D582,"")</f>
        <v/>
      </c>
    </row>
    <row r="583" spans="1:2" x14ac:dyDescent="0.25">
      <c r="A583" s="3">
        <f>IF(Raw_Data!J583=0,Raw_Data!D583,"")</f>
        <v>570.63</v>
      </c>
      <c r="B583" s="3" t="str">
        <f>IF(Raw_Data!J583=1,Raw_Data!D583,"")</f>
        <v/>
      </c>
    </row>
    <row r="584" spans="1:2" x14ac:dyDescent="0.25">
      <c r="A584" s="3">
        <f>IF(Raw_Data!J584=0,Raw_Data!D584,"")</f>
        <v>4199</v>
      </c>
      <c r="B584" s="3" t="str">
        <f>IF(Raw_Data!J584=1,Raw_Data!D584,"")</f>
        <v/>
      </c>
    </row>
    <row r="585" spans="1:2" x14ac:dyDescent="0.25">
      <c r="A585" s="3">
        <f>IF(Raw_Data!J585=0,Raw_Data!D585,"")</f>
        <v>1734.58</v>
      </c>
      <c r="B585" s="3" t="str">
        <f>IF(Raw_Data!J585=1,Raw_Data!D585,"")</f>
        <v/>
      </c>
    </row>
    <row r="586" spans="1:2" x14ac:dyDescent="0.25">
      <c r="A586" s="3">
        <f>IF(Raw_Data!J586=0,Raw_Data!D586,"")</f>
        <v>3340.11</v>
      </c>
      <c r="B586" s="3" t="str">
        <f>IF(Raw_Data!J586=1,Raw_Data!D586,"")</f>
        <v/>
      </c>
    </row>
    <row r="587" spans="1:2" x14ac:dyDescent="0.25">
      <c r="A587" s="3">
        <f>IF(Raw_Data!J587=0,Raw_Data!D587,"")</f>
        <v>6095.58</v>
      </c>
      <c r="B587" s="3" t="str">
        <f>IF(Raw_Data!J587=1,Raw_Data!D587,"")</f>
        <v/>
      </c>
    </row>
    <row r="588" spans="1:2" x14ac:dyDescent="0.25">
      <c r="A588" s="3">
        <f>IF(Raw_Data!J588=0,Raw_Data!D588,"")</f>
        <v>5142.1499999999996</v>
      </c>
      <c r="B588" s="3" t="str">
        <f>IF(Raw_Data!J588=1,Raw_Data!D588,"")</f>
        <v/>
      </c>
    </row>
    <row r="589" spans="1:2" x14ac:dyDescent="0.25">
      <c r="A589" s="3">
        <f>IF(Raw_Data!J589=0,Raw_Data!D589,"")</f>
        <v>2488.52</v>
      </c>
      <c r="B589" s="3" t="str">
        <f>IF(Raw_Data!J589=1,Raw_Data!D589,"")</f>
        <v/>
      </c>
    </row>
    <row r="590" spans="1:2" x14ac:dyDescent="0.25">
      <c r="A590" s="3">
        <f>IF(Raw_Data!J590=0,Raw_Data!D590,"")</f>
        <v>2889.38</v>
      </c>
      <c r="B590" s="3" t="str">
        <f>IF(Raw_Data!J590=1,Raw_Data!D590,"")</f>
        <v/>
      </c>
    </row>
    <row r="591" spans="1:2" x14ac:dyDescent="0.25">
      <c r="A591" s="3">
        <f>IF(Raw_Data!J591=0,Raw_Data!D591,"")</f>
        <v>6108.3</v>
      </c>
      <c r="B591" s="3" t="str">
        <f>IF(Raw_Data!J591=1,Raw_Data!D591,"")</f>
        <v/>
      </c>
    </row>
    <row r="592" spans="1:2" x14ac:dyDescent="0.25">
      <c r="A592" s="3">
        <f>IF(Raw_Data!J592=0,Raw_Data!D592,"")</f>
        <v>1244</v>
      </c>
      <c r="B592" s="3" t="str">
        <f>IF(Raw_Data!J592=1,Raw_Data!D592,"")</f>
        <v/>
      </c>
    </row>
    <row r="593" spans="1:2" x14ac:dyDescent="0.25">
      <c r="A593" s="3">
        <f>IF(Raw_Data!J593=0,Raw_Data!D593,"")</f>
        <v>1056.3900000000001</v>
      </c>
      <c r="B593" s="3" t="str">
        <f>IF(Raw_Data!J593=1,Raw_Data!D593,"")</f>
        <v/>
      </c>
    </row>
    <row r="594" spans="1:2" x14ac:dyDescent="0.25">
      <c r="A594" s="3">
        <f>IF(Raw_Data!J594=0,Raw_Data!D594,"")</f>
        <v>1075.07</v>
      </c>
      <c r="B594" s="3" t="str">
        <f>IF(Raw_Data!J594=1,Raw_Data!D594,"")</f>
        <v/>
      </c>
    </row>
    <row r="595" spans="1:2" x14ac:dyDescent="0.25">
      <c r="A595" s="3">
        <f>IF(Raw_Data!J595=0,Raw_Data!D595,"")</f>
        <v>2108.83</v>
      </c>
      <c r="B595" s="3" t="str">
        <f>IF(Raw_Data!J595=1,Raw_Data!D595,"")</f>
        <v/>
      </c>
    </row>
    <row r="596" spans="1:2" x14ac:dyDescent="0.25">
      <c r="A596" s="3">
        <f>IF(Raw_Data!J596=0,Raw_Data!D596,"")</f>
        <v>1638.87</v>
      </c>
      <c r="B596" s="3" t="str">
        <f>IF(Raw_Data!J596=1,Raw_Data!D596,"")</f>
        <v/>
      </c>
    </row>
    <row r="597" spans="1:2" x14ac:dyDescent="0.25">
      <c r="A597" s="3" t="str">
        <f>IF(Raw_Data!J597=0,Raw_Data!D597,"")</f>
        <v/>
      </c>
      <c r="B597" s="3">
        <f>IF(Raw_Data!J597=1,Raw_Data!D597,"")</f>
        <v>2919.4</v>
      </c>
    </row>
    <row r="598" spans="1:2" x14ac:dyDescent="0.25">
      <c r="A598" s="3">
        <f>IF(Raw_Data!J598=0,Raw_Data!D598,"")</f>
        <v>1587.77</v>
      </c>
      <c r="B598" s="3" t="str">
        <f>IF(Raw_Data!J598=1,Raw_Data!D598,"")</f>
        <v/>
      </c>
    </row>
    <row r="599" spans="1:2" x14ac:dyDescent="0.25">
      <c r="A599" s="3">
        <f>IF(Raw_Data!J599=0,Raw_Data!D599,"")</f>
        <v>1207.96</v>
      </c>
      <c r="B599" s="3" t="str">
        <f>IF(Raw_Data!J599=1,Raw_Data!D599,"")</f>
        <v/>
      </c>
    </row>
    <row r="600" spans="1:2" x14ac:dyDescent="0.25">
      <c r="A600" s="3">
        <f>IF(Raw_Data!J600=0,Raw_Data!D600,"")</f>
        <v>1182.3599999999999</v>
      </c>
      <c r="B600" s="3" t="str">
        <f>IF(Raw_Data!J600=1,Raw_Data!D600,"")</f>
        <v/>
      </c>
    </row>
    <row r="601" spans="1:2" x14ac:dyDescent="0.25">
      <c r="A601" s="3">
        <f>IF(Raw_Data!J601=0,Raw_Data!D601,"")</f>
        <v>294.06</v>
      </c>
      <c r="B601" s="3" t="str">
        <f>IF(Raw_Data!J601=1,Raw_Data!D601,"")</f>
        <v/>
      </c>
    </row>
    <row r="602" spans="1:2" x14ac:dyDescent="0.25">
      <c r="A602" s="3">
        <f>IF(Raw_Data!J602=0,Raw_Data!D602,"")</f>
        <v>1438.73</v>
      </c>
      <c r="B602" s="3" t="str">
        <f>IF(Raw_Data!J602=1,Raw_Data!D602,"")</f>
        <v/>
      </c>
    </row>
    <row r="603" spans="1:2" x14ac:dyDescent="0.25">
      <c r="A603" s="3">
        <f>IF(Raw_Data!J603=0,Raw_Data!D603,"")</f>
        <v>1726.96</v>
      </c>
      <c r="B603" s="3" t="str">
        <f>IF(Raw_Data!J603=1,Raw_Data!D603,"")</f>
        <v/>
      </c>
    </row>
    <row r="604" spans="1:2" x14ac:dyDescent="0.25">
      <c r="A604" s="3">
        <f>IF(Raw_Data!J604=0,Raw_Data!D604,"")</f>
        <v>1696.7</v>
      </c>
      <c r="B604" s="3" t="str">
        <f>IF(Raw_Data!J604=1,Raw_Data!D604,"")</f>
        <v/>
      </c>
    </row>
    <row r="605" spans="1:2" x14ac:dyDescent="0.25">
      <c r="A605" s="3">
        <f>IF(Raw_Data!J605=0,Raw_Data!D605,"")</f>
        <v>2137.11</v>
      </c>
      <c r="B605" s="3" t="str">
        <f>IF(Raw_Data!J605=1,Raw_Data!D605,"")</f>
        <v/>
      </c>
    </row>
    <row r="606" spans="1:2" x14ac:dyDescent="0.25">
      <c r="A606" s="3">
        <f>IF(Raw_Data!J606=0,Raw_Data!D606,"")</f>
        <v>2215.1</v>
      </c>
      <c r="B606" s="3" t="str">
        <f>IF(Raw_Data!J606=1,Raw_Data!D606,"")</f>
        <v/>
      </c>
    </row>
    <row r="607" spans="1:2" x14ac:dyDescent="0.25">
      <c r="A607" s="3" t="str">
        <f>IF(Raw_Data!J607=0,Raw_Data!D607,"")</f>
        <v/>
      </c>
      <c r="B607" s="3">
        <f>IF(Raw_Data!J607=1,Raw_Data!D607,"")</f>
        <v>3489.84</v>
      </c>
    </row>
    <row r="608" spans="1:2" x14ac:dyDescent="0.25">
      <c r="A608" s="3">
        <f>IF(Raw_Data!J608=0,Raw_Data!D608,"")</f>
        <v>3011.85</v>
      </c>
      <c r="B608" s="3" t="str">
        <f>IF(Raw_Data!J608=1,Raw_Data!D608,"")</f>
        <v/>
      </c>
    </row>
    <row r="609" spans="1:2" x14ac:dyDescent="0.25">
      <c r="A609" s="3">
        <f>IF(Raw_Data!J609=0,Raw_Data!D609,"")</f>
        <v>2878.76</v>
      </c>
      <c r="B609" s="3" t="str">
        <f>IF(Raw_Data!J609=1,Raw_Data!D609,"")</f>
        <v/>
      </c>
    </row>
    <row r="610" spans="1:2" x14ac:dyDescent="0.25">
      <c r="A610" s="3">
        <f>IF(Raw_Data!J610=0,Raw_Data!D610,"")</f>
        <v>4587</v>
      </c>
      <c r="B610" s="3" t="str">
        <f>IF(Raw_Data!J610=1,Raw_Data!D610,"")</f>
        <v/>
      </c>
    </row>
    <row r="611" spans="1:2" x14ac:dyDescent="0.25">
      <c r="A611" s="3" t="str">
        <f>IF(Raw_Data!J611=0,Raw_Data!D611,"")</f>
        <v/>
      </c>
      <c r="B611" s="3">
        <f>IF(Raw_Data!J611=1,Raw_Data!D611,"")</f>
        <v>1873.17</v>
      </c>
    </row>
    <row r="612" spans="1:2" x14ac:dyDescent="0.25">
      <c r="A612" s="3" t="str">
        <f>IF(Raw_Data!J612=0,Raw_Data!D612,"")</f>
        <v/>
      </c>
      <c r="B612" s="3">
        <f>IF(Raw_Data!J612=1,Raw_Data!D612,"")</f>
        <v>710.02</v>
      </c>
    </row>
    <row r="613" spans="1:2" x14ac:dyDescent="0.25">
      <c r="A613" s="3">
        <f>IF(Raw_Data!J613=0,Raw_Data!D613,"")</f>
        <v>736.96</v>
      </c>
      <c r="B613" s="3" t="str">
        <f>IF(Raw_Data!J613=1,Raw_Data!D613,"")</f>
        <v/>
      </c>
    </row>
    <row r="614" spans="1:2" x14ac:dyDescent="0.25">
      <c r="A614" s="3">
        <f>IF(Raw_Data!J614=0,Raw_Data!D614,"")</f>
        <v>3448.89</v>
      </c>
      <c r="B614" s="3" t="str">
        <f>IF(Raw_Data!J614=1,Raw_Data!D614,"")</f>
        <v/>
      </c>
    </row>
    <row r="615" spans="1:2" x14ac:dyDescent="0.25">
      <c r="A615" s="3">
        <f>IF(Raw_Data!J615=0,Raw_Data!D615,"")</f>
        <v>3071.89</v>
      </c>
      <c r="B615" s="3" t="str">
        <f>IF(Raw_Data!J615=1,Raw_Data!D615,"")</f>
        <v/>
      </c>
    </row>
    <row r="616" spans="1:2" x14ac:dyDescent="0.25">
      <c r="A616" s="3">
        <f>IF(Raw_Data!J616=0,Raw_Data!D616,"")</f>
        <v>1781.38</v>
      </c>
      <c r="B616" s="3" t="str">
        <f>IF(Raw_Data!J616=1,Raw_Data!D616,"")</f>
        <v/>
      </c>
    </row>
    <row r="617" spans="1:2" x14ac:dyDescent="0.25">
      <c r="A617" s="3">
        <f>IF(Raw_Data!J617=0,Raw_Data!D617,"")</f>
        <v>2123.0300000000002</v>
      </c>
      <c r="B617" s="3" t="str">
        <f>IF(Raw_Data!J617=1,Raw_Data!D617,"")</f>
        <v/>
      </c>
    </row>
    <row r="618" spans="1:2" x14ac:dyDescent="0.25">
      <c r="A618" s="3">
        <f>IF(Raw_Data!J618=0,Raw_Data!D618,"")</f>
        <v>985.88</v>
      </c>
      <c r="B618" s="3" t="str">
        <f>IF(Raw_Data!J618=1,Raw_Data!D618,"")</f>
        <v/>
      </c>
    </row>
    <row r="619" spans="1:2" x14ac:dyDescent="0.25">
      <c r="A619" s="3" t="str">
        <f>IF(Raw_Data!J619=0,Raw_Data!D619,"")</f>
        <v/>
      </c>
      <c r="B619" s="3">
        <f>IF(Raw_Data!J619=1,Raw_Data!D619,"")</f>
        <v>524.38</v>
      </c>
    </row>
    <row r="620" spans="1:2" x14ac:dyDescent="0.25">
      <c r="A620" s="3">
        <f>IF(Raw_Data!J620=0,Raw_Data!D620,"")</f>
        <v>3920.14</v>
      </c>
      <c r="B620" s="3" t="str">
        <f>IF(Raw_Data!J620=1,Raw_Data!D620,"")</f>
        <v/>
      </c>
    </row>
    <row r="621" spans="1:2" x14ac:dyDescent="0.25">
      <c r="A621" s="3">
        <f>IF(Raw_Data!J621=0,Raw_Data!D621,"")</f>
        <v>870.43</v>
      </c>
      <c r="B621" s="3" t="str">
        <f>IF(Raw_Data!J621=1,Raw_Data!D621,"")</f>
        <v/>
      </c>
    </row>
    <row r="622" spans="1:2" x14ac:dyDescent="0.25">
      <c r="A622" s="3">
        <f>IF(Raw_Data!J622=0,Raw_Data!D622,"")</f>
        <v>2689</v>
      </c>
      <c r="B622" s="3" t="str">
        <f>IF(Raw_Data!J622=1,Raw_Data!D622,"")</f>
        <v/>
      </c>
    </row>
    <row r="623" spans="1:2" x14ac:dyDescent="0.25">
      <c r="A623" s="3">
        <f>IF(Raw_Data!J623=0,Raw_Data!D623,"")</f>
        <v>429.7</v>
      </c>
      <c r="B623" s="3" t="str">
        <f>IF(Raw_Data!J623=1,Raw_Data!D623,"")</f>
        <v/>
      </c>
    </row>
    <row r="624" spans="1:2" x14ac:dyDescent="0.25">
      <c r="A624" s="3">
        <f>IF(Raw_Data!J624=0,Raw_Data!D624,"")</f>
        <v>1312.17</v>
      </c>
      <c r="B624" s="3" t="str">
        <f>IF(Raw_Data!J624=1,Raw_Data!D624,"")</f>
        <v/>
      </c>
    </row>
    <row r="625" spans="1:2" x14ac:dyDescent="0.25">
      <c r="A625" s="3" t="str">
        <f>IF(Raw_Data!J625=0,Raw_Data!D625,"")</f>
        <v/>
      </c>
      <c r="B625" s="3">
        <f>IF(Raw_Data!J625=1,Raw_Data!D625,"")</f>
        <v>3799.21</v>
      </c>
    </row>
    <row r="626" spans="1:2" x14ac:dyDescent="0.25">
      <c r="A626" s="3">
        <f>IF(Raw_Data!J626=0,Raw_Data!D626,"")</f>
        <v>2556.9699999999998</v>
      </c>
      <c r="B626" s="3" t="str">
        <f>IF(Raw_Data!J626=1,Raw_Data!D626,"")</f>
        <v/>
      </c>
    </row>
    <row r="627" spans="1:2" x14ac:dyDescent="0.25">
      <c r="A627" s="3">
        <f>IF(Raw_Data!J627=0,Raw_Data!D627,"")</f>
        <v>420.81</v>
      </c>
      <c r="B627" s="3" t="str">
        <f>IF(Raw_Data!J627=1,Raw_Data!D627,"")</f>
        <v/>
      </c>
    </row>
    <row r="628" spans="1:2" x14ac:dyDescent="0.25">
      <c r="A628" s="3">
        <f>IF(Raw_Data!J628=0,Raw_Data!D628,"")</f>
        <v>3309.15</v>
      </c>
      <c r="B628" s="3" t="str">
        <f>IF(Raw_Data!J628=1,Raw_Data!D628,"")</f>
        <v/>
      </c>
    </row>
    <row r="629" spans="1:2" x14ac:dyDescent="0.25">
      <c r="A629" s="3">
        <f>IF(Raw_Data!J629=0,Raw_Data!D629,"")</f>
        <v>2402.5500000000002</v>
      </c>
      <c r="B629" s="3" t="str">
        <f>IF(Raw_Data!J629=1,Raw_Data!D629,"")</f>
        <v/>
      </c>
    </row>
    <row r="630" spans="1:2" x14ac:dyDescent="0.25">
      <c r="A630" s="3">
        <f>IF(Raw_Data!J630=0,Raw_Data!D630,"")</f>
        <v>5693.07</v>
      </c>
      <c r="B630" s="3" t="str">
        <f>IF(Raw_Data!J630=1,Raw_Data!D630,"")</f>
        <v/>
      </c>
    </row>
    <row r="631" spans="1:2" x14ac:dyDescent="0.25">
      <c r="A631" s="3">
        <f>IF(Raw_Data!J631=0,Raw_Data!D631,"")</f>
        <v>3290.79</v>
      </c>
      <c r="B631" s="3" t="str">
        <f>IF(Raw_Data!J631=1,Raw_Data!D631,"")</f>
        <v/>
      </c>
    </row>
    <row r="632" spans="1:2" x14ac:dyDescent="0.25">
      <c r="A632" s="3" t="str">
        <f>IF(Raw_Data!J632=0,Raw_Data!D632,"")</f>
        <v/>
      </c>
      <c r="B632" s="3">
        <f>IF(Raw_Data!J632=1,Raw_Data!D632,"")</f>
        <v>522.78</v>
      </c>
    </row>
    <row r="633" spans="1:2" x14ac:dyDescent="0.25">
      <c r="A633" s="3">
        <f>IF(Raw_Data!J633=0,Raw_Data!D633,"")</f>
        <v>5739</v>
      </c>
      <c r="B633" s="3" t="str">
        <f>IF(Raw_Data!J633=1,Raw_Data!D633,"")</f>
        <v/>
      </c>
    </row>
    <row r="634" spans="1:2" x14ac:dyDescent="0.25">
      <c r="A634" s="3">
        <f>IF(Raw_Data!J634=0,Raw_Data!D634,"")</f>
        <v>3362.47</v>
      </c>
      <c r="B634" s="3" t="str">
        <f>IF(Raw_Data!J634=1,Raw_Data!D634,"")</f>
        <v/>
      </c>
    </row>
    <row r="635" spans="1:2" x14ac:dyDescent="0.25">
      <c r="A635" s="3">
        <f>IF(Raw_Data!J635=0,Raw_Data!D635,"")</f>
        <v>4049.48</v>
      </c>
      <c r="B635" s="3" t="str">
        <f>IF(Raw_Data!J635=1,Raw_Data!D635,"")</f>
        <v/>
      </c>
    </row>
    <row r="636" spans="1:2" x14ac:dyDescent="0.25">
      <c r="A636" s="3">
        <f>IF(Raw_Data!J636=0,Raw_Data!D636,"")</f>
        <v>2853.8</v>
      </c>
      <c r="B636" s="3" t="str">
        <f>IF(Raw_Data!J636=1,Raw_Data!D636,"")</f>
        <v/>
      </c>
    </row>
    <row r="637" spans="1:2" x14ac:dyDescent="0.25">
      <c r="A637" s="3">
        <f>IF(Raw_Data!J637=0,Raw_Data!D637,"")</f>
        <v>2491.2199999999998</v>
      </c>
      <c r="B637" s="3" t="str">
        <f>IF(Raw_Data!J637=1,Raw_Data!D637,"")</f>
        <v/>
      </c>
    </row>
    <row r="638" spans="1:2" x14ac:dyDescent="0.25">
      <c r="A638" s="3" t="str">
        <f>IF(Raw_Data!J638=0,Raw_Data!D638,"")</f>
        <v/>
      </c>
      <c r="B638" s="3">
        <f>IF(Raw_Data!J638=1,Raw_Data!D638,"")</f>
        <v>2598.9699999999998</v>
      </c>
    </row>
    <row r="639" spans="1:2" x14ac:dyDescent="0.25">
      <c r="A639" s="3">
        <f>IF(Raw_Data!J639=0,Raw_Data!D639,"")</f>
        <v>2779.17</v>
      </c>
      <c r="B639" s="3" t="str">
        <f>IF(Raw_Data!J639=1,Raw_Data!D639,"")</f>
        <v/>
      </c>
    </row>
    <row r="640" spans="1:2" x14ac:dyDescent="0.25">
      <c r="A640" s="3" t="str">
        <f>IF(Raw_Data!J640=0,Raw_Data!D640,"")</f>
        <v/>
      </c>
      <c r="B640" s="3">
        <f>IF(Raw_Data!J640=1,Raw_Data!D640,"")</f>
        <v>4858.92</v>
      </c>
    </row>
    <row r="641" spans="1:2" x14ac:dyDescent="0.25">
      <c r="A641" s="3" t="str">
        <f>IF(Raw_Data!J641=0,Raw_Data!D641,"")</f>
        <v/>
      </c>
      <c r="B641" s="3">
        <f>IF(Raw_Data!J641=1,Raw_Data!D641,"")</f>
        <v>3443.97</v>
      </c>
    </row>
    <row r="642" spans="1:2" x14ac:dyDescent="0.25">
      <c r="A642" s="3">
        <f>IF(Raw_Data!J642=0,Raw_Data!D642,"")</f>
        <v>1741.05</v>
      </c>
      <c r="B642" s="3" t="str">
        <f>IF(Raw_Data!J642=1,Raw_Data!D642,"")</f>
        <v/>
      </c>
    </row>
    <row r="643" spans="1:2" x14ac:dyDescent="0.25">
      <c r="A643" s="3" t="str">
        <f>IF(Raw_Data!J643=0,Raw_Data!D643,"")</f>
        <v/>
      </c>
      <c r="B643" s="3">
        <f>IF(Raw_Data!J643=1,Raw_Data!D643,"")</f>
        <v>3185.02</v>
      </c>
    </row>
    <row r="644" spans="1:2" x14ac:dyDescent="0.25">
      <c r="A644" s="3">
        <f>IF(Raw_Data!J644=0,Raw_Data!D644,"")</f>
        <v>3355.56</v>
      </c>
      <c r="B644" s="3" t="str">
        <f>IF(Raw_Data!J644=1,Raw_Data!D644,"")</f>
        <v/>
      </c>
    </row>
    <row r="645" spans="1:2" x14ac:dyDescent="0.25">
      <c r="A645" s="3" t="str">
        <f>IF(Raw_Data!J645=0,Raw_Data!D645,"")</f>
        <v/>
      </c>
      <c r="B645" s="3">
        <f>IF(Raw_Data!J645=1,Raw_Data!D645,"")</f>
        <v>1954.42</v>
      </c>
    </row>
    <row r="646" spans="1:2" x14ac:dyDescent="0.25">
      <c r="A646" s="3">
        <f>IF(Raw_Data!J646=0,Raw_Data!D646,"")</f>
        <v>343.4</v>
      </c>
      <c r="B646" s="3" t="str">
        <f>IF(Raw_Data!J646=1,Raw_Data!D646,"")</f>
        <v/>
      </c>
    </row>
    <row r="647" spans="1:2" x14ac:dyDescent="0.25">
      <c r="A647" s="3">
        <f>IF(Raw_Data!J647=0,Raw_Data!D647,"")</f>
        <v>2208.54</v>
      </c>
      <c r="B647" s="3" t="str">
        <f>IF(Raw_Data!J647=1,Raw_Data!D647,"")</f>
        <v/>
      </c>
    </row>
    <row r="648" spans="1:2" x14ac:dyDescent="0.25">
      <c r="A648" s="3">
        <f>IF(Raw_Data!J648=0,Raw_Data!D648,"")</f>
        <v>596.22</v>
      </c>
      <c r="B648" s="3" t="str">
        <f>IF(Raw_Data!J648=1,Raw_Data!D648,"")</f>
        <v/>
      </c>
    </row>
    <row r="649" spans="1:2" x14ac:dyDescent="0.25">
      <c r="A649" s="3">
        <f>IF(Raw_Data!J649=0,Raw_Data!D649,"")</f>
        <v>1305.03</v>
      </c>
      <c r="B649" s="3" t="str">
        <f>IF(Raw_Data!J649=1,Raw_Data!D649,"")</f>
        <v/>
      </c>
    </row>
    <row r="650" spans="1:2" x14ac:dyDescent="0.25">
      <c r="A650" s="3" t="str">
        <f>IF(Raw_Data!J650=0,Raw_Data!D650,"")</f>
        <v/>
      </c>
      <c r="B650" s="3">
        <f>IF(Raw_Data!J650=1,Raw_Data!D650,"")</f>
        <v>457.33</v>
      </c>
    </row>
    <row r="651" spans="1:2" x14ac:dyDescent="0.25">
      <c r="A651" s="3" t="str">
        <f>IF(Raw_Data!J651=0,Raw_Data!D651,"")</f>
        <v/>
      </c>
      <c r="B651" s="3">
        <f>IF(Raw_Data!J651=1,Raw_Data!D651,"")</f>
        <v>541.58000000000004</v>
      </c>
    </row>
    <row r="652" spans="1:2" x14ac:dyDescent="0.25">
      <c r="A652" s="3" t="str">
        <f>IF(Raw_Data!J652=0,Raw_Data!D652,"")</f>
        <v/>
      </c>
      <c r="B652" s="3">
        <f>IF(Raw_Data!J652=1,Raw_Data!D652,"")</f>
        <v>4096.92</v>
      </c>
    </row>
    <row r="653" spans="1:2" x14ac:dyDescent="0.25">
      <c r="A653" s="3">
        <f>IF(Raw_Data!J653=0,Raw_Data!D653,"")</f>
        <v>1736.54</v>
      </c>
      <c r="B653" s="3" t="str">
        <f>IF(Raw_Data!J653=1,Raw_Data!D653,"")</f>
        <v/>
      </c>
    </row>
    <row r="654" spans="1:2" x14ac:dyDescent="0.25">
      <c r="A654" s="3" t="str">
        <f>IF(Raw_Data!J654=0,Raw_Data!D654,"")</f>
        <v/>
      </c>
      <c r="B654" s="3">
        <f>IF(Raw_Data!J654=1,Raw_Data!D654,"")</f>
        <v>5427.93</v>
      </c>
    </row>
    <row r="655" spans="1:2" x14ac:dyDescent="0.25">
      <c r="A655" s="3">
        <f>IF(Raw_Data!J655=0,Raw_Data!D655,"")</f>
        <v>360.37</v>
      </c>
      <c r="B655" s="3" t="str">
        <f>IF(Raw_Data!J655=1,Raw_Data!D655,"")</f>
        <v/>
      </c>
    </row>
    <row r="656" spans="1:2" x14ac:dyDescent="0.25">
      <c r="A656" s="3">
        <f>IF(Raw_Data!J656=0,Raw_Data!D656,"")</f>
        <v>1494.67</v>
      </c>
      <c r="B656" s="3" t="str">
        <f>IF(Raw_Data!J656=1,Raw_Data!D656,"")</f>
        <v/>
      </c>
    </row>
    <row r="657" spans="1:2" x14ac:dyDescent="0.25">
      <c r="A657" s="3">
        <f>IF(Raw_Data!J657=0,Raw_Data!D657,"")</f>
        <v>780.46</v>
      </c>
      <c r="B657" s="3" t="str">
        <f>IF(Raw_Data!J657=1,Raw_Data!D657,"")</f>
        <v/>
      </c>
    </row>
    <row r="658" spans="1:2" x14ac:dyDescent="0.25">
      <c r="A658" s="3" t="str">
        <f>IF(Raw_Data!J658=0,Raw_Data!D658,"")</f>
        <v/>
      </c>
      <c r="B658" s="3">
        <f>IF(Raw_Data!J658=1,Raw_Data!D658,"")</f>
        <v>1891.55</v>
      </c>
    </row>
    <row r="659" spans="1:2" x14ac:dyDescent="0.25">
      <c r="A659" s="3">
        <f>IF(Raw_Data!J659=0,Raw_Data!D659,"")</f>
        <v>4315.34</v>
      </c>
      <c r="B659" s="3" t="str">
        <f>IF(Raw_Data!J659=1,Raw_Data!D659,"")</f>
        <v/>
      </c>
    </row>
    <row r="660" spans="1:2" x14ac:dyDescent="0.25">
      <c r="A660" s="3">
        <f>IF(Raw_Data!J660=0,Raw_Data!D660,"")</f>
        <v>5289.36</v>
      </c>
      <c r="B660" s="3" t="str">
        <f>IF(Raw_Data!J660=1,Raw_Data!D660,"")</f>
        <v/>
      </c>
    </row>
    <row r="661" spans="1:2" x14ac:dyDescent="0.25">
      <c r="A661" s="3" t="str">
        <f>IF(Raw_Data!J661=0,Raw_Data!D661,"")</f>
        <v/>
      </c>
      <c r="B661" s="3">
        <f>IF(Raw_Data!J661=1,Raw_Data!D661,"")</f>
        <v>1802.91</v>
      </c>
    </row>
    <row r="662" spans="1:2" x14ac:dyDescent="0.25">
      <c r="A662" s="3">
        <f>IF(Raw_Data!J662=0,Raw_Data!D662,"")</f>
        <v>4504.32</v>
      </c>
      <c r="B662" s="3" t="str">
        <f>IF(Raw_Data!J662=1,Raw_Data!D662,"")</f>
        <v/>
      </c>
    </row>
    <row r="663" spans="1:2" x14ac:dyDescent="0.25">
      <c r="A663" s="3">
        <f>IF(Raw_Data!J663=0,Raw_Data!D663,"")</f>
        <v>5079.62</v>
      </c>
      <c r="B663" s="3" t="str">
        <f>IF(Raw_Data!J663=1,Raw_Data!D663,"")</f>
        <v/>
      </c>
    </row>
    <row r="664" spans="1:2" x14ac:dyDescent="0.25">
      <c r="A664" s="3">
        <f>IF(Raw_Data!J664=0,Raw_Data!D664,"")</f>
        <v>3167.3</v>
      </c>
      <c r="B664" s="3" t="str">
        <f>IF(Raw_Data!J664=1,Raw_Data!D664,"")</f>
        <v/>
      </c>
    </row>
    <row r="665" spans="1:2" x14ac:dyDescent="0.25">
      <c r="A665" s="3">
        <f>IF(Raw_Data!J665=0,Raw_Data!D665,"")</f>
        <v>4217.29</v>
      </c>
      <c r="B665" s="3" t="str">
        <f>IF(Raw_Data!J665=1,Raw_Data!D665,"")</f>
        <v/>
      </c>
    </row>
    <row r="666" spans="1:2" x14ac:dyDescent="0.25">
      <c r="A666" s="3">
        <f>IF(Raw_Data!J666=0,Raw_Data!D666,"")</f>
        <v>4304.99</v>
      </c>
      <c r="B666" s="3" t="str">
        <f>IF(Raw_Data!J666=1,Raw_Data!D666,"")</f>
        <v/>
      </c>
    </row>
    <row r="667" spans="1:2" x14ac:dyDescent="0.25">
      <c r="A667" s="3">
        <f>IF(Raw_Data!J667=0,Raw_Data!D667,"")</f>
        <v>3016.62</v>
      </c>
      <c r="B667" s="3" t="str">
        <f>IF(Raw_Data!J667=1,Raw_Data!D667,"")</f>
        <v/>
      </c>
    </row>
    <row r="668" spans="1:2" x14ac:dyDescent="0.25">
      <c r="A668" s="3">
        <f>IF(Raw_Data!J668=0,Raw_Data!D668,"")</f>
        <v>614.37</v>
      </c>
      <c r="B668" s="3" t="str">
        <f>IF(Raw_Data!J668=1,Raw_Data!D668,"")</f>
        <v/>
      </c>
    </row>
    <row r="669" spans="1:2" x14ac:dyDescent="0.25">
      <c r="A669" s="3">
        <f>IF(Raw_Data!J669=0,Raw_Data!D669,"")</f>
        <v>2832.21</v>
      </c>
      <c r="B669" s="3" t="str">
        <f>IF(Raw_Data!J669=1,Raw_Data!D669,"")</f>
        <v/>
      </c>
    </row>
    <row r="670" spans="1:2" x14ac:dyDescent="0.25">
      <c r="A670" s="3">
        <f>IF(Raw_Data!J670=0,Raw_Data!D670,"")</f>
        <v>4751.41</v>
      </c>
      <c r="B670" s="3" t="str">
        <f>IF(Raw_Data!J670=1,Raw_Data!D670,"")</f>
        <v/>
      </c>
    </row>
    <row r="671" spans="1:2" x14ac:dyDescent="0.25">
      <c r="A671" s="3">
        <f>IF(Raw_Data!J671=0,Raw_Data!D671,"")</f>
        <v>1353.61</v>
      </c>
      <c r="B671" s="3" t="str">
        <f>IF(Raw_Data!J671=1,Raw_Data!D671,"")</f>
        <v/>
      </c>
    </row>
    <row r="672" spans="1:2" x14ac:dyDescent="0.25">
      <c r="A672" s="3">
        <f>IF(Raw_Data!J672=0,Raw_Data!D672,"")</f>
        <v>1209.06</v>
      </c>
      <c r="B672" s="3" t="str">
        <f>IF(Raw_Data!J672=1,Raw_Data!D672,"")</f>
        <v/>
      </c>
    </row>
    <row r="673" spans="1:2" x14ac:dyDescent="0.25">
      <c r="A673" s="3" t="str">
        <f>IF(Raw_Data!J673=0,Raw_Data!D673,"")</f>
        <v/>
      </c>
      <c r="B673" s="3">
        <f>IF(Raw_Data!J673=1,Raw_Data!D673,"")</f>
        <v>3180.19</v>
      </c>
    </row>
    <row r="674" spans="1:2" x14ac:dyDescent="0.25">
      <c r="A674" s="3" t="str">
        <f>IF(Raw_Data!J674=0,Raw_Data!D674,"")</f>
        <v/>
      </c>
      <c r="B674" s="3">
        <f>IF(Raw_Data!J674=1,Raw_Data!D674,"")</f>
        <v>1712</v>
      </c>
    </row>
    <row r="675" spans="1:2" x14ac:dyDescent="0.25">
      <c r="A675" s="3">
        <f>IF(Raw_Data!J675=0,Raw_Data!D675,"")</f>
        <v>2789.27</v>
      </c>
      <c r="B675" s="3" t="str">
        <f>IF(Raw_Data!J675=1,Raw_Data!D675,"")</f>
        <v/>
      </c>
    </row>
    <row r="676" spans="1:2" x14ac:dyDescent="0.25">
      <c r="A676" s="3">
        <f>IF(Raw_Data!J676=0,Raw_Data!D676,"")</f>
        <v>1797.36</v>
      </c>
      <c r="B676" s="3" t="str">
        <f>IF(Raw_Data!J676=1,Raw_Data!D676,"")</f>
        <v/>
      </c>
    </row>
    <row r="677" spans="1:2" x14ac:dyDescent="0.25">
      <c r="A677" s="3">
        <f>IF(Raw_Data!J677=0,Raw_Data!D677,"")</f>
        <v>765.16</v>
      </c>
      <c r="B677" s="3" t="str">
        <f>IF(Raw_Data!J677=1,Raw_Data!D677,"")</f>
        <v/>
      </c>
    </row>
    <row r="678" spans="1:2" x14ac:dyDescent="0.25">
      <c r="A678" s="3" t="str">
        <f>IF(Raw_Data!J678=0,Raw_Data!D678,"")</f>
        <v/>
      </c>
      <c r="B678" s="3">
        <f>IF(Raw_Data!J678=1,Raw_Data!D678,"")</f>
        <v>5240.8900000000003</v>
      </c>
    </row>
    <row r="679" spans="1:2" x14ac:dyDescent="0.25">
      <c r="A679" s="3">
        <f>IF(Raw_Data!J679=0,Raw_Data!D679,"")</f>
        <v>5328.61</v>
      </c>
      <c r="B679" s="3" t="str">
        <f>IF(Raw_Data!J679=1,Raw_Data!D679,"")</f>
        <v/>
      </c>
    </row>
    <row r="680" spans="1:2" x14ac:dyDescent="0.25">
      <c r="A680" s="3">
        <f>IF(Raw_Data!J680=0,Raw_Data!D680,"")</f>
        <v>2031.28</v>
      </c>
      <c r="B680" s="3" t="str">
        <f>IF(Raw_Data!J680=1,Raw_Data!D680,"")</f>
        <v/>
      </c>
    </row>
    <row r="681" spans="1:2" x14ac:dyDescent="0.25">
      <c r="A681" s="3">
        <f>IF(Raw_Data!J681=0,Raw_Data!D681,"")</f>
        <v>2641.49</v>
      </c>
      <c r="B681" s="3" t="str">
        <f>IF(Raw_Data!J681=1,Raw_Data!D681,"")</f>
        <v/>
      </c>
    </row>
    <row r="682" spans="1:2" x14ac:dyDescent="0.25">
      <c r="A682" s="3" t="str">
        <f>IF(Raw_Data!J682=0,Raw_Data!D682,"")</f>
        <v/>
      </c>
      <c r="B682" s="3">
        <f>IF(Raw_Data!J682=1,Raw_Data!D682,"")</f>
        <v>5988.79</v>
      </c>
    </row>
    <row r="683" spans="1:2" x14ac:dyDescent="0.25">
      <c r="A683" s="3">
        <f>IF(Raw_Data!J683=0,Raw_Data!D683,"")</f>
        <v>758.49</v>
      </c>
      <c r="B683" s="3" t="str">
        <f>IF(Raw_Data!J683=1,Raw_Data!D683,"")</f>
        <v/>
      </c>
    </row>
    <row r="684" spans="1:2" x14ac:dyDescent="0.25">
      <c r="A684" s="3">
        <f>IF(Raw_Data!J684=0,Raw_Data!D684,"")</f>
        <v>11132.05</v>
      </c>
      <c r="B684" s="3" t="str">
        <f>IF(Raw_Data!J684=1,Raw_Data!D684,"")</f>
        <v/>
      </c>
    </row>
    <row r="685" spans="1:2" x14ac:dyDescent="0.25">
      <c r="A685" s="3">
        <f>IF(Raw_Data!J685=0,Raw_Data!D685,"")</f>
        <v>3113.22</v>
      </c>
      <c r="B685" s="3" t="str">
        <f>IF(Raw_Data!J685=1,Raw_Data!D685,"")</f>
        <v/>
      </c>
    </row>
    <row r="686" spans="1:2" x14ac:dyDescent="0.25">
      <c r="A686" s="3">
        <f>IF(Raw_Data!J686=0,Raw_Data!D686,"")</f>
        <v>667.35</v>
      </c>
      <c r="B686" s="3" t="str">
        <f>IF(Raw_Data!J686=1,Raw_Data!D686,"")</f>
        <v/>
      </c>
    </row>
    <row r="687" spans="1:2" x14ac:dyDescent="0.25">
      <c r="A687" s="3" t="str">
        <f>IF(Raw_Data!J687=0,Raw_Data!D687,"")</f>
        <v/>
      </c>
      <c r="B687" s="3">
        <f>IF(Raw_Data!J687=1,Raw_Data!D687,"")</f>
        <v>994.64</v>
      </c>
    </row>
    <row r="688" spans="1:2" x14ac:dyDescent="0.25">
      <c r="A688" s="3">
        <f>IF(Raw_Data!J688=0,Raw_Data!D688,"")</f>
        <v>890.46</v>
      </c>
      <c r="B688" s="3" t="str">
        <f>IF(Raw_Data!J688=1,Raw_Data!D688,"")</f>
        <v/>
      </c>
    </row>
    <row r="689" spans="1:2" x14ac:dyDescent="0.25">
      <c r="A689" s="3">
        <f>IF(Raw_Data!J689=0,Raw_Data!D689,"")</f>
        <v>2400.63</v>
      </c>
      <c r="B689" s="3" t="str">
        <f>IF(Raw_Data!J689=1,Raw_Data!D689,"")</f>
        <v/>
      </c>
    </row>
    <row r="690" spans="1:2" x14ac:dyDescent="0.25">
      <c r="A690" s="3">
        <f>IF(Raw_Data!J690=0,Raw_Data!D690,"")</f>
        <v>2103.92</v>
      </c>
      <c r="B690" s="3" t="str">
        <f>IF(Raw_Data!J690=1,Raw_Data!D690,"")</f>
        <v/>
      </c>
    </row>
    <row r="691" spans="1:2" x14ac:dyDescent="0.25">
      <c r="A691" s="3" t="str">
        <f>IF(Raw_Data!J691=0,Raw_Data!D691,"")</f>
        <v/>
      </c>
      <c r="B691" s="3">
        <f>IF(Raw_Data!J691=1,Raw_Data!D691,"")</f>
        <v>3905.53</v>
      </c>
    </row>
    <row r="692" spans="1:2" x14ac:dyDescent="0.25">
      <c r="A692" s="3">
        <f>IF(Raw_Data!J692=0,Raw_Data!D692,"")</f>
        <v>1684.83</v>
      </c>
      <c r="B692" s="3" t="str">
        <f>IF(Raw_Data!J692=1,Raw_Data!D692,"")</f>
        <v/>
      </c>
    </row>
    <row r="693" spans="1:2" x14ac:dyDescent="0.25">
      <c r="A693" s="3" t="str">
        <f>IF(Raw_Data!J693=0,Raw_Data!D693,"")</f>
        <v/>
      </c>
      <c r="B693" s="3">
        <f>IF(Raw_Data!J693=1,Raw_Data!D693,"")</f>
        <v>1606.46</v>
      </c>
    </row>
    <row r="694" spans="1:2" x14ac:dyDescent="0.25">
      <c r="A694" s="3">
        <f>IF(Raw_Data!J694=0,Raw_Data!D694,"")</f>
        <v>2138.4699999999998</v>
      </c>
      <c r="B694" s="3" t="str">
        <f>IF(Raw_Data!J694=1,Raw_Data!D694,"")</f>
        <v/>
      </c>
    </row>
    <row r="695" spans="1:2" x14ac:dyDescent="0.25">
      <c r="A695" s="3">
        <f>IF(Raw_Data!J695=0,Raw_Data!D695,"")</f>
        <v>1077.3900000000001</v>
      </c>
      <c r="B695" s="3" t="str">
        <f>IF(Raw_Data!J695=1,Raw_Data!D695,"")</f>
        <v/>
      </c>
    </row>
    <row r="696" spans="1:2" x14ac:dyDescent="0.25">
      <c r="A696" s="3" t="str">
        <f>IF(Raw_Data!J696=0,Raw_Data!D696,"")</f>
        <v/>
      </c>
      <c r="B696" s="3">
        <f>IF(Raw_Data!J696=1,Raw_Data!D696,"")</f>
        <v>3142.4</v>
      </c>
    </row>
    <row r="697" spans="1:2" x14ac:dyDescent="0.25">
      <c r="A697" s="3">
        <f>IF(Raw_Data!J697=0,Raw_Data!D697,"")</f>
        <v>2162.96</v>
      </c>
      <c r="B697" s="3" t="str">
        <f>IF(Raw_Data!J697=1,Raw_Data!D697,"")</f>
        <v/>
      </c>
    </row>
    <row r="698" spans="1:2" x14ac:dyDescent="0.25">
      <c r="A698" s="3">
        <f>IF(Raw_Data!J698=0,Raw_Data!D698,"")</f>
        <v>8285.1200000000008</v>
      </c>
      <c r="B698" s="3" t="str">
        <f>IF(Raw_Data!J698=1,Raw_Data!D698,"")</f>
        <v/>
      </c>
    </row>
    <row r="699" spans="1:2" x14ac:dyDescent="0.25">
      <c r="A699" s="3">
        <f>IF(Raw_Data!J699=0,Raw_Data!D699,"")</f>
        <v>5411.17</v>
      </c>
      <c r="B699" s="3" t="str">
        <f>IF(Raw_Data!J699=1,Raw_Data!D699,"")</f>
        <v/>
      </c>
    </row>
    <row r="700" spans="1:2" x14ac:dyDescent="0.25">
      <c r="A700" s="3">
        <f>IF(Raw_Data!J700=0,Raw_Data!D700,"")</f>
        <v>1921.56</v>
      </c>
      <c r="B700" s="3" t="str">
        <f>IF(Raw_Data!J700=1,Raw_Data!D700,"")</f>
        <v/>
      </c>
    </row>
    <row r="701" spans="1:2" x14ac:dyDescent="0.25">
      <c r="A701" s="3" t="str">
        <f>IF(Raw_Data!J701=0,Raw_Data!D701,"")</f>
        <v/>
      </c>
      <c r="B701" s="3">
        <f>IF(Raw_Data!J701=1,Raw_Data!D701,"")</f>
        <v>3577.51</v>
      </c>
    </row>
    <row r="702" spans="1:2" x14ac:dyDescent="0.25">
      <c r="A702" s="3" t="str">
        <f>IF(Raw_Data!J702=0,Raw_Data!D702,"")</f>
        <v/>
      </c>
      <c r="B702" s="3">
        <f>IF(Raw_Data!J702=1,Raw_Data!D702,"")</f>
        <v>2765.63</v>
      </c>
    </row>
    <row r="703" spans="1:2" x14ac:dyDescent="0.25">
      <c r="A703" s="3">
        <f>IF(Raw_Data!J703=0,Raw_Data!D703,"")</f>
        <v>3495.6</v>
      </c>
      <c r="B703" s="3" t="str">
        <f>IF(Raw_Data!J703=1,Raw_Data!D703,"")</f>
        <v/>
      </c>
    </row>
    <row r="704" spans="1:2" x14ac:dyDescent="0.25">
      <c r="A704" s="3" t="str">
        <f>IF(Raw_Data!J704=0,Raw_Data!D704,"")</f>
        <v/>
      </c>
      <c r="B704" s="3">
        <f>IF(Raw_Data!J704=1,Raw_Data!D704,"")</f>
        <v>1593.13</v>
      </c>
    </row>
    <row r="705" spans="1:2" x14ac:dyDescent="0.25">
      <c r="A705" s="3">
        <f>IF(Raw_Data!J705=0,Raw_Data!D705,"")</f>
        <v>3578.99</v>
      </c>
      <c r="B705" s="3" t="str">
        <f>IF(Raw_Data!J705=1,Raw_Data!D705,"")</f>
        <v/>
      </c>
    </row>
    <row r="706" spans="1:2" x14ac:dyDescent="0.25">
      <c r="A706" s="3">
        <f>IF(Raw_Data!J706=0,Raw_Data!D706,"")</f>
        <v>2418.1799999999998</v>
      </c>
      <c r="B706" s="3" t="str">
        <f>IF(Raw_Data!J706=1,Raw_Data!D706,"")</f>
        <v/>
      </c>
    </row>
    <row r="707" spans="1:2" x14ac:dyDescent="0.25">
      <c r="A707" s="3">
        <f>IF(Raw_Data!J707=0,Raw_Data!D707,"")</f>
        <v>1669.83</v>
      </c>
      <c r="B707" s="3" t="str">
        <f>IF(Raw_Data!J707=1,Raw_Data!D707,"")</f>
        <v/>
      </c>
    </row>
    <row r="708" spans="1:2" x14ac:dyDescent="0.25">
      <c r="A708" s="3" t="str">
        <f>IF(Raw_Data!J708=0,Raw_Data!D708,"")</f>
        <v/>
      </c>
      <c r="B708" s="3">
        <f>IF(Raw_Data!J708=1,Raw_Data!D708,"")</f>
        <v>2018.46</v>
      </c>
    </row>
    <row r="709" spans="1:2" x14ac:dyDescent="0.25">
      <c r="A709" s="3">
        <f>IF(Raw_Data!J709=0,Raw_Data!D709,"")</f>
        <v>1553.79</v>
      </c>
      <c r="B709" s="3" t="str">
        <f>IF(Raw_Data!J709=1,Raw_Data!D709,"")</f>
        <v/>
      </c>
    </row>
    <row r="710" spans="1:2" x14ac:dyDescent="0.25">
      <c r="A710" s="3">
        <f>IF(Raw_Data!J710=0,Raw_Data!D710,"")</f>
        <v>4287.62</v>
      </c>
      <c r="B710" s="3" t="str">
        <f>IF(Raw_Data!J710=1,Raw_Data!D710,"")</f>
        <v/>
      </c>
    </row>
    <row r="711" spans="1:2" x14ac:dyDescent="0.25">
      <c r="A711" s="3" t="str">
        <f>IF(Raw_Data!J711=0,Raw_Data!D711,"")</f>
        <v/>
      </c>
      <c r="B711" s="3">
        <f>IF(Raw_Data!J711=1,Raw_Data!D711,"")</f>
        <v>1619.26</v>
      </c>
    </row>
    <row r="712" spans="1:2" x14ac:dyDescent="0.25">
      <c r="A712" s="3">
        <f>IF(Raw_Data!J712=0,Raw_Data!D712,"")</f>
        <v>2507.25</v>
      </c>
      <c r="B712" s="3" t="str">
        <f>IF(Raw_Data!J712=1,Raw_Data!D712,"")</f>
        <v/>
      </c>
    </row>
    <row r="713" spans="1:2" x14ac:dyDescent="0.25">
      <c r="A713" s="3">
        <f>IF(Raw_Data!J713=0,Raw_Data!D713,"")</f>
        <v>3026.39</v>
      </c>
      <c r="B713" s="3" t="str">
        <f>IF(Raw_Data!J713=1,Raw_Data!D713,"")</f>
        <v/>
      </c>
    </row>
    <row r="714" spans="1:2" x14ac:dyDescent="0.25">
      <c r="A714" s="3" t="str">
        <f>IF(Raw_Data!J714=0,Raw_Data!D714,"")</f>
        <v/>
      </c>
      <c r="B714" s="3">
        <f>IF(Raw_Data!J714=1,Raw_Data!D714,"")</f>
        <v>7728.13</v>
      </c>
    </row>
    <row r="715" spans="1:2" x14ac:dyDescent="0.25">
      <c r="A715" s="3">
        <f>IF(Raw_Data!J715=0,Raw_Data!D715,"")</f>
        <v>761.77</v>
      </c>
      <c r="B715" s="3" t="str">
        <f>IF(Raw_Data!J715=1,Raw_Data!D715,"")</f>
        <v/>
      </c>
    </row>
    <row r="716" spans="1:2" x14ac:dyDescent="0.25">
      <c r="A716" s="3">
        <f>IF(Raw_Data!J716=0,Raw_Data!D716,"")</f>
        <v>1790.83</v>
      </c>
      <c r="B716" s="3" t="str">
        <f>IF(Raw_Data!J716=1,Raw_Data!D716,"")</f>
        <v/>
      </c>
    </row>
    <row r="717" spans="1:2" x14ac:dyDescent="0.25">
      <c r="A717" s="3" t="str">
        <f>IF(Raw_Data!J717=0,Raw_Data!D717,"")</f>
        <v/>
      </c>
      <c r="B717" s="3">
        <f>IF(Raw_Data!J717=1,Raw_Data!D717,"")</f>
        <v>3501.67</v>
      </c>
    </row>
    <row r="718" spans="1:2" x14ac:dyDescent="0.25">
      <c r="A718" s="3" t="str">
        <f>IF(Raw_Data!J718=0,Raw_Data!D718,"")</f>
        <v/>
      </c>
      <c r="B718" s="3">
        <f>IF(Raw_Data!J718=1,Raw_Data!D718,"")</f>
        <v>2082.58</v>
      </c>
    </row>
    <row r="719" spans="1:2" x14ac:dyDescent="0.25">
      <c r="A719" s="3" t="str">
        <f>IF(Raw_Data!J719=0,Raw_Data!D719,"")</f>
        <v/>
      </c>
      <c r="B719" s="3">
        <f>IF(Raw_Data!J719=1,Raw_Data!D719,"")</f>
        <v>1315.24</v>
      </c>
    </row>
    <row r="720" spans="1:2" x14ac:dyDescent="0.25">
      <c r="A720" s="3">
        <f>IF(Raw_Data!J720=0,Raw_Data!D720,"")</f>
        <v>1055.67</v>
      </c>
      <c r="B720" s="3" t="str">
        <f>IF(Raw_Data!J720=1,Raw_Data!D720,"")</f>
        <v/>
      </c>
    </row>
    <row r="721" spans="1:2" x14ac:dyDescent="0.25">
      <c r="A721" s="3">
        <f>IF(Raw_Data!J721=0,Raw_Data!D721,"")</f>
        <v>2211.5</v>
      </c>
      <c r="B721" s="3" t="str">
        <f>IF(Raw_Data!J721=1,Raw_Data!D721,"")</f>
        <v/>
      </c>
    </row>
    <row r="722" spans="1:2" x14ac:dyDescent="0.25">
      <c r="A722" s="3">
        <f>IF(Raw_Data!J722=0,Raw_Data!D722,"")</f>
        <v>2239.12</v>
      </c>
      <c r="B722" s="3" t="str">
        <f>IF(Raw_Data!J722=1,Raw_Data!D722,"")</f>
        <v/>
      </c>
    </row>
    <row r="723" spans="1:2" x14ac:dyDescent="0.25">
      <c r="A723" s="3">
        <f>IF(Raw_Data!J723=0,Raw_Data!D723,"")</f>
        <v>7105.61</v>
      </c>
      <c r="B723" s="3" t="str">
        <f>IF(Raw_Data!J723=1,Raw_Data!D723,"")</f>
        <v/>
      </c>
    </row>
    <row r="724" spans="1:2" x14ac:dyDescent="0.25">
      <c r="A724" s="3">
        <f>IF(Raw_Data!J724=0,Raw_Data!D724,"")</f>
        <v>8478.16</v>
      </c>
      <c r="B724" s="3" t="str">
        <f>IF(Raw_Data!J724=1,Raw_Data!D724,"")</f>
        <v/>
      </c>
    </row>
    <row r="725" spans="1:2" x14ac:dyDescent="0.25">
      <c r="A725" s="3" t="str">
        <f>IF(Raw_Data!J725=0,Raw_Data!D725,"")</f>
        <v/>
      </c>
      <c r="B725" s="3">
        <f>IF(Raw_Data!J725=1,Raw_Data!D725,"")</f>
        <v>3516.68</v>
      </c>
    </row>
    <row r="726" spans="1:2" x14ac:dyDescent="0.25">
      <c r="A726" s="3">
        <f>IF(Raw_Data!J726=0,Raw_Data!D726,"")</f>
        <v>2434.41</v>
      </c>
      <c r="B726" s="3" t="str">
        <f>IF(Raw_Data!J726=1,Raw_Data!D726,"")</f>
        <v/>
      </c>
    </row>
    <row r="727" spans="1:2" x14ac:dyDescent="0.25">
      <c r="A727" s="3">
        <f>IF(Raw_Data!J727=0,Raw_Data!D727,"")</f>
        <v>2072.0300000000002</v>
      </c>
      <c r="B727" s="3" t="str">
        <f>IF(Raw_Data!J727=1,Raw_Data!D727,"")</f>
        <v/>
      </c>
    </row>
    <row r="728" spans="1:2" x14ac:dyDescent="0.25">
      <c r="A728" s="3" t="str">
        <f>IF(Raw_Data!J728=0,Raw_Data!D728,"")</f>
        <v/>
      </c>
      <c r="B728" s="3">
        <f>IF(Raw_Data!J728=1,Raw_Data!D728,"")</f>
        <v>1512.07</v>
      </c>
    </row>
    <row r="729" spans="1:2" x14ac:dyDescent="0.25">
      <c r="A729" s="3">
        <f>IF(Raw_Data!J729=0,Raw_Data!D729,"")</f>
        <v>3992.32</v>
      </c>
      <c r="B729" s="3" t="str">
        <f>IF(Raw_Data!J729=1,Raw_Data!D729,"")</f>
        <v/>
      </c>
    </row>
    <row r="730" spans="1:2" x14ac:dyDescent="0.25">
      <c r="A730" s="3">
        <f>IF(Raw_Data!J730=0,Raw_Data!D730,"")</f>
        <v>4316.07</v>
      </c>
      <c r="B730" s="3" t="str">
        <f>IF(Raw_Data!J730=1,Raw_Data!D730,"")</f>
        <v/>
      </c>
    </row>
    <row r="731" spans="1:2" x14ac:dyDescent="0.25">
      <c r="A731" s="3">
        <f>IF(Raw_Data!J731=0,Raw_Data!D731,"")</f>
        <v>674.08</v>
      </c>
      <c r="B731" s="3" t="str">
        <f>IF(Raw_Data!J731=1,Raw_Data!D731,"")</f>
        <v/>
      </c>
    </row>
    <row r="732" spans="1:2" x14ac:dyDescent="0.25">
      <c r="A732" s="3">
        <f>IF(Raw_Data!J732=0,Raw_Data!D732,"")</f>
        <v>5956.31</v>
      </c>
      <c r="B732" s="3" t="str">
        <f>IF(Raw_Data!J732=1,Raw_Data!D732,"")</f>
        <v/>
      </c>
    </row>
    <row r="733" spans="1:2" x14ac:dyDescent="0.25">
      <c r="A733" s="3" t="str">
        <f>IF(Raw_Data!J733=0,Raw_Data!D733,"")</f>
        <v/>
      </c>
      <c r="B733" s="3">
        <f>IF(Raw_Data!J733=1,Raw_Data!D733,"")</f>
        <v>6751.49</v>
      </c>
    </row>
    <row r="734" spans="1:2" x14ac:dyDescent="0.25">
      <c r="A734" s="3">
        <f>IF(Raw_Data!J734=0,Raw_Data!D734,"")</f>
        <v>3647.16</v>
      </c>
      <c r="B734" s="3" t="str">
        <f>IF(Raw_Data!J734=1,Raw_Data!D734,"")</f>
        <v/>
      </c>
    </row>
    <row r="735" spans="1:2" x14ac:dyDescent="0.25">
      <c r="A735" s="3">
        <f>IF(Raw_Data!J735=0,Raw_Data!D735,"")</f>
        <v>1289.21</v>
      </c>
      <c r="B735" s="3" t="str">
        <f>IF(Raw_Data!J735=1,Raw_Data!D735,"")</f>
        <v/>
      </c>
    </row>
    <row r="736" spans="1:2" x14ac:dyDescent="0.25">
      <c r="A736" s="3" t="str">
        <f>IF(Raw_Data!J736=0,Raw_Data!D736,"")</f>
        <v/>
      </c>
      <c r="B736" s="3">
        <f>IF(Raw_Data!J736=1,Raw_Data!D736,"")</f>
        <v>1948.23</v>
      </c>
    </row>
    <row r="737" spans="1:2" x14ac:dyDescent="0.25">
      <c r="A737" s="3">
        <f>IF(Raw_Data!J737=0,Raw_Data!D737,"")</f>
        <v>970.01</v>
      </c>
      <c r="B737" s="3" t="str">
        <f>IF(Raw_Data!J737=1,Raw_Data!D737,"")</f>
        <v/>
      </c>
    </row>
    <row r="738" spans="1:2" x14ac:dyDescent="0.25">
      <c r="A738" s="3">
        <f>IF(Raw_Data!J738=0,Raw_Data!D738,"")</f>
        <v>3086.61</v>
      </c>
      <c r="B738" s="3" t="str">
        <f>IF(Raw_Data!J738=1,Raw_Data!D738,"")</f>
        <v/>
      </c>
    </row>
    <row r="739" spans="1:2" x14ac:dyDescent="0.25">
      <c r="A739" s="3">
        <f>IF(Raw_Data!J739=0,Raw_Data!D739,"")</f>
        <v>4917.1400000000003</v>
      </c>
      <c r="B739" s="3" t="str">
        <f>IF(Raw_Data!J739=1,Raw_Data!D739,"")</f>
        <v/>
      </c>
    </row>
    <row r="740" spans="1:2" x14ac:dyDescent="0.25">
      <c r="A740" s="3">
        <f>IF(Raw_Data!J740=0,Raw_Data!D740,"")</f>
        <v>1188.47</v>
      </c>
      <c r="B740" s="3" t="str">
        <f>IF(Raw_Data!J740=1,Raw_Data!D740,"")</f>
        <v/>
      </c>
    </row>
    <row r="741" spans="1:2" x14ac:dyDescent="0.25">
      <c r="A741" s="3">
        <f>IF(Raw_Data!J741=0,Raw_Data!D741,"")</f>
        <v>2193.0100000000002</v>
      </c>
      <c r="B741" s="3" t="str">
        <f>IF(Raw_Data!J741=1,Raw_Data!D741,"")</f>
        <v/>
      </c>
    </row>
    <row r="742" spans="1:2" x14ac:dyDescent="0.25">
      <c r="A742" s="3">
        <f>IF(Raw_Data!J742=0,Raw_Data!D742,"")</f>
        <v>4437.95</v>
      </c>
      <c r="B742" s="3" t="str">
        <f>IF(Raw_Data!J742=1,Raw_Data!D742,"")</f>
        <v/>
      </c>
    </row>
    <row r="743" spans="1:2" x14ac:dyDescent="0.25">
      <c r="A743" s="3" t="str">
        <f>IF(Raw_Data!J743=0,Raw_Data!D743,"")</f>
        <v/>
      </c>
      <c r="B743" s="3">
        <f>IF(Raw_Data!J743=1,Raw_Data!D743,"")</f>
        <v>4189.99</v>
      </c>
    </row>
    <row r="744" spans="1:2" x14ac:dyDescent="0.25">
      <c r="A744" s="3">
        <f>IF(Raw_Data!J744=0,Raw_Data!D744,"")</f>
        <v>4920.9399999999996</v>
      </c>
      <c r="B744" s="3" t="str">
        <f>IF(Raw_Data!J744=1,Raw_Data!D744,"")</f>
        <v/>
      </c>
    </row>
    <row r="745" spans="1:2" x14ac:dyDescent="0.25">
      <c r="A745" s="3">
        <f>IF(Raw_Data!J745=0,Raw_Data!D745,"")</f>
        <v>1067.33</v>
      </c>
      <c r="B745" s="3" t="str">
        <f>IF(Raw_Data!J745=1,Raw_Data!D745,"")</f>
        <v/>
      </c>
    </row>
    <row r="746" spans="1:2" x14ac:dyDescent="0.25">
      <c r="A746" s="3">
        <f>IF(Raw_Data!J746=0,Raw_Data!D746,"")</f>
        <v>2123.89</v>
      </c>
      <c r="B746" s="3" t="str">
        <f>IF(Raw_Data!J746=1,Raw_Data!D746,"")</f>
        <v/>
      </c>
    </row>
    <row r="747" spans="1:2" x14ac:dyDescent="0.25">
      <c r="A747" s="3">
        <f>IF(Raw_Data!J747=0,Raw_Data!D747,"")</f>
        <v>1760.64</v>
      </c>
      <c r="B747" s="3" t="str">
        <f>IF(Raw_Data!J747=1,Raw_Data!D747,"")</f>
        <v/>
      </c>
    </row>
    <row r="748" spans="1:2" x14ac:dyDescent="0.25">
      <c r="A748" s="3">
        <f>IF(Raw_Data!J748=0,Raw_Data!D748,"")</f>
        <v>777.51</v>
      </c>
      <c r="B748" s="3" t="str">
        <f>IF(Raw_Data!J748=1,Raw_Data!D748,"")</f>
        <v/>
      </c>
    </row>
    <row r="749" spans="1:2" x14ac:dyDescent="0.25">
      <c r="A749" s="3">
        <f>IF(Raw_Data!J749=0,Raw_Data!D749,"")</f>
        <v>1065.28</v>
      </c>
      <c r="B749" s="3" t="str">
        <f>IF(Raw_Data!J749=1,Raw_Data!D749,"")</f>
        <v/>
      </c>
    </row>
    <row r="750" spans="1:2" x14ac:dyDescent="0.25">
      <c r="A750" s="3">
        <f>IF(Raw_Data!J750=0,Raw_Data!D750,"")</f>
        <v>2669.64</v>
      </c>
      <c r="B750" s="3" t="str">
        <f>IF(Raw_Data!J750=1,Raw_Data!D750,"")</f>
        <v/>
      </c>
    </row>
    <row r="751" spans="1:2" x14ac:dyDescent="0.25">
      <c r="A751" s="3" t="str">
        <f>IF(Raw_Data!J751=0,Raw_Data!D751,"")</f>
        <v/>
      </c>
      <c r="B751" s="3">
        <f>IF(Raw_Data!J751=1,Raw_Data!D751,"")</f>
        <v>2048.35</v>
      </c>
    </row>
    <row r="752" spans="1:2" x14ac:dyDescent="0.25">
      <c r="A752" s="3" t="str">
        <f>IF(Raw_Data!J752=0,Raw_Data!D752,"")</f>
        <v/>
      </c>
      <c r="B752" s="3">
        <f>IF(Raw_Data!J752=1,Raw_Data!D752,"")</f>
        <v>2576.14</v>
      </c>
    </row>
    <row r="753" spans="1:2" x14ac:dyDescent="0.25">
      <c r="A753" s="3">
        <f>IF(Raw_Data!J753=0,Raw_Data!D753,"")</f>
        <v>1864.56</v>
      </c>
      <c r="B753" s="3" t="str">
        <f>IF(Raw_Data!J753=1,Raw_Data!D753,"")</f>
        <v/>
      </c>
    </row>
    <row r="754" spans="1:2" x14ac:dyDescent="0.25">
      <c r="A754" s="3">
        <f>IF(Raw_Data!J754=0,Raw_Data!D754,"")</f>
        <v>835.62</v>
      </c>
      <c r="B754" s="3" t="str">
        <f>IF(Raw_Data!J754=1,Raw_Data!D754,"")</f>
        <v/>
      </c>
    </row>
    <row r="755" spans="1:2" x14ac:dyDescent="0.25">
      <c r="A755" s="3">
        <f>IF(Raw_Data!J755=0,Raw_Data!D755,"")</f>
        <v>7400.81</v>
      </c>
      <c r="B755" s="3" t="str">
        <f>IF(Raw_Data!J755=1,Raw_Data!D755,"")</f>
        <v/>
      </c>
    </row>
    <row r="756" spans="1:2" x14ac:dyDescent="0.25">
      <c r="A756" s="3" t="str">
        <f>IF(Raw_Data!J756=0,Raw_Data!D756,"")</f>
        <v/>
      </c>
      <c r="B756" s="3">
        <f>IF(Raw_Data!J756=1,Raw_Data!D756,"")</f>
        <v>1126.68</v>
      </c>
    </row>
    <row r="757" spans="1:2" x14ac:dyDescent="0.25">
      <c r="A757" s="3" t="str">
        <f>IF(Raw_Data!J757=0,Raw_Data!D757,"")</f>
        <v/>
      </c>
      <c r="B757" s="3">
        <f>IF(Raw_Data!J757=1,Raw_Data!D757,"")</f>
        <v>377.69</v>
      </c>
    </row>
    <row r="758" spans="1:2" x14ac:dyDescent="0.25">
      <c r="A758" s="3">
        <f>IF(Raw_Data!J758=0,Raw_Data!D758,"")</f>
        <v>5046.4399999999996</v>
      </c>
      <c r="B758" s="3" t="str">
        <f>IF(Raw_Data!J758=1,Raw_Data!D758,"")</f>
        <v/>
      </c>
    </row>
    <row r="759" spans="1:2" x14ac:dyDescent="0.25">
      <c r="A759" s="3">
        <f>IF(Raw_Data!J759=0,Raw_Data!D759,"")</f>
        <v>1077.76</v>
      </c>
      <c r="B759" s="3" t="str">
        <f>IF(Raw_Data!J759=1,Raw_Data!D759,"")</f>
        <v/>
      </c>
    </row>
    <row r="760" spans="1:2" x14ac:dyDescent="0.25">
      <c r="A760" s="3">
        <f>IF(Raw_Data!J760=0,Raw_Data!D760,"")</f>
        <v>1137.5999999999999</v>
      </c>
      <c r="B760" s="3" t="str">
        <f>IF(Raw_Data!J760=1,Raw_Data!D760,"")</f>
        <v/>
      </c>
    </row>
    <row r="761" spans="1:2" x14ac:dyDescent="0.25">
      <c r="A761" s="3" t="str">
        <f>IF(Raw_Data!J761=0,Raw_Data!D761,"")</f>
        <v/>
      </c>
      <c r="B761" s="3">
        <f>IF(Raw_Data!J761=1,Raw_Data!D761,"")</f>
        <v>3041.59</v>
      </c>
    </row>
    <row r="762" spans="1:2" x14ac:dyDescent="0.25">
      <c r="A762" s="3">
        <f>IF(Raw_Data!J762=0,Raw_Data!D762,"")</f>
        <v>5786.23</v>
      </c>
      <c r="B762" s="3" t="str">
        <f>IF(Raw_Data!J762=1,Raw_Data!D762,"")</f>
        <v/>
      </c>
    </row>
    <row r="763" spans="1:2" x14ac:dyDescent="0.25">
      <c r="A763" s="3">
        <f>IF(Raw_Data!J763=0,Raw_Data!D763,"")</f>
        <v>1330.86</v>
      </c>
      <c r="B763" s="3" t="str">
        <f>IF(Raw_Data!J763=1,Raw_Data!D763,"")</f>
        <v/>
      </c>
    </row>
    <row r="764" spans="1:2" x14ac:dyDescent="0.25">
      <c r="A764" s="3">
        <f>IF(Raw_Data!J764=0,Raw_Data!D764,"")</f>
        <v>143.94</v>
      </c>
      <c r="B764" s="3" t="str">
        <f>IF(Raw_Data!J764=1,Raw_Data!D764,"")</f>
        <v/>
      </c>
    </row>
    <row r="765" spans="1:2" x14ac:dyDescent="0.25">
      <c r="A765" s="3">
        <f>IF(Raw_Data!J765=0,Raw_Data!D765,"")</f>
        <v>637.69000000000005</v>
      </c>
      <c r="B765" s="3" t="str">
        <f>IF(Raw_Data!J765=1,Raw_Data!D765,"")</f>
        <v/>
      </c>
    </row>
    <row r="766" spans="1:2" x14ac:dyDescent="0.25">
      <c r="A766" s="3">
        <f>IF(Raw_Data!J766=0,Raw_Data!D766,"")</f>
        <v>1206.51</v>
      </c>
      <c r="B766" s="3" t="str">
        <f>IF(Raw_Data!J766=1,Raw_Data!D766,"")</f>
        <v/>
      </c>
    </row>
    <row r="767" spans="1:2" x14ac:dyDescent="0.25">
      <c r="A767" s="3">
        <f>IF(Raw_Data!J767=0,Raw_Data!D767,"")</f>
        <v>3289.46</v>
      </c>
      <c r="B767" s="3" t="str">
        <f>IF(Raw_Data!J767=1,Raw_Data!D767,"")</f>
        <v/>
      </c>
    </row>
    <row r="768" spans="1:2" x14ac:dyDescent="0.25">
      <c r="A768" s="3" t="str">
        <f>IF(Raw_Data!J768=0,Raw_Data!D768,"")</f>
        <v/>
      </c>
      <c r="B768" s="3">
        <f>IF(Raw_Data!J768=1,Raw_Data!D768,"")</f>
        <v>1758.96</v>
      </c>
    </row>
    <row r="769" spans="1:2" x14ac:dyDescent="0.25">
      <c r="A769" s="3" t="str">
        <f>IF(Raw_Data!J769=0,Raw_Data!D769,"")</f>
        <v/>
      </c>
      <c r="B769" s="3">
        <f>IF(Raw_Data!J769=1,Raw_Data!D769,"")</f>
        <v>667.05</v>
      </c>
    </row>
    <row r="770" spans="1:2" x14ac:dyDescent="0.25">
      <c r="A770" s="3">
        <f>IF(Raw_Data!J770=0,Raw_Data!D770,"")</f>
        <v>495.78</v>
      </c>
      <c r="B770" s="3" t="str">
        <f>IF(Raw_Data!J770=1,Raw_Data!D770,"")</f>
        <v/>
      </c>
    </row>
    <row r="771" spans="1:2" x14ac:dyDescent="0.25">
      <c r="A771" s="3">
        <f>IF(Raw_Data!J771=0,Raw_Data!D771,"")</f>
        <v>3097.79</v>
      </c>
      <c r="B771" s="3" t="str">
        <f>IF(Raw_Data!J771=1,Raw_Data!D771,"")</f>
        <v/>
      </c>
    </row>
    <row r="772" spans="1:2" x14ac:dyDescent="0.25">
      <c r="A772" s="3">
        <f>IF(Raw_Data!J772=0,Raw_Data!D772,"")</f>
        <v>1407.49</v>
      </c>
      <c r="B772" s="3" t="str">
        <f>IF(Raw_Data!J772=1,Raw_Data!D772,"")</f>
        <v/>
      </c>
    </row>
    <row r="773" spans="1:2" x14ac:dyDescent="0.25">
      <c r="A773" s="3" t="str">
        <f>IF(Raw_Data!J773=0,Raw_Data!D773,"")</f>
        <v/>
      </c>
      <c r="B773" s="3">
        <f>IF(Raw_Data!J773=1,Raw_Data!D773,"")</f>
        <v>1713.66</v>
      </c>
    </row>
    <row r="774" spans="1:2" x14ac:dyDescent="0.25">
      <c r="A774" s="3">
        <f>IF(Raw_Data!J774=0,Raw_Data!D774,"")</f>
        <v>1831.09</v>
      </c>
      <c r="B774" s="3" t="str">
        <f>IF(Raw_Data!J774=1,Raw_Data!D774,"")</f>
        <v/>
      </c>
    </row>
    <row r="775" spans="1:2" x14ac:dyDescent="0.25">
      <c r="A775" s="3">
        <f>IF(Raw_Data!J775=0,Raw_Data!D775,"")</f>
        <v>4155.24</v>
      </c>
      <c r="B775" s="3" t="str">
        <f>IF(Raw_Data!J775=1,Raw_Data!D775,"")</f>
        <v/>
      </c>
    </row>
    <row r="776" spans="1:2" x14ac:dyDescent="0.25">
      <c r="A776" s="3">
        <f>IF(Raw_Data!J776=0,Raw_Data!D776,"")</f>
        <v>188.14</v>
      </c>
      <c r="B776" s="3" t="str">
        <f>IF(Raw_Data!J776=1,Raw_Data!D776,"")</f>
        <v/>
      </c>
    </row>
    <row r="777" spans="1:2" x14ac:dyDescent="0.25">
      <c r="A777" s="3">
        <f>IF(Raw_Data!J777=0,Raw_Data!D777,"")</f>
        <v>2489.94</v>
      </c>
      <c r="B777" s="3" t="str">
        <f>IF(Raw_Data!J777=1,Raw_Data!D777,"")</f>
        <v/>
      </c>
    </row>
    <row r="778" spans="1:2" x14ac:dyDescent="0.25">
      <c r="A778" s="3">
        <f>IF(Raw_Data!J778=0,Raw_Data!D778,"")</f>
        <v>736.04</v>
      </c>
      <c r="B778" s="3" t="str">
        <f>IF(Raw_Data!J778=1,Raw_Data!D778,"")</f>
        <v/>
      </c>
    </row>
    <row r="779" spans="1:2" x14ac:dyDescent="0.25">
      <c r="A779" s="3" t="str">
        <f>IF(Raw_Data!J779=0,Raw_Data!D779,"")</f>
        <v/>
      </c>
      <c r="B779" s="3">
        <f>IF(Raw_Data!J779=1,Raw_Data!D779,"")</f>
        <v>622.36</v>
      </c>
    </row>
    <row r="780" spans="1:2" x14ac:dyDescent="0.25">
      <c r="A780" s="3">
        <f>IF(Raw_Data!J780=0,Raw_Data!D780,"")</f>
        <v>3283.74</v>
      </c>
      <c r="B780" s="3" t="str">
        <f>IF(Raw_Data!J780=1,Raw_Data!D780,"")</f>
        <v/>
      </c>
    </row>
    <row r="781" spans="1:2" x14ac:dyDescent="0.25">
      <c r="A781" s="3">
        <f>IF(Raw_Data!J781=0,Raw_Data!D781,"")</f>
        <v>3187.81</v>
      </c>
      <c r="B781" s="3" t="str">
        <f>IF(Raw_Data!J781=1,Raw_Data!D781,"")</f>
        <v/>
      </c>
    </row>
    <row r="782" spans="1:2" x14ac:dyDescent="0.25">
      <c r="A782" s="3">
        <f>IF(Raw_Data!J782=0,Raw_Data!D782,"")</f>
        <v>3408.16</v>
      </c>
      <c r="B782" s="3" t="str">
        <f>IF(Raw_Data!J782=1,Raw_Data!D782,"")</f>
        <v/>
      </c>
    </row>
    <row r="783" spans="1:2" x14ac:dyDescent="0.25">
      <c r="A783" s="3" t="str">
        <f>IF(Raw_Data!J783=0,Raw_Data!D783,"")</f>
        <v/>
      </c>
      <c r="B783" s="3">
        <f>IF(Raw_Data!J783=1,Raw_Data!D783,"")</f>
        <v>832.49</v>
      </c>
    </row>
    <row r="784" spans="1:2" x14ac:dyDescent="0.25">
      <c r="A784" s="3">
        <f>IF(Raw_Data!J784=0,Raw_Data!D784,"")</f>
        <v>1495.08</v>
      </c>
      <c r="B784" s="3" t="str">
        <f>IF(Raw_Data!J784=1,Raw_Data!D784,"")</f>
        <v/>
      </c>
    </row>
    <row r="785" spans="1:2" x14ac:dyDescent="0.25">
      <c r="A785" s="3">
        <f>IF(Raw_Data!J785=0,Raw_Data!D785,"")</f>
        <v>713.15</v>
      </c>
      <c r="B785" s="3" t="str">
        <f>IF(Raw_Data!J785=1,Raw_Data!D785,"")</f>
        <v/>
      </c>
    </row>
    <row r="786" spans="1:2" x14ac:dyDescent="0.25">
      <c r="A786" s="3">
        <f>IF(Raw_Data!J786=0,Raw_Data!D786,"")</f>
        <v>2366.13</v>
      </c>
      <c r="B786" s="3" t="str">
        <f>IF(Raw_Data!J786=1,Raw_Data!D786,"")</f>
        <v/>
      </c>
    </row>
    <row r="787" spans="1:2" x14ac:dyDescent="0.25">
      <c r="A787" s="3">
        <f>IF(Raw_Data!J787=0,Raw_Data!D787,"")</f>
        <v>529.64</v>
      </c>
      <c r="B787" s="3" t="str">
        <f>IF(Raw_Data!J787=1,Raw_Data!D787,"")</f>
        <v/>
      </c>
    </row>
    <row r="788" spans="1:2" x14ac:dyDescent="0.25">
      <c r="A788" s="3">
        <f>IF(Raw_Data!J788=0,Raw_Data!D788,"")</f>
        <v>1382.19</v>
      </c>
      <c r="B788" s="3" t="str">
        <f>IF(Raw_Data!J788=1,Raw_Data!D788,"")</f>
        <v/>
      </c>
    </row>
    <row r="789" spans="1:2" x14ac:dyDescent="0.25">
      <c r="A789" s="3">
        <f>IF(Raw_Data!J789=0,Raw_Data!D789,"")</f>
        <v>2577.33</v>
      </c>
      <c r="B789" s="3" t="str">
        <f>IF(Raw_Data!J789=1,Raw_Data!D789,"")</f>
        <v/>
      </c>
    </row>
    <row r="790" spans="1:2" x14ac:dyDescent="0.25">
      <c r="A790" s="3">
        <f>IF(Raw_Data!J790=0,Raw_Data!D790,"")</f>
        <v>1087.47</v>
      </c>
      <c r="B790" s="3" t="str">
        <f>IF(Raw_Data!J790=1,Raw_Data!D790,"")</f>
        <v/>
      </c>
    </row>
    <row r="791" spans="1:2" x14ac:dyDescent="0.25">
      <c r="A791" s="3">
        <f>IF(Raw_Data!J791=0,Raw_Data!D791,"")</f>
        <v>1218.51</v>
      </c>
      <c r="B791" s="3" t="str">
        <f>IF(Raw_Data!J791=1,Raw_Data!D791,"")</f>
        <v/>
      </c>
    </row>
    <row r="792" spans="1:2" x14ac:dyDescent="0.25">
      <c r="A792" s="3">
        <f>IF(Raw_Data!J792=0,Raw_Data!D792,"")</f>
        <v>1085.6199999999999</v>
      </c>
      <c r="B792" s="3" t="str">
        <f>IF(Raw_Data!J792=1,Raw_Data!D792,"")</f>
        <v/>
      </c>
    </row>
    <row r="793" spans="1:2" x14ac:dyDescent="0.25">
      <c r="A793" s="3">
        <f>IF(Raw_Data!J793=0,Raw_Data!D793,"")</f>
        <v>2302.2399999999998</v>
      </c>
      <c r="B793" s="3" t="str">
        <f>IF(Raw_Data!J793=1,Raw_Data!D793,"")</f>
        <v/>
      </c>
    </row>
    <row r="794" spans="1:2" x14ac:dyDescent="0.25">
      <c r="A794" s="3">
        <f>IF(Raw_Data!J794=0,Raw_Data!D794,"")</f>
        <v>2824.7</v>
      </c>
      <c r="B794" s="3" t="str">
        <f>IF(Raw_Data!J794=1,Raw_Data!D794,"")</f>
        <v/>
      </c>
    </row>
    <row r="795" spans="1:2" x14ac:dyDescent="0.25">
      <c r="A795" s="3">
        <f>IF(Raw_Data!J795=0,Raw_Data!D795,"")</f>
        <v>1564.58</v>
      </c>
      <c r="B795" s="3" t="str">
        <f>IF(Raw_Data!J795=1,Raw_Data!D795,"")</f>
        <v/>
      </c>
    </row>
    <row r="796" spans="1:2" x14ac:dyDescent="0.25">
      <c r="A796" s="3">
        <f>IF(Raw_Data!J796=0,Raw_Data!D796,"")</f>
        <v>1450.04</v>
      </c>
      <c r="B796" s="3" t="str">
        <f>IF(Raw_Data!J796=1,Raw_Data!D796,"")</f>
        <v/>
      </c>
    </row>
    <row r="797" spans="1:2" x14ac:dyDescent="0.25">
      <c r="A797" s="3">
        <f>IF(Raw_Data!J797=0,Raw_Data!D797,"")</f>
        <v>1732.12</v>
      </c>
      <c r="B797" s="3" t="str">
        <f>IF(Raw_Data!J797=1,Raw_Data!D797,"")</f>
        <v/>
      </c>
    </row>
    <row r="798" spans="1:2" x14ac:dyDescent="0.25">
      <c r="A798" s="3">
        <f>IF(Raw_Data!J798=0,Raw_Data!D798,"")</f>
        <v>4552.55</v>
      </c>
      <c r="B798" s="3" t="str">
        <f>IF(Raw_Data!J798=1,Raw_Data!D798,"")</f>
        <v/>
      </c>
    </row>
    <row r="799" spans="1:2" x14ac:dyDescent="0.25">
      <c r="A799" s="3">
        <f>IF(Raw_Data!J799=0,Raw_Data!D799,"")</f>
        <v>2155.1799999999998</v>
      </c>
      <c r="B799" s="3" t="str">
        <f>IF(Raw_Data!J799=1,Raw_Data!D799,"")</f>
        <v/>
      </c>
    </row>
    <row r="800" spans="1:2" x14ac:dyDescent="0.25">
      <c r="A800" s="3">
        <f>IF(Raw_Data!J800=0,Raw_Data!D800,"")</f>
        <v>3092.47</v>
      </c>
      <c r="B800" s="3" t="str">
        <f>IF(Raw_Data!J800=1,Raw_Data!D800,"")</f>
        <v/>
      </c>
    </row>
    <row r="801" spans="1:2" x14ac:dyDescent="0.25">
      <c r="A801" s="3" t="str">
        <f>IF(Raw_Data!J801=0,Raw_Data!D801,"")</f>
        <v/>
      </c>
      <c r="B801" s="3">
        <f>IF(Raw_Data!J801=1,Raw_Data!D801,"")</f>
        <v>2000.54</v>
      </c>
    </row>
    <row r="802" spans="1:2" x14ac:dyDescent="0.25">
      <c r="A802" s="3" t="str">
        <f>IF(Raw_Data!J802=0,Raw_Data!D802,"")</f>
        <v/>
      </c>
      <c r="B802" s="3">
        <f>IF(Raw_Data!J802=1,Raw_Data!D802,"")</f>
        <v>1432.22</v>
      </c>
    </row>
    <row r="803" spans="1:2" x14ac:dyDescent="0.25">
      <c r="A803" s="3">
        <f>IF(Raw_Data!J803=0,Raw_Data!D803,"")</f>
        <v>1091.1099999999999</v>
      </c>
      <c r="B803" s="3" t="str">
        <f>IF(Raw_Data!J803=1,Raw_Data!D803,"")</f>
        <v/>
      </c>
    </row>
    <row r="804" spans="1:2" x14ac:dyDescent="0.25">
      <c r="A804" s="3">
        <f>IF(Raw_Data!J804=0,Raw_Data!D804,"")</f>
        <v>1580.19</v>
      </c>
      <c r="B804" s="3" t="str">
        <f>IF(Raw_Data!J804=1,Raw_Data!D804,"")</f>
        <v/>
      </c>
    </row>
    <row r="805" spans="1:2" x14ac:dyDescent="0.25">
      <c r="A805" s="3" t="str">
        <f>IF(Raw_Data!J805=0,Raw_Data!D805,"")</f>
        <v/>
      </c>
      <c r="B805" s="3">
        <f>IF(Raw_Data!J805=1,Raw_Data!D805,"")</f>
        <v>2122.02</v>
      </c>
    </row>
    <row r="806" spans="1:2" x14ac:dyDescent="0.25">
      <c r="A806" s="3">
        <f>IF(Raw_Data!J806=0,Raw_Data!D806,"")</f>
        <v>2609.7399999999998</v>
      </c>
      <c r="B806" s="3" t="str">
        <f>IF(Raw_Data!J806=1,Raw_Data!D806,"")</f>
        <v/>
      </c>
    </row>
    <row r="807" spans="1:2" x14ac:dyDescent="0.25">
      <c r="A807" s="3">
        <f>IF(Raw_Data!J807=0,Raw_Data!D807,"")</f>
        <v>4375</v>
      </c>
      <c r="B807" s="3" t="str">
        <f>IF(Raw_Data!J807=1,Raw_Data!D807,"")</f>
        <v/>
      </c>
    </row>
    <row r="808" spans="1:2" x14ac:dyDescent="0.25">
      <c r="A808" s="3">
        <f>IF(Raw_Data!J808=0,Raw_Data!D808,"")</f>
        <v>2030.62</v>
      </c>
      <c r="B808" s="3" t="str">
        <f>IF(Raw_Data!J808=1,Raw_Data!D808,"")</f>
        <v/>
      </c>
    </row>
    <row r="809" spans="1:2" x14ac:dyDescent="0.25">
      <c r="A809" s="3">
        <f>IF(Raw_Data!J809=0,Raw_Data!D809,"")</f>
        <v>3825.79</v>
      </c>
      <c r="B809" s="3" t="str">
        <f>IF(Raw_Data!J809=1,Raw_Data!D809,"")</f>
        <v/>
      </c>
    </row>
    <row r="810" spans="1:2" x14ac:dyDescent="0.25">
      <c r="A810" s="3" t="str">
        <f>IF(Raw_Data!J810=0,Raw_Data!D810,"")</f>
        <v/>
      </c>
      <c r="B810" s="3">
        <f>IF(Raw_Data!J810=1,Raw_Data!D810,"")</f>
        <v>452.06</v>
      </c>
    </row>
    <row r="811" spans="1:2" x14ac:dyDescent="0.25">
      <c r="A811" s="3" t="str">
        <f>IF(Raw_Data!J811=0,Raw_Data!D811,"")</f>
        <v/>
      </c>
      <c r="B811" s="3">
        <f>IF(Raw_Data!J811=1,Raw_Data!D811,"")</f>
        <v>781.04</v>
      </c>
    </row>
    <row r="812" spans="1:2" x14ac:dyDescent="0.25">
      <c r="A812" s="3">
        <f>IF(Raw_Data!J812=0,Raw_Data!D812,"")</f>
        <v>3881.69</v>
      </c>
      <c r="B812" s="3" t="str">
        <f>IF(Raw_Data!J812=1,Raw_Data!D812,"")</f>
        <v/>
      </c>
    </row>
    <row r="813" spans="1:2" x14ac:dyDescent="0.25">
      <c r="A813" s="3">
        <f>IF(Raw_Data!J813=0,Raw_Data!D813,"")</f>
        <v>2746.94</v>
      </c>
      <c r="B813" s="3" t="str">
        <f>IF(Raw_Data!J813=1,Raw_Data!D813,"")</f>
        <v/>
      </c>
    </row>
    <row r="814" spans="1:2" x14ac:dyDescent="0.25">
      <c r="A814" s="3">
        <f>IF(Raw_Data!J814=0,Raw_Data!D814,"")</f>
        <v>550.79999999999995</v>
      </c>
      <c r="B814" s="3" t="str">
        <f>IF(Raw_Data!J814=1,Raw_Data!D814,"")</f>
        <v/>
      </c>
    </row>
    <row r="815" spans="1:2" x14ac:dyDescent="0.25">
      <c r="A815" s="3">
        <f>IF(Raw_Data!J815=0,Raw_Data!D815,"")</f>
        <v>2728.68</v>
      </c>
      <c r="B815" s="3" t="str">
        <f>IF(Raw_Data!J815=1,Raw_Data!D815,"")</f>
        <v/>
      </c>
    </row>
    <row r="816" spans="1:2" x14ac:dyDescent="0.25">
      <c r="A816" s="3">
        <f>IF(Raw_Data!J816=0,Raw_Data!D816,"")</f>
        <v>1108.56</v>
      </c>
      <c r="B816" s="3" t="str">
        <f>IF(Raw_Data!J816=1,Raw_Data!D816,"")</f>
        <v/>
      </c>
    </row>
    <row r="817" spans="1:2" x14ac:dyDescent="0.25">
      <c r="A817" s="3">
        <f>IF(Raw_Data!J817=0,Raw_Data!D817,"")</f>
        <v>2524.52</v>
      </c>
      <c r="B817" s="3" t="str">
        <f>IF(Raw_Data!J817=1,Raw_Data!D817,"")</f>
        <v/>
      </c>
    </row>
    <row r="818" spans="1:2" x14ac:dyDescent="0.25">
      <c r="A818" s="3" t="str">
        <f>IF(Raw_Data!J818=0,Raw_Data!D818,"")</f>
        <v/>
      </c>
      <c r="B818" s="3">
        <f>IF(Raw_Data!J818=1,Raw_Data!D818,"")</f>
        <v>3276.75</v>
      </c>
    </row>
    <row r="819" spans="1:2" x14ac:dyDescent="0.25">
      <c r="A819" s="3" t="str">
        <f>IF(Raw_Data!J819=0,Raw_Data!D819,"")</f>
        <v/>
      </c>
      <c r="B819" s="3">
        <f>IF(Raw_Data!J819=1,Raw_Data!D819,"")</f>
        <v>1846.14</v>
      </c>
    </row>
    <row r="820" spans="1:2" x14ac:dyDescent="0.25">
      <c r="A820" s="3">
        <f>IF(Raw_Data!J820=0,Raw_Data!D820,"")</f>
        <v>1417</v>
      </c>
      <c r="B820" s="3" t="str">
        <f>IF(Raw_Data!J820=1,Raw_Data!D820,"")</f>
        <v/>
      </c>
    </row>
    <row r="821" spans="1:2" x14ac:dyDescent="0.25">
      <c r="A821" s="3">
        <f>IF(Raw_Data!J821=0,Raw_Data!D821,"")</f>
        <v>4129.54</v>
      </c>
      <c r="B821" s="3" t="str">
        <f>IF(Raw_Data!J821=1,Raw_Data!D821,"")</f>
        <v/>
      </c>
    </row>
    <row r="822" spans="1:2" x14ac:dyDescent="0.25">
      <c r="A822" s="3" t="str">
        <f>IF(Raw_Data!J822=0,Raw_Data!D822,"")</f>
        <v/>
      </c>
      <c r="B822" s="3">
        <f>IF(Raw_Data!J822=1,Raw_Data!D822,"")</f>
        <v>6113.1</v>
      </c>
    </row>
    <row r="823" spans="1:2" x14ac:dyDescent="0.25">
      <c r="A823" s="3" t="str">
        <f>IF(Raw_Data!J823=0,Raw_Data!D823,"")</f>
        <v/>
      </c>
      <c r="B823" s="3">
        <f>IF(Raw_Data!J823=1,Raw_Data!D823,"")</f>
        <v>882.39</v>
      </c>
    </row>
    <row r="824" spans="1:2" x14ac:dyDescent="0.25">
      <c r="A824" s="3">
        <f>IF(Raw_Data!J824=0,Raw_Data!D824,"")</f>
        <v>5244.9</v>
      </c>
      <c r="B824" s="3" t="str">
        <f>IF(Raw_Data!J824=1,Raw_Data!D824,"")</f>
        <v/>
      </c>
    </row>
    <row r="825" spans="1:2" x14ac:dyDescent="0.25">
      <c r="A825" s="3">
        <f>IF(Raw_Data!J825=0,Raw_Data!D825,"")</f>
        <v>2617.15</v>
      </c>
      <c r="B825" s="3" t="str">
        <f>IF(Raw_Data!J825=1,Raw_Data!D825,"")</f>
        <v/>
      </c>
    </row>
    <row r="826" spans="1:2" x14ac:dyDescent="0.25">
      <c r="A826" s="3" t="str">
        <f>IF(Raw_Data!J826=0,Raw_Data!D826,"")</f>
        <v/>
      </c>
      <c r="B826" s="3">
        <f>IF(Raw_Data!J826=1,Raw_Data!D826,"")</f>
        <v>2366.56</v>
      </c>
    </row>
    <row r="827" spans="1:2" x14ac:dyDescent="0.25">
      <c r="A827" s="3" t="str">
        <f>IF(Raw_Data!J827=0,Raw_Data!D827,"")</f>
        <v/>
      </c>
      <c r="B827" s="3">
        <f>IF(Raw_Data!J827=1,Raw_Data!D827,"")</f>
        <v>1579.89</v>
      </c>
    </row>
    <row r="828" spans="1:2" x14ac:dyDescent="0.25">
      <c r="A828" s="3">
        <f>IF(Raw_Data!J828=0,Raw_Data!D828,"")</f>
        <v>86.6</v>
      </c>
      <c r="B828" s="3" t="str">
        <f>IF(Raw_Data!J828=1,Raw_Data!D828,"")</f>
        <v/>
      </c>
    </row>
    <row r="829" spans="1:2" x14ac:dyDescent="0.25">
      <c r="A829" s="3">
        <f>IF(Raw_Data!J829=0,Raw_Data!D829,"")</f>
        <v>2010.34</v>
      </c>
      <c r="B829" s="3" t="str">
        <f>IF(Raw_Data!J829=1,Raw_Data!D829,"")</f>
        <v/>
      </c>
    </row>
    <row r="830" spans="1:2" x14ac:dyDescent="0.25">
      <c r="A830" s="3">
        <f>IF(Raw_Data!J830=0,Raw_Data!D830,"")</f>
        <v>3392.41</v>
      </c>
      <c r="B830" s="3" t="str">
        <f>IF(Raw_Data!J830=1,Raw_Data!D830,"")</f>
        <v/>
      </c>
    </row>
    <row r="831" spans="1:2" x14ac:dyDescent="0.25">
      <c r="A831" s="3">
        <f>IF(Raw_Data!J831=0,Raw_Data!D831,"")</f>
        <v>1752.51</v>
      </c>
      <c r="B831" s="3" t="str">
        <f>IF(Raw_Data!J831=1,Raw_Data!D831,"")</f>
        <v/>
      </c>
    </row>
    <row r="832" spans="1:2" x14ac:dyDescent="0.25">
      <c r="A832" s="3">
        <f>IF(Raw_Data!J832=0,Raw_Data!D832,"")</f>
        <v>7148.31</v>
      </c>
      <c r="B832" s="3" t="str">
        <f>IF(Raw_Data!J832=1,Raw_Data!D832,"")</f>
        <v/>
      </c>
    </row>
    <row r="833" spans="1:2" x14ac:dyDescent="0.25">
      <c r="A833" s="3">
        <f>IF(Raw_Data!J833=0,Raw_Data!D833,"")</f>
        <v>5504.14</v>
      </c>
      <c r="B833" s="3" t="str">
        <f>IF(Raw_Data!J833=1,Raw_Data!D833,"")</f>
        <v/>
      </c>
    </row>
    <row r="834" spans="1:2" x14ac:dyDescent="0.25">
      <c r="A834" s="3">
        <f>IF(Raw_Data!J834=0,Raw_Data!D834,"")</f>
        <v>221.99</v>
      </c>
      <c r="B834" s="3" t="str">
        <f>IF(Raw_Data!J834=1,Raw_Data!D834,"")</f>
        <v/>
      </c>
    </row>
    <row r="835" spans="1:2" x14ac:dyDescent="0.25">
      <c r="A835" s="3">
        <f>IF(Raw_Data!J835=0,Raw_Data!D835,"")</f>
        <v>1927.36</v>
      </c>
      <c r="B835" s="3" t="str">
        <f>IF(Raw_Data!J835=1,Raw_Data!D835,"")</f>
        <v/>
      </c>
    </row>
    <row r="836" spans="1:2" x14ac:dyDescent="0.25">
      <c r="A836" s="3">
        <f>IF(Raw_Data!J836=0,Raw_Data!D836,"")</f>
        <v>1987.58</v>
      </c>
      <c r="B836" s="3" t="str">
        <f>IF(Raw_Data!J836=1,Raw_Data!D836,"")</f>
        <v/>
      </c>
    </row>
    <row r="837" spans="1:2" x14ac:dyDescent="0.25">
      <c r="A837" s="3">
        <f>IF(Raw_Data!J837=0,Raw_Data!D837,"")</f>
        <v>6536.6</v>
      </c>
      <c r="B837" s="3" t="str">
        <f>IF(Raw_Data!J837=1,Raw_Data!D837,"")</f>
        <v/>
      </c>
    </row>
    <row r="838" spans="1:2" x14ac:dyDescent="0.25">
      <c r="A838" s="3">
        <f>IF(Raw_Data!J838=0,Raw_Data!D838,"")</f>
        <v>1179.56</v>
      </c>
      <c r="B838" s="3" t="str">
        <f>IF(Raw_Data!J838=1,Raw_Data!D838,"")</f>
        <v/>
      </c>
    </row>
    <row r="839" spans="1:2" x14ac:dyDescent="0.25">
      <c r="A839" s="3">
        <f>IF(Raw_Data!J839=0,Raw_Data!D839,"")</f>
        <v>2228.5100000000002</v>
      </c>
      <c r="B839" s="3" t="str">
        <f>IF(Raw_Data!J839=1,Raw_Data!D839,"")</f>
        <v/>
      </c>
    </row>
    <row r="840" spans="1:2" x14ac:dyDescent="0.25">
      <c r="A840" s="3">
        <f>IF(Raw_Data!J840=0,Raw_Data!D840,"")</f>
        <v>6451.94</v>
      </c>
      <c r="B840" s="3" t="str">
        <f>IF(Raw_Data!J840=1,Raw_Data!D840,"")</f>
        <v/>
      </c>
    </row>
    <row r="841" spans="1:2" x14ac:dyDescent="0.25">
      <c r="A841" s="3" t="str">
        <f>IF(Raw_Data!J841=0,Raw_Data!D841,"")</f>
        <v/>
      </c>
      <c r="B841" s="3">
        <f>IF(Raw_Data!J841=1,Raw_Data!D841,"")</f>
        <v>1351.42</v>
      </c>
    </row>
    <row r="842" spans="1:2" x14ac:dyDescent="0.25">
      <c r="A842" s="3">
        <f>IF(Raw_Data!J842=0,Raw_Data!D842,"")</f>
        <v>1910.07</v>
      </c>
      <c r="B842" s="3" t="str">
        <f>IF(Raw_Data!J842=1,Raw_Data!D842,"")</f>
        <v/>
      </c>
    </row>
    <row r="843" spans="1:2" x14ac:dyDescent="0.25">
      <c r="A843" s="3">
        <f>IF(Raw_Data!J843=0,Raw_Data!D843,"")</f>
        <v>5605.35</v>
      </c>
      <c r="B843" s="3" t="str">
        <f>IF(Raw_Data!J843=1,Raw_Data!D843,"")</f>
        <v/>
      </c>
    </row>
    <row r="844" spans="1:2" x14ac:dyDescent="0.25">
      <c r="A844" s="3">
        <f>IF(Raw_Data!J844=0,Raw_Data!D844,"")</f>
        <v>2387.9</v>
      </c>
      <c r="B844" s="3" t="str">
        <f>IF(Raw_Data!J844=1,Raw_Data!D844,"")</f>
        <v/>
      </c>
    </row>
    <row r="845" spans="1:2" x14ac:dyDescent="0.25">
      <c r="A845" s="3">
        <f>IF(Raw_Data!J845=0,Raw_Data!D845,"")</f>
        <v>4822.91</v>
      </c>
      <c r="B845" s="3" t="str">
        <f>IF(Raw_Data!J845=1,Raw_Data!D845,"")</f>
        <v/>
      </c>
    </row>
    <row r="846" spans="1:2" x14ac:dyDescent="0.25">
      <c r="A846" s="3">
        <f>IF(Raw_Data!J846=0,Raw_Data!D846,"")</f>
        <v>2734.2</v>
      </c>
      <c r="B846" s="3" t="str">
        <f>IF(Raw_Data!J846=1,Raw_Data!D846,"")</f>
        <v/>
      </c>
    </row>
    <row r="847" spans="1:2" x14ac:dyDescent="0.25">
      <c r="A847" s="3" t="str">
        <f>IF(Raw_Data!J847=0,Raw_Data!D847,"")</f>
        <v/>
      </c>
      <c r="B847" s="3">
        <f>IF(Raw_Data!J847=1,Raw_Data!D847,"")</f>
        <v>1185.8699999999999</v>
      </c>
    </row>
    <row r="848" spans="1:2" x14ac:dyDescent="0.25">
      <c r="A848" s="3">
        <f>IF(Raw_Data!J848=0,Raw_Data!D848,"")</f>
        <v>4178.29</v>
      </c>
      <c r="B848" s="3" t="str">
        <f>IF(Raw_Data!J848=1,Raw_Data!D848,"")</f>
        <v/>
      </c>
    </row>
    <row r="849" spans="1:2" x14ac:dyDescent="0.25">
      <c r="A849" s="3">
        <f>IF(Raw_Data!J849=0,Raw_Data!D849,"")</f>
        <v>3680.76</v>
      </c>
      <c r="B849" s="3" t="str">
        <f>IF(Raw_Data!J849=1,Raw_Data!D849,"")</f>
        <v/>
      </c>
    </row>
    <row r="850" spans="1:2" x14ac:dyDescent="0.25">
      <c r="A850" s="3">
        <f>IF(Raw_Data!J850=0,Raw_Data!D850,"")</f>
        <v>861.85</v>
      </c>
      <c r="B850" s="3" t="str">
        <f>IF(Raw_Data!J850=1,Raw_Data!D850,"")</f>
        <v/>
      </c>
    </row>
    <row r="851" spans="1:2" x14ac:dyDescent="0.25">
      <c r="A851" s="3" t="str">
        <f>IF(Raw_Data!J851=0,Raw_Data!D851,"")</f>
        <v/>
      </c>
      <c r="B851" s="3">
        <f>IF(Raw_Data!J851=1,Raw_Data!D851,"")</f>
        <v>2560.92</v>
      </c>
    </row>
    <row r="852" spans="1:2" x14ac:dyDescent="0.25">
      <c r="A852" s="3">
        <f>IF(Raw_Data!J852=0,Raw_Data!D852,"")</f>
        <v>2110.73</v>
      </c>
      <c r="B852" s="3" t="str">
        <f>IF(Raw_Data!J852=1,Raw_Data!D852,"")</f>
        <v/>
      </c>
    </row>
    <row r="853" spans="1:2" x14ac:dyDescent="0.25">
      <c r="A853" s="3">
        <f>IF(Raw_Data!J853=0,Raw_Data!D853,"")</f>
        <v>1765.1</v>
      </c>
      <c r="B853" s="3" t="str">
        <f>IF(Raw_Data!J853=1,Raw_Data!D853,"")</f>
        <v/>
      </c>
    </row>
    <row r="854" spans="1:2" x14ac:dyDescent="0.25">
      <c r="A854" s="3">
        <f>IF(Raw_Data!J854=0,Raw_Data!D854,"")</f>
        <v>2272.42</v>
      </c>
      <c r="B854" s="3" t="str">
        <f>IF(Raw_Data!J854=1,Raw_Data!D854,"")</f>
        <v/>
      </c>
    </row>
    <row r="855" spans="1:2" x14ac:dyDescent="0.25">
      <c r="A855" s="3">
        <f>IF(Raw_Data!J855=0,Raw_Data!D855,"")</f>
        <v>1717.01</v>
      </c>
      <c r="B855" s="3" t="str">
        <f>IF(Raw_Data!J855=1,Raw_Data!D855,"")</f>
        <v/>
      </c>
    </row>
    <row r="856" spans="1:2" x14ac:dyDescent="0.25">
      <c r="A856" s="3">
        <f>IF(Raw_Data!J856=0,Raw_Data!D856,"")</f>
        <v>2492.87</v>
      </c>
      <c r="B856" s="3" t="str">
        <f>IF(Raw_Data!J856=1,Raw_Data!D856,"")</f>
        <v/>
      </c>
    </row>
    <row r="857" spans="1:2" x14ac:dyDescent="0.25">
      <c r="A857" s="3" t="str">
        <f>IF(Raw_Data!J857=0,Raw_Data!D857,"")</f>
        <v/>
      </c>
      <c r="B857" s="3">
        <f>IF(Raw_Data!J857=1,Raw_Data!D857,"")</f>
        <v>4841.72</v>
      </c>
    </row>
    <row r="858" spans="1:2" x14ac:dyDescent="0.25">
      <c r="A858" s="3">
        <f>IF(Raw_Data!J858=0,Raw_Data!D858,"")</f>
        <v>4305.01</v>
      </c>
      <c r="B858" s="3" t="str">
        <f>IF(Raw_Data!J858=1,Raw_Data!D858,"")</f>
        <v/>
      </c>
    </row>
    <row r="859" spans="1:2" x14ac:dyDescent="0.25">
      <c r="A859" s="3">
        <f>IF(Raw_Data!J859=0,Raw_Data!D859,"")</f>
        <v>3378.82</v>
      </c>
      <c r="B859" s="3" t="str">
        <f>IF(Raw_Data!J859=1,Raw_Data!D859,"")</f>
        <v/>
      </c>
    </row>
    <row r="860" spans="1:2" x14ac:dyDescent="0.25">
      <c r="A860" s="3">
        <f>IF(Raw_Data!J860=0,Raw_Data!D860,"")</f>
        <v>3026.99</v>
      </c>
      <c r="B860" s="3" t="str">
        <f>IF(Raw_Data!J860=1,Raw_Data!D860,"")</f>
        <v/>
      </c>
    </row>
    <row r="861" spans="1:2" x14ac:dyDescent="0.25">
      <c r="A861" s="3">
        <f>IF(Raw_Data!J861=0,Raw_Data!D861,"")</f>
        <v>1361.05</v>
      </c>
      <c r="B861" s="3" t="str">
        <f>IF(Raw_Data!J861=1,Raw_Data!D861,"")</f>
        <v/>
      </c>
    </row>
    <row r="862" spans="1:2" x14ac:dyDescent="0.25">
      <c r="A862" s="3">
        <f>IF(Raw_Data!J862=0,Raw_Data!D862,"")</f>
        <v>5651.87</v>
      </c>
      <c r="B862" s="3" t="str">
        <f>IF(Raw_Data!J862=1,Raw_Data!D862,"")</f>
        <v/>
      </c>
    </row>
    <row r="863" spans="1:2" x14ac:dyDescent="0.25">
      <c r="A863" s="3">
        <f>IF(Raw_Data!J863=0,Raw_Data!D863,"")</f>
        <v>2970.17</v>
      </c>
      <c r="B863" s="3" t="str">
        <f>IF(Raw_Data!J863=1,Raw_Data!D863,"")</f>
        <v/>
      </c>
    </row>
    <row r="864" spans="1:2" x14ac:dyDescent="0.25">
      <c r="A864" s="3">
        <f>IF(Raw_Data!J864=0,Raw_Data!D864,"")</f>
        <v>1242.77</v>
      </c>
      <c r="B864" s="3" t="str">
        <f>IF(Raw_Data!J864=1,Raw_Data!D864,"")</f>
        <v/>
      </c>
    </row>
    <row r="865" spans="1:2" x14ac:dyDescent="0.25">
      <c r="A865" s="3">
        <f>IF(Raw_Data!J865=0,Raw_Data!D865,"")</f>
        <v>1425.21</v>
      </c>
      <c r="B865" s="3" t="str">
        <f>IF(Raw_Data!J865=1,Raw_Data!D865,"")</f>
        <v/>
      </c>
    </row>
    <row r="866" spans="1:2" x14ac:dyDescent="0.25">
      <c r="A866" s="3" t="str">
        <f>IF(Raw_Data!J866=0,Raw_Data!D866,"")</f>
        <v/>
      </c>
      <c r="B866" s="3">
        <f>IF(Raw_Data!J866=1,Raw_Data!D866,"")</f>
        <v>1125.56</v>
      </c>
    </row>
    <row r="867" spans="1:2" x14ac:dyDescent="0.25">
      <c r="A867" s="3">
        <f>IF(Raw_Data!J867=0,Raw_Data!D867,"")</f>
        <v>4282.7299999999996</v>
      </c>
      <c r="B867" s="3" t="str">
        <f>IF(Raw_Data!J867=1,Raw_Data!D867,"")</f>
        <v/>
      </c>
    </row>
    <row r="868" spans="1:2" x14ac:dyDescent="0.25">
      <c r="A868" s="3">
        <f>IF(Raw_Data!J868=0,Raw_Data!D868,"")</f>
        <v>5089.7</v>
      </c>
      <c r="B868" s="3" t="str">
        <f>IF(Raw_Data!J868=1,Raw_Data!D868,"")</f>
        <v/>
      </c>
    </row>
    <row r="869" spans="1:2" x14ac:dyDescent="0.25">
      <c r="A869" s="3">
        <f>IF(Raw_Data!J869=0,Raw_Data!D869,"")</f>
        <v>567.49</v>
      </c>
      <c r="B869" s="3" t="str">
        <f>IF(Raw_Data!J869=1,Raw_Data!D869,"")</f>
        <v/>
      </c>
    </row>
    <row r="870" spans="1:2" x14ac:dyDescent="0.25">
      <c r="A870" s="3">
        <f>IF(Raw_Data!J870=0,Raw_Data!D870,"")</f>
        <v>7685.74</v>
      </c>
      <c r="B870" s="3" t="str">
        <f>IF(Raw_Data!J870=1,Raw_Data!D870,"")</f>
        <v/>
      </c>
    </row>
    <row r="871" spans="1:2" x14ac:dyDescent="0.25">
      <c r="A871" s="3">
        <f>IF(Raw_Data!J871=0,Raw_Data!D871,"")</f>
        <v>1089.05</v>
      </c>
      <c r="B871" s="3" t="str">
        <f>IF(Raw_Data!J871=1,Raw_Data!D871,"")</f>
        <v/>
      </c>
    </row>
    <row r="872" spans="1:2" x14ac:dyDescent="0.25">
      <c r="A872" s="3">
        <f>IF(Raw_Data!J872=0,Raw_Data!D872,"")</f>
        <v>2746.52</v>
      </c>
      <c r="B872" s="3" t="str">
        <f>IF(Raw_Data!J872=1,Raw_Data!D872,"")</f>
        <v/>
      </c>
    </row>
    <row r="873" spans="1:2" x14ac:dyDescent="0.25">
      <c r="A873" s="3">
        <f>IF(Raw_Data!J873=0,Raw_Data!D873,"")</f>
        <v>1464.32</v>
      </c>
      <c r="B873" s="3" t="str">
        <f>IF(Raw_Data!J873=1,Raw_Data!D873,"")</f>
        <v/>
      </c>
    </row>
    <row r="874" spans="1:2" x14ac:dyDescent="0.25">
      <c r="A874" s="3" t="str">
        <f>IF(Raw_Data!J874=0,Raw_Data!D874,"")</f>
        <v/>
      </c>
      <c r="B874" s="3">
        <f>IF(Raw_Data!J874=1,Raw_Data!D874,"")</f>
        <v>2126.37</v>
      </c>
    </row>
    <row r="875" spans="1:2" x14ac:dyDescent="0.25">
      <c r="A875" s="3">
        <f>IF(Raw_Data!J875=0,Raw_Data!D875,"")</f>
        <v>633.94000000000005</v>
      </c>
      <c r="B875" s="3" t="str">
        <f>IF(Raw_Data!J875=1,Raw_Data!D875,"")</f>
        <v/>
      </c>
    </row>
    <row r="876" spans="1:2" x14ac:dyDescent="0.25">
      <c r="A876" s="3">
        <f>IF(Raw_Data!J876=0,Raw_Data!D876,"")</f>
        <v>1932.79</v>
      </c>
      <c r="B876" s="3" t="str">
        <f>IF(Raw_Data!J876=1,Raw_Data!D876,"")</f>
        <v/>
      </c>
    </row>
    <row r="877" spans="1:2" x14ac:dyDescent="0.25">
      <c r="A877" s="3">
        <f>IF(Raw_Data!J877=0,Raw_Data!D877,"")</f>
        <v>2547.0700000000002</v>
      </c>
      <c r="B877" s="3" t="str">
        <f>IF(Raw_Data!J877=1,Raw_Data!D877,"")</f>
        <v/>
      </c>
    </row>
    <row r="878" spans="1:2" x14ac:dyDescent="0.25">
      <c r="A878" s="3">
        <f>IF(Raw_Data!J878=0,Raw_Data!D878,"")</f>
        <v>2428.85</v>
      </c>
      <c r="B878" s="3" t="str">
        <f>IF(Raw_Data!J878=1,Raw_Data!D878,"")</f>
        <v/>
      </c>
    </row>
    <row r="879" spans="1:2" x14ac:dyDescent="0.25">
      <c r="A879" s="3">
        <f>IF(Raw_Data!J879=0,Raw_Data!D879,"")</f>
        <v>1691.85</v>
      </c>
      <c r="B879" s="3" t="str">
        <f>IF(Raw_Data!J879=1,Raw_Data!D879,"")</f>
        <v/>
      </c>
    </row>
    <row r="880" spans="1:2" x14ac:dyDescent="0.25">
      <c r="A880" s="3" t="str">
        <f>IF(Raw_Data!J880=0,Raw_Data!D880,"")</f>
        <v/>
      </c>
      <c r="B880" s="3">
        <f>IF(Raw_Data!J880=1,Raw_Data!D880,"")</f>
        <v>5566.12</v>
      </c>
    </row>
    <row r="881" spans="1:2" x14ac:dyDescent="0.25">
      <c r="A881" s="3">
        <f>IF(Raw_Data!J881=0,Raw_Data!D881,"")</f>
        <v>292.32</v>
      </c>
      <c r="B881" s="3" t="str">
        <f>IF(Raw_Data!J881=1,Raw_Data!D881,"")</f>
        <v/>
      </c>
    </row>
    <row r="882" spans="1:2" x14ac:dyDescent="0.25">
      <c r="A882" s="3">
        <f>IF(Raw_Data!J882=0,Raw_Data!D882,"")</f>
        <v>5321.14</v>
      </c>
      <c r="B882" s="3" t="str">
        <f>IF(Raw_Data!J882=1,Raw_Data!D882,"")</f>
        <v/>
      </c>
    </row>
    <row r="883" spans="1:2" x14ac:dyDescent="0.25">
      <c r="A883" s="3">
        <f>IF(Raw_Data!J883=0,Raw_Data!D883,"")</f>
        <v>4085.21</v>
      </c>
      <c r="B883" s="3" t="str">
        <f>IF(Raw_Data!J883=1,Raw_Data!D883,"")</f>
        <v/>
      </c>
    </row>
    <row r="884" spans="1:2" x14ac:dyDescent="0.25">
      <c r="A884" s="3">
        <f>IF(Raw_Data!J884=0,Raw_Data!D884,"")</f>
        <v>1153.82</v>
      </c>
      <c r="B884" s="3" t="str">
        <f>IF(Raw_Data!J884=1,Raw_Data!D884,"")</f>
        <v/>
      </c>
    </row>
    <row r="885" spans="1:2" x14ac:dyDescent="0.25">
      <c r="A885" s="3">
        <f>IF(Raw_Data!J885=0,Raw_Data!D885,"")</f>
        <v>1785.34</v>
      </c>
      <c r="B885" s="3" t="str">
        <f>IF(Raw_Data!J885=1,Raw_Data!D885,"")</f>
        <v/>
      </c>
    </row>
    <row r="886" spans="1:2" x14ac:dyDescent="0.25">
      <c r="A886" s="3">
        <f>IF(Raw_Data!J886=0,Raw_Data!D886,"")</f>
        <v>731.39</v>
      </c>
      <c r="B886" s="3" t="str">
        <f>IF(Raw_Data!J886=1,Raw_Data!D886,"")</f>
        <v/>
      </c>
    </row>
    <row r="887" spans="1:2" x14ac:dyDescent="0.25">
      <c r="A887" s="3">
        <f>IF(Raw_Data!J887=0,Raw_Data!D887,"")</f>
        <v>2795.36</v>
      </c>
      <c r="B887" s="3" t="str">
        <f>IF(Raw_Data!J887=1,Raw_Data!D887,"")</f>
        <v/>
      </c>
    </row>
    <row r="888" spans="1:2" x14ac:dyDescent="0.25">
      <c r="A888" s="3" t="str">
        <f>IF(Raw_Data!J888=0,Raw_Data!D888,"")</f>
        <v/>
      </c>
      <c r="B888" s="3">
        <f>IF(Raw_Data!J888=1,Raw_Data!D888,"")</f>
        <v>3823.45</v>
      </c>
    </row>
    <row r="889" spans="1:2" x14ac:dyDescent="0.25">
      <c r="A889" s="3">
        <f>IF(Raw_Data!J889=0,Raw_Data!D889,"")</f>
        <v>3548.73</v>
      </c>
      <c r="B889" s="3" t="str">
        <f>IF(Raw_Data!J889=1,Raw_Data!D889,"")</f>
        <v/>
      </c>
    </row>
    <row r="890" spans="1:2" x14ac:dyDescent="0.25">
      <c r="A890" s="3" t="str">
        <f>IF(Raw_Data!J890=0,Raw_Data!D890,"")</f>
        <v/>
      </c>
      <c r="B890" s="3">
        <f>IF(Raw_Data!J890=1,Raw_Data!D890,"")</f>
        <v>4714.6899999999996</v>
      </c>
    </row>
    <row r="891" spans="1:2" x14ac:dyDescent="0.25">
      <c r="A891" s="3">
        <f>IF(Raw_Data!J891=0,Raw_Data!D891,"")</f>
        <v>5192.72</v>
      </c>
      <c r="B891" s="3" t="str">
        <f>IF(Raw_Data!J891=1,Raw_Data!D891,"")</f>
        <v/>
      </c>
    </row>
    <row r="892" spans="1:2" x14ac:dyDescent="0.25">
      <c r="A892" s="3">
        <f>IF(Raw_Data!J892=0,Raw_Data!D892,"")</f>
        <v>1851.98</v>
      </c>
      <c r="B892" s="3" t="str">
        <f>IF(Raw_Data!J892=1,Raw_Data!D892,"")</f>
        <v/>
      </c>
    </row>
    <row r="893" spans="1:2" x14ac:dyDescent="0.25">
      <c r="A893" s="3">
        <f>IF(Raw_Data!J893=0,Raw_Data!D893,"")</f>
        <v>2982.21</v>
      </c>
      <c r="B893" s="3" t="str">
        <f>IF(Raw_Data!J893=1,Raw_Data!D893,"")</f>
        <v/>
      </c>
    </row>
    <row r="894" spans="1:2" x14ac:dyDescent="0.25">
      <c r="A894" s="3">
        <f>IF(Raw_Data!J894=0,Raw_Data!D894,"")</f>
        <v>397.74</v>
      </c>
      <c r="B894" s="3" t="str">
        <f>IF(Raw_Data!J894=1,Raw_Data!D894,"")</f>
        <v/>
      </c>
    </row>
    <row r="895" spans="1:2" x14ac:dyDescent="0.25">
      <c r="A895" s="3">
        <f>IF(Raw_Data!J895=0,Raw_Data!D895,"")</f>
        <v>2110.62</v>
      </c>
      <c r="B895" s="3" t="str">
        <f>IF(Raw_Data!J895=1,Raw_Data!D895,"")</f>
        <v/>
      </c>
    </row>
    <row r="896" spans="1:2" x14ac:dyDescent="0.25">
      <c r="A896" s="3" t="str">
        <f>IF(Raw_Data!J896=0,Raw_Data!D896,"")</f>
        <v/>
      </c>
      <c r="B896" s="3">
        <f>IF(Raw_Data!J896=1,Raw_Data!D896,"")</f>
        <v>1573.86</v>
      </c>
    </row>
    <row r="897" spans="1:2" x14ac:dyDescent="0.25">
      <c r="A897" s="3">
        <f>IF(Raw_Data!J897=0,Raw_Data!D897,"")</f>
        <v>1007.55</v>
      </c>
      <c r="B897" s="3" t="str">
        <f>IF(Raw_Data!J897=1,Raw_Data!D897,"")</f>
        <v/>
      </c>
    </row>
    <row r="898" spans="1:2" x14ac:dyDescent="0.25">
      <c r="A898" s="3">
        <f>IF(Raw_Data!J898=0,Raw_Data!D898,"")</f>
        <v>2557.2600000000002</v>
      </c>
      <c r="B898" s="3" t="str">
        <f>IF(Raw_Data!J898=1,Raw_Data!D898,"")</f>
        <v/>
      </c>
    </row>
    <row r="899" spans="1:2" x14ac:dyDescent="0.25">
      <c r="A899" s="3">
        <f>IF(Raw_Data!J899=0,Raw_Data!D899,"")</f>
        <v>520.49</v>
      </c>
      <c r="B899" s="3" t="str">
        <f>IF(Raw_Data!J899=1,Raw_Data!D899,"")</f>
        <v/>
      </c>
    </row>
    <row r="900" spans="1:2" x14ac:dyDescent="0.25">
      <c r="A900" s="3">
        <f>IF(Raw_Data!J900=0,Raw_Data!D900,"")</f>
        <v>183.59</v>
      </c>
      <c r="B900" s="3" t="str">
        <f>IF(Raw_Data!J900=1,Raw_Data!D900,"")</f>
        <v/>
      </c>
    </row>
    <row r="901" spans="1:2" x14ac:dyDescent="0.25">
      <c r="A901" s="3" t="str">
        <f>IF(Raw_Data!J901=0,Raw_Data!D901,"")</f>
        <v/>
      </c>
      <c r="B901" s="3">
        <f>IF(Raw_Data!J901=1,Raw_Data!D901,"")</f>
        <v>3512.76</v>
      </c>
    </row>
    <row r="902" spans="1:2" x14ac:dyDescent="0.25">
      <c r="A902" s="3">
        <f>IF(Raw_Data!J902=0,Raw_Data!D902,"")</f>
        <v>658.54</v>
      </c>
      <c r="B902" s="3" t="str">
        <f>IF(Raw_Data!J902=1,Raw_Data!D902,"")</f>
        <v/>
      </c>
    </row>
    <row r="903" spans="1:2" x14ac:dyDescent="0.25">
      <c r="A903" s="3" t="str">
        <f>IF(Raw_Data!J903=0,Raw_Data!D903,"")</f>
        <v/>
      </c>
      <c r="B903" s="3">
        <f>IF(Raw_Data!J903=1,Raw_Data!D903,"")</f>
        <v>4621.78</v>
      </c>
    </row>
    <row r="904" spans="1:2" x14ac:dyDescent="0.25">
      <c r="A904" s="3" t="str">
        <f>IF(Raw_Data!J904=0,Raw_Data!D904,"")</f>
        <v/>
      </c>
      <c r="B904" s="3">
        <f>IF(Raw_Data!J904=1,Raw_Data!D904,"")</f>
        <v>1860.16</v>
      </c>
    </row>
    <row r="905" spans="1:2" x14ac:dyDescent="0.25">
      <c r="A905" s="3">
        <f>IF(Raw_Data!J905=0,Raw_Data!D905,"")</f>
        <v>4585.93</v>
      </c>
      <c r="B905" s="3" t="str">
        <f>IF(Raw_Data!J905=1,Raw_Data!D905,"")</f>
        <v/>
      </c>
    </row>
    <row r="906" spans="1:2" x14ac:dyDescent="0.25">
      <c r="A906" s="3">
        <f>IF(Raw_Data!J906=0,Raw_Data!D906,"")</f>
        <v>6087.04</v>
      </c>
      <c r="B906" s="3" t="str">
        <f>IF(Raw_Data!J906=1,Raw_Data!D906,"")</f>
        <v/>
      </c>
    </row>
    <row r="907" spans="1:2" x14ac:dyDescent="0.25">
      <c r="A907" s="3">
        <f>IF(Raw_Data!J907=0,Raw_Data!D907,"")</f>
        <v>1087.94</v>
      </c>
      <c r="B907" s="3" t="str">
        <f>IF(Raw_Data!J907=1,Raw_Data!D907,"")</f>
        <v/>
      </c>
    </row>
    <row r="908" spans="1:2" x14ac:dyDescent="0.25">
      <c r="A908" s="3">
        <f>IF(Raw_Data!J908=0,Raw_Data!D908,"")</f>
        <v>82.42</v>
      </c>
      <c r="B908" s="3" t="str">
        <f>IF(Raw_Data!J908=1,Raw_Data!D908,"")</f>
        <v/>
      </c>
    </row>
    <row r="909" spans="1:2" x14ac:dyDescent="0.25">
      <c r="A909" s="3" t="str">
        <f>IF(Raw_Data!J909=0,Raw_Data!D909,"")</f>
        <v/>
      </c>
      <c r="B909" s="3">
        <f>IF(Raw_Data!J909=1,Raw_Data!D909,"")</f>
        <v>4285.87</v>
      </c>
    </row>
    <row r="910" spans="1:2" x14ac:dyDescent="0.25">
      <c r="A910" s="3">
        <f>IF(Raw_Data!J910=0,Raw_Data!D910,"")</f>
        <v>2270.89</v>
      </c>
      <c r="B910" s="3" t="str">
        <f>IF(Raw_Data!J910=1,Raw_Data!D910,"")</f>
        <v/>
      </c>
    </row>
    <row r="911" spans="1:2" x14ac:dyDescent="0.25">
      <c r="A911" s="3">
        <f>IF(Raw_Data!J911=0,Raw_Data!D911,"")</f>
        <v>2500.87</v>
      </c>
      <c r="B911" s="3" t="str">
        <f>IF(Raw_Data!J911=1,Raw_Data!D911,"")</f>
        <v/>
      </c>
    </row>
    <row r="912" spans="1:2" x14ac:dyDescent="0.25">
      <c r="A912" s="3">
        <f>IF(Raw_Data!J912=0,Raw_Data!D912,"")</f>
        <v>3220.61</v>
      </c>
      <c r="B912" s="3" t="str">
        <f>IF(Raw_Data!J912=1,Raw_Data!D912,"")</f>
        <v/>
      </c>
    </row>
    <row r="913" spans="1:2" x14ac:dyDescent="0.25">
      <c r="A913" s="3">
        <f>IF(Raw_Data!J913=0,Raw_Data!D913,"")</f>
        <v>795.91</v>
      </c>
      <c r="B913" s="3" t="str">
        <f>IF(Raw_Data!J913=1,Raw_Data!D913,"")</f>
        <v/>
      </c>
    </row>
    <row r="914" spans="1:2" x14ac:dyDescent="0.25">
      <c r="A914" s="3" t="str">
        <f>IF(Raw_Data!J914=0,Raw_Data!D914,"")</f>
        <v/>
      </c>
      <c r="B914" s="3">
        <f>IF(Raw_Data!J914=1,Raw_Data!D914,"")</f>
        <v>194.81</v>
      </c>
    </row>
    <row r="915" spans="1:2" x14ac:dyDescent="0.25">
      <c r="A915" s="3">
        <f>IF(Raw_Data!J915=0,Raw_Data!D915,"")</f>
        <v>1381.25</v>
      </c>
      <c r="B915" s="3" t="str">
        <f>IF(Raw_Data!J915=1,Raw_Data!D915,"")</f>
        <v/>
      </c>
    </row>
    <row r="916" spans="1:2" x14ac:dyDescent="0.25">
      <c r="A916" s="3">
        <f>IF(Raw_Data!J916=0,Raw_Data!D916,"")</f>
        <v>2827.57</v>
      </c>
      <c r="B916" s="3" t="str">
        <f>IF(Raw_Data!J916=1,Raw_Data!D916,"")</f>
        <v/>
      </c>
    </row>
    <row r="917" spans="1:2" x14ac:dyDescent="0.25">
      <c r="A917" s="3">
        <f>IF(Raw_Data!J917=0,Raw_Data!D917,"")</f>
        <v>3166.93</v>
      </c>
      <c r="B917" s="3" t="str">
        <f>IF(Raw_Data!J917=1,Raw_Data!D917,"")</f>
        <v/>
      </c>
    </row>
    <row r="918" spans="1:2" x14ac:dyDescent="0.25">
      <c r="A918" s="3">
        <f>IF(Raw_Data!J918=0,Raw_Data!D918,"")</f>
        <v>297.95</v>
      </c>
      <c r="B918" s="3" t="str">
        <f>IF(Raw_Data!J918=1,Raw_Data!D918,"")</f>
        <v/>
      </c>
    </row>
    <row r="919" spans="1:2" x14ac:dyDescent="0.25">
      <c r="A919" s="3">
        <f>IF(Raw_Data!J919=0,Raw_Data!D919,"")</f>
        <v>9424.75</v>
      </c>
      <c r="B919" s="3" t="str">
        <f>IF(Raw_Data!J919=1,Raw_Data!D919,"")</f>
        <v/>
      </c>
    </row>
    <row r="920" spans="1:2" x14ac:dyDescent="0.25">
      <c r="A920" s="3">
        <f>IF(Raw_Data!J920=0,Raw_Data!D920,"")</f>
        <v>1298.95</v>
      </c>
      <c r="B920" s="3" t="str">
        <f>IF(Raw_Data!J920=1,Raw_Data!D920,"")</f>
        <v/>
      </c>
    </row>
    <row r="921" spans="1:2" x14ac:dyDescent="0.25">
      <c r="A921" s="3">
        <f>IF(Raw_Data!J921=0,Raw_Data!D921,"")</f>
        <v>1466.96</v>
      </c>
      <c r="B921" s="3" t="str">
        <f>IF(Raw_Data!J921=1,Raw_Data!D921,"")</f>
        <v/>
      </c>
    </row>
    <row r="922" spans="1:2" x14ac:dyDescent="0.25">
      <c r="A922" s="3">
        <f>IF(Raw_Data!J922=0,Raw_Data!D922,"")</f>
        <v>1822.79</v>
      </c>
      <c r="B922" s="3" t="str">
        <f>IF(Raw_Data!J922=1,Raw_Data!D922,"")</f>
        <v/>
      </c>
    </row>
    <row r="923" spans="1:2" x14ac:dyDescent="0.25">
      <c r="A923" s="3" t="str">
        <f>IF(Raw_Data!J923=0,Raw_Data!D923,"")</f>
        <v/>
      </c>
      <c r="B923" s="3">
        <f>IF(Raw_Data!J923=1,Raw_Data!D923,"")</f>
        <v>724.35</v>
      </c>
    </row>
    <row r="924" spans="1:2" x14ac:dyDescent="0.25">
      <c r="A924" s="3">
        <f>IF(Raw_Data!J924=0,Raw_Data!D924,"")</f>
        <v>174.37</v>
      </c>
      <c r="B924" s="3" t="str">
        <f>IF(Raw_Data!J924=1,Raw_Data!D924,"")</f>
        <v/>
      </c>
    </row>
    <row r="925" spans="1:2" x14ac:dyDescent="0.25">
      <c r="A925" s="3">
        <f>IF(Raw_Data!J925=0,Raw_Data!D925,"")</f>
        <v>4866.9399999999996</v>
      </c>
      <c r="B925" s="3" t="str">
        <f>IF(Raw_Data!J925=1,Raw_Data!D925,"")</f>
        <v/>
      </c>
    </row>
    <row r="926" spans="1:2" x14ac:dyDescent="0.25">
      <c r="A926" s="3">
        <f>IF(Raw_Data!J926=0,Raw_Data!D926,"")</f>
        <v>1478.69</v>
      </c>
      <c r="B926" s="3" t="str">
        <f>IF(Raw_Data!J926=1,Raw_Data!D926,"")</f>
        <v/>
      </c>
    </row>
    <row r="927" spans="1:2" x14ac:dyDescent="0.25">
      <c r="A927" s="3" t="str">
        <f>IF(Raw_Data!J927=0,Raw_Data!D927,"")</f>
        <v/>
      </c>
      <c r="B927" s="3">
        <f>IF(Raw_Data!J927=1,Raw_Data!D927,"")</f>
        <v>2476.4299999999998</v>
      </c>
    </row>
    <row r="928" spans="1:2" x14ac:dyDescent="0.25">
      <c r="A928" s="3" t="str">
        <f>IF(Raw_Data!J928=0,Raw_Data!D928,"")</f>
        <v/>
      </c>
      <c r="B928" s="3">
        <f>IF(Raw_Data!J928=1,Raw_Data!D928,"")</f>
        <v>2771.8</v>
      </c>
    </row>
    <row r="929" spans="1:2" x14ac:dyDescent="0.25">
      <c r="A929" s="3" t="str">
        <f>IF(Raw_Data!J929=0,Raw_Data!D929,"")</f>
        <v/>
      </c>
      <c r="B929" s="3">
        <f>IF(Raw_Data!J929=1,Raw_Data!D929,"")</f>
        <v>2014.24</v>
      </c>
    </row>
    <row r="930" spans="1:2" x14ac:dyDescent="0.25">
      <c r="A930" s="3">
        <f>IF(Raw_Data!J930=0,Raw_Data!D930,"")</f>
        <v>6470.54</v>
      </c>
      <c r="B930" s="3" t="str">
        <f>IF(Raw_Data!J930=1,Raw_Data!D930,"")</f>
        <v/>
      </c>
    </row>
    <row r="931" spans="1:2" x14ac:dyDescent="0.25">
      <c r="A931" s="3">
        <f>IF(Raw_Data!J931=0,Raw_Data!D931,"")</f>
        <v>1414.56</v>
      </c>
      <c r="B931" s="3" t="str">
        <f>IF(Raw_Data!J931=1,Raw_Data!D931,"")</f>
        <v/>
      </c>
    </row>
    <row r="932" spans="1:2" x14ac:dyDescent="0.25">
      <c r="A932" s="3">
        <f>IF(Raw_Data!J932=0,Raw_Data!D932,"")</f>
        <v>6253.36</v>
      </c>
      <c r="B932" s="3" t="str">
        <f>IF(Raw_Data!J932=1,Raw_Data!D932,"")</f>
        <v/>
      </c>
    </row>
    <row r="933" spans="1:2" x14ac:dyDescent="0.25">
      <c r="A933" s="3">
        <f>IF(Raw_Data!J933=0,Raw_Data!D933,"")</f>
        <v>2495.37</v>
      </c>
      <c r="B933" s="3" t="str">
        <f>IF(Raw_Data!J933=1,Raw_Data!D933,"")</f>
        <v/>
      </c>
    </row>
    <row r="934" spans="1:2" x14ac:dyDescent="0.25">
      <c r="A934" s="3">
        <f>IF(Raw_Data!J934=0,Raw_Data!D934,"")</f>
        <v>1145.02</v>
      </c>
      <c r="B934" s="3" t="str">
        <f>IF(Raw_Data!J934=1,Raw_Data!D934,"")</f>
        <v/>
      </c>
    </row>
    <row r="935" spans="1:2" x14ac:dyDescent="0.25">
      <c r="A935" s="3">
        <f>IF(Raw_Data!J935=0,Raw_Data!D935,"")</f>
        <v>4467.47</v>
      </c>
      <c r="B935" s="3" t="str">
        <f>IF(Raw_Data!J935=1,Raw_Data!D935,"")</f>
        <v/>
      </c>
    </row>
    <row r="936" spans="1:2" x14ac:dyDescent="0.25">
      <c r="A936" s="3">
        <f>IF(Raw_Data!J936=0,Raw_Data!D936,"")</f>
        <v>296.69</v>
      </c>
      <c r="B936" s="3" t="str">
        <f>IF(Raw_Data!J936=1,Raw_Data!D936,"")</f>
        <v/>
      </c>
    </row>
    <row r="937" spans="1:2" x14ac:dyDescent="0.25">
      <c r="A937" s="3">
        <f>IF(Raw_Data!J937=0,Raw_Data!D937,"")</f>
        <v>1154.6600000000001</v>
      </c>
      <c r="B937" s="3" t="str">
        <f>IF(Raw_Data!J937=1,Raw_Data!D937,"")</f>
        <v/>
      </c>
    </row>
    <row r="938" spans="1:2" x14ac:dyDescent="0.25">
      <c r="A938" s="3" t="str">
        <f>IF(Raw_Data!J938=0,Raw_Data!D938,"")</f>
        <v/>
      </c>
      <c r="B938" s="3">
        <f>IF(Raw_Data!J938=1,Raw_Data!D938,"")</f>
        <v>997.76</v>
      </c>
    </row>
    <row r="939" spans="1:2" x14ac:dyDescent="0.25">
      <c r="A939" s="3">
        <f>IF(Raw_Data!J939=0,Raw_Data!D939,"")</f>
        <v>6199.62</v>
      </c>
      <c r="B939" s="3" t="str">
        <f>IF(Raw_Data!J939=1,Raw_Data!D939,"")</f>
        <v/>
      </c>
    </row>
    <row r="940" spans="1:2" x14ac:dyDescent="0.25">
      <c r="A940" s="3">
        <f>IF(Raw_Data!J940=0,Raw_Data!D940,"")</f>
        <v>2847.79</v>
      </c>
      <c r="B940" s="3" t="str">
        <f>IF(Raw_Data!J940=1,Raw_Data!D940,"")</f>
        <v/>
      </c>
    </row>
    <row r="941" spans="1:2" x14ac:dyDescent="0.25">
      <c r="A941" s="3">
        <f>IF(Raw_Data!J941=0,Raw_Data!D941,"")</f>
        <v>6277.06</v>
      </c>
      <c r="B941" s="3" t="str">
        <f>IF(Raw_Data!J941=1,Raw_Data!D941,"")</f>
        <v/>
      </c>
    </row>
    <row r="942" spans="1:2" x14ac:dyDescent="0.25">
      <c r="A942" s="3">
        <f>IF(Raw_Data!J942=0,Raw_Data!D942,"")</f>
        <v>9713.14</v>
      </c>
      <c r="B942" s="3" t="str">
        <f>IF(Raw_Data!J942=1,Raw_Data!D942,"")</f>
        <v/>
      </c>
    </row>
    <row r="943" spans="1:2" x14ac:dyDescent="0.25">
      <c r="A943" s="3">
        <f>IF(Raw_Data!J943=0,Raw_Data!D943,"")</f>
        <v>1116.1500000000001</v>
      </c>
      <c r="B943" s="3" t="str">
        <f>IF(Raw_Data!J943=1,Raw_Data!D943,"")</f>
        <v/>
      </c>
    </row>
    <row r="944" spans="1:2" x14ac:dyDescent="0.25">
      <c r="A944" s="3">
        <f>IF(Raw_Data!J944=0,Raw_Data!D944,"")</f>
        <v>3415.36</v>
      </c>
      <c r="B944" s="3" t="str">
        <f>IF(Raw_Data!J944=1,Raw_Data!D944,"")</f>
        <v/>
      </c>
    </row>
    <row r="945" spans="1:2" x14ac:dyDescent="0.25">
      <c r="A945" s="3">
        <f>IF(Raw_Data!J945=0,Raw_Data!D945,"")</f>
        <v>3124.66</v>
      </c>
      <c r="B945" s="3" t="str">
        <f>IF(Raw_Data!J945=1,Raw_Data!D945,"")</f>
        <v/>
      </c>
    </row>
    <row r="946" spans="1:2" x14ac:dyDescent="0.25">
      <c r="A946" s="3">
        <f>IF(Raw_Data!J946=0,Raw_Data!D946,"")</f>
        <v>5211.7299999999996</v>
      </c>
      <c r="B946" s="3" t="str">
        <f>IF(Raw_Data!J946=1,Raw_Data!D946,"")</f>
        <v/>
      </c>
    </row>
    <row r="947" spans="1:2" x14ac:dyDescent="0.25">
      <c r="A947" s="3" t="str">
        <f>IF(Raw_Data!J947=0,Raw_Data!D947,"")</f>
        <v/>
      </c>
      <c r="B947" s="3">
        <f>IF(Raw_Data!J947=1,Raw_Data!D947,"")</f>
        <v>843.93</v>
      </c>
    </row>
    <row r="948" spans="1:2" x14ac:dyDescent="0.25">
      <c r="A948" s="3">
        <f>IF(Raw_Data!J948=0,Raw_Data!D948,"")</f>
        <v>3853.93</v>
      </c>
      <c r="B948" s="3" t="str">
        <f>IF(Raw_Data!J948=1,Raw_Data!D948,"")</f>
        <v/>
      </c>
    </row>
    <row r="949" spans="1:2" x14ac:dyDescent="0.25">
      <c r="A949" s="3">
        <f>IF(Raw_Data!J949=0,Raw_Data!D949,"")</f>
        <v>255.62</v>
      </c>
      <c r="B949" s="3" t="str">
        <f>IF(Raw_Data!J949=1,Raw_Data!D949,"")</f>
        <v/>
      </c>
    </row>
    <row r="950" spans="1:2" x14ac:dyDescent="0.25">
      <c r="A950" s="3" t="str">
        <f>IF(Raw_Data!J950=0,Raw_Data!D950,"")</f>
        <v/>
      </c>
      <c r="B950" s="3">
        <f>IF(Raw_Data!J950=1,Raw_Data!D950,"")</f>
        <v>3359.98</v>
      </c>
    </row>
    <row r="951" spans="1:2" x14ac:dyDescent="0.25">
      <c r="A951" s="3" t="str">
        <f>IF(Raw_Data!J951=0,Raw_Data!D951,"")</f>
        <v/>
      </c>
      <c r="B951" s="3">
        <f>IF(Raw_Data!J951=1,Raw_Data!D951,"")</f>
        <v>2595.0100000000002</v>
      </c>
    </row>
    <row r="952" spans="1:2" x14ac:dyDescent="0.25">
      <c r="A952" s="3" t="str">
        <f>IF(Raw_Data!J952=0,Raw_Data!D952,"")</f>
        <v/>
      </c>
      <c r="B952" s="3">
        <f>IF(Raw_Data!J952=1,Raw_Data!D952,"")</f>
        <v>3515.52</v>
      </c>
    </row>
    <row r="953" spans="1:2" x14ac:dyDescent="0.25">
      <c r="A953" s="3">
        <f>IF(Raw_Data!J953=0,Raw_Data!D953,"")</f>
        <v>269.19</v>
      </c>
      <c r="B953" s="3" t="str">
        <f>IF(Raw_Data!J953=1,Raw_Data!D953,"")</f>
        <v/>
      </c>
    </row>
    <row r="954" spans="1:2" x14ac:dyDescent="0.25">
      <c r="A954" s="3">
        <f>IF(Raw_Data!J954=0,Raw_Data!D954,"")</f>
        <v>1457.49</v>
      </c>
      <c r="B954" s="3" t="str">
        <f>IF(Raw_Data!J954=1,Raw_Data!D954,"")</f>
        <v/>
      </c>
    </row>
    <row r="955" spans="1:2" x14ac:dyDescent="0.25">
      <c r="A955" s="3">
        <f>IF(Raw_Data!J955=0,Raw_Data!D955,"")</f>
        <v>5931.81</v>
      </c>
      <c r="B955" s="3" t="str">
        <f>IF(Raw_Data!J955=1,Raw_Data!D955,"")</f>
        <v/>
      </c>
    </row>
    <row r="956" spans="1:2" x14ac:dyDescent="0.25">
      <c r="A956" s="3">
        <f>IF(Raw_Data!J956=0,Raw_Data!D956,"")</f>
        <v>2419</v>
      </c>
      <c r="B956" s="3" t="str">
        <f>IF(Raw_Data!J956=1,Raw_Data!D956,"")</f>
        <v/>
      </c>
    </row>
    <row r="957" spans="1:2" x14ac:dyDescent="0.25">
      <c r="A957" s="3">
        <f>IF(Raw_Data!J957=0,Raw_Data!D957,"")</f>
        <v>1774.73</v>
      </c>
      <c r="B957" s="3" t="str">
        <f>IF(Raw_Data!J957=1,Raw_Data!D957,"")</f>
        <v/>
      </c>
    </row>
    <row r="958" spans="1:2" x14ac:dyDescent="0.25">
      <c r="A958" s="3" t="str">
        <f>IF(Raw_Data!J958=0,Raw_Data!D958,"")</f>
        <v/>
      </c>
      <c r="B958" s="3">
        <f>IF(Raw_Data!J958=1,Raw_Data!D958,"")</f>
        <v>2481.4699999999998</v>
      </c>
    </row>
    <row r="959" spans="1:2" x14ac:dyDescent="0.25">
      <c r="A959" s="3">
        <f>IF(Raw_Data!J959=0,Raw_Data!D959,"")</f>
        <v>5568.58</v>
      </c>
      <c r="B959" s="3" t="str">
        <f>IF(Raw_Data!J959=1,Raw_Data!D959,"")</f>
        <v/>
      </c>
    </row>
    <row r="960" spans="1:2" x14ac:dyDescent="0.25">
      <c r="A960" s="3">
        <f>IF(Raw_Data!J960=0,Raw_Data!D960,"")</f>
        <v>3753.93</v>
      </c>
      <c r="B960" s="3" t="str">
        <f>IF(Raw_Data!J960=1,Raw_Data!D960,"")</f>
        <v/>
      </c>
    </row>
    <row r="961" spans="1:2" x14ac:dyDescent="0.25">
      <c r="A961" s="3">
        <f>IF(Raw_Data!J961=0,Raw_Data!D961,"")</f>
        <v>1476.89</v>
      </c>
      <c r="B961" s="3" t="str">
        <f>IF(Raw_Data!J961=1,Raw_Data!D961,"")</f>
        <v/>
      </c>
    </row>
    <row r="962" spans="1:2" x14ac:dyDescent="0.25">
      <c r="A962" s="3" t="str">
        <f>IF(Raw_Data!J962=0,Raw_Data!D962,"")</f>
        <v/>
      </c>
      <c r="B962" s="3">
        <f>IF(Raw_Data!J962=1,Raw_Data!D962,"")</f>
        <v>1737.49</v>
      </c>
    </row>
    <row r="963" spans="1:2" x14ac:dyDescent="0.25">
      <c r="A963" s="3">
        <f>IF(Raw_Data!J963=0,Raw_Data!D963,"")</f>
        <v>3389.39</v>
      </c>
      <c r="B963" s="3" t="str">
        <f>IF(Raw_Data!J963=1,Raw_Data!D963,"")</f>
        <v/>
      </c>
    </row>
    <row r="964" spans="1:2" x14ac:dyDescent="0.25">
      <c r="A964" s="3">
        <f>IF(Raw_Data!J964=0,Raw_Data!D964,"")</f>
        <v>864.11</v>
      </c>
      <c r="B964" s="3" t="str">
        <f>IF(Raw_Data!J964=1,Raw_Data!D964,"")</f>
        <v/>
      </c>
    </row>
    <row r="965" spans="1:2" x14ac:dyDescent="0.25">
      <c r="A965" s="3">
        <f>IF(Raw_Data!J965=0,Raw_Data!D965,"")</f>
        <v>3174.04</v>
      </c>
      <c r="B965" s="3" t="str">
        <f>IF(Raw_Data!J965=1,Raw_Data!D965,"")</f>
        <v/>
      </c>
    </row>
    <row r="966" spans="1:2" x14ac:dyDescent="0.25">
      <c r="A966" s="3" t="str">
        <f>IF(Raw_Data!J966=0,Raw_Data!D966,"")</f>
        <v/>
      </c>
      <c r="B966" s="3">
        <f>IF(Raw_Data!J966=1,Raw_Data!D966,"")</f>
        <v>1422.88</v>
      </c>
    </row>
    <row r="967" spans="1:2" x14ac:dyDescent="0.25">
      <c r="A967" s="3">
        <f>IF(Raw_Data!J967=0,Raw_Data!D967,"")</f>
        <v>5906.92</v>
      </c>
      <c r="B967" s="3" t="str">
        <f>IF(Raw_Data!J967=1,Raw_Data!D967,"")</f>
        <v/>
      </c>
    </row>
    <row r="968" spans="1:2" x14ac:dyDescent="0.25">
      <c r="A968" s="3" t="str">
        <f>IF(Raw_Data!J968=0,Raw_Data!D968,"")</f>
        <v/>
      </c>
      <c r="B968" s="3">
        <f>IF(Raw_Data!J968=1,Raw_Data!D968,"")</f>
        <v>1402.42</v>
      </c>
    </row>
    <row r="969" spans="1:2" x14ac:dyDescent="0.25">
      <c r="A969" s="3">
        <f>IF(Raw_Data!J969=0,Raw_Data!D969,"")</f>
        <v>404.49</v>
      </c>
      <c r="B969" s="3" t="str">
        <f>IF(Raw_Data!J969=1,Raw_Data!D969,"")</f>
        <v/>
      </c>
    </row>
    <row r="970" spans="1:2" x14ac:dyDescent="0.25">
      <c r="A970" s="3" t="str">
        <f>IF(Raw_Data!J970=0,Raw_Data!D970,"")</f>
        <v/>
      </c>
      <c r="B970" s="3">
        <f>IF(Raw_Data!J970=1,Raw_Data!D970,"")</f>
        <v>784.2</v>
      </c>
    </row>
    <row r="971" spans="1:2" x14ac:dyDescent="0.25">
      <c r="A971" s="3">
        <f>IF(Raw_Data!J971=0,Raw_Data!D971,"")</f>
        <v>3649.65</v>
      </c>
      <c r="B971" s="3" t="str">
        <f>IF(Raw_Data!J971=1,Raw_Data!D971,"")</f>
        <v/>
      </c>
    </row>
    <row r="972" spans="1:2" x14ac:dyDescent="0.25">
      <c r="A972" s="3">
        <f>IF(Raw_Data!J972=0,Raw_Data!D972,"")</f>
        <v>601.07000000000005</v>
      </c>
      <c r="B972" s="3" t="str">
        <f>IF(Raw_Data!J972=1,Raw_Data!D972,"")</f>
        <v/>
      </c>
    </row>
    <row r="973" spans="1:2" x14ac:dyDescent="0.25">
      <c r="A973" s="3">
        <f>IF(Raw_Data!J973=0,Raw_Data!D973,"")</f>
        <v>267.44</v>
      </c>
      <c r="B973" s="3" t="str">
        <f>IF(Raw_Data!J973=1,Raw_Data!D973,"")</f>
        <v/>
      </c>
    </row>
    <row r="974" spans="1:2" x14ac:dyDescent="0.25">
      <c r="A974" s="3">
        <f>IF(Raw_Data!J974=0,Raw_Data!D974,"")</f>
        <v>4752.3599999999997</v>
      </c>
      <c r="B974" s="3" t="str">
        <f>IF(Raw_Data!J974=1,Raw_Data!D974,"")</f>
        <v/>
      </c>
    </row>
    <row r="975" spans="1:2" x14ac:dyDescent="0.25">
      <c r="A975" s="3" t="str">
        <f>IF(Raw_Data!J975=0,Raw_Data!D975,"")</f>
        <v/>
      </c>
      <c r="B975" s="3">
        <f>IF(Raw_Data!J975=1,Raw_Data!D975,"")</f>
        <v>1544.47</v>
      </c>
    </row>
    <row r="976" spans="1:2" x14ac:dyDescent="0.25">
      <c r="A976" s="3">
        <f>IF(Raw_Data!J976=0,Raw_Data!D976,"")</f>
        <v>2991.81</v>
      </c>
      <c r="B976" s="3" t="str">
        <f>IF(Raw_Data!J976=1,Raw_Data!D976,"")</f>
        <v/>
      </c>
    </row>
    <row r="977" spans="1:2" x14ac:dyDescent="0.25">
      <c r="A977" s="3">
        <f>IF(Raw_Data!J977=0,Raw_Data!D977,"")</f>
        <v>272.31</v>
      </c>
      <c r="B977" s="3" t="str">
        <f>IF(Raw_Data!J977=1,Raw_Data!D977,"")</f>
        <v/>
      </c>
    </row>
    <row r="978" spans="1:2" x14ac:dyDescent="0.25">
      <c r="A978" s="3">
        <f>IF(Raw_Data!J978=0,Raw_Data!D978,"")</f>
        <v>2093.7199999999998</v>
      </c>
      <c r="B978" s="3" t="str">
        <f>IF(Raw_Data!J978=1,Raw_Data!D978,"")</f>
        <v/>
      </c>
    </row>
    <row r="979" spans="1:2" x14ac:dyDescent="0.25">
      <c r="A979" s="3">
        <f>IF(Raw_Data!J979=0,Raw_Data!D979,"")</f>
        <v>5910.63</v>
      </c>
      <c r="B979" s="3" t="str">
        <f>IF(Raw_Data!J979=1,Raw_Data!D979,"")</f>
        <v/>
      </c>
    </row>
    <row r="980" spans="1:2" x14ac:dyDescent="0.25">
      <c r="A980" s="3">
        <f>IF(Raw_Data!J980=0,Raw_Data!D980,"")</f>
        <v>2929.5</v>
      </c>
      <c r="B980" s="3" t="str">
        <f>IF(Raw_Data!J980=1,Raw_Data!D980,"")</f>
        <v/>
      </c>
    </row>
    <row r="981" spans="1:2" x14ac:dyDescent="0.25">
      <c r="A981" s="3">
        <f>IF(Raw_Data!J981=0,Raw_Data!D981,"")</f>
        <v>2418.46</v>
      </c>
      <c r="B981" s="3" t="str">
        <f>IF(Raw_Data!J981=1,Raw_Data!D981,"")</f>
        <v/>
      </c>
    </row>
    <row r="982" spans="1:2" x14ac:dyDescent="0.25">
      <c r="A982" s="3">
        <f>IF(Raw_Data!J982=0,Raw_Data!D982,"")</f>
        <v>4798.33</v>
      </c>
      <c r="B982" s="3" t="str">
        <f>IF(Raw_Data!J982=1,Raw_Data!D982,"")</f>
        <v/>
      </c>
    </row>
    <row r="983" spans="1:2" x14ac:dyDescent="0.25">
      <c r="A983" s="3">
        <f>IF(Raw_Data!J983=0,Raw_Data!D983,"")</f>
        <v>2086.7800000000002</v>
      </c>
      <c r="B983" s="3" t="str">
        <f>IF(Raw_Data!J983=1,Raw_Data!D983,"")</f>
        <v/>
      </c>
    </row>
    <row r="984" spans="1:2" x14ac:dyDescent="0.25">
      <c r="A984" s="3">
        <f>IF(Raw_Data!J984=0,Raw_Data!D984,"")</f>
        <v>8750.84</v>
      </c>
      <c r="B984" s="3" t="str">
        <f>IF(Raw_Data!J984=1,Raw_Data!D984,"")</f>
        <v/>
      </c>
    </row>
    <row r="985" spans="1:2" x14ac:dyDescent="0.25">
      <c r="A985" s="3">
        <f>IF(Raw_Data!J985=0,Raw_Data!D985,"")</f>
        <v>3799.43</v>
      </c>
      <c r="B985" s="3" t="str">
        <f>IF(Raw_Data!J985=1,Raw_Data!D985,"")</f>
        <v/>
      </c>
    </row>
    <row r="986" spans="1:2" x14ac:dyDescent="0.25">
      <c r="A986" s="3">
        <f>IF(Raw_Data!J986=0,Raw_Data!D986,"")</f>
        <v>483.5</v>
      </c>
      <c r="B986" s="3" t="str">
        <f>IF(Raw_Data!J986=1,Raw_Data!D986,"")</f>
        <v/>
      </c>
    </row>
    <row r="987" spans="1:2" x14ac:dyDescent="0.25">
      <c r="A987" s="3">
        <f>IF(Raw_Data!J987=0,Raw_Data!D987,"")</f>
        <v>143.97</v>
      </c>
      <c r="B987" s="3" t="str">
        <f>IF(Raw_Data!J987=1,Raw_Data!D987,"")</f>
        <v/>
      </c>
    </row>
    <row r="988" spans="1:2" x14ac:dyDescent="0.25">
      <c r="A988" s="3" t="str">
        <f>IF(Raw_Data!J988=0,Raw_Data!D988,"")</f>
        <v/>
      </c>
      <c r="B988" s="3">
        <f>IF(Raw_Data!J988=1,Raw_Data!D988,"")</f>
        <v>1211.48</v>
      </c>
    </row>
    <row r="989" spans="1:2" x14ac:dyDescent="0.25">
      <c r="A989" s="3">
        <f>IF(Raw_Data!J989=0,Raw_Data!D989,"")</f>
        <v>571.77</v>
      </c>
      <c r="B989" s="3" t="str">
        <f>IF(Raw_Data!J989=1,Raw_Data!D989,"")</f>
        <v/>
      </c>
    </row>
    <row r="990" spans="1:2" x14ac:dyDescent="0.25">
      <c r="A990" s="3">
        <f>IF(Raw_Data!J990=0,Raw_Data!D990,"")</f>
        <v>3891.12</v>
      </c>
      <c r="B990" s="3" t="str">
        <f>IF(Raw_Data!J990=1,Raw_Data!D990,"")</f>
        <v/>
      </c>
    </row>
    <row r="991" spans="1:2" x14ac:dyDescent="0.25">
      <c r="A991" s="3">
        <f>IF(Raw_Data!J991=0,Raw_Data!D991,"")</f>
        <v>2664.3</v>
      </c>
      <c r="B991" s="3" t="str">
        <f>IF(Raw_Data!J991=1,Raw_Data!D991,"")</f>
        <v/>
      </c>
    </row>
    <row r="992" spans="1:2" x14ac:dyDescent="0.25">
      <c r="A992" s="3">
        <f>IF(Raw_Data!J992=0,Raw_Data!D992,"")</f>
        <v>2721.67</v>
      </c>
      <c r="B992" s="3" t="str">
        <f>IF(Raw_Data!J992=1,Raw_Data!D992,"")</f>
        <v/>
      </c>
    </row>
    <row r="993" spans="1:2" x14ac:dyDescent="0.25">
      <c r="A993" s="3">
        <f>IF(Raw_Data!J993=0,Raw_Data!D993,"")</f>
        <v>1634.44</v>
      </c>
      <c r="B993" s="3" t="str">
        <f>IF(Raw_Data!J993=1,Raw_Data!D993,"")</f>
        <v/>
      </c>
    </row>
    <row r="994" spans="1:2" x14ac:dyDescent="0.25">
      <c r="A994" s="3" t="str">
        <f>IF(Raw_Data!J994=0,Raw_Data!D994,"")</f>
        <v/>
      </c>
      <c r="B994" s="3">
        <f>IF(Raw_Data!J994=1,Raw_Data!D994,"")</f>
        <v>2632.36</v>
      </c>
    </row>
    <row r="995" spans="1:2" x14ac:dyDescent="0.25">
      <c r="A995" s="3">
        <f>IF(Raw_Data!J995=0,Raw_Data!D995,"")</f>
        <v>1511.35</v>
      </c>
      <c r="B995" s="3" t="str">
        <f>IF(Raw_Data!J995=1,Raw_Data!D995,"")</f>
        <v/>
      </c>
    </row>
    <row r="996" spans="1:2" x14ac:dyDescent="0.25">
      <c r="A996" s="3">
        <f>IF(Raw_Data!J996=0,Raw_Data!D996,"")</f>
        <v>608.41999999999996</v>
      </c>
      <c r="B996" s="3" t="str">
        <f>IF(Raw_Data!J996=1,Raw_Data!D996,"")</f>
        <v/>
      </c>
    </row>
    <row r="997" spans="1:2" x14ac:dyDescent="0.25">
      <c r="A997" s="3">
        <f>IF(Raw_Data!J997=0,Raw_Data!D997,"")</f>
        <v>1073.3</v>
      </c>
      <c r="B997" s="3" t="str">
        <f>IF(Raw_Data!J997=1,Raw_Data!D997,"")</f>
        <v/>
      </c>
    </row>
    <row r="998" spans="1:2" x14ac:dyDescent="0.25">
      <c r="A998" s="3">
        <f>IF(Raw_Data!J998=0,Raw_Data!D998,"")</f>
        <v>2786.53</v>
      </c>
      <c r="B998" s="3" t="str">
        <f>IF(Raw_Data!J998=1,Raw_Data!D998,"")</f>
        <v/>
      </c>
    </row>
    <row r="999" spans="1:2" x14ac:dyDescent="0.25">
      <c r="A999" s="3">
        <f>IF(Raw_Data!J999=0,Raw_Data!D999,"")</f>
        <v>2834.63</v>
      </c>
      <c r="B999" s="3" t="str">
        <f>IF(Raw_Data!J999=1,Raw_Data!D999,"")</f>
        <v/>
      </c>
    </row>
    <row r="1000" spans="1:2" x14ac:dyDescent="0.25">
      <c r="A1000" s="3">
        <f>IF(Raw_Data!J1000=0,Raw_Data!D1000,"")</f>
        <v>611.49</v>
      </c>
      <c r="B1000" s="3" t="str">
        <f>IF(Raw_Data!J1000=1,Raw_Data!D1000,"")</f>
        <v/>
      </c>
    </row>
    <row r="1001" spans="1:2" x14ac:dyDescent="0.25">
      <c r="A1001" s="3">
        <f>IF(Raw_Data!J1001=0,Raw_Data!D1001,"")</f>
        <v>4122.9399999999996</v>
      </c>
      <c r="B1001" s="3" t="str">
        <f>IF(Raw_Data!J1001=1,Raw_Data!D1001,"")</f>
        <v/>
      </c>
    </row>
    <row r="1002" spans="1:2" x14ac:dyDescent="0.25">
      <c r="A1002" s="3">
        <f>IF(Raw_Data!J1002=0,Raw_Data!D1002,"")</f>
        <v>2098.31</v>
      </c>
      <c r="B1002" s="3" t="str">
        <f>IF(Raw_Data!J1002=1,Raw_Data!D1002,"")</f>
        <v/>
      </c>
    </row>
    <row r="1003" spans="1:2" x14ac:dyDescent="0.25">
      <c r="A1003" s="3" t="str">
        <f>IF(Raw_Data!J1003=0,Raw_Data!D1003,"")</f>
        <v/>
      </c>
      <c r="B1003" s="3">
        <f>IF(Raw_Data!J1003=1,Raw_Data!D1003,"")</f>
        <v>7348.61</v>
      </c>
    </row>
    <row r="1004" spans="1:2" x14ac:dyDescent="0.25">
      <c r="A1004" s="3" t="str">
        <f>IF(Raw_Data!J1004=0,Raw_Data!D1004,"")</f>
        <v/>
      </c>
      <c r="B1004" s="3">
        <f>IF(Raw_Data!J1004=1,Raw_Data!D1004,"")</f>
        <v>3917.34</v>
      </c>
    </row>
    <row r="1005" spans="1:2" x14ac:dyDescent="0.25">
      <c r="A1005" s="3">
        <f>IF(Raw_Data!J1005=0,Raw_Data!D1005,"")</f>
        <v>1521.45</v>
      </c>
      <c r="B1005" s="3" t="str">
        <f>IF(Raw_Data!J1005=1,Raw_Data!D1005,"")</f>
        <v/>
      </c>
    </row>
    <row r="1006" spans="1:2" x14ac:dyDescent="0.25">
      <c r="A1006" s="3" t="str">
        <f>IF(Raw_Data!J1006=0,Raw_Data!D1006,"")</f>
        <v/>
      </c>
      <c r="B1006" s="3">
        <f>IF(Raw_Data!J1006=1,Raw_Data!D1006,"")</f>
        <v>1555.09</v>
      </c>
    </row>
    <row r="1007" spans="1:2" x14ac:dyDescent="0.25">
      <c r="A1007" s="3">
        <f>IF(Raw_Data!J1007=0,Raw_Data!D1007,"")</f>
        <v>6396.86</v>
      </c>
      <c r="B1007" s="3" t="str">
        <f>IF(Raw_Data!J1007=1,Raw_Data!D1007,"")</f>
        <v/>
      </c>
    </row>
    <row r="1008" spans="1:2" x14ac:dyDescent="0.25">
      <c r="A1008" s="3">
        <f>IF(Raw_Data!J1008=0,Raw_Data!D1008,"")</f>
        <v>1123.4000000000001</v>
      </c>
      <c r="B1008" s="3" t="str">
        <f>IF(Raw_Data!J1008=1,Raw_Data!D1008,"")</f>
        <v/>
      </c>
    </row>
    <row r="1009" spans="1:2" x14ac:dyDescent="0.25">
      <c r="A1009" s="3">
        <f>IF(Raw_Data!J1009=0,Raw_Data!D1009,"")</f>
        <v>4386.21</v>
      </c>
      <c r="B1009" s="3" t="str">
        <f>IF(Raw_Data!J1009=1,Raw_Data!D1009,"")</f>
        <v/>
      </c>
    </row>
    <row r="1010" spans="1:2" x14ac:dyDescent="0.25">
      <c r="A1010" s="3">
        <f>IF(Raw_Data!J1010=0,Raw_Data!D1010,"")</f>
        <v>1524.48</v>
      </c>
      <c r="B1010" s="3" t="str">
        <f>IF(Raw_Data!J1010=1,Raw_Data!D1010,"")</f>
        <v/>
      </c>
    </row>
    <row r="1011" spans="1:2" x14ac:dyDescent="0.25">
      <c r="A1011" s="3" t="str">
        <f>IF(Raw_Data!J1011=0,Raw_Data!D1011,"")</f>
        <v/>
      </c>
      <c r="B1011" s="3">
        <f>IF(Raw_Data!J1011=1,Raw_Data!D1011,"")</f>
        <v>1766.88</v>
      </c>
    </row>
    <row r="1012" spans="1:2" x14ac:dyDescent="0.25">
      <c r="A1012" s="3">
        <f>IF(Raw_Data!J1012=0,Raw_Data!D1012,"")</f>
        <v>802.27</v>
      </c>
      <c r="B1012" s="3" t="str">
        <f>IF(Raw_Data!J1012=1,Raw_Data!D1012,"")</f>
        <v/>
      </c>
    </row>
    <row r="1013" spans="1:2" x14ac:dyDescent="0.25">
      <c r="A1013" s="3">
        <f>IF(Raw_Data!J1013=0,Raw_Data!D1013,"")</f>
        <v>3100.57</v>
      </c>
      <c r="B1013" s="3" t="str">
        <f>IF(Raw_Data!J1013=1,Raw_Data!D1013,"")</f>
        <v/>
      </c>
    </row>
    <row r="1014" spans="1:2" x14ac:dyDescent="0.25">
      <c r="A1014" s="3">
        <f>IF(Raw_Data!J1014=0,Raw_Data!D1014,"")</f>
        <v>3620.24</v>
      </c>
      <c r="B1014" s="3" t="str">
        <f>IF(Raw_Data!J1014=1,Raw_Data!D1014,"")</f>
        <v/>
      </c>
    </row>
    <row r="1015" spans="1:2" x14ac:dyDescent="0.25">
      <c r="A1015" s="3">
        <f>IF(Raw_Data!J1015=0,Raw_Data!D1015,"")</f>
        <v>2962.83</v>
      </c>
      <c r="B1015" s="3" t="str">
        <f>IF(Raw_Data!J1015=1,Raw_Data!D1015,"")</f>
        <v/>
      </c>
    </row>
    <row r="1016" spans="1:2" x14ac:dyDescent="0.25">
      <c r="A1016" s="3">
        <f>IF(Raw_Data!J1016=0,Raw_Data!D1016,"")</f>
        <v>2925.27</v>
      </c>
      <c r="B1016" s="3" t="str">
        <f>IF(Raw_Data!J1016=1,Raw_Data!D1016,"")</f>
        <v/>
      </c>
    </row>
    <row r="1017" spans="1:2" x14ac:dyDescent="0.25">
      <c r="A1017" s="3">
        <f>IF(Raw_Data!J1017=0,Raw_Data!D1017,"")</f>
        <v>3481.67</v>
      </c>
      <c r="B1017" s="3" t="str">
        <f>IF(Raw_Data!J1017=1,Raw_Data!D1017,"")</f>
        <v/>
      </c>
    </row>
    <row r="1018" spans="1:2" x14ac:dyDescent="0.25">
      <c r="A1018" s="3">
        <f>IF(Raw_Data!J1018=0,Raw_Data!D1018,"")</f>
        <v>1533.14</v>
      </c>
      <c r="B1018" s="3" t="str">
        <f>IF(Raw_Data!J1018=1,Raw_Data!D1018,"")</f>
        <v/>
      </c>
    </row>
    <row r="1019" spans="1:2" x14ac:dyDescent="0.25">
      <c r="A1019" s="3">
        <f>IF(Raw_Data!J1019=0,Raw_Data!D1019,"")</f>
        <v>3446.86</v>
      </c>
      <c r="B1019" s="3" t="str">
        <f>IF(Raw_Data!J1019=1,Raw_Data!D1019,"")</f>
        <v/>
      </c>
    </row>
    <row r="1020" spans="1:2" x14ac:dyDescent="0.25">
      <c r="A1020" s="3" t="str">
        <f>IF(Raw_Data!J1020=0,Raw_Data!D1020,"")</f>
        <v/>
      </c>
      <c r="B1020" s="3">
        <f>IF(Raw_Data!J1020=1,Raw_Data!D1020,"")</f>
        <v>1103.32</v>
      </c>
    </row>
    <row r="1021" spans="1:2" x14ac:dyDescent="0.25">
      <c r="A1021" s="3">
        <f>IF(Raw_Data!J1021=0,Raw_Data!D1021,"")</f>
        <v>4110.5</v>
      </c>
      <c r="B1021" s="3" t="str">
        <f>IF(Raw_Data!J1021=1,Raw_Data!D1021,"")</f>
        <v/>
      </c>
    </row>
    <row r="1022" spans="1:2" x14ac:dyDescent="0.25">
      <c r="A1022" s="3">
        <f>IF(Raw_Data!J1022=0,Raw_Data!D1022,"")</f>
        <v>3747.74</v>
      </c>
      <c r="B1022" s="3" t="str">
        <f>IF(Raw_Data!J1022=1,Raw_Data!D1022,"")</f>
        <v/>
      </c>
    </row>
    <row r="1023" spans="1:2" x14ac:dyDescent="0.25">
      <c r="A1023" s="3">
        <f>IF(Raw_Data!J1023=0,Raw_Data!D1023,"")</f>
        <v>2726.67</v>
      </c>
      <c r="B1023" s="3" t="str">
        <f>IF(Raw_Data!J1023=1,Raw_Data!D1023,"")</f>
        <v/>
      </c>
    </row>
    <row r="1024" spans="1:2" x14ac:dyDescent="0.25">
      <c r="A1024" s="3">
        <f>IF(Raw_Data!J1024=0,Raw_Data!D1024,"")</f>
        <v>2953.39</v>
      </c>
      <c r="B1024" s="3" t="str">
        <f>IF(Raw_Data!J1024=1,Raw_Data!D1024,"")</f>
        <v/>
      </c>
    </row>
    <row r="1025" spans="1:2" x14ac:dyDescent="0.25">
      <c r="A1025" s="3">
        <f>IF(Raw_Data!J1025=0,Raw_Data!D1025,"")</f>
        <v>1570.06</v>
      </c>
      <c r="B1025" s="3" t="str">
        <f>IF(Raw_Data!J1025=1,Raw_Data!D1025,"")</f>
        <v/>
      </c>
    </row>
    <row r="1026" spans="1:2" x14ac:dyDescent="0.25">
      <c r="A1026" s="3">
        <f>IF(Raw_Data!J1026=0,Raw_Data!D1026,"")</f>
        <v>9329.82</v>
      </c>
      <c r="B1026" s="3" t="str">
        <f>IF(Raw_Data!J1026=1,Raw_Data!D1026,"")</f>
        <v/>
      </c>
    </row>
    <row r="1027" spans="1:2" x14ac:dyDescent="0.25">
      <c r="A1027" s="3">
        <f>IF(Raw_Data!J1027=0,Raw_Data!D1027,"")</f>
        <v>3331.85</v>
      </c>
      <c r="B1027" s="3" t="str">
        <f>IF(Raw_Data!J1027=1,Raw_Data!D1027,"")</f>
        <v/>
      </c>
    </row>
    <row r="1028" spans="1:2" x14ac:dyDescent="0.25">
      <c r="A1028" s="3" t="str">
        <f>IF(Raw_Data!J1028=0,Raw_Data!D1028,"")</f>
        <v/>
      </c>
      <c r="B1028" s="3">
        <f>IF(Raw_Data!J1028=1,Raw_Data!D1028,"")</f>
        <v>3960.39</v>
      </c>
    </row>
    <row r="1029" spans="1:2" x14ac:dyDescent="0.25">
      <c r="A1029" s="3">
        <f>IF(Raw_Data!J1029=0,Raw_Data!D1029,"")</f>
        <v>451.72</v>
      </c>
      <c r="B1029" s="3" t="str">
        <f>IF(Raw_Data!J1029=1,Raw_Data!D1029,"")</f>
        <v/>
      </c>
    </row>
    <row r="1030" spans="1:2" x14ac:dyDescent="0.25">
      <c r="A1030" s="3">
        <f>IF(Raw_Data!J1030=0,Raw_Data!D1030,"")</f>
        <v>642.58000000000004</v>
      </c>
      <c r="B1030" s="3" t="str">
        <f>IF(Raw_Data!J1030=1,Raw_Data!D1030,"")</f>
        <v/>
      </c>
    </row>
    <row r="1031" spans="1:2" x14ac:dyDescent="0.25">
      <c r="A1031" s="3">
        <f>IF(Raw_Data!J1031=0,Raw_Data!D1031,"")</f>
        <v>2025.93</v>
      </c>
      <c r="B1031" s="3" t="str">
        <f>IF(Raw_Data!J1031=1,Raw_Data!D1031,"")</f>
        <v/>
      </c>
    </row>
    <row r="1032" spans="1:2" x14ac:dyDescent="0.25">
      <c r="A1032" s="3">
        <f>IF(Raw_Data!J1032=0,Raw_Data!D1032,"")</f>
        <v>473.83</v>
      </c>
      <c r="B1032" s="3" t="str">
        <f>IF(Raw_Data!J1032=1,Raw_Data!D1032,"")</f>
        <v/>
      </c>
    </row>
    <row r="1033" spans="1:2" x14ac:dyDescent="0.25">
      <c r="A1033" s="3">
        <f>IF(Raw_Data!J1033=0,Raw_Data!D1033,"")</f>
        <v>1993.64</v>
      </c>
      <c r="B1033" s="3" t="str">
        <f>IF(Raw_Data!J1033=1,Raw_Data!D1033,"")</f>
        <v/>
      </c>
    </row>
    <row r="1034" spans="1:2" x14ac:dyDescent="0.25">
      <c r="A1034" s="3">
        <f>IF(Raw_Data!J1034=0,Raw_Data!D1034,"")</f>
        <v>479.67</v>
      </c>
      <c r="B1034" s="3" t="str">
        <f>IF(Raw_Data!J1034=1,Raw_Data!D1034,"")</f>
        <v/>
      </c>
    </row>
    <row r="1035" spans="1:2" x14ac:dyDescent="0.25">
      <c r="A1035" s="3">
        <f>IF(Raw_Data!J1035=0,Raw_Data!D1035,"")</f>
        <v>3082.29</v>
      </c>
      <c r="B1035" s="3" t="str">
        <f>IF(Raw_Data!J1035=1,Raw_Data!D1035,"")</f>
        <v/>
      </c>
    </row>
    <row r="1036" spans="1:2" x14ac:dyDescent="0.25">
      <c r="A1036" s="3" t="str">
        <f>IF(Raw_Data!J1036=0,Raw_Data!D1036,"")</f>
        <v/>
      </c>
      <c r="B1036" s="3">
        <f>IF(Raw_Data!J1036=1,Raw_Data!D1036,"")</f>
        <v>6278.72</v>
      </c>
    </row>
    <row r="1037" spans="1:2" x14ac:dyDescent="0.25">
      <c r="A1037" s="3">
        <f>IF(Raw_Data!J1037=0,Raw_Data!D1037,"")</f>
        <v>2149.06</v>
      </c>
      <c r="B1037" s="3" t="str">
        <f>IF(Raw_Data!J1037=1,Raw_Data!D1037,"")</f>
        <v/>
      </c>
    </row>
    <row r="1038" spans="1:2" x14ac:dyDescent="0.25">
      <c r="A1038" s="3">
        <f>IF(Raw_Data!J1038=0,Raw_Data!D1038,"")</f>
        <v>2319.6999999999998</v>
      </c>
      <c r="B1038" s="3" t="str">
        <f>IF(Raw_Data!J1038=1,Raw_Data!D1038,"")</f>
        <v/>
      </c>
    </row>
    <row r="1039" spans="1:2" x14ac:dyDescent="0.25">
      <c r="A1039" s="3">
        <f>IF(Raw_Data!J1039=0,Raw_Data!D1039,"")</f>
        <v>622.04999999999995</v>
      </c>
      <c r="B1039" s="3" t="str">
        <f>IF(Raw_Data!J1039=1,Raw_Data!D1039,"")</f>
        <v/>
      </c>
    </row>
    <row r="1040" spans="1:2" x14ac:dyDescent="0.25">
      <c r="A1040" s="3">
        <f>IF(Raw_Data!J1040=0,Raw_Data!D1040,"")</f>
        <v>5781.36</v>
      </c>
      <c r="B1040" s="3" t="str">
        <f>IF(Raw_Data!J1040=1,Raw_Data!D1040,"")</f>
        <v/>
      </c>
    </row>
    <row r="1041" spans="1:2" x14ac:dyDescent="0.25">
      <c r="A1041" s="3">
        <f>IF(Raw_Data!J1041=0,Raw_Data!D1041,"")</f>
        <v>1247.58</v>
      </c>
      <c r="B1041" s="3" t="str">
        <f>IF(Raw_Data!J1041=1,Raw_Data!D1041,"")</f>
        <v/>
      </c>
    </row>
    <row r="1042" spans="1:2" x14ac:dyDescent="0.25">
      <c r="A1042" s="3">
        <f>IF(Raw_Data!J1042=0,Raw_Data!D1042,"")</f>
        <v>4031.73</v>
      </c>
      <c r="B1042" s="3" t="str">
        <f>IF(Raw_Data!J1042=1,Raw_Data!D1042,"")</f>
        <v/>
      </c>
    </row>
    <row r="1043" spans="1:2" x14ac:dyDescent="0.25">
      <c r="A1043" s="3" t="str">
        <f>IF(Raw_Data!J1043=0,Raw_Data!D1043,"")</f>
        <v/>
      </c>
      <c r="B1043" s="3">
        <f>IF(Raw_Data!J1043=1,Raw_Data!D1043,"")</f>
        <v>874.06</v>
      </c>
    </row>
    <row r="1044" spans="1:2" x14ac:dyDescent="0.25">
      <c r="A1044" s="3">
        <f>IF(Raw_Data!J1044=0,Raw_Data!D1044,"")</f>
        <v>1218.2</v>
      </c>
      <c r="B1044" s="3" t="str">
        <f>IF(Raw_Data!J1044=1,Raw_Data!D1044,"")</f>
        <v/>
      </c>
    </row>
    <row r="1045" spans="1:2" x14ac:dyDescent="0.25">
      <c r="A1045" s="3">
        <f>IF(Raw_Data!J1045=0,Raw_Data!D1045,"")</f>
        <v>2174.39</v>
      </c>
      <c r="B1045" s="3" t="str">
        <f>IF(Raw_Data!J1045=1,Raw_Data!D1045,"")</f>
        <v/>
      </c>
    </row>
    <row r="1046" spans="1:2" x14ac:dyDescent="0.25">
      <c r="A1046" s="3">
        <f>IF(Raw_Data!J1046=0,Raw_Data!D1046,"")</f>
        <v>440.64</v>
      </c>
      <c r="B1046" s="3" t="str">
        <f>IF(Raw_Data!J1046=1,Raw_Data!D1046,"")</f>
        <v/>
      </c>
    </row>
    <row r="1047" spans="1:2" x14ac:dyDescent="0.25">
      <c r="A1047" s="3" t="str">
        <f>IF(Raw_Data!J1047=0,Raw_Data!D1047,"")</f>
        <v/>
      </c>
      <c r="B1047" s="3">
        <f>IF(Raw_Data!J1047=1,Raw_Data!D1047,"")</f>
        <v>1050.9000000000001</v>
      </c>
    </row>
    <row r="1048" spans="1:2" x14ac:dyDescent="0.25">
      <c r="A1048" s="3">
        <f>IF(Raw_Data!J1048=0,Raw_Data!D1048,"")</f>
        <v>4148.1899999999996</v>
      </c>
      <c r="B1048" s="3" t="str">
        <f>IF(Raw_Data!J1048=1,Raw_Data!D1048,"")</f>
        <v/>
      </c>
    </row>
    <row r="1049" spans="1:2" x14ac:dyDescent="0.25">
      <c r="A1049" s="3">
        <f>IF(Raw_Data!J1049=0,Raw_Data!D1049,"")</f>
        <v>861.73</v>
      </c>
      <c r="B1049" s="3" t="str">
        <f>IF(Raw_Data!J1049=1,Raw_Data!D1049,"")</f>
        <v/>
      </c>
    </row>
    <row r="1050" spans="1:2" x14ac:dyDescent="0.25">
      <c r="A1050" s="3" t="str">
        <f>IF(Raw_Data!J1050=0,Raw_Data!D1050,"")</f>
        <v/>
      </c>
      <c r="B1050" s="3">
        <f>IF(Raw_Data!J1050=1,Raw_Data!D1050,"")</f>
        <v>3051.56</v>
      </c>
    </row>
    <row r="1051" spans="1:2" x14ac:dyDescent="0.25">
      <c r="A1051" s="3">
        <f>IF(Raw_Data!J1051=0,Raw_Data!D1051,"")</f>
        <v>5585.25</v>
      </c>
      <c r="B1051" s="3" t="str">
        <f>IF(Raw_Data!J1051=1,Raw_Data!D1051,"")</f>
        <v/>
      </c>
    </row>
    <row r="1052" spans="1:2" x14ac:dyDescent="0.25">
      <c r="A1052" s="3">
        <f>IF(Raw_Data!J1052=0,Raw_Data!D1052,"")</f>
        <v>3690.13</v>
      </c>
      <c r="B1052" s="3" t="str">
        <f>IF(Raw_Data!J1052=1,Raw_Data!D1052,"")</f>
        <v/>
      </c>
    </row>
    <row r="1053" spans="1:2" x14ac:dyDescent="0.25">
      <c r="A1053" s="3">
        <f>IF(Raw_Data!J1053=0,Raw_Data!D1053,"")</f>
        <v>2944.96</v>
      </c>
      <c r="B1053" s="3" t="str">
        <f>IF(Raw_Data!J1053=1,Raw_Data!D1053,"")</f>
        <v/>
      </c>
    </row>
    <row r="1054" spans="1:2" x14ac:dyDescent="0.25">
      <c r="A1054" s="3">
        <f>IF(Raw_Data!J1054=0,Raw_Data!D1054,"")</f>
        <v>2574.5300000000002</v>
      </c>
      <c r="B1054" s="3" t="str">
        <f>IF(Raw_Data!J1054=1,Raw_Data!D1054,"")</f>
        <v/>
      </c>
    </row>
    <row r="1055" spans="1:2" x14ac:dyDescent="0.25">
      <c r="A1055" s="3">
        <f>IF(Raw_Data!J1055=0,Raw_Data!D1055,"")</f>
        <v>4770.22</v>
      </c>
      <c r="B1055" s="3" t="str">
        <f>IF(Raw_Data!J1055=1,Raw_Data!D1055,"")</f>
        <v/>
      </c>
    </row>
    <row r="1056" spans="1:2" x14ac:dyDescent="0.25">
      <c r="A1056" s="3">
        <f>IF(Raw_Data!J1056=0,Raw_Data!D1056,"")</f>
        <v>1159.17</v>
      </c>
      <c r="B1056" s="3" t="str">
        <f>IF(Raw_Data!J1056=1,Raw_Data!D1056,"")</f>
        <v/>
      </c>
    </row>
    <row r="1057" spans="1:2" x14ac:dyDescent="0.25">
      <c r="A1057" s="3">
        <f>IF(Raw_Data!J1057=0,Raw_Data!D1057,"")</f>
        <v>1650</v>
      </c>
      <c r="B1057" s="3" t="str">
        <f>IF(Raw_Data!J1057=1,Raw_Data!D1057,"")</f>
        <v/>
      </c>
    </row>
    <row r="1058" spans="1:2" x14ac:dyDescent="0.25">
      <c r="A1058" s="3">
        <f>IF(Raw_Data!J1058=0,Raw_Data!D1058,"")</f>
        <v>4081.88</v>
      </c>
      <c r="B1058" s="3" t="str">
        <f>IF(Raw_Data!J1058=1,Raw_Data!D1058,"")</f>
        <v/>
      </c>
    </row>
    <row r="1059" spans="1:2" x14ac:dyDescent="0.25">
      <c r="A1059" s="3" t="str">
        <f>IF(Raw_Data!J1059=0,Raw_Data!D1059,"")</f>
        <v/>
      </c>
      <c r="B1059" s="3">
        <f>IF(Raw_Data!J1059=1,Raw_Data!D1059,"")</f>
        <v>2619.62</v>
      </c>
    </row>
    <row r="1060" spans="1:2" x14ac:dyDescent="0.25">
      <c r="A1060" s="3" t="str">
        <f>IF(Raw_Data!J1060=0,Raw_Data!D1060,"")</f>
        <v/>
      </c>
      <c r="B1060" s="3">
        <f>IF(Raw_Data!J1060=1,Raw_Data!D1060,"")</f>
        <v>3196.34</v>
      </c>
    </row>
    <row r="1061" spans="1:2" x14ac:dyDescent="0.25">
      <c r="A1061" s="3">
        <f>IF(Raw_Data!J1061=0,Raw_Data!D1061,"")</f>
        <v>2469.0500000000002</v>
      </c>
      <c r="B1061" s="3" t="str">
        <f>IF(Raw_Data!J1061=1,Raw_Data!D1061,"")</f>
        <v/>
      </c>
    </row>
    <row r="1062" spans="1:2" x14ac:dyDescent="0.25">
      <c r="A1062" s="3">
        <f>IF(Raw_Data!J1062=0,Raw_Data!D1062,"")</f>
        <v>1005.61</v>
      </c>
      <c r="B1062" s="3" t="str">
        <f>IF(Raw_Data!J1062=1,Raw_Data!D1062,"")</f>
        <v/>
      </c>
    </row>
    <row r="1063" spans="1:2" x14ac:dyDescent="0.25">
      <c r="A1063" s="3">
        <f>IF(Raw_Data!J1063=0,Raw_Data!D1063,"")</f>
        <v>4015.35</v>
      </c>
      <c r="B1063" s="3" t="str">
        <f>IF(Raw_Data!J1063=1,Raw_Data!D1063,"")</f>
        <v/>
      </c>
    </row>
    <row r="1064" spans="1:2" x14ac:dyDescent="0.25">
      <c r="A1064" s="3">
        <f>IF(Raw_Data!J1064=0,Raw_Data!D1064,"")</f>
        <v>746.77</v>
      </c>
      <c r="B1064" s="3" t="str">
        <f>IF(Raw_Data!J1064=1,Raw_Data!D1064,"")</f>
        <v/>
      </c>
    </row>
    <row r="1065" spans="1:2" x14ac:dyDescent="0.25">
      <c r="A1065" s="3">
        <f>IF(Raw_Data!J1065=0,Raw_Data!D1065,"")</f>
        <v>1669.03</v>
      </c>
      <c r="B1065" s="3" t="str">
        <f>IF(Raw_Data!J1065=1,Raw_Data!D1065,"")</f>
        <v/>
      </c>
    </row>
    <row r="1066" spans="1:2" x14ac:dyDescent="0.25">
      <c r="A1066" s="3">
        <f>IF(Raw_Data!J1066=0,Raw_Data!D1066,"")</f>
        <v>1772.01</v>
      </c>
      <c r="B1066" s="3" t="str">
        <f>IF(Raw_Data!J1066=1,Raw_Data!D1066,"")</f>
        <v/>
      </c>
    </row>
    <row r="1067" spans="1:2" x14ac:dyDescent="0.25">
      <c r="A1067" s="3">
        <f>IF(Raw_Data!J1067=0,Raw_Data!D1067,"")</f>
        <v>5645.16</v>
      </c>
      <c r="B1067" s="3" t="str">
        <f>IF(Raw_Data!J1067=1,Raw_Data!D1067,"")</f>
        <v/>
      </c>
    </row>
    <row r="1068" spans="1:2" x14ac:dyDescent="0.25">
      <c r="A1068" s="3">
        <f>IF(Raw_Data!J1068=0,Raw_Data!D1068,"")</f>
        <v>2750.6</v>
      </c>
      <c r="B1068" s="3" t="str">
        <f>IF(Raw_Data!J1068=1,Raw_Data!D1068,"")</f>
        <v/>
      </c>
    </row>
    <row r="1069" spans="1:2" x14ac:dyDescent="0.25">
      <c r="A1069" s="3">
        <f>IF(Raw_Data!J1069=0,Raw_Data!D1069,"")</f>
        <v>3065.22</v>
      </c>
      <c r="B1069" s="3" t="str">
        <f>IF(Raw_Data!J1069=1,Raw_Data!D1069,"")</f>
        <v/>
      </c>
    </row>
    <row r="1070" spans="1:2" x14ac:dyDescent="0.25">
      <c r="A1070" s="3" t="str">
        <f>IF(Raw_Data!J1070=0,Raw_Data!D1070,"")</f>
        <v/>
      </c>
      <c r="B1070" s="3">
        <f>IF(Raw_Data!J1070=1,Raw_Data!D1070,"")</f>
        <v>2635.89</v>
      </c>
    </row>
    <row r="1071" spans="1:2" x14ac:dyDescent="0.25">
      <c r="A1071" s="3">
        <f>IF(Raw_Data!J1071=0,Raw_Data!D1071,"")</f>
        <v>616.86</v>
      </c>
      <c r="B1071" s="3" t="str">
        <f>IF(Raw_Data!J1071=1,Raw_Data!D1071,"")</f>
        <v/>
      </c>
    </row>
    <row r="1072" spans="1:2" x14ac:dyDescent="0.25">
      <c r="A1072" s="3">
        <f>IF(Raw_Data!J1072=0,Raw_Data!D1072,"")</f>
        <v>5959.04</v>
      </c>
      <c r="B1072" s="3" t="str">
        <f>IF(Raw_Data!J1072=1,Raw_Data!D1072,"")</f>
        <v/>
      </c>
    </row>
    <row r="1073" spans="1:2" x14ac:dyDescent="0.25">
      <c r="A1073" s="3">
        <f>IF(Raw_Data!J1073=0,Raw_Data!D1073,"")</f>
        <v>2156.2600000000002</v>
      </c>
      <c r="B1073" s="3" t="str">
        <f>IF(Raw_Data!J1073=1,Raw_Data!D1073,"")</f>
        <v/>
      </c>
    </row>
    <row r="1074" spans="1:2" x14ac:dyDescent="0.25">
      <c r="A1074" s="3" t="str">
        <f>IF(Raw_Data!J1074=0,Raw_Data!D1074,"")</f>
        <v/>
      </c>
      <c r="B1074" s="3">
        <f>IF(Raw_Data!J1074=1,Raw_Data!D1074,"")</f>
        <v>3336.57</v>
      </c>
    </row>
    <row r="1075" spans="1:2" x14ac:dyDescent="0.25">
      <c r="A1075" s="3" t="str">
        <f>IF(Raw_Data!J1075=0,Raw_Data!D1075,"")</f>
        <v/>
      </c>
      <c r="B1075" s="3">
        <f>IF(Raw_Data!J1075=1,Raw_Data!D1075,"")</f>
        <v>4414.95</v>
      </c>
    </row>
    <row r="1076" spans="1:2" x14ac:dyDescent="0.25">
      <c r="A1076" s="3">
        <f>IF(Raw_Data!J1076=0,Raw_Data!D1076,"")</f>
        <v>2226.3200000000002</v>
      </c>
      <c r="B1076" s="3" t="str">
        <f>IF(Raw_Data!J1076=1,Raw_Data!D1076,"")</f>
        <v/>
      </c>
    </row>
    <row r="1077" spans="1:2" x14ac:dyDescent="0.25">
      <c r="A1077" s="3" t="str">
        <f>IF(Raw_Data!J1077=0,Raw_Data!D1077,"")</f>
        <v/>
      </c>
      <c r="B1077" s="3">
        <f>IF(Raw_Data!J1077=1,Raw_Data!D1077,"")</f>
        <v>652.03</v>
      </c>
    </row>
    <row r="1078" spans="1:2" x14ac:dyDescent="0.25">
      <c r="A1078" s="3">
        <f>IF(Raw_Data!J1078=0,Raw_Data!D1078,"")</f>
        <v>978.13</v>
      </c>
      <c r="B1078" s="3" t="str">
        <f>IF(Raw_Data!J1078=1,Raw_Data!D1078,"")</f>
        <v/>
      </c>
    </row>
    <row r="1079" spans="1:2" x14ac:dyDescent="0.25">
      <c r="A1079" s="3" t="str">
        <f>IF(Raw_Data!J1079=0,Raw_Data!D1079,"")</f>
        <v/>
      </c>
      <c r="B1079" s="3">
        <f>IF(Raw_Data!J1079=1,Raw_Data!D1079,"")</f>
        <v>1186.26</v>
      </c>
    </row>
    <row r="1080" spans="1:2" x14ac:dyDescent="0.25">
      <c r="A1080" s="3">
        <f>IF(Raw_Data!J1080=0,Raw_Data!D1080,"")</f>
        <v>2221.6</v>
      </c>
      <c r="B1080" s="3" t="str">
        <f>IF(Raw_Data!J1080=1,Raw_Data!D1080,"")</f>
        <v/>
      </c>
    </row>
    <row r="1081" spans="1:2" x14ac:dyDescent="0.25">
      <c r="A1081" s="3">
        <f>IF(Raw_Data!J1081=0,Raw_Data!D1081,"")</f>
        <v>2100.4</v>
      </c>
      <c r="B1081" s="3" t="str">
        <f>IF(Raw_Data!J1081=1,Raw_Data!D1081,"")</f>
        <v/>
      </c>
    </row>
    <row r="1082" spans="1:2" x14ac:dyDescent="0.25">
      <c r="A1082" s="3">
        <f>IF(Raw_Data!J1082=0,Raw_Data!D1082,"")</f>
        <v>2304.52</v>
      </c>
      <c r="B1082" s="3" t="str">
        <f>IF(Raw_Data!J1082=1,Raw_Data!D1082,"")</f>
        <v/>
      </c>
    </row>
    <row r="1083" spans="1:2" x14ac:dyDescent="0.25">
      <c r="A1083" s="3" t="str">
        <f>IF(Raw_Data!J1083=0,Raw_Data!D1083,"")</f>
        <v/>
      </c>
      <c r="B1083" s="3">
        <f>IF(Raw_Data!J1083=1,Raw_Data!D1083,"")</f>
        <v>1747.25</v>
      </c>
    </row>
    <row r="1084" spans="1:2" x14ac:dyDescent="0.25">
      <c r="A1084" s="3">
        <f>IF(Raw_Data!J1084=0,Raw_Data!D1084,"")</f>
        <v>2094.9299999999998</v>
      </c>
      <c r="B1084" s="3" t="str">
        <f>IF(Raw_Data!J1084=1,Raw_Data!D1084,"")</f>
        <v/>
      </c>
    </row>
    <row r="1085" spans="1:2" x14ac:dyDescent="0.25">
      <c r="A1085" s="3">
        <f>IF(Raw_Data!J1085=0,Raw_Data!D1085,"")</f>
        <v>4458.7700000000004</v>
      </c>
      <c r="B1085" s="3" t="str">
        <f>IF(Raw_Data!J1085=1,Raw_Data!D1085,"")</f>
        <v/>
      </c>
    </row>
    <row r="1086" spans="1:2" x14ac:dyDescent="0.25">
      <c r="A1086" s="3">
        <f>IF(Raw_Data!J1086=0,Raw_Data!D1086,"")</f>
        <v>1984.76</v>
      </c>
      <c r="B1086" s="3" t="str">
        <f>IF(Raw_Data!J1086=1,Raw_Data!D1086,"")</f>
        <v/>
      </c>
    </row>
    <row r="1087" spans="1:2" x14ac:dyDescent="0.25">
      <c r="A1087" s="3">
        <f>IF(Raw_Data!J1087=0,Raw_Data!D1087,"")</f>
        <v>1685.42</v>
      </c>
      <c r="B1087" s="3" t="str">
        <f>IF(Raw_Data!J1087=1,Raw_Data!D1087,"")</f>
        <v/>
      </c>
    </row>
    <row r="1088" spans="1:2" x14ac:dyDescent="0.25">
      <c r="A1088" s="3">
        <f>IF(Raw_Data!J1088=0,Raw_Data!D1088,"")</f>
        <v>2326.41</v>
      </c>
      <c r="B1088" s="3" t="str">
        <f>IF(Raw_Data!J1088=1,Raw_Data!D1088,"")</f>
        <v/>
      </c>
    </row>
    <row r="1089" spans="1:2" x14ac:dyDescent="0.25">
      <c r="A1089" s="3">
        <f>IF(Raw_Data!J1089=0,Raw_Data!D1089,"")</f>
        <v>4347.43</v>
      </c>
      <c r="B1089" s="3" t="str">
        <f>IF(Raw_Data!J1089=1,Raw_Data!D1089,"")</f>
        <v/>
      </c>
    </row>
    <row r="1090" spans="1:2" x14ac:dyDescent="0.25">
      <c r="A1090" s="3">
        <f>IF(Raw_Data!J1090=0,Raw_Data!D1090,"")</f>
        <v>1363.42</v>
      </c>
      <c r="B1090" s="3" t="str">
        <f>IF(Raw_Data!J1090=1,Raw_Data!D1090,"")</f>
        <v/>
      </c>
    </row>
    <row r="1091" spans="1:2" x14ac:dyDescent="0.25">
      <c r="A1091" s="3">
        <f>IF(Raw_Data!J1091=0,Raw_Data!D1091,"")</f>
        <v>5755.42</v>
      </c>
      <c r="B1091" s="3" t="str">
        <f>IF(Raw_Data!J1091=1,Raw_Data!D1091,"")</f>
        <v/>
      </c>
    </row>
    <row r="1092" spans="1:2" x14ac:dyDescent="0.25">
      <c r="A1092" s="3">
        <f>IF(Raw_Data!J1092=0,Raw_Data!D1092,"")</f>
        <v>3182.54</v>
      </c>
      <c r="B1092" s="3" t="str">
        <f>IF(Raw_Data!J1092=1,Raw_Data!D1092,"")</f>
        <v/>
      </c>
    </row>
    <row r="1093" spans="1:2" x14ac:dyDescent="0.25">
      <c r="A1093" s="3">
        <f>IF(Raw_Data!J1093=0,Raw_Data!D1093,"")</f>
        <v>1431.88</v>
      </c>
      <c r="B1093" s="3" t="str">
        <f>IF(Raw_Data!J1093=1,Raw_Data!D1093,"")</f>
        <v/>
      </c>
    </row>
    <row r="1094" spans="1:2" x14ac:dyDescent="0.25">
      <c r="A1094" s="3" t="str">
        <f>IF(Raw_Data!J1094=0,Raw_Data!D1094,"")</f>
        <v/>
      </c>
      <c r="B1094" s="3">
        <f>IF(Raw_Data!J1094=1,Raw_Data!D1094,"")</f>
        <v>1611.99</v>
      </c>
    </row>
    <row r="1095" spans="1:2" x14ac:dyDescent="0.25">
      <c r="A1095" s="3">
        <f>IF(Raw_Data!J1095=0,Raw_Data!D1095,"")</f>
        <v>2220.48</v>
      </c>
      <c r="B1095" s="3" t="str">
        <f>IF(Raw_Data!J1095=1,Raw_Data!D1095,"")</f>
        <v/>
      </c>
    </row>
    <row r="1096" spans="1:2" x14ac:dyDescent="0.25">
      <c r="A1096" s="3">
        <f>IF(Raw_Data!J1096=0,Raw_Data!D1096,"")</f>
        <v>4981.43</v>
      </c>
      <c r="B1096" s="3" t="str">
        <f>IF(Raw_Data!J1096=1,Raw_Data!D1096,"")</f>
        <v/>
      </c>
    </row>
    <row r="1097" spans="1:2" x14ac:dyDescent="0.25">
      <c r="A1097" s="3" t="str">
        <f>IF(Raw_Data!J1097=0,Raw_Data!D1097,"")</f>
        <v/>
      </c>
      <c r="B1097" s="3">
        <f>IF(Raw_Data!J1097=1,Raw_Data!D1097,"")</f>
        <v>3655.62</v>
      </c>
    </row>
    <row r="1098" spans="1:2" x14ac:dyDescent="0.25">
      <c r="A1098" s="3" t="str">
        <f>IF(Raw_Data!J1098=0,Raw_Data!D1098,"")</f>
        <v/>
      </c>
      <c r="B1098" s="3">
        <f>IF(Raw_Data!J1098=1,Raw_Data!D1098,"")</f>
        <v>565.20000000000005</v>
      </c>
    </row>
    <row r="1099" spans="1:2" x14ac:dyDescent="0.25">
      <c r="A1099" s="3">
        <f>IF(Raw_Data!J1099=0,Raw_Data!D1099,"")</f>
        <v>2255.5500000000002</v>
      </c>
      <c r="B1099" s="3" t="str">
        <f>IF(Raw_Data!J1099=1,Raw_Data!D1099,"")</f>
        <v/>
      </c>
    </row>
    <row r="1100" spans="1:2" x14ac:dyDescent="0.25">
      <c r="A1100" s="3">
        <f>IF(Raw_Data!J1100=0,Raw_Data!D1100,"")</f>
        <v>1081.3399999999999</v>
      </c>
      <c r="B1100" s="3" t="str">
        <f>IF(Raw_Data!J1100=1,Raw_Data!D1100,"")</f>
        <v/>
      </c>
    </row>
    <row r="1101" spans="1:2" x14ac:dyDescent="0.25">
      <c r="A1101" s="3">
        <f>IF(Raw_Data!J1101=0,Raw_Data!D1101,"")</f>
        <v>1671.02</v>
      </c>
      <c r="B1101" s="3" t="str">
        <f>IF(Raw_Data!J1101=1,Raw_Data!D1101,"")</f>
        <v/>
      </c>
    </row>
    <row r="1102" spans="1:2" x14ac:dyDescent="0.25">
      <c r="A1102" s="3">
        <f>IF(Raw_Data!J1102=0,Raw_Data!D1102,"")</f>
        <v>6555.65</v>
      </c>
      <c r="B1102" s="3" t="str">
        <f>IF(Raw_Data!J1102=1,Raw_Data!D1102,"")</f>
        <v/>
      </c>
    </row>
    <row r="1103" spans="1:2" x14ac:dyDescent="0.25">
      <c r="A1103" s="3">
        <f>IF(Raw_Data!J1103=0,Raw_Data!D1103,"")</f>
        <v>1643.46</v>
      </c>
      <c r="B1103" s="3" t="str">
        <f>IF(Raw_Data!J1103=1,Raw_Data!D1103,"")</f>
        <v/>
      </c>
    </row>
    <row r="1104" spans="1:2" x14ac:dyDescent="0.25">
      <c r="A1104" s="3">
        <f>IF(Raw_Data!J1104=0,Raw_Data!D1104,"")</f>
        <v>3041.01</v>
      </c>
      <c r="B1104" s="3" t="str">
        <f>IF(Raw_Data!J1104=1,Raw_Data!D1104,"")</f>
        <v/>
      </c>
    </row>
    <row r="1105" spans="1:2" x14ac:dyDescent="0.25">
      <c r="A1105" s="3" t="str">
        <f>IF(Raw_Data!J1105=0,Raw_Data!D1105,"")</f>
        <v/>
      </c>
      <c r="B1105" s="3">
        <f>IF(Raw_Data!J1105=1,Raw_Data!D1105,"")</f>
        <v>8218.7199999999993</v>
      </c>
    </row>
    <row r="1106" spans="1:2" x14ac:dyDescent="0.25">
      <c r="A1106" s="3">
        <f>IF(Raw_Data!J1106=0,Raw_Data!D1106,"")</f>
        <v>1389.82</v>
      </c>
      <c r="B1106" s="3" t="str">
        <f>IF(Raw_Data!J1106=1,Raw_Data!D1106,"")</f>
        <v/>
      </c>
    </row>
    <row r="1107" spans="1:2" x14ac:dyDescent="0.25">
      <c r="A1107" s="3">
        <f>IF(Raw_Data!J1107=0,Raw_Data!D1107,"")</f>
        <v>2080.79</v>
      </c>
      <c r="B1107" s="3" t="str">
        <f>IF(Raw_Data!J1107=1,Raw_Data!D1107,"")</f>
        <v/>
      </c>
    </row>
    <row r="1108" spans="1:2" x14ac:dyDescent="0.25">
      <c r="A1108" s="3">
        <f>IF(Raw_Data!J1108=0,Raw_Data!D1108,"")</f>
        <v>1089.27</v>
      </c>
      <c r="B1108" s="3" t="str">
        <f>IF(Raw_Data!J1108=1,Raw_Data!D1108,"")</f>
        <v/>
      </c>
    </row>
    <row r="1109" spans="1:2" x14ac:dyDescent="0.25">
      <c r="A1109" s="3">
        <f>IF(Raw_Data!J1109=0,Raw_Data!D1109,"")</f>
        <v>1658.65</v>
      </c>
      <c r="B1109" s="3" t="str">
        <f>IF(Raw_Data!J1109=1,Raw_Data!D1109,"")</f>
        <v/>
      </c>
    </row>
    <row r="1110" spans="1:2" x14ac:dyDescent="0.25">
      <c r="A1110" s="3">
        <f>IF(Raw_Data!J1110=0,Raw_Data!D1110,"")</f>
        <v>3248.83</v>
      </c>
      <c r="B1110" s="3" t="str">
        <f>IF(Raw_Data!J1110=1,Raw_Data!D1110,"")</f>
        <v/>
      </c>
    </row>
    <row r="1111" spans="1:2" x14ac:dyDescent="0.25">
      <c r="A1111" s="3">
        <f>IF(Raw_Data!J1111=0,Raw_Data!D1111,"")</f>
        <v>4990.0200000000004</v>
      </c>
      <c r="B1111" s="3" t="str">
        <f>IF(Raw_Data!J1111=1,Raw_Data!D1111,"")</f>
        <v/>
      </c>
    </row>
    <row r="1112" spans="1:2" x14ac:dyDescent="0.25">
      <c r="A1112" s="3">
        <f>IF(Raw_Data!J1112=0,Raw_Data!D1112,"")</f>
        <v>2976.08</v>
      </c>
      <c r="B1112" s="3" t="str">
        <f>IF(Raw_Data!J1112=1,Raw_Data!D1112,"")</f>
        <v/>
      </c>
    </row>
    <row r="1113" spans="1:2" x14ac:dyDescent="0.25">
      <c r="A1113" s="3">
        <f>IF(Raw_Data!J1113=0,Raw_Data!D1113,"")</f>
        <v>2066.3200000000002</v>
      </c>
      <c r="B1113" s="3" t="str">
        <f>IF(Raw_Data!J1113=1,Raw_Data!D1113,"")</f>
        <v/>
      </c>
    </row>
    <row r="1114" spans="1:2" x14ac:dyDescent="0.25">
      <c r="A1114" s="3">
        <f>IF(Raw_Data!J1114=0,Raw_Data!D1114,"")</f>
        <v>3965.91</v>
      </c>
      <c r="B1114" s="3" t="str">
        <f>IF(Raw_Data!J1114=1,Raw_Data!D1114,"")</f>
        <v/>
      </c>
    </row>
    <row r="1115" spans="1:2" x14ac:dyDescent="0.25">
      <c r="A1115" s="3">
        <f>IF(Raw_Data!J1115=0,Raw_Data!D1115,"")</f>
        <v>2963.98</v>
      </c>
      <c r="B1115" s="3" t="str">
        <f>IF(Raw_Data!J1115=1,Raw_Data!D1115,"")</f>
        <v/>
      </c>
    </row>
    <row r="1116" spans="1:2" x14ac:dyDescent="0.25">
      <c r="A1116" s="3">
        <f>IF(Raw_Data!J1116=0,Raw_Data!D1116,"")</f>
        <v>3659.15</v>
      </c>
      <c r="B1116" s="3" t="str">
        <f>IF(Raw_Data!J1116=1,Raw_Data!D1116,"")</f>
        <v/>
      </c>
    </row>
    <row r="1117" spans="1:2" x14ac:dyDescent="0.25">
      <c r="A1117" s="3">
        <f>IF(Raw_Data!J1117=0,Raw_Data!D1117,"")</f>
        <v>2788.62</v>
      </c>
      <c r="B1117" s="3" t="str">
        <f>IF(Raw_Data!J1117=1,Raw_Data!D1117,"")</f>
        <v/>
      </c>
    </row>
    <row r="1118" spans="1:2" x14ac:dyDescent="0.25">
      <c r="A1118" s="3" t="str">
        <f>IF(Raw_Data!J1118=0,Raw_Data!D1118,"")</f>
        <v/>
      </c>
      <c r="B1118" s="3">
        <f>IF(Raw_Data!J1118=1,Raw_Data!D1118,"")</f>
        <v>3266.25</v>
      </c>
    </row>
    <row r="1119" spans="1:2" x14ac:dyDescent="0.25">
      <c r="A1119" s="3">
        <f>IF(Raw_Data!J1119=0,Raw_Data!D1119,"")</f>
        <v>1174.46</v>
      </c>
      <c r="B1119" s="3" t="str">
        <f>IF(Raw_Data!J1119=1,Raw_Data!D1119,"")</f>
        <v/>
      </c>
    </row>
    <row r="1120" spans="1:2" x14ac:dyDescent="0.25">
      <c r="A1120" s="3">
        <f>IF(Raw_Data!J1120=0,Raw_Data!D1120,"")</f>
        <v>2457.4299999999998</v>
      </c>
      <c r="B1120" s="3" t="str">
        <f>IF(Raw_Data!J1120=1,Raw_Data!D1120,"")</f>
        <v/>
      </c>
    </row>
    <row r="1121" spans="1:2" x14ac:dyDescent="0.25">
      <c r="A1121" s="3" t="str">
        <f>IF(Raw_Data!J1121=0,Raw_Data!D1121,"")</f>
        <v/>
      </c>
      <c r="B1121" s="3">
        <f>IF(Raw_Data!J1121=1,Raw_Data!D1121,"")</f>
        <v>5233.6899999999996</v>
      </c>
    </row>
    <row r="1122" spans="1:2" x14ac:dyDescent="0.25">
      <c r="A1122" s="3">
        <f>IF(Raw_Data!J1122=0,Raw_Data!D1122,"")</f>
        <v>688.77</v>
      </c>
      <c r="B1122" s="3" t="str">
        <f>IF(Raw_Data!J1122=1,Raw_Data!D1122,"")</f>
        <v/>
      </c>
    </row>
    <row r="1123" spans="1:2" x14ac:dyDescent="0.25">
      <c r="A1123" s="3">
        <f>IF(Raw_Data!J1123=0,Raw_Data!D1123,"")</f>
        <v>1477.27</v>
      </c>
      <c r="B1123" s="3" t="str">
        <f>IF(Raw_Data!J1123=1,Raw_Data!D1123,"")</f>
        <v/>
      </c>
    </row>
    <row r="1124" spans="1:2" x14ac:dyDescent="0.25">
      <c r="A1124" s="3" t="str">
        <f>IF(Raw_Data!J1124=0,Raw_Data!D1124,"")</f>
        <v/>
      </c>
      <c r="B1124" s="3">
        <f>IF(Raw_Data!J1124=1,Raw_Data!D1124,"")</f>
        <v>1641.14</v>
      </c>
    </row>
    <row r="1125" spans="1:2" x14ac:dyDescent="0.25">
      <c r="A1125" s="3">
        <f>IF(Raw_Data!J1125=0,Raw_Data!D1125,"")</f>
        <v>1218.5899999999999</v>
      </c>
      <c r="B1125" s="3" t="str">
        <f>IF(Raw_Data!J1125=1,Raw_Data!D1125,"")</f>
        <v/>
      </c>
    </row>
    <row r="1126" spans="1:2" x14ac:dyDescent="0.25">
      <c r="A1126" s="3">
        <f>IF(Raw_Data!J1126=0,Raw_Data!D1126,"")</f>
        <v>2096.2600000000002</v>
      </c>
      <c r="B1126" s="3" t="str">
        <f>IF(Raw_Data!J1126=1,Raw_Data!D1126,"")</f>
        <v/>
      </c>
    </row>
    <row r="1127" spans="1:2" x14ac:dyDescent="0.25">
      <c r="A1127" s="3">
        <f>IF(Raw_Data!J1127=0,Raw_Data!D1127,"")</f>
        <v>6449.34</v>
      </c>
      <c r="B1127" s="3" t="str">
        <f>IF(Raw_Data!J1127=1,Raw_Data!D1127,"")</f>
        <v/>
      </c>
    </row>
    <row r="1128" spans="1:2" x14ac:dyDescent="0.25">
      <c r="A1128" s="3">
        <f>IF(Raw_Data!J1128=0,Raw_Data!D1128,"")</f>
        <v>3236.87</v>
      </c>
      <c r="B1128" s="3" t="str">
        <f>IF(Raw_Data!J1128=1,Raw_Data!D1128,"")</f>
        <v/>
      </c>
    </row>
    <row r="1129" spans="1:2" x14ac:dyDescent="0.25">
      <c r="A1129" s="3">
        <f>IF(Raw_Data!J1129=0,Raw_Data!D1129,"")</f>
        <v>2021.25</v>
      </c>
      <c r="B1129" s="3" t="str">
        <f>IF(Raw_Data!J1129=1,Raw_Data!D1129,"")</f>
        <v/>
      </c>
    </row>
    <row r="1130" spans="1:2" x14ac:dyDescent="0.25">
      <c r="A1130" s="3">
        <f>IF(Raw_Data!J1130=0,Raw_Data!D1130,"")</f>
        <v>582.94000000000005</v>
      </c>
      <c r="B1130" s="3" t="str">
        <f>IF(Raw_Data!J1130=1,Raw_Data!D1130,"")</f>
        <v/>
      </c>
    </row>
    <row r="1131" spans="1:2" x14ac:dyDescent="0.25">
      <c r="A1131" s="3">
        <f>IF(Raw_Data!J1131=0,Raw_Data!D1131,"")</f>
        <v>1546.75</v>
      </c>
      <c r="B1131" s="3" t="str">
        <f>IF(Raw_Data!J1131=1,Raw_Data!D1131,"")</f>
        <v/>
      </c>
    </row>
    <row r="1132" spans="1:2" x14ac:dyDescent="0.25">
      <c r="A1132" s="3" t="str">
        <f>IF(Raw_Data!J1132=0,Raw_Data!D1132,"")</f>
        <v/>
      </c>
      <c r="B1132" s="3">
        <f>IF(Raw_Data!J1132=1,Raw_Data!D1132,"")</f>
        <v>5227.47</v>
      </c>
    </row>
    <row r="1133" spans="1:2" x14ac:dyDescent="0.25">
      <c r="A1133" s="3">
        <f>IF(Raw_Data!J1133=0,Raw_Data!D1133,"")</f>
        <v>1114.44</v>
      </c>
      <c r="B1133" s="3" t="str">
        <f>IF(Raw_Data!J1133=1,Raw_Data!D1133,"")</f>
        <v/>
      </c>
    </row>
    <row r="1134" spans="1:2" x14ac:dyDescent="0.25">
      <c r="A1134" s="3">
        <f>IF(Raw_Data!J1134=0,Raw_Data!D1134,"")</f>
        <v>5222.4799999999996</v>
      </c>
      <c r="B1134" s="3" t="str">
        <f>IF(Raw_Data!J1134=1,Raw_Data!D1134,"")</f>
        <v/>
      </c>
    </row>
    <row r="1135" spans="1:2" x14ac:dyDescent="0.25">
      <c r="A1135" s="3" t="str">
        <f>IF(Raw_Data!J1135=0,Raw_Data!D1135,"")</f>
        <v/>
      </c>
      <c r="B1135" s="3">
        <f>IF(Raw_Data!J1135=1,Raw_Data!D1135,"")</f>
        <v>3223.49</v>
      </c>
    </row>
    <row r="1136" spans="1:2" x14ac:dyDescent="0.25">
      <c r="A1136" s="3">
        <f>IF(Raw_Data!J1136=0,Raw_Data!D1136,"")</f>
        <v>4936.1099999999997</v>
      </c>
      <c r="B1136" s="3" t="str">
        <f>IF(Raw_Data!J1136=1,Raw_Data!D1136,"")</f>
        <v/>
      </c>
    </row>
    <row r="1137" spans="1:2" x14ac:dyDescent="0.25">
      <c r="A1137" s="3">
        <f>IF(Raw_Data!J1137=0,Raw_Data!D1137,"")</f>
        <v>1447.48</v>
      </c>
      <c r="B1137" s="3" t="str">
        <f>IF(Raw_Data!J1137=1,Raw_Data!D1137,"")</f>
        <v/>
      </c>
    </row>
    <row r="1138" spans="1:2" x14ac:dyDescent="0.25">
      <c r="A1138" s="3">
        <f>IF(Raw_Data!J1138=0,Raw_Data!D1138,"")</f>
        <v>8410.77</v>
      </c>
      <c r="B1138" s="3" t="str">
        <f>IF(Raw_Data!J1138=1,Raw_Data!D1138,"")</f>
        <v/>
      </c>
    </row>
    <row r="1139" spans="1:2" x14ac:dyDescent="0.25">
      <c r="A1139" s="3">
        <f>IF(Raw_Data!J1139=0,Raw_Data!D1139,"")</f>
        <v>7317.87</v>
      </c>
      <c r="B1139" s="3" t="str">
        <f>IF(Raw_Data!J1139=1,Raw_Data!D1139,"")</f>
        <v/>
      </c>
    </row>
    <row r="1140" spans="1:2" x14ac:dyDescent="0.25">
      <c r="A1140" s="3">
        <f>IF(Raw_Data!J1140=0,Raw_Data!D1140,"")</f>
        <v>1038.3499999999999</v>
      </c>
      <c r="B1140" s="3" t="str">
        <f>IF(Raw_Data!J1140=1,Raw_Data!D1140,"")</f>
        <v/>
      </c>
    </row>
    <row r="1141" spans="1:2" x14ac:dyDescent="0.25">
      <c r="A1141" s="3">
        <f>IF(Raw_Data!J1141=0,Raw_Data!D1141,"")</f>
        <v>1891.33</v>
      </c>
      <c r="B1141" s="3" t="str">
        <f>IF(Raw_Data!J1141=1,Raw_Data!D1141,"")</f>
        <v/>
      </c>
    </row>
    <row r="1142" spans="1:2" x14ac:dyDescent="0.25">
      <c r="A1142" s="3">
        <f>IF(Raw_Data!J1142=0,Raw_Data!D1142,"")</f>
        <v>1205.5999999999999</v>
      </c>
      <c r="B1142" s="3" t="str">
        <f>IF(Raw_Data!J1142=1,Raw_Data!D1142,"")</f>
        <v/>
      </c>
    </row>
    <row r="1143" spans="1:2" x14ac:dyDescent="0.25">
      <c r="A1143" s="3">
        <f>IF(Raw_Data!J1143=0,Raw_Data!D1143,"")</f>
        <v>7435.36</v>
      </c>
      <c r="B1143" s="3" t="str">
        <f>IF(Raw_Data!J1143=1,Raw_Data!D1143,"")</f>
        <v/>
      </c>
    </row>
    <row r="1144" spans="1:2" x14ac:dyDescent="0.25">
      <c r="A1144" s="3">
        <f>IF(Raw_Data!J1144=0,Raw_Data!D1144,"")</f>
        <v>2654.52</v>
      </c>
      <c r="B1144" s="3" t="str">
        <f>IF(Raw_Data!J1144=1,Raw_Data!D1144,"")</f>
        <v/>
      </c>
    </row>
    <row r="1145" spans="1:2" x14ac:dyDescent="0.25">
      <c r="A1145" s="3">
        <f>IF(Raw_Data!J1145=0,Raw_Data!D1145,"")</f>
        <v>554.05999999999995</v>
      </c>
      <c r="B1145" s="3" t="str">
        <f>IF(Raw_Data!J1145=1,Raw_Data!D1145,"")</f>
        <v/>
      </c>
    </row>
    <row r="1146" spans="1:2" x14ac:dyDescent="0.25">
      <c r="A1146" s="3">
        <f>IF(Raw_Data!J1146=0,Raw_Data!D1146,"")</f>
        <v>4009.72</v>
      </c>
      <c r="B1146" s="3" t="str">
        <f>IF(Raw_Data!J1146=1,Raw_Data!D1146,"")</f>
        <v/>
      </c>
    </row>
    <row r="1147" spans="1:2" x14ac:dyDescent="0.25">
      <c r="A1147" s="3" t="str">
        <f>IF(Raw_Data!J1147=0,Raw_Data!D1147,"")</f>
        <v/>
      </c>
      <c r="B1147" s="3">
        <f>IF(Raw_Data!J1147=1,Raw_Data!D1147,"")</f>
        <v>6608.68</v>
      </c>
    </row>
    <row r="1148" spans="1:2" x14ac:dyDescent="0.25">
      <c r="A1148" s="3" t="str">
        <f>IF(Raw_Data!J1148=0,Raw_Data!D1148,"")</f>
        <v/>
      </c>
      <c r="B1148" s="3">
        <f>IF(Raw_Data!J1148=1,Raw_Data!D1148,"")</f>
        <v>4759.83</v>
      </c>
    </row>
    <row r="1149" spans="1:2" x14ac:dyDescent="0.25">
      <c r="A1149" s="3">
        <f>IF(Raw_Data!J1149=0,Raw_Data!D1149,"")</f>
        <v>1586.9</v>
      </c>
      <c r="B1149" s="3" t="str">
        <f>IF(Raw_Data!J1149=1,Raw_Data!D1149,"")</f>
        <v/>
      </c>
    </row>
    <row r="1150" spans="1:2" x14ac:dyDescent="0.25">
      <c r="A1150" s="3">
        <f>IF(Raw_Data!J1150=0,Raw_Data!D1150,"")</f>
        <v>394.93</v>
      </c>
      <c r="B1150" s="3" t="str">
        <f>IF(Raw_Data!J1150=1,Raw_Data!D1150,"")</f>
        <v/>
      </c>
    </row>
    <row r="1151" spans="1:2" x14ac:dyDescent="0.25">
      <c r="A1151" s="3">
        <f>IF(Raw_Data!J1151=0,Raw_Data!D1151,"")</f>
        <v>2197.69</v>
      </c>
      <c r="B1151" s="3" t="str">
        <f>IF(Raw_Data!J1151=1,Raw_Data!D1151,"")</f>
        <v/>
      </c>
    </row>
    <row r="1152" spans="1:2" x14ac:dyDescent="0.25">
      <c r="A1152" s="3">
        <f>IF(Raw_Data!J1152=0,Raw_Data!D1152,"")</f>
        <v>5195.57</v>
      </c>
      <c r="B1152" s="3" t="str">
        <f>IF(Raw_Data!J1152=1,Raw_Data!D1152,"")</f>
        <v/>
      </c>
    </row>
    <row r="1153" spans="1:2" x14ac:dyDescent="0.25">
      <c r="A1153" s="3">
        <f>IF(Raw_Data!J1153=0,Raw_Data!D1153,"")</f>
        <v>4764.28</v>
      </c>
      <c r="B1153" s="3" t="str">
        <f>IF(Raw_Data!J1153=1,Raw_Data!D1153,"")</f>
        <v/>
      </c>
    </row>
    <row r="1154" spans="1:2" x14ac:dyDescent="0.25">
      <c r="A1154" s="3">
        <f>IF(Raw_Data!J1154=0,Raw_Data!D1154,"")</f>
        <v>1181.44</v>
      </c>
      <c r="B1154" s="3" t="str">
        <f>IF(Raw_Data!J1154=1,Raw_Data!D1154,"")</f>
        <v/>
      </c>
    </row>
    <row r="1155" spans="1:2" x14ac:dyDescent="0.25">
      <c r="A1155" s="3" t="str">
        <f>IF(Raw_Data!J1155=0,Raw_Data!D1155,"")</f>
        <v/>
      </c>
      <c r="B1155" s="3">
        <f>IF(Raw_Data!J1155=1,Raw_Data!D1155,"")</f>
        <v>6097.44</v>
      </c>
    </row>
    <row r="1156" spans="1:2" x14ac:dyDescent="0.25">
      <c r="A1156" s="3">
        <f>IF(Raw_Data!J1156=0,Raw_Data!D1156,"")</f>
        <v>1489.23</v>
      </c>
      <c r="B1156" s="3" t="str">
        <f>IF(Raw_Data!J1156=1,Raw_Data!D1156,"")</f>
        <v/>
      </c>
    </row>
    <row r="1157" spans="1:2" x14ac:dyDescent="0.25">
      <c r="A1157" s="3">
        <f>IF(Raw_Data!J1157=0,Raw_Data!D1157,"")</f>
        <v>663.71</v>
      </c>
      <c r="B1157" s="3" t="str">
        <f>IF(Raw_Data!J1157=1,Raw_Data!D1157,"")</f>
        <v/>
      </c>
    </row>
    <row r="1158" spans="1:2" x14ac:dyDescent="0.25">
      <c r="A1158" s="3">
        <f>IF(Raw_Data!J1158=0,Raw_Data!D1158,"")</f>
        <v>1362.05</v>
      </c>
      <c r="B1158" s="3" t="str">
        <f>IF(Raw_Data!J1158=1,Raw_Data!D1158,"")</f>
        <v/>
      </c>
    </row>
    <row r="1159" spans="1:2" x14ac:dyDescent="0.25">
      <c r="A1159" s="3">
        <f>IF(Raw_Data!J1159=0,Raw_Data!D1159,"")</f>
        <v>4641.82</v>
      </c>
      <c r="B1159" s="3" t="str">
        <f>IF(Raw_Data!J1159=1,Raw_Data!D1159,"")</f>
        <v/>
      </c>
    </row>
    <row r="1160" spans="1:2" x14ac:dyDescent="0.25">
      <c r="A1160" s="3" t="str">
        <f>IF(Raw_Data!J1160=0,Raw_Data!D1160,"")</f>
        <v/>
      </c>
      <c r="B1160" s="3">
        <f>IF(Raw_Data!J1160=1,Raw_Data!D1160,"")</f>
        <v>6423.65</v>
      </c>
    </row>
    <row r="1161" spans="1:2" x14ac:dyDescent="0.25">
      <c r="A1161" s="3">
        <f>IF(Raw_Data!J1161=0,Raw_Data!D1161,"")</f>
        <v>2657.3</v>
      </c>
      <c r="B1161" s="3" t="str">
        <f>IF(Raw_Data!J1161=1,Raw_Data!D1161,"")</f>
        <v/>
      </c>
    </row>
    <row r="1162" spans="1:2" x14ac:dyDescent="0.25">
      <c r="A1162" s="3">
        <f>IF(Raw_Data!J1162=0,Raw_Data!D1162,"")</f>
        <v>2218.98</v>
      </c>
      <c r="B1162" s="3" t="str">
        <f>IF(Raw_Data!J1162=1,Raw_Data!D1162,"")</f>
        <v/>
      </c>
    </row>
    <row r="1163" spans="1:2" x14ac:dyDescent="0.25">
      <c r="A1163" s="3">
        <f>IF(Raw_Data!J1163=0,Raw_Data!D1163,"")</f>
        <v>3021.4</v>
      </c>
      <c r="B1163" s="3" t="str">
        <f>IF(Raw_Data!J1163=1,Raw_Data!D1163,"")</f>
        <v/>
      </c>
    </row>
    <row r="1164" spans="1:2" x14ac:dyDescent="0.25">
      <c r="A1164" s="3" t="str">
        <f>IF(Raw_Data!J1164=0,Raw_Data!D1164,"")</f>
        <v/>
      </c>
      <c r="B1164" s="3">
        <f>IF(Raw_Data!J1164=1,Raw_Data!D1164,"")</f>
        <v>1638.69</v>
      </c>
    </row>
    <row r="1165" spans="1:2" x14ac:dyDescent="0.25">
      <c r="A1165" s="3" t="str">
        <f>IF(Raw_Data!J1165=0,Raw_Data!D1165,"")</f>
        <v/>
      </c>
      <c r="B1165" s="3">
        <f>IF(Raw_Data!J1165=1,Raw_Data!D1165,"")</f>
        <v>4831.9399999999996</v>
      </c>
    </row>
    <row r="1166" spans="1:2" x14ac:dyDescent="0.25">
      <c r="A1166" s="3">
        <f>IF(Raw_Data!J1166=0,Raw_Data!D1166,"")</f>
        <v>2848.88</v>
      </c>
      <c r="B1166" s="3" t="str">
        <f>IF(Raw_Data!J1166=1,Raw_Data!D1166,"")</f>
        <v/>
      </c>
    </row>
    <row r="1167" spans="1:2" x14ac:dyDescent="0.25">
      <c r="A1167" s="3">
        <f>IF(Raw_Data!J1167=0,Raw_Data!D1167,"")</f>
        <v>4667.5200000000004</v>
      </c>
      <c r="B1167" s="3" t="str">
        <f>IF(Raw_Data!J1167=1,Raw_Data!D1167,"")</f>
        <v/>
      </c>
    </row>
    <row r="1168" spans="1:2" x14ac:dyDescent="0.25">
      <c r="A1168" s="3">
        <f>IF(Raw_Data!J1168=0,Raw_Data!D1168,"")</f>
        <v>1795.75</v>
      </c>
      <c r="B1168" s="3" t="str">
        <f>IF(Raw_Data!J1168=1,Raw_Data!D1168,"")</f>
        <v/>
      </c>
    </row>
    <row r="1169" spans="1:2" x14ac:dyDescent="0.25">
      <c r="A1169" s="3">
        <f>IF(Raw_Data!J1169=0,Raw_Data!D1169,"")</f>
        <v>2894.99</v>
      </c>
      <c r="B1169" s="3" t="str">
        <f>IF(Raw_Data!J1169=1,Raw_Data!D1169,"")</f>
        <v/>
      </c>
    </row>
    <row r="1170" spans="1:2" x14ac:dyDescent="0.25">
      <c r="A1170" s="3" t="str">
        <f>IF(Raw_Data!J1170=0,Raw_Data!D1170,"")</f>
        <v/>
      </c>
      <c r="B1170" s="3">
        <f>IF(Raw_Data!J1170=1,Raw_Data!D1170,"")</f>
        <v>2617.15</v>
      </c>
    </row>
    <row r="1171" spans="1:2" x14ac:dyDescent="0.25">
      <c r="A1171" s="3">
        <f>IF(Raw_Data!J1171=0,Raw_Data!D1171,"")</f>
        <v>3411.57</v>
      </c>
      <c r="B1171" s="3" t="str">
        <f>IF(Raw_Data!J1171=1,Raw_Data!D1171,"")</f>
        <v/>
      </c>
    </row>
    <row r="1172" spans="1:2" x14ac:dyDescent="0.25">
      <c r="A1172" s="3">
        <f>IF(Raw_Data!J1172=0,Raw_Data!D1172,"")</f>
        <v>884.87</v>
      </c>
      <c r="B1172" s="3" t="str">
        <f>IF(Raw_Data!J1172=1,Raw_Data!D1172,"")</f>
        <v/>
      </c>
    </row>
    <row r="1173" spans="1:2" x14ac:dyDescent="0.25">
      <c r="A1173" s="3">
        <f>IF(Raw_Data!J1173=0,Raw_Data!D1173,"")</f>
        <v>1405.16</v>
      </c>
      <c r="B1173" s="3" t="str">
        <f>IF(Raw_Data!J1173=1,Raw_Data!D1173,"")</f>
        <v/>
      </c>
    </row>
    <row r="1174" spans="1:2" x14ac:dyDescent="0.25">
      <c r="A1174" s="3">
        <f>IF(Raw_Data!J1174=0,Raw_Data!D1174,"")</f>
        <v>3292.52</v>
      </c>
      <c r="B1174" s="3" t="str">
        <f>IF(Raw_Data!J1174=1,Raw_Data!D1174,"")</f>
        <v/>
      </c>
    </row>
    <row r="1175" spans="1:2" x14ac:dyDescent="0.25">
      <c r="A1175" s="3" t="str">
        <f>IF(Raw_Data!J1175=0,Raw_Data!D1175,"")</f>
        <v/>
      </c>
      <c r="B1175" s="3">
        <f>IF(Raw_Data!J1175=1,Raw_Data!D1175,"")</f>
        <v>2115.09</v>
      </c>
    </row>
    <row r="1176" spans="1:2" x14ac:dyDescent="0.25">
      <c r="A1176" s="3">
        <f>IF(Raw_Data!J1176=0,Raw_Data!D1176,"")</f>
        <v>1975.67</v>
      </c>
      <c r="B1176" s="3" t="str">
        <f>IF(Raw_Data!J1176=1,Raw_Data!D1176,"")</f>
        <v/>
      </c>
    </row>
    <row r="1177" spans="1:2" x14ac:dyDescent="0.25">
      <c r="A1177" s="3">
        <f>IF(Raw_Data!J1177=0,Raw_Data!D1177,"")</f>
        <v>328.98</v>
      </c>
      <c r="B1177" s="3" t="str">
        <f>IF(Raw_Data!J1177=1,Raw_Data!D1177,"")</f>
        <v/>
      </c>
    </row>
    <row r="1178" spans="1:2" x14ac:dyDescent="0.25">
      <c r="A1178" s="3">
        <f>IF(Raw_Data!J1178=0,Raw_Data!D1178,"")</f>
        <v>1645.29</v>
      </c>
      <c r="B1178" s="3" t="str">
        <f>IF(Raw_Data!J1178=1,Raw_Data!D1178,"")</f>
        <v/>
      </c>
    </row>
    <row r="1179" spans="1:2" x14ac:dyDescent="0.25">
      <c r="A1179" s="3">
        <f>IF(Raw_Data!J1179=0,Raw_Data!D1179,"")</f>
        <v>970.07</v>
      </c>
      <c r="B1179" s="3" t="str">
        <f>IF(Raw_Data!J1179=1,Raw_Data!D1179,"")</f>
        <v/>
      </c>
    </row>
    <row r="1180" spans="1:2" x14ac:dyDescent="0.25">
      <c r="A1180" s="3">
        <f>IF(Raw_Data!J1180=0,Raw_Data!D1180,"")</f>
        <v>1448.66</v>
      </c>
      <c r="B1180" s="3" t="str">
        <f>IF(Raw_Data!J1180=1,Raw_Data!D1180,"")</f>
        <v/>
      </c>
    </row>
    <row r="1181" spans="1:2" x14ac:dyDescent="0.25">
      <c r="A1181" s="3">
        <f>IF(Raw_Data!J1181=0,Raw_Data!D1181,"")</f>
        <v>1859.09</v>
      </c>
      <c r="B1181" s="3" t="str">
        <f>IF(Raw_Data!J1181=1,Raw_Data!D1181,"")</f>
        <v/>
      </c>
    </row>
    <row r="1182" spans="1:2" x14ac:dyDescent="0.25">
      <c r="A1182" s="3">
        <f>IF(Raw_Data!J1182=0,Raw_Data!D1182,"")</f>
        <v>642.51</v>
      </c>
      <c r="B1182" s="3" t="str">
        <f>IF(Raw_Data!J1182=1,Raw_Data!D1182,"")</f>
        <v/>
      </c>
    </row>
    <row r="1183" spans="1:2" x14ac:dyDescent="0.25">
      <c r="A1183" s="3">
        <f>IF(Raw_Data!J1183=0,Raw_Data!D1183,"")</f>
        <v>5153.33</v>
      </c>
      <c r="B1183" s="3" t="str">
        <f>IF(Raw_Data!J1183=1,Raw_Data!D1183,"")</f>
        <v/>
      </c>
    </row>
    <row r="1184" spans="1:2" x14ac:dyDescent="0.25">
      <c r="A1184" s="3">
        <f>IF(Raw_Data!J1184=0,Raw_Data!D1184,"")</f>
        <v>5556.57</v>
      </c>
      <c r="B1184" s="3" t="str">
        <f>IF(Raw_Data!J1184=1,Raw_Data!D1184,"")</f>
        <v/>
      </c>
    </row>
    <row r="1185" spans="1:2" x14ac:dyDescent="0.25">
      <c r="A1185" s="3">
        <f>IF(Raw_Data!J1185=0,Raw_Data!D1185,"")</f>
        <v>3384.33</v>
      </c>
      <c r="B1185" s="3" t="str">
        <f>IF(Raw_Data!J1185=1,Raw_Data!D1185,"")</f>
        <v/>
      </c>
    </row>
    <row r="1186" spans="1:2" x14ac:dyDescent="0.25">
      <c r="A1186" s="3">
        <f>IF(Raw_Data!J1186=0,Raw_Data!D1186,"")</f>
        <v>5853.94</v>
      </c>
      <c r="B1186" s="3" t="str">
        <f>IF(Raw_Data!J1186=1,Raw_Data!D1186,"")</f>
        <v/>
      </c>
    </row>
    <row r="1187" spans="1:2" x14ac:dyDescent="0.25">
      <c r="A1187" s="3">
        <f>IF(Raw_Data!J1187=0,Raw_Data!D1187,"")</f>
        <v>1182.1199999999999</v>
      </c>
      <c r="B1187" s="3" t="str">
        <f>IF(Raw_Data!J1187=1,Raw_Data!D1187,"")</f>
        <v/>
      </c>
    </row>
    <row r="1188" spans="1:2" x14ac:dyDescent="0.25">
      <c r="A1188" s="3">
        <f>IF(Raw_Data!J1188=0,Raw_Data!D1188,"")</f>
        <v>892.63</v>
      </c>
      <c r="B1188" s="3" t="str">
        <f>IF(Raw_Data!J1188=1,Raw_Data!D1188,"")</f>
        <v/>
      </c>
    </row>
    <row r="1189" spans="1:2" x14ac:dyDescent="0.25">
      <c r="A1189" s="3">
        <f>IF(Raw_Data!J1189=0,Raw_Data!D1189,"")</f>
        <v>1184.6300000000001</v>
      </c>
      <c r="B1189" s="3" t="str">
        <f>IF(Raw_Data!J1189=1,Raw_Data!D1189,"")</f>
        <v/>
      </c>
    </row>
    <row r="1190" spans="1:2" x14ac:dyDescent="0.25">
      <c r="A1190" s="3">
        <f>IF(Raw_Data!J1190=0,Raw_Data!D1190,"")</f>
        <v>313.2</v>
      </c>
      <c r="B1190" s="3" t="str">
        <f>IF(Raw_Data!J1190=1,Raw_Data!D1190,"")</f>
        <v/>
      </c>
    </row>
    <row r="1191" spans="1:2" x14ac:dyDescent="0.25">
      <c r="A1191" s="3">
        <f>IF(Raw_Data!J1191=0,Raw_Data!D1191,"")</f>
        <v>3215.64</v>
      </c>
      <c r="B1191" s="3" t="str">
        <f>IF(Raw_Data!J1191=1,Raw_Data!D1191,"")</f>
        <v/>
      </c>
    </row>
    <row r="1192" spans="1:2" x14ac:dyDescent="0.25">
      <c r="A1192" s="3" t="str">
        <f>IF(Raw_Data!J1192=0,Raw_Data!D1192,"")</f>
        <v/>
      </c>
      <c r="B1192" s="3">
        <f>IF(Raw_Data!J1192=1,Raw_Data!D1192,"")</f>
        <v>3336.61</v>
      </c>
    </row>
    <row r="1193" spans="1:2" x14ac:dyDescent="0.25">
      <c r="A1193" s="3">
        <f>IF(Raw_Data!J1193=0,Raw_Data!D1193,"")</f>
        <v>674.91</v>
      </c>
      <c r="B1193" s="3" t="str">
        <f>IF(Raw_Data!J1193=1,Raw_Data!D1193,"")</f>
        <v/>
      </c>
    </row>
    <row r="1194" spans="1:2" x14ac:dyDescent="0.25">
      <c r="A1194" s="3">
        <f>IF(Raw_Data!J1194=0,Raw_Data!D1194,"")</f>
        <v>3204.2</v>
      </c>
      <c r="B1194" s="3" t="str">
        <f>IF(Raw_Data!J1194=1,Raw_Data!D1194,"")</f>
        <v/>
      </c>
    </row>
    <row r="1195" spans="1:2" x14ac:dyDescent="0.25">
      <c r="A1195" s="3">
        <f>IF(Raw_Data!J1195=0,Raw_Data!D1195,"")</f>
        <v>6421.27</v>
      </c>
      <c r="B1195" s="3" t="str">
        <f>IF(Raw_Data!J1195=1,Raw_Data!D1195,"")</f>
        <v/>
      </c>
    </row>
    <row r="1196" spans="1:2" x14ac:dyDescent="0.25">
      <c r="A1196" s="3">
        <f>IF(Raw_Data!J1196=0,Raw_Data!D1196,"")</f>
        <v>2423.62</v>
      </c>
      <c r="B1196" s="3" t="str">
        <f>IF(Raw_Data!J1196=1,Raw_Data!D1196,"")</f>
        <v/>
      </c>
    </row>
    <row r="1197" spans="1:2" x14ac:dyDescent="0.25">
      <c r="A1197" s="3">
        <f>IF(Raw_Data!J1197=0,Raw_Data!D1197,"")</f>
        <v>2895.38</v>
      </c>
      <c r="B1197" s="3" t="str">
        <f>IF(Raw_Data!J1197=1,Raw_Data!D1197,"")</f>
        <v/>
      </c>
    </row>
    <row r="1198" spans="1:2" x14ac:dyDescent="0.25">
      <c r="A1198" s="3">
        <f>IF(Raw_Data!J1198=0,Raw_Data!D1198,"")</f>
        <v>2682.24</v>
      </c>
      <c r="B1198" s="3" t="str">
        <f>IF(Raw_Data!J1198=1,Raw_Data!D1198,"")</f>
        <v/>
      </c>
    </row>
    <row r="1199" spans="1:2" x14ac:dyDescent="0.25">
      <c r="A1199" s="3" t="str">
        <f>IF(Raw_Data!J1199=0,Raw_Data!D1199,"")</f>
        <v/>
      </c>
      <c r="B1199" s="3">
        <f>IF(Raw_Data!J1199=1,Raw_Data!D1199,"")</f>
        <v>6082.97</v>
      </c>
    </row>
    <row r="1200" spans="1:2" x14ac:dyDescent="0.25">
      <c r="A1200" s="3">
        <f>IF(Raw_Data!J1200=0,Raw_Data!D1200,"")</f>
        <v>2464.77</v>
      </c>
      <c r="B1200" s="3" t="str">
        <f>IF(Raw_Data!J1200=1,Raw_Data!D1200,"")</f>
        <v/>
      </c>
    </row>
    <row r="1201" spans="1:2" x14ac:dyDescent="0.25">
      <c r="A1201" s="3" t="str">
        <f>IF(Raw_Data!J1201=0,Raw_Data!D1201,"")</f>
        <v/>
      </c>
      <c r="B1201" s="3">
        <f>IF(Raw_Data!J1201=1,Raw_Data!D1201,"")</f>
        <v>3315</v>
      </c>
    </row>
    <row r="1202" spans="1:2" x14ac:dyDescent="0.25">
      <c r="A1202" s="3">
        <f>IF(Raw_Data!J1202=0,Raw_Data!D1202,"")</f>
        <v>1796.9</v>
      </c>
      <c r="B1202" s="3" t="str">
        <f>IF(Raw_Data!J1202=1,Raw_Data!D1202,"")</f>
        <v/>
      </c>
    </row>
    <row r="1203" spans="1:2" x14ac:dyDescent="0.25">
      <c r="A1203" s="3">
        <f>IF(Raw_Data!J1203=0,Raw_Data!D1203,"")</f>
        <v>1860.47</v>
      </c>
      <c r="B1203" s="3" t="str">
        <f>IF(Raw_Data!J1203=1,Raw_Data!D1203,"")</f>
        <v/>
      </c>
    </row>
    <row r="1204" spans="1:2" x14ac:dyDescent="0.25">
      <c r="A1204" s="3">
        <f>IF(Raw_Data!J1204=0,Raw_Data!D1204,"")</f>
        <v>3990.8</v>
      </c>
      <c r="B1204" s="3" t="str">
        <f>IF(Raw_Data!J1204=1,Raw_Data!D1204,"")</f>
        <v/>
      </c>
    </row>
    <row r="1205" spans="1:2" x14ac:dyDescent="0.25">
      <c r="A1205" s="3">
        <f>IF(Raw_Data!J1205=0,Raw_Data!D1205,"")</f>
        <v>1227.3499999999999</v>
      </c>
      <c r="B1205" s="3" t="str">
        <f>IF(Raw_Data!J1205=1,Raw_Data!D1205,"")</f>
        <v/>
      </c>
    </row>
    <row r="1206" spans="1:2" x14ac:dyDescent="0.25">
      <c r="A1206" s="3" t="str">
        <f>IF(Raw_Data!J1206=0,Raw_Data!D1206,"")</f>
        <v/>
      </c>
      <c r="B1206" s="3">
        <f>IF(Raw_Data!J1206=1,Raw_Data!D1206,"")</f>
        <v>3632.1</v>
      </c>
    </row>
    <row r="1207" spans="1:2" x14ac:dyDescent="0.25">
      <c r="A1207" s="3">
        <f>IF(Raw_Data!J1207=0,Raw_Data!D1207,"")</f>
        <v>2401.19</v>
      </c>
      <c r="B1207" s="3" t="str">
        <f>IF(Raw_Data!J1207=1,Raw_Data!D1207,"")</f>
        <v/>
      </c>
    </row>
    <row r="1208" spans="1:2" x14ac:dyDescent="0.25">
      <c r="A1208" s="3" t="str">
        <f>IF(Raw_Data!J1208=0,Raw_Data!D1208,"")</f>
        <v/>
      </c>
      <c r="B1208" s="3">
        <f>IF(Raw_Data!J1208=1,Raw_Data!D1208,"")</f>
        <v>2506.96</v>
      </c>
    </row>
    <row r="1209" spans="1:2" x14ac:dyDescent="0.25">
      <c r="A1209" s="3">
        <f>IF(Raw_Data!J1209=0,Raw_Data!D1209,"")</f>
        <v>4654.6499999999996</v>
      </c>
      <c r="B1209" s="3" t="str">
        <f>IF(Raw_Data!J1209=1,Raw_Data!D1209,"")</f>
        <v/>
      </c>
    </row>
    <row r="1210" spans="1:2" x14ac:dyDescent="0.25">
      <c r="A1210" s="3">
        <f>IF(Raw_Data!J1210=0,Raw_Data!D1210,"")</f>
        <v>4137.37</v>
      </c>
      <c r="B1210" s="3" t="str">
        <f>IF(Raw_Data!J1210=1,Raw_Data!D1210,"")</f>
        <v/>
      </c>
    </row>
    <row r="1211" spans="1:2" x14ac:dyDescent="0.25">
      <c r="A1211" s="3" t="str">
        <f>IF(Raw_Data!J1211=0,Raw_Data!D1211,"")</f>
        <v/>
      </c>
      <c r="B1211" s="3">
        <f>IF(Raw_Data!J1211=1,Raw_Data!D1211,"")</f>
        <v>532.36</v>
      </c>
    </row>
    <row r="1212" spans="1:2" x14ac:dyDescent="0.25">
      <c r="A1212" s="3">
        <f>IF(Raw_Data!J1212=0,Raw_Data!D1212,"")</f>
        <v>2214.12</v>
      </c>
      <c r="B1212" s="3" t="str">
        <f>IF(Raw_Data!J1212=1,Raw_Data!D1212,"")</f>
        <v/>
      </c>
    </row>
    <row r="1213" spans="1:2" x14ac:dyDescent="0.25">
      <c r="A1213" s="3">
        <f>IF(Raw_Data!J1213=0,Raw_Data!D1213,"")</f>
        <v>1601.81</v>
      </c>
      <c r="B1213" s="3" t="str">
        <f>IF(Raw_Data!J1213=1,Raw_Data!D1213,"")</f>
        <v/>
      </c>
    </row>
    <row r="1214" spans="1:2" x14ac:dyDescent="0.25">
      <c r="A1214" s="3">
        <f>IF(Raw_Data!J1214=0,Raw_Data!D1214,"")</f>
        <v>1028.08</v>
      </c>
      <c r="B1214" s="3" t="str">
        <f>IF(Raw_Data!J1214=1,Raw_Data!D1214,"")</f>
        <v/>
      </c>
    </row>
    <row r="1215" spans="1:2" x14ac:dyDescent="0.25">
      <c r="A1215" s="3">
        <f>IF(Raw_Data!J1215=0,Raw_Data!D1215,"")</f>
        <v>13127.81</v>
      </c>
      <c r="B1215" s="3" t="str">
        <f>IF(Raw_Data!J1215=1,Raw_Data!D1215,"")</f>
        <v/>
      </c>
    </row>
    <row r="1216" spans="1:2" x14ac:dyDescent="0.25">
      <c r="A1216" s="3">
        <f>IF(Raw_Data!J1216=0,Raw_Data!D1216,"")</f>
        <v>3152.72</v>
      </c>
      <c r="B1216" s="3" t="str">
        <f>IF(Raw_Data!J1216=1,Raw_Data!D1216,"")</f>
        <v/>
      </c>
    </row>
    <row r="1217" spans="1:2" x14ac:dyDescent="0.25">
      <c r="A1217" s="3">
        <f>IF(Raw_Data!J1217=0,Raw_Data!D1217,"")</f>
        <v>2221.34</v>
      </c>
      <c r="B1217" s="3" t="str">
        <f>IF(Raw_Data!J1217=1,Raw_Data!D1217,"")</f>
        <v/>
      </c>
    </row>
    <row r="1218" spans="1:2" x14ac:dyDescent="0.25">
      <c r="A1218" s="3">
        <f>IF(Raw_Data!J1218=0,Raw_Data!D1218,"")</f>
        <v>1073.1500000000001</v>
      </c>
      <c r="B1218" s="3" t="str">
        <f>IF(Raw_Data!J1218=1,Raw_Data!D1218,"")</f>
        <v/>
      </c>
    </row>
    <row r="1219" spans="1:2" x14ac:dyDescent="0.25">
      <c r="A1219" s="3">
        <f>IF(Raw_Data!J1219=0,Raw_Data!D1219,"")</f>
        <v>2912.4</v>
      </c>
      <c r="B1219" s="3" t="str">
        <f>IF(Raw_Data!J1219=1,Raw_Data!D1219,"")</f>
        <v/>
      </c>
    </row>
    <row r="1220" spans="1:2" x14ac:dyDescent="0.25">
      <c r="A1220" s="3">
        <f>IF(Raw_Data!J1220=0,Raw_Data!D1220,"")</f>
        <v>4412.8599999999997</v>
      </c>
      <c r="B1220" s="3" t="str">
        <f>IF(Raw_Data!J1220=1,Raw_Data!D1220,"")</f>
        <v/>
      </c>
    </row>
    <row r="1221" spans="1:2" x14ac:dyDescent="0.25">
      <c r="A1221" s="3">
        <f>IF(Raw_Data!J1221=0,Raw_Data!D1221,"")</f>
        <v>6603.93</v>
      </c>
      <c r="B1221" s="3" t="str">
        <f>IF(Raw_Data!J1221=1,Raw_Data!D1221,"")</f>
        <v/>
      </c>
    </row>
    <row r="1222" spans="1:2" x14ac:dyDescent="0.25">
      <c r="A1222" s="3" t="str">
        <f>IF(Raw_Data!J1222=0,Raw_Data!D1222,"")</f>
        <v/>
      </c>
      <c r="B1222" s="3">
        <f>IF(Raw_Data!J1222=1,Raw_Data!D1222,"")</f>
        <v>736.94</v>
      </c>
    </row>
    <row r="1223" spans="1:2" x14ac:dyDescent="0.25">
      <c r="A1223" s="3" t="str">
        <f>IF(Raw_Data!J1223=0,Raw_Data!D1223,"")</f>
        <v/>
      </c>
      <c r="B1223" s="3">
        <f>IF(Raw_Data!J1223=1,Raw_Data!D1223,"")</f>
        <v>2982.05</v>
      </c>
    </row>
    <row r="1224" spans="1:2" x14ac:dyDescent="0.25">
      <c r="A1224" s="3">
        <f>IF(Raw_Data!J1224=0,Raw_Data!D1224,"")</f>
        <v>2574.8000000000002</v>
      </c>
      <c r="B1224" s="3" t="str">
        <f>IF(Raw_Data!J1224=1,Raw_Data!D1224,"")</f>
        <v/>
      </c>
    </row>
    <row r="1225" spans="1:2" x14ac:dyDescent="0.25">
      <c r="A1225" s="3">
        <f>IF(Raw_Data!J1225=0,Raw_Data!D1225,"")</f>
        <v>4380.78</v>
      </c>
      <c r="B1225" s="3" t="str">
        <f>IF(Raw_Data!J1225=1,Raw_Data!D1225,"")</f>
        <v/>
      </c>
    </row>
    <row r="1226" spans="1:2" x14ac:dyDescent="0.25">
      <c r="A1226" s="3">
        <f>IF(Raw_Data!J1226=0,Raw_Data!D1226,"")</f>
        <v>717.39</v>
      </c>
      <c r="B1226" s="3" t="str">
        <f>IF(Raw_Data!J1226=1,Raw_Data!D1226,"")</f>
        <v/>
      </c>
    </row>
    <row r="1227" spans="1:2" x14ac:dyDescent="0.25">
      <c r="A1227" s="3" t="str">
        <f>IF(Raw_Data!J1227=0,Raw_Data!D1227,"")</f>
        <v/>
      </c>
      <c r="B1227" s="3">
        <f>IF(Raw_Data!J1227=1,Raw_Data!D1227,"")</f>
        <v>1173.55</v>
      </c>
    </row>
    <row r="1228" spans="1:2" x14ac:dyDescent="0.25">
      <c r="A1228" s="3">
        <f>IF(Raw_Data!J1228=0,Raw_Data!D1228,"")</f>
        <v>3607.96</v>
      </c>
      <c r="B1228" s="3" t="str">
        <f>IF(Raw_Data!J1228=1,Raw_Data!D1228,"")</f>
        <v/>
      </c>
    </row>
    <row r="1229" spans="1:2" x14ac:dyDescent="0.25">
      <c r="A1229" s="3">
        <f>IF(Raw_Data!J1229=0,Raw_Data!D1229,"")</f>
        <v>4872.4799999999996</v>
      </c>
      <c r="B1229" s="3" t="str">
        <f>IF(Raw_Data!J1229=1,Raw_Data!D1229,"")</f>
        <v/>
      </c>
    </row>
    <row r="1230" spans="1:2" x14ac:dyDescent="0.25">
      <c r="A1230" s="3">
        <f>IF(Raw_Data!J1230=0,Raw_Data!D1230,"")</f>
        <v>2574.84</v>
      </c>
      <c r="B1230" s="3" t="str">
        <f>IF(Raw_Data!J1230=1,Raw_Data!D1230,"")</f>
        <v/>
      </c>
    </row>
    <row r="1231" spans="1:2" x14ac:dyDescent="0.25">
      <c r="A1231" s="3">
        <f>IF(Raw_Data!J1231=0,Raw_Data!D1231,"")</f>
        <v>3980.26</v>
      </c>
      <c r="B1231" s="3" t="str">
        <f>IF(Raw_Data!J1231=1,Raw_Data!D1231,"")</f>
        <v/>
      </c>
    </row>
    <row r="1232" spans="1:2" x14ac:dyDescent="0.25">
      <c r="A1232" s="3">
        <f>IF(Raw_Data!J1232=0,Raw_Data!D1232,"")</f>
        <v>3102.77</v>
      </c>
      <c r="B1232" s="3" t="str">
        <f>IF(Raw_Data!J1232=1,Raw_Data!D1232,"")</f>
        <v/>
      </c>
    </row>
    <row r="1233" spans="1:2" x14ac:dyDescent="0.25">
      <c r="A1233" s="3" t="str">
        <f>IF(Raw_Data!J1233=0,Raw_Data!D1233,"")</f>
        <v/>
      </c>
      <c r="B1233" s="3">
        <f>IF(Raw_Data!J1233=1,Raw_Data!D1233,"")</f>
        <v>9276.6299999999992</v>
      </c>
    </row>
    <row r="1234" spans="1:2" x14ac:dyDescent="0.25">
      <c r="A1234" s="3">
        <f>IF(Raw_Data!J1234=0,Raw_Data!D1234,"")</f>
        <v>1934.67</v>
      </c>
      <c r="B1234" s="3" t="str">
        <f>IF(Raw_Data!J1234=1,Raw_Data!D1234,"")</f>
        <v/>
      </c>
    </row>
    <row r="1235" spans="1:2" x14ac:dyDescent="0.25">
      <c r="A1235" s="3">
        <f>IF(Raw_Data!J1235=0,Raw_Data!D1235,"")</f>
        <v>2215.38</v>
      </c>
      <c r="B1235" s="3" t="str">
        <f>IF(Raw_Data!J1235=1,Raw_Data!D1235,"")</f>
        <v/>
      </c>
    </row>
    <row r="1236" spans="1:2" x14ac:dyDescent="0.25">
      <c r="A1236" s="3" t="str">
        <f>IF(Raw_Data!J1236=0,Raw_Data!D1236,"")</f>
        <v/>
      </c>
      <c r="B1236" s="3">
        <f>IF(Raw_Data!J1236=1,Raw_Data!D1236,"")</f>
        <v>1858.92</v>
      </c>
    </row>
    <row r="1237" spans="1:2" x14ac:dyDescent="0.25">
      <c r="A1237" s="3" t="str">
        <f>IF(Raw_Data!J1237=0,Raw_Data!D1237,"")</f>
        <v/>
      </c>
      <c r="B1237" s="3">
        <f>IF(Raw_Data!J1237=1,Raw_Data!D1237,"")</f>
        <v>3869.28</v>
      </c>
    </row>
    <row r="1238" spans="1:2" x14ac:dyDescent="0.25">
      <c r="A1238" s="3">
        <f>IF(Raw_Data!J1238=0,Raw_Data!D1238,"")</f>
        <v>793.64</v>
      </c>
      <c r="B1238" s="3" t="str">
        <f>IF(Raw_Data!J1238=1,Raw_Data!D1238,"")</f>
        <v/>
      </c>
    </row>
    <row r="1239" spans="1:2" x14ac:dyDescent="0.25">
      <c r="A1239" s="3">
        <f>IF(Raw_Data!J1239=0,Raw_Data!D1239,"")</f>
        <v>1176.8800000000001</v>
      </c>
      <c r="B1239" s="3" t="str">
        <f>IF(Raw_Data!J1239=1,Raw_Data!D1239,"")</f>
        <v/>
      </c>
    </row>
    <row r="1240" spans="1:2" x14ac:dyDescent="0.25">
      <c r="A1240" s="3">
        <f>IF(Raw_Data!J1240=0,Raw_Data!D1240,"")</f>
        <v>2777.65</v>
      </c>
      <c r="B1240" s="3" t="str">
        <f>IF(Raw_Data!J1240=1,Raw_Data!D1240,"")</f>
        <v/>
      </c>
    </row>
    <row r="1241" spans="1:2" x14ac:dyDescent="0.25">
      <c r="A1241" s="3">
        <f>IF(Raw_Data!J1241=0,Raw_Data!D1241,"")</f>
        <v>397.44</v>
      </c>
      <c r="B1241" s="3" t="str">
        <f>IF(Raw_Data!J1241=1,Raw_Data!D1241,"")</f>
        <v/>
      </c>
    </row>
    <row r="1242" spans="1:2" x14ac:dyDescent="0.25">
      <c r="A1242" s="3">
        <f>IF(Raw_Data!J1242=0,Raw_Data!D1242,"")</f>
        <v>3399.16</v>
      </c>
      <c r="B1242" s="3" t="str">
        <f>IF(Raw_Data!J1242=1,Raw_Data!D1242,"")</f>
        <v/>
      </c>
    </row>
    <row r="1243" spans="1:2" x14ac:dyDescent="0.25">
      <c r="A1243" s="3" t="str">
        <f>IF(Raw_Data!J1243=0,Raw_Data!D1243,"")</f>
        <v/>
      </c>
      <c r="B1243" s="3">
        <f>IF(Raw_Data!J1243=1,Raw_Data!D1243,"")</f>
        <v>2781.29</v>
      </c>
    </row>
    <row r="1244" spans="1:2" x14ac:dyDescent="0.25">
      <c r="A1244" s="3">
        <f>IF(Raw_Data!J1244=0,Raw_Data!D1244,"")</f>
        <v>1294.33</v>
      </c>
      <c r="B1244" s="3" t="str">
        <f>IF(Raw_Data!J1244=1,Raw_Data!D1244,"")</f>
        <v/>
      </c>
    </row>
    <row r="1245" spans="1:2" x14ac:dyDescent="0.25">
      <c r="A1245" s="3">
        <f>IF(Raw_Data!J1245=0,Raw_Data!D1245,"")</f>
        <v>3141.35</v>
      </c>
      <c r="B1245" s="3" t="str">
        <f>IF(Raw_Data!J1245=1,Raw_Data!D1245,"")</f>
        <v/>
      </c>
    </row>
    <row r="1246" spans="1:2" x14ac:dyDescent="0.25">
      <c r="A1246" s="3">
        <f>IF(Raw_Data!J1246=0,Raw_Data!D1246,"")</f>
        <v>2700.72</v>
      </c>
      <c r="B1246" s="3" t="str">
        <f>IF(Raw_Data!J1246=1,Raw_Data!D1246,"")</f>
        <v/>
      </c>
    </row>
    <row r="1247" spans="1:2" x14ac:dyDescent="0.25">
      <c r="A1247" s="3" t="str">
        <f>IF(Raw_Data!J1247=0,Raw_Data!D1247,"")</f>
        <v/>
      </c>
      <c r="B1247" s="3">
        <f>IF(Raw_Data!J1247=1,Raw_Data!D1247,"")</f>
        <v>587.54999999999995</v>
      </c>
    </row>
    <row r="1248" spans="1:2" x14ac:dyDescent="0.25">
      <c r="A1248" s="3">
        <f>IF(Raw_Data!J1248=0,Raw_Data!D1248,"")</f>
        <v>1922.28</v>
      </c>
      <c r="B1248" s="3" t="str">
        <f>IF(Raw_Data!J1248=1,Raw_Data!D1248,"")</f>
        <v/>
      </c>
    </row>
    <row r="1249" spans="1:2" x14ac:dyDescent="0.25">
      <c r="A1249" s="3">
        <f>IF(Raw_Data!J1249=0,Raw_Data!D1249,"")</f>
        <v>1530.59</v>
      </c>
      <c r="B1249" s="3" t="str">
        <f>IF(Raw_Data!J1249=1,Raw_Data!D1249,"")</f>
        <v/>
      </c>
    </row>
    <row r="1250" spans="1:2" x14ac:dyDescent="0.25">
      <c r="A1250" s="3">
        <f>IF(Raw_Data!J1250=0,Raw_Data!D1250,"")</f>
        <v>1680.4</v>
      </c>
      <c r="B1250" s="3" t="str">
        <f>IF(Raw_Data!J1250=1,Raw_Data!D1250,"")</f>
        <v/>
      </c>
    </row>
    <row r="1251" spans="1:2" x14ac:dyDescent="0.25">
      <c r="A1251" s="3">
        <f>IF(Raw_Data!J1251=0,Raw_Data!D1251,"")</f>
        <v>794.9</v>
      </c>
      <c r="B1251" s="3" t="str">
        <f>IF(Raw_Data!J1251=1,Raw_Data!D1251,"")</f>
        <v/>
      </c>
    </row>
    <row r="1252" spans="1:2" x14ac:dyDescent="0.25">
      <c r="A1252" s="3">
        <f>IF(Raw_Data!J1252=0,Raw_Data!D1252,"")</f>
        <v>2822.32</v>
      </c>
      <c r="B1252" s="3" t="str">
        <f>IF(Raw_Data!J1252=1,Raw_Data!D1252,"")</f>
        <v/>
      </c>
    </row>
    <row r="1253" spans="1:2" x14ac:dyDescent="0.25">
      <c r="A1253" s="3" t="str">
        <f>IF(Raw_Data!J1253=0,Raw_Data!D1253,"")</f>
        <v/>
      </c>
      <c r="B1253" s="3">
        <f>IF(Raw_Data!J1253=1,Raw_Data!D1253,"")</f>
        <v>3796.45</v>
      </c>
    </row>
    <row r="1254" spans="1:2" x14ac:dyDescent="0.25">
      <c r="A1254" s="3">
        <f>IF(Raw_Data!J1254=0,Raw_Data!D1254,"")</f>
        <v>1555.81</v>
      </c>
      <c r="B1254" s="3" t="str">
        <f>IF(Raw_Data!J1254=1,Raw_Data!D1254,"")</f>
        <v/>
      </c>
    </row>
    <row r="1255" spans="1:2" x14ac:dyDescent="0.25">
      <c r="A1255" s="3">
        <f>IF(Raw_Data!J1255=0,Raw_Data!D1255,"")</f>
        <v>3099.35</v>
      </c>
      <c r="B1255" s="3" t="str">
        <f>IF(Raw_Data!J1255=1,Raw_Data!D1255,"")</f>
        <v/>
      </c>
    </row>
    <row r="1256" spans="1:2" x14ac:dyDescent="0.25">
      <c r="A1256" s="3" t="str">
        <f>IF(Raw_Data!J1256=0,Raw_Data!D1256,"")</f>
        <v/>
      </c>
      <c r="B1256" s="3">
        <f>IF(Raw_Data!J1256=1,Raw_Data!D1256,"")</f>
        <v>3496.1</v>
      </c>
    </row>
    <row r="1257" spans="1:2" x14ac:dyDescent="0.25">
      <c r="A1257" s="3">
        <f>IF(Raw_Data!J1257=0,Raw_Data!D1257,"")</f>
        <v>7222.43</v>
      </c>
      <c r="B1257" s="3" t="str">
        <f>IF(Raw_Data!J1257=1,Raw_Data!D1257,"")</f>
        <v/>
      </c>
    </row>
    <row r="1258" spans="1:2" x14ac:dyDescent="0.25">
      <c r="A1258" s="3">
        <f>IF(Raw_Data!J1258=0,Raw_Data!D1258,"")</f>
        <v>3018.31</v>
      </c>
      <c r="B1258" s="3" t="str">
        <f>IF(Raw_Data!J1258=1,Raw_Data!D1258,"")</f>
        <v/>
      </c>
    </row>
    <row r="1259" spans="1:2" x14ac:dyDescent="0.25">
      <c r="A1259" s="3">
        <f>IF(Raw_Data!J1259=0,Raw_Data!D1259,"")</f>
        <v>2512.0700000000002</v>
      </c>
      <c r="B1259" s="3" t="str">
        <f>IF(Raw_Data!J1259=1,Raw_Data!D1259,"")</f>
        <v/>
      </c>
    </row>
    <row r="1260" spans="1:2" x14ac:dyDescent="0.25">
      <c r="A1260" s="3">
        <f>IF(Raw_Data!J1260=0,Raw_Data!D1260,"")</f>
        <v>270.52999999999997</v>
      </c>
      <c r="B1260" s="3" t="str">
        <f>IF(Raw_Data!J1260=1,Raw_Data!D1260,"")</f>
        <v/>
      </c>
    </row>
    <row r="1261" spans="1:2" x14ac:dyDescent="0.25">
      <c r="A1261" s="3">
        <f>IF(Raw_Data!J1261=0,Raw_Data!D1261,"")</f>
        <v>2310.1999999999998</v>
      </c>
      <c r="B1261" s="3" t="str">
        <f>IF(Raw_Data!J1261=1,Raw_Data!D1261,"")</f>
        <v/>
      </c>
    </row>
    <row r="1262" spans="1:2" x14ac:dyDescent="0.25">
      <c r="A1262" s="3">
        <f>IF(Raw_Data!J1262=0,Raw_Data!D1262,"")</f>
        <v>4702.83</v>
      </c>
      <c r="B1262" s="3" t="str">
        <f>IF(Raw_Data!J1262=1,Raw_Data!D1262,"")</f>
        <v/>
      </c>
    </row>
    <row r="1263" spans="1:2" x14ac:dyDescent="0.25">
      <c r="A1263" s="3">
        <f>IF(Raw_Data!J1263=0,Raw_Data!D1263,"")</f>
        <v>1144.48</v>
      </c>
      <c r="B1263" s="3" t="str">
        <f>IF(Raw_Data!J1263=1,Raw_Data!D1263,"")</f>
        <v/>
      </c>
    </row>
    <row r="1264" spans="1:2" x14ac:dyDescent="0.25">
      <c r="A1264" s="3">
        <f>IF(Raw_Data!J1264=0,Raw_Data!D1264,"")</f>
        <v>6784.79</v>
      </c>
      <c r="B1264" s="3" t="str">
        <f>IF(Raw_Data!J1264=1,Raw_Data!D1264,"")</f>
        <v/>
      </c>
    </row>
    <row r="1265" spans="1:2" x14ac:dyDescent="0.25">
      <c r="A1265" s="3">
        <f>IF(Raw_Data!J1265=0,Raw_Data!D1265,"")</f>
        <v>2384.9299999999998</v>
      </c>
      <c r="B1265" s="3" t="str">
        <f>IF(Raw_Data!J1265=1,Raw_Data!D1265,"")</f>
        <v/>
      </c>
    </row>
    <row r="1266" spans="1:2" x14ac:dyDescent="0.25">
      <c r="A1266" s="3" t="str">
        <f>IF(Raw_Data!J1266=0,Raw_Data!D1266,"")</f>
        <v/>
      </c>
      <c r="B1266" s="3">
        <f>IF(Raw_Data!J1266=1,Raw_Data!D1266,"")</f>
        <v>9268.84</v>
      </c>
    </row>
    <row r="1267" spans="1:2" x14ac:dyDescent="0.25">
      <c r="A1267" s="3">
        <f>IF(Raw_Data!J1267=0,Raw_Data!D1267,"")</f>
        <v>1246.03</v>
      </c>
      <c r="B1267" s="3" t="str">
        <f>IF(Raw_Data!J1267=1,Raw_Data!D1267,"")</f>
        <v/>
      </c>
    </row>
    <row r="1268" spans="1:2" x14ac:dyDescent="0.25">
      <c r="A1268" s="3">
        <f>IF(Raw_Data!J1268=0,Raw_Data!D1268,"")</f>
        <v>2722.86</v>
      </c>
      <c r="B1268" s="3" t="str">
        <f>IF(Raw_Data!J1268=1,Raw_Data!D1268,"")</f>
        <v/>
      </c>
    </row>
    <row r="1269" spans="1:2" x14ac:dyDescent="0.25">
      <c r="A1269" s="3" t="str">
        <f>IF(Raw_Data!J1269=0,Raw_Data!D1269,"")</f>
        <v/>
      </c>
      <c r="B1269" s="3">
        <f>IF(Raw_Data!J1269=1,Raw_Data!D1269,"")</f>
        <v>2477.25</v>
      </c>
    </row>
    <row r="1270" spans="1:2" x14ac:dyDescent="0.25">
      <c r="A1270" s="3">
        <f>IF(Raw_Data!J1270=0,Raw_Data!D1270,"")</f>
        <v>3600.62</v>
      </c>
      <c r="B1270" s="3" t="str">
        <f>IF(Raw_Data!J1270=1,Raw_Data!D1270,"")</f>
        <v/>
      </c>
    </row>
    <row r="1271" spans="1:2" x14ac:dyDescent="0.25">
      <c r="A1271" s="3">
        <f>IF(Raw_Data!J1271=0,Raw_Data!D1271,"")</f>
        <v>4156.3999999999996</v>
      </c>
      <c r="B1271" s="3" t="str">
        <f>IF(Raw_Data!J1271=1,Raw_Data!D1271,"")</f>
        <v/>
      </c>
    </row>
    <row r="1272" spans="1:2" x14ac:dyDescent="0.25">
      <c r="A1272" s="3" t="str">
        <f>IF(Raw_Data!J1272=0,Raw_Data!D1272,"")</f>
        <v/>
      </c>
      <c r="B1272" s="3">
        <f>IF(Raw_Data!J1272=1,Raw_Data!D1272,"")</f>
        <v>7863.94</v>
      </c>
    </row>
    <row r="1273" spans="1:2" x14ac:dyDescent="0.25">
      <c r="A1273" s="3">
        <f>IF(Raw_Data!J1273=0,Raw_Data!D1273,"")</f>
        <v>5019.1000000000004</v>
      </c>
      <c r="B1273" s="3" t="str">
        <f>IF(Raw_Data!J1273=1,Raw_Data!D1273,"")</f>
        <v/>
      </c>
    </row>
    <row r="1274" spans="1:2" x14ac:dyDescent="0.25">
      <c r="A1274" s="3">
        <f>IF(Raw_Data!J1274=0,Raw_Data!D1274,"")</f>
        <v>1768.13</v>
      </c>
      <c r="B1274" s="3" t="str">
        <f>IF(Raw_Data!J1274=1,Raw_Data!D1274,"")</f>
        <v/>
      </c>
    </row>
    <row r="1275" spans="1:2" x14ac:dyDescent="0.25">
      <c r="A1275" s="3">
        <f>IF(Raw_Data!J1275=0,Raw_Data!D1275,"")</f>
        <v>3666.37</v>
      </c>
      <c r="B1275" s="3" t="str">
        <f>IF(Raw_Data!J1275=1,Raw_Data!D1275,"")</f>
        <v/>
      </c>
    </row>
    <row r="1276" spans="1:2" x14ac:dyDescent="0.25">
      <c r="A1276" s="3">
        <f>IF(Raw_Data!J1276=0,Raw_Data!D1276,"")</f>
        <v>1850.57</v>
      </c>
      <c r="B1276" s="3" t="str">
        <f>IF(Raw_Data!J1276=1,Raw_Data!D1276,"")</f>
        <v/>
      </c>
    </row>
    <row r="1277" spans="1:2" x14ac:dyDescent="0.25">
      <c r="A1277" s="3">
        <f>IF(Raw_Data!J1277=0,Raw_Data!D1277,"")</f>
        <v>1994.73</v>
      </c>
      <c r="B1277" s="3" t="str">
        <f>IF(Raw_Data!J1277=1,Raw_Data!D1277,"")</f>
        <v/>
      </c>
    </row>
    <row r="1278" spans="1:2" x14ac:dyDescent="0.25">
      <c r="A1278" s="3">
        <f>IF(Raw_Data!J1278=0,Raw_Data!D1278,"")</f>
        <v>2751.35</v>
      </c>
      <c r="B1278" s="3" t="str">
        <f>IF(Raw_Data!J1278=1,Raw_Data!D1278,"")</f>
        <v/>
      </c>
    </row>
    <row r="1279" spans="1:2" x14ac:dyDescent="0.25">
      <c r="A1279" s="3" t="str">
        <f>IF(Raw_Data!J1279=0,Raw_Data!D1279,"")</f>
        <v/>
      </c>
      <c r="B1279" s="3">
        <f>IF(Raw_Data!J1279=1,Raw_Data!D1279,"")</f>
        <v>3014.7</v>
      </c>
    </row>
    <row r="1280" spans="1:2" x14ac:dyDescent="0.25">
      <c r="A1280" s="3">
        <f>IF(Raw_Data!J1280=0,Raw_Data!D1280,"")</f>
        <v>2178.31</v>
      </c>
      <c r="B1280" s="3" t="str">
        <f>IF(Raw_Data!J1280=1,Raw_Data!D1280,"")</f>
        <v/>
      </c>
    </row>
    <row r="1281" spans="1:2" x14ac:dyDescent="0.25">
      <c r="A1281" s="3" t="str">
        <f>IF(Raw_Data!J1281=0,Raw_Data!D1281,"")</f>
        <v/>
      </c>
      <c r="B1281" s="3">
        <f>IF(Raw_Data!J1281=1,Raw_Data!D1281,"")</f>
        <v>150.35</v>
      </c>
    </row>
    <row r="1282" spans="1:2" x14ac:dyDescent="0.25">
      <c r="A1282" s="3">
        <f>IF(Raw_Data!J1282=0,Raw_Data!D1282,"")</f>
        <v>4872</v>
      </c>
      <c r="B1282" s="3" t="str">
        <f>IF(Raw_Data!J1282=1,Raw_Data!D1282,"")</f>
        <v/>
      </c>
    </row>
    <row r="1283" spans="1:2" x14ac:dyDescent="0.25">
      <c r="A1283" s="3" t="str">
        <f>IF(Raw_Data!J1283=0,Raw_Data!D1283,"")</f>
        <v/>
      </c>
      <c r="B1283" s="3">
        <f>IF(Raw_Data!J1283=1,Raw_Data!D1283,"")</f>
        <v>2154.73</v>
      </c>
    </row>
    <row r="1284" spans="1:2" x14ac:dyDescent="0.25">
      <c r="A1284" s="3" t="str">
        <f>IF(Raw_Data!J1284=0,Raw_Data!D1284,"")</f>
        <v/>
      </c>
      <c r="B1284" s="3">
        <f>IF(Raw_Data!J1284=1,Raw_Data!D1284,"")</f>
        <v>968.92</v>
      </c>
    </row>
    <row r="1285" spans="1:2" x14ac:dyDescent="0.25">
      <c r="A1285" s="3">
        <f>IF(Raw_Data!J1285=0,Raw_Data!D1285,"")</f>
        <v>3023</v>
      </c>
      <c r="B1285" s="3" t="str">
        <f>IF(Raw_Data!J1285=1,Raw_Data!D1285,"")</f>
        <v/>
      </c>
    </row>
    <row r="1286" spans="1:2" x14ac:dyDescent="0.25">
      <c r="A1286" s="3">
        <f>IF(Raw_Data!J1286=0,Raw_Data!D1286,"")</f>
        <v>1958.99</v>
      </c>
      <c r="B1286" s="3" t="str">
        <f>IF(Raw_Data!J1286=1,Raw_Data!D1286,"")</f>
        <v/>
      </c>
    </row>
    <row r="1287" spans="1:2" x14ac:dyDescent="0.25">
      <c r="A1287" s="3" t="str">
        <f>IF(Raw_Data!J1287=0,Raw_Data!D1287,"")</f>
        <v/>
      </c>
      <c r="B1287" s="3">
        <f>IF(Raw_Data!J1287=1,Raw_Data!D1287,"")</f>
        <v>1673.31</v>
      </c>
    </row>
    <row r="1288" spans="1:2" x14ac:dyDescent="0.25">
      <c r="A1288" s="3" t="str">
        <f>IF(Raw_Data!J1288=0,Raw_Data!D1288,"")</f>
        <v/>
      </c>
      <c r="B1288" s="3">
        <f>IF(Raw_Data!J1288=1,Raw_Data!D1288,"")</f>
        <v>1006.53</v>
      </c>
    </row>
    <row r="1289" spans="1:2" x14ac:dyDescent="0.25">
      <c r="A1289" s="3">
        <f>IF(Raw_Data!J1289=0,Raw_Data!D1289,"")</f>
        <v>1251.21</v>
      </c>
      <c r="B1289" s="3" t="str">
        <f>IF(Raw_Data!J1289=1,Raw_Data!D1289,"")</f>
        <v/>
      </c>
    </row>
    <row r="1290" spans="1:2" x14ac:dyDescent="0.25">
      <c r="A1290" s="3">
        <f>IF(Raw_Data!J1290=0,Raw_Data!D1290,"")</f>
        <v>4328.74</v>
      </c>
      <c r="B1290" s="3" t="str">
        <f>IF(Raw_Data!J1290=1,Raw_Data!D1290,"")</f>
        <v/>
      </c>
    </row>
    <row r="1291" spans="1:2" x14ac:dyDescent="0.25">
      <c r="A1291" s="3">
        <f>IF(Raw_Data!J1291=0,Raw_Data!D1291,"")</f>
        <v>861.56</v>
      </c>
      <c r="B1291" s="3" t="str">
        <f>IF(Raw_Data!J1291=1,Raw_Data!D1291,"")</f>
        <v/>
      </c>
    </row>
    <row r="1292" spans="1:2" x14ac:dyDescent="0.25">
      <c r="A1292" s="3">
        <f>IF(Raw_Data!J1292=0,Raw_Data!D1292,"")</f>
        <v>3492.63</v>
      </c>
      <c r="B1292" s="3" t="str">
        <f>IF(Raw_Data!J1292=1,Raw_Data!D1292,"")</f>
        <v/>
      </c>
    </row>
    <row r="1293" spans="1:2" x14ac:dyDescent="0.25">
      <c r="A1293" s="3" t="str">
        <f>IF(Raw_Data!J1293=0,Raw_Data!D1293,"")</f>
        <v/>
      </c>
      <c r="B1293" s="3">
        <f>IF(Raw_Data!J1293=1,Raw_Data!D1293,"")</f>
        <v>3321.8</v>
      </c>
    </row>
    <row r="1294" spans="1:2" x14ac:dyDescent="0.25">
      <c r="A1294" s="3">
        <f>IF(Raw_Data!J1294=0,Raw_Data!D1294,"")</f>
        <v>1784.78</v>
      </c>
      <c r="B1294" s="3" t="str">
        <f>IF(Raw_Data!J1294=1,Raw_Data!D1294,"")</f>
        <v/>
      </c>
    </row>
    <row r="1295" spans="1:2" x14ac:dyDescent="0.25">
      <c r="A1295" s="3">
        <f>IF(Raw_Data!J1295=0,Raw_Data!D1295,"")</f>
        <v>5273.07</v>
      </c>
      <c r="B1295" s="3" t="str">
        <f>IF(Raw_Data!J1295=1,Raw_Data!D1295,"")</f>
        <v/>
      </c>
    </row>
    <row r="1296" spans="1:2" x14ac:dyDescent="0.25">
      <c r="A1296" s="3">
        <f>IF(Raw_Data!J1296=0,Raw_Data!D1296,"")</f>
        <v>1556.81</v>
      </c>
      <c r="B1296" s="3" t="str">
        <f>IF(Raw_Data!J1296=1,Raw_Data!D1296,"")</f>
        <v/>
      </c>
    </row>
    <row r="1297" spans="1:2" x14ac:dyDescent="0.25">
      <c r="A1297" s="3">
        <f>IF(Raw_Data!J1297=0,Raw_Data!D1297,"")</f>
        <v>1785.23</v>
      </c>
      <c r="B1297" s="3" t="str">
        <f>IF(Raw_Data!J1297=1,Raw_Data!D1297,"")</f>
        <v/>
      </c>
    </row>
    <row r="1298" spans="1:2" x14ac:dyDescent="0.25">
      <c r="A1298" s="3" t="str">
        <f>IF(Raw_Data!J1298=0,Raw_Data!D1298,"")</f>
        <v/>
      </c>
      <c r="B1298" s="3">
        <f>IF(Raw_Data!J1298=1,Raw_Data!D1298,"")</f>
        <v>742.61</v>
      </c>
    </row>
    <row r="1299" spans="1:2" x14ac:dyDescent="0.25">
      <c r="A1299" s="3">
        <f>IF(Raw_Data!J1299=0,Raw_Data!D1299,"")</f>
        <v>4965.3500000000004</v>
      </c>
      <c r="B1299" s="3" t="str">
        <f>IF(Raw_Data!J1299=1,Raw_Data!D1299,"")</f>
        <v/>
      </c>
    </row>
    <row r="1300" spans="1:2" x14ac:dyDescent="0.25">
      <c r="A1300" s="3" t="str">
        <f>IF(Raw_Data!J1300=0,Raw_Data!D1300,"")</f>
        <v/>
      </c>
      <c r="B1300" s="3">
        <f>IF(Raw_Data!J1300=1,Raw_Data!D1300,"")</f>
        <v>1105.32</v>
      </c>
    </row>
    <row r="1301" spans="1:2" x14ac:dyDescent="0.25">
      <c r="A1301" s="3">
        <f>IF(Raw_Data!J1301=0,Raw_Data!D1301,"")</f>
        <v>2963.59</v>
      </c>
      <c r="B1301" s="3" t="str">
        <f>IF(Raw_Data!J1301=1,Raw_Data!D1301,"")</f>
        <v/>
      </c>
    </row>
    <row r="1302" spans="1:2" x14ac:dyDescent="0.25">
      <c r="A1302" s="3">
        <f>IF(Raw_Data!J1302=0,Raw_Data!D1302,"")</f>
        <v>2316.0300000000002</v>
      </c>
      <c r="B1302" s="3" t="str">
        <f>IF(Raw_Data!J1302=1,Raw_Data!D1302,"")</f>
        <v/>
      </c>
    </row>
    <row r="1303" spans="1:2" x14ac:dyDescent="0.25">
      <c r="A1303" s="3">
        <f>IF(Raw_Data!J1303=0,Raw_Data!D1303,"")</f>
        <v>1514.94</v>
      </c>
      <c r="B1303" s="3" t="str">
        <f>IF(Raw_Data!J1303=1,Raw_Data!D1303,"")</f>
        <v/>
      </c>
    </row>
    <row r="1304" spans="1:2" x14ac:dyDescent="0.25">
      <c r="A1304" s="3">
        <f>IF(Raw_Data!J1304=0,Raw_Data!D1304,"")</f>
        <v>3332.18</v>
      </c>
      <c r="B1304" s="3" t="str">
        <f>IF(Raw_Data!J1304=1,Raw_Data!D1304,"")</f>
        <v/>
      </c>
    </row>
    <row r="1305" spans="1:2" x14ac:dyDescent="0.25">
      <c r="A1305" s="3">
        <f>IF(Raw_Data!J1305=0,Raw_Data!D1305,"")</f>
        <v>4015.45</v>
      </c>
      <c r="B1305" s="3" t="str">
        <f>IF(Raw_Data!J1305=1,Raw_Data!D1305,"")</f>
        <v/>
      </c>
    </row>
    <row r="1306" spans="1:2" x14ac:dyDescent="0.25">
      <c r="A1306" s="3">
        <f>IF(Raw_Data!J1306=0,Raw_Data!D1306,"")</f>
        <v>7305.15</v>
      </c>
      <c r="B1306" s="3" t="str">
        <f>IF(Raw_Data!J1306=1,Raw_Data!D1306,"")</f>
        <v/>
      </c>
    </row>
    <row r="1307" spans="1:2" x14ac:dyDescent="0.25">
      <c r="A1307" s="3">
        <f>IF(Raw_Data!J1307=0,Raw_Data!D1307,"")</f>
        <v>2821.68</v>
      </c>
      <c r="B1307" s="3" t="str">
        <f>IF(Raw_Data!J1307=1,Raw_Data!D1307,"")</f>
        <v/>
      </c>
    </row>
    <row r="1308" spans="1:2" x14ac:dyDescent="0.25">
      <c r="A1308" s="3">
        <f>IF(Raw_Data!J1308=0,Raw_Data!D1308,"")</f>
        <v>5154.3</v>
      </c>
      <c r="B1308" s="3" t="str">
        <f>IF(Raw_Data!J1308=1,Raw_Data!D1308,"")</f>
        <v/>
      </c>
    </row>
    <row r="1309" spans="1:2" x14ac:dyDescent="0.25">
      <c r="A1309" s="3">
        <f>IF(Raw_Data!J1309=0,Raw_Data!D1309,"")</f>
        <v>1154.43</v>
      </c>
      <c r="B1309" s="3" t="str">
        <f>IF(Raw_Data!J1309=1,Raw_Data!D1309,"")</f>
        <v/>
      </c>
    </row>
    <row r="1310" spans="1:2" x14ac:dyDescent="0.25">
      <c r="A1310" s="3">
        <f>IF(Raw_Data!J1310=0,Raw_Data!D1310,"")</f>
        <v>1358.69</v>
      </c>
      <c r="B1310" s="3" t="str">
        <f>IF(Raw_Data!J1310=1,Raw_Data!D1310,"")</f>
        <v/>
      </c>
    </row>
    <row r="1311" spans="1:2" x14ac:dyDescent="0.25">
      <c r="A1311" s="3" t="str">
        <f>IF(Raw_Data!J1311=0,Raw_Data!D1311,"")</f>
        <v/>
      </c>
      <c r="B1311" s="3">
        <f>IF(Raw_Data!J1311=1,Raw_Data!D1311,"")</f>
        <v>5205.1499999999996</v>
      </c>
    </row>
    <row r="1312" spans="1:2" x14ac:dyDescent="0.25">
      <c r="A1312" s="3">
        <f>IF(Raw_Data!J1312=0,Raw_Data!D1312,"")</f>
        <v>2536.39</v>
      </c>
      <c r="B1312" s="3" t="str">
        <f>IF(Raw_Data!J1312=1,Raw_Data!D1312,"")</f>
        <v/>
      </c>
    </row>
    <row r="1313" spans="1:2" x14ac:dyDescent="0.25">
      <c r="A1313" s="3">
        <f>IF(Raw_Data!J1313=0,Raw_Data!D1313,"")</f>
        <v>769.1</v>
      </c>
      <c r="B1313" s="3" t="str">
        <f>IF(Raw_Data!J1313=1,Raw_Data!D1313,"")</f>
        <v/>
      </c>
    </row>
    <row r="1314" spans="1:2" x14ac:dyDescent="0.25">
      <c r="A1314" s="3">
        <f>IF(Raw_Data!J1314=0,Raw_Data!D1314,"")</f>
        <v>3071.72</v>
      </c>
      <c r="B1314" s="3" t="str">
        <f>IF(Raw_Data!J1314=1,Raw_Data!D1314,"")</f>
        <v/>
      </c>
    </row>
    <row r="1315" spans="1:2" x14ac:dyDescent="0.25">
      <c r="A1315" s="3" t="str">
        <f>IF(Raw_Data!J1315=0,Raw_Data!D1315,"")</f>
        <v/>
      </c>
      <c r="B1315" s="3">
        <f>IF(Raw_Data!J1315=1,Raw_Data!D1315,"")</f>
        <v>5588.96</v>
      </c>
    </row>
    <row r="1316" spans="1:2" x14ac:dyDescent="0.25">
      <c r="A1316" s="3" t="str">
        <f>IF(Raw_Data!J1316=0,Raw_Data!D1316,"")</f>
        <v/>
      </c>
      <c r="B1316" s="3">
        <f>IF(Raw_Data!J1316=1,Raw_Data!D1316,"")</f>
        <v>3483.29</v>
      </c>
    </row>
    <row r="1317" spans="1:2" x14ac:dyDescent="0.25">
      <c r="A1317" s="3">
        <f>IF(Raw_Data!J1317=0,Raw_Data!D1317,"")</f>
        <v>2002.08</v>
      </c>
      <c r="B1317" s="3" t="str">
        <f>IF(Raw_Data!J1317=1,Raw_Data!D1317,"")</f>
        <v/>
      </c>
    </row>
    <row r="1318" spans="1:2" x14ac:dyDescent="0.25">
      <c r="A1318" s="3">
        <f>IF(Raw_Data!J1318=0,Raw_Data!D1318,"")</f>
        <v>3443.94</v>
      </c>
      <c r="B1318" s="3" t="str">
        <f>IF(Raw_Data!J1318=1,Raw_Data!D1318,"")</f>
        <v/>
      </c>
    </row>
    <row r="1319" spans="1:2" x14ac:dyDescent="0.25">
      <c r="A1319" s="3">
        <f>IF(Raw_Data!J1319=0,Raw_Data!D1319,"")</f>
        <v>789.82</v>
      </c>
      <c r="B1319" s="3" t="str">
        <f>IF(Raw_Data!J1319=1,Raw_Data!D1319,"")</f>
        <v/>
      </c>
    </row>
    <row r="1320" spans="1:2" x14ac:dyDescent="0.25">
      <c r="A1320" s="3" t="str">
        <f>IF(Raw_Data!J1320=0,Raw_Data!D1320,"")</f>
        <v/>
      </c>
      <c r="B1320" s="3">
        <f>IF(Raw_Data!J1320=1,Raw_Data!D1320,"")</f>
        <v>7974.27</v>
      </c>
    </row>
    <row r="1321" spans="1:2" x14ac:dyDescent="0.25">
      <c r="A1321" s="3">
        <f>IF(Raw_Data!J1321=0,Raw_Data!D1321,"")</f>
        <v>1080.19</v>
      </c>
      <c r="B1321" s="3" t="str">
        <f>IF(Raw_Data!J1321=1,Raw_Data!D1321,"")</f>
        <v/>
      </c>
    </row>
    <row r="1322" spans="1:2" x14ac:dyDescent="0.25">
      <c r="A1322" s="3">
        <f>IF(Raw_Data!J1322=0,Raw_Data!D1322,"")</f>
        <v>1303.27</v>
      </c>
      <c r="B1322" s="3" t="str">
        <f>IF(Raw_Data!J1322=1,Raw_Data!D1322,"")</f>
        <v/>
      </c>
    </row>
    <row r="1323" spans="1:2" x14ac:dyDescent="0.25">
      <c r="A1323" s="3">
        <f>IF(Raw_Data!J1323=0,Raw_Data!D1323,"")</f>
        <v>7733.73</v>
      </c>
      <c r="B1323" s="3" t="str">
        <f>IF(Raw_Data!J1323=1,Raw_Data!D1323,"")</f>
        <v/>
      </c>
    </row>
    <row r="1324" spans="1:2" x14ac:dyDescent="0.25">
      <c r="A1324" s="3">
        <f>IF(Raw_Data!J1324=0,Raw_Data!D1324,"")</f>
        <v>2186.83</v>
      </c>
      <c r="B1324" s="3" t="str">
        <f>IF(Raw_Data!J1324=1,Raw_Data!D1324,"")</f>
        <v/>
      </c>
    </row>
    <row r="1325" spans="1:2" x14ac:dyDescent="0.25">
      <c r="A1325" s="3" t="str">
        <f>IF(Raw_Data!J1325=0,Raw_Data!D1325,"")</f>
        <v/>
      </c>
      <c r="B1325" s="3">
        <f>IF(Raw_Data!J1325=1,Raw_Data!D1325,"")</f>
        <v>2702.73</v>
      </c>
    </row>
    <row r="1326" spans="1:2" x14ac:dyDescent="0.25">
      <c r="A1326" s="3">
        <f>IF(Raw_Data!J1326=0,Raw_Data!D1326,"")</f>
        <v>1361.21</v>
      </c>
      <c r="B1326" s="3" t="str">
        <f>IF(Raw_Data!J1326=1,Raw_Data!D1326,"")</f>
        <v/>
      </c>
    </row>
    <row r="1327" spans="1:2" x14ac:dyDescent="0.25">
      <c r="A1327" s="3">
        <f>IF(Raw_Data!J1327=0,Raw_Data!D1327,"")</f>
        <v>7511.28</v>
      </c>
      <c r="B1327" s="3" t="str">
        <f>IF(Raw_Data!J1327=1,Raw_Data!D1327,"")</f>
        <v/>
      </c>
    </row>
    <row r="1328" spans="1:2" x14ac:dyDescent="0.25">
      <c r="A1328" s="3">
        <f>IF(Raw_Data!J1328=0,Raw_Data!D1328,"")</f>
        <v>1593.13</v>
      </c>
      <c r="B1328" s="3" t="str">
        <f>IF(Raw_Data!J1328=1,Raw_Data!D1328,"")</f>
        <v/>
      </c>
    </row>
    <row r="1329" spans="1:2" x14ac:dyDescent="0.25">
      <c r="A1329" s="3">
        <f>IF(Raw_Data!J1329=0,Raw_Data!D1329,"")</f>
        <v>1094.26</v>
      </c>
      <c r="B1329" s="3" t="str">
        <f>IF(Raw_Data!J1329=1,Raw_Data!D1329,"")</f>
        <v/>
      </c>
    </row>
    <row r="1330" spans="1:2" x14ac:dyDescent="0.25">
      <c r="A1330" s="3">
        <f>IF(Raw_Data!J1330=0,Raw_Data!D1330,"")</f>
        <v>2550.63</v>
      </c>
      <c r="B1330" s="3" t="str">
        <f>IF(Raw_Data!J1330=1,Raw_Data!D1330,"")</f>
        <v/>
      </c>
    </row>
    <row r="1331" spans="1:2" x14ac:dyDescent="0.25">
      <c r="A1331" s="3">
        <f>IF(Raw_Data!J1331=0,Raw_Data!D1331,"")</f>
        <v>1671.18</v>
      </c>
      <c r="B1331" s="3" t="str">
        <f>IF(Raw_Data!J1331=1,Raw_Data!D1331,"")</f>
        <v/>
      </c>
    </row>
    <row r="1332" spans="1:2" x14ac:dyDescent="0.25">
      <c r="A1332" s="3" t="str">
        <f>IF(Raw_Data!J1332=0,Raw_Data!D1332,"")</f>
        <v/>
      </c>
      <c r="B1332" s="3">
        <f>IF(Raw_Data!J1332=1,Raw_Data!D1332,"")</f>
        <v>2810.67</v>
      </c>
    </row>
    <row r="1333" spans="1:2" x14ac:dyDescent="0.25">
      <c r="A1333" s="3">
        <f>IF(Raw_Data!J1333=0,Raw_Data!D1333,"")</f>
        <v>2221.6999999999998</v>
      </c>
      <c r="B1333" s="3" t="str">
        <f>IF(Raw_Data!J1333=1,Raw_Data!D1333,"")</f>
        <v/>
      </c>
    </row>
    <row r="1334" spans="1:2" x14ac:dyDescent="0.25">
      <c r="A1334" s="3">
        <f>IF(Raw_Data!J1334=0,Raw_Data!D1334,"")</f>
        <v>1673.35</v>
      </c>
      <c r="B1334" s="3" t="str">
        <f>IF(Raw_Data!J1334=1,Raw_Data!D1334,"")</f>
        <v/>
      </c>
    </row>
    <row r="1335" spans="1:2" x14ac:dyDescent="0.25">
      <c r="A1335" s="3" t="str">
        <f>IF(Raw_Data!J1335=0,Raw_Data!D1335,"")</f>
        <v/>
      </c>
      <c r="B1335" s="3">
        <f>IF(Raw_Data!J1335=1,Raw_Data!D1335,"")</f>
        <v>4694.3599999999997</v>
      </c>
    </row>
    <row r="1336" spans="1:2" x14ac:dyDescent="0.25">
      <c r="A1336" s="3">
        <f>IF(Raw_Data!J1336=0,Raw_Data!D1336,"")</f>
        <v>4314.13</v>
      </c>
      <c r="B1336" s="3" t="str">
        <f>IF(Raw_Data!J1336=1,Raw_Data!D1336,"")</f>
        <v/>
      </c>
    </row>
    <row r="1337" spans="1:2" x14ac:dyDescent="0.25">
      <c r="A1337" s="3" t="str">
        <f>IF(Raw_Data!J1337=0,Raw_Data!D1337,"")</f>
        <v/>
      </c>
      <c r="B1337" s="3">
        <f>IF(Raw_Data!J1337=1,Raw_Data!D1337,"")</f>
        <v>1652.44</v>
      </c>
    </row>
    <row r="1338" spans="1:2" x14ac:dyDescent="0.25">
      <c r="A1338" s="3">
        <f>IF(Raw_Data!J1338=0,Raw_Data!D1338,"")</f>
        <v>2954.21</v>
      </c>
      <c r="B1338" s="3" t="str">
        <f>IF(Raw_Data!J1338=1,Raw_Data!D1338,"")</f>
        <v/>
      </c>
    </row>
    <row r="1339" spans="1:2" x14ac:dyDescent="0.25">
      <c r="A1339" s="3">
        <f>IF(Raw_Data!J1339=0,Raw_Data!D1339,"")</f>
        <v>1117.54</v>
      </c>
      <c r="B1339" s="3" t="str">
        <f>IF(Raw_Data!J1339=1,Raw_Data!D1339,"")</f>
        <v/>
      </c>
    </row>
    <row r="1340" spans="1:2" x14ac:dyDescent="0.25">
      <c r="A1340" s="3" t="str">
        <f>IF(Raw_Data!J1340=0,Raw_Data!D1340,"")</f>
        <v/>
      </c>
      <c r="B1340" s="3">
        <f>IF(Raw_Data!J1340=1,Raw_Data!D1340,"")</f>
        <v>3000.62</v>
      </c>
    </row>
    <row r="1341" spans="1:2" x14ac:dyDescent="0.25">
      <c r="A1341" s="3" t="str">
        <f>IF(Raw_Data!J1341=0,Raw_Data!D1341,"")</f>
        <v/>
      </c>
      <c r="B1341" s="3">
        <f>IF(Raw_Data!J1341=1,Raw_Data!D1341,"")</f>
        <v>1672.37</v>
      </c>
    </row>
    <row r="1342" spans="1:2" x14ac:dyDescent="0.25">
      <c r="A1342" s="3" t="str">
        <f>IF(Raw_Data!J1342=0,Raw_Data!D1342,"")</f>
        <v/>
      </c>
      <c r="B1342" s="3">
        <f>IF(Raw_Data!J1342=1,Raw_Data!D1342,"")</f>
        <v>2323.46</v>
      </c>
    </row>
    <row r="1343" spans="1:2" x14ac:dyDescent="0.25">
      <c r="A1343" s="3">
        <f>IF(Raw_Data!J1343=0,Raw_Data!D1343,"")</f>
        <v>2230.9</v>
      </c>
      <c r="B1343" s="3" t="str">
        <f>IF(Raw_Data!J1343=1,Raw_Data!D1343,"")</f>
        <v/>
      </c>
    </row>
    <row r="1344" spans="1:2" x14ac:dyDescent="0.25">
      <c r="A1344" s="3" t="str">
        <f>IF(Raw_Data!J1344=0,Raw_Data!D1344,"")</f>
        <v/>
      </c>
      <c r="B1344" s="3">
        <f>IF(Raw_Data!J1344=1,Raw_Data!D1344,"")</f>
        <v>723.6</v>
      </c>
    </row>
    <row r="1345" spans="1:2" x14ac:dyDescent="0.25">
      <c r="A1345" s="3">
        <f>IF(Raw_Data!J1345=0,Raw_Data!D1345,"")</f>
        <v>5161.55</v>
      </c>
      <c r="B1345" s="3" t="str">
        <f>IF(Raw_Data!J1345=1,Raw_Data!D1345,"")</f>
        <v/>
      </c>
    </row>
    <row r="1346" spans="1:2" x14ac:dyDescent="0.25">
      <c r="A1346" s="3">
        <f>IF(Raw_Data!J1346=0,Raw_Data!D1346,"")</f>
        <v>2844.19</v>
      </c>
      <c r="B1346" s="3" t="str">
        <f>IF(Raw_Data!J1346=1,Raw_Data!D1346,"")</f>
        <v/>
      </c>
    </row>
    <row r="1347" spans="1:2" x14ac:dyDescent="0.25">
      <c r="A1347" s="3">
        <f>IF(Raw_Data!J1347=0,Raw_Data!D1347,"")</f>
        <v>1757.68</v>
      </c>
      <c r="B1347" s="3" t="str">
        <f>IF(Raw_Data!J1347=1,Raw_Data!D1347,"")</f>
        <v/>
      </c>
    </row>
    <row r="1348" spans="1:2" x14ac:dyDescent="0.25">
      <c r="A1348" s="3">
        <f>IF(Raw_Data!J1348=0,Raw_Data!D1348,"")</f>
        <v>1283.8499999999999</v>
      </c>
      <c r="B1348" s="3" t="str">
        <f>IF(Raw_Data!J1348=1,Raw_Data!D1348,"")</f>
        <v/>
      </c>
    </row>
    <row r="1349" spans="1:2" x14ac:dyDescent="0.25">
      <c r="A1349" s="3">
        <f>IF(Raw_Data!J1349=0,Raw_Data!D1349,"")</f>
        <v>6420.32</v>
      </c>
      <c r="B1349" s="3" t="str">
        <f>IF(Raw_Data!J1349=1,Raw_Data!D1349,"")</f>
        <v/>
      </c>
    </row>
    <row r="1350" spans="1:2" x14ac:dyDescent="0.25">
      <c r="A1350" s="3">
        <f>IF(Raw_Data!J1350=0,Raw_Data!D1350,"")</f>
        <v>1505.14</v>
      </c>
      <c r="B1350" s="3" t="str">
        <f>IF(Raw_Data!J1350=1,Raw_Data!D1350,"")</f>
        <v/>
      </c>
    </row>
    <row r="1351" spans="1:2" x14ac:dyDescent="0.25">
      <c r="A1351" s="3">
        <f>IF(Raw_Data!J1351=0,Raw_Data!D1351,"")</f>
        <v>1301.04</v>
      </c>
      <c r="B1351" s="3" t="str">
        <f>IF(Raw_Data!J1351=1,Raw_Data!D1351,"")</f>
        <v/>
      </c>
    </row>
    <row r="1352" spans="1:2" x14ac:dyDescent="0.25">
      <c r="A1352" s="3" t="str">
        <f>IF(Raw_Data!J1352=0,Raw_Data!D1352,"")</f>
        <v/>
      </c>
      <c r="B1352" s="3">
        <f>IF(Raw_Data!J1352=1,Raw_Data!D1352,"")</f>
        <v>3010.65</v>
      </c>
    </row>
    <row r="1353" spans="1:2" x14ac:dyDescent="0.25">
      <c r="A1353" s="3">
        <f>IF(Raw_Data!J1353=0,Raw_Data!D1353,"")</f>
        <v>4809.53</v>
      </c>
      <c r="B1353" s="3" t="str">
        <f>IF(Raw_Data!J1353=1,Raw_Data!D1353,"")</f>
        <v/>
      </c>
    </row>
    <row r="1354" spans="1:2" x14ac:dyDescent="0.25">
      <c r="A1354" s="3">
        <f>IF(Raw_Data!J1354=0,Raw_Data!D1354,"")</f>
        <v>1458.89</v>
      </c>
      <c r="B1354" s="3" t="str">
        <f>IF(Raw_Data!J1354=1,Raw_Data!D1354,"")</f>
        <v/>
      </c>
    </row>
    <row r="1355" spans="1:2" x14ac:dyDescent="0.25">
      <c r="A1355" s="3">
        <f>IF(Raw_Data!J1355=0,Raw_Data!D1355,"")</f>
        <v>688.28</v>
      </c>
      <c r="B1355" s="3" t="str">
        <f>IF(Raw_Data!J1355=1,Raw_Data!D1355,"")</f>
        <v/>
      </c>
    </row>
    <row r="1356" spans="1:2" x14ac:dyDescent="0.25">
      <c r="A1356" s="3">
        <f>IF(Raw_Data!J1356=0,Raw_Data!D1356,"")</f>
        <v>296.85000000000002</v>
      </c>
      <c r="B1356" s="3" t="str">
        <f>IF(Raw_Data!J1356=1,Raw_Data!D1356,"")</f>
        <v/>
      </c>
    </row>
    <row r="1357" spans="1:2" x14ac:dyDescent="0.25">
      <c r="A1357" s="3" t="str">
        <f>IF(Raw_Data!J1357=0,Raw_Data!D1357,"")</f>
        <v/>
      </c>
      <c r="B1357" s="3">
        <f>IF(Raw_Data!J1357=1,Raw_Data!D1357,"")</f>
        <v>1950.76</v>
      </c>
    </row>
    <row r="1358" spans="1:2" x14ac:dyDescent="0.25">
      <c r="A1358" s="3" t="str">
        <f>IF(Raw_Data!J1358=0,Raw_Data!D1358,"")</f>
        <v/>
      </c>
      <c r="B1358" s="3">
        <f>IF(Raw_Data!J1358=1,Raw_Data!D1358,"")</f>
        <v>7859.55</v>
      </c>
    </row>
    <row r="1359" spans="1:2" x14ac:dyDescent="0.25">
      <c r="A1359" s="3">
        <f>IF(Raw_Data!J1359=0,Raw_Data!D1359,"")</f>
        <v>5502.82</v>
      </c>
      <c r="B1359" s="3" t="str">
        <f>IF(Raw_Data!J1359=1,Raw_Data!D1359,"")</f>
        <v/>
      </c>
    </row>
    <row r="1360" spans="1:2" x14ac:dyDescent="0.25">
      <c r="A1360" s="3">
        <f>IF(Raw_Data!J1360=0,Raw_Data!D1360,"")</f>
        <v>4100.49</v>
      </c>
      <c r="B1360" s="3" t="str">
        <f>IF(Raw_Data!J1360=1,Raw_Data!D1360,"")</f>
        <v/>
      </c>
    </row>
    <row r="1361" spans="1:2" x14ac:dyDescent="0.25">
      <c r="A1361" s="3">
        <f>IF(Raw_Data!J1361=0,Raw_Data!D1361,"")</f>
        <v>2018.97</v>
      </c>
      <c r="B1361" s="3" t="str">
        <f>IF(Raw_Data!J1361=1,Raw_Data!D1361,"")</f>
        <v/>
      </c>
    </row>
    <row r="1362" spans="1:2" x14ac:dyDescent="0.25">
      <c r="A1362" s="3">
        <f>IF(Raw_Data!J1362=0,Raw_Data!D1362,"")</f>
        <v>1880.12</v>
      </c>
      <c r="B1362" s="3" t="str">
        <f>IF(Raw_Data!J1362=1,Raw_Data!D1362,"")</f>
        <v/>
      </c>
    </row>
    <row r="1363" spans="1:2" x14ac:dyDescent="0.25">
      <c r="A1363" s="3">
        <f>IF(Raw_Data!J1363=0,Raw_Data!D1363,"")</f>
        <v>562.39</v>
      </c>
      <c r="B1363" s="3" t="str">
        <f>IF(Raw_Data!J1363=1,Raw_Data!D1363,"")</f>
        <v/>
      </c>
    </row>
    <row r="1364" spans="1:2" x14ac:dyDescent="0.25">
      <c r="A1364" s="3">
        <f>IF(Raw_Data!J1364=0,Raw_Data!D1364,"")</f>
        <v>3026.12</v>
      </c>
      <c r="B1364" s="3" t="str">
        <f>IF(Raw_Data!J1364=1,Raw_Data!D1364,"")</f>
        <v/>
      </c>
    </row>
    <row r="1365" spans="1:2" x14ac:dyDescent="0.25">
      <c r="A1365" s="3">
        <f>IF(Raw_Data!J1365=0,Raw_Data!D1365,"")</f>
        <v>2003.63</v>
      </c>
      <c r="B1365" s="3" t="str">
        <f>IF(Raw_Data!J1365=1,Raw_Data!D1365,"")</f>
        <v/>
      </c>
    </row>
    <row r="1366" spans="1:2" x14ac:dyDescent="0.25">
      <c r="A1366" s="3">
        <f>IF(Raw_Data!J1366=0,Raw_Data!D1366,"")</f>
        <v>3962.16</v>
      </c>
      <c r="B1366" s="3" t="str">
        <f>IF(Raw_Data!J1366=1,Raw_Data!D1366,"")</f>
        <v/>
      </c>
    </row>
    <row r="1367" spans="1:2" x14ac:dyDescent="0.25">
      <c r="A1367" s="3">
        <f>IF(Raw_Data!J1367=0,Raw_Data!D1367,"")</f>
        <v>2553.9899999999998</v>
      </c>
      <c r="B1367" s="3" t="str">
        <f>IF(Raw_Data!J1367=1,Raw_Data!D1367,"")</f>
        <v/>
      </c>
    </row>
    <row r="1368" spans="1:2" x14ac:dyDescent="0.25">
      <c r="A1368" s="3">
        <f>IF(Raw_Data!J1368=0,Raw_Data!D1368,"")</f>
        <v>2602.5100000000002</v>
      </c>
      <c r="B1368" s="3" t="str">
        <f>IF(Raw_Data!J1368=1,Raw_Data!D1368,"")</f>
        <v/>
      </c>
    </row>
    <row r="1369" spans="1:2" x14ac:dyDescent="0.25">
      <c r="A1369" s="3" t="str">
        <f>IF(Raw_Data!J1369=0,Raw_Data!D1369,"")</f>
        <v/>
      </c>
      <c r="B1369" s="3">
        <f>IF(Raw_Data!J1369=1,Raw_Data!D1369,"")</f>
        <v>684.22</v>
      </c>
    </row>
    <row r="1370" spans="1:2" x14ac:dyDescent="0.25">
      <c r="A1370" s="3">
        <f>IF(Raw_Data!J1370=0,Raw_Data!D1370,"")</f>
        <v>1660.31</v>
      </c>
      <c r="B1370" s="3" t="str">
        <f>IF(Raw_Data!J1370=1,Raw_Data!D1370,"")</f>
        <v/>
      </c>
    </row>
    <row r="1371" spans="1:2" x14ac:dyDescent="0.25">
      <c r="A1371" s="3">
        <f>IF(Raw_Data!J1371=0,Raw_Data!D1371,"")</f>
        <v>2454.89</v>
      </c>
      <c r="B1371" s="3" t="str">
        <f>IF(Raw_Data!J1371=1,Raw_Data!D1371,"")</f>
        <v/>
      </c>
    </row>
    <row r="1372" spans="1:2" x14ac:dyDescent="0.25">
      <c r="A1372" s="3">
        <f>IF(Raw_Data!J1372=0,Raw_Data!D1372,"")</f>
        <v>2612.88</v>
      </c>
      <c r="B1372" s="3" t="str">
        <f>IF(Raw_Data!J1372=1,Raw_Data!D1372,"")</f>
        <v/>
      </c>
    </row>
    <row r="1373" spans="1:2" x14ac:dyDescent="0.25">
      <c r="A1373" s="3">
        <f>IF(Raw_Data!J1373=0,Raw_Data!D1373,"")</f>
        <v>2917.89</v>
      </c>
      <c r="B1373" s="3" t="str">
        <f>IF(Raw_Data!J1373=1,Raw_Data!D1373,"")</f>
        <v/>
      </c>
    </row>
    <row r="1374" spans="1:2" x14ac:dyDescent="0.25">
      <c r="A1374" s="3">
        <f>IF(Raw_Data!J1374=0,Raw_Data!D1374,"")</f>
        <v>1920.56</v>
      </c>
      <c r="B1374" s="3" t="str">
        <f>IF(Raw_Data!J1374=1,Raw_Data!D1374,"")</f>
        <v/>
      </c>
    </row>
    <row r="1375" spans="1:2" x14ac:dyDescent="0.25">
      <c r="A1375" s="3">
        <f>IF(Raw_Data!J1375=0,Raw_Data!D1375,"")</f>
        <v>725.27</v>
      </c>
      <c r="B1375" s="3" t="str">
        <f>IF(Raw_Data!J1375=1,Raw_Data!D1375,"")</f>
        <v/>
      </c>
    </row>
    <row r="1376" spans="1:2" x14ac:dyDescent="0.25">
      <c r="A1376" s="3">
        <f>IF(Raw_Data!J1376=0,Raw_Data!D1376,"")</f>
        <v>2610.63</v>
      </c>
      <c r="B1376" s="3" t="str">
        <f>IF(Raw_Data!J1376=1,Raw_Data!D1376,"")</f>
        <v/>
      </c>
    </row>
    <row r="1377" spans="1:2" x14ac:dyDescent="0.25">
      <c r="A1377" s="3">
        <f>IF(Raw_Data!J1377=0,Raw_Data!D1377,"")</f>
        <v>2475.02</v>
      </c>
      <c r="B1377" s="3" t="str">
        <f>IF(Raw_Data!J1377=1,Raw_Data!D1377,"")</f>
        <v/>
      </c>
    </row>
    <row r="1378" spans="1:2" x14ac:dyDescent="0.25">
      <c r="A1378" s="3">
        <f>IF(Raw_Data!J1378=0,Raw_Data!D1378,"")</f>
        <v>3512.48</v>
      </c>
      <c r="B1378" s="3" t="str">
        <f>IF(Raw_Data!J1378=1,Raw_Data!D1378,"")</f>
        <v/>
      </c>
    </row>
    <row r="1379" spans="1:2" x14ac:dyDescent="0.25">
      <c r="A1379" s="3">
        <f>IF(Raw_Data!J1379=0,Raw_Data!D1379,"")</f>
        <v>4829.4799999999996</v>
      </c>
      <c r="B1379" s="3" t="str">
        <f>IF(Raw_Data!J1379=1,Raw_Data!D1379,"")</f>
        <v/>
      </c>
    </row>
    <row r="1380" spans="1:2" x14ac:dyDescent="0.25">
      <c r="A1380" s="3">
        <f>IF(Raw_Data!J1380=0,Raw_Data!D1380,"")</f>
        <v>3338.76</v>
      </c>
      <c r="B1380" s="3" t="str">
        <f>IF(Raw_Data!J1380=1,Raw_Data!D1380,"")</f>
        <v/>
      </c>
    </row>
    <row r="1381" spans="1:2" x14ac:dyDescent="0.25">
      <c r="A1381" s="3" t="str">
        <f>IF(Raw_Data!J1381=0,Raw_Data!D1381,"")</f>
        <v/>
      </c>
      <c r="B1381" s="3">
        <f>IF(Raw_Data!J1381=1,Raw_Data!D1381,"")</f>
        <v>2845.65</v>
      </c>
    </row>
    <row r="1382" spans="1:2" x14ac:dyDescent="0.25">
      <c r="A1382" s="3">
        <f>IF(Raw_Data!J1382=0,Raw_Data!D1382,"")</f>
        <v>1278.55</v>
      </c>
      <c r="B1382" s="3" t="str">
        <f>IF(Raw_Data!J1382=1,Raw_Data!D1382,"")</f>
        <v/>
      </c>
    </row>
    <row r="1383" spans="1:2" x14ac:dyDescent="0.25">
      <c r="A1383" s="3">
        <f>IF(Raw_Data!J1383=0,Raw_Data!D1383,"")</f>
        <v>929.12</v>
      </c>
      <c r="B1383" s="3" t="str">
        <f>IF(Raw_Data!J1383=1,Raw_Data!D1383,"")</f>
        <v/>
      </c>
    </row>
    <row r="1384" spans="1:2" x14ac:dyDescent="0.25">
      <c r="A1384" s="3">
        <f>IF(Raw_Data!J1384=0,Raw_Data!D1384,"")</f>
        <v>930.89</v>
      </c>
      <c r="B1384" s="3" t="str">
        <f>IF(Raw_Data!J1384=1,Raw_Data!D1384,"")</f>
        <v/>
      </c>
    </row>
    <row r="1385" spans="1:2" x14ac:dyDescent="0.25">
      <c r="A1385" s="3" t="str">
        <f>IF(Raw_Data!J1385=0,Raw_Data!D1385,"")</f>
        <v/>
      </c>
      <c r="B1385" s="3">
        <f>IF(Raw_Data!J1385=1,Raw_Data!D1385,"")</f>
        <v>6817.65</v>
      </c>
    </row>
    <row r="1386" spans="1:2" x14ac:dyDescent="0.25">
      <c r="A1386" s="3">
        <f>IF(Raw_Data!J1386=0,Raw_Data!D1386,"")</f>
        <v>957.54</v>
      </c>
      <c r="B1386" s="3" t="str">
        <f>IF(Raw_Data!J1386=1,Raw_Data!D1386,"")</f>
        <v/>
      </c>
    </row>
    <row r="1387" spans="1:2" x14ac:dyDescent="0.25">
      <c r="A1387" s="3">
        <f>IF(Raw_Data!J1387=0,Raw_Data!D1387,"")</f>
        <v>2604.73</v>
      </c>
      <c r="B1387" s="3" t="str">
        <f>IF(Raw_Data!J1387=1,Raw_Data!D1387,"")</f>
        <v/>
      </c>
    </row>
    <row r="1388" spans="1:2" x14ac:dyDescent="0.25">
      <c r="A1388" s="3">
        <f>IF(Raw_Data!J1388=0,Raw_Data!D1388,"")</f>
        <v>3934.75</v>
      </c>
      <c r="B1388" s="3" t="str">
        <f>IF(Raw_Data!J1388=1,Raw_Data!D1388,"")</f>
        <v/>
      </c>
    </row>
    <row r="1389" spans="1:2" x14ac:dyDescent="0.25">
      <c r="A1389" s="3">
        <f>IF(Raw_Data!J1389=0,Raw_Data!D1389,"")</f>
        <v>3451.17</v>
      </c>
      <c r="B1389" s="3" t="str">
        <f>IF(Raw_Data!J1389=1,Raw_Data!D1389,"")</f>
        <v/>
      </c>
    </row>
    <row r="1390" spans="1:2" x14ac:dyDescent="0.25">
      <c r="A1390" s="3">
        <f>IF(Raw_Data!J1390=0,Raw_Data!D1390,"")</f>
        <v>4019.12</v>
      </c>
      <c r="B1390" s="3" t="str">
        <f>IF(Raw_Data!J1390=1,Raw_Data!D1390,"")</f>
        <v/>
      </c>
    </row>
    <row r="1391" spans="1:2" x14ac:dyDescent="0.25">
      <c r="A1391" s="3">
        <f>IF(Raw_Data!J1391=0,Raw_Data!D1391,"")</f>
        <v>1699.59</v>
      </c>
      <c r="B1391" s="3" t="str">
        <f>IF(Raw_Data!J1391=1,Raw_Data!D1391,"")</f>
        <v/>
      </c>
    </row>
    <row r="1392" spans="1:2" x14ac:dyDescent="0.25">
      <c r="A1392" s="3" t="str">
        <f>IF(Raw_Data!J1392=0,Raw_Data!D1392,"")</f>
        <v/>
      </c>
      <c r="B1392" s="3">
        <f>IF(Raw_Data!J1392=1,Raw_Data!D1392,"")</f>
        <v>3078.9</v>
      </c>
    </row>
    <row r="1393" spans="1:2" x14ac:dyDescent="0.25">
      <c r="A1393" s="3">
        <f>IF(Raw_Data!J1393=0,Raw_Data!D1393,"")</f>
        <v>1340.53</v>
      </c>
      <c r="B1393" s="3" t="str">
        <f>IF(Raw_Data!J1393=1,Raw_Data!D1393,"")</f>
        <v/>
      </c>
    </row>
    <row r="1394" spans="1:2" x14ac:dyDescent="0.25">
      <c r="A1394" s="3">
        <f>IF(Raw_Data!J1394=0,Raw_Data!D1394,"")</f>
        <v>3210.83</v>
      </c>
      <c r="B1394" s="3" t="str">
        <f>IF(Raw_Data!J1394=1,Raw_Data!D1394,"")</f>
        <v/>
      </c>
    </row>
    <row r="1395" spans="1:2" x14ac:dyDescent="0.25">
      <c r="A1395" s="3">
        <f>IF(Raw_Data!J1395=0,Raw_Data!D1395,"")</f>
        <v>1931.4</v>
      </c>
      <c r="B1395" s="3" t="str">
        <f>IF(Raw_Data!J1395=1,Raw_Data!D1395,"")</f>
        <v/>
      </c>
    </row>
    <row r="1396" spans="1:2" x14ac:dyDescent="0.25">
      <c r="A1396" s="3">
        <f>IF(Raw_Data!J1396=0,Raw_Data!D1396,"")</f>
        <v>3429.37</v>
      </c>
      <c r="B1396" s="3" t="str">
        <f>IF(Raw_Data!J1396=1,Raw_Data!D1396,"")</f>
        <v/>
      </c>
    </row>
    <row r="1397" spans="1:2" x14ac:dyDescent="0.25">
      <c r="A1397" s="3">
        <f>IF(Raw_Data!J1397=0,Raw_Data!D1397,"")</f>
        <v>895.1</v>
      </c>
      <c r="B1397" s="3" t="str">
        <f>IF(Raw_Data!J1397=1,Raw_Data!D1397,"")</f>
        <v/>
      </c>
    </row>
    <row r="1398" spans="1:2" x14ac:dyDescent="0.25">
      <c r="A1398" s="3">
        <f>IF(Raw_Data!J1398=0,Raw_Data!D1398,"")</f>
        <v>2460.5300000000002</v>
      </c>
      <c r="B1398" s="3" t="str">
        <f>IF(Raw_Data!J1398=1,Raw_Data!D1398,"")</f>
        <v/>
      </c>
    </row>
    <row r="1399" spans="1:2" x14ac:dyDescent="0.25">
      <c r="A1399" s="3">
        <f>IF(Raw_Data!J1399=0,Raw_Data!D1399,"")</f>
        <v>3212.58</v>
      </c>
      <c r="B1399" s="3" t="str">
        <f>IF(Raw_Data!J1399=1,Raw_Data!D1399,"")</f>
        <v/>
      </c>
    </row>
    <row r="1400" spans="1:2" x14ac:dyDescent="0.25">
      <c r="A1400" s="3">
        <f>IF(Raw_Data!J1400=0,Raw_Data!D1400,"")</f>
        <v>1895.62</v>
      </c>
      <c r="B1400" s="3" t="str">
        <f>IF(Raw_Data!J1400=1,Raw_Data!D1400,"")</f>
        <v/>
      </c>
    </row>
    <row r="1401" spans="1:2" x14ac:dyDescent="0.25">
      <c r="A1401" s="3">
        <f>IF(Raw_Data!J1401=0,Raw_Data!D1401,"")</f>
        <v>1631.31</v>
      </c>
      <c r="B1401" s="3" t="str">
        <f>IF(Raw_Data!J1401=1,Raw_Data!D1401,"")</f>
        <v/>
      </c>
    </row>
    <row r="1402" spans="1:2" x14ac:dyDescent="0.25">
      <c r="A1402" s="3">
        <f>IF(Raw_Data!J1402=0,Raw_Data!D1402,"")</f>
        <v>4827.3900000000003</v>
      </c>
      <c r="B1402" s="3" t="str">
        <f>IF(Raw_Data!J1402=1,Raw_Data!D1402,"")</f>
        <v/>
      </c>
    </row>
    <row r="1403" spans="1:2" x14ac:dyDescent="0.25">
      <c r="A1403" s="3">
        <f>IF(Raw_Data!J1403=0,Raw_Data!D1403,"")</f>
        <v>2937.13</v>
      </c>
      <c r="B1403" s="3" t="str">
        <f>IF(Raw_Data!J1403=1,Raw_Data!D1403,"")</f>
        <v/>
      </c>
    </row>
    <row r="1404" spans="1:2" x14ac:dyDescent="0.25">
      <c r="A1404" s="3">
        <f>IF(Raw_Data!J1404=0,Raw_Data!D1404,"")</f>
        <v>1995.55</v>
      </c>
      <c r="B1404" s="3" t="str">
        <f>IF(Raw_Data!J1404=1,Raw_Data!D1404,"")</f>
        <v/>
      </c>
    </row>
    <row r="1405" spans="1:2" x14ac:dyDescent="0.25">
      <c r="A1405" s="3">
        <f>IF(Raw_Data!J1405=0,Raw_Data!D1405,"")</f>
        <v>2482.3000000000002</v>
      </c>
      <c r="B1405" s="3" t="str">
        <f>IF(Raw_Data!J1405=1,Raw_Data!D1405,"")</f>
        <v/>
      </c>
    </row>
    <row r="1406" spans="1:2" x14ac:dyDescent="0.25">
      <c r="A1406" s="3">
        <f>IF(Raw_Data!J1406=0,Raw_Data!D1406,"")</f>
        <v>3167.04</v>
      </c>
      <c r="B1406" s="3" t="str">
        <f>IF(Raw_Data!J1406=1,Raw_Data!D1406,"")</f>
        <v/>
      </c>
    </row>
    <row r="1407" spans="1:2" x14ac:dyDescent="0.25">
      <c r="A1407" s="3">
        <f>IF(Raw_Data!J1407=0,Raw_Data!D1407,"")</f>
        <v>3677.49</v>
      </c>
      <c r="B1407" s="3" t="str">
        <f>IF(Raw_Data!J1407=1,Raw_Data!D1407,"")</f>
        <v/>
      </c>
    </row>
    <row r="1408" spans="1:2" x14ac:dyDescent="0.25">
      <c r="A1408" s="3">
        <f>IF(Raw_Data!J1408=0,Raw_Data!D1408,"")</f>
        <v>6636.07</v>
      </c>
      <c r="B1408" s="3" t="str">
        <f>IF(Raw_Data!J1408=1,Raw_Data!D1408,"")</f>
        <v/>
      </c>
    </row>
    <row r="1409" spans="1:2" x14ac:dyDescent="0.25">
      <c r="A1409" s="3">
        <f>IF(Raw_Data!J1409=0,Raw_Data!D1409,"")</f>
        <v>8664.27</v>
      </c>
      <c r="B1409" s="3" t="str">
        <f>IF(Raw_Data!J1409=1,Raw_Data!D1409,"")</f>
        <v/>
      </c>
    </row>
    <row r="1410" spans="1:2" x14ac:dyDescent="0.25">
      <c r="A1410" s="3" t="str">
        <f>IF(Raw_Data!J1410=0,Raw_Data!D1410,"")</f>
        <v/>
      </c>
      <c r="B1410" s="3">
        <f>IF(Raw_Data!J1410=1,Raw_Data!D1410,"")</f>
        <v>8904.2000000000007</v>
      </c>
    </row>
    <row r="1411" spans="1:2" x14ac:dyDescent="0.25">
      <c r="A1411" s="3">
        <f>IF(Raw_Data!J1411=0,Raw_Data!D1411,"")</f>
        <v>4709.05</v>
      </c>
      <c r="B1411" s="3" t="str">
        <f>IF(Raw_Data!J1411=1,Raw_Data!D1411,"")</f>
        <v/>
      </c>
    </row>
    <row r="1412" spans="1:2" x14ac:dyDescent="0.25">
      <c r="A1412" s="3" t="str">
        <f>IF(Raw_Data!J1412=0,Raw_Data!D1412,"")</f>
        <v/>
      </c>
      <c r="B1412" s="3">
        <f>IF(Raw_Data!J1412=1,Raw_Data!D1412,"")</f>
        <v>942.45</v>
      </c>
    </row>
    <row r="1413" spans="1:2" x14ac:dyDescent="0.25">
      <c r="A1413" s="3">
        <f>IF(Raw_Data!J1413=0,Raw_Data!D1413,"")</f>
        <v>371.11</v>
      </c>
      <c r="B1413" s="3" t="str">
        <f>IF(Raw_Data!J1413=1,Raw_Data!D1413,"")</f>
        <v/>
      </c>
    </row>
    <row r="1414" spans="1:2" x14ac:dyDescent="0.25">
      <c r="A1414" s="3">
        <f>IF(Raw_Data!J1414=0,Raw_Data!D1414,"")</f>
        <v>3209.22</v>
      </c>
      <c r="B1414" s="3" t="str">
        <f>IF(Raw_Data!J1414=1,Raw_Data!D1414,"")</f>
        <v/>
      </c>
    </row>
    <row r="1415" spans="1:2" x14ac:dyDescent="0.25">
      <c r="A1415" s="3">
        <f>IF(Raw_Data!J1415=0,Raw_Data!D1415,"")</f>
        <v>1325.25</v>
      </c>
      <c r="B1415" s="3" t="str">
        <f>IF(Raw_Data!J1415=1,Raw_Data!D1415,"")</f>
        <v/>
      </c>
    </row>
    <row r="1416" spans="1:2" x14ac:dyDescent="0.25">
      <c r="A1416" s="3">
        <f>IF(Raw_Data!J1416=0,Raw_Data!D1416,"")</f>
        <v>822.25</v>
      </c>
      <c r="B1416" s="3" t="str">
        <f>IF(Raw_Data!J1416=1,Raw_Data!D1416,"")</f>
        <v/>
      </c>
    </row>
    <row r="1417" spans="1:2" x14ac:dyDescent="0.25">
      <c r="A1417" s="3">
        <f>IF(Raw_Data!J1417=0,Raw_Data!D1417,"")</f>
        <v>2932.89</v>
      </c>
      <c r="B1417" s="3" t="str">
        <f>IF(Raw_Data!J1417=1,Raw_Data!D1417,"")</f>
        <v/>
      </c>
    </row>
    <row r="1418" spans="1:2" x14ac:dyDescent="0.25">
      <c r="A1418" s="3">
        <f>IF(Raw_Data!J1418=0,Raw_Data!D1418,"")</f>
        <v>4084.64</v>
      </c>
      <c r="B1418" s="3" t="str">
        <f>IF(Raw_Data!J1418=1,Raw_Data!D1418,"")</f>
        <v/>
      </c>
    </row>
    <row r="1419" spans="1:2" x14ac:dyDescent="0.25">
      <c r="A1419" s="3">
        <f>IF(Raw_Data!J1419=0,Raw_Data!D1419,"")</f>
        <v>2819.04</v>
      </c>
      <c r="B1419" s="3" t="str">
        <f>IF(Raw_Data!J1419=1,Raw_Data!D1419,"")</f>
        <v/>
      </c>
    </row>
    <row r="1420" spans="1:2" x14ac:dyDescent="0.25">
      <c r="A1420" s="3">
        <f>IF(Raw_Data!J1420=0,Raw_Data!D1420,"")</f>
        <v>2537.15</v>
      </c>
      <c r="B1420" s="3" t="str">
        <f>IF(Raw_Data!J1420=1,Raw_Data!D1420,"")</f>
        <v/>
      </c>
    </row>
    <row r="1421" spans="1:2" x14ac:dyDescent="0.25">
      <c r="A1421" s="3">
        <f>IF(Raw_Data!J1421=0,Raw_Data!D1421,"")</f>
        <v>466.32</v>
      </c>
      <c r="B1421" s="3" t="str">
        <f>IF(Raw_Data!J1421=1,Raw_Data!D1421,"")</f>
        <v/>
      </c>
    </row>
    <row r="1422" spans="1:2" x14ac:dyDescent="0.25">
      <c r="A1422" s="3">
        <f>IF(Raw_Data!J1422=0,Raw_Data!D1422,"")</f>
        <v>1572.9</v>
      </c>
      <c r="B1422" s="3" t="str">
        <f>IF(Raw_Data!J1422=1,Raw_Data!D1422,"")</f>
        <v/>
      </c>
    </row>
    <row r="1423" spans="1:2" x14ac:dyDescent="0.25">
      <c r="A1423" s="3">
        <f>IF(Raw_Data!J1423=0,Raw_Data!D1423,"")</f>
        <v>3206.84</v>
      </c>
      <c r="B1423" s="3" t="str">
        <f>IF(Raw_Data!J1423=1,Raw_Data!D1423,"")</f>
        <v/>
      </c>
    </row>
    <row r="1424" spans="1:2" x14ac:dyDescent="0.25">
      <c r="A1424" s="3">
        <f>IF(Raw_Data!J1424=0,Raw_Data!D1424,"")</f>
        <v>10472.01</v>
      </c>
      <c r="B1424" s="3" t="str">
        <f>IF(Raw_Data!J1424=1,Raw_Data!D1424,"")</f>
        <v/>
      </c>
    </row>
    <row r="1425" spans="1:2" x14ac:dyDescent="0.25">
      <c r="A1425" s="3" t="str">
        <f>IF(Raw_Data!J1425=0,Raw_Data!D1425,"")</f>
        <v/>
      </c>
      <c r="B1425" s="3">
        <f>IF(Raw_Data!J1425=1,Raw_Data!D1425,"")</f>
        <v>1085.1600000000001</v>
      </c>
    </row>
    <row r="1426" spans="1:2" x14ac:dyDescent="0.25">
      <c r="A1426" s="3">
        <f>IF(Raw_Data!J1426=0,Raw_Data!D1426,"")</f>
        <v>2489.4899999999998</v>
      </c>
      <c r="B1426" s="3" t="str">
        <f>IF(Raw_Data!J1426=1,Raw_Data!D1426,"")</f>
        <v/>
      </c>
    </row>
    <row r="1427" spans="1:2" x14ac:dyDescent="0.25">
      <c r="A1427" s="3">
        <f>IF(Raw_Data!J1427=0,Raw_Data!D1427,"")</f>
        <v>1949.89</v>
      </c>
      <c r="B1427" s="3" t="str">
        <f>IF(Raw_Data!J1427=1,Raw_Data!D1427,"")</f>
        <v/>
      </c>
    </row>
    <row r="1428" spans="1:2" x14ac:dyDescent="0.25">
      <c r="A1428" s="3">
        <f>IF(Raw_Data!J1428=0,Raw_Data!D1428,"")</f>
        <v>2672.39</v>
      </c>
      <c r="B1428" s="3" t="str">
        <f>IF(Raw_Data!J1428=1,Raw_Data!D1428,"")</f>
        <v/>
      </c>
    </row>
    <row r="1429" spans="1:2" x14ac:dyDescent="0.25">
      <c r="A1429" s="3">
        <f>IF(Raw_Data!J1429=0,Raw_Data!D1429,"")</f>
        <v>2899.15</v>
      </c>
      <c r="B1429" s="3" t="str">
        <f>IF(Raw_Data!J1429=1,Raw_Data!D1429,"")</f>
        <v/>
      </c>
    </row>
    <row r="1430" spans="1:2" x14ac:dyDescent="0.25">
      <c r="A1430" s="3">
        <f>IF(Raw_Data!J1430=0,Raw_Data!D1430,"")</f>
        <v>2848.02</v>
      </c>
      <c r="B1430" s="3" t="str">
        <f>IF(Raw_Data!J1430=1,Raw_Data!D1430,"")</f>
        <v/>
      </c>
    </row>
    <row r="1431" spans="1:2" x14ac:dyDescent="0.25">
      <c r="A1431" s="3">
        <f>IF(Raw_Data!J1431=0,Raw_Data!D1431,"")</f>
        <v>1142.57</v>
      </c>
      <c r="B1431" s="3" t="str">
        <f>IF(Raw_Data!J1431=1,Raw_Data!D1431,"")</f>
        <v/>
      </c>
    </row>
    <row r="1432" spans="1:2" x14ac:dyDescent="0.25">
      <c r="A1432" s="3">
        <f>IF(Raw_Data!J1432=0,Raw_Data!D1432,"")</f>
        <v>2008.18</v>
      </c>
      <c r="B1432" s="3" t="str">
        <f>IF(Raw_Data!J1432=1,Raw_Data!D1432,"")</f>
        <v/>
      </c>
    </row>
    <row r="1433" spans="1:2" x14ac:dyDescent="0.25">
      <c r="A1433" s="3">
        <f>IF(Raw_Data!J1433=0,Raw_Data!D1433,"")</f>
        <v>2600.02</v>
      </c>
      <c r="B1433" s="3" t="str">
        <f>IF(Raw_Data!J1433=1,Raw_Data!D1433,"")</f>
        <v/>
      </c>
    </row>
    <row r="1434" spans="1:2" x14ac:dyDescent="0.25">
      <c r="A1434" s="3" t="str">
        <f>IF(Raw_Data!J1434=0,Raw_Data!D1434,"")</f>
        <v/>
      </c>
      <c r="B1434" s="3">
        <f>IF(Raw_Data!J1434=1,Raw_Data!D1434,"")</f>
        <v>508.46</v>
      </c>
    </row>
    <row r="1435" spans="1:2" x14ac:dyDescent="0.25">
      <c r="A1435" s="3" t="str">
        <f>IF(Raw_Data!J1435=0,Raw_Data!D1435,"")</f>
        <v/>
      </c>
      <c r="B1435" s="3">
        <f>IF(Raw_Data!J1435=1,Raw_Data!D1435,"")</f>
        <v>3431.01</v>
      </c>
    </row>
    <row r="1436" spans="1:2" x14ac:dyDescent="0.25">
      <c r="A1436" s="3">
        <f>IF(Raw_Data!J1436=0,Raw_Data!D1436,"")</f>
        <v>3307.88</v>
      </c>
      <c r="B1436" s="3" t="str">
        <f>IF(Raw_Data!J1436=1,Raw_Data!D1436,"")</f>
        <v/>
      </c>
    </row>
    <row r="1437" spans="1:2" x14ac:dyDescent="0.25">
      <c r="A1437" s="3">
        <f>IF(Raw_Data!J1437=0,Raw_Data!D1437,"")</f>
        <v>116.45</v>
      </c>
      <c r="B1437" s="3" t="str">
        <f>IF(Raw_Data!J1437=1,Raw_Data!D1437,"")</f>
        <v/>
      </c>
    </row>
    <row r="1438" spans="1:2" x14ac:dyDescent="0.25">
      <c r="A1438" s="3">
        <f>IF(Raw_Data!J1438=0,Raw_Data!D1438,"")</f>
        <v>960.34</v>
      </c>
      <c r="B1438" s="3" t="str">
        <f>IF(Raw_Data!J1438=1,Raw_Data!D1438,"")</f>
        <v/>
      </c>
    </row>
    <row r="1439" spans="1:2" x14ac:dyDescent="0.25">
      <c r="A1439" s="3">
        <f>IF(Raw_Data!J1439=0,Raw_Data!D1439,"")</f>
        <v>699.07</v>
      </c>
      <c r="B1439" s="3" t="str">
        <f>IF(Raw_Data!J1439=1,Raw_Data!D1439,"")</f>
        <v/>
      </c>
    </row>
    <row r="1440" spans="1:2" x14ac:dyDescent="0.25">
      <c r="A1440" s="3">
        <f>IF(Raw_Data!J1440=0,Raw_Data!D1440,"")</f>
        <v>2411.56</v>
      </c>
      <c r="B1440" s="3" t="str">
        <f>IF(Raw_Data!J1440=1,Raw_Data!D1440,"")</f>
        <v/>
      </c>
    </row>
    <row r="1441" spans="1:2" x14ac:dyDescent="0.25">
      <c r="A1441" s="3">
        <f>IF(Raw_Data!J1441=0,Raw_Data!D1441,"")</f>
        <v>1413.07</v>
      </c>
      <c r="B1441" s="3" t="str">
        <f>IF(Raw_Data!J1441=1,Raw_Data!D1441,"")</f>
        <v/>
      </c>
    </row>
    <row r="1442" spans="1:2" x14ac:dyDescent="0.25">
      <c r="A1442" s="3">
        <f>IF(Raw_Data!J1442=0,Raw_Data!D1442,"")</f>
        <v>5590.03</v>
      </c>
      <c r="B1442" s="3" t="str">
        <f>IF(Raw_Data!J1442=1,Raw_Data!D1442,"")</f>
        <v/>
      </c>
    </row>
    <row r="1443" spans="1:2" x14ac:dyDescent="0.25">
      <c r="A1443" s="3" t="str">
        <f>IF(Raw_Data!J1443=0,Raw_Data!D1443,"")</f>
        <v/>
      </c>
      <c r="B1443" s="3">
        <f>IF(Raw_Data!J1443=1,Raw_Data!D1443,"")</f>
        <v>712.83</v>
      </c>
    </row>
    <row r="1444" spans="1:2" x14ac:dyDescent="0.25">
      <c r="A1444" s="3">
        <f>IF(Raw_Data!J1444=0,Raw_Data!D1444,"")</f>
        <v>2063.3200000000002</v>
      </c>
      <c r="B1444" s="3" t="str">
        <f>IF(Raw_Data!J1444=1,Raw_Data!D1444,"")</f>
        <v/>
      </c>
    </row>
    <row r="1445" spans="1:2" x14ac:dyDescent="0.25">
      <c r="A1445" s="3" t="str">
        <f>IF(Raw_Data!J1445=0,Raw_Data!D1445,"")</f>
        <v/>
      </c>
      <c r="B1445" s="3">
        <f>IF(Raw_Data!J1445=1,Raw_Data!D1445,"")</f>
        <v>1617.64</v>
      </c>
    </row>
    <row r="1446" spans="1:2" x14ac:dyDescent="0.25">
      <c r="A1446" s="3">
        <f>IF(Raw_Data!J1446=0,Raw_Data!D1446,"")</f>
        <v>3613.33</v>
      </c>
      <c r="B1446" s="3" t="str">
        <f>IF(Raw_Data!J1446=1,Raw_Data!D1446,"")</f>
        <v/>
      </c>
    </row>
    <row r="1447" spans="1:2" x14ac:dyDescent="0.25">
      <c r="A1447" s="3">
        <f>IF(Raw_Data!J1447=0,Raw_Data!D1447,"")</f>
        <v>2257.92</v>
      </c>
      <c r="B1447" s="3" t="str">
        <f>IF(Raw_Data!J1447=1,Raw_Data!D1447,"")</f>
        <v/>
      </c>
    </row>
    <row r="1448" spans="1:2" x14ac:dyDescent="0.25">
      <c r="A1448" s="3">
        <f>IF(Raw_Data!J1448=0,Raw_Data!D1448,"")</f>
        <v>3554.57</v>
      </c>
      <c r="B1448" s="3" t="str">
        <f>IF(Raw_Data!J1448=1,Raw_Data!D1448,"")</f>
        <v/>
      </c>
    </row>
    <row r="1449" spans="1:2" x14ac:dyDescent="0.25">
      <c r="A1449" s="3" t="str">
        <f>IF(Raw_Data!J1449=0,Raw_Data!D1449,"")</f>
        <v/>
      </c>
      <c r="B1449" s="3">
        <f>IF(Raw_Data!J1449=1,Raw_Data!D1449,"")</f>
        <v>4280.82</v>
      </c>
    </row>
    <row r="1450" spans="1:2" x14ac:dyDescent="0.25">
      <c r="A1450" s="3">
        <f>IF(Raw_Data!J1450=0,Raw_Data!D1450,"")</f>
        <v>2264.2800000000002</v>
      </c>
      <c r="B1450" s="3" t="str">
        <f>IF(Raw_Data!J1450=1,Raw_Data!D1450,"")</f>
        <v/>
      </c>
    </row>
    <row r="1451" spans="1:2" x14ac:dyDescent="0.25">
      <c r="A1451" s="3">
        <f>IF(Raw_Data!J1451=0,Raw_Data!D1451,"")</f>
        <v>2176.2600000000002</v>
      </c>
      <c r="B1451" s="3" t="str">
        <f>IF(Raw_Data!J1451=1,Raw_Data!D1451,"")</f>
        <v/>
      </c>
    </row>
    <row r="1452" spans="1:2" x14ac:dyDescent="0.25">
      <c r="A1452" s="3" t="str">
        <f>IF(Raw_Data!J1452=0,Raw_Data!D1452,"")</f>
        <v/>
      </c>
      <c r="B1452" s="3">
        <f>IF(Raw_Data!J1452=1,Raw_Data!D1452,"")</f>
        <v>1407.43</v>
      </c>
    </row>
    <row r="1453" spans="1:2" x14ac:dyDescent="0.25">
      <c r="A1453" s="3">
        <f>IF(Raw_Data!J1453=0,Raw_Data!D1453,"")</f>
        <v>2692.12</v>
      </c>
      <c r="B1453" s="3" t="str">
        <f>IF(Raw_Data!J1453=1,Raw_Data!D1453,"")</f>
        <v/>
      </c>
    </row>
    <row r="1454" spans="1:2" x14ac:dyDescent="0.25">
      <c r="A1454" s="3">
        <f>IF(Raw_Data!J1454=0,Raw_Data!D1454,"")</f>
        <v>1991.77</v>
      </c>
      <c r="B1454" s="3" t="str">
        <f>IF(Raw_Data!J1454=1,Raw_Data!D1454,"")</f>
        <v/>
      </c>
    </row>
    <row r="1455" spans="1:2" x14ac:dyDescent="0.25">
      <c r="A1455" s="3">
        <f>IF(Raw_Data!J1455=0,Raw_Data!D1455,"")</f>
        <v>814.51</v>
      </c>
      <c r="B1455" s="3" t="str">
        <f>IF(Raw_Data!J1455=1,Raw_Data!D1455,"")</f>
        <v/>
      </c>
    </row>
    <row r="1456" spans="1:2" x14ac:dyDescent="0.25">
      <c r="A1456" s="3">
        <f>IF(Raw_Data!J1456=0,Raw_Data!D1456,"")</f>
        <v>2290.92</v>
      </c>
      <c r="B1456" s="3" t="str">
        <f>IF(Raw_Data!J1456=1,Raw_Data!D1456,"")</f>
        <v/>
      </c>
    </row>
    <row r="1457" spans="1:2" x14ac:dyDescent="0.25">
      <c r="A1457" s="3">
        <f>IF(Raw_Data!J1457=0,Raw_Data!D1457,"")</f>
        <v>901.05</v>
      </c>
      <c r="B1457" s="3" t="str">
        <f>IF(Raw_Data!J1457=1,Raw_Data!D1457,"")</f>
        <v/>
      </c>
    </row>
    <row r="1458" spans="1:2" x14ac:dyDescent="0.25">
      <c r="A1458" s="3" t="str">
        <f>IF(Raw_Data!J1458=0,Raw_Data!D1458,"")</f>
        <v/>
      </c>
      <c r="B1458" s="3">
        <f>IF(Raw_Data!J1458=1,Raw_Data!D1458,"")</f>
        <v>4018.11</v>
      </c>
    </row>
    <row r="1459" spans="1:2" x14ac:dyDescent="0.25">
      <c r="A1459" s="3">
        <f>IF(Raw_Data!J1459=0,Raw_Data!D1459,"")</f>
        <v>2229.27</v>
      </c>
      <c r="B1459" s="3" t="str">
        <f>IF(Raw_Data!J1459=1,Raw_Data!D1459,"")</f>
        <v/>
      </c>
    </row>
    <row r="1460" spans="1:2" x14ac:dyDescent="0.25">
      <c r="A1460" s="3">
        <f>IF(Raw_Data!J1460=0,Raw_Data!D1460,"")</f>
        <v>3043.06</v>
      </c>
      <c r="B1460" s="3" t="str">
        <f>IF(Raw_Data!J1460=1,Raw_Data!D1460,"")</f>
        <v/>
      </c>
    </row>
    <row r="1461" spans="1:2" x14ac:dyDescent="0.25">
      <c r="A1461" s="3">
        <f>IF(Raw_Data!J1461=0,Raw_Data!D1461,"")</f>
        <v>2093.69</v>
      </c>
      <c r="B1461" s="3" t="str">
        <f>IF(Raw_Data!J1461=1,Raw_Data!D1461,"")</f>
        <v/>
      </c>
    </row>
    <row r="1462" spans="1:2" x14ac:dyDescent="0.25">
      <c r="A1462" s="3" t="str">
        <f>IF(Raw_Data!J1462=0,Raw_Data!D1462,"")</f>
        <v/>
      </c>
      <c r="B1462" s="3">
        <f>IF(Raw_Data!J1462=1,Raw_Data!D1462,"")</f>
        <v>190.11</v>
      </c>
    </row>
    <row r="1463" spans="1:2" x14ac:dyDescent="0.25">
      <c r="A1463" s="3">
        <f>IF(Raw_Data!J1463=0,Raw_Data!D1463,"")</f>
        <v>1048.6500000000001</v>
      </c>
      <c r="B1463" s="3" t="str">
        <f>IF(Raw_Data!J1463=1,Raw_Data!D1463,"")</f>
        <v/>
      </c>
    </row>
    <row r="1464" spans="1:2" x14ac:dyDescent="0.25">
      <c r="A1464" s="3">
        <f>IF(Raw_Data!J1464=0,Raw_Data!D1464,"")</f>
        <v>2834.56</v>
      </c>
      <c r="B1464" s="3" t="str">
        <f>IF(Raw_Data!J1464=1,Raw_Data!D1464,"")</f>
        <v/>
      </c>
    </row>
    <row r="1465" spans="1:2" x14ac:dyDescent="0.25">
      <c r="A1465" s="3">
        <f>IF(Raw_Data!J1465=0,Raw_Data!D1465,"")</f>
        <v>4766.04</v>
      </c>
      <c r="B1465" s="3" t="str">
        <f>IF(Raw_Data!J1465=1,Raw_Data!D1465,"")</f>
        <v/>
      </c>
    </row>
    <row r="1466" spans="1:2" x14ac:dyDescent="0.25">
      <c r="A1466" s="3" t="str">
        <f>IF(Raw_Data!J1466=0,Raw_Data!D1466,"")</f>
        <v/>
      </c>
      <c r="B1466" s="3">
        <f>IF(Raw_Data!J1466=1,Raw_Data!D1466,"")</f>
        <v>1225.4100000000001</v>
      </c>
    </row>
    <row r="1467" spans="1:2" x14ac:dyDescent="0.25">
      <c r="A1467" s="3" t="str">
        <f>IF(Raw_Data!J1467=0,Raw_Data!D1467,"")</f>
        <v/>
      </c>
      <c r="B1467" s="3">
        <f>IF(Raw_Data!J1467=1,Raw_Data!D1467,"")</f>
        <v>710.06</v>
      </c>
    </row>
    <row r="1468" spans="1:2" x14ac:dyDescent="0.25">
      <c r="A1468" s="3">
        <f>IF(Raw_Data!J1468=0,Raw_Data!D1468,"")</f>
        <v>2230.42</v>
      </c>
      <c r="B1468" s="3" t="str">
        <f>IF(Raw_Data!J1468=1,Raw_Data!D1468,"")</f>
        <v/>
      </c>
    </row>
    <row r="1469" spans="1:2" x14ac:dyDescent="0.25">
      <c r="A1469" s="3">
        <f>IF(Raw_Data!J1469=0,Raw_Data!D1469,"")</f>
        <v>750.53</v>
      </c>
      <c r="B1469" s="3" t="str">
        <f>IF(Raw_Data!J1469=1,Raw_Data!D1469,"")</f>
        <v/>
      </c>
    </row>
    <row r="1470" spans="1:2" x14ac:dyDescent="0.25">
      <c r="A1470" s="3">
        <f>IF(Raw_Data!J1470=0,Raw_Data!D1470,"")</f>
        <v>1971.97</v>
      </c>
      <c r="B1470" s="3" t="str">
        <f>IF(Raw_Data!J1470=1,Raw_Data!D1470,"")</f>
        <v/>
      </c>
    </row>
    <row r="1471" spans="1:2" x14ac:dyDescent="0.25">
      <c r="A1471" s="3">
        <f>IF(Raw_Data!J1471=0,Raw_Data!D1471,"")</f>
        <v>3977.3</v>
      </c>
      <c r="B1471" s="3" t="str">
        <f>IF(Raw_Data!J1471=1,Raw_Data!D1471,"")</f>
        <v/>
      </c>
    </row>
    <row r="1472" spans="1:2" x14ac:dyDescent="0.25">
      <c r="A1472" s="3">
        <f>IF(Raw_Data!J1472=0,Raw_Data!D1472,"")</f>
        <v>2244.81</v>
      </c>
      <c r="B1472" s="3" t="str">
        <f>IF(Raw_Data!J1472=1,Raw_Data!D1472,"")</f>
        <v/>
      </c>
    </row>
    <row r="1473" spans="1:2" x14ac:dyDescent="0.25">
      <c r="A1473" s="3">
        <f>IF(Raw_Data!J1473=0,Raw_Data!D1473,"")</f>
        <v>448.22</v>
      </c>
      <c r="B1473" s="3" t="str">
        <f>IF(Raw_Data!J1473=1,Raw_Data!D1473,"")</f>
        <v/>
      </c>
    </row>
    <row r="1474" spans="1:2" x14ac:dyDescent="0.25">
      <c r="A1474" s="3" t="str">
        <f>IF(Raw_Data!J1474=0,Raw_Data!D1474,"")</f>
        <v/>
      </c>
      <c r="B1474" s="3">
        <f>IF(Raw_Data!J1474=1,Raw_Data!D1474,"")</f>
        <v>5677.81</v>
      </c>
    </row>
    <row r="1475" spans="1:2" x14ac:dyDescent="0.25">
      <c r="A1475" s="3">
        <f>IF(Raw_Data!J1475=0,Raw_Data!D1475,"")</f>
        <v>3095.64</v>
      </c>
      <c r="B1475" s="3" t="str">
        <f>IF(Raw_Data!J1475=1,Raw_Data!D1475,"")</f>
        <v/>
      </c>
    </row>
    <row r="1476" spans="1:2" x14ac:dyDescent="0.25">
      <c r="A1476" s="3">
        <f>IF(Raw_Data!J1476=0,Raw_Data!D1476,"")</f>
        <v>3825.83</v>
      </c>
      <c r="B1476" s="3" t="str">
        <f>IF(Raw_Data!J1476=1,Raw_Data!D1476,"")</f>
        <v/>
      </c>
    </row>
    <row r="1477" spans="1:2" x14ac:dyDescent="0.25">
      <c r="A1477" s="3">
        <f>IF(Raw_Data!J1477=0,Raw_Data!D1477,"")</f>
        <v>1999.35</v>
      </c>
      <c r="B1477" s="3" t="str">
        <f>IF(Raw_Data!J1477=1,Raw_Data!D1477,"")</f>
        <v/>
      </c>
    </row>
    <row r="1478" spans="1:2" x14ac:dyDescent="0.25">
      <c r="A1478" s="3">
        <f>IF(Raw_Data!J1478=0,Raw_Data!D1478,"")</f>
        <v>7691.55</v>
      </c>
      <c r="B1478" s="3" t="str">
        <f>IF(Raw_Data!J1478=1,Raw_Data!D1478,"")</f>
        <v/>
      </c>
    </row>
    <row r="1479" spans="1:2" x14ac:dyDescent="0.25">
      <c r="A1479" s="3">
        <f>IF(Raw_Data!J1479=0,Raw_Data!D1479,"")</f>
        <v>3310.3</v>
      </c>
      <c r="B1479" s="3" t="str">
        <f>IF(Raw_Data!J1479=1,Raw_Data!D1479,"")</f>
        <v/>
      </c>
    </row>
    <row r="1480" spans="1:2" x14ac:dyDescent="0.25">
      <c r="A1480" s="3">
        <f>IF(Raw_Data!J1480=0,Raw_Data!D1480,"")</f>
        <v>7370.53</v>
      </c>
      <c r="B1480" s="3" t="str">
        <f>IF(Raw_Data!J1480=1,Raw_Data!D1480,"")</f>
        <v/>
      </c>
    </row>
    <row r="1481" spans="1:2" x14ac:dyDescent="0.25">
      <c r="A1481" s="3">
        <f>IF(Raw_Data!J1481=0,Raw_Data!D1481,"")</f>
        <v>252.31</v>
      </c>
      <c r="B1481" s="3" t="str">
        <f>IF(Raw_Data!J1481=1,Raw_Data!D1481,"")</f>
        <v/>
      </c>
    </row>
    <row r="1482" spans="1:2" x14ac:dyDescent="0.25">
      <c r="A1482" s="3">
        <f>IF(Raw_Data!J1482=0,Raw_Data!D1482,"")</f>
        <v>1574.13</v>
      </c>
      <c r="B1482" s="3" t="str">
        <f>IF(Raw_Data!J1482=1,Raw_Data!D1482,"")</f>
        <v/>
      </c>
    </row>
    <row r="1483" spans="1:2" x14ac:dyDescent="0.25">
      <c r="A1483" s="3">
        <f>IF(Raw_Data!J1483=0,Raw_Data!D1483,"")</f>
        <v>1931.9</v>
      </c>
      <c r="B1483" s="3" t="str">
        <f>IF(Raw_Data!J1483=1,Raw_Data!D1483,"")</f>
        <v/>
      </c>
    </row>
    <row r="1484" spans="1:2" x14ac:dyDescent="0.25">
      <c r="A1484" s="3">
        <f>IF(Raw_Data!J1484=0,Raw_Data!D1484,"")</f>
        <v>1976.01</v>
      </c>
      <c r="B1484" s="3" t="str">
        <f>IF(Raw_Data!J1484=1,Raw_Data!D1484,"")</f>
        <v/>
      </c>
    </row>
    <row r="1485" spans="1:2" x14ac:dyDescent="0.25">
      <c r="A1485" s="3">
        <f>IF(Raw_Data!J1485=0,Raw_Data!D1485,"")</f>
        <v>4134.22</v>
      </c>
      <c r="B1485" s="3" t="str">
        <f>IF(Raw_Data!J1485=1,Raw_Data!D1485,"")</f>
        <v/>
      </c>
    </row>
    <row r="1486" spans="1:2" x14ac:dyDescent="0.25">
      <c r="A1486" s="3">
        <f>IF(Raw_Data!J1486=0,Raw_Data!D1486,"")</f>
        <v>2432.19</v>
      </c>
      <c r="B1486" s="3" t="str">
        <f>IF(Raw_Data!J1486=1,Raw_Data!D1486,"")</f>
        <v/>
      </c>
    </row>
    <row r="1487" spans="1:2" x14ac:dyDescent="0.25">
      <c r="A1487" s="3">
        <f>IF(Raw_Data!J1487=0,Raw_Data!D1487,"")</f>
        <v>4027.79</v>
      </c>
      <c r="B1487" s="3" t="str">
        <f>IF(Raw_Data!J1487=1,Raw_Data!D1487,"")</f>
        <v/>
      </c>
    </row>
    <row r="1488" spans="1:2" x14ac:dyDescent="0.25">
      <c r="A1488" s="3">
        <f>IF(Raw_Data!J1488=0,Raw_Data!D1488,"")</f>
        <v>2064.6999999999998</v>
      </c>
      <c r="B1488" s="3" t="str">
        <f>IF(Raw_Data!J1488=1,Raw_Data!D1488,"")</f>
        <v/>
      </c>
    </row>
    <row r="1489" spans="1:2" x14ac:dyDescent="0.25">
      <c r="A1489" s="3" t="str">
        <f>IF(Raw_Data!J1489=0,Raw_Data!D1489,"")</f>
        <v/>
      </c>
      <c r="B1489" s="3">
        <f>IF(Raw_Data!J1489=1,Raw_Data!D1489,"")</f>
        <v>5825.6</v>
      </c>
    </row>
    <row r="1490" spans="1:2" x14ac:dyDescent="0.25">
      <c r="A1490" s="3">
        <f>IF(Raw_Data!J1490=0,Raw_Data!D1490,"")</f>
        <v>1938.03</v>
      </c>
      <c r="B1490" s="3" t="str">
        <f>IF(Raw_Data!J1490=1,Raw_Data!D1490,"")</f>
        <v/>
      </c>
    </row>
    <row r="1491" spans="1:2" x14ac:dyDescent="0.25">
      <c r="A1491" s="3">
        <f>IF(Raw_Data!J1491=0,Raw_Data!D1491,"")</f>
        <v>2865.62</v>
      </c>
      <c r="B1491" s="3" t="str">
        <f>IF(Raw_Data!J1491=1,Raw_Data!D1491,"")</f>
        <v/>
      </c>
    </row>
    <row r="1492" spans="1:2" x14ac:dyDescent="0.25">
      <c r="A1492" s="3">
        <f>IF(Raw_Data!J1492=0,Raw_Data!D1492,"")</f>
        <v>1788.91</v>
      </c>
      <c r="B1492" s="3" t="str">
        <f>IF(Raw_Data!J1492=1,Raw_Data!D1492,"")</f>
        <v/>
      </c>
    </row>
    <row r="1493" spans="1:2" x14ac:dyDescent="0.25">
      <c r="A1493" s="3">
        <f>IF(Raw_Data!J1493=0,Raw_Data!D1493,"")</f>
        <v>1972.54</v>
      </c>
      <c r="B1493" s="3" t="str">
        <f>IF(Raw_Data!J1493=1,Raw_Data!D1493,"")</f>
        <v/>
      </c>
    </row>
    <row r="1494" spans="1:2" x14ac:dyDescent="0.25">
      <c r="A1494" s="3">
        <f>IF(Raw_Data!J1494=0,Raw_Data!D1494,"")</f>
        <v>1764.66</v>
      </c>
      <c r="B1494" s="3" t="str">
        <f>IF(Raw_Data!J1494=1,Raw_Data!D1494,"")</f>
        <v/>
      </c>
    </row>
    <row r="1495" spans="1:2" x14ac:dyDescent="0.25">
      <c r="A1495" s="3">
        <f>IF(Raw_Data!J1495=0,Raw_Data!D1495,"")</f>
        <v>1350.56</v>
      </c>
      <c r="B1495" s="3" t="str">
        <f>IF(Raw_Data!J1495=1,Raw_Data!D1495,"")</f>
        <v/>
      </c>
    </row>
    <row r="1496" spans="1:2" x14ac:dyDescent="0.25">
      <c r="A1496" s="3">
        <f>IF(Raw_Data!J1496=0,Raw_Data!D1496,"")</f>
        <v>5707.6</v>
      </c>
      <c r="B1496" s="3" t="str">
        <f>IF(Raw_Data!J1496=1,Raw_Data!D1496,"")</f>
        <v/>
      </c>
    </row>
    <row r="1497" spans="1:2" x14ac:dyDescent="0.25">
      <c r="A1497" s="3" t="str">
        <f>IF(Raw_Data!J1497=0,Raw_Data!D1497,"")</f>
        <v/>
      </c>
      <c r="B1497" s="3">
        <f>IF(Raw_Data!J1497=1,Raw_Data!D1497,"")</f>
        <v>5600.42</v>
      </c>
    </row>
    <row r="1498" spans="1:2" x14ac:dyDescent="0.25">
      <c r="A1498" s="3">
        <f>IF(Raw_Data!J1498=0,Raw_Data!D1498,"")</f>
        <v>462.53</v>
      </c>
      <c r="B1498" s="3" t="str">
        <f>IF(Raw_Data!J1498=1,Raw_Data!D1498,"")</f>
        <v/>
      </c>
    </row>
    <row r="1499" spans="1:2" x14ac:dyDescent="0.25">
      <c r="A1499" s="3">
        <f>IF(Raw_Data!J1499=0,Raw_Data!D1499,"")</f>
        <v>527.37</v>
      </c>
      <c r="B1499" s="3" t="str">
        <f>IF(Raw_Data!J1499=1,Raw_Data!D1499,"")</f>
        <v/>
      </c>
    </row>
    <row r="1500" spans="1:2" x14ac:dyDescent="0.25">
      <c r="A1500" s="3">
        <f>IF(Raw_Data!J1500=0,Raw_Data!D1500,"")</f>
        <v>2822.53</v>
      </c>
      <c r="B1500" s="3" t="str">
        <f>IF(Raw_Data!J1500=1,Raw_Data!D1500,"")</f>
        <v/>
      </c>
    </row>
    <row r="1501" spans="1:2" x14ac:dyDescent="0.25">
      <c r="A1501" s="3">
        <f>IF(Raw_Data!J1501=0,Raw_Data!D1501,"")</f>
        <v>426.37</v>
      </c>
      <c r="B1501" s="3" t="str">
        <f>IF(Raw_Data!J1501=1,Raw_Data!D1501,"")</f>
        <v/>
      </c>
    </row>
    <row r="1502" spans="1:2" x14ac:dyDescent="0.25">
      <c r="A1502" s="3" t="str">
        <f>IF(Raw_Data!J1502=0,Raw_Data!D1502,"")</f>
        <v/>
      </c>
      <c r="B1502" s="3">
        <f>IF(Raw_Data!J1502=1,Raw_Data!D1502,"")</f>
        <v>4314.17</v>
      </c>
    </row>
    <row r="1503" spans="1:2" x14ac:dyDescent="0.25">
      <c r="A1503" s="3">
        <f>IF(Raw_Data!J1503=0,Raw_Data!D1503,"")</f>
        <v>1596.6</v>
      </c>
      <c r="B1503" s="3" t="str">
        <f>IF(Raw_Data!J1503=1,Raw_Data!D1503,"")</f>
        <v/>
      </c>
    </row>
    <row r="1504" spans="1:2" x14ac:dyDescent="0.25">
      <c r="A1504" s="3" t="str">
        <f>IF(Raw_Data!J1504=0,Raw_Data!D1504,"")</f>
        <v/>
      </c>
      <c r="B1504" s="3">
        <f>IF(Raw_Data!J1504=1,Raw_Data!D1504,"")</f>
        <v>1947.41</v>
      </c>
    </row>
    <row r="1505" spans="1:2" x14ac:dyDescent="0.25">
      <c r="A1505" s="3">
        <f>IF(Raw_Data!J1505=0,Raw_Data!D1505,"")</f>
        <v>693.45</v>
      </c>
      <c r="B1505" s="3" t="str">
        <f>IF(Raw_Data!J1505=1,Raw_Data!D1505,"")</f>
        <v/>
      </c>
    </row>
    <row r="1506" spans="1:2" x14ac:dyDescent="0.25">
      <c r="A1506" s="3">
        <f>IF(Raw_Data!J1506=0,Raw_Data!D1506,"")</f>
        <v>3523.98</v>
      </c>
      <c r="B1506" s="3" t="str">
        <f>IF(Raw_Data!J1506=1,Raw_Data!D1506,"")</f>
        <v/>
      </c>
    </row>
    <row r="1507" spans="1:2" x14ac:dyDescent="0.25">
      <c r="A1507" s="3" t="str">
        <f>IF(Raw_Data!J1507=0,Raw_Data!D1507,"")</f>
        <v/>
      </c>
      <c r="B1507" s="3">
        <f>IF(Raw_Data!J1507=1,Raw_Data!D1507,"")</f>
        <v>1454.75</v>
      </c>
    </row>
    <row r="1508" spans="1:2" x14ac:dyDescent="0.25">
      <c r="A1508" s="3">
        <f>IF(Raw_Data!J1508=0,Raw_Data!D1508,"")</f>
        <v>1948.77</v>
      </c>
      <c r="B1508" s="3" t="str">
        <f>IF(Raw_Data!J1508=1,Raw_Data!D1508,"")</f>
        <v/>
      </c>
    </row>
    <row r="1509" spans="1:2" x14ac:dyDescent="0.25">
      <c r="A1509" s="3">
        <f>IF(Raw_Data!J1509=0,Raw_Data!D1509,"")</f>
        <v>6502.07</v>
      </c>
      <c r="B1509" s="3" t="str">
        <f>IF(Raw_Data!J1509=1,Raw_Data!D1509,"")</f>
        <v/>
      </c>
    </row>
    <row r="1510" spans="1:2" x14ac:dyDescent="0.25">
      <c r="A1510" s="3" t="str">
        <f>IF(Raw_Data!J1510=0,Raw_Data!D1510,"")</f>
        <v/>
      </c>
      <c r="B1510" s="3">
        <f>IF(Raw_Data!J1510=1,Raw_Data!D1510,"")</f>
        <v>1013.69</v>
      </c>
    </row>
    <row r="1511" spans="1:2" x14ac:dyDescent="0.25">
      <c r="A1511" s="3">
        <f>IF(Raw_Data!J1511=0,Raw_Data!D1511,"")</f>
        <v>1632.63</v>
      </c>
      <c r="B1511" s="3" t="str">
        <f>IF(Raw_Data!J1511=1,Raw_Data!D1511,"")</f>
        <v/>
      </c>
    </row>
    <row r="1512" spans="1:2" x14ac:dyDescent="0.25">
      <c r="A1512" s="3">
        <f>IF(Raw_Data!J1512=0,Raw_Data!D1512,"")</f>
        <v>569.33000000000004</v>
      </c>
      <c r="B1512" s="3" t="str">
        <f>IF(Raw_Data!J1512=1,Raw_Data!D1512,"")</f>
        <v/>
      </c>
    </row>
    <row r="1513" spans="1:2" x14ac:dyDescent="0.25">
      <c r="A1513" s="3">
        <f>IF(Raw_Data!J1513=0,Raw_Data!D1513,"")</f>
        <v>663.28</v>
      </c>
      <c r="B1513" s="3" t="str">
        <f>IF(Raw_Data!J1513=1,Raw_Data!D1513,"")</f>
        <v/>
      </c>
    </row>
    <row r="1514" spans="1:2" x14ac:dyDescent="0.25">
      <c r="A1514" s="3">
        <f>IF(Raw_Data!J1514=0,Raw_Data!D1514,"")</f>
        <v>1247.22</v>
      </c>
      <c r="B1514" s="3" t="str">
        <f>IF(Raw_Data!J1514=1,Raw_Data!D1514,"")</f>
        <v/>
      </c>
    </row>
    <row r="1515" spans="1:2" x14ac:dyDescent="0.25">
      <c r="A1515" s="3">
        <f>IF(Raw_Data!J1515=0,Raw_Data!D1515,"")</f>
        <v>1992.79</v>
      </c>
      <c r="B1515" s="3" t="str">
        <f>IF(Raw_Data!J1515=1,Raw_Data!D1515,"")</f>
        <v/>
      </c>
    </row>
    <row r="1516" spans="1:2" x14ac:dyDescent="0.25">
      <c r="A1516" s="3" t="str">
        <f>IF(Raw_Data!J1516=0,Raw_Data!D1516,"")</f>
        <v/>
      </c>
      <c r="B1516" s="3">
        <f>IF(Raw_Data!J1516=1,Raw_Data!D1516,"")</f>
        <v>2128.0700000000002</v>
      </c>
    </row>
    <row r="1517" spans="1:2" x14ac:dyDescent="0.25">
      <c r="A1517" s="3">
        <f>IF(Raw_Data!J1517=0,Raw_Data!D1517,"")</f>
        <v>5898.45</v>
      </c>
      <c r="B1517" s="3" t="str">
        <f>IF(Raw_Data!J1517=1,Raw_Data!D1517,"")</f>
        <v/>
      </c>
    </row>
    <row r="1518" spans="1:2" x14ac:dyDescent="0.25">
      <c r="A1518" s="3">
        <f>IF(Raw_Data!J1518=0,Raw_Data!D1518,"")</f>
        <v>343.7</v>
      </c>
      <c r="B1518" s="3" t="str">
        <f>IF(Raw_Data!J1518=1,Raw_Data!D1518,"")</f>
        <v/>
      </c>
    </row>
    <row r="1519" spans="1:2" x14ac:dyDescent="0.25">
      <c r="A1519" s="3" t="str">
        <f>IF(Raw_Data!J1519=0,Raw_Data!D1519,"")</f>
        <v/>
      </c>
      <c r="B1519" s="3">
        <f>IF(Raw_Data!J1519=1,Raw_Data!D1519,"")</f>
        <v>1650.34</v>
      </c>
    </row>
    <row r="1520" spans="1:2" x14ac:dyDescent="0.25">
      <c r="A1520" s="3">
        <f>IF(Raw_Data!J1520=0,Raw_Data!D1520,"")</f>
        <v>1655.09</v>
      </c>
      <c r="B1520" s="3" t="str">
        <f>IF(Raw_Data!J1520=1,Raw_Data!D1520,"")</f>
        <v/>
      </c>
    </row>
    <row r="1521" spans="1:2" x14ac:dyDescent="0.25">
      <c r="A1521" s="3">
        <f>IF(Raw_Data!J1521=0,Raw_Data!D1521,"")</f>
        <v>3328.94</v>
      </c>
      <c r="B1521" s="3" t="str">
        <f>IF(Raw_Data!J1521=1,Raw_Data!D1521,"")</f>
        <v/>
      </c>
    </row>
    <row r="1522" spans="1:2" x14ac:dyDescent="0.25">
      <c r="A1522" s="3">
        <f>IF(Raw_Data!J1522=0,Raw_Data!D1522,"")</f>
        <v>96.42</v>
      </c>
      <c r="B1522" s="3" t="str">
        <f>IF(Raw_Data!J1522=1,Raw_Data!D1522,"")</f>
        <v/>
      </c>
    </row>
    <row r="1523" spans="1:2" x14ac:dyDescent="0.25">
      <c r="A1523" s="3">
        <f>IF(Raw_Data!J1523=0,Raw_Data!D1523,"")</f>
        <v>1662.44</v>
      </c>
      <c r="B1523" s="3" t="str">
        <f>IF(Raw_Data!J1523=1,Raw_Data!D1523,"")</f>
        <v/>
      </c>
    </row>
    <row r="1524" spans="1:2" x14ac:dyDescent="0.25">
      <c r="A1524" s="3">
        <f>IF(Raw_Data!J1524=0,Raw_Data!D1524,"")</f>
        <v>2771.03</v>
      </c>
      <c r="B1524" s="3" t="str">
        <f>IF(Raw_Data!J1524=1,Raw_Data!D1524,"")</f>
        <v/>
      </c>
    </row>
    <row r="1525" spans="1:2" x14ac:dyDescent="0.25">
      <c r="A1525" s="3">
        <f>IF(Raw_Data!J1525=0,Raw_Data!D1525,"")</f>
        <v>1362.35</v>
      </c>
      <c r="B1525" s="3" t="str">
        <f>IF(Raw_Data!J1525=1,Raw_Data!D1525,"")</f>
        <v/>
      </c>
    </row>
    <row r="1526" spans="1:2" x14ac:dyDescent="0.25">
      <c r="A1526" s="3" t="str">
        <f>IF(Raw_Data!J1526=0,Raw_Data!D1526,"")</f>
        <v/>
      </c>
      <c r="B1526" s="3">
        <f>IF(Raw_Data!J1526=1,Raw_Data!D1526,"")</f>
        <v>9018.4699999999993</v>
      </c>
    </row>
    <row r="1527" spans="1:2" x14ac:dyDescent="0.25">
      <c r="A1527" s="3">
        <f>IF(Raw_Data!J1527=0,Raw_Data!D1527,"")</f>
        <v>1484.64</v>
      </c>
      <c r="B1527" s="3" t="str">
        <f>IF(Raw_Data!J1527=1,Raw_Data!D1527,"")</f>
        <v/>
      </c>
    </row>
    <row r="1528" spans="1:2" x14ac:dyDescent="0.25">
      <c r="A1528" s="3">
        <f>IF(Raw_Data!J1528=0,Raw_Data!D1528,"")</f>
        <v>5111.74</v>
      </c>
      <c r="B1528" s="3" t="str">
        <f>IF(Raw_Data!J1528=1,Raw_Data!D1528,"")</f>
        <v/>
      </c>
    </row>
    <row r="1529" spans="1:2" x14ac:dyDescent="0.25">
      <c r="A1529" s="3">
        <f>IF(Raw_Data!J1529=0,Raw_Data!D1529,"")</f>
        <v>2031.62</v>
      </c>
      <c r="B1529" s="3" t="str">
        <f>IF(Raw_Data!J1529=1,Raw_Data!D1529,"")</f>
        <v/>
      </c>
    </row>
    <row r="1530" spans="1:2" x14ac:dyDescent="0.25">
      <c r="A1530" s="3">
        <f>IF(Raw_Data!J1530=0,Raw_Data!D1530,"")</f>
        <v>2266.25</v>
      </c>
      <c r="B1530" s="3" t="str">
        <f>IF(Raw_Data!J1530=1,Raw_Data!D1530,"")</f>
        <v/>
      </c>
    </row>
    <row r="1531" spans="1:2" x14ac:dyDescent="0.25">
      <c r="A1531" s="3" t="str">
        <f>IF(Raw_Data!J1531=0,Raw_Data!D1531,"")</f>
        <v/>
      </c>
      <c r="B1531" s="3">
        <f>IF(Raw_Data!J1531=1,Raw_Data!D1531,"")</f>
        <v>2470</v>
      </c>
    </row>
    <row r="1532" spans="1:2" x14ac:dyDescent="0.25">
      <c r="A1532" s="3">
        <f>IF(Raw_Data!J1532=0,Raw_Data!D1532,"")</f>
        <v>1883.24</v>
      </c>
      <c r="B1532" s="3" t="str">
        <f>IF(Raw_Data!J1532=1,Raw_Data!D1532,"")</f>
        <v/>
      </c>
    </row>
    <row r="1533" spans="1:2" x14ac:dyDescent="0.25">
      <c r="A1533" s="3">
        <f>IF(Raw_Data!J1533=0,Raw_Data!D1533,"")</f>
        <v>3829.55</v>
      </c>
      <c r="B1533" s="3" t="str">
        <f>IF(Raw_Data!J1533=1,Raw_Data!D1533,"")</f>
        <v/>
      </c>
    </row>
    <row r="1534" spans="1:2" x14ac:dyDescent="0.25">
      <c r="A1534" s="3" t="str">
        <f>IF(Raw_Data!J1534=0,Raw_Data!D1534,"")</f>
        <v/>
      </c>
      <c r="B1534" s="3">
        <f>IF(Raw_Data!J1534=1,Raw_Data!D1534,"")</f>
        <v>2227.96</v>
      </c>
    </row>
    <row r="1535" spans="1:2" x14ac:dyDescent="0.25">
      <c r="A1535" s="3">
        <f>IF(Raw_Data!J1535=0,Raw_Data!D1535,"")</f>
        <v>1843</v>
      </c>
      <c r="B1535" s="3" t="str">
        <f>IF(Raw_Data!J1535=1,Raw_Data!D1535,"")</f>
        <v/>
      </c>
    </row>
    <row r="1536" spans="1:2" x14ac:dyDescent="0.25">
      <c r="A1536" s="3">
        <f>IF(Raw_Data!J1536=0,Raw_Data!D1536,"")</f>
        <v>1130.24</v>
      </c>
      <c r="B1536" s="3" t="str">
        <f>IF(Raw_Data!J1536=1,Raw_Data!D1536,"")</f>
        <v/>
      </c>
    </row>
    <row r="1537" spans="1:2" x14ac:dyDescent="0.25">
      <c r="A1537" s="3" t="str">
        <f>IF(Raw_Data!J1537=0,Raw_Data!D1537,"")</f>
        <v/>
      </c>
      <c r="B1537" s="3">
        <f>IF(Raw_Data!J1537=1,Raw_Data!D1537,"")</f>
        <v>2689.77</v>
      </c>
    </row>
    <row r="1538" spans="1:2" x14ac:dyDescent="0.25">
      <c r="A1538" s="3">
        <f>IF(Raw_Data!J1538=0,Raw_Data!D1538,"")</f>
        <v>1744.73</v>
      </c>
      <c r="B1538" s="3" t="str">
        <f>IF(Raw_Data!J1538=1,Raw_Data!D1538,"")</f>
        <v/>
      </c>
    </row>
    <row r="1539" spans="1:2" x14ac:dyDescent="0.25">
      <c r="A1539" s="3">
        <f>IF(Raw_Data!J1539=0,Raw_Data!D1539,"")</f>
        <v>4432.7</v>
      </c>
      <c r="B1539" s="3" t="str">
        <f>IF(Raw_Data!J1539=1,Raw_Data!D1539,"")</f>
        <v/>
      </c>
    </row>
    <row r="1540" spans="1:2" x14ac:dyDescent="0.25">
      <c r="A1540" s="3">
        <f>IF(Raw_Data!J1540=0,Raw_Data!D1540,"")</f>
        <v>1177.71</v>
      </c>
      <c r="B1540" s="3" t="str">
        <f>IF(Raw_Data!J1540=1,Raw_Data!D1540,"")</f>
        <v/>
      </c>
    </row>
    <row r="1541" spans="1:2" x14ac:dyDescent="0.25">
      <c r="A1541" s="3">
        <f>IF(Raw_Data!J1541=0,Raw_Data!D1541,"")</f>
        <v>2488.13</v>
      </c>
      <c r="B1541" s="3" t="str">
        <f>IF(Raw_Data!J1541=1,Raw_Data!D1541,"")</f>
        <v/>
      </c>
    </row>
    <row r="1542" spans="1:2" x14ac:dyDescent="0.25">
      <c r="A1542" s="3">
        <f>IF(Raw_Data!J1542=0,Raw_Data!D1542,"")</f>
        <v>1168.95</v>
      </c>
      <c r="B1542" s="3" t="str">
        <f>IF(Raw_Data!J1542=1,Raw_Data!D1542,"")</f>
        <v/>
      </c>
    </row>
    <row r="1543" spans="1:2" x14ac:dyDescent="0.25">
      <c r="A1543" s="3" t="str">
        <f>IF(Raw_Data!J1543=0,Raw_Data!D1543,"")</f>
        <v/>
      </c>
      <c r="B1543" s="3">
        <f>IF(Raw_Data!J1543=1,Raw_Data!D1543,"")</f>
        <v>4040.51</v>
      </c>
    </row>
    <row r="1544" spans="1:2" x14ac:dyDescent="0.25">
      <c r="A1544" s="3">
        <f>IF(Raw_Data!J1544=0,Raw_Data!D1544,"")</f>
        <v>347.8</v>
      </c>
      <c r="B1544" s="3" t="str">
        <f>IF(Raw_Data!J1544=1,Raw_Data!D1544,"")</f>
        <v/>
      </c>
    </row>
    <row r="1545" spans="1:2" x14ac:dyDescent="0.25">
      <c r="A1545" s="3">
        <f>IF(Raw_Data!J1545=0,Raw_Data!D1545,"")</f>
        <v>3495.12</v>
      </c>
      <c r="B1545" s="3" t="str">
        <f>IF(Raw_Data!J1545=1,Raw_Data!D1545,"")</f>
        <v/>
      </c>
    </row>
    <row r="1546" spans="1:2" x14ac:dyDescent="0.25">
      <c r="A1546" s="3">
        <f>IF(Raw_Data!J1546=0,Raw_Data!D1546,"")</f>
        <v>1632.51</v>
      </c>
      <c r="B1546" s="3" t="str">
        <f>IF(Raw_Data!J1546=1,Raw_Data!D1546,"")</f>
        <v/>
      </c>
    </row>
    <row r="1547" spans="1:2" x14ac:dyDescent="0.25">
      <c r="A1547" s="3">
        <f>IF(Raw_Data!J1547=0,Raw_Data!D1547,"")</f>
        <v>3449.85</v>
      </c>
      <c r="B1547" s="3" t="str">
        <f>IF(Raw_Data!J1547=1,Raw_Data!D1547,"")</f>
        <v/>
      </c>
    </row>
    <row r="1548" spans="1:2" x14ac:dyDescent="0.25">
      <c r="A1548" s="3">
        <f>IF(Raw_Data!J1548=0,Raw_Data!D1548,"")</f>
        <v>1415.19</v>
      </c>
      <c r="B1548" s="3" t="str">
        <f>IF(Raw_Data!J1548=1,Raw_Data!D1548,"")</f>
        <v/>
      </c>
    </row>
    <row r="1549" spans="1:2" x14ac:dyDescent="0.25">
      <c r="A1549" s="3">
        <f>IF(Raw_Data!J1549=0,Raw_Data!D1549,"")</f>
        <v>2039.84</v>
      </c>
      <c r="B1549" s="3" t="str">
        <f>IF(Raw_Data!J1549=1,Raw_Data!D1549,"")</f>
        <v/>
      </c>
    </row>
    <row r="1550" spans="1:2" x14ac:dyDescent="0.25">
      <c r="A1550" s="3">
        <f>IF(Raw_Data!J1550=0,Raw_Data!D1550,"")</f>
        <v>2565.9899999999998</v>
      </c>
      <c r="B1550" s="3" t="str">
        <f>IF(Raw_Data!J1550=1,Raw_Data!D1550,"")</f>
        <v/>
      </c>
    </row>
    <row r="1551" spans="1:2" x14ac:dyDescent="0.25">
      <c r="A1551" s="3">
        <f>IF(Raw_Data!J1551=0,Raw_Data!D1551,"")</f>
        <v>1437.71</v>
      </c>
      <c r="B1551" s="3" t="str">
        <f>IF(Raw_Data!J1551=1,Raw_Data!D1551,"")</f>
        <v/>
      </c>
    </row>
    <row r="1552" spans="1:2" x14ac:dyDescent="0.25">
      <c r="A1552" s="3">
        <f>IF(Raw_Data!J1552=0,Raw_Data!D1552,"")</f>
        <v>1864.91</v>
      </c>
      <c r="B1552" s="3" t="str">
        <f>IF(Raw_Data!J1552=1,Raw_Data!D1552,"")</f>
        <v/>
      </c>
    </row>
    <row r="1553" spans="1:2" x14ac:dyDescent="0.25">
      <c r="A1553" s="3">
        <f>IF(Raw_Data!J1553=0,Raw_Data!D1553,"")</f>
        <v>1387.31</v>
      </c>
      <c r="B1553" s="3" t="str">
        <f>IF(Raw_Data!J1553=1,Raw_Data!D1553,"")</f>
        <v/>
      </c>
    </row>
    <row r="1554" spans="1:2" x14ac:dyDescent="0.25">
      <c r="A1554" s="3">
        <f>IF(Raw_Data!J1554=0,Raw_Data!D1554,"")</f>
        <v>1043.6600000000001</v>
      </c>
      <c r="B1554" s="3" t="str">
        <f>IF(Raw_Data!J1554=1,Raw_Data!D1554,"")</f>
        <v/>
      </c>
    </row>
    <row r="1555" spans="1:2" x14ac:dyDescent="0.25">
      <c r="A1555" s="3">
        <f>IF(Raw_Data!J1555=0,Raw_Data!D1555,"")</f>
        <v>1475.69</v>
      </c>
      <c r="B1555" s="3" t="str">
        <f>IF(Raw_Data!J1555=1,Raw_Data!D1555,"")</f>
        <v/>
      </c>
    </row>
    <row r="1556" spans="1:2" x14ac:dyDescent="0.25">
      <c r="A1556" s="3">
        <f>IF(Raw_Data!J1556=0,Raw_Data!D1556,"")</f>
        <v>542.23</v>
      </c>
      <c r="B1556" s="3" t="str">
        <f>IF(Raw_Data!J1556=1,Raw_Data!D1556,"")</f>
        <v/>
      </c>
    </row>
    <row r="1557" spans="1:2" x14ac:dyDescent="0.25">
      <c r="A1557" s="3">
        <f>IF(Raw_Data!J1557=0,Raw_Data!D1557,"")</f>
        <v>741.8</v>
      </c>
      <c r="B1557" s="3" t="str">
        <f>IF(Raw_Data!J1557=1,Raw_Data!D1557,"")</f>
        <v/>
      </c>
    </row>
    <row r="1558" spans="1:2" x14ac:dyDescent="0.25">
      <c r="A1558" s="3">
        <f>IF(Raw_Data!J1558=0,Raw_Data!D1558,"")</f>
        <v>454.26</v>
      </c>
      <c r="B1558" s="3" t="str">
        <f>IF(Raw_Data!J1558=1,Raw_Data!D1558,"")</f>
        <v/>
      </c>
    </row>
    <row r="1559" spans="1:2" x14ac:dyDescent="0.25">
      <c r="A1559" s="3">
        <f>IF(Raw_Data!J1559=0,Raw_Data!D1559,"")</f>
        <v>4069.48</v>
      </c>
      <c r="B1559" s="3" t="str">
        <f>IF(Raw_Data!J1559=1,Raw_Data!D1559,"")</f>
        <v/>
      </c>
    </row>
    <row r="1560" spans="1:2" x14ac:dyDescent="0.25">
      <c r="A1560" s="3" t="str">
        <f>IF(Raw_Data!J1560=0,Raw_Data!D1560,"")</f>
        <v/>
      </c>
      <c r="B1560" s="3">
        <f>IF(Raw_Data!J1560=1,Raw_Data!D1560,"")</f>
        <v>1411.55</v>
      </c>
    </row>
    <row r="1561" spans="1:2" x14ac:dyDescent="0.25">
      <c r="A1561" s="3">
        <f>IF(Raw_Data!J1561=0,Raw_Data!D1561,"")</f>
        <v>1568.15</v>
      </c>
      <c r="B1561" s="3" t="str">
        <f>IF(Raw_Data!J1561=1,Raw_Data!D1561,"")</f>
        <v/>
      </c>
    </row>
    <row r="1562" spans="1:2" x14ac:dyDescent="0.25">
      <c r="A1562" s="3" t="str">
        <f>IF(Raw_Data!J1562=0,Raw_Data!D1562,"")</f>
        <v/>
      </c>
      <c r="B1562" s="3">
        <f>IF(Raw_Data!J1562=1,Raw_Data!D1562,"")</f>
        <v>3674.99</v>
      </c>
    </row>
    <row r="1563" spans="1:2" x14ac:dyDescent="0.25">
      <c r="A1563" s="3">
        <f>IF(Raw_Data!J1563=0,Raw_Data!D1563,"")</f>
        <v>1742.06</v>
      </c>
      <c r="B1563" s="3" t="str">
        <f>IF(Raw_Data!J1563=1,Raw_Data!D1563,"")</f>
        <v/>
      </c>
    </row>
    <row r="1564" spans="1:2" x14ac:dyDescent="0.25">
      <c r="A1564" s="3">
        <f>IF(Raw_Data!J1564=0,Raw_Data!D1564,"")</f>
        <v>5699.76</v>
      </c>
      <c r="B1564" s="3" t="str">
        <f>IF(Raw_Data!J1564=1,Raw_Data!D1564,"")</f>
        <v/>
      </c>
    </row>
    <row r="1565" spans="1:2" x14ac:dyDescent="0.25">
      <c r="A1565" s="3">
        <f>IF(Raw_Data!J1565=0,Raw_Data!D1565,"")</f>
        <v>2768.5</v>
      </c>
      <c r="B1565" s="3" t="str">
        <f>IF(Raw_Data!J1565=1,Raw_Data!D1565,"")</f>
        <v/>
      </c>
    </row>
    <row r="1566" spans="1:2" x14ac:dyDescent="0.25">
      <c r="A1566" s="3">
        <f>IF(Raw_Data!J1566=0,Raw_Data!D1566,"")</f>
        <v>706.72</v>
      </c>
      <c r="B1566" s="3" t="str">
        <f>IF(Raw_Data!J1566=1,Raw_Data!D1566,"")</f>
        <v/>
      </c>
    </row>
    <row r="1567" spans="1:2" x14ac:dyDescent="0.25">
      <c r="A1567" s="3">
        <f>IF(Raw_Data!J1567=0,Raw_Data!D1567,"")</f>
        <v>5552.51</v>
      </c>
      <c r="B1567" s="3" t="str">
        <f>IF(Raw_Data!J1567=1,Raw_Data!D1567,"")</f>
        <v/>
      </c>
    </row>
    <row r="1568" spans="1:2" x14ac:dyDescent="0.25">
      <c r="A1568" s="3">
        <f>IF(Raw_Data!J1568=0,Raw_Data!D1568,"")</f>
        <v>3867.59</v>
      </c>
      <c r="B1568" s="3" t="str">
        <f>IF(Raw_Data!J1568=1,Raw_Data!D1568,"")</f>
        <v/>
      </c>
    </row>
    <row r="1569" spans="1:2" x14ac:dyDescent="0.25">
      <c r="A1569" s="3">
        <f>IF(Raw_Data!J1569=0,Raw_Data!D1569,"")</f>
        <v>1195.97</v>
      </c>
      <c r="B1569" s="3" t="str">
        <f>IF(Raw_Data!J1569=1,Raw_Data!D1569,"")</f>
        <v/>
      </c>
    </row>
    <row r="1570" spans="1:2" x14ac:dyDescent="0.25">
      <c r="A1570" s="3" t="str">
        <f>IF(Raw_Data!J1570=0,Raw_Data!D1570,"")</f>
        <v/>
      </c>
      <c r="B1570" s="3">
        <f>IF(Raw_Data!J1570=1,Raw_Data!D1570,"")</f>
        <v>3482.33</v>
      </c>
    </row>
    <row r="1571" spans="1:2" x14ac:dyDescent="0.25">
      <c r="A1571" s="3" t="str">
        <f>IF(Raw_Data!J1571=0,Raw_Data!D1571,"")</f>
        <v/>
      </c>
      <c r="B1571" s="3">
        <f>IF(Raw_Data!J1571=1,Raw_Data!D1571,"")</f>
        <v>2913.89</v>
      </c>
    </row>
    <row r="1572" spans="1:2" x14ac:dyDescent="0.25">
      <c r="A1572" s="3" t="str">
        <f>IF(Raw_Data!J1572=0,Raw_Data!D1572,"")</f>
        <v/>
      </c>
      <c r="B1572" s="3">
        <f>IF(Raw_Data!J1572=1,Raw_Data!D1572,"")</f>
        <v>2763.67</v>
      </c>
    </row>
    <row r="1573" spans="1:2" x14ac:dyDescent="0.25">
      <c r="A1573" s="3">
        <f>IF(Raw_Data!J1573=0,Raw_Data!D1573,"")</f>
        <v>738.45</v>
      </c>
      <c r="B1573" s="3" t="str">
        <f>IF(Raw_Data!J1573=1,Raw_Data!D1573,"")</f>
        <v/>
      </c>
    </row>
    <row r="1574" spans="1:2" x14ac:dyDescent="0.25">
      <c r="A1574" s="3">
        <f>IF(Raw_Data!J1574=0,Raw_Data!D1574,"")</f>
        <v>1506.95</v>
      </c>
      <c r="B1574" s="3" t="str">
        <f>IF(Raw_Data!J1574=1,Raw_Data!D1574,"")</f>
        <v/>
      </c>
    </row>
    <row r="1575" spans="1:2" x14ac:dyDescent="0.25">
      <c r="A1575" s="3">
        <f>IF(Raw_Data!J1575=0,Raw_Data!D1575,"")</f>
        <v>6188.86</v>
      </c>
      <c r="B1575" s="3" t="str">
        <f>IF(Raw_Data!J1575=1,Raw_Data!D1575,"")</f>
        <v/>
      </c>
    </row>
    <row r="1576" spans="1:2" x14ac:dyDescent="0.25">
      <c r="A1576" s="3" t="str">
        <f>IF(Raw_Data!J1576=0,Raw_Data!D1576,"")</f>
        <v/>
      </c>
      <c r="B1576" s="3">
        <f>IF(Raw_Data!J1576=1,Raw_Data!D1576,"")</f>
        <v>1117.8499999999999</v>
      </c>
    </row>
    <row r="1577" spans="1:2" x14ac:dyDescent="0.25">
      <c r="A1577" s="3">
        <f>IF(Raw_Data!J1577=0,Raw_Data!D1577,"")</f>
        <v>1201.1400000000001</v>
      </c>
      <c r="B1577" s="3" t="str">
        <f>IF(Raw_Data!J1577=1,Raw_Data!D1577,"")</f>
        <v/>
      </c>
    </row>
    <row r="1578" spans="1:2" x14ac:dyDescent="0.25">
      <c r="A1578" s="3">
        <f>IF(Raw_Data!J1578=0,Raw_Data!D1578,"")</f>
        <v>7934.22</v>
      </c>
      <c r="B1578" s="3" t="str">
        <f>IF(Raw_Data!J1578=1,Raw_Data!D1578,"")</f>
        <v/>
      </c>
    </row>
    <row r="1579" spans="1:2" x14ac:dyDescent="0.25">
      <c r="A1579" s="3" t="str">
        <f>IF(Raw_Data!J1579=0,Raw_Data!D1579,"")</f>
        <v/>
      </c>
      <c r="B1579" s="3">
        <f>IF(Raw_Data!J1579=1,Raw_Data!D1579,"")</f>
        <v>2284.87</v>
      </c>
    </row>
    <row r="1580" spans="1:2" x14ac:dyDescent="0.25">
      <c r="A1580" s="3">
        <f>IF(Raw_Data!J1580=0,Raw_Data!D1580,"")</f>
        <v>2306.7800000000002</v>
      </c>
      <c r="B1580" s="3" t="str">
        <f>IF(Raw_Data!J1580=1,Raw_Data!D1580,"")</f>
        <v/>
      </c>
    </row>
    <row r="1581" spans="1:2" x14ac:dyDescent="0.25">
      <c r="A1581" s="3">
        <f>IF(Raw_Data!J1581=0,Raw_Data!D1581,"")</f>
        <v>2597.17</v>
      </c>
      <c r="B1581" s="3" t="str">
        <f>IF(Raw_Data!J1581=1,Raw_Data!D1581,"")</f>
        <v/>
      </c>
    </row>
    <row r="1582" spans="1:2" x14ac:dyDescent="0.25">
      <c r="A1582" s="3" t="str">
        <f>IF(Raw_Data!J1582=0,Raw_Data!D1582,"")</f>
        <v/>
      </c>
      <c r="B1582" s="3">
        <f>IF(Raw_Data!J1582=1,Raw_Data!D1582,"")</f>
        <v>1472.22</v>
      </c>
    </row>
    <row r="1583" spans="1:2" x14ac:dyDescent="0.25">
      <c r="A1583" s="3">
        <f>IF(Raw_Data!J1583=0,Raw_Data!D1583,"")</f>
        <v>168.2</v>
      </c>
      <c r="B1583" s="3" t="str">
        <f>IF(Raw_Data!J1583=1,Raw_Data!D1583,"")</f>
        <v/>
      </c>
    </row>
    <row r="1584" spans="1:2" x14ac:dyDescent="0.25">
      <c r="A1584" s="3">
        <f>IF(Raw_Data!J1584=0,Raw_Data!D1584,"")</f>
        <v>1550</v>
      </c>
      <c r="B1584" s="3" t="str">
        <f>IF(Raw_Data!J1584=1,Raw_Data!D1584,"")</f>
        <v/>
      </c>
    </row>
    <row r="1585" spans="1:2" x14ac:dyDescent="0.25">
      <c r="A1585" s="3">
        <f>IF(Raw_Data!J1585=0,Raw_Data!D1585,"")</f>
        <v>3954.74</v>
      </c>
      <c r="B1585" s="3" t="str">
        <f>IF(Raw_Data!J1585=1,Raw_Data!D1585,"")</f>
        <v/>
      </c>
    </row>
    <row r="1586" spans="1:2" x14ac:dyDescent="0.25">
      <c r="A1586" s="3">
        <f>IF(Raw_Data!J1586=0,Raw_Data!D1586,"")</f>
        <v>1491.86</v>
      </c>
      <c r="B1586" s="3" t="str">
        <f>IF(Raw_Data!J1586=1,Raw_Data!D1586,"")</f>
        <v/>
      </c>
    </row>
    <row r="1587" spans="1:2" x14ac:dyDescent="0.25">
      <c r="A1587" s="3">
        <f>IF(Raw_Data!J1587=0,Raw_Data!D1587,"")</f>
        <v>925.82</v>
      </c>
      <c r="B1587" s="3" t="str">
        <f>IF(Raw_Data!J1587=1,Raw_Data!D1587,"")</f>
        <v/>
      </c>
    </row>
    <row r="1588" spans="1:2" x14ac:dyDescent="0.25">
      <c r="A1588" s="3" t="str">
        <f>IF(Raw_Data!J1588=0,Raw_Data!D1588,"")</f>
        <v/>
      </c>
      <c r="B1588" s="3">
        <f>IF(Raw_Data!J1588=1,Raw_Data!D1588,"")</f>
        <v>6773.34</v>
      </c>
    </row>
    <row r="1589" spans="1:2" x14ac:dyDescent="0.25">
      <c r="A1589" s="3">
        <f>IF(Raw_Data!J1589=0,Raw_Data!D1589,"")</f>
        <v>5933.45</v>
      </c>
      <c r="B1589" s="3" t="str">
        <f>IF(Raw_Data!J1589=1,Raw_Data!D1589,"")</f>
        <v/>
      </c>
    </row>
    <row r="1590" spans="1:2" x14ac:dyDescent="0.25">
      <c r="A1590" s="3">
        <f>IF(Raw_Data!J1590=0,Raw_Data!D1590,"")</f>
        <v>3706.81</v>
      </c>
      <c r="B1590" s="3" t="str">
        <f>IF(Raw_Data!J1590=1,Raw_Data!D1590,"")</f>
        <v/>
      </c>
    </row>
    <row r="1591" spans="1:2" x14ac:dyDescent="0.25">
      <c r="A1591" s="3">
        <f>IF(Raw_Data!J1591=0,Raw_Data!D1591,"")</f>
        <v>1008.75</v>
      </c>
      <c r="B1591" s="3" t="str">
        <f>IF(Raw_Data!J1591=1,Raw_Data!D1591,"")</f>
        <v/>
      </c>
    </row>
    <row r="1592" spans="1:2" x14ac:dyDescent="0.25">
      <c r="A1592" s="3">
        <f>IF(Raw_Data!J1592=0,Raw_Data!D1592,"")</f>
        <v>3934.59</v>
      </c>
      <c r="B1592" s="3" t="str">
        <f>IF(Raw_Data!J1592=1,Raw_Data!D1592,"")</f>
        <v/>
      </c>
    </row>
    <row r="1593" spans="1:2" x14ac:dyDescent="0.25">
      <c r="A1593" s="3" t="str">
        <f>IF(Raw_Data!J1593=0,Raw_Data!D1593,"")</f>
        <v/>
      </c>
      <c r="B1593" s="3">
        <f>IF(Raw_Data!J1593=1,Raw_Data!D1593,"")</f>
        <v>2477.0300000000002</v>
      </c>
    </row>
    <row r="1594" spans="1:2" x14ac:dyDescent="0.25">
      <c r="A1594" s="3">
        <f>IF(Raw_Data!J1594=0,Raw_Data!D1594,"")</f>
        <v>6418.85</v>
      </c>
      <c r="B1594" s="3" t="str">
        <f>IF(Raw_Data!J1594=1,Raw_Data!D1594,"")</f>
        <v/>
      </c>
    </row>
    <row r="1595" spans="1:2" x14ac:dyDescent="0.25">
      <c r="A1595" s="3">
        <f>IF(Raw_Data!J1595=0,Raw_Data!D1595,"")</f>
        <v>3972.77</v>
      </c>
      <c r="B1595" s="3" t="str">
        <f>IF(Raw_Data!J1595=1,Raw_Data!D1595,"")</f>
        <v/>
      </c>
    </row>
    <row r="1596" spans="1:2" x14ac:dyDescent="0.25">
      <c r="A1596" s="3" t="str">
        <f>IF(Raw_Data!J1596=0,Raw_Data!D1596,"")</f>
        <v/>
      </c>
      <c r="B1596" s="3">
        <f>IF(Raw_Data!J1596=1,Raw_Data!D1596,"")</f>
        <v>2717.1</v>
      </c>
    </row>
    <row r="1597" spans="1:2" x14ac:dyDescent="0.25">
      <c r="A1597" s="3">
        <f>IF(Raw_Data!J1597=0,Raw_Data!D1597,"")</f>
        <v>3347.55</v>
      </c>
      <c r="B1597" s="3" t="str">
        <f>IF(Raw_Data!J1597=1,Raw_Data!D1597,"")</f>
        <v/>
      </c>
    </row>
    <row r="1598" spans="1:2" x14ac:dyDescent="0.25">
      <c r="A1598" s="3">
        <f>IF(Raw_Data!J1598=0,Raw_Data!D1598,"")</f>
        <v>3335.31</v>
      </c>
      <c r="B1598" s="3" t="str">
        <f>IF(Raw_Data!J1598=1,Raw_Data!D1598,"")</f>
        <v/>
      </c>
    </row>
    <row r="1599" spans="1:2" x14ac:dyDescent="0.25">
      <c r="A1599" s="3">
        <f>IF(Raw_Data!J1599=0,Raw_Data!D1599,"")</f>
        <v>3092.34</v>
      </c>
      <c r="B1599" s="3" t="str">
        <f>IF(Raw_Data!J1599=1,Raw_Data!D1599,"")</f>
        <v/>
      </c>
    </row>
    <row r="1600" spans="1:2" x14ac:dyDescent="0.25">
      <c r="A1600" s="3">
        <f>IF(Raw_Data!J1600=0,Raw_Data!D1600,"")</f>
        <v>2987.52</v>
      </c>
      <c r="B1600" s="3" t="str">
        <f>IF(Raw_Data!J1600=1,Raw_Data!D1600,"")</f>
        <v/>
      </c>
    </row>
    <row r="1601" spans="1:2" x14ac:dyDescent="0.25">
      <c r="A1601" s="3">
        <f>IF(Raw_Data!J1601=0,Raw_Data!D1601,"")</f>
        <v>2758.23</v>
      </c>
      <c r="B1601" s="3" t="str">
        <f>IF(Raw_Data!J1601=1,Raw_Data!D1601,"")</f>
        <v/>
      </c>
    </row>
    <row r="1602" spans="1:2" x14ac:dyDescent="0.25">
      <c r="A1602" s="3">
        <f>IF(Raw_Data!J1602=0,Raw_Data!D1602,"")</f>
        <v>1445.42</v>
      </c>
      <c r="B1602" s="3" t="str">
        <f>IF(Raw_Data!J1602=1,Raw_Data!D1602,"")</f>
        <v/>
      </c>
    </row>
    <row r="1603" spans="1:2" x14ac:dyDescent="0.25">
      <c r="A1603" s="3">
        <f>IF(Raw_Data!J1603=0,Raw_Data!D1603,"")</f>
        <v>2036.1</v>
      </c>
      <c r="B1603" s="3" t="str">
        <f>IF(Raw_Data!J1603=1,Raw_Data!D1603,"")</f>
        <v/>
      </c>
    </row>
    <row r="1604" spans="1:2" x14ac:dyDescent="0.25">
      <c r="A1604" s="3">
        <f>IF(Raw_Data!J1604=0,Raw_Data!D1604,"")</f>
        <v>1648.02</v>
      </c>
      <c r="B1604" s="3" t="str">
        <f>IF(Raw_Data!J1604=1,Raw_Data!D1604,"")</f>
        <v/>
      </c>
    </row>
    <row r="1605" spans="1:2" x14ac:dyDescent="0.25">
      <c r="A1605" s="3">
        <f>IF(Raw_Data!J1605=0,Raw_Data!D1605,"")</f>
        <v>2374.37</v>
      </c>
      <c r="B1605" s="3" t="str">
        <f>IF(Raw_Data!J1605=1,Raw_Data!D1605,"")</f>
        <v/>
      </c>
    </row>
    <row r="1606" spans="1:2" x14ac:dyDescent="0.25">
      <c r="A1606" s="3">
        <f>IF(Raw_Data!J1606=0,Raw_Data!D1606,"")</f>
        <v>2469.16</v>
      </c>
      <c r="B1606" s="3" t="str">
        <f>IF(Raw_Data!J1606=1,Raw_Data!D1606,"")</f>
        <v/>
      </c>
    </row>
    <row r="1607" spans="1:2" x14ac:dyDescent="0.25">
      <c r="A1607" s="3">
        <f>IF(Raw_Data!J1607=0,Raw_Data!D1607,"")</f>
        <v>5137.54</v>
      </c>
      <c r="B1607" s="3" t="str">
        <f>IF(Raw_Data!J1607=1,Raw_Data!D1607,"")</f>
        <v/>
      </c>
    </row>
    <row r="1608" spans="1:2" x14ac:dyDescent="0.25">
      <c r="A1608" s="3">
        <f>IF(Raw_Data!J1608=0,Raw_Data!D1608,"")</f>
        <v>4978.88</v>
      </c>
      <c r="B1608" s="3" t="str">
        <f>IF(Raw_Data!J1608=1,Raw_Data!D1608,"")</f>
        <v/>
      </c>
    </row>
    <row r="1609" spans="1:2" x14ac:dyDescent="0.25">
      <c r="A1609" s="3">
        <f>IF(Raw_Data!J1609=0,Raw_Data!D1609,"")</f>
        <v>2944.53</v>
      </c>
      <c r="B1609" s="3" t="str">
        <f>IF(Raw_Data!J1609=1,Raw_Data!D1609,"")</f>
        <v/>
      </c>
    </row>
    <row r="1610" spans="1:2" x14ac:dyDescent="0.25">
      <c r="A1610" s="3">
        <f>IF(Raw_Data!J1610=0,Raw_Data!D1610,"")</f>
        <v>2676.88</v>
      </c>
      <c r="B1610" s="3" t="str">
        <f>IF(Raw_Data!J1610=1,Raw_Data!D1610,"")</f>
        <v/>
      </c>
    </row>
    <row r="1611" spans="1:2" x14ac:dyDescent="0.25">
      <c r="A1611" s="3">
        <f>IF(Raw_Data!J1611=0,Raw_Data!D1611,"")</f>
        <v>861.82</v>
      </c>
      <c r="B1611" s="3" t="str">
        <f>IF(Raw_Data!J1611=1,Raw_Data!D1611,"")</f>
        <v/>
      </c>
    </row>
    <row r="1612" spans="1:2" x14ac:dyDescent="0.25">
      <c r="A1612" s="3">
        <f>IF(Raw_Data!J1612=0,Raw_Data!D1612,"")</f>
        <v>734.7</v>
      </c>
      <c r="B1612" s="3" t="str">
        <f>IF(Raw_Data!J1612=1,Raw_Data!D1612,"")</f>
        <v/>
      </c>
    </row>
    <row r="1613" spans="1:2" x14ac:dyDescent="0.25">
      <c r="A1613" s="3">
        <f>IF(Raw_Data!J1613=0,Raw_Data!D1613,"")</f>
        <v>3125.71</v>
      </c>
      <c r="B1613" s="3" t="str">
        <f>IF(Raw_Data!J1613=1,Raw_Data!D1613,"")</f>
        <v/>
      </c>
    </row>
    <row r="1614" spans="1:2" x14ac:dyDescent="0.25">
      <c r="A1614" s="3">
        <f>IF(Raw_Data!J1614=0,Raw_Data!D1614,"")</f>
        <v>684.29</v>
      </c>
      <c r="B1614" s="3" t="str">
        <f>IF(Raw_Data!J1614=1,Raw_Data!D1614,"")</f>
        <v/>
      </c>
    </row>
    <row r="1615" spans="1:2" x14ac:dyDescent="0.25">
      <c r="A1615" s="3">
        <f>IF(Raw_Data!J1615=0,Raw_Data!D1615,"")</f>
        <v>7117.58</v>
      </c>
      <c r="B1615" s="3" t="str">
        <f>IF(Raw_Data!J1615=1,Raw_Data!D1615,"")</f>
        <v/>
      </c>
    </row>
    <row r="1616" spans="1:2" x14ac:dyDescent="0.25">
      <c r="A1616" s="3">
        <f>IF(Raw_Data!J1616=0,Raw_Data!D1616,"")</f>
        <v>497.17</v>
      </c>
      <c r="B1616" s="3" t="str">
        <f>IF(Raw_Data!J1616=1,Raw_Data!D1616,"")</f>
        <v/>
      </c>
    </row>
    <row r="1617" spans="1:2" x14ac:dyDescent="0.25">
      <c r="A1617" s="3">
        <f>IF(Raw_Data!J1617=0,Raw_Data!D1617,"")</f>
        <v>2067.14</v>
      </c>
      <c r="B1617" s="3" t="str">
        <f>IF(Raw_Data!J1617=1,Raw_Data!D1617,"")</f>
        <v/>
      </c>
    </row>
    <row r="1618" spans="1:2" x14ac:dyDescent="0.25">
      <c r="A1618" s="3">
        <f>IF(Raw_Data!J1618=0,Raw_Data!D1618,"")</f>
        <v>6231.74</v>
      </c>
      <c r="B1618" s="3" t="str">
        <f>IF(Raw_Data!J1618=1,Raw_Data!D1618,"")</f>
        <v/>
      </c>
    </row>
    <row r="1619" spans="1:2" x14ac:dyDescent="0.25">
      <c r="A1619" s="3">
        <f>IF(Raw_Data!J1619=0,Raw_Data!D1619,"")</f>
        <v>1630.68</v>
      </c>
      <c r="B1619" s="3" t="str">
        <f>IF(Raw_Data!J1619=1,Raw_Data!D1619,"")</f>
        <v/>
      </c>
    </row>
    <row r="1620" spans="1:2" x14ac:dyDescent="0.25">
      <c r="A1620" s="3">
        <f>IF(Raw_Data!J1620=0,Raw_Data!D1620,"")</f>
        <v>2677.31</v>
      </c>
      <c r="B1620" s="3" t="str">
        <f>IF(Raw_Data!J1620=1,Raw_Data!D1620,"")</f>
        <v/>
      </c>
    </row>
    <row r="1621" spans="1:2" x14ac:dyDescent="0.25">
      <c r="A1621" s="3" t="str">
        <f>IF(Raw_Data!J1621=0,Raw_Data!D1621,"")</f>
        <v/>
      </c>
      <c r="B1621" s="3">
        <f>IF(Raw_Data!J1621=1,Raw_Data!D1621,"")</f>
        <v>1230.75</v>
      </c>
    </row>
    <row r="1622" spans="1:2" x14ac:dyDescent="0.25">
      <c r="A1622" s="3">
        <f>IF(Raw_Data!J1622=0,Raw_Data!D1622,"")</f>
        <v>2034.59</v>
      </c>
      <c r="B1622" s="3" t="str">
        <f>IF(Raw_Data!J1622=1,Raw_Data!D1622,"")</f>
        <v/>
      </c>
    </row>
    <row r="1623" spans="1:2" x14ac:dyDescent="0.25">
      <c r="A1623" s="3">
        <f>IF(Raw_Data!J1623=0,Raw_Data!D1623,"")</f>
        <v>5766.4</v>
      </c>
      <c r="B1623" s="3" t="str">
        <f>IF(Raw_Data!J1623=1,Raw_Data!D1623,"")</f>
        <v/>
      </c>
    </row>
    <row r="1624" spans="1:2" x14ac:dyDescent="0.25">
      <c r="A1624" s="3">
        <f>IF(Raw_Data!J1624=0,Raw_Data!D1624,"")</f>
        <v>3697.78</v>
      </c>
      <c r="B1624" s="3" t="str">
        <f>IF(Raw_Data!J1624=1,Raw_Data!D1624,"")</f>
        <v/>
      </c>
    </row>
    <row r="1625" spans="1:2" x14ac:dyDescent="0.25">
      <c r="A1625" s="3">
        <f>IF(Raw_Data!J1625=0,Raw_Data!D1625,"")</f>
        <v>2470.27</v>
      </c>
      <c r="B1625" s="3" t="str">
        <f>IF(Raw_Data!J1625=1,Raw_Data!D1625,"")</f>
        <v/>
      </c>
    </row>
    <row r="1626" spans="1:2" x14ac:dyDescent="0.25">
      <c r="A1626" s="3">
        <f>IF(Raw_Data!J1626=0,Raw_Data!D1626,"")</f>
        <v>2661.88</v>
      </c>
      <c r="B1626" s="3" t="str">
        <f>IF(Raw_Data!J1626=1,Raw_Data!D1626,"")</f>
        <v/>
      </c>
    </row>
    <row r="1627" spans="1:2" x14ac:dyDescent="0.25">
      <c r="A1627" s="3">
        <f>IF(Raw_Data!J1627=0,Raw_Data!D1627,"")</f>
        <v>2978.49</v>
      </c>
      <c r="B1627" s="3" t="str">
        <f>IF(Raw_Data!J1627=1,Raw_Data!D1627,"")</f>
        <v/>
      </c>
    </row>
    <row r="1628" spans="1:2" x14ac:dyDescent="0.25">
      <c r="A1628" s="3">
        <f>IF(Raw_Data!J1628=0,Raw_Data!D1628,"")</f>
        <v>1797.12</v>
      </c>
      <c r="B1628" s="3" t="str">
        <f>IF(Raw_Data!J1628=1,Raw_Data!D1628,"")</f>
        <v/>
      </c>
    </row>
    <row r="1629" spans="1:2" x14ac:dyDescent="0.25">
      <c r="A1629" s="3">
        <f>IF(Raw_Data!J1629=0,Raw_Data!D1629,"")</f>
        <v>2980.03</v>
      </c>
      <c r="B1629" s="3" t="str">
        <f>IF(Raw_Data!J1629=1,Raw_Data!D1629,"")</f>
        <v/>
      </c>
    </row>
    <row r="1630" spans="1:2" x14ac:dyDescent="0.25">
      <c r="A1630" s="3" t="str">
        <f>IF(Raw_Data!J1630=0,Raw_Data!D1630,"")</f>
        <v/>
      </c>
      <c r="B1630" s="3">
        <f>IF(Raw_Data!J1630=1,Raw_Data!D1630,"")</f>
        <v>1662.14</v>
      </c>
    </row>
    <row r="1631" spans="1:2" x14ac:dyDescent="0.25">
      <c r="A1631" s="3">
        <f>IF(Raw_Data!J1631=0,Raw_Data!D1631,"")</f>
        <v>1537.03</v>
      </c>
      <c r="B1631" s="3" t="str">
        <f>IF(Raw_Data!J1631=1,Raw_Data!D1631,"")</f>
        <v/>
      </c>
    </row>
    <row r="1632" spans="1:2" x14ac:dyDescent="0.25">
      <c r="A1632" s="3">
        <f>IF(Raw_Data!J1632=0,Raw_Data!D1632,"")</f>
        <v>1137.3499999999999</v>
      </c>
      <c r="B1632" s="3" t="str">
        <f>IF(Raw_Data!J1632=1,Raw_Data!D1632,"")</f>
        <v/>
      </c>
    </row>
    <row r="1633" spans="1:2" x14ac:dyDescent="0.25">
      <c r="A1633" s="3">
        <f>IF(Raw_Data!J1633=0,Raw_Data!D1633,"")</f>
        <v>6140.75</v>
      </c>
      <c r="B1633" s="3" t="str">
        <f>IF(Raw_Data!J1633=1,Raw_Data!D1633,"")</f>
        <v/>
      </c>
    </row>
    <row r="1634" spans="1:2" x14ac:dyDescent="0.25">
      <c r="A1634" s="3">
        <f>IF(Raw_Data!J1634=0,Raw_Data!D1634,"")</f>
        <v>3144.83</v>
      </c>
      <c r="B1634" s="3" t="str">
        <f>IF(Raw_Data!J1634=1,Raw_Data!D1634,"")</f>
        <v/>
      </c>
    </row>
    <row r="1635" spans="1:2" x14ac:dyDescent="0.25">
      <c r="A1635" s="3" t="str">
        <f>IF(Raw_Data!J1635=0,Raw_Data!D1635,"")</f>
        <v/>
      </c>
      <c r="B1635" s="3">
        <f>IF(Raw_Data!J1635=1,Raw_Data!D1635,"")</f>
        <v>232.6</v>
      </c>
    </row>
    <row r="1636" spans="1:2" x14ac:dyDescent="0.25">
      <c r="A1636" s="3">
        <f>IF(Raw_Data!J1636=0,Raw_Data!D1636,"")</f>
        <v>3495.09</v>
      </c>
      <c r="B1636" s="3" t="str">
        <f>IF(Raw_Data!J1636=1,Raw_Data!D1636,"")</f>
        <v/>
      </c>
    </row>
    <row r="1637" spans="1:2" x14ac:dyDescent="0.25">
      <c r="A1637" s="3">
        <f>IF(Raw_Data!J1637=0,Raw_Data!D1637,"")</f>
        <v>6558.23</v>
      </c>
      <c r="B1637" s="3" t="str">
        <f>IF(Raw_Data!J1637=1,Raw_Data!D1637,"")</f>
        <v/>
      </c>
    </row>
    <row r="1638" spans="1:2" x14ac:dyDescent="0.25">
      <c r="A1638" s="3" t="str">
        <f>IF(Raw_Data!J1638=0,Raw_Data!D1638,"")</f>
        <v/>
      </c>
      <c r="B1638" s="3">
        <f>IF(Raw_Data!J1638=1,Raw_Data!D1638,"")</f>
        <v>4197.26</v>
      </c>
    </row>
    <row r="1639" spans="1:2" x14ac:dyDescent="0.25">
      <c r="A1639" s="3">
        <f>IF(Raw_Data!J1639=0,Raw_Data!D1639,"")</f>
        <v>3019.67</v>
      </c>
      <c r="B1639" s="3" t="str">
        <f>IF(Raw_Data!J1639=1,Raw_Data!D1639,"")</f>
        <v/>
      </c>
    </row>
    <row r="1640" spans="1:2" x14ac:dyDescent="0.25">
      <c r="A1640" s="3">
        <f>IF(Raw_Data!J1640=0,Raw_Data!D1640,"")</f>
        <v>1743.35</v>
      </c>
      <c r="B1640" s="3" t="str">
        <f>IF(Raw_Data!J1640=1,Raw_Data!D1640,"")</f>
        <v/>
      </c>
    </row>
    <row r="1641" spans="1:2" x14ac:dyDescent="0.25">
      <c r="A1641" s="3">
        <f>IF(Raw_Data!J1641=0,Raw_Data!D1641,"")</f>
        <v>1761.05</v>
      </c>
      <c r="B1641" s="3" t="str">
        <f>IF(Raw_Data!J1641=1,Raw_Data!D1641,"")</f>
        <v/>
      </c>
    </row>
    <row r="1642" spans="1:2" x14ac:dyDescent="0.25">
      <c r="A1642" s="3" t="str">
        <f>IF(Raw_Data!J1642=0,Raw_Data!D1642,"")</f>
        <v/>
      </c>
      <c r="B1642" s="3">
        <f>IF(Raw_Data!J1642=1,Raw_Data!D1642,"")</f>
        <v>4053.62</v>
      </c>
    </row>
    <row r="1643" spans="1:2" x14ac:dyDescent="0.25">
      <c r="A1643" s="3">
        <f>IF(Raw_Data!J1643=0,Raw_Data!D1643,"")</f>
        <v>6466.99</v>
      </c>
      <c r="B1643" s="3" t="str">
        <f>IF(Raw_Data!J1643=1,Raw_Data!D1643,"")</f>
        <v/>
      </c>
    </row>
    <row r="1644" spans="1:2" x14ac:dyDescent="0.25">
      <c r="A1644" s="3" t="str">
        <f>IF(Raw_Data!J1644=0,Raw_Data!D1644,"")</f>
        <v/>
      </c>
      <c r="B1644" s="3">
        <f>IF(Raw_Data!J1644=1,Raw_Data!D1644,"")</f>
        <v>1827.39</v>
      </c>
    </row>
    <row r="1645" spans="1:2" x14ac:dyDescent="0.25">
      <c r="A1645" s="3">
        <f>IF(Raw_Data!J1645=0,Raw_Data!D1645,"")</f>
        <v>2583.63</v>
      </c>
      <c r="B1645" s="3" t="str">
        <f>IF(Raw_Data!J1645=1,Raw_Data!D1645,"")</f>
        <v/>
      </c>
    </row>
    <row r="1646" spans="1:2" x14ac:dyDescent="0.25">
      <c r="A1646" s="3">
        <f>IF(Raw_Data!J1646=0,Raw_Data!D1646,"")</f>
        <v>3921.5</v>
      </c>
      <c r="B1646" s="3" t="str">
        <f>IF(Raw_Data!J1646=1,Raw_Data!D1646,"")</f>
        <v/>
      </c>
    </row>
    <row r="1647" spans="1:2" x14ac:dyDescent="0.25">
      <c r="A1647" s="3">
        <f>IF(Raw_Data!J1647=0,Raw_Data!D1647,"")</f>
        <v>1982.29</v>
      </c>
      <c r="B1647" s="3" t="str">
        <f>IF(Raw_Data!J1647=1,Raw_Data!D1647,"")</f>
        <v/>
      </c>
    </row>
    <row r="1648" spans="1:2" x14ac:dyDescent="0.25">
      <c r="A1648" s="3">
        <f>IF(Raw_Data!J1648=0,Raw_Data!D1648,"")</f>
        <v>2763.17</v>
      </c>
      <c r="B1648" s="3" t="str">
        <f>IF(Raw_Data!J1648=1,Raw_Data!D1648,"")</f>
        <v/>
      </c>
    </row>
    <row r="1649" spans="1:2" x14ac:dyDescent="0.25">
      <c r="A1649" s="3">
        <f>IF(Raw_Data!J1649=0,Raw_Data!D1649,"")</f>
        <v>218.19</v>
      </c>
      <c r="B1649" s="3" t="str">
        <f>IF(Raw_Data!J1649=1,Raw_Data!D1649,"")</f>
        <v/>
      </c>
    </row>
    <row r="1650" spans="1:2" x14ac:dyDescent="0.25">
      <c r="A1650" s="3">
        <f>IF(Raw_Data!J1650=0,Raw_Data!D1650,"")</f>
        <v>1964.33</v>
      </c>
      <c r="B1650" s="3" t="str">
        <f>IF(Raw_Data!J1650=1,Raw_Data!D1650,"")</f>
        <v/>
      </c>
    </row>
    <row r="1651" spans="1:2" x14ac:dyDescent="0.25">
      <c r="A1651" s="3">
        <f>IF(Raw_Data!J1651=0,Raw_Data!D1651,"")</f>
        <v>7018.55</v>
      </c>
      <c r="B1651" s="3" t="str">
        <f>IF(Raw_Data!J1651=1,Raw_Data!D1651,"")</f>
        <v/>
      </c>
    </row>
    <row r="1652" spans="1:2" x14ac:dyDescent="0.25">
      <c r="A1652" s="3">
        <f>IF(Raw_Data!J1652=0,Raw_Data!D1652,"")</f>
        <v>661.75</v>
      </c>
      <c r="B1652" s="3" t="str">
        <f>IF(Raw_Data!J1652=1,Raw_Data!D1652,"")</f>
        <v/>
      </c>
    </row>
    <row r="1653" spans="1:2" x14ac:dyDescent="0.25">
      <c r="A1653" s="3" t="str">
        <f>IF(Raw_Data!J1653=0,Raw_Data!D1653,"")</f>
        <v/>
      </c>
      <c r="B1653" s="3">
        <f>IF(Raw_Data!J1653=1,Raw_Data!D1653,"")</f>
        <v>509.37</v>
      </c>
    </row>
    <row r="1654" spans="1:2" x14ac:dyDescent="0.25">
      <c r="A1654" s="3">
        <f>IF(Raw_Data!J1654=0,Raw_Data!D1654,"")</f>
        <v>1576.95</v>
      </c>
      <c r="B1654" s="3" t="str">
        <f>IF(Raw_Data!J1654=1,Raw_Data!D1654,"")</f>
        <v/>
      </c>
    </row>
    <row r="1655" spans="1:2" x14ac:dyDescent="0.25">
      <c r="A1655" s="3">
        <f>IF(Raw_Data!J1655=0,Raw_Data!D1655,"")</f>
        <v>3062.7</v>
      </c>
      <c r="B1655" s="3" t="str">
        <f>IF(Raw_Data!J1655=1,Raw_Data!D1655,"")</f>
        <v/>
      </c>
    </row>
    <row r="1656" spans="1:2" x14ac:dyDescent="0.25">
      <c r="A1656" s="3">
        <f>IF(Raw_Data!J1656=0,Raw_Data!D1656,"")</f>
        <v>246.88</v>
      </c>
      <c r="B1656" s="3" t="str">
        <f>IF(Raw_Data!J1656=1,Raw_Data!D1656,"")</f>
        <v/>
      </c>
    </row>
    <row r="1657" spans="1:2" x14ac:dyDescent="0.25">
      <c r="A1657" s="3">
        <f>IF(Raw_Data!J1657=0,Raw_Data!D1657,"")</f>
        <v>4610.5</v>
      </c>
      <c r="B1657" s="3" t="str">
        <f>IF(Raw_Data!J1657=1,Raw_Data!D1657,"")</f>
        <v/>
      </c>
    </row>
    <row r="1658" spans="1:2" x14ac:dyDescent="0.25">
      <c r="A1658" s="3" t="str">
        <f>IF(Raw_Data!J1658=0,Raw_Data!D1658,"")</f>
        <v/>
      </c>
      <c r="B1658" s="3">
        <f>IF(Raw_Data!J1658=1,Raw_Data!D1658,"")</f>
        <v>4633.16</v>
      </c>
    </row>
    <row r="1659" spans="1:2" x14ac:dyDescent="0.25">
      <c r="A1659" s="3">
        <f>IF(Raw_Data!J1659=0,Raw_Data!D1659,"")</f>
        <v>1871.14</v>
      </c>
      <c r="B1659" s="3" t="str">
        <f>IF(Raw_Data!J1659=1,Raw_Data!D1659,"")</f>
        <v/>
      </c>
    </row>
    <row r="1660" spans="1:2" x14ac:dyDescent="0.25">
      <c r="A1660" s="3">
        <f>IF(Raw_Data!J1660=0,Raw_Data!D1660,"")</f>
        <v>3349.28</v>
      </c>
      <c r="B1660" s="3" t="str">
        <f>IF(Raw_Data!J1660=1,Raw_Data!D1660,"")</f>
        <v/>
      </c>
    </row>
    <row r="1661" spans="1:2" x14ac:dyDescent="0.25">
      <c r="A1661" s="3">
        <f>IF(Raw_Data!J1661=0,Raw_Data!D1661,"")</f>
        <v>1061.48</v>
      </c>
      <c r="B1661" s="3" t="str">
        <f>IF(Raw_Data!J1661=1,Raw_Data!D1661,"")</f>
        <v/>
      </c>
    </row>
    <row r="1662" spans="1:2" x14ac:dyDescent="0.25">
      <c r="A1662" s="3">
        <f>IF(Raw_Data!J1662=0,Raw_Data!D1662,"")</f>
        <v>3639.5</v>
      </c>
      <c r="B1662" s="3" t="str">
        <f>IF(Raw_Data!J1662=1,Raw_Data!D1662,"")</f>
        <v/>
      </c>
    </row>
    <row r="1663" spans="1:2" x14ac:dyDescent="0.25">
      <c r="A1663" s="3">
        <f>IF(Raw_Data!J1663=0,Raw_Data!D1663,"")</f>
        <v>5694.24</v>
      </c>
      <c r="B1663" s="3" t="str">
        <f>IF(Raw_Data!J1663=1,Raw_Data!D1663,"")</f>
        <v/>
      </c>
    </row>
    <row r="1664" spans="1:2" x14ac:dyDescent="0.25">
      <c r="A1664" s="3" t="str">
        <f>IF(Raw_Data!J1664=0,Raw_Data!D1664,"")</f>
        <v/>
      </c>
      <c r="B1664" s="3">
        <f>IF(Raw_Data!J1664=1,Raw_Data!D1664,"")</f>
        <v>476.61</v>
      </c>
    </row>
    <row r="1665" spans="1:2" x14ac:dyDescent="0.25">
      <c r="A1665" s="3" t="str">
        <f>IF(Raw_Data!J1665=0,Raw_Data!D1665,"")</f>
        <v/>
      </c>
      <c r="B1665" s="3">
        <f>IF(Raw_Data!J1665=1,Raw_Data!D1665,"")</f>
        <v>3495.06</v>
      </c>
    </row>
    <row r="1666" spans="1:2" x14ac:dyDescent="0.25">
      <c r="A1666" s="3">
        <f>IF(Raw_Data!J1666=0,Raw_Data!D1666,"")</f>
        <v>1884.41</v>
      </c>
      <c r="B1666" s="3" t="str">
        <f>IF(Raw_Data!J1666=1,Raw_Data!D1666,"")</f>
        <v/>
      </c>
    </row>
    <row r="1667" spans="1:2" x14ac:dyDescent="0.25">
      <c r="A1667" s="3">
        <f>IF(Raw_Data!J1667=0,Raw_Data!D1667,"")</f>
        <v>8461.5499999999993</v>
      </c>
      <c r="B1667" s="3" t="str">
        <f>IF(Raw_Data!J1667=1,Raw_Data!D1667,"")</f>
        <v/>
      </c>
    </row>
    <row r="1668" spans="1:2" x14ac:dyDescent="0.25">
      <c r="A1668" s="3">
        <f>IF(Raw_Data!J1668=0,Raw_Data!D1668,"")</f>
        <v>4994.71</v>
      </c>
      <c r="B1668" s="3" t="str">
        <f>IF(Raw_Data!J1668=1,Raw_Data!D1668,"")</f>
        <v/>
      </c>
    </row>
    <row r="1669" spans="1:2" x14ac:dyDescent="0.25">
      <c r="A1669" s="3">
        <f>IF(Raw_Data!J1669=0,Raw_Data!D1669,"")</f>
        <v>1781.66</v>
      </c>
      <c r="B1669" s="3" t="str">
        <f>IF(Raw_Data!J1669=1,Raw_Data!D1669,"")</f>
        <v/>
      </c>
    </row>
    <row r="1670" spans="1:2" x14ac:dyDescent="0.25">
      <c r="A1670" s="3">
        <f>IF(Raw_Data!J1670=0,Raw_Data!D1670,"")</f>
        <v>1336.47</v>
      </c>
      <c r="B1670" s="3" t="str">
        <f>IF(Raw_Data!J1670=1,Raw_Data!D1670,"")</f>
        <v/>
      </c>
    </row>
    <row r="1671" spans="1:2" x14ac:dyDescent="0.25">
      <c r="A1671" s="3">
        <f>IF(Raw_Data!J1671=0,Raw_Data!D1671,"")</f>
        <v>74.599999999999994</v>
      </c>
      <c r="B1671" s="3" t="str">
        <f>IF(Raw_Data!J1671=1,Raw_Data!D1671,"")</f>
        <v/>
      </c>
    </row>
    <row r="1672" spans="1:2" x14ac:dyDescent="0.25">
      <c r="A1672" s="3">
        <f>IF(Raw_Data!J1672=0,Raw_Data!D1672,"")</f>
        <v>4285.75</v>
      </c>
      <c r="B1672" s="3" t="str">
        <f>IF(Raw_Data!J1672=1,Raw_Data!D1672,"")</f>
        <v/>
      </c>
    </row>
    <row r="1673" spans="1:2" x14ac:dyDescent="0.25">
      <c r="A1673" s="3">
        <f>IF(Raw_Data!J1673=0,Raw_Data!D1673,"")</f>
        <v>3119.6</v>
      </c>
      <c r="B1673" s="3" t="str">
        <f>IF(Raw_Data!J1673=1,Raw_Data!D1673,"")</f>
        <v/>
      </c>
    </row>
    <row r="1674" spans="1:2" x14ac:dyDescent="0.25">
      <c r="A1674" s="3">
        <f>IF(Raw_Data!J1674=0,Raw_Data!D1674,"")</f>
        <v>3654.44</v>
      </c>
      <c r="B1674" s="3" t="str">
        <f>IF(Raw_Data!J1674=1,Raw_Data!D1674,"")</f>
        <v/>
      </c>
    </row>
    <row r="1675" spans="1:2" x14ac:dyDescent="0.25">
      <c r="A1675" s="3">
        <f>IF(Raw_Data!J1675=0,Raw_Data!D1675,"")</f>
        <v>5101.13</v>
      </c>
      <c r="B1675" s="3" t="str">
        <f>IF(Raw_Data!J1675=1,Raw_Data!D1675,"")</f>
        <v/>
      </c>
    </row>
    <row r="1676" spans="1:2" x14ac:dyDescent="0.25">
      <c r="A1676" s="3">
        <f>IF(Raw_Data!J1676=0,Raw_Data!D1676,"")</f>
        <v>1219.26</v>
      </c>
      <c r="B1676" s="3" t="str">
        <f>IF(Raw_Data!J1676=1,Raw_Data!D1676,"")</f>
        <v/>
      </c>
    </row>
    <row r="1677" spans="1:2" x14ac:dyDescent="0.25">
      <c r="A1677" s="3">
        <f>IF(Raw_Data!J1677=0,Raw_Data!D1677,"")</f>
        <v>4170.09</v>
      </c>
      <c r="B1677" s="3" t="str">
        <f>IF(Raw_Data!J1677=1,Raw_Data!D1677,"")</f>
        <v/>
      </c>
    </row>
    <row r="1678" spans="1:2" x14ac:dyDescent="0.25">
      <c r="A1678" s="3">
        <f>IF(Raw_Data!J1678=0,Raw_Data!D1678,"")</f>
        <v>4879.17</v>
      </c>
      <c r="B1678" s="3" t="str">
        <f>IF(Raw_Data!J1678=1,Raw_Data!D1678,"")</f>
        <v/>
      </c>
    </row>
    <row r="1679" spans="1:2" x14ac:dyDescent="0.25">
      <c r="A1679" s="3">
        <f>IF(Raw_Data!J1679=0,Raw_Data!D1679,"")</f>
        <v>2700.16</v>
      </c>
      <c r="B1679" s="3" t="str">
        <f>IF(Raw_Data!J1679=1,Raw_Data!D1679,"")</f>
        <v/>
      </c>
    </row>
    <row r="1680" spans="1:2" x14ac:dyDescent="0.25">
      <c r="A1680" s="3">
        <f>IF(Raw_Data!J1680=0,Raw_Data!D1680,"")</f>
        <v>742.54</v>
      </c>
      <c r="B1680" s="3" t="str">
        <f>IF(Raw_Data!J1680=1,Raw_Data!D1680,"")</f>
        <v/>
      </c>
    </row>
    <row r="1681" spans="1:2" x14ac:dyDescent="0.25">
      <c r="A1681" s="3">
        <f>IF(Raw_Data!J1681=0,Raw_Data!D1681,"")</f>
        <v>1032.3800000000001</v>
      </c>
      <c r="B1681" s="3" t="str">
        <f>IF(Raw_Data!J1681=1,Raw_Data!D1681,"")</f>
        <v/>
      </c>
    </row>
    <row r="1682" spans="1:2" x14ac:dyDescent="0.25">
      <c r="A1682" s="3">
        <f>IF(Raw_Data!J1682=0,Raw_Data!D1682,"")</f>
        <v>4007.71</v>
      </c>
      <c r="B1682" s="3" t="str">
        <f>IF(Raw_Data!J1682=1,Raw_Data!D1682,"")</f>
        <v/>
      </c>
    </row>
    <row r="1683" spans="1:2" x14ac:dyDescent="0.25">
      <c r="A1683" s="3">
        <f>IF(Raw_Data!J1683=0,Raw_Data!D1683,"")</f>
        <v>224.24</v>
      </c>
      <c r="B1683" s="3" t="str">
        <f>IF(Raw_Data!J1683=1,Raw_Data!D1683,"")</f>
        <v/>
      </c>
    </row>
    <row r="1684" spans="1:2" x14ac:dyDescent="0.25">
      <c r="A1684" s="3">
        <f>IF(Raw_Data!J1684=0,Raw_Data!D1684,"")</f>
        <v>3370.57</v>
      </c>
      <c r="B1684" s="3" t="str">
        <f>IF(Raw_Data!J1684=1,Raw_Data!D1684,"")</f>
        <v/>
      </c>
    </row>
    <row r="1685" spans="1:2" x14ac:dyDescent="0.25">
      <c r="A1685" s="3">
        <f>IF(Raw_Data!J1685=0,Raw_Data!D1685,"")</f>
        <v>4664.1099999999997</v>
      </c>
      <c r="B1685" s="3" t="str">
        <f>IF(Raw_Data!J1685=1,Raw_Data!D1685,"")</f>
        <v/>
      </c>
    </row>
    <row r="1686" spans="1:2" x14ac:dyDescent="0.25">
      <c r="A1686" s="3" t="str">
        <f>IF(Raw_Data!J1686=0,Raw_Data!D1686,"")</f>
        <v/>
      </c>
      <c r="B1686" s="3">
        <f>IF(Raw_Data!J1686=1,Raw_Data!D1686,"")</f>
        <v>5369.15</v>
      </c>
    </row>
    <row r="1687" spans="1:2" x14ac:dyDescent="0.25">
      <c r="A1687" s="3">
        <f>IF(Raw_Data!J1687=0,Raw_Data!D1687,"")</f>
        <v>1270.98</v>
      </c>
      <c r="B1687" s="3" t="str">
        <f>IF(Raw_Data!J1687=1,Raw_Data!D1687,"")</f>
        <v/>
      </c>
    </row>
    <row r="1688" spans="1:2" x14ac:dyDescent="0.25">
      <c r="A1688" s="3">
        <f>IF(Raw_Data!J1688=0,Raw_Data!D1688,"")</f>
        <v>4896.46</v>
      </c>
      <c r="B1688" s="3" t="str">
        <f>IF(Raw_Data!J1688=1,Raw_Data!D1688,"")</f>
        <v/>
      </c>
    </row>
    <row r="1689" spans="1:2" x14ac:dyDescent="0.25">
      <c r="A1689" s="3">
        <f>IF(Raw_Data!J1689=0,Raw_Data!D1689,"")</f>
        <v>592.34</v>
      </c>
      <c r="B1689" s="3" t="str">
        <f>IF(Raw_Data!J1689=1,Raw_Data!D1689,"")</f>
        <v/>
      </c>
    </row>
    <row r="1690" spans="1:2" x14ac:dyDescent="0.25">
      <c r="A1690" s="3">
        <f>IF(Raw_Data!J1690=0,Raw_Data!D1690,"")</f>
        <v>4847.54</v>
      </c>
      <c r="B1690" s="3" t="str">
        <f>IF(Raw_Data!J1690=1,Raw_Data!D1690,"")</f>
        <v/>
      </c>
    </row>
    <row r="1691" spans="1:2" x14ac:dyDescent="0.25">
      <c r="A1691" s="3">
        <f>IF(Raw_Data!J1691=0,Raw_Data!D1691,"")</f>
        <v>4087.39</v>
      </c>
      <c r="B1691" s="3" t="str">
        <f>IF(Raw_Data!J1691=1,Raw_Data!D1691,"")</f>
        <v/>
      </c>
    </row>
    <row r="1692" spans="1:2" x14ac:dyDescent="0.25">
      <c r="A1692" s="3">
        <f>IF(Raw_Data!J1692=0,Raw_Data!D1692,"")</f>
        <v>4970.0600000000004</v>
      </c>
      <c r="B1692" s="3" t="str">
        <f>IF(Raw_Data!J1692=1,Raw_Data!D1692,"")</f>
        <v/>
      </c>
    </row>
    <row r="1693" spans="1:2" x14ac:dyDescent="0.25">
      <c r="A1693" s="3">
        <f>IF(Raw_Data!J1693=0,Raw_Data!D1693,"")</f>
        <v>2858.36</v>
      </c>
      <c r="B1693" s="3" t="str">
        <f>IF(Raw_Data!J1693=1,Raw_Data!D1693,"")</f>
        <v/>
      </c>
    </row>
    <row r="1694" spans="1:2" x14ac:dyDescent="0.25">
      <c r="A1694" s="3">
        <f>IF(Raw_Data!J1694=0,Raw_Data!D1694,"")</f>
        <v>8730.9699999999993</v>
      </c>
      <c r="B1694" s="3" t="str">
        <f>IF(Raw_Data!J1694=1,Raw_Data!D1694,"")</f>
        <v/>
      </c>
    </row>
    <row r="1695" spans="1:2" x14ac:dyDescent="0.25">
      <c r="A1695" s="3">
        <f>IF(Raw_Data!J1695=0,Raw_Data!D1695,"")</f>
        <v>1011.59</v>
      </c>
      <c r="B1695" s="3" t="str">
        <f>IF(Raw_Data!J1695=1,Raw_Data!D1695,"")</f>
        <v/>
      </c>
    </row>
    <row r="1696" spans="1:2" x14ac:dyDescent="0.25">
      <c r="A1696" s="3">
        <f>IF(Raw_Data!J1696=0,Raw_Data!D1696,"")</f>
        <v>3485.45</v>
      </c>
      <c r="B1696" s="3" t="str">
        <f>IF(Raw_Data!J1696=1,Raw_Data!D1696,"")</f>
        <v/>
      </c>
    </row>
    <row r="1697" spans="1:2" x14ac:dyDescent="0.25">
      <c r="A1697" s="3">
        <f>IF(Raw_Data!J1697=0,Raw_Data!D1697,"")</f>
        <v>3914.77</v>
      </c>
      <c r="B1697" s="3" t="str">
        <f>IF(Raw_Data!J1697=1,Raw_Data!D1697,"")</f>
        <v/>
      </c>
    </row>
    <row r="1698" spans="1:2" x14ac:dyDescent="0.25">
      <c r="A1698" s="3">
        <f>IF(Raw_Data!J1698=0,Raw_Data!D1698,"")</f>
        <v>3732.53</v>
      </c>
      <c r="B1698" s="3" t="str">
        <f>IF(Raw_Data!J1698=1,Raw_Data!D1698,"")</f>
        <v/>
      </c>
    </row>
    <row r="1699" spans="1:2" x14ac:dyDescent="0.25">
      <c r="A1699" s="3">
        <f>IF(Raw_Data!J1699=0,Raw_Data!D1699,"")</f>
        <v>5500.8</v>
      </c>
      <c r="B1699" s="3" t="str">
        <f>IF(Raw_Data!J1699=1,Raw_Data!D1699,"")</f>
        <v/>
      </c>
    </row>
    <row r="1700" spans="1:2" x14ac:dyDescent="0.25">
      <c r="A1700" s="3">
        <f>IF(Raw_Data!J1700=0,Raw_Data!D1700,"")</f>
        <v>1863.99</v>
      </c>
      <c r="B1700" s="3" t="str">
        <f>IF(Raw_Data!J1700=1,Raw_Data!D1700,"")</f>
        <v/>
      </c>
    </row>
    <row r="1701" spans="1:2" x14ac:dyDescent="0.25">
      <c r="A1701" s="3" t="str">
        <f>IF(Raw_Data!J1701=0,Raw_Data!D1701,"")</f>
        <v/>
      </c>
      <c r="B1701" s="3">
        <f>IF(Raw_Data!J1701=1,Raw_Data!D1701,"")</f>
        <v>1996.42</v>
      </c>
    </row>
    <row r="1702" spans="1:2" x14ac:dyDescent="0.25">
      <c r="A1702" s="3">
        <f>IF(Raw_Data!J1702=0,Raw_Data!D1702,"")</f>
        <v>734.52</v>
      </c>
      <c r="B1702" s="3" t="str">
        <f>IF(Raw_Data!J1702=1,Raw_Data!D1702,"")</f>
        <v/>
      </c>
    </row>
    <row r="1703" spans="1:2" x14ac:dyDescent="0.25">
      <c r="A1703" s="3">
        <f>IF(Raw_Data!J1703=0,Raw_Data!D1703,"")</f>
        <v>3496.94</v>
      </c>
      <c r="B1703" s="3" t="str">
        <f>IF(Raw_Data!J1703=1,Raw_Data!D1703,"")</f>
        <v/>
      </c>
    </row>
    <row r="1704" spans="1:2" x14ac:dyDescent="0.25">
      <c r="A1704" s="3">
        <f>IF(Raw_Data!J1704=0,Raw_Data!D1704,"")</f>
        <v>2284.7399999999998</v>
      </c>
      <c r="B1704" s="3" t="str">
        <f>IF(Raw_Data!J1704=1,Raw_Data!D1704,"")</f>
        <v/>
      </c>
    </row>
    <row r="1705" spans="1:2" x14ac:dyDescent="0.25">
      <c r="A1705" s="3">
        <f>IF(Raw_Data!J1705=0,Raw_Data!D1705,"")</f>
        <v>3261</v>
      </c>
      <c r="B1705" s="3" t="str">
        <f>IF(Raw_Data!J1705=1,Raw_Data!D1705,"")</f>
        <v/>
      </c>
    </row>
    <row r="1706" spans="1:2" x14ac:dyDescent="0.25">
      <c r="A1706" s="3">
        <f>IF(Raw_Data!J1706=0,Raw_Data!D1706,"")</f>
        <v>4059.48</v>
      </c>
      <c r="B1706" s="3" t="str">
        <f>IF(Raw_Data!J1706=1,Raw_Data!D1706,"")</f>
        <v/>
      </c>
    </row>
    <row r="1707" spans="1:2" x14ac:dyDescent="0.25">
      <c r="A1707" s="3">
        <f>IF(Raw_Data!J1707=0,Raw_Data!D1707,"")</f>
        <v>2754.36</v>
      </c>
      <c r="B1707" s="3" t="str">
        <f>IF(Raw_Data!J1707=1,Raw_Data!D1707,"")</f>
        <v/>
      </c>
    </row>
    <row r="1708" spans="1:2" x14ac:dyDescent="0.25">
      <c r="A1708" s="3">
        <f>IF(Raw_Data!J1708=0,Raw_Data!D1708,"")</f>
        <v>2253.77</v>
      </c>
      <c r="B1708" s="3" t="str">
        <f>IF(Raw_Data!J1708=1,Raw_Data!D1708,"")</f>
        <v/>
      </c>
    </row>
    <row r="1709" spans="1:2" x14ac:dyDescent="0.25">
      <c r="A1709" s="3" t="str">
        <f>IF(Raw_Data!J1709=0,Raw_Data!D1709,"")</f>
        <v/>
      </c>
      <c r="B1709" s="3">
        <f>IF(Raw_Data!J1709=1,Raw_Data!D1709,"")</f>
        <v>2673.62</v>
      </c>
    </row>
    <row r="1710" spans="1:2" x14ac:dyDescent="0.25">
      <c r="A1710" s="3" t="str">
        <f>IF(Raw_Data!J1710=0,Raw_Data!D1710,"")</f>
        <v/>
      </c>
      <c r="B1710" s="3">
        <f>IF(Raw_Data!J1710=1,Raw_Data!D1710,"")</f>
        <v>2417.52</v>
      </c>
    </row>
    <row r="1711" spans="1:2" x14ac:dyDescent="0.25">
      <c r="A1711" s="3">
        <f>IF(Raw_Data!J1711=0,Raw_Data!D1711,"")</f>
        <v>1960.71</v>
      </c>
      <c r="B1711" s="3" t="str">
        <f>IF(Raw_Data!J1711=1,Raw_Data!D1711,"")</f>
        <v/>
      </c>
    </row>
    <row r="1712" spans="1:2" x14ac:dyDescent="0.25">
      <c r="A1712" s="3">
        <f>IF(Raw_Data!J1712=0,Raw_Data!D1712,"")</f>
        <v>2980.86</v>
      </c>
      <c r="B1712" s="3" t="str">
        <f>IF(Raw_Data!J1712=1,Raw_Data!D1712,"")</f>
        <v/>
      </c>
    </row>
    <row r="1713" spans="1:2" x14ac:dyDescent="0.25">
      <c r="A1713" s="3" t="str">
        <f>IF(Raw_Data!J1713=0,Raw_Data!D1713,"")</f>
        <v/>
      </c>
      <c r="B1713" s="3">
        <f>IF(Raw_Data!J1713=1,Raw_Data!D1713,"")</f>
        <v>4083.55</v>
      </c>
    </row>
    <row r="1714" spans="1:2" x14ac:dyDescent="0.25">
      <c r="A1714" s="3">
        <f>IF(Raw_Data!J1714=0,Raw_Data!D1714,"")</f>
        <v>1308</v>
      </c>
      <c r="B1714" s="3" t="str">
        <f>IF(Raw_Data!J1714=1,Raw_Data!D1714,"")</f>
        <v/>
      </c>
    </row>
    <row r="1715" spans="1:2" x14ac:dyDescent="0.25">
      <c r="A1715" s="3">
        <f>IF(Raw_Data!J1715=0,Raw_Data!D1715,"")</f>
        <v>4199.1000000000004</v>
      </c>
      <c r="B1715" s="3" t="str">
        <f>IF(Raw_Data!J1715=1,Raw_Data!D1715,"")</f>
        <v/>
      </c>
    </row>
    <row r="1716" spans="1:2" x14ac:dyDescent="0.25">
      <c r="A1716" s="3">
        <f>IF(Raw_Data!J1716=0,Raw_Data!D1716,"")</f>
        <v>5424.04</v>
      </c>
      <c r="B1716" s="3" t="str">
        <f>IF(Raw_Data!J1716=1,Raw_Data!D1716,"")</f>
        <v/>
      </c>
    </row>
    <row r="1717" spans="1:2" x14ac:dyDescent="0.25">
      <c r="A1717" s="3" t="str">
        <f>IF(Raw_Data!J1717=0,Raw_Data!D1717,"")</f>
        <v/>
      </c>
      <c r="B1717" s="3">
        <f>IF(Raw_Data!J1717=1,Raw_Data!D1717,"")</f>
        <v>4151.51</v>
      </c>
    </row>
    <row r="1718" spans="1:2" x14ac:dyDescent="0.25">
      <c r="A1718" s="3" t="str">
        <f>IF(Raw_Data!J1718=0,Raw_Data!D1718,"")</f>
        <v/>
      </c>
      <c r="B1718" s="3">
        <f>IF(Raw_Data!J1718=1,Raw_Data!D1718,"")</f>
        <v>408.12</v>
      </c>
    </row>
    <row r="1719" spans="1:2" x14ac:dyDescent="0.25">
      <c r="A1719" s="3">
        <f>IF(Raw_Data!J1719=0,Raw_Data!D1719,"")</f>
        <v>5126.47</v>
      </c>
      <c r="B1719" s="3" t="str">
        <f>IF(Raw_Data!J1719=1,Raw_Data!D1719,"")</f>
        <v/>
      </c>
    </row>
    <row r="1720" spans="1:2" x14ac:dyDescent="0.25">
      <c r="A1720" s="3">
        <f>IF(Raw_Data!J1720=0,Raw_Data!D1720,"")</f>
        <v>1889.46</v>
      </c>
      <c r="B1720" s="3" t="str">
        <f>IF(Raw_Data!J1720=1,Raw_Data!D1720,"")</f>
        <v/>
      </c>
    </row>
    <row r="1721" spans="1:2" x14ac:dyDescent="0.25">
      <c r="A1721" s="3">
        <f>IF(Raw_Data!J1721=0,Raw_Data!D1721,"")</f>
        <v>6067.14</v>
      </c>
      <c r="B1721" s="3" t="str">
        <f>IF(Raw_Data!J1721=1,Raw_Data!D1721,"")</f>
        <v/>
      </c>
    </row>
    <row r="1722" spans="1:2" x14ac:dyDescent="0.25">
      <c r="A1722" s="3">
        <f>IF(Raw_Data!J1722=0,Raw_Data!D1722,"")</f>
        <v>725.31</v>
      </c>
      <c r="B1722" s="3" t="str">
        <f>IF(Raw_Data!J1722=1,Raw_Data!D1722,"")</f>
        <v/>
      </c>
    </row>
    <row r="1723" spans="1:2" x14ac:dyDescent="0.25">
      <c r="A1723" s="3">
        <f>IF(Raw_Data!J1723=0,Raw_Data!D1723,"")</f>
        <v>205.1</v>
      </c>
      <c r="B1723" s="3" t="str">
        <f>IF(Raw_Data!J1723=1,Raw_Data!D1723,"")</f>
        <v/>
      </c>
    </row>
    <row r="1724" spans="1:2" x14ac:dyDescent="0.25">
      <c r="A1724" s="3">
        <f>IF(Raw_Data!J1724=0,Raw_Data!D1724,"")</f>
        <v>2540.59</v>
      </c>
      <c r="B1724" s="3" t="str">
        <f>IF(Raw_Data!J1724=1,Raw_Data!D1724,"")</f>
        <v/>
      </c>
    </row>
    <row r="1725" spans="1:2" x14ac:dyDescent="0.25">
      <c r="A1725" s="3">
        <f>IF(Raw_Data!J1725=0,Raw_Data!D1725,"")</f>
        <v>3334.76</v>
      </c>
      <c r="B1725" s="3" t="str">
        <f>IF(Raw_Data!J1725=1,Raw_Data!D1725,"")</f>
        <v/>
      </c>
    </row>
    <row r="1726" spans="1:2" x14ac:dyDescent="0.25">
      <c r="A1726" s="3">
        <f>IF(Raw_Data!J1726=0,Raw_Data!D1726,"")</f>
        <v>4611.3900000000003</v>
      </c>
      <c r="B1726" s="3" t="str">
        <f>IF(Raw_Data!J1726=1,Raw_Data!D1726,"")</f>
        <v/>
      </c>
    </row>
    <row r="1727" spans="1:2" x14ac:dyDescent="0.25">
      <c r="A1727" s="3">
        <f>IF(Raw_Data!J1727=0,Raw_Data!D1727,"")</f>
        <v>1519.66</v>
      </c>
      <c r="B1727" s="3" t="str">
        <f>IF(Raw_Data!J1727=1,Raw_Data!D1727,"")</f>
        <v/>
      </c>
    </row>
    <row r="1728" spans="1:2" x14ac:dyDescent="0.25">
      <c r="A1728" s="3">
        <f>IF(Raw_Data!J1728=0,Raw_Data!D1728,"")</f>
        <v>3903.18</v>
      </c>
      <c r="B1728" s="3" t="str">
        <f>IF(Raw_Data!J1728=1,Raw_Data!D1728,"")</f>
        <v/>
      </c>
    </row>
    <row r="1729" spans="1:2" x14ac:dyDescent="0.25">
      <c r="A1729" s="3">
        <f>IF(Raw_Data!J1729=0,Raw_Data!D1729,"")</f>
        <v>2551.9499999999998</v>
      </c>
      <c r="B1729" s="3" t="str">
        <f>IF(Raw_Data!J1729=1,Raw_Data!D1729,"")</f>
        <v/>
      </c>
    </row>
    <row r="1730" spans="1:2" x14ac:dyDescent="0.25">
      <c r="A1730" s="3">
        <f>IF(Raw_Data!J1730=0,Raw_Data!D1730,"")</f>
        <v>2805.81</v>
      </c>
      <c r="B1730" s="3" t="str">
        <f>IF(Raw_Data!J1730=1,Raw_Data!D1730,"")</f>
        <v/>
      </c>
    </row>
    <row r="1731" spans="1:2" x14ac:dyDescent="0.25">
      <c r="A1731" s="3">
        <f>IF(Raw_Data!J1731=0,Raw_Data!D1731,"")</f>
        <v>1511.95</v>
      </c>
      <c r="B1731" s="3" t="str">
        <f>IF(Raw_Data!J1731=1,Raw_Data!D1731,"")</f>
        <v/>
      </c>
    </row>
    <row r="1732" spans="1:2" x14ac:dyDescent="0.25">
      <c r="A1732" s="3">
        <f>IF(Raw_Data!J1732=0,Raw_Data!D1732,"")</f>
        <v>10298.69</v>
      </c>
      <c r="B1732" s="3" t="str">
        <f>IF(Raw_Data!J1732=1,Raw_Data!D1732,"")</f>
        <v/>
      </c>
    </row>
    <row r="1733" spans="1:2" x14ac:dyDescent="0.25">
      <c r="A1733" s="3">
        <f>IF(Raw_Data!J1733=0,Raw_Data!D1733,"")</f>
        <v>3297.28</v>
      </c>
      <c r="B1733" s="3" t="str">
        <f>IF(Raw_Data!J1733=1,Raw_Data!D1733,"")</f>
        <v/>
      </c>
    </row>
    <row r="1734" spans="1:2" x14ac:dyDescent="0.25">
      <c r="A1734" s="3">
        <f>IF(Raw_Data!J1734=0,Raw_Data!D1734,"")</f>
        <v>1552.71</v>
      </c>
      <c r="B1734" s="3" t="str">
        <f>IF(Raw_Data!J1734=1,Raw_Data!D1734,"")</f>
        <v/>
      </c>
    </row>
    <row r="1735" spans="1:2" x14ac:dyDescent="0.25">
      <c r="A1735" s="3" t="str">
        <f>IF(Raw_Data!J1735=0,Raw_Data!D1735,"")</f>
        <v/>
      </c>
      <c r="B1735" s="3">
        <f>IF(Raw_Data!J1735=1,Raw_Data!D1735,"")</f>
        <v>237.7</v>
      </c>
    </row>
    <row r="1736" spans="1:2" x14ac:dyDescent="0.25">
      <c r="A1736" s="3" t="str">
        <f>IF(Raw_Data!J1736=0,Raw_Data!D1736,"")</f>
        <v/>
      </c>
      <c r="B1736" s="3">
        <f>IF(Raw_Data!J1736=1,Raw_Data!D1736,"")</f>
        <v>1222.45</v>
      </c>
    </row>
    <row r="1737" spans="1:2" x14ac:dyDescent="0.25">
      <c r="A1737" s="3">
        <f>IF(Raw_Data!J1737=0,Raw_Data!D1737,"")</f>
        <v>485.68</v>
      </c>
      <c r="B1737" s="3" t="str">
        <f>IF(Raw_Data!J1737=1,Raw_Data!D1737,"")</f>
        <v/>
      </c>
    </row>
    <row r="1738" spans="1:2" x14ac:dyDescent="0.25">
      <c r="A1738" s="3">
        <f>IF(Raw_Data!J1738=0,Raw_Data!D1738,"")</f>
        <v>2736.33</v>
      </c>
      <c r="B1738" s="3" t="str">
        <f>IF(Raw_Data!J1738=1,Raw_Data!D1738,"")</f>
        <v/>
      </c>
    </row>
    <row r="1739" spans="1:2" x14ac:dyDescent="0.25">
      <c r="A1739" s="3">
        <f>IF(Raw_Data!J1739=0,Raw_Data!D1739,"")</f>
        <v>999.45</v>
      </c>
      <c r="B1739" s="3" t="str">
        <f>IF(Raw_Data!J1739=1,Raw_Data!D1739,"")</f>
        <v/>
      </c>
    </row>
    <row r="1740" spans="1:2" x14ac:dyDescent="0.25">
      <c r="A1740" s="3">
        <f>IF(Raw_Data!J1740=0,Raw_Data!D1740,"")</f>
        <v>710.87</v>
      </c>
      <c r="B1740" s="3" t="str">
        <f>IF(Raw_Data!J1740=1,Raw_Data!D1740,"")</f>
        <v/>
      </c>
    </row>
    <row r="1741" spans="1:2" x14ac:dyDescent="0.25">
      <c r="A1741" s="3">
        <f>IF(Raw_Data!J1741=0,Raw_Data!D1741,"")</f>
        <v>5844.22</v>
      </c>
      <c r="B1741" s="3" t="str">
        <f>IF(Raw_Data!J1741=1,Raw_Data!D1741,"")</f>
        <v/>
      </c>
    </row>
    <row r="1742" spans="1:2" x14ac:dyDescent="0.25">
      <c r="A1742" s="3">
        <f>IF(Raw_Data!J1742=0,Raw_Data!D1742,"")</f>
        <v>1146.06</v>
      </c>
      <c r="B1742" s="3" t="str">
        <f>IF(Raw_Data!J1742=1,Raw_Data!D1742,"")</f>
        <v/>
      </c>
    </row>
    <row r="1743" spans="1:2" x14ac:dyDescent="0.25">
      <c r="A1743" s="3">
        <f>IF(Raw_Data!J1743=0,Raw_Data!D1743,"")</f>
        <v>5328.88</v>
      </c>
      <c r="B1743" s="3" t="str">
        <f>IF(Raw_Data!J1743=1,Raw_Data!D1743,"")</f>
        <v/>
      </c>
    </row>
    <row r="1744" spans="1:2" x14ac:dyDescent="0.25">
      <c r="A1744" s="3" t="str">
        <f>IF(Raw_Data!J1744=0,Raw_Data!D1744,"")</f>
        <v/>
      </c>
      <c r="B1744" s="3">
        <f>IF(Raw_Data!J1744=1,Raw_Data!D1744,"")</f>
        <v>7022.95</v>
      </c>
    </row>
    <row r="1745" spans="1:2" x14ac:dyDescent="0.25">
      <c r="A1745" s="3">
        <f>IF(Raw_Data!J1745=0,Raw_Data!D1745,"")</f>
        <v>4739.29</v>
      </c>
      <c r="B1745" s="3" t="str">
        <f>IF(Raw_Data!J1745=1,Raw_Data!D1745,"")</f>
        <v/>
      </c>
    </row>
    <row r="1746" spans="1:2" x14ac:dyDescent="0.25">
      <c r="A1746" s="3">
        <f>IF(Raw_Data!J1746=0,Raw_Data!D1746,"")</f>
        <v>2349.9499999999998</v>
      </c>
      <c r="B1746" s="3" t="str">
        <f>IF(Raw_Data!J1746=1,Raw_Data!D1746,"")</f>
        <v/>
      </c>
    </row>
    <row r="1747" spans="1:2" x14ac:dyDescent="0.25">
      <c r="A1747" s="3" t="str">
        <f>IF(Raw_Data!J1747=0,Raw_Data!D1747,"")</f>
        <v/>
      </c>
      <c r="B1747" s="3">
        <f>IF(Raw_Data!J1747=1,Raw_Data!D1747,"")</f>
        <v>1146.78</v>
      </c>
    </row>
    <row r="1748" spans="1:2" x14ac:dyDescent="0.25">
      <c r="A1748" s="3">
        <f>IF(Raw_Data!J1748=0,Raw_Data!D1748,"")</f>
        <v>4351.51</v>
      </c>
      <c r="B1748" s="3" t="str">
        <f>IF(Raw_Data!J1748=1,Raw_Data!D1748,"")</f>
        <v/>
      </c>
    </row>
    <row r="1749" spans="1:2" x14ac:dyDescent="0.25">
      <c r="A1749" s="3" t="str">
        <f>IF(Raw_Data!J1749=0,Raw_Data!D1749,"")</f>
        <v/>
      </c>
      <c r="B1749" s="3">
        <f>IF(Raw_Data!J1749=1,Raw_Data!D1749,"")</f>
        <v>1734.16</v>
      </c>
    </row>
    <row r="1750" spans="1:2" x14ac:dyDescent="0.25">
      <c r="A1750" s="3" t="str">
        <f>IF(Raw_Data!J1750=0,Raw_Data!D1750,"")</f>
        <v/>
      </c>
      <c r="B1750" s="3">
        <f>IF(Raw_Data!J1750=1,Raw_Data!D1750,"")</f>
        <v>1620.97</v>
      </c>
    </row>
    <row r="1751" spans="1:2" x14ac:dyDescent="0.25">
      <c r="A1751" s="3" t="str">
        <f>IF(Raw_Data!J1751=0,Raw_Data!D1751,"")</f>
        <v/>
      </c>
      <c r="B1751" s="3">
        <f>IF(Raw_Data!J1751=1,Raw_Data!D1751,"")</f>
        <v>6920.45</v>
      </c>
    </row>
    <row r="1752" spans="1:2" x14ac:dyDescent="0.25">
      <c r="A1752" s="3">
        <f>IF(Raw_Data!J1752=0,Raw_Data!D1752,"")</f>
        <v>2897.14</v>
      </c>
      <c r="B1752" s="3" t="str">
        <f>IF(Raw_Data!J1752=1,Raw_Data!D1752,"")</f>
        <v/>
      </c>
    </row>
    <row r="1753" spans="1:2" x14ac:dyDescent="0.25">
      <c r="A1753" s="3">
        <f>IF(Raw_Data!J1753=0,Raw_Data!D1753,"")</f>
        <v>3087.49</v>
      </c>
      <c r="B1753" s="3" t="str">
        <f>IF(Raw_Data!J1753=1,Raw_Data!D1753,"")</f>
        <v/>
      </c>
    </row>
    <row r="1754" spans="1:2" x14ac:dyDescent="0.25">
      <c r="A1754" s="3">
        <f>IF(Raw_Data!J1754=0,Raw_Data!D1754,"")</f>
        <v>2362.67</v>
      </c>
      <c r="B1754" s="3" t="str">
        <f>IF(Raw_Data!J1754=1,Raw_Data!D1754,"")</f>
        <v/>
      </c>
    </row>
    <row r="1755" spans="1:2" x14ac:dyDescent="0.25">
      <c r="A1755" s="3">
        <f>IF(Raw_Data!J1755=0,Raw_Data!D1755,"")</f>
        <v>1866.33</v>
      </c>
      <c r="B1755" s="3" t="str">
        <f>IF(Raw_Data!J1755=1,Raw_Data!D1755,"")</f>
        <v/>
      </c>
    </row>
    <row r="1756" spans="1:2" x14ac:dyDescent="0.25">
      <c r="A1756" s="3">
        <f>IF(Raw_Data!J1756=0,Raw_Data!D1756,"")</f>
        <v>1397.73</v>
      </c>
      <c r="B1756" s="3" t="str">
        <f>IF(Raw_Data!J1756=1,Raw_Data!D1756,"")</f>
        <v/>
      </c>
    </row>
    <row r="1757" spans="1:2" x14ac:dyDescent="0.25">
      <c r="A1757" s="3">
        <f>IF(Raw_Data!J1757=0,Raw_Data!D1757,"")</f>
        <v>3014.04</v>
      </c>
      <c r="B1757" s="3" t="str">
        <f>IF(Raw_Data!J1757=1,Raw_Data!D1757,"")</f>
        <v/>
      </c>
    </row>
    <row r="1758" spans="1:2" x14ac:dyDescent="0.25">
      <c r="A1758" s="3">
        <f>IF(Raw_Data!J1758=0,Raw_Data!D1758,"")</f>
        <v>2839.88</v>
      </c>
      <c r="B1758" s="3" t="str">
        <f>IF(Raw_Data!J1758=1,Raw_Data!D1758,"")</f>
        <v/>
      </c>
    </row>
    <row r="1759" spans="1:2" x14ac:dyDescent="0.25">
      <c r="A1759" s="3">
        <f>IF(Raw_Data!J1759=0,Raw_Data!D1759,"")</f>
        <v>1246.5899999999999</v>
      </c>
      <c r="B1759" s="3" t="str">
        <f>IF(Raw_Data!J1759=1,Raw_Data!D1759,"")</f>
        <v/>
      </c>
    </row>
    <row r="1760" spans="1:2" x14ac:dyDescent="0.25">
      <c r="A1760" s="3">
        <f>IF(Raw_Data!J1760=0,Raw_Data!D1760,"")</f>
        <v>457.35</v>
      </c>
      <c r="B1760" s="3" t="str">
        <f>IF(Raw_Data!J1760=1,Raw_Data!D1760,"")</f>
        <v/>
      </c>
    </row>
    <row r="1761" spans="1:2" x14ac:dyDescent="0.25">
      <c r="A1761" s="3">
        <f>IF(Raw_Data!J1761=0,Raw_Data!D1761,"")</f>
        <v>3268.81</v>
      </c>
      <c r="B1761" s="3" t="str">
        <f>IF(Raw_Data!J1761=1,Raw_Data!D1761,"")</f>
        <v/>
      </c>
    </row>
    <row r="1762" spans="1:2" x14ac:dyDescent="0.25">
      <c r="A1762" s="3" t="str">
        <f>IF(Raw_Data!J1762=0,Raw_Data!D1762,"")</f>
        <v/>
      </c>
      <c r="B1762" s="3">
        <f>IF(Raw_Data!J1762=1,Raw_Data!D1762,"")</f>
        <v>7177.21</v>
      </c>
    </row>
    <row r="1763" spans="1:2" x14ac:dyDescent="0.25">
      <c r="A1763" s="3">
        <f>IF(Raw_Data!J1763=0,Raw_Data!D1763,"")</f>
        <v>1338.86</v>
      </c>
      <c r="B1763" s="3" t="str">
        <f>IF(Raw_Data!J1763=1,Raw_Data!D1763,"")</f>
        <v/>
      </c>
    </row>
    <row r="1764" spans="1:2" x14ac:dyDescent="0.25">
      <c r="A1764" s="3">
        <f>IF(Raw_Data!J1764=0,Raw_Data!D1764,"")</f>
        <v>6911.21</v>
      </c>
      <c r="B1764" s="3" t="str">
        <f>IF(Raw_Data!J1764=1,Raw_Data!D1764,"")</f>
        <v/>
      </c>
    </row>
    <row r="1765" spans="1:2" x14ac:dyDescent="0.25">
      <c r="A1765" s="3">
        <f>IF(Raw_Data!J1765=0,Raw_Data!D1765,"")</f>
        <v>2907.82</v>
      </c>
      <c r="B1765" s="3" t="str">
        <f>IF(Raw_Data!J1765=1,Raw_Data!D1765,"")</f>
        <v/>
      </c>
    </row>
    <row r="1766" spans="1:2" x14ac:dyDescent="0.25">
      <c r="A1766" s="3">
        <f>IF(Raw_Data!J1766=0,Raw_Data!D1766,"")</f>
        <v>370.8</v>
      </c>
      <c r="B1766" s="3" t="str">
        <f>IF(Raw_Data!J1766=1,Raw_Data!D1766,"")</f>
        <v/>
      </c>
    </row>
    <row r="1767" spans="1:2" x14ac:dyDescent="0.25">
      <c r="A1767" s="3">
        <f>IF(Raw_Data!J1767=0,Raw_Data!D1767,"")</f>
        <v>1330.26</v>
      </c>
      <c r="B1767" s="3" t="str">
        <f>IF(Raw_Data!J1767=1,Raw_Data!D1767,"")</f>
        <v/>
      </c>
    </row>
    <row r="1768" spans="1:2" x14ac:dyDescent="0.25">
      <c r="A1768" s="3">
        <f>IF(Raw_Data!J1768=0,Raw_Data!D1768,"")</f>
        <v>6663.62</v>
      </c>
      <c r="B1768" s="3" t="str">
        <f>IF(Raw_Data!J1768=1,Raw_Data!D1768,"")</f>
        <v/>
      </c>
    </row>
    <row r="1769" spans="1:2" x14ac:dyDescent="0.25">
      <c r="A1769" s="3">
        <f>IF(Raw_Data!J1769=0,Raw_Data!D1769,"")</f>
        <v>5298.04</v>
      </c>
      <c r="B1769" s="3" t="str">
        <f>IF(Raw_Data!J1769=1,Raw_Data!D1769,"")</f>
        <v/>
      </c>
    </row>
    <row r="1770" spans="1:2" x14ac:dyDescent="0.25">
      <c r="A1770" s="3">
        <f>IF(Raw_Data!J1770=0,Raw_Data!D1770,"")</f>
        <v>546.33000000000004</v>
      </c>
      <c r="B1770" s="3" t="str">
        <f>IF(Raw_Data!J1770=1,Raw_Data!D1770,"")</f>
        <v/>
      </c>
    </row>
    <row r="1771" spans="1:2" x14ac:dyDescent="0.25">
      <c r="A1771" s="3">
        <f>IF(Raw_Data!J1771=0,Raw_Data!D1771,"")</f>
        <v>1153.8900000000001</v>
      </c>
      <c r="B1771" s="3" t="str">
        <f>IF(Raw_Data!J1771=1,Raw_Data!D1771,"")</f>
        <v/>
      </c>
    </row>
    <row r="1772" spans="1:2" x14ac:dyDescent="0.25">
      <c r="A1772" s="3">
        <f>IF(Raw_Data!J1772=0,Raw_Data!D1772,"")</f>
        <v>3156.17</v>
      </c>
      <c r="B1772" s="3" t="str">
        <f>IF(Raw_Data!J1772=1,Raw_Data!D1772,"")</f>
        <v/>
      </c>
    </row>
    <row r="1773" spans="1:2" x14ac:dyDescent="0.25">
      <c r="A1773" s="3">
        <f>IF(Raw_Data!J1773=0,Raw_Data!D1773,"")</f>
        <v>4008.52</v>
      </c>
      <c r="B1773" s="3" t="str">
        <f>IF(Raw_Data!J1773=1,Raw_Data!D1773,"")</f>
        <v/>
      </c>
    </row>
    <row r="1774" spans="1:2" x14ac:dyDescent="0.25">
      <c r="A1774" s="3">
        <f>IF(Raw_Data!J1774=0,Raw_Data!D1774,"")</f>
        <v>1782.22</v>
      </c>
      <c r="B1774" s="3" t="str">
        <f>IF(Raw_Data!J1774=1,Raw_Data!D1774,"")</f>
        <v/>
      </c>
    </row>
    <row r="1775" spans="1:2" x14ac:dyDescent="0.25">
      <c r="A1775" s="3">
        <f>IF(Raw_Data!J1775=0,Raw_Data!D1775,"")</f>
        <v>1455.89</v>
      </c>
      <c r="B1775" s="3" t="str">
        <f>IF(Raw_Data!J1775=1,Raw_Data!D1775,"")</f>
        <v/>
      </c>
    </row>
    <row r="1776" spans="1:2" x14ac:dyDescent="0.25">
      <c r="A1776" s="3">
        <f>IF(Raw_Data!J1776=0,Raw_Data!D1776,"")</f>
        <v>2703.31</v>
      </c>
      <c r="B1776" s="3" t="str">
        <f>IF(Raw_Data!J1776=1,Raw_Data!D1776,"")</f>
        <v/>
      </c>
    </row>
    <row r="1777" spans="1:2" x14ac:dyDescent="0.25">
      <c r="A1777" s="3">
        <f>IF(Raw_Data!J1777=0,Raw_Data!D1777,"")</f>
        <v>761.38</v>
      </c>
      <c r="B1777" s="3" t="str">
        <f>IF(Raw_Data!J1777=1,Raw_Data!D1777,"")</f>
        <v/>
      </c>
    </row>
    <row r="1778" spans="1:2" x14ac:dyDescent="0.25">
      <c r="A1778" s="3">
        <f>IF(Raw_Data!J1778=0,Raw_Data!D1778,"")</f>
        <v>1149.67</v>
      </c>
      <c r="B1778" s="3" t="str">
        <f>IF(Raw_Data!J1778=1,Raw_Data!D1778,"")</f>
        <v/>
      </c>
    </row>
    <row r="1779" spans="1:2" x14ac:dyDescent="0.25">
      <c r="A1779" s="3">
        <f>IF(Raw_Data!J1779=0,Raw_Data!D1779,"")</f>
        <v>2396.44</v>
      </c>
      <c r="B1779" s="3" t="str">
        <f>IF(Raw_Data!J1779=1,Raw_Data!D1779,"")</f>
        <v/>
      </c>
    </row>
    <row r="1780" spans="1:2" x14ac:dyDescent="0.25">
      <c r="A1780" s="3">
        <f>IF(Raw_Data!J1780=0,Raw_Data!D1780,"")</f>
        <v>2451.9499999999998</v>
      </c>
      <c r="B1780" s="3" t="str">
        <f>IF(Raw_Data!J1780=1,Raw_Data!D1780,"")</f>
        <v/>
      </c>
    </row>
    <row r="1781" spans="1:2" x14ac:dyDescent="0.25">
      <c r="A1781" s="3">
        <f>IF(Raw_Data!J1781=0,Raw_Data!D1781,"")</f>
        <v>2335.92</v>
      </c>
      <c r="B1781" s="3" t="str">
        <f>IF(Raw_Data!J1781=1,Raw_Data!D1781,"")</f>
        <v/>
      </c>
    </row>
    <row r="1782" spans="1:2" x14ac:dyDescent="0.25">
      <c r="A1782" s="3" t="str">
        <f>IF(Raw_Data!J1782=0,Raw_Data!D1782,"")</f>
        <v/>
      </c>
      <c r="B1782" s="3">
        <f>IF(Raw_Data!J1782=1,Raw_Data!D1782,"")</f>
        <v>4130.72</v>
      </c>
    </row>
    <row r="1783" spans="1:2" x14ac:dyDescent="0.25">
      <c r="A1783" s="3">
        <f>IF(Raw_Data!J1783=0,Raw_Data!D1783,"")</f>
        <v>2032.49</v>
      </c>
      <c r="B1783" s="3" t="str">
        <f>IF(Raw_Data!J1783=1,Raw_Data!D1783,"")</f>
        <v/>
      </c>
    </row>
    <row r="1784" spans="1:2" x14ac:dyDescent="0.25">
      <c r="A1784" s="3" t="str">
        <f>IF(Raw_Data!J1784=0,Raw_Data!D1784,"")</f>
        <v/>
      </c>
      <c r="B1784" s="3">
        <f>IF(Raw_Data!J1784=1,Raw_Data!D1784,"")</f>
        <v>2444.71</v>
      </c>
    </row>
    <row r="1785" spans="1:2" x14ac:dyDescent="0.25">
      <c r="A1785" s="3" t="str">
        <f>IF(Raw_Data!J1785=0,Raw_Data!D1785,"")</f>
        <v/>
      </c>
      <c r="B1785" s="3">
        <f>IF(Raw_Data!J1785=1,Raw_Data!D1785,"")</f>
        <v>648.16</v>
      </c>
    </row>
    <row r="1786" spans="1:2" x14ac:dyDescent="0.25">
      <c r="A1786" s="3">
        <f>IF(Raw_Data!J1786=0,Raw_Data!D1786,"")</f>
        <v>2688.38</v>
      </c>
      <c r="B1786" s="3" t="str">
        <f>IF(Raw_Data!J1786=1,Raw_Data!D1786,"")</f>
        <v/>
      </c>
    </row>
    <row r="1787" spans="1:2" x14ac:dyDescent="0.25">
      <c r="A1787" s="3">
        <f>IF(Raw_Data!J1787=0,Raw_Data!D1787,"")</f>
        <v>1688.5</v>
      </c>
      <c r="B1787" s="3" t="str">
        <f>IF(Raw_Data!J1787=1,Raw_Data!D1787,"")</f>
        <v/>
      </c>
    </row>
    <row r="1788" spans="1:2" x14ac:dyDescent="0.25">
      <c r="A1788" s="3">
        <f>IF(Raw_Data!J1788=0,Raw_Data!D1788,"")</f>
        <v>3541.2</v>
      </c>
      <c r="B1788" s="3" t="str">
        <f>IF(Raw_Data!J1788=1,Raw_Data!D1788,"")</f>
        <v/>
      </c>
    </row>
    <row r="1789" spans="1:2" x14ac:dyDescent="0.25">
      <c r="A1789" s="3">
        <f>IF(Raw_Data!J1789=0,Raw_Data!D1789,"")</f>
        <v>2961.41</v>
      </c>
      <c r="B1789" s="3" t="str">
        <f>IF(Raw_Data!J1789=1,Raw_Data!D1789,"")</f>
        <v/>
      </c>
    </row>
    <row r="1790" spans="1:2" x14ac:dyDescent="0.25">
      <c r="A1790" s="3">
        <f>IF(Raw_Data!J1790=0,Raw_Data!D1790,"")</f>
        <v>4563.6899999999996</v>
      </c>
      <c r="B1790" s="3" t="str">
        <f>IF(Raw_Data!J1790=1,Raw_Data!D1790,"")</f>
        <v/>
      </c>
    </row>
    <row r="1791" spans="1:2" x14ac:dyDescent="0.25">
      <c r="A1791" s="3" t="str">
        <f>IF(Raw_Data!J1791=0,Raw_Data!D1791,"")</f>
        <v/>
      </c>
      <c r="B1791" s="3">
        <f>IF(Raw_Data!J1791=1,Raw_Data!D1791,"")</f>
        <v>1709.88</v>
      </c>
    </row>
    <row r="1792" spans="1:2" x14ac:dyDescent="0.25">
      <c r="A1792" s="3">
        <f>IF(Raw_Data!J1792=0,Raw_Data!D1792,"")</f>
        <v>4511.1000000000004</v>
      </c>
      <c r="B1792" s="3" t="str">
        <f>IF(Raw_Data!J1792=1,Raw_Data!D1792,"")</f>
        <v/>
      </c>
    </row>
    <row r="1793" spans="1:2" x14ac:dyDescent="0.25">
      <c r="A1793" s="3">
        <f>IF(Raw_Data!J1793=0,Raw_Data!D1793,"")</f>
        <v>4420.5</v>
      </c>
      <c r="B1793" s="3" t="str">
        <f>IF(Raw_Data!J1793=1,Raw_Data!D1793,"")</f>
        <v/>
      </c>
    </row>
    <row r="1794" spans="1:2" x14ac:dyDescent="0.25">
      <c r="A1794" s="3">
        <f>IF(Raw_Data!J1794=0,Raw_Data!D1794,"")</f>
        <v>1333.56</v>
      </c>
      <c r="B1794" s="3" t="str">
        <f>IF(Raw_Data!J1794=1,Raw_Data!D1794,"")</f>
        <v/>
      </c>
    </row>
    <row r="1795" spans="1:2" x14ac:dyDescent="0.25">
      <c r="A1795" s="3">
        <f>IF(Raw_Data!J1795=0,Raw_Data!D1795,"")</f>
        <v>5287.9</v>
      </c>
      <c r="B1795" s="3" t="str">
        <f>IF(Raw_Data!J1795=1,Raw_Data!D1795,"")</f>
        <v/>
      </c>
    </row>
    <row r="1796" spans="1:2" x14ac:dyDescent="0.25">
      <c r="A1796" s="3" t="str">
        <f>IF(Raw_Data!J1796=0,Raw_Data!D1796,"")</f>
        <v/>
      </c>
      <c r="B1796" s="3">
        <f>IF(Raw_Data!J1796=1,Raw_Data!D1796,"")</f>
        <v>2293.11</v>
      </c>
    </row>
    <row r="1797" spans="1:2" x14ac:dyDescent="0.25">
      <c r="A1797" s="3">
        <f>IF(Raw_Data!J1797=0,Raw_Data!D1797,"")</f>
        <v>6215.78</v>
      </c>
      <c r="B1797" s="3" t="str">
        <f>IF(Raw_Data!J1797=1,Raw_Data!D1797,"")</f>
        <v/>
      </c>
    </row>
    <row r="1798" spans="1:2" x14ac:dyDescent="0.25">
      <c r="A1798" s="3">
        <f>IF(Raw_Data!J1798=0,Raw_Data!D1798,"")</f>
        <v>3286.86</v>
      </c>
      <c r="B1798" s="3" t="str">
        <f>IF(Raw_Data!J1798=1,Raw_Data!D1798,"")</f>
        <v/>
      </c>
    </row>
    <row r="1799" spans="1:2" x14ac:dyDescent="0.25">
      <c r="A1799" s="3">
        <f>IF(Raw_Data!J1799=0,Raw_Data!D1799,"")</f>
        <v>2864.62</v>
      </c>
      <c r="B1799" s="3" t="str">
        <f>IF(Raw_Data!J1799=1,Raw_Data!D1799,"")</f>
        <v/>
      </c>
    </row>
    <row r="1800" spans="1:2" x14ac:dyDescent="0.25">
      <c r="A1800" s="3">
        <f>IF(Raw_Data!J1800=0,Raw_Data!D1800,"")</f>
        <v>640.44000000000005</v>
      </c>
      <c r="B1800" s="3" t="str">
        <f>IF(Raw_Data!J1800=1,Raw_Data!D1800,"")</f>
        <v/>
      </c>
    </row>
    <row r="1801" spans="1:2" x14ac:dyDescent="0.25">
      <c r="A1801" s="3">
        <f>IF(Raw_Data!J1801=0,Raw_Data!D1801,"")</f>
        <v>1997.65</v>
      </c>
      <c r="B1801" s="3" t="str">
        <f>IF(Raw_Data!J1801=1,Raw_Data!D1801,"")</f>
        <v/>
      </c>
    </row>
    <row r="1802" spans="1:2" x14ac:dyDescent="0.25">
      <c r="A1802" s="3">
        <f>IF(Raw_Data!J1802=0,Raw_Data!D1802,"")</f>
        <v>1109.55</v>
      </c>
      <c r="B1802" s="3" t="str">
        <f>IF(Raw_Data!J1802=1,Raw_Data!D1802,"")</f>
        <v/>
      </c>
    </row>
    <row r="1803" spans="1:2" x14ac:dyDescent="0.25">
      <c r="A1803" s="3" t="str">
        <f>IF(Raw_Data!J1803=0,Raw_Data!D1803,"")</f>
        <v/>
      </c>
      <c r="B1803" s="3">
        <f>IF(Raw_Data!J1803=1,Raw_Data!D1803,"")</f>
        <v>2439.4</v>
      </c>
    </row>
    <row r="1804" spans="1:2" x14ac:dyDescent="0.25">
      <c r="A1804" s="3">
        <f>IF(Raw_Data!J1804=0,Raw_Data!D1804,"")</f>
        <v>963.96</v>
      </c>
      <c r="B1804" s="3" t="str">
        <f>IF(Raw_Data!J1804=1,Raw_Data!D1804,"")</f>
        <v/>
      </c>
    </row>
    <row r="1805" spans="1:2" x14ac:dyDescent="0.25">
      <c r="A1805" s="3">
        <f>IF(Raw_Data!J1805=0,Raw_Data!D1805,"")</f>
        <v>3091.55</v>
      </c>
      <c r="B1805" s="3" t="str">
        <f>IF(Raw_Data!J1805=1,Raw_Data!D1805,"")</f>
        <v/>
      </c>
    </row>
    <row r="1806" spans="1:2" x14ac:dyDescent="0.25">
      <c r="A1806" s="3" t="str">
        <f>IF(Raw_Data!J1806=0,Raw_Data!D1806,"")</f>
        <v/>
      </c>
      <c r="B1806" s="3">
        <f>IF(Raw_Data!J1806=1,Raw_Data!D1806,"")</f>
        <v>1398.27</v>
      </c>
    </row>
    <row r="1807" spans="1:2" x14ac:dyDescent="0.25">
      <c r="A1807" s="3">
        <f>IF(Raw_Data!J1807=0,Raw_Data!D1807,"")</f>
        <v>2901.73</v>
      </c>
      <c r="B1807" s="3" t="str">
        <f>IF(Raw_Data!J1807=1,Raw_Data!D1807,"")</f>
        <v/>
      </c>
    </row>
    <row r="1808" spans="1:2" x14ac:dyDescent="0.25">
      <c r="A1808" s="3">
        <f>IF(Raw_Data!J1808=0,Raw_Data!D1808,"")</f>
        <v>2127</v>
      </c>
      <c r="B1808" s="3" t="str">
        <f>IF(Raw_Data!J1808=1,Raw_Data!D1808,"")</f>
        <v/>
      </c>
    </row>
    <row r="1809" spans="1:2" x14ac:dyDescent="0.25">
      <c r="A1809" s="3">
        <f>IF(Raw_Data!J1809=0,Raw_Data!D1809,"")</f>
        <v>1127.51</v>
      </c>
      <c r="B1809" s="3" t="str">
        <f>IF(Raw_Data!J1809=1,Raw_Data!D1809,"")</f>
        <v/>
      </c>
    </row>
    <row r="1810" spans="1:2" x14ac:dyDescent="0.25">
      <c r="A1810" s="3">
        <f>IF(Raw_Data!J1810=0,Raw_Data!D1810,"")</f>
        <v>414.84</v>
      </c>
      <c r="B1810" s="3" t="str">
        <f>IF(Raw_Data!J1810=1,Raw_Data!D1810,"")</f>
        <v/>
      </c>
    </row>
    <row r="1811" spans="1:2" x14ac:dyDescent="0.25">
      <c r="A1811" s="3">
        <f>IF(Raw_Data!J1811=0,Raw_Data!D1811,"")</f>
        <v>1696.84</v>
      </c>
      <c r="B1811" s="3" t="str">
        <f>IF(Raw_Data!J1811=1,Raw_Data!D1811,"")</f>
        <v/>
      </c>
    </row>
    <row r="1812" spans="1:2" x14ac:dyDescent="0.25">
      <c r="A1812" s="3">
        <f>IF(Raw_Data!J1812=0,Raw_Data!D1812,"")</f>
        <v>984.81</v>
      </c>
      <c r="B1812" s="3" t="str">
        <f>IF(Raw_Data!J1812=1,Raw_Data!D1812,"")</f>
        <v/>
      </c>
    </row>
    <row r="1813" spans="1:2" x14ac:dyDescent="0.25">
      <c r="A1813" s="3">
        <f>IF(Raw_Data!J1813=0,Raw_Data!D1813,"")</f>
        <v>6245.95</v>
      </c>
      <c r="B1813" s="3" t="str">
        <f>IF(Raw_Data!J1813=1,Raw_Data!D1813,"")</f>
        <v/>
      </c>
    </row>
    <row r="1814" spans="1:2" x14ac:dyDescent="0.25">
      <c r="A1814" s="3" t="str">
        <f>IF(Raw_Data!J1814=0,Raw_Data!D1814,"")</f>
        <v/>
      </c>
      <c r="B1814" s="3">
        <f>IF(Raw_Data!J1814=1,Raw_Data!D1814,"")</f>
        <v>920.97</v>
      </c>
    </row>
    <row r="1815" spans="1:2" x14ac:dyDescent="0.25">
      <c r="A1815" s="3">
        <f>IF(Raw_Data!J1815=0,Raw_Data!D1815,"")</f>
        <v>1332.1</v>
      </c>
      <c r="B1815" s="3" t="str">
        <f>IF(Raw_Data!J1815=1,Raw_Data!D1815,"")</f>
        <v/>
      </c>
    </row>
    <row r="1816" spans="1:2" x14ac:dyDescent="0.25">
      <c r="A1816" s="3">
        <f>IF(Raw_Data!J1816=0,Raw_Data!D1816,"")</f>
        <v>1688.41</v>
      </c>
      <c r="B1816" s="3" t="str">
        <f>IF(Raw_Data!J1816=1,Raw_Data!D1816,"")</f>
        <v/>
      </c>
    </row>
    <row r="1817" spans="1:2" x14ac:dyDescent="0.25">
      <c r="A1817" s="3">
        <f>IF(Raw_Data!J1817=0,Raw_Data!D1817,"")</f>
        <v>2596.89</v>
      </c>
      <c r="B1817" s="3" t="str">
        <f>IF(Raw_Data!J1817=1,Raw_Data!D1817,"")</f>
        <v/>
      </c>
    </row>
    <row r="1818" spans="1:2" x14ac:dyDescent="0.25">
      <c r="A1818" s="3">
        <f>IF(Raw_Data!J1818=0,Raw_Data!D1818,"")</f>
        <v>778.29</v>
      </c>
      <c r="B1818" s="3" t="str">
        <f>IF(Raw_Data!J1818=1,Raw_Data!D1818,"")</f>
        <v/>
      </c>
    </row>
    <row r="1819" spans="1:2" x14ac:dyDescent="0.25">
      <c r="A1819" s="3" t="str">
        <f>IF(Raw_Data!J1819=0,Raw_Data!D1819,"")</f>
        <v/>
      </c>
      <c r="B1819" s="3">
        <f>IF(Raw_Data!J1819=1,Raw_Data!D1819,"")</f>
        <v>2888.64</v>
      </c>
    </row>
    <row r="1820" spans="1:2" x14ac:dyDescent="0.25">
      <c r="A1820" s="3">
        <f>IF(Raw_Data!J1820=0,Raw_Data!D1820,"")</f>
        <v>4494.12</v>
      </c>
      <c r="B1820" s="3" t="str">
        <f>IF(Raw_Data!J1820=1,Raw_Data!D1820,"")</f>
        <v/>
      </c>
    </row>
    <row r="1821" spans="1:2" x14ac:dyDescent="0.25">
      <c r="A1821" s="3">
        <f>IF(Raw_Data!J1821=0,Raw_Data!D1821,"")</f>
        <v>4467.5200000000004</v>
      </c>
      <c r="B1821" s="3" t="str">
        <f>IF(Raw_Data!J1821=1,Raw_Data!D1821,"")</f>
        <v/>
      </c>
    </row>
    <row r="1822" spans="1:2" x14ac:dyDescent="0.25">
      <c r="A1822" s="3">
        <f>IF(Raw_Data!J1822=0,Raw_Data!D1822,"")</f>
        <v>447.69</v>
      </c>
      <c r="B1822" s="3" t="str">
        <f>IF(Raw_Data!J1822=1,Raw_Data!D1822,"")</f>
        <v/>
      </c>
    </row>
    <row r="1823" spans="1:2" x14ac:dyDescent="0.25">
      <c r="A1823" s="3">
        <f>IF(Raw_Data!J1823=0,Raw_Data!D1823,"")</f>
        <v>413.96</v>
      </c>
      <c r="B1823" s="3" t="str">
        <f>IF(Raw_Data!J1823=1,Raw_Data!D1823,"")</f>
        <v/>
      </c>
    </row>
    <row r="1824" spans="1:2" x14ac:dyDescent="0.25">
      <c r="A1824" s="3" t="str">
        <f>IF(Raw_Data!J1824=0,Raw_Data!D1824,"")</f>
        <v/>
      </c>
      <c r="B1824" s="3">
        <f>IF(Raw_Data!J1824=1,Raw_Data!D1824,"")</f>
        <v>1602.5</v>
      </c>
    </row>
    <row r="1825" spans="1:2" x14ac:dyDescent="0.25">
      <c r="A1825" s="3" t="str">
        <f>IF(Raw_Data!J1825=0,Raw_Data!D1825,"")</f>
        <v/>
      </c>
      <c r="B1825" s="3">
        <f>IF(Raw_Data!J1825=1,Raw_Data!D1825,"")</f>
        <v>1127.19</v>
      </c>
    </row>
    <row r="1826" spans="1:2" x14ac:dyDescent="0.25">
      <c r="A1826" s="3">
        <f>IF(Raw_Data!J1826=0,Raw_Data!D1826,"")</f>
        <v>1396.91</v>
      </c>
      <c r="B1826" s="3" t="str">
        <f>IF(Raw_Data!J1826=1,Raw_Data!D1826,"")</f>
        <v/>
      </c>
    </row>
    <row r="1827" spans="1:2" x14ac:dyDescent="0.25">
      <c r="A1827" s="3">
        <f>IF(Raw_Data!J1827=0,Raw_Data!D1827,"")</f>
        <v>1404.11</v>
      </c>
      <c r="B1827" s="3" t="str">
        <f>IF(Raw_Data!J1827=1,Raw_Data!D1827,"")</f>
        <v/>
      </c>
    </row>
    <row r="1828" spans="1:2" x14ac:dyDescent="0.25">
      <c r="A1828" s="3">
        <f>IF(Raw_Data!J1828=0,Raw_Data!D1828,"")</f>
        <v>266.79000000000002</v>
      </c>
      <c r="B1828" s="3" t="str">
        <f>IF(Raw_Data!J1828=1,Raw_Data!D1828,"")</f>
        <v/>
      </c>
    </row>
    <row r="1829" spans="1:2" x14ac:dyDescent="0.25">
      <c r="A1829" s="3">
        <f>IF(Raw_Data!J1829=0,Raw_Data!D1829,"")</f>
        <v>237.75</v>
      </c>
      <c r="B1829" s="3" t="str">
        <f>IF(Raw_Data!J1829=1,Raw_Data!D1829,"")</f>
        <v/>
      </c>
    </row>
    <row r="1830" spans="1:2" x14ac:dyDescent="0.25">
      <c r="A1830" s="3">
        <f>IF(Raw_Data!J1830=0,Raw_Data!D1830,"")</f>
        <v>1110.8399999999999</v>
      </c>
      <c r="B1830" s="3" t="str">
        <f>IF(Raw_Data!J1830=1,Raw_Data!D1830,"")</f>
        <v/>
      </c>
    </row>
    <row r="1831" spans="1:2" x14ac:dyDescent="0.25">
      <c r="A1831" s="3">
        <f>IF(Raw_Data!J1831=0,Raw_Data!D1831,"")</f>
        <v>2773.88</v>
      </c>
      <c r="B1831" s="3" t="str">
        <f>IF(Raw_Data!J1831=1,Raw_Data!D1831,"")</f>
        <v/>
      </c>
    </row>
    <row r="1832" spans="1:2" x14ac:dyDescent="0.25">
      <c r="A1832" s="3">
        <f>IF(Raw_Data!J1832=0,Raw_Data!D1832,"")</f>
        <v>3990.71</v>
      </c>
      <c r="B1832" s="3" t="str">
        <f>IF(Raw_Data!J1832=1,Raw_Data!D1832,"")</f>
        <v/>
      </c>
    </row>
    <row r="1833" spans="1:2" x14ac:dyDescent="0.25">
      <c r="A1833" s="3">
        <f>IF(Raw_Data!J1833=0,Raw_Data!D1833,"")</f>
        <v>1839.21</v>
      </c>
      <c r="B1833" s="3" t="str">
        <f>IF(Raw_Data!J1833=1,Raw_Data!D1833,"")</f>
        <v/>
      </c>
    </row>
    <row r="1834" spans="1:2" x14ac:dyDescent="0.25">
      <c r="A1834" s="3">
        <f>IF(Raw_Data!J1834=0,Raw_Data!D1834,"")</f>
        <v>504.09</v>
      </c>
      <c r="B1834" s="3" t="str">
        <f>IF(Raw_Data!J1834=1,Raw_Data!D1834,"")</f>
        <v/>
      </c>
    </row>
    <row r="1835" spans="1:2" x14ac:dyDescent="0.25">
      <c r="A1835" s="3">
        <f>IF(Raw_Data!J1835=0,Raw_Data!D1835,"")</f>
        <v>8446.67</v>
      </c>
      <c r="B1835" s="3" t="str">
        <f>IF(Raw_Data!J1835=1,Raw_Data!D1835,"")</f>
        <v/>
      </c>
    </row>
    <row r="1836" spans="1:2" x14ac:dyDescent="0.25">
      <c r="A1836" s="3">
        <f>IF(Raw_Data!J1836=0,Raw_Data!D1836,"")</f>
        <v>2493.3200000000002</v>
      </c>
      <c r="B1836" s="3" t="str">
        <f>IF(Raw_Data!J1836=1,Raw_Data!D1836,"")</f>
        <v/>
      </c>
    </row>
    <row r="1837" spans="1:2" x14ac:dyDescent="0.25">
      <c r="A1837" s="3">
        <f>IF(Raw_Data!J1837=0,Raw_Data!D1837,"")</f>
        <v>2517.9699999999998</v>
      </c>
      <c r="B1837" s="3" t="str">
        <f>IF(Raw_Data!J1837=1,Raw_Data!D1837,"")</f>
        <v/>
      </c>
    </row>
    <row r="1838" spans="1:2" x14ac:dyDescent="0.25">
      <c r="A1838" s="3">
        <f>IF(Raw_Data!J1838=0,Raw_Data!D1838,"")</f>
        <v>2174.48</v>
      </c>
      <c r="B1838" s="3" t="str">
        <f>IF(Raw_Data!J1838=1,Raw_Data!D1838,"")</f>
        <v/>
      </c>
    </row>
    <row r="1839" spans="1:2" x14ac:dyDescent="0.25">
      <c r="A1839" s="3">
        <f>IF(Raw_Data!J1839=0,Raw_Data!D1839,"")</f>
        <v>4635.59</v>
      </c>
      <c r="B1839" s="3" t="str">
        <f>IF(Raw_Data!J1839=1,Raw_Data!D1839,"")</f>
        <v/>
      </c>
    </row>
    <row r="1840" spans="1:2" x14ac:dyDescent="0.25">
      <c r="A1840" s="3">
        <f>IF(Raw_Data!J1840=0,Raw_Data!D1840,"")</f>
        <v>3721.9</v>
      </c>
      <c r="B1840" s="3" t="str">
        <f>IF(Raw_Data!J1840=1,Raw_Data!D1840,"")</f>
        <v/>
      </c>
    </row>
    <row r="1841" spans="1:2" x14ac:dyDescent="0.25">
      <c r="A1841" s="3">
        <f>IF(Raw_Data!J1841=0,Raw_Data!D1841,"")</f>
        <v>3682.68</v>
      </c>
      <c r="B1841" s="3" t="str">
        <f>IF(Raw_Data!J1841=1,Raw_Data!D1841,"")</f>
        <v/>
      </c>
    </row>
    <row r="1842" spans="1:2" x14ac:dyDescent="0.25">
      <c r="A1842" s="3">
        <f>IF(Raw_Data!J1842=0,Raw_Data!D1842,"")</f>
        <v>6270.81</v>
      </c>
      <c r="B1842" s="3" t="str">
        <f>IF(Raw_Data!J1842=1,Raw_Data!D1842,"")</f>
        <v/>
      </c>
    </row>
    <row r="1843" spans="1:2" x14ac:dyDescent="0.25">
      <c r="A1843" s="3">
        <f>IF(Raw_Data!J1843=0,Raw_Data!D1843,"")</f>
        <v>6414.32</v>
      </c>
      <c r="B1843" s="3" t="str">
        <f>IF(Raw_Data!J1843=1,Raw_Data!D1843,"")</f>
        <v/>
      </c>
    </row>
    <row r="1844" spans="1:2" x14ac:dyDescent="0.25">
      <c r="A1844" s="3" t="str">
        <f>IF(Raw_Data!J1844=0,Raw_Data!D1844,"")</f>
        <v/>
      </c>
      <c r="B1844" s="3">
        <f>IF(Raw_Data!J1844=1,Raw_Data!D1844,"")</f>
        <v>1399.73</v>
      </c>
    </row>
    <row r="1845" spans="1:2" x14ac:dyDescent="0.25">
      <c r="A1845" s="3">
        <f>IF(Raw_Data!J1845=0,Raw_Data!D1845,"")</f>
        <v>4601.79</v>
      </c>
      <c r="B1845" s="3" t="str">
        <f>IF(Raw_Data!J1845=1,Raw_Data!D1845,"")</f>
        <v/>
      </c>
    </row>
    <row r="1846" spans="1:2" x14ac:dyDescent="0.25">
      <c r="A1846" s="3">
        <f>IF(Raw_Data!J1846=0,Raw_Data!D1846,"")</f>
        <v>4226.12</v>
      </c>
      <c r="B1846" s="3" t="str">
        <f>IF(Raw_Data!J1846=1,Raw_Data!D1846,"")</f>
        <v/>
      </c>
    </row>
    <row r="1847" spans="1:2" x14ac:dyDescent="0.25">
      <c r="A1847" s="3">
        <f>IF(Raw_Data!J1847=0,Raw_Data!D1847,"")</f>
        <v>340.31</v>
      </c>
      <c r="B1847" s="3" t="str">
        <f>IF(Raw_Data!J1847=1,Raw_Data!D1847,"")</f>
        <v/>
      </c>
    </row>
    <row r="1848" spans="1:2" x14ac:dyDescent="0.25">
      <c r="A1848" s="3">
        <f>IF(Raw_Data!J1848=0,Raw_Data!D1848,"")</f>
        <v>3397.3</v>
      </c>
      <c r="B1848" s="3" t="str">
        <f>IF(Raw_Data!J1848=1,Raw_Data!D1848,"")</f>
        <v/>
      </c>
    </row>
    <row r="1849" spans="1:2" x14ac:dyDescent="0.25">
      <c r="A1849" s="3">
        <f>IF(Raw_Data!J1849=0,Raw_Data!D1849,"")</f>
        <v>3222.48</v>
      </c>
      <c r="B1849" s="3" t="str">
        <f>IF(Raw_Data!J1849=1,Raw_Data!D1849,"")</f>
        <v/>
      </c>
    </row>
    <row r="1850" spans="1:2" x14ac:dyDescent="0.25">
      <c r="A1850" s="3">
        <f>IF(Raw_Data!J1850=0,Raw_Data!D1850,"")</f>
        <v>1746.71</v>
      </c>
      <c r="B1850" s="3" t="str">
        <f>IF(Raw_Data!J1850=1,Raw_Data!D1850,"")</f>
        <v/>
      </c>
    </row>
    <row r="1851" spans="1:2" x14ac:dyDescent="0.25">
      <c r="A1851" s="3">
        <f>IF(Raw_Data!J1851=0,Raw_Data!D1851,"")</f>
        <v>5221.5200000000004</v>
      </c>
      <c r="B1851" s="3" t="str">
        <f>IF(Raw_Data!J1851=1,Raw_Data!D1851,"")</f>
        <v/>
      </c>
    </row>
    <row r="1852" spans="1:2" x14ac:dyDescent="0.25">
      <c r="A1852" s="3">
        <f>IF(Raw_Data!J1852=0,Raw_Data!D1852,"")</f>
        <v>2627.35</v>
      </c>
      <c r="B1852" s="3" t="str">
        <f>IF(Raw_Data!J1852=1,Raw_Data!D1852,"")</f>
        <v/>
      </c>
    </row>
    <row r="1853" spans="1:2" x14ac:dyDescent="0.25">
      <c r="A1853" s="3" t="str">
        <f>IF(Raw_Data!J1853=0,Raw_Data!D1853,"")</f>
        <v/>
      </c>
      <c r="B1853" s="3">
        <f>IF(Raw_Data!J1853=1,Raw_Data!D1853,"")</f>
        <v>1271.4000000000001</v>
      </c>
    </row>
    <row r="1854" spans="1:2" x14ac:dyDescent="0.25">
      <c r="A1854" s="3">
        <f>IF(Raw_Data!J1854=0,Raw_Data!D1854,"")</f>
        <v>1886.03</v>
      </c>
      <c r="B1854" s="3" t="str">
        <f>IF(Raw_Data!J1854=1,Raw_Data!D1854,"")</f>
        <v/>
      </c>
    </row>
    <row r="1855" spans="1:2" x14ac:dyDescent="0.25">
      <c r="A1855" s="3">
        <f>IF(Raw_Data!J1855=0,Raw_Data!D1855,"")</f>
        <v>6630.65</v>
      </c>
      <c r="B1855" s="3" t="str">
        <f>IF(Raw_Data!J1855=1,Raw_Data!D1855,"")</f>
        <v/>
      </c>
    </row>
    <row r="1856" spans="1:2" x14ac:dyDescent="0.25">
      <c r="A1856" s="3" t="str">
        <f>IF(Raw_Data!J1856=0,Raw_Data!D1856,"")</f>
        <v/>
      </c>
      <c r="B1856" s="3">
        <f>IF(Raw_Data!J1856=1,Raw_Data!D1856,"")</f>
        <v>1531.21</v>
      </c>
    </row>
    <row r="1857" spans="1:2" x14ac:dyDescent="0.25">
      <c r="A1857" s="3">
        <f>IF(Raw_Data!J1857=0,Raw_Data!D1857,"")</f>
        <v>2404.85</v>
      </c>
      <c r="B1857" s="3" t="str">
        <f>IF(Raw_Data!J1857=1,Raw_Data!D1857,"")</f>
        <v/>
      </c>
    </row>
    <row r="1858" spans="1:2" x14ac:dyDescent="0.25">
      <c r="A1858" s="3">
        <f>IF(Raw_Data!J1858=0,Raw_Data!D1858,"")</f>
        <v>6551.73</v>
      </c>
      <c r="B1858" s="3" t="str">
        <f>IF(Raw_Data!J1858=1,Raw_Data!D1858,"")</f>
        <v/>
      </c>
    </row>
    <row r="1859" spans="1:2" x14ac:dyDescent="0.25">
      <c r="A1859" s="3">
        <f>IF(Raw_Data!J1859=0,Raw_Data!D1859,"")</f>
        <v>451.44</v>
      </c>
      <c r="B1859" s="3" t="str">
        <f>IF(Raw_Data!J1859=1,Raw_Data!D1859,"")</f>
        <v/>
      </c>
    </row>
    <row r="1860" spans="1:2" x14ac:dyDescent="0.25">
      <c r="A1860" s="3">
        <f>IF(Raw_Data!J1860=0,Raw_Data!D1860,"")</f>
        <v>2366.4499999999998</v>
      </c>
      <c r="B1860" s="3" t="str">
        <f>IF(Raw_Data!J1860=1,Raw_Data!D1860,"")</f>
        <v/>
      </c>
    </row>
    <row r="1861" spans="1:2" x14ac:dyDescent="0.25">
      <c r="A1861" s="3">
        <f>IF(Raw_Data!J1861=0,Raw_Data!D1861,"")</f>
        <v>4192.68</v>
      </c>
      <c r="B1861" s="3" t="str">
        <f>IF(Raw_Data!J1861=1,Raw_Data!D1861,"")</f>
        <v/>
      </c>
    </row>
    <row r="1862" spans="1:2" x14ac:dyDescent="0.25">
      <c r="A1862" s="3">
        <f>IF(Raw_Data!J1862=0,Raw_Data!D1862,"")</f>
        <v>1492.95</v>
      </c>
      <c r="B1862" s="3" t="str">
        <f>IF(Raw_Data!J1862=1,Raw_Data!D1862,"")</f>
        <v/>
      </c>
    </row>
    <row r="1863" spans="1:2" x14ac:dyDescent="0.25">
      <c r="A1863" s="3">
        <f>IF(Raw_Data!J1863=0,Raw_Data!D1863,"")</f>
        <v>5471.29</v>
      </c>
      <c r="B1863" s="3" t="str">
        <f>IF(Raw_Data!J1863=1,Raw_Data!D1863,"")</f>
        <v/>
      </c>
    </row>
    <row r="1864" spans="1:2" x14ac:dyDescent="0.25">
      <c r="A1864" s="3">
        <f>IF(Raw_Data!J1864=0,Raw_Data!D1864,"")</f>
        <v>1674.88</v>
      </c>
      <c r="B1864" s="3" t="str">
        <f>IF(Raw_Data!J1864=1,Raw_Data!D1864,"")</f>
        <v/>
      </c>
    </row>
    <row r="1865" spans="1:2" x14ac:dyDescent="0.25">
      <c r="A1865" s="3">
        <f>IF(Raw_Data!J1865=0,Raw_Data!D1865,"")</f>
        <v>862.38</v>
      </c>
      <c r="B1865" s="3" t="str">
        <f>IF(Raw_Data!J1865=1,Raw_Data!D1865,"")</f>
        <v/>
      </c>
    </row>
    <row r="1866" spans="1:2" x14ac:dyDescent="0.25">
      <c r="A1866" s="3">
        <f>IF(Raw_Data!J1866=0,Raw_Data!D1866,"")</f>
        <v>577.59</v>
      </c>
      <c r="B1866" s="3" t="str">
        <f>IF(Raw_Data!J1866=1,Raw_Data!D1866,"")</f>
        <v/>
      </c>
    </row>
    <row r="1867" spans="1:2" x14ac:dyDescent="0.25">
      <c r="A1867" s="3">
        <f>IF(Raw_Data!J1867=0,Raw_Data!D1867,"")</f>
        <v>1518.24</v>
      </c>
      <c r="B1867" s="3" t="str">
        <f>IF(Raw_Data!J1867=1,Raw_Data!D1867,"")</f>
        <v/>
      </c>
    </row>
    <row r="1868" spans="1:2" x14ac:dyDescent="0.25">
      <c r="A1868" s="3">
        <f>IF(Raw_Data!J1868=0,Raw_Data!D1868,"")</f>
        <v>3008.53</v>
      </c>
      <c r="B1868" s="3" t="str">
        <f>IF(Raw_Data!J1868=1,Raw_Data!D1868,"")</f>
        <v/>
      </c>
    </row>
    <row r="1869" spans="1:2" x14ac:dyDescent="0.25">
      <c r="A1869" s="3">
        <f>IF(Raw_Data!J1869=0,Raw_Data!D1869,"")</f>
        <v>647.44000000000005</v>
      </c>
      <c r="B1869" s="3" t="str">
        <f>IF(Raw_Data!J1869=1,Raw_Data!D1869,"")</f>
        <v/>
      </c>
    </row>
    <row r="1870" spans="1:2" x14ac:dyDescent="0.25">
      <c r="A1870" s="3">
        <f>IF(Raw_Data!J1870=0,Raw_Data!D1870,"")</f>
        <v>3102.02</v>
      </c>
      <c r="B1870" s="3" t="str">
        <f>IF(Raw_Data!J1870=1,Raw_Data!D1870,"")</f>
        <v/>
      </c>
    </row>
    <row r="1871" spans="1:2" x14ac:dyDescent="0.25">
      <c r="A1871" s="3">
        <f>IF(Raw_Data!J1871=0,Raw_Data!D1871,"")</f>
        <v>4081.04</v>
      </c>
      <c r="B1871" s="3" t="str">
        <f>IF(Raw_Data!J1871=1,Raw_Data!D1871,"")</f>
        <v/>
      </c>
    </row>
    <row r="1872" spans="1:2" x14ac:dyDescent="0.25">
      <c r="A1872" s="3">
        <f>IF(Raw_Data!J1872=0,Raw_Data!D1872,"")</f>
        <v>1594.28</v>
      </c>
      <c r="B1872" s="3" t="str">
        <f>IF(Raw_Data!J1872=1,Raw_Data!D1872,"")</f>
        <v/>
      </c>
    </row>
    <row r="1873" spans="1:2" x14ac:dyDescent="0.25">
      <c r="A1873" s="3">
        <f>IF(Raw_Data!J1873=0,Raw_Data!D1873,"")</f>
        <v>1889.59</v>
      </c>
      <c r="B1873" s="3" t="str">
        <f>IF(Raw_Data!J1873=1,Raw_Data!D1873,"")</f>
        <v/>
      </c>
    </row>
    <row r="1874" spans="1:2" x14ac:dyDescent="0.25">
      <c r="A1874" s="3">
        <f>IF(Raw_Data!J1874=0,Raw_Data!D1874,"")</f>
        <v>1661.18</v>
      </c>
      <c r="B1874" s="3" t="str">
        <f>IF(Raw_Data!J1874=1,Raw_Data!D1874,"")</f>
        <v/>
      </c>
    </row>
    <row r="1875" spans="1:2" x14ac:dyDescent="0.25">
      <c r="A1875" s="3">
        <f>IF(Raw_Data!J1875=0,Raw_Data!D1875,"")</f>
        <v>1226.94</v>
      </c>
      <c r="B1875" s="3" t="str">
        <f>IF(Raw_Data!J1875=1,Raw_Data!D1875,"")</f>
        <v/>
      </c>
    </row>
    <row r="1876" spans="1:2" x14ac:dyDescent="0.25">
      <c r="A1876" s="3">
        <f>IF(Raw_Data!J1876=0,Raw_Data!D1876,"")</f>
        <v>1857.98</v>
      </c>
      <c r="B1876" s="3" t="str">
        <f>IF(Raw_Data!J1876=1,Raw_Data!D1876,"")</f>
        <v/>
      </c>
    </row>
    <row r="1877" spans="1:2" x14ac:dyDescent="0.25">
      <c r="A1877" s="3">
        <f>IF(Raw_Data!J1877=0,Raw_Data!D1877,"")</f>
        <v>1053.53</v>
      </c>
      <c r="B1877" s="3" t="str">
        <f>IF(Raw_Data!J1877=1,Raw_Data!D1877,"")</f>
        <v/>
      </c>
    </row>
    <row r="1878" spans="1:2" x14ac:dyDescent="0.25">
      <c r="A1878" s="3">
        <f>IF(Raw_Data!J1878=0,Raw_Data!D1878,"")</f>
        <v>2092.23</v>
      </c>
      <c r="B1878" s="3" t="str">
        <f>IF(Raw_Data!J1878=1,Raw_Data!D1878,"")</f>
        <v/>
      </c>
    </row>
    <row r="1879" spans="1:2" x14ac:dyDescent="0.25">
      <c r="A1879" s="3">
        <f>IF(Raw_Data!J1879=0,Raw_Data!D1879,"")</f>
        <v>4074.83</v>
      </c>
      <c r="B1879" s="3" t="str">
        <f>IF(Raw_Data!J1879=1,Raw_Data!D1879,"")</f>
        <v/>
      </c>
    </row>
    <row r="1880" spans="1:2" x14ac:dyDescent="0.25">
      <c r="A1880" s="3">
        <f>IF(Raw_Data!J1880=0,Raw_Data!D1880,"")</f>
        <v>3595.78</v>
      </c>
      <c r="B1880" s="3" t="str">
        <f>IF(Raw_Data!J1880=1,Raw_Data!D1880,"")</f>
        <v/>
      </c>
    </row>
    <row r="1881" spans="1:2" x14ac:dyDescent="0.25">
      <c r="A1881" s="3">
        <f>IF(Raw_Data!J1881=0,Raw_Data!D1881,"")</f>
        <v>667.21</v>
      </c>
      <c r="B1881" s="3" t="str">
        <f>IF(Raw_Data!J1881=1,Raw_Data!D1881,"")</f>
        <v/>
      </c>
    </row>
    <row r="1882" spans="1:2" x14ac:dyDescent="0.25">
      <c r="A1882" s="3">
        <f>IF(Raw_Data!J1882=0,Raw_Data!D1882,"")</f>
        <v>3645.43</v>
      </c>
      <c r="B1882" s="3" t="str">
        <f>IF(Raw_Data!J1882=1,Raw_Data!D1882,"")</f>
        <v/>
      </c>
    </row>
    <row r="1883" spans="1:2" x14ac:dyDescent="0.25">
      <c r="A1883" s="3">
        <f>IF(Raw_Data!J1883=0,Raw_Data!D1883,"")</f>
        <v>2541.34</v>
      </c>
      <c r="B1883" s="3" t="str">
        <f>IF(Raw_Data!J1883=1,Raw_Data!D1883,"")</f>
        <v/>
      </c>
    </row>
    <row r="1884" spans="1:2" x14ac:dyDescent="0.25">
      <c r="A1884" s="3">
        <f>IF(Raw_Data!J1884=0,Raw_Data!D1884,"")</f>
        <v>1721.25</v>
      </c>
      <c r="B1884" s="3" t="str">
        <f>IF(Raw_Data!J1884=1,Raw_Data!D1884,"")</f>
        <v/>
      </c>
    </row>
    <row r="1885" spans="1:2" x14ac:dyDescent="0.25">
      <c r="A1885" s="3" t="str">
        <f>IF(Raw_Data!J1885=0,Raw_Data!D1885,"")</f>
        <v/>
      </c>
      <c r="B1885" s="3">
        <f>IF(Raw_Data!J1885=1,Raw_Data!D1885,"")</f>
        <v>2506.86</v>
      </c>
    </row>
    <row r="1886" spans="1:2" x14ac:dyDescent="0.25">
      <c r="A1886" s="3">
        <f>IF(Raw_Data!J1886=0,Raw_Data!D1886,"")</f>
        <v>5884.9</v>
      </c>
      <c r="B1886" s="3" t="str">
        <f>IF(Raw_Data!J1886=1,Raw_Data!D1886,"")</f>
        <v/>
      </c>
    </row>
    <row r="1887" spans="1:2" x14ac:dyDescent="0.25">
      <c r="A1887" s="3">
        <f>IF(Raw_Data!J1887=0,Raw_Data!D1887,"")</f>
        <v>2900.06</v>
      </c>
      <c r="B1887" s="3" t="str">
        <f>IF(Raw_Data!J1887=1,Raw_Data!D1887,"")</f>
        <v/>
      </c>
    </row>
    <row r="1888" spans="1:2" x14ac:dyDescent="0.25">
      <c r="A1888" s="3">
        <f>IF(Raw_Data!J1888=0,Raw_Data!D1888,"")</f>
        <v>1556.3</v>
      </c>
      <c r="B1888" s="3" t="str">
        <f>IF(Raw_Data!J1888=1,Raw_Data!D1888,"")</f>
        <v/>
      </c>
    </row>
    <row r="1889" spans="1:2" x14ac:dyDescent="0.25">
      <c r="A1889" s="3" t="str">
        <f>IF(Raw_Data!J1889=0,Raw_Data!D1889,"")</f>
        <v/>
      </c>
      <c r="B1889" s="3">
        <f>IF(Raw_Data!J1889=1,Raw_Data!D1889,"")</f>
        <v>4242.83</v>
      </c>
    </row>
    <row r="1890" spans="1:2" x14ac:dyDescent="0.25">
      <c r="A1890" s="3">
        <f>IF(Raw_Data!J1890=0,Raw_Data!D1890,"")</f>
        <v>2426.1999999999998</v>
      </c>
      <c r="B1890" s="3" t="str">
        <f>IF(Raw_Data!J1890=1,Raw_Data!D1890,"")</f>
        <v/>
      </c>
    </row>
    <row r="1891" spans="1:2" x14ac:dyDescent="0.25">
      <c r="A1891" s="3">
        <f>IF(Raw_Data!J1891=0,Raw_Data!D1891,"")</f>
        <v>1930.73</v>
      </c>
      <c r="B1891" s="3" t="str">
        <f>IF(Raw_Data!J1891=1,Raw_Data!D1891,"")</f>
        <v/>
      </c>
    </row>
    <row r="1892" spans="1:2" x14ac:dyDescent="0.25">
      <c r="A1892" s="3" t="str">
        <f>IF(Raw_Data!J1892=0,Raw_Data!D1892,"")</f>
        <v/>
      </c>
      <c r="B1892" s="3">
        <f>IF(Raw_Data!J1892=1,Raw_Data!D1892,"")</f>
        <v>815.21</v>
      </c>
    </row>
    <row r="1893" spans="1:2" x14ac:dyDescent="0.25">
      <c r="A1893" s="3" t="str">
        <f>IF(Raw_Data!J1893=0,Raw_Data!D1893,"")</f>
        <v/>
      </c>
      <c r="B1893" s="3">
        <f>IF(Raw_Data!J1893=1,Raw_Data!D1893,"")</f>
        <v>8039.05</v>
      </c>
    </row>
    <row r="1894" spans="1:2" x14ac:dyDescent="0.25">
      <c r="A1894" s="3">
        <f>IF(Raw_Data!J1894=0,Raw_Data!D1894,"")</f>
        <v>1873.77</v>
      </c>
      <c r="B1894" s="3" t="str">
        <f>IF(Raw_Data!J1894=1,Raw_Data!D1894,"")</f>
        <v/>
      </c>
    </row>
    <row r="1895" spans="1:2" x14ac:dyDescent="0.25">
      <c r="A1895" s="3">
        <f>IF(Raw_Data!J1895=0,Raw_Data!D1895,"")</f>
        <v>2584.0700000000002</v>
      </c>
      <c r="B1895" s="3" t="str">
        <f>IF(Raw_Data!J1895=1,Raw_Data!D1895,"")</f>
        <v/>
      </c>
    </row>
    <row r="1896" spans="1:2" x14ac:dyDescent="0.25">
      <c r="A1896" s="3" t="str">
        <f>IF(Raw_Data!J1896=0,Raw_Data!D1896,"")</f>
        <v/>
      </c>
      <c r="B1896" s="3">
        <f>IF(Raw_Data!J1896=1,Raw_Data!D1896,"")</f>
        <v>6145.38</v>
      </c>
    </row>
    <row r="1897" spans="1:2" x14ac:dyDescent="0.25">
      <c r="A1897" s="3">
        <f>IF(Raw_Data!J1897=0,Raw_Data!D1897,"")</f>
        <v>1942.18</v>
      </c>
      <c r="B1897" s="3" t="str">
        <f>IF(Raw_Data!J1897=1,Raw_Data!D1897,"")</f>
        <v/>
      </c>
    </row>
    <row r="1898" spans="1:2" x14ac:dyDescent="0.25">
      <c r="A1898" s="3">
        <f>IF(Raw_Data!J1898=0,Raw_Data!D1898,"")</f>
        <v>3948.82</v>
      </c>
      <c r="B1898" s="3" t="str">
        <f>IF(Raw_Data!J1898=1,Raw_Data!D1898,"")</f>
        <v/>
      </c>
    </row>
    <row r="1899" spans="1:2" x14ac:dyDescent="0.25">
      <c r="A1899" s="3">
        <f>IF(Raw_Data!J1899=0,Raw_Data!D1899,"")</f>
        <v>1257.21</v>
      </c>
      <c r="B1899" s="3" t="str">
        <f>IF(Raw_Data!J1899=1,Raw_Data!D1899,"")</f>
        <v/>
      </c>
    </row>
    <row r="1900" spans="1:2" x14ac:dyDescent="0.25">
      <c r="A1900" s="3">
        <f>IF(Raw_Data!J1900=0,Raw_Data!D1900,"")</f>
        <v>196.02</v>
      </c>
      <c r="B1900" s="3" t="str">
        <f>IF(Raw_Data!J1900=1,Raw_Data!D1900,"")</f>
        <v/>
      </c>
    </row>
    <row r="1901" spans="1:2" x14ac:dyDescent="0.25">
      <c r="A1901" s="3">
        <f>IF(Raw_Data!J1901=0,Raw_Data!D1901,"")</f>
        <v>3135.1</v>
      </c>
      <c r="B1901" s="3" t="str">
        <f>IF(Raw_Data!J1901=1,Raw_Data!D1901,"")</f>
        <v/>
      </c>
    </row>
    <row r="1902" spans="1:2" x14ac:dyDescent="0.25">
      <c r="A1902" s="3">
        <f>IF(Raw_Data!J1902=0,Raw_Data!D1902,"")</f>
        <v>4297.05</v>
      </c>
      <c r="B1902" s="3" t="str">
        <f>IF(Raw_Data!J1902=1,Raw_Data!D1902,"")</f>
        <v/>
      </c>
    </row>
    <row r="1903" spans="1:2" x14ac:dyDescent="0.25">
      <c r="A1903" s="3">
        <f>IF(Raw_Data!J1903=0,Raw_Data!D1903,"")</f>
        <v>1841.24</v>
      </c>
      <c r="B1903" s="3" t="str">
        <f>IF(Raw_Data!J1903=1,Raw_Data!D1903,"")</f>
        <v/>
      </c>
    </row>
    <row r="1904" spans="1:2" x14ac:dyDescent="0.25">
      <c r="A1904" s="3">
        <f>IF(Raw_Data!J1904=0,Raw_Data!D1904,"")</f>
        <v>3531.91</v>
      </c>
      <c r="B1904" s="3" t="str">
        <f>IF(Raw_Data!J1904=1,Raw_Data!D1904,"")</f>
        <v/>
      </c>
    </row>
    <row r="1905" spans="1:2" x14ac:dyDescent="0.25">
      <c r="A1905" s="3">
        <f>IF(Raw_Data!J1905=0,Raw_Data!D1905,"")</f>
        <v>2568.94</v>
      </c>
      <c r="B1905" s="3" t="str">
        <f>IF(Raw_Data!J1905=1,Raw_Data!D1905,"")</f>
        <v/>
      </c>
    </row>
    <row r="1906" spans="1:2" x14ac:dyDescent="0.25">
      <c r="A1906" s="3">
        <f>IF(Raw_Data!J1906=0,Raw_Data!D1906,"")</f>
        <v>2440.91</v>
      </c>
      <c r="B1906" s="3" t="str">
        <f>IF(Raw_Data!J1906=1,Raw_Data!D1906,"")</f>
        <v/>
      </c>
    </row>
    <row r="1907" spans="1:2" x14ac:dyDescent="0.25">
      <c r="A1907" s="3">
        <f>IF(Raw_Data!J1907=0,Raw_Data!D1907,"")</f>
        <v>6147.13</v>
      </c>
      <c r="B1907" s="3" t="str">
        <f>IF(Raw_Data!J1907=1,Raw_Data!D1907,"")</f>
        <v/>
      </c>
    </row>
    <row r="1908" spans="1:2" x14ac:dyDescent="0.25">
      <c r="A1908" s="3">
        <f>IF(Raw_Data!J1908=0,Raw_Data!D1908,"")</f>
        <v>5841.98</v>
      </c>
      <c r="B1908" s="3" t="str">
        <f>IF(Raw_Data!J1908=1,Raw_Data!D1908,"")</f>
        <v/>
      </c>
    </row>
    <row r="1909" spans="1:2" x14ac:dyDescent="0.25">
      <c r="A1909" s="3">
        <f>IF(Raw_Data!J1909=0,Raw_Data!D1909,"")</f>
        <v>4386.8999999999996</v>
      </c>
      <c r="B1909" s="3" t="str">
        <f>IF(Raw_Data!J1909=1,Raw_Data!D1909,"")</f>
        <v/>
      </c>
    </row>
    <row r="1910" spans="1:2" x14ac:dyDescent="0.25">
      <c r="A1910" s="3">
        <f>IF(Raw_Data!J1910=0,Raw_Data!D1910,"")</f>
        <v>3153.46</v>
      </c>
      <c r="B1910" s="3" t="str">
        <f>IF(Raw_Data!J1910=1,Raw_Data!D1910,"")</f>
        <v/>
      </c>
    </row>
    <row r="1911" spans="1:2" x14ac:dyDescent="0.25">
      <c r="A1911" s="3">
        <f>IF(Raw_Data!J1911=0,Raw_Data!D1911,"")</f>
        <v>473.38</v>
      </c>
      <c r="B1911" s="3" t="str">
        <f>IF(Raw_Data!J1911=1,Raw_Data!D1911,"")</f>
        <v/>
      </c>
    </row>
    <row r="1912" spans="1:2" x14ac:dyDescent="0.25">
      <c r="A1912" s="3">
        <f>IF(Raw_Data!J1912=0,Raw_Data!D1912,"")</f>
        <v>3642.67</v>
      </c>
      <c r="B1912" s="3" t="str">
        <f>IF(Raw_Data!J1912=1,Raw_Data!D1912,"")</f>
        <v/>
      </c>
    </row>
    <row r="1913" spans="1:2" x14ac:dyDescent="0.25">
      <c r="A1913" s="3">
        <f>IF(Raw_Data!J1913=0,Raw_Data!D1913,"")</f>
        <v>1557.7</v>
      </c>
      <c r="B1913" s="3" t="str">
        <f>IF(Raw_Data!J1913=1,Raw_Data!D1913,"")</f>
        <v/>
      </c>
    </row>
    <row r="1914" spans="1:2" x14ac:dyDescent="0.25">
      <c r="A1914" s="3" t="str">
        <f>IF(Raw_Data!J1914=0,Raw_Data!D1914,"")</f>
        <v/>
      </c>
      <c r="B1914" s="3">
        <f>IF(Raw_Data!J1914=1,Raw_Data!D1914,"")</f>
        <v>194.41</v>
      </c>
    </row>
    <row r="1915" spans="1:2" x14ac:dyDescent="0.25">
      <c r="A1915" s="3">
        <f>IF(Raw_Data!J1915=0,Raw_Data!D1915,"")</f>
        <v>3523.9</v>
      </c>
      <c r="B1915" s="3" t="str">
        <f>IF(Raw_Data!J1915=1,Raw_Data!D1915,"")</f>
        <v/>
      </c>
    </row>
    <row r="1916" spans="1:2" x14ac:dyDescent="0.25">
      <c r="A1916" s="3" t="str">
        <f>IF(Raw_Data!J1916=0,Raw_Data!D1916,"")</f>
        <v/>
      </c>
      <c r="B1916" s="3">
        <f>IF(Raw_Data!J1916=1,Raw_Data!D1916,"")</f>
        <v>3234.17</v>
      </c>
    </row>
    <row r="1917" spans="1:2" x14ac:dyDescent="0.25">
      <c r="A1917" s="3">
        <f>IF(Raw_Data!J1917=0,Raw_Data!D1917,"")</f>
        <v>1116.02</v>
      </c>
      <c r="B1917" s="3" t="str">
        <f>IF(Raw_Data!J1917=1,Raw_Data!D1917,"")</f>
        <v/>
      </c>
    </row>
    <row r="1918" spans="1:2" x14ac:dyDescent="0.25">
      <c r="A1918" s="3">
        <f>IF(Raw_Data!J1918=0,Raw_Data!D1918,"")</f>
        <v>1220.01</v>
      </c>
      <c r="B1918" s="3" t="str">
        <f>IF(Raw_Data!J1918=1,Raw_Data!D1918,"")</f>
        <v/>
      </c>
    </row>
    <row r="1919" spans="1:2" x14ac:dyDescent="0.25">
      <c r="A1919" s="3">
        <f>IF(Raw_Data!J1919=0,Raw_Data!D1919,"")</f>
        <v>609.41999999999996</v>
      </c>
      <c r="B1919" s="3" t="str">
        <f>IF(Raw_Data!J1919=1,Raw_Data!D1919,"")</f>
        <v/>
      </c>
    </row>
    <row r="1920" spans="1:2" x14ac:dyDescent="0.25">
      <c r="A1920" s="3">
        <f>IF(Raw_Data!J1920=0,Raw_Data!D1920,"")</f>
        <v>2985.38</v>
      </c>
      <c r="B1920" s="3" t="str">
        <f>IF(Raw_Data!J1920=1,Raw_Data!D1920,"")</f>
        <v/>
      </c>
    </row>
    <row r="1921" spans="1:2" x14ac:dyDescent="0.25">
      <c r="A1921" s="3">
        <f>IF(Raw_Data!J1921=0,Raw_Data!D1921,"")</f>
        <v>2886.31</v>
      </c>
      <c r="B1921" s="3" t="str">
        <f>IF(Raw_Data!J1921=1,Raw_Data!D1921,"")</f>
        <v/>
      </c>
    </row>
    <row r="1922" spans="1:2" x14ac:dyDescent="0.25">
      <c r="A1922" s="3">
        <f>IF(Raw_Data!J1922=0,Raw_Data!D1922,"")</f>
        <v>4517.97</v>
      </c>
      <c r="B1922" s="3" t="str">
        <f>IF(Raw_Data!J1922=1,Raw_Data!D1922,"")</f>
        <v/>
      </c>
    </row>
    <row r="1923" spans="1:2" x14ac:dyDescent="0.25">
      <c r="A1923" s="3" t="str">
        <f>IF(Raw_Data!J1923=0,Raw_Data!D1923,"")</f>
        <v/>
      </c>
      <c r="B1923" s="3">
        <f>IF(Raw_Data!J1923=1,Raw_Data!D1923,"")</f>
        <v>2100.79</v>
      </c>
    </row>
    <row r="1924" spans="1:2" x14ac:dyDescent="0.25">
      <c r="A1924" s="3">
        <f>IF(Raw_Data!J1924=0,Raw_Data!D1924,"")</f>
        <v>4132.5600000000004</v>
      </c>
      <c r="B1924" s="3" t="str">
        <f>IF(Raw_Data!J1924=1,Raw_Data!D1924,"")</f>
        <v/>
      </c>
    </row>
    <row r="1925" spans="1:2" x14ac:dyDescent="0.25">
      <c r="A1925" s="3" t="str">
        <f>IF(Raw_Data!J1925=0,Raw_Data!D1925,"")</f>
        <v/>
      </c>
      <c r="B1925" s="3">
        <f>IF(Raw_Data!J1925=1,Raw_Data!D1925,"")</f>
        <v>5816.92</v>
      </c>
    </row>
    <row r="1926" spans="1:2" x14ac:dyDescent="0.25">
      <c r="A1926" s="3">
        <f>IF(Raw_Data!J1926=0,Raw_Data!D1926,"")</f>
        <v>8943.59</v>
      </c>
      <c r="B1926" s="3" t="str">
        <f>IF(Raw_Data!J1926=1,Raw_Data!D1926,"")</f>
        <v/>
      </c>
    </row>
    <row r="1927" spans="1:2" x14ac:dyDescent="0.25">
      <c r="A1927" s="3">
        <f>IF(Raw_Data!J1927=0,Raw_Data!D1927,"")</f>
        <v>8161.15</v>
      </c>
      <c r="B1927" s="3" t="str">
        <f>IF(Raw_Data!J1927=1,Raw_Data!D1927,"")</f>
        <v/>
      </c>
    </row>
    <row r="1928" spans="1:2" x14ac:dyDescent="0.25">
      <c r="A1928" s="3">
        <f>IF(Raw_Data!J1928=0,Raw_Data!D1928,"")</f>
        <v>1371.16</v>
      </c>
      <c r="B1928" s="3" t="str">
        <f>IF(Raw_Data!J1928=1,Raw_Data!D1928,"")</f>
        <v/>
      </c>
    </row>
    <row r="1929" spans="1:2" x14ac:dyDescent="0.25">
      <c r="A1929" s="3" t="str">
        <f>IF(Raw_Data!J1929=0,Raw_Data!D1929,"")</f>
        <v/>
      </c>
      <c r="B1929" s="3">
        <f>IF(Raw_Data!J1929=1,Raw_Data!D1929,"")</f>
        <v>4349.2</v>
      </c>
    </row>
    <row r="1930" spans="1:2" x14ac:dyDescent="0.25">
      <c r="A1930" s="3">
        <f>IF(Raw_Data!J1930=0,Raw_Data!D1930,"")</f>
        <v>2596.2600000000002</v>
      </c>
      <c r="B1930" s="3" t="str">
        <f>IF(Raw_Data!J1930=1,Raw_Data!D1930,"")</f>
        <v/>
      </c>
    </row>
    <row r="1931" spans="1:2" x14ac:dyDescent="0.25">
      <c r="A1931" s="3">
        <f>IF(Raw_Data!J1931=0,Raw_Data!D1931,"")</f>
        <v>991.16</v>
      </c>
      <c r="B1931" s="3" t="str">
        <f>IF(Raw_Data!J1931=1,Raw_Data!D1931,"")</f>
        <v/>
      </c>
    </row>
    <row r="1932" spans="1:2" x14ac:dyDescent="0.25">
      <c r="A1932" s="3">
        <f>IF(Raw_Data!J1932=0,Raw_Data!D1932,"")</f>
        <v>5671.59</v>
      </c>
      <c r="B1932" s="3" t="str">
        <f>IF(Raw_Data!J1932=1,Raw_Data!D1932,"")</f>
        <v/>
      </c>
    </row>
    <row r="1933" spans="1:2" x14ac:dyDescent="0.25">
      <c r="A1933" s="3">
        <f>IF(Raw_Data!J1933=0,Raw_Data!D1933,"")</f>
        <v>8010.71</v>
      </c>
      <c r="B1933" s="3" t="str">
        <f>IF(Raw_Data!J1933=1,Raw_Data!D1933,"")</f>
        <v/>
      </c>
    </row>
    <row r="1934" spans="1:2" x14ac:dyDescent="0.25">
      <c r="A1934" s="3" t="str">
        <f>IF(Raw_Data!J1934=0,Raw_Data!D1934,"")</f>
        <v/>
      </c>
      <c r="B1934" s="3">
        <f>IF(Raw_Data!J1934=1,Raw_Data!D1934,"")</f>
        <v>1088.68</v>
      </c>
    </row>
    <row r="1935" spans="1:2" x14ac:dyDescent="0.25">
      <c r="A1935" s="3" t="str">
        <f>IF(Raw_Data!J1935=0,Raw_Data!D1935,"")</f>
        <v/>
      </c>
      <c r="B1935" s="3">
        <f>IF(Raw_Data!J1935=1,Raw_Data!D1935,"")</f>
        <v>1147.77</v>
      </c>
    </row>
    <row r="1936" spans="1:2" x14ac:dyDescent="0.25">
      <c r="A1936" s="3">
        <f>IF(Raw_Data!J1936=0,Raw_Data!D1936,"")</f>
        <v>2147.73</v>
      </c>
      <c r="B1936" s="3" t="str">
        <f>IF(Raw_Data!J1936=1,Raw_Data!D1936,"")</f>
        <v/>
      </c>
    </row>
    <row r="1937" spans="1:2" x14ac:dyDescent="0.25">
      <c r="A1937" s="3">
        <f>IF(Raw_Data!J1937=0,Raw_Data!D1937,"")</f>
        <v>3455.52</v>
      </c>
      <c r="B1937" s="3" t="str">
        <f>IF(Raw_Data!J1937=1,Raw_Data!D1937,"")</f>
        <v/>
      </c>
    </row>
    <row r="1938" spans="1:2" x14ac:dyDescent="0.25">
      <c r="A1938" s="3">
        <f>IF(Raw_Data!J1938=0,Raw_Data!D1938,"")</f>
        <v>561.38</v>
      </c>
      <c r="B1938" s="3" t="str">
        <f>IF(Raw_Data!J1938=1,Raw_Data!D1938,"")</f>
        <v/>
      </c>
    </row>
    <row r="1939" spans="1:2" x14ac:dyDescent="0.25">
      <c r="A1939" s="3" t="str">
        <f>IF(Raw_Data!J1939=0,Raw_Data!D1939,"")</f>
        <v/>
      </c>
      <c r="B1939" s="3">
        <f>IF(Raw_Data!J1939=1,Raw_Data!D1939,"")</f>
        <v>1785.19</v>
      </c>
    </row>
    <row r="1940" spans="1:2" x14ac:dyDescent="0.25">
      <c r="A1940" s="3">
        <f>IF(Raw_Data!J1940=0,Raw_Data!D1940,"")</f>
        <v>2692.58</v>
      </c>
      <c r="B1940" s="3" t="str">
        <f>IF(Raw_Data!J1940=1,Raw_Data!D1940,"")</f>
        <v/>
      </c>
    </row>
    <row r="1941" spans="1:2" x14ac:dyDescent="0.25">
      <c r="A1941" s="3">
        <f>IF(Raw_Data!J1941=0,Raw_Data!D1941,"")</f>
        <v>4530.09</v>
      </c>
      <c r="B1941" s="3" t="str">
        <f>IF(Raw_Data!J1941=1,Raw_Data!D1941,"")</f>
        <v/>
      </c>
    </row>
    <row r="1942" spans="1:2" x14ac:dyDescent="0.25">
      <c r="A1942" s="3">
        <f>IF(Raw_Data!J1942=0,Raw_Data!D1942,"")</f>
        <v>8029.98</v>
      </c>
      <c r="B1942" s="3" t="str">
        <f>IF(Raw_Data!J1942=1,Raw_Data!D1942,"")</f>
        <v/>
      </c>
    </row>
    <row r="1943" spans="1:2" x14ac:dyDescent="0.25">
      <c r="A1943" s="3">
        <f>IF(Raw_Data!J1943=0,Raw_Data!D1943,"")</f>
        <v>2426.4499999999998</v>
      </c>
      <c r="B1943" s="3" t="str">
        <f>IF(Raw_Data!J1943=1,Raw_Data!D1943,"")</f>
        <v/>
      </c>
    </row>
    <row r="1944" spans="1:2" x14ac:dyDescent="0.25">
      <c r="A1944" s="3">
        <f>IF(Raw_Data!J1944=0,Raw_Data!D1944,"")</f>
        <v>4561.17</v>
      </c>
      <c r="B1944" s="3" t="str">
        <f>IF(Raw_Data!J1944=1,Raw_Data!D1944,"")</f>
        <v/>
      </c>
    </row>
    <row r="1945" spans="1:2" x14ac:dyDescent="0.25">
      <c r="A1945" s="3">
        <f>IF(Raw_Data!J1945=0,Raw_Data!D1945,"")</f>
        <v>1163.8499999999999</v>
      </c>
      <c r="B1945" s="3" t="str">
        <f>IF(Raw_Data!J1945=1,Raw_Data!D1945,"")</f>
        <v/>
      </c>
    </row>
    <row r="1946" spans="1:2" x14ac:dyDescent="0.25">
      <c r="A1946" s="3">
        <f>IF(Raw_Data!J1946=0,Raw_Data!D1946,"")</f>
        <v>1483.1</v>
      </c>
      <c r="B1946" s="3" t="str">
        <f>IF(Raw_Data!J1946=1,Raw_Data!D1946,"")</f>
        <v/>
      </c>
    </row>
    <row r="1947" spans="1:2" x14ac:dyDescent="0.25">
      <c r="A1947" s="3">
        <f>IF(Raw_Data!J1947=0,Raw_Data!D1947,"")</f>
        <v>527.17999999999995</v>
      </c>
      <c r="B1947" s="3" t="str">
        <f>IF(Raw_Data!J1947=1,Raw_Data!D1947,"")</f>
        <v/>
      </c>
    </row>
    <row r="1948" spans="1:2" x14ac:dyDescent="0.25">
      <c r="A1948" s="3">
        <f>IF(Raw_Data!J1948=0,Raw_Data!D1948,"")</f>
        <v>2039.9</v>
      </c>
      <c r="B1948" s="3" t="str">
        <f>IF(Raw_Data!J1948=1,Raw_Data!D1948,"")</f>
        <v/>
      </c>
    </row>
    <row r="1949" spans="1:2" x14ac:dyDescent="0.25">
      <c r="A1949" s="3">
        <f>IF(Raw_Data!J1949=0,Raw_Data!D1949,"")</f>
        <v>916.83</v>
      </c>
      <c r="B1949" s="3" t="str">
        <f>IF(Raw_Data!J1949=1,Raw_Data!D1949,"")</f>
        <v/>
      </c>
    </row>
    <row r="1950" spans="1:2" x14ac:dyDescent="0.25">
      <c r="A1950" s="3">
        <f>IF(Raw_Data!J1950=0,Raw_Data!D1950,"")</f>
        <v>1862.27</v>
      </c>
      <c r="B1950" s="3" t="str">
        <f>IF(Raw_Data!J1950=1,Raw_Data!D1950,"")</f>
        <v/>
      </c>
    </row>
    <row r="1951" spans="1:2" x14ac:dyDescent="0.25">
      <c r="A1951" s="3" t="str">
        <f>IF(Raw_Data!J1951=0,Raw_Data!D1951,"")</f>
        <v/>
      </c>
      <c r="B1951" s="3">
        <f>IF(Raw_Data!J1951=1,Raw_Data!D1951,"")</f>
        <v>3887.44</v>
      </c>
    </row>
    <row r="1952" spans="1:2" x14ac:dyDescent="0.25">
      <c r="A1952" s="3">
        <f>IF(Raw_Data!J1952=0,Raw_Data!D1952,"")</f>
        <v>5208.2700000000004</v>
      </c>
      <c r="B1952" s="3" t="str">
        <f>IF(Raw_Data!J1952=1,Raw_Data!D1952,"")</f>
        <v/>
      </c>
    </row>
    <row r="1953" spans="1:2" x14ac:dyDescent="0.25">
      <c r="A1953" s="3" t="str">
        <f>IF(Raw_Data!J1953=0,Raw_Data!D1953,"")</f>
        <v/>
      </c>
      <c r="B1953" s="3">
        <f>IF(Raw_Data!J1953=1,Raw_Data!D1953,"")</f>
        <v>808.02</v>
      </c>
    </row>
    <row r="1954" spans="1:2" x14ac:dyDescent="0.25">
      <c r="A1954" s="3" t="str">
        <f>IF(Raw_Data!J1954=0,Raw_Data!D1954,"")</f>
        <v/>
      </c>
      <c r="B1954" s="3">
        <f>IF(Raw_Data!J1954=1,Raw_Data!D1954,"")</f>
        <v>3477.83</v>
      </c>
    </row>
    <row r="1955" spans="1:2" x14ac:dyDescent="0.25">
      <c r="A1955" s="3" t="str">
        <f>IF(Raw_Data!J1955=0,Raw_Data!D1955,"")</f>
        <v/>
      </c>
      <c r="B1955" s="3">
        <f>IF(Raw_Data!J1955=1,Raw_Data!D1955,"")</f>
        <v>4743.2299999999996</v>
      </c>
    </row>
    <row r="1956" spans="1:2" x14ac:dyDescent="0.25">
      <c r="A1956" s="3">
        <f>IF(Raw_Data!J1956=0,Raw_Data!D1956,"")</f>
        <v>3605.49</v>
      </c>
      <c r="B1956" s="3" t="str">
        <f>IF(Raw_Data!J1956=1,Raw_Data!D1956,"")</f>
        <v/>
      </c>
    </row>
    <row r="1957" spans="1:2" x14ac:dyDescent="0.25">
      <c r="A1957" s="3">
        <f>IF(Raw_Data!J1957=0,Raw_Data!D1957,"")</f>
        <v>4453.43</v>
      </c>
      <c r="B1957" s="3" t="str">
        <f>IF(Raw_Data!J1957=1,Raw_Data!D1957,"")</f>
        <v/>
      </c>
    </row>
    <row r="1958" spans="1:2" x14ac:dyDescent="0.25">
      <c r="A1958" s="3">
        <f>IF(Raw_Data!J1958=0,Raw_Data!D1958,"")</f>
        <v>2975.87</v>
      </c>
      <c r="B1958" s="3" t="str">
        <f>IF(Raw_Data!J1958=1,Raw_Data!D1958,"")</f>
        <v/>
      </c>
    </row>
    <row r="1959" spans="1:2" x14ac:dyDescent="0.25">
      <c r="A1959" s="3">
        <f>IF(Raw_Data!J1959=0,Raw_Data!D1959,"")</f>
        <v>4062.26</v>
      </c>
      <c r="B1959" s="3" t="str">
        <f>IF(Raw_Data!J1959=1,Raw_Data!D1959,"")</f>
        <v/>
      </c>
    </row>
    <row r="1960" spans="1:2" x14ac:dyDescent="0.25">
      <c r="A1960" s="3">
        <f>IF(Raw_Data!J1960=0,Raw_Data!D1960,"")</f>
        <v>1836.72</v>
      </c>
      <c r="B1960" s="3" t="str">
        <f>IF(Raw_Data!J1960=1,Raw_Data!D1960,"")</f>
        <v/>
      </c>
    </row>
    <row r="1961" spans="1:2" x14ac:dyDescent="0.25">
      <c r="A1961" s="3">
        <f>IF(Raw_Data!J1961=0,Raw_Data!D1961,"")</f>
        <v>706.07</v>
      </c>
      <c r="B1961" s="3" t="str">
        <f>IF(Raw_Data!J1961=1,Raw_Data!D1961,"")</f>
        <v/>
      </c>
    </row>
    <row r="1962" spans="1:2" x14ac:dyDescent="0.25">
      <c r="A1962" s="3">
        <f>IF(Raw_Data!J1962=0,Raw_Data!D1962,"")</f>
        <v>1826.7</v>
      </c>
      <c r="B1962" s="3" t="str">
        <f>IF(Raw_Data!J1962=1,Raw_Data!D1962,"")</f>
        <v/>
      </c>
    </row>
    <row r="1963" spans="1:2" x14ac:dyDescent="0.25">
      <c r="A1963" s="3">
        <f>IF(Raw_Data!J1963=0,Raw_Data!D1963,"")</f>
        <v>1498.93</v>
      </c>
      <c r="B1963" s="3" t="str">
        <f>IF(Raw_Data!J1963=1,Raw_Data!D1963,"")</f>
        <v/>
      </c>
    </row>
    <row r="1964" spans="1:2" x14ac:dyDescent="0.25">
      <c r="A1964" s="3">
        <f>IF(Raw_Data!J1964=0,Raw_Data!D1964,"")</f>
        <v>1800.14</v>
      </c>
      <c r="B1964" s="3" t="str">
        <f>IF(Raw_Data!J1964=1,Raw_Data!D1964,"")</f>
        <v/>
      </c>
    </row>
    <row r="1965" spans="1:2" x14ac:dyDescent="0.25">
      <c r="A1965" s="3">
        <f>IF(Raw_Data!J1965=0,Raw_Data!D1965,"")</f>
        <v>1023.61</v>
      </c>
      <c r="B1965" s="3" t="str">
        <f>IF(Raw_Data!J1965=1,Raw_Data!D1965,"")</f>
        <v/>
      </c>
    </row>
    <row r="1966" spans="1:2" x14ac:dyDescent="0.25">
      <c r="A1966" s="3">
        <f>IF(Raw_Data!J1966=0,Raw_Data!D1966,"")</f>
        <v>795.48</v>
      </c>
      <c r="B1966" s="3" t="str">
        <f>IF(Raw_Data!J1966=1,Raw_Data!D1966,"")</f>
        <v/>
      </c>
    </row>
    <row r="1967" spans="1:2" x14ac:dyDescent="0.25">
      <c r="A1967" s="3">
        <f>IF(Raw_Data!J1967=0,Raw_Data!D1967,"")</f>
        <v>6212.38</v>
      </c>
      <c r="B1967" s="3" t="str">
        <f>IF(Raw_Data!J1967=1,Raw_Data!D1967,"")</f>
        <v/>
      </c>
    </row>
    <row r="1968" spans="1:2" x14ac:dyDescent="0.25">
      <c r="A1968" s="3">
        <f>IF(Raw_Data!J1968=0,Raw_Data!D1968,"")</f>
        <v>3757.89</v>
      </c>
      <c r="B1968" s="3" t="str">
        <f>IF(Raw_Data!J1968=1,Raw_Data!D1968,"")</f>
        <v/>
      </c>
    </row>
    <row r="1969" spans="1:2" x14ac:dyDescent="0.25">
      <c r="A1969" s="3">
        <f>IF(Raw_Data!J1969=0,Raw_Data!D1969,"")</f>
        <v>3387.62</v>
      </c>
      <c r="B1969" s="3" t="str">
        <f>IF(Raw_Data!J1969=1,Raw_Data!D1969,"")</f>
        <v/>
      </c>
    </row>
    <row r="1970" spans="1:2" x14ac:dyDescent="0.25">
      <c r="A1970" s="3">
        <f>IF(Raw_Data!J1970=0,Raw_Data!D1970,"")</f>
        <v>1116.82</v>
      </c>
      <c r="B1970" s="3" t="str">
        <f>IF(Raw_Data!J1970=1,Raw_Data!D1970,"")</f>
        <v/>
      </c>
    </row>
    <row r="1971" spans="1:2" x14ac:dyDescent="0.25">
      <c r="A1971" s="3">
        <f>IF(Raw_Data!J1971=0,Raw_Data!D1971,"")</f>
        <v>1301.23</v>
      </c>
      <c r="B1971" s="3" t="str">
        <f>IF(Raw_Data!J1971=1,Raw_Data!D1971,"")</f>
        <v/>
      </c>
    </row>
    <row r="1972" spans="1:2" x14ac:dyDescent="0.25">
      <c r="A1972" s="3">
        <f>IF(Raw_Data!J1972=0,Raw_Data!D1972,"")</f>
        <v>2860.88</v>
      </c>
      <c r="B1972" s="3" t="str">
        <f>IF(Raw_Data!J1972=1,Raw_Data!D1972,"")</f>
        <v/>
      </c>
    </row>
    <row r="1973" spans="1:2" x14ac:dyDescent="0.25">
      <c r="A1973" s="3">
        <f>IF(Raw_Data!J1973=0,Raw_Data!D1973,"")</f>
        <v>3624.83</v>
      </c>
      <c r="B1973" s="3" t="str">
        <f>IF(Raw_Data!J1973=1,Raw_Data!D1973,"")</f>
        <v/>
      </c>
    </row>
    <row r="1974" spans="1:2" x14ac:dyDescent="0.25">
      <c r="A1974" s="3">
        <f>IF(Raw_Data!J1974=0,Raw_Data!D1974,"")</f>
        <v>1508.69</v>
      </c>
      <c r="B1974" s="3" t="str">
        <f>IF(Raw_Data!J1974=1,Raw_Data!D1974,"")</f>
        <v/>
      </c>
    </row>
    <row r="1975" spans="1:2" x14ac:dyDescent="0.25">
      <c r="A1975" s="3">
        <f>IF(Raw_Data!J1975=0,Raw_Data!D1975,"")</f>
        <v>1049.47</v>
      </c>
      <c r="B1975" s="3" t="str">
        <f>IF(Raw_Data!J1975=1,Raw_Data!D1975,"")</f>
        <v/>
      </c>
    </row>
    <row r="1976" spans="1:2" x14ac:dyDescent="0.25">
      <c r="A1976" s="3" t="str">
        <f>IF(Raw_Data!J1976=0,Raw_Data!D1976,"")</f>
        <v/>
      </c>
      <c r="B1976" s="3">
        <f>IF(Raw_Data!J1976=1,Raw_Data!D1976,"")</f>
        <v>5680.52</v>
      </c>
    </row>
    <row r="1977" spans="1:2" x14ac:dyDescent="0.25">
      <c r="A1977" s="3">
        <f>IF(Raw_Data!J1977=0,Raw_Data!D1977,"")</f>
        <v>3539.35</v>
      </c>
      <c r="B1977" s="3" t="str">
        <f>IF(Raw_Data!J1977=1,Raw_Data!D1977,"")</f>
        <v/>
      </c>
    </row>
    <row r="1978" spans="1:2" x14ac:dyDescent="0.25">
      <c r="A1978" s="3">
        <f>IF(Raw_Data!J1978=0,Raw_Data!D1978,"")</f>
        <v>4038.35</v>
      </c>
      <c r="B1978" s="3" t="str">
        <f>IF(Raw_Data!J1978=1,Raw_Data!D1978,"")</f>
        <v/>
      </c>
    </row>
    <row r="1979" spans="1:2" x14ac:dyDescent="0.25">
      <c r="A1979" s="3">
        <f>IF(Raw_Data!J1979=0,Raw_Data!D1979,"")</f>
        <v>131.29</v>
      </c>
      <c r="B1979" s="3" t="str">
        <f>IF(Raw_Data!J1979=1,Raw_Data!D1979,"")</f>
        <v/>
      </c>
    </row>
    <row r="1980" spans="1:2" x14ac:dyDescent="0.25">
      <c r="A1980" s="3">
        <f>IF(Raw_Data!J1980=0,Raw_Data!D1980,"")</f>
        <v>3231.5</v>
      </c>
      <c r="B1980" s="3" t="str">
        <f>IF(Raw_Data!J1980=1,Raw_Data!D1980,"")</f>
        <v/>
      </c>
    </row>
    <row r="1981" spans="1:2" x14ac:dyDescent="0.25">
      <c r="A1981" s="3">
        <f>IF(Raw_Data!J1981=0,Raw_Data!D1981,"")</f>
        <v>1256.3699999999999</v>
      </c>
      <c r="B1981" s="3" t="str">
        <f>IF(Raw_Data!J1981=1,Raw_Data!D1981,"")</f>
        <v/>
      </c>
    </row>
    <row r="1982" spans="1:2" x14ac:dyDescent="0.25">
      <c r="A1982" s="3">
        <f>IF(Raw_Data!J1982=0,Raw_Data!D1982,"")</f>
        <v>2537.6799999999998</v>
      </c>
      <c r="B1982" s="3" t="str">
        <f>IF(Raw_Data!J1982=1,Raw_Data!D1982,"")</f>
        <v/>
      </c>
    </row>
    <row r="1983" spans="1:2" x14ac:dyDescent="0.25">
      <c r="A1983" s="3">
        <f>IF(Raw_Data!J1983=0,Raw_Data!D1983,"")</f>
        <v>3328.23</v>
      </c>
      <c r="B1983" s="3" t="str">
        <f>IF(Raw_Data!J1983=1,Raw_Data!D1983,"")</f>
        <v/>
      </c>
    </row>
    <row r="1984" spans="1:2" x14ac:dyDescent="0.25">
      <c r="A1984" s="3">
        <f>IF(Raw_Data!J1984=0,Raw_Data!D1984,"")</f>
        <v>574.04</v>
      </c>
      <c r="B1984" s="3" t="str">
        <f>IF(Raw_Data!J1984=1,Raw_Data!D1984,"")</f>
        <v/>
      </c>
    </row>
    <row r="1985" spans="1:2" x14ac:dyDescent="0.25">
      <c r="A1985" s="3" t="str">
        <f>IF(Raw_Data!J1985=0,Raw_Data!D1985,"")</f>
        <v/>
      </c>
      <c r="B1985" s="3">
        <f>IF(Raw_Data!J1985=1,Raw_Data!D1985,"")</f>
        <v>5538.69</v>
      </c>
    </row>
    <row r="1986" spans="1:2" x14ac:dyDescent="0.25">
      <c r="A1986" s="3">
        <f>IF(Raw_Data!J1986=0,Raw_Data!D1986,"")</f>
        <v>3274.53</v>
      </c>
      <c r="B1986" s="3" t="str">
        <f>IF(Raw_Data!J1986=1,Raw_Data!D1986,"")</f>
        <v/>
      </c>
    </row>
    <row r="1987" spans="1:2" x14ac:dyDescent="0.25">
      <c r="A1987" s="3">
        <f>IF(Raw_Data!J1987=0,Raw_Data!D1987,"")</f>
        <v>4029.16</v>
      </c>
      <c r="B1987" s="3" t="str">
        <f>IF(Raw_Data!J1987=1,Raw_Data!D1987,"")</f>
        <v/>
      </c>
    </row>
    <row r="1988" spans="1:2" x14ac:dyDescent="0.25">
      <c r="A1988" s="3">
        <f>IF(Raw_Data!J1988=0,Raw_Data!D1988,"")</f>
        <v>2897.93</v>
      </c>
      <c r="B1988" s="3" t="str">
        <f>IF(Raw_Data!J1988=1,Raw_Data!D1988,"")</f>
        <v/>
      </c>
    </row>
    <row r="1989" spans="1:2" x14ac:dyDescent="0.25">
      <c r="A1989" s="3">
        <f>IF(Raw_Data!J1989=0,Raw_Data!D1989,"")</f>
        <v>1083.92</v>
      </c>
      <c r="B1989" s="3" t="str">
        <f>IF(Raw_Data!J1989=1,Raw_Data!D1989,"")</f>
        <v/>
      </c>
    </row>
    <row r="1990" spans="1:2" x14ac:dyDescent="0.25">
      <c r="A1990" s="3">
        <f>IF(Raw_Data!J1990=0,Raw_Data!D1990,"")</f>
        <v>5032.58</v>
      </c>
      <c r="B1990" s="3" t="str">
        <f>IF(Raw_Data!J1990=1,Raw_Data!D1990,"")</f>
        <v/>
      </c>
    </row>
    <row r="1991" spans="1:2" x14ac:dyDescent="0.25">
      <c r="A1991" s="3">
        <f>IF(Raw_Data!J1991=0,Raw_Data!D1991,"")</f>
        <v>1108.19</v>
      </c>
      <c r="B1991" s="3" t="str">
        <f>IF(Raw_Data!J1991=1,Raw_Data!D1991,"")</f>
        <v/>
      </c>
    </row>
    <row r="1992" spans="1:2" x14ac:dyDescent="0.25">
      <c r="A1992" s="3">
        <f>IF(Raw_Data!J1992=0,Raw_Data!D1992,"")</f>
        <v>835.02</v>
      </c>
      <c r="B1992" s="3" t="str">
        <f>IF(Raw_Data!J1992=1,Raw_Data!D1992,"")</f>
        <v/>
      </c>
    </row>
    <row r="1993" spans="1:2" x14ac:dyDescent="0.25">
      <c r="A1993" s="3">
        <f>IF(Raw_Data!J1993=0,Raw_Data!D1993,"")</f>
        <v>824.52</v>
      </c>
      <c r="B1993" s="3" t="str">
        <f>IF(Raw_Data!J1993=1,Raw_Data!D1993,"")</f>
        <v/>
      </c>
    </row>
    <row r="1994" spans="1:2" x14ac:dyDescent="0.25">
      <c r="A1994" s="3">
        <f>IF(Raw_Data!J1994=0,Raw_Data!D1994,"")</f>
        <v>2532.5500000000002</v>
      </c>
      <c r="B1994" s="3" t="str">
        <f>IF(Raw_Data!J1994=1,Raw_Data!D1994,"")</f>
        <v/>
      </c>
    </row>
    <row r="1995" spans="1:2" x14ac:dyDescent="0.25">
      <c r="A1995" s="3">
        <f>IF(Raw_Data!J1995=0,Raw_Data!D1995,"")</f>
        <v>2374.23</v>
      </c>
      <c r="B1995" s="3" t="str">
        <f>IF(Raw_Data!J1995=1,Raw_Data!D1995,"")</f>
        <v/>
      </c>
    </row>
    <row r="1996" spans="1:2" x14ac:dyDescent="0.25">
      <c r="A1996" s="3">
        <f>IF(Raw_Data!J1996=0,Raw_Data!D1996,"")</f>
        <v>2421.89</v>
      </c>
      <c r="B1996" s="3" t="str">
        <f>IF(Raw_Data!J1996=1,Raw_Data!D1996,"")</f>
        <v/>
      </c>
    </row>
    <row r="1997" spans="1:2" x14ac:dyDescent="0.25">
      <c r="A1997" s="3">
        <f>IF(Raw_Data!J1997=0,Raw_Data!D1997,"")</f>
        <v>6001.3</v>
      </c>
      <c r="B1997" s="3" t="str">
        <f>IF(Raw_Data!J1997=1,Raw_Data!D1997,"")</f>
        <v/>
      </c>
    </row>
    <row r="1998" spans="1:2" x14ac:dyDescent="0.25">
      <c r="A1998" s="3">
        <f>IF(Raw_Data!J1998=0,Raw_Data!D1998,"")</f>
        <v>3925.67</v>
      </c>
      <c r="B1998" s="3" t="str">
        <f>IF(Raw_Data!J1998=1,Raw_Data!D1998,"")</f>
        <v/>
      </c>
    </row>
    <row r="1999" spans="1:2" x14ac:dyDescent="0.25">
      <c r="A1999" s="3">
        <f>IF(Raw_Data!J1999=0,Raw_Data!D1999,"")</f>
        <v>1052.1600000000001</v>
      </c>
      <c r="B1999" s="3" t="str">
        <f>IF(Raw_Data!J1999=1,Raw_Data!D1999,"")</f>
        <v/>
      </c>
    </row>
    <row r="2000" spans="1:2" x14ac:dyDescent="0.25">
      <c r="A2000" s="3">
        <f>IF(Raw_Data!J2000=0,Raw_Data!D2000,"")</f>
        <v>2805.4</v>
      </c>
      <c r="B2000" s="3" t="str">
        <f>IF(Raw_Data!J2000=1,Raw_Data!D2000,"")</f>
        <v/>
      </c>
    </row>
    <row r="2001" spans="1:2" x14ac:dyDescent="0.25">
      <c r="A2001" s="3">
        <f>IF(Raw_Data!J2001=0,Raw_Data!D2001,"")</f>
        <v>2284.1799999999998</v>
      </c>
      <c r="B2001" s="3" t="str">
        <f>IF(Raw_Data!J2001=1,Raw_Data!D2001,"")</f>
        <v/>
      </c>
    </row>
    <row r="2002" spans="1:2" x14ac:dyDescent="0.25">
      <c r="A2002" s="3">
        <f>IF(Raw_Data!J2002=0,Raw_Data!D2002,"")</f>
        <v>1225.32</v>
      </c>
      <c r="B2002" s="3" t="str">
        <f>IF(Raw_Data!J2002=1,Raw_Data!D2002,"")</f>
        <v/>
      </c>
    </row>
    <row r="2003" spans="1:2" x14ac:dyDescent="0.25">
      <c r="A2003" s="3">
        <f>IF(Raw_Data!J2003=0,Raw_Data!D2003,"")</f>
        <v>332.88</v>
      </c>
      <c r="B2003" s="3" t="str">
        <f>IF(Raw_Data!J2003=1,Raw_Data!D2003,"")</f>
        <v/>
      </c>
    </row>
    <row r="2004" spans="1:2" x14ac:dyDescent="0.25">
      <c r="A2004" s="3">
        <f>IF(Raw_Data!J2004=0,Raw_Data!D2004,"")</f>
        <v>990.44</v>
      </c>
      <c r="B2004" s="3" t="str">
        <f>IF(Raw_Data!J2004=1,Raw_Data!D2004,"")</f>
        <v/>
      </c>
    </row>
    <row r="2005" spans="1:2" x14ac:dyDescent="0.25">
      <c r="A2005" s="3" t="str">
        <f>IF(Raw_Data!J2005=0,Raw_Data!D2005,"")</f>
        <v/>
      </c>
      <c r="B2005" s="3">
        <f>IF(Raw_Data!J2005=1,Raw_Data!D2005,"")</f>
        <v>1512.54</v>
      </c>
    </row>
    <row r="2006" spans="1:2" x14ac:dyDescent="0.25">
      <c r="A2006" s="3">
        <f>IF(Raw_Data!J2006=0,Raw_Data!D2006,"")</f>
        <v>575.5</v>
      </c>
      <c r="B2006" s="3" t="str">
        <f>IF(Raw_Data!J2006=1,Raw_Data!D2006,"")</f>
        <v/>
      </c>
    </row>
    <row r="2007" spans="1:2" x14ac:dyDescent="0.25">
      <c r="A2007" s="3">
        <f>IF(Raw_Data!J2007=0,Raw_Data!D2007,"")</f>
        <v>118.8</v>
      </c>
      <c r="B2007" s="3" t="str">
        <f>IF(Raw_Data!J2007=1,Raw_Data!D2007,"")</f>
        <v/>
      </c>
    </row>
    <row r="2008" spans="1:2" x14ac:dyDescent="0.25">
      <c r="A2008" s="3">
        <f>IF(Raw_Data!J2008=0,Raw_Data!D2008,"")</f>
        <v>4682.3900000000003</v>
      </c>
      <c r="B2008" s="3" t="str">
        <f>IF(Raw_Data!J2008=1,Raw_Data!D2008,"")</f>
        <v/>
      </c>
    </row>
    <row r="2009" spans="1:2" x14ac:dyDescent="0.25">
      <c r="A2009" s="3">
        <f>IF(Raw_Data!J2009=0,Raw_Data!D2009,"")</f>
        <v>1548.23</v>
      </c>
      <c r="B2009" s="3" t="str">
        <f>IF(Raw_Data!J2009=1,Raw_Data!D2009,"")</f>
        <v/>
      </c>
    </row>
    <row r="2010" spans="1:2" x14ac:dyDescent="0.25">
      <c r="A2010" s="3">
        <f>IF(Raw_Data!J2010=0,Raw_Data!D2010,"")</f>
        <v>2412.02</v>
      </c>
      <c r="B2010" s="3" t="str">
        <f>IF(Raw_Data!J2010=1,Raw_Data!D2010,"")</f>
        <v/>
      </c>
    </row>
    <row r="2011" spans="1:2" x14ac:dyDescent="0.25">
      <c r="A2011" s="3">
        <f>IF(Raw_Data!J2011=0,Raw_Data!D2011,"")</f>
        <v>2971.09</v>
      </c>
      <c r="B2011" s="3" t="str">
        <f>IF(Raw_Data!J2011=1,Raw_Data!D2011,"")</f>
        <v/>
      </c>
    </row>
    <row r="2012" spans="1:2" x14ac:dyDescent="0.25">
      <c r="A2012" s="3">
        <f>IF(Raw_Data!J2012=0,Raw_Data!D2012,"")</f>
        <v>1714.91</v>
      </c>
      <c r="B2012" s="3" t="str">
        <f>IF(Raw_Data!J2012=1,Raw_Data!D2012,"")</f>
        <v/>
      </c>
    </row>
    <row r="2013" spans="1:2" x14ac:dyDescent="0.25">
      <c r="A2013" s="3" t="str">
        <f>IF(Raw_Data!J2013=0,Raw_Data!D2013,"")</f>
        <v/>
      </c>
      <c r="B2013" s="3">
        <f>IF(Raw_Data!J2013=1,Raw_Data!D2013,"")</f>
        <v>352.85</v>
      </c>
    </row>
    <row r="2014" spans="1:2" x14ac:dyDescent="0.25">
      <c r="A2014" s="3" t="str">
        <f>IF(Raw_Data!J2014=0,Raw_Data!D2014,"")</f>
        <v/>
      </c>
      <c r="B2014" s="3">
        <f>IF(Raw_Data!J2014=1,Raw_Data!D2014,"")</f>
        <v>1450.32</v>
      </c>
    </row>
    <row r="2015" spans="1:2" x14ac:dyDescent="0.25">
      <c r="A2015" s="3">
        <f>IF(Raw_Data!J2015=0,Raw_Data!D2015,"")</f>
        <v>1003.24</v>
      </c>
      <c r="B2015" s="3" t="str">
        <f>IF(Raw_Data!J2015=1,Raw_Data!D2015,"")</f>
        <v/>
      </c>
    </row>
    <row r="2016" spans="1:2" x14ac:dyDescent="0.25">
      <c r="A2016" s="3">
        <f>IF(Raw_Data!J2016=0,Raw_Data!D2016,"")</f>
        <v>4263.3</v>
      </c>
      <c r="B2016" s="3" t="str">
        <f>IF(Raw_Data!J2016=1,Raw_Data!D2016,"")</f>
        <v/>
      </c>
    </row>
    <row r="2017" spans="1:2" x14ac:dyDescent="0.25">
      <c r="A2017" s="3" t="str">
        <f>IF(Raw_Data!J2017=0,Raw_Data!D2017,"")</f>
        <v/>
      </c>
      <c r="B2017" s="3">
        <f>IF(Raw_Data!J2017=1,Raw_Data!D2017,"")</f>
        <v>2689.5</v>
      </c>
    </row>
    <row r="2018" spans="1:2" x14ac:dyDescent="0.25">
      <c r="A2018" s="3" t="str">
        <f>IF(Raw_Data!J2018=0,Raw_Data!D2018,"")</f>
        <v/>
      </c>
      <c r="B2018" s="3">
        <f>IF(Raw_Data!J2018=1,Raw_Data!D2018,"")</f>
        <v>4057.04</v>
      </c>
    </row>
    <row r="2019" spans="1:2" x14ac:dyDescent="0.25">
      <c r="A2019" s="3">
        <f>IF(Raw_Data!J2019=0,Raw_Data!D2019,"")</f>
        <v>2294.48</v>
      </c>
      <c r="B2019" s="3" t="str">
        <f>IF(Raw_Data!J2019=1,Raw_Data!D2019,"")</f>
        <v/>
      </c>
    </row>
    <row r="2020" spans="1:2" x14ac:dyDescent="0.25">
      <c r="A2020" s="3">
        <f>IF(Raw_Data!J2020=0,Raw_Data!D2020,"")</f>
        <v>1600.53</v>
      </c>
      <c r="B2020" s="3" t="str">
        <f>IF(Raw_Data!J2020=1,Raw_Data!D2020,"")</f>
        <v/>
      </c>
    </row>
    <row r="2021" spans="1:2" x14ac:dyDescent="0.25">
      <c r="A2021" s="3">
        <f>IF(Raw_Data!J2021=0,Raw_Data!D2021,"")</f>
        <v>3068.25</v>
      </c>
      <c r="B2021" s="3" t="str">
        <f>IF(Raw_Data!J2021=1,Raw_Data!D2021,"")</f>
        <v/>
      </c>
    </row>
    <row r="2022" spans="1:2" x14ac:dyDescent="0.25">
      <c r="A2022" s="3" t="str">
        <f>IF(Raw_Data!J2022=0,Raw_Data!D2022,"")</f>
        <v/>
      </c>
      <c r="B2022" s="3">
        <f>IF(Raw_Data!J2022=1,Raw_Data!D2022,"")</f>
        <v>522.04</v>
      </c>
    </row>
    <row r="2023" spans="1:2" x14ac:dyDescent="0.25">
      <c r="A2023" s="3">
        <f>IF(Raw_Data!J2023=0,Raw_Data!D2023,"")</f>
        <v>2763.28</v>
      </c>
      <c r="B2023" s="3" t="str">
        <f>IF(Raw_Data!J2023=1,Raw_Data!D2023,"")</f>
        <v/>
      </c>
    </row>
    <row r="2024" spans="1:2" x14ac:dyDescent="0.25">
      <c r="A2024" s="3">
        <f>IF(Raw_Data!J2024=0,Raw_Data!D2024,"")</f>
        <v>984.35</v>
      </c>
      <c r="B2024" s="3" t="str">
        <f>IF(Raw_Data!J2024=1,Raw_Data!D2024,"")</f>
        <v/>
      </c>
    </row>
    <row r="2025" spans="1:2" x14ac:dyDescent="0.25">
      <c r="A2025" s="3">
        <f>IF(Raw_Data!J2025=0,Raw_Data!D2025,"")</f>
        <v>6726.85</v>
      </c>
      <c r="B2025" s="3" t="str">
        <f>IF(Raw_Data!J2025=1,Raw_Data!D2025,"")</f>
        <v/>
      </c>
    </row>
    <row r="2026" spans="1:2" x14ac:dyDescent="0.25">
      <c r="A2026" s="3" t="str">
        <f>IF(Raw_Data!J2026=0,Raw_Data!D2026,"")</f>
        <v/>
      </c>
      <c r="B2026" s="3">
        <f>IF(Raw_Data!J2026=1,Raw_Data!D2026,"")</f>
        <v>595.16999999999996</v>
      </c>
    </row>
    <row r="2027" spans="1:2" x14ac:dyDescent="0.25">
      <c r="A2027" s="3">
        <f>IF(Raw_Data!J2027=0,Raw_Data!D2027,"")</f>
        <v>3179.69</v>
      </c>
      <c r="B2027" s="3" t="str">
        <f>IF(Raw_Data!J2027=1,Raw_Data!D2027,"")</f>
        <v/>
      </c>
    </row>
    <row r="2028" spans="1:2" x14ac:dyDescent="0.25">
      <c r="A2028" s="3">
        <f>IF(Raw_Data!J2028=0,Raw_Data!D2028,"")</f>
        <v>2676.48</v>
      </c>
      <c r="B2028" s="3" t="str">
        <f>IF(Raw_Data!J2028=1,Raw_Data!D2028,"")</f>
        <v/>
      </c>
    </row>
    <row r="2029" spans="1:2" x14ac:dyDescent="0.25">
      <c r="A2029" s="3">
        <f>IF(Raw_Data!J2029=0,Raw_Data!D2029,"")</f>
        <v>2721.5</v>
      </c>
      <c r="B2029" s="3" t="str">
        <f>IF(Raw_Data!J2029=1,Raw_Data!D2029,"")</f>
        <v/>
      </c>
    </row>
    <row r="2030" spans="1:2" x14ac:dyDescent="0.25">
      <c r="A2030" s="3" t="str">
        <f>IF(Raw_Data!J2030=0,Raw_Data!D2030,"")</f>
        <v/>
      </c>
      <c r="B2030" s="3">
        <f>IF(Raw_Data!J2030=1,Raw_Data!D2030,"")</f>
        <v>1493.56</v>
      </c>
    </row>
    <row r="2031" spans="1:2" x14ac:dyDescent="0.25">
      <c r="A2031" s="3">
        <f>IF(Raw_Data!J2031=0,Raw_Data!D2031,"")</f>
        <v>2033.27</v>
      </c>
      <c r="B2031" s="3" t="str">
        <f>IF(Raw_Data!J2031=1,Raw_Data!D2031,"")</f>
        <v/>
      </c>
    </row>
    <row r="2032" spans="1:2" x14ac:dyDescent="0.25">
      <c r="A2032" s="3" t="str">
        <f>IF(Raw_Data!J2032=0,Raw_Data!D2032,"")</f>
        <v/>
      </c>
      <c r="B2032" s="3">
        <f>IF(Raw_Data!J2032=1,Raw_Data!D2032,"")</f>
        <v>9759.51</v>
      </c>
    </row>
    <row r="2033" spans="1:2" x14ac:dyDescent="0.25">
      <c r="A2033" s="3">
        <f>IF(Raw_Data!J2033=0,Raw_Data!D2033,"")</f>
        <v>2295.12</v>
      </c>
      <c r="B2033" s="3" t="str">
        <f>IF(Raw_Data!J2033=1,Raw_Data!D2033,"")</f>
        <v/>
      </c>
    </row>
    <row r="2034" spans="1:2" x14ac:dyDescent="0.25">
      <c r="A2034" s="3">
        <f>IF(Raw_Data!J2034=0,Raw_Data!D2034,"")</f>
        <v>258.14999999999998</v>
      </c>
      <c r="B2034" s="3" t="str">
        <f>IF(Raw_Data!J2034=1,Raw_Data!D2034,"")</f>
        <v/>
      </c>
    </row>
    <row r="2035" spans="1:2" x14ac:dyDescent="0.25">
      <c r="A2035" s="3" t="str">
        <f>IF(Raw_Data!J2035=0,Raw_Data!D2035,"")</f>
        <v/>
      </c>
      <c r="B2035" s="3">
        <f>IF(Raw_Data!J2035=1,Raw_Data!D2035,"")</f>
        <v>3208.29</v>
      </c>
    </row>
    <row r="2036" spans="1:2" x14ac:dyDescent="0.25">
      <c r="A2036" s="3">
        <f>IF(Raw_Data!J2036=0,Raw_Data!D2036,"")</f>
        <v>263.73</v>
      </c>
      <c r="B2036" s="3" t="str">
        <f>IF(Raw_Data!J2036=1,Raw_Data!D2036,"")</f>
        <v/>
      </c>
    </row>
    <row r="2037" spans="1:2" x14ac:dyDescent="0.25">
      <c r="A2037" s="3">
        <f>IF(Raw_Data!J2037=0,Raw_Data!D2037,"")</f>
        <v>2868.81</v>
      </c>
      <c r="B2037" s="3" t="str">
        <f>IF(Raw_Data!J2037=1,Raw_Data!D2037,"")</f>
        <v/>
      </c>
    </row>
    <row r="2038" spans="1:2" x14ac:dyDescent="0.25">
      <c r="A2038" s="3">
        <f>IF(Raw_Data!J2038=0,Raw_Data!D2038,"")</f>
        <v>3545.84</v>
      </c>
      <c r="B2038" s="3" t="str">
        <f>IF(Raw_Data!J2038=1,Raw_Data!D2038,"")</f>
        <v/>
      </c>
    </row>
    <row r="2039" spans="1:2" x14ac:dyDescent="0.25">
      <c r="A2039" s="3">
        <f>IF(Raw_Data!J2039=0,Raw_Data!D2039,"")</f>
        <v>3815.56</v>
      </c>
      <c r="B2039" s="3" t="str">
        <f>IF(Raw_Data!J2039=1,Raw_Data!D2039,"")</f>
        <v/>
      </c>
    </row>
    <row r="2040" spans="1:2" x14ac:dyDescent="0.25">
      <c r="A2040" s="3">
        <f>IF(Raw_Data!J2040=0,Raw_Data!D2040,"")</f>
        <v>911.76</v>
      </c>
      <c r="B2040" s="3" t="str">
        <f>IF(Raw_Data!J2040=1,Raw_Data!D2040,"")</f>
        <v/>
      </c>
    </row>
    <row r="2041" spans="1:2" x14ac:dyDescent="0.25">
      <c r="A2041" s="3">
        <f>IF(Raw_Data!J2041=0,Raw_Data!D2041,"")</f>
        <v>3291.5</v>
      </c>
      <c r="B2041" s="3" t="str">
        <f>IF(Raw_Data!J2041=1,Raw_Data!D2041,"")</f>
        <v/>
      </c>
    </row>
    <row r="2042" spans="1:2" x14ac:dyDescent="0.25">
      <c r="A2042" s="3">
        <f>IF(Raw_Data!J2042=0,Raw_Data!D2042,"")</f>
        <v>2976.84</v>
      </c>
      <c r="B2042" s="3" t="str">
        <f>IF(Raw_Data!J2042=1,Raw_Data!D2042,"")</f>
        <v/>
      </c>
    </row>
    <row r="2043" spans="1:2" x14ac:dyDescent="0.25">
      <c r="A2043" s="3" t="str">
        <f>IF(Raw_Data!J2043=0,Raw_Data!D2043,"")</f>
        <v/>
      </c>
      <c r="B2043" s="3">
        <f>IF(Raw_Data!J2043=1,Raw_Data!D2043,"")</f>
        <v>1882.62</v>
      </c>
    </row>
    <row r="2044" spans="1:2" x14ac:dyDescent="0.25">
      <c r="A2044" s="3">
        <f>IF(Raw_Data!J2044=0,Raw_Data!D2044,"")</f>
        <v>4108.63</v>
      </c>
      <c r="B2044" s="3" t="str">
        <f>IF(Raw_Data!J2044=1,Raw_Data!D2044,"")</f>
        <v/>
      </c>
    </row>
    <row r="2045" spans="1:2" x14ac:dyDescent="0.25">
      <c r="A2045" s="3" t="str">
        <f>IF(Raw_Data!J2045=0,Raw_Data!D2045,"")</f>
        <v/>
      </c>
      <c r="B2045" s="3">
        <f>IF(Raw_Data!J2045=1,Raw_Data!D2045,"")</f>
        <v>1996.46</v>
      </c>
    </row>
    <row r="2046" spans="1:2" x14ac:dyDescent="0.25">
      <c r="A2046" s="3">
        <f>IF(Raw_Data!J2046=0,Raw_Data!D2046,"")</f>
        <v>4789.4799999999996</v>
      </c>
      <c r="B2046" s="3" t="str">
        <f>IF(Raw_Data!J2046=1,Raw_Data!D2046,"")</f>
        <v/>
      </c>
    </row>
    <row r="2047" spans="1:2" x14ac:dyDescent="0.25">
      <c r="A2047" s="3">
        <f>IF(Raw_Data!J2047=0,Raw_Data!D2047,"")</f>
        <v>848.68</v>
      </c>
      <c r="B2047" s="3" t="str">
        <f>IF(Raw_Data!J2047=1,Raw_Data!D2047,"")</f>
        <v/>
      </c>
    </row>
    <row r="2048" spans="1:2" x14ac:dyDescent="0.25">
      <c r="A2048" s="3">
        <f>IF(Raw_Data!J2048=0,Raw_Data!D2048,"")</f>
        <v>569.14</v>
      </c>
      <c r="B2048" s="3" t="str">
        <f>IF(Raw_Data!J2048=1,Raw_Data!D2048,"")</f>
        <v/>
      </c>
    </row>
    <row r="2049" spans="1:2" x14ac:dyDescent="0.25">
      <c r="A2049" s="3">
        <f>IF(Raw_Data!J2049=0,Raw_Data!D2049,"")</f>
        <v>2630.36</v>
      </c>
      <c r="B2049" s="3" t="str">
        <f>IF(Raw_Data!J2049=1,Raw_Data!D2049,"")</f>
        <v/>
      </c>
    </row>
    <row r="2050" spans="1:2" x14ac:dyDescent="0.25">
      <c r="A2050" s="3">
        <f>IF(Raw_Data!J2050=0,Raw_Data!D2050,"")</f>
        <v>1890.52</v>
      </c>
      <c r="B2050" s="3" t="str">
        <f>IF(Raw_Data!J2050=1,Raw_Data!D2050,"")</f>
        <v/>
      </c>
    </row>
    <row r="2051" spans="1:2" x14ac:dyDescent="0.25">
      <c r="A2051" s="3" t="str">
        <f>IF(Raw_Data!J2051=0,Raw_Data!D2051,"")</f>
        <v/>
      </c>
      <c r="B2051" s="3">
        <f>IF(Raw_Data!J2051=1,Raw_Data!D2051,"")</f>
        <v>3672.22</v>
      </c>
    </row>
    <row r="2052" spans="1:2" x14ac:dyDescent="0.25">
      <c r="A2052" s="3">
        <f>IF(Raw_Data!J2052=0,Raw_Data!D2052,"")</f>
        <v>3999.89</v>
      </c>
      <c r="B2052" s="3" t="str">
        <f>IF(Raw_Data!J2052=1,Raw_Data!D2052,"")</f>
        <v/>
      </c>
    </row>
    <row r="2053" spans="1:2" x14ac:dyDescent="0.25">
      <c r="A2053" s="3">
        <f>IF(Raw_Data!J2053=0,Raw_Data!D2053,"")</f>
        <v>2197</v>
      </c>
      <c r="B2053" s="3" t="str">
        <f>IF(Raw_Data!J2053=1,Raw_Data!D2053,"")</f>
        <v/>
      </c>
    </row>
    <row r="2054" spans="1:2" x14ac:dyDescent="0.25">
      <c r="A2054" s="3">
        <f>IF(Raw_Data!J2054=0,Raw_Data!D2054,"")</f>
        <v>964.06</v>
      </c>
      <c r="B2054" s="3" t="str">
        <f>IF(Raw_Data!J2054=1,Raw_Data!D2054,"")</f>
        <v/>
      </c>
    </row>
    <row r="2055" spans="1:2" x14ac:dyDescent="0.25">
      <c r="A2055" s="3">
        <f>IF(Raw_Data!J2055=0,Raw_Data!D2055,"")</f>
        <v>1773.14</v>
      </c>
      <c r="B2055" s="3" t="str">
        <f>IF(Raw_Data!J2055=1,Raw_Data!D2055,"")</f>
        <v/>
      </c>
    </row>
    <row r="2056" spans="1:2" x14ac:dyDescent="0.25">
      <c r="A2056" s="3">
        <f>IF(Raw_Data!J2056=0,Raw_Data!D2056,"")</f>
        <v>1938.98</v>
      </c>
      <c r="B2056" s="3" t="str">
        <f>IF(Raw_Data!J2056=1,Raw_Data!D2056,"")</f>
        <v/>
      </c>
    </row>
    <row r="2057" spans="1:2" x14ac:dyDescent="0.25">
      <c r="A2057" s="3">
        <f>IF(Raw_Data!J2057=0,Raw_Data!D2057,"")</f>
        <v>2204.7199999999998</v>
      </c>
      <c r="B2057" s="3" t="str">
        <f>IF(Raw_Data!J2057=1,Raw_Data!D2057,"")</f>
        <v/>
      </c>
    </row>
    <row r="2058" spans="1:2" x14ac:dyDescent="0.25">
      <c r="A2058" s="3">
        <f>IF(Raw_Data!J2058=0,Raw_Data!D2058,"")</f>
        <v>501.09</v>
      </c>
      <c r="B2058" s="3" t="str">
        <f>IF(Raw_Data!J2058=1,Raw_Data!D2058,"")</f>
        <v/>
      </c>
    </row>
    <row r="2059" spans="1:2" x14ac:dyDescent="0.25">
      <c r="A2059" s="3" t="str">
        <f>IF(Raw_Data!J2059=0,Raw_Data!D2059,"")</f>
        <v/>
      </c>
      <c r="B2059" s="3">
        <f>IF(Raw_Data!J2059=1,Raw_Data!D2059,"")</f>
        <v>5223.3100000000004</v>
      </c>
    </row>
    <row r="2060" spans="1:2" x14ac:dyDescent="0.25">
      <c r="A2060" s="3">
        <f>IF(Raw_Data!J2060=0,Raw_Data!D2060,"")</f>
        <v>3913.84</v>
      </c>
      <c r="B2060" s="3" t="str">
        <f>IF(Raw_Data!J2060=1,Raw_Data!D2060,"")</f>
        <v/>
      </c>
    </row>
    <row r="2061" spans="1:2" x14ac:dyDescent="0.25">
      <c r="A2061" s="3">
        <f>IF(Raw_Data!J2061=0,Raw_Data!D2061,"")</f>
        <v>1940.6</v>
      </c>
      <c r="B2061" s="3" t="str">
        <f>IF(Raw_Data!J2061=1,Raw_Data!D2061,"")</f>
        <v/>
      </c>
    </row>
    <row r="2062" spans="1:2" x14ac:dyDescent="0.25">
      <c r="A2062" s="3">
        <f>IF(Raw_Data!J2062=0,Raw_Data!D2062,"")</f>
        <v>1786.27</v>
      </c>
      <c r="B2062" s="3" t="str">
        <f>IF(Raw_Data!J2062=1,Raw_Data!D2062,"")</f>
        <v/>
      </c>
    </row>
    <row r="2063" spans="1:2" x14ac:dyDescent="0.25">
      <c r="A2063" s="3">
        <f>IF(Raw_Data!J2063=0,Raw_Data!D2063,"")</f>
        <v>621.84</v>
      </c>
      <c r="B2063" s="3" t="str">
        <f>IF(Raw_Data!J2063=1,Raw_Data!D2063,"")</f>
        <v/>
      </c>
    </row>
    <row r="2064" spans="1:2" x14ac:dyDescent="0.25">
      <c r="A2064" s="3" t="str">
        <f>IF(Raw_Data!J2064=0,Raw_Data!D2064,"")</f>
        <v/>
      </c>
      <c r="B2064" s="3">
        <f>IF(Raw_Data!J2064=1,Raw_Data!D2064,"")</f>
        <v>2852.01</v>
      </c>
    </row>
    <row r="2065" spans="1:2" x14ac:dyDescent="0.25">
      <c r="A2065" s="3" t="str">
        <f>IF(Raw_Data!J2065=0,Raw_Data!D2065,"")</f>
        <v/>
      </c>
      <c r="B2065" s="3">
        <f>IF(Raw_Data!J2065=1,Raw_Data!D2065,"")</f>
        <v>1399.58</v>
      </c>
    </row>
    <row r="2066" spans="1:2" x14ac:dyDescent="0.25">
      <c r="A2066" s="3">
        <f>IF(Raw_Data!J2066=0,Raw_Data!D2066,"")</f>
        <v>2757.94</v>
      </c>
      <c r="B2066" s="3" t="str">
        <f>IF(Raw_Data!J2066=1,Raw_Data!D2066,"")</f>
        <v/>
      </c>
    </row>
    <row r="2067" spans="1:2" x14ac:dyDescent="0.25">
      <c r="A2067" s="3">
        <f>IF(Raw_Data!J2067=0,Raw_Data!D2067,"")</f>
        <v>3097.82</v>
      </c>
      <c r="B2067" s="3" t="str">
        <f>IF(Raw_Data!J2067=1,Raw_Data!D2067,"")</f>
        <v/>
      </c>
    </row>
    <row r="2068" spans="1:2" x14ac:dyDescent="0.25">
      <c r="A2068" s="3">
        <f>IF(Raw_Data!J2068=0,Raw_Data!D2068,"")</f>
        <v>770.89</v>
      </c>
      <c r="B2068" s="3" t="str">
        <f>IF(Raw_Data!J2068=1,Raw_Data!D2068,"")</f>
        <v/>
      </c>
    </row>
    <row r="2069" spans="1:2" x14ac:dyDescent="0.25">
      <c r="A2069" s="3">
        <f>IF(Raw_Data!J2069=0,Raw_Data!D2069,"")</f>
        <v>1921.17</v>
      </c>
      <c r="B2069" s="3" t="str">
        <f>IF(Raw_Data!J2069=1,Raw_Data!D2069,"")</f>
        <v/>
      </c>
    </row>
    <row r="2070" spans="1:2" x14ac:dyDescent="0.25">
      <c r="A2070" s="3">
        <f>IF(Raw_Data!J2070=0,Raw_Data!D2070,"")</f>
        <v>2586.58</v>
      </c>
      <c r="B2070" s="3" t="str">
        <f>IF(Raw_Data!J2070=1,Raw_Data!D2070,"")</f>
        <v/>
      </c>
    </row>
    <row r="2071" spans="1:2" x14ac:dyDescent="0.25">
      <c r="A2071" s="3" t="str">
        <f>IF(Raw_Data!J2071=0,Raw_Data!D2071,"")</f>
        <v/>
      </c>
      <c r="B2071" s="3">
        <f>IF(Raw_Data!J2071=1,Raw_Data!D2071,"")</f>
        <v>1290.24</v>
      </c>
    </row>
    <row r="2072" spans="1:2" x14ac:dyDescent="0.25">
      <c r="A2072" s="3">
        <f>IF(Raw_Data!J2072=0,Raw_Data!D2072,"")</f>
        <v>5207.67</v>
      </c>
      <c r="B2072" s="3" t="str">
        <f>IF(Raw_Data!J2072=1,Raw_Data!D2072,"")</f>
        <v/>
      </c>
    </row>
    <row r="2073" spans="1:2" x14ac:dyDescent="0.25">
      <c r="A2073" s="3" t="str">
        <f>IF(Raw_Data!J2073=0,Raw_Data!D2073,"")</f>
        <v/>
      </c>
      <c r="B2073" s="3">
        <f>IF(Raw_Data!J2073=1,Raw_Data!D2073,"")</f>
        <v>3405.39</v>
      </c>
    </row>
    <row r="2074" spans="1:2" x14ac:dyDescent="0.25">
      <c r="A2074" s="3">
        <f>IF(Raw_Data!J2074=0,Raw_Data!D2074,"")</f>
        <v>1923.33</v>
      </c>
      <c r="B2074" s="3" t="str">
        <f>IF(Raw_Data!J2074=1,Raw_Data!D2074,"")</f>
        <v/>
      </c>
    </row>
    <row r="2075" spans="1:2" x14ac:dyDescent="0.25">
      <c r="A2075" s="3" t="str">
        <f>IF(Raw_Data!J2075=0,Raw_Data!D2075,"")</f>
        <v/>
      </c>
      <c r="B2075" s="3">
        <f>IF(Raw_Data!J2075=1,Raw_Data!D2075,"")</f>
        <v>1378.42</v>
      </c>
    </row>
    <row r="2076" spans="1:2" x14ac:dyDescent="0.25">
      <c r="A2076" s="3">
        <f>IF(Raw_Data!J2076=0,Raw_Data!D2076,"")</f>
        <v>5806.19</v>
      </c>
      <c r="B2076" s="3" t="str">
        <f>IF(Raw_Data!J2076=1,Raw_Data!D2076,"")</f>
        <v/>
      </c>
    </row>
    <row r="2077" spans="1:2" x14ac:dyDescent="0.25">
      <c r="A2077" s="3">
        <f>IF(Raw_Data!J2077=0,Raw_Data!D2077,"")</f>
        <v>6708.61</v>
      </c>
      <c r="B2077" s="3" t="str">
        <f>IF(Raw_Data!J2077=1,Raw_Data!D2077,"")</f>
        <v/>
      </c>
    </row>
    <row r="2078" spans="1:2" x14ac:dyDescent="0.25">
      <c r="A2078" s="3">
        <f>IF(Raw_Data!J2078=0,Raw_Data!D2078,"")</f>
        <v>1860.99</v>
      </c>
      <c r="B2078" s="3" t="str">
        <f>IF(Raw_Data!J2078=1,Raw_Data!D2078,"")</f>
        <v/>
      </c>
    </row>
    <row r="2079" spans="1:2" x14ac:dyDescent="0.25">
      <c r="A2079" s="3">
        <f>IF(Raw_Data!J2079=0,Raw_Data!D2079,"")</f>
        <v>3920.15</v>
      </c>
      <c r="B2079" s="3" t="str">
        <f>IF(Raw_Data!J2079=1,Raw_Data!D2079,"")</f>
        <v/>
      </c>
    </row>
    <row r="2080" spans="1:2" x14ac:dyDescent="0.25">
      <c r="A2080" s="3">
        <f>IF(Raw_Data!J2080=0,Raw_Data!D2080,"")</f>
        <v>710.97</v>
      </c>
      <c r="B2080" s="3" t="str">
        <f>IF(Raw_Data!J2080=1,Raw_Data!D2080,"")</f>
        <v/>
      </c>
    </row>
    <row r="2081" spans="1:2" x14ac:dyDescent="0.25">
      <c r="A2081" s="3">
        <f>IF(Raw_Data!J2081=0,Raw_Data!D2081,"")</f>
        <v>2372.1999999999998</v>
      </c>
      <c r="B2081" s="3" t="str">
        <f>IF(Raw_Data!J2081=1,Raw_Data!D2081,"")</f>
        <v/>
      </c>
    </row>
    <row r="2082" spans="1:2" x14ac:dyDescent="0.25">
      <c r="A2082" s="3">
        <f>IF(Raw_Data!J2082=0,Raw_Data!D2082,"")</f>
        <v>2845.79</v>
      </c>
      <c r="B2082" s="3" t="str">
        <f>IF(Raw_Data!J2082=1,Raw_Data!D2082,"")</f>
        <v/>
      </c>
    </row>
    <row r="2083" spans="1:2" x14ac:dyDescent="0.25">
      <c r="A2083" s="3">
        <f>IF(Raw_Data!J2083=0,Raw_Data!D2083,"")</f>
        <v>1232.76</v>
      </c>
      <c r="B2083" s="3" t="str">
        <f>IF(Raw_Data!J2083=1,Raw_Data!D2083,"")</f>
        <v/>
      </c>
    </row>
    <row r="2084" spans="1:2" x14ac:dyDescent="0.25">
      <c r="A2084" s="3">
        <f>IF(Raw_Data!J2084=0,Raw_Data!D2084,"")</f>
        <v>2716.1</v>
      </c>
      <c r="B2084" s="3" t="str">
        <f>IF(Raw_Data!J2084=1,Raw_Data!D2084,"")</f>
        <v/>
      </c>
    </row>
    <row r="2085" spans="1:2" x14ac:dyDescent="0.25">
      <c r="A2085" s="3">
        <f>IF(Raw_Data!J2085=0,Raw_Data!D2085,"")</f>
        <v>5141.08</v>
      </c>
      <c r="B2085" s="3" t="str">
        <f>IF(Raw_Data!J2085=1,Raw_Data!D2085,"")</f>
        <v/>
      </c>
    </row>
    <row r="2086" spans="1:2" x14ac:dyDescent="0.25">
      <c r="A2086" s="3" t="str">
        <f>IF(Raw_Data!J2086=0,Raw_Data!D2086,"")</f>
        <v/>
      </c>
      <c r="B2086" s="3">
        <f>IF(Raw_Data!J2086=1,Raw_Data!D2086,"")</f>
        <v>665.31</v>
      </c>
    </row>
    <row r="2087" spans="1:2" x14ac:dyDescent="0.25">
      <c r="A2087" s="3">
        <f>IF(Raw_Data!J2087=0,Raw_Data!D2087,"")</f>
        <v>5398.55</v>
      </c>
      <c r="B2087" s="3" t="str">
        <f>IF(Raw_Data!J2087=1,Raw_Data!D2087,"")</f>
        <v/>
      </c>
    </row>
    <row r="2088" spans="1:2" x14ac:dyDescent="0.25">
      <c r="A2088" s="3">
        <f>IF(Raw_Data!J2088=0,Raw_Data!D2088,"")</f>
        <v>2421.5700000000002</v>
      </c>
      <c r="B2088" s="3" t="str">
        <f>IF(Raw_Data!J2088=1,Raw_Data!D2088,"")</f>
        <v/>
      </c>
    </row>
    <row r="2089" spans="1:2" x14ac:dyDescent="0.25">
      <c r="A2089" s="3">
        <f>IF(Raw_Data!J2089=0,Raw_Data!D2089,"")</f>
        <v>808.55</v>
      </c>
      <c r="B2089" s="3" t="str">
        <f>IF(Raw_Data!J2089=1,Raw_Data!D2089,"")</f>
        <v/>
      </c>
    </row>
    <row r="2090" spans="1:2" x14ac:dyDescent="0.25">
      <c r="A2090" s="3">
        <f>IF(Raw_Data!J2090=0,Raw_Data!D2090,"")</f>
        <v>1702.3</v>
      </c>
      <c r="B2090" s="3" t="str">
        <f>IF(Raw_Data!J2090=1,Raw_Data!D2090,"")</f>
        <v/>
      </c>
    </row>
    <row r="2091" spans="1:2" x14ac:dyDescent="0.25">
      <c r="A2091" s="3">
        <f>IF(Raw_Data!J2091=0,Raw_Data!D2091,"")</f>
        <v>1862.39</v>
      </c>
      <c r="B2091" s="3" t="str">
        <f>IF(Raw_Data!J2091=1,Raw_Data!D2091,"")</f>
        <v/>
      </c>
    </row>
    <row r="2092" spans="1:2" x14ac:dyDescent="0.25">
      <c r="A2092" s="3">
        <f>IF(Raw_Data!J2092=0,Raw_Data!D2092,"")</f>
        <v>2123.9299999999998</v>
      </c>
      <c r="B2092" s="3" t="str">
        <f>IF(Raw_Data!J2092=1,Raw_Data!D2092,"")</f>
        <v/>
      </c>
    </row>
    <row r="2093" spans="1:2" x14ac:dyDescent="0.25">
      <c r="A2093" s="3">
        <f>IF(Raw_Data!J2093=0,Raw_Data!D2093,"")</f>
        <v>2424.6999999999998</v>
      </c>
      <c r="B2093" s="3" t="str">
        <f>IF(Raw_Data!J2093=1,Raw_Data!D2093,"")</f>
        <v/>
      </c>
    </row>
    <row r="2094" spans="1:2" x14ac:dyDescent="0.25">
      <c r="A2094" s="3">
        <f>IF(Raw_Data!J2094=0,Raw_Data!D2094,"")</f>
        <v>1219.93</v>
      </c>
      <c r="B2094" s="3" t="str">
        <f>IF(Raw_Data!J2094=1,Raw_Data!D2094,"")</f>
        <v/>
      </c>
    </row>
    <row r="2095" spans="1:2" x14ac:dyDescent="0.25">
      <c r="A2095" s="3">
        <f>IF(Raw_Data!J2095=0,Raw_Data!D2095,"")</f>
        <v>639.16</v>
      </c>
      <c r="B2095" s="3" t="str">
        <f>IF(Raw_Data!J2095=1,Raw_Data!D2095,"")</f>
        <v/>
      </c>
    </row>
    <row r="2096" spans="1:2" x14ac:dyDescent="0.25">
      <c r="A2096" s="3">
        <f>IF(Raw_Data!J2096=0,Raw_Data!D2096,"")</f>
        <v>2779.1</v>
      </c>
      <c r="B2096" s="3" t="str">
        <f>IF(Raw_Data!J2096=1,Raw_Data!D2096,"")</f>
        <v/>
      </c>
    </row>
    <row r="2097" spans="1:2" x14ac:dyDescent="0.25">
      <c r="A2097" s="3">
        <f>IF(Raw_Data!J2097=0,Raw_Data!D2097,"")</f>
        <v>1169.6400000000001</v>
      </c>
      <c r="B2097" s="3" t="str">
        <f>IF(Raw_Data!J2097=1,Raw_Data!D2097,"")</f>
        <v/>
      </c>
    </row>
    <row r="2098" spans="1:2" x14ac:dyDescent="0.25">
      <c r="A2098" s="3" t="str">
        <f>IF(Raw_Data!J2098=0,Raw_Data!D2098,"")</f>
        <v/>
      </c>
      <c r="B2098" s="3">
        <f>IF(Raw_Data!J2098=1,Raw_Data!D2098,"")</f>
        <v>402.5</v>
      </c>
    </row>
    <row r="2099" spans="1:2" x14ac:dyDescent="0.25">
      <c r="A2099" s="3">
        <f>IF(Raw_Data!J2099=0,Raw_Data!D2099,"")</f>
        <v>3127.92</v>
      </c>
      <c r="B2099" s="3" t="str">
        <f>IF(Raw_Data!J2099=1,Raw_Data!D2099,"")</f>
        <v/>
      </c>
    </row>
    <row r="2100" spans="1:2" x14ac:dyDescent="0.25">
      <c r="A2100" s="3">
        <f>IF(Raw_Data!J2100=0,Raw_Data!D2100,"")</f>
        <v>1381.62</v>
      </c>
      <c r="B2100" s="3" t="str">
        <f>IF(Raw_Data!J2100=1,Raw_Data!D2100,"")</f>
        <v/>
      </c>
    </row>
    <row r="2101" spans="1:2" x14ac:dyDescent="0.25">
      <c r="A2101" s="3">
        <f>IF(Raw_Data!J2101=0,Raw_Data!D2101,"")</f>
        <v>502.33</v>
      </c>
      <c r="B2101" s="3" t="str">
        <f>IF(Raw_Data!J2101=1,Raw_Data!D2101,"")</f>
        <v/>
      </c>
    </row>
    <row r="2102" spans="1:2" x14ac:dyDescent="0.25">
      <c r="A2102" s="3" t="str">
        <f>IF(Raw_Data!J2102=0,Raw_Data!D2102,"")</f>
        <v/>
      </c>
      <c r="B2102" s="3">
        <f>IF(Raw_Data!J2102=1,Raw_Data!D2102,"")</f>
        <v>4142.3599999999997</v>
      </c>
    </row>
    <row r="2103" spans="1:2" x14ac:dyDescent="0.25">
      <c r="A2103" s="3">
        <f>IF(Raw_Data!J2103=0,Raw_Data!D2103,"")</f>
        <v>1866.77</v>
      </c>
      <c r="B2103" s="3" t="str">
        <f>IF(Raw_Data!J2103=1,Raw_Data!D2103,"")</f>
        <v/>
      </c>
    </row>
    <row r="2104" spans="1:2" x14ac:dyDescent="0.25">
      <c r="A2104" s="3">
        <f>IF(Raw_Data!J2104=0,Raw_Data!D2104,"")</f>
        <v>2753.39</v>
      </c>
      <c r="B2104" s="3" t="str">
        <f>IF(Raw_Data!J2104=1,Raw_Data!D2104,"")</f>
        <v/>
      </c>
    </row>
    <row r="2105" spans="1:2" x14ac:dyDescent="0.25">
      <c r="A2105" s="3">
        <f>IF(Raw_Data!J2105=0,Raw_Data!D2105,"")</f>
        <v>4262.53</v>
      </c>
      <c r="B2105" s="3" t="str">
        <f>IF(Raw_Data!J2105=1,Raw_Data!D2105,"")</f>
        <v/>
      </c>
    </row>
    <row r="2106" spans="1:2" x14ac:dyDescent="0.25">
      <c r="A2106" s="3">
        <f>IF(Raw_Data!J2106=0,Raw_Data!D2106,"")</f>
        <v>6391.6</v>
      </c>
      <c r="B2106" s="3" t="str">
        <f>IF(Raw_Data!J2106=1,Raw_Data!D2106,"")</f>
        <v/>
      </c>
    </row>
    <row r="2107" spans="1:2" x14ac:dyDescent="0.25">
      <c r="A2107" s="3">
        <f>IF(Raw_Data!J2107=0,Raw_Data!D2107,"")</f>
        <v>7752.33</v>
      </c>
      <c r="B2107" s="3" t="str">
        <f>IF(Raw_Data!J2107=1,Raw_Data!D2107,"")</f>
        <v/>
      </c>
    </row>
    <row r="2108" spans="1:2" x14ac:dyDescent="0.25">
      <c r="A2108" s="3">
        <f>IF(Raw_Data!J2108=0,Raw_Data!D2108,"")</f>
        <v>1337.55</v>
      </c>
      <c r="B2108" s="3" t="str">
        <f>IF(Raw_Data!J2108=1,Raw_Data!D2108,"")</f>
        <v/>
      </c>
    </row>
    <row r="2109" spans="1:2" x14ac:dyDescent="0.25">
      <c r="A2109" s="3">
        <f>IF(Raw_Data!J2109=0,Raw_Data!D2109,"")</f>
        <v>2428.71</v>
      </c>
      <c r="B2109" s="3" t="str">
        <f>IF(Raw_Data!J2109=1,Raw_Data!D2109,"")</f>
        <v/>
      </c>
    </row>
    <row r="2110" spans="1:2" x14ac:dyDescent="0.25">
      <c r="A2110" s="3">
        <f>IF(Raw_Data!J2110=0,Raw_Data!D2110,"")</f>
        <v>10162.76</v>
      </c>
      <c r="B2110" s="3" t="str">
        <f>IF(Raw_Data!J2110=1,Raw_Data!D2110,"")</f>
        <v/>
      </c>
    </row>
    <row r="2111" spans="1:2" x14ac:dyDescent="0.25">
      <c r="A2111" s="3">
        <f>IF(Raw_Data!J2111=0,Raw_Data!D2111,"")</f>
        <v>5874.1</v>
      </c>
      <c r="B2111" s="3" t="str">
        <f>IF(Raw_Data!J2111=1,Raw_Data!D2111,"")</f>
        <v/>
      </c>
    </row>
    <row r="2112" spans="1:2" x14ac:dyDescent="0.25">
      <c r="A2112" s="3">
        <f>IF(Raw_Data!J2112=0,Raw_Data!D2112,"")</f>
        <v>1586.01</v>
      </c>
      <c r="B2112" s="3" t="str">
        <f>IF(Raw_Data!J2112=1,Raw_Data!D2112,"")</f>
        <v/>
      </c>
    </row>
    <row r="2113" spans="1:2" x14ac:dyDescent="0.25">
      <c r="A2113" s="3">
        <f>IF(Raw_Data!J2113=0,Raw_Data!D2113,"")</f>
        <v>1770.42</v>
      </c>
      <c r="B2113" s="3" t="str">
        <f>IF(Raw_Data!J2113=1,Raw_Data!D2113,"")</f>
        <v/>
      </c>
    </row>
    <row r="2114" spans="1:2" x14ac:dyDescent="0.25">
      <c r="A2114" s="3">
        <f>IF(Raw_Data!J2114=0,Raw_Data!D2114,"")</f>
        <v>5345.83</v>
      </c>
      <c r="B2114" s="3" t="str">
        <f>IF(Raw_Data!J2114=1,Raw_Data!D2114,"")</f>
        <v/>
      </c>
    </row>
    <row r="2115" spans="1:2" x14ac:dyDescent="0.25">
      <c r="A2115" s="3">
        <f>IF(Raw_Data!J2115=0,Raw_Data!D2115,"")</f>
        <v>454.86</v>
      </c>
      <c r="B2115" s="3" t="str">
        <f>IF(Raw_Data!J2115=1,Raw_Data!D2115,"")</f>
        <v/>
      </c>
    </row>
    <row r="2116" spans="1:2" x14ac:dyDescent="0.25">
      <c r="A2116" s="3" t="str">
        <f>IF(Raw_Data!J2116=0,Raw_Data!D2116,"")</f>
        <v/>
      </c>
      <c r="B2116" s="3">
        <f>IF(Raw_Data!J2116=1,Raw_Data!D2116,"")</f>
        <v>3600.71</v>
      </c>
    </row>
    <row r="2117" spans="1:2" x14ac:dyDescent="0.25">
      <c r="A2117" s="3">
        <f>IF(Raw_Data!J2117=0,Raw_Data!D2117,"")</f>
        <v>2445.6999999999998</v>
      </c>
      <c r="B2117" s="3" t="str">
        <f>IF(Raw_Data!J2117=1,Raw_Data!D2117,"")</f>
        <v/>
      </c>
    </row>
    <row r="2118" spans="1:2" x14ac:dyDescent="0.25">
      <c r="A2118" s="3">
        <f>IF(Raw_Data!J2118=0,Raw_Data!D2118,"")</f>
        <v>3550.75</v>
      </c>
      <c r="B2118" s="3" t="str">
        <f>IF(Raw_Data!J2118=1,Raw_Data!D2118,"")</f>
        <v/>
      </c>
    </row>
    <row r="2119" spans="1:2" x14ac:dyDescent="0.25">
      <c r="A2119" s="3" t="str">
        <f>IF(Raw_Data!J2119=0,Raw_Data!D2119,"")</f>
        <v/>
      </c>
      <c r="B2119" s="3">
        <f>IF(Raw_Data!J2119=1,Raw_Data!D2119,"")</f>
        <v>4047.77</v>
      </c>
    </row>
    <row r="2120" spans="1:2" x14ac:dyDescent="0.25">
      <c r="A2120" s="3">
        <f>IF(Raw_Data!J2120=0,Raw_Data!D2120,"")</f>
        <v>5719.61</v>
      </c>
      <c r="B2120" s="3" t="str">
        <f>IF(Raw_Data!J2120=1,Raw_Data!D2120,"")</f>
        <v/>
      </c>
    </row>
    <row r="2121" spans="1:2" x14ac:dyDescent="0.25">
      <c r="A2121" s="3">
        <f>IF(Raw_Data!J2121=0,Raw_Data!D2121,"")</f>
        <v>73.8</v>
      </c>
      <c r="B2121" s="3" t="str">
        <f>IF(Raw_Data!J2121=1,Raw_Data!D2121,"")</f>
        <v/>
      </c>
    </row>
    <row r="2122" spans="1:2" x14ac:dyDescent="0.25">
      <c r="A2122" s="3">
        <f>IF(Raw_Data!J2122=0,Raw_Data!D2122,"")</f>
        <v>3963.62</v>
      </c>
      <c r="B2122" s="3" t="str">
        <f>IF(Raw_Data!J2122=1,Raw_Data!D2122,"")</f>
        <v/>
      </c>
    </row>
    <row r="2123" spans="1:2" x14ac:dyDescent="0.25">
      <c r="A2123" s="3">
        <f>IF(Raw_Data!J2123=0,Raw_Data!D2123,"")</f>
        <v>4572.0600000000004</v>
      </c>
      <c r="B2123" s="3" t="str">
        <f>IF(Raw_Data!J2123=1,Raw_Data!D2123,"")</f>
        <v/>
      </c>
    </row>
    <row r="2124" spans="1:2" x14ac:dyDescent="0.25">
      <c r="A2124" s="3" t="str">
        <f>IF(Raw_Data!J2124=0,Raw_Data!D2124,"")</f>
        <v/>
      </c>
      <c r="B2124" s="3">
        <f>IF(Raw_Data!J2124=1,Raw_Data!D2124,"")</f>
        <v>2441.29</v>
      </c>
    </row>
    <row r="2125" spans="1:2" x14ac:dyDescent="0.25">
      <c r="A2125" s="3">
        <f>IF(Raw_Data!J2125=0,Raw_Data!D2125,"")</f>
        <v>1565.61</v>
      </c>
      <c r="B2125" s="3" t="str">
        <f>IF(Raw_Data!J2125=1,Raw_Data!D2125,"")</f>
        <v/>
      </c>
    </row>
    <row r="2126" spans="1:2" x14ac:dyDescent="0.25">
      <c r="A2126" s="3">
        <f>IF(Raw_Data!J2126=0,Raw_Data!D2126,"")</f>
        <v>2540.11</v>
      </c>
      <c r="B2126" s="3" t="str">
        <f>IF(Raw_Data!J2126=1,Raw_Data!D2126,"")</f>
        <v/>
      </c>
    </row>
    <row r="2127" spans="1:2" x14ac:dyDescent="0.25">
      <c r="A2127" s="3" t="str">
        <f>IF(Raw_Data!J2127=0,Raw_Data!D2127,"")</f>
        <v/>
      </c>
      <c r="B2127" s="3">
        <f>IF(Raw_Data!J2127=1,Raw_Data!D2127,"")</f>
        <v>1869.84</v>
      </c>
    </row>
    <row r="2128" spans="1:2" x14ac:dyDescent="0.25">
      <c r="A2128" s="3">
        <f>IF(Raw_Data!J2128=0,Raw_Data!D2128,"")</f>
        <v>1772.65</v>
      </c>
      <c r="B2128" s="3" t="str">
        <f>IF(Raw_Data!J2128=1,Raw_Data!D2128,"")</f>
        <v/>
      </c>
    </row>
    <row r="2129" spans="1:2" x14ac:dyDescent="0.25">
      <c r="A2129" s="3" t="str">
        <f>IF(Raw_Data!J2129=0,Raw_Data!D2129,"")</f>
        <v/>
      </c>
      <c r="B2129" s="3">
        <f>IF(Raw_Data!J2129=1,Raw_Data!D2129,"")</f>
        <v>1479.94</v>
      </c>
    </row>
    <row r="2130" spans="1:2" x14ac:dyDescent="0.25">
      <c r="A2130" s="3" t="str">
        <f>IF(Raw_Data!J2130=0,Raw_Data!D2130,"")</f>
        <v/>
      </c>
      <c r="B2130" s="3">
        <f>IF(Raw_Data!J2130=1,Raw_Data!D2130,"")</f>
        <v>1396.33</v>
      </c>
    </row>
    <row r="2131" spans="1:2" x14ac:dyDescent="0.25">
      <c r="A2131" s="3">
        <f>IF(Raw_Data!J2131=0,Raw_Data!D2131,"")</f>
        <v>1039.26</v>
      </c>
      <c r="B2131" s="3" t="str">
        <f>IF(Raw_Data!J2131=1,Raw_Data!D2131,"")</f>
        <v/>
      </c>
    </row>
    <row r="2132" spans="1:2" x14ac:dyDescent="0.25">
      <c r="A2132" s="3" t="str">
        <f>IF(Raw_Data!J2132=0,Raw_Data!D2132,"")</f>
        <v/>
      </c>
      <c r="B2132" s="3">
        <f>IF(Raw_Data!J2132=1,Raw_Data!D2132,"")</f>
        <v>6117.57</v>
      </c>
    </row>
    <row r="2133" spans="1:2" x14ac:dyDescent="0.25">
      <c r="A2133" s="3" t="str">
        <f>IF(Raw_Data!J2133=0,Raw_Data!D2133,"")</f>
        <v/>
      </c>
      <c r="B2133" s="3">
        <f>IF(Raw_Data!J2133=1,Raw_Data!D2133,"")</f>
        <v>3367.62</v>
      </c>
    </row>
    <row r="2134" spans="1:2" x14ac:dyDescent="0.25">
      <c r="A2134" s="3">
        <f>IF(Raw_Data!J2134=0,Raw_Data!D2134,"")</f>
        <v>1943.47</v>
      </c>
      <c r="B2134" s="3" t="str">
        <f>IF(Raw_Data!J2134=1,Raw_Data!D2134,"")</f>
        <v/>
      </c>
    </row>
    <row r="2135" spans="1:2" x14ac:dyDescent="0.25">
      <c r="A2135" s="3">
        <f>IF(Raw_Data!J2135=0,Raw_Data!D2135,"")</f>
        <v>2929.99</v>
      </c>
      <c r="B2135" s="3" t="str">
        <f>IF(Raw_Data!J2135=1,Raw_Data!D2135,"")</f>
        <v/>
      </c>
    </row>
    <row r="2136" spans="1:2" x14ac:dyDescent="0.25">
      <c r="A2136" s="3">
        <f>IF(Raw_Data!J2136=0,Raw_Data!D2136,"")</f>
        <v>8911.9500000000007</v>
      </c>
      <c r="B2136" s="3" t="str">
        <f>IF(Raw_Data!J2136=1,Raw_Data!D2136,"")</f>
        <v/>
      </c>
    </row>
    <row r="2137" spans="1:2" x14ac:dyDescent="0.25">
      <c r="A2137" s="3">
        <f>IF(Raw_Data!J2137=0,Raw_Data!D2137,"")</f>
        <v>600</v>
      </c>
      <c r="B2137" s="3" t="str">
        <f>IF(Raw_Data!J2137=1,Raw_Data!D2137,"")</f>
        <v/>
      </c>
    </row>
    <row r="2138" spans="1:2" x14ac:dyDescent="0.25">
      <c r="A2138" s="3">
        <f>IF(Raw_Data!J2138=0,Raw_Data!D2138,"")</f>
        <v>2299.5500000000002</v>
      </c>
      <c r="B2138" s="3" t="str">
        <f>IF(Raw_Data!J2138=1,Raw_Data!D2138,"")</f>
        <v/>
      </c>
    </row>
    <row r="2139" spans="1:2" x14ac:dyDescent="0.25">
      <c r="A2139" s="3">
        <f>IF(Raw_Data!J2139=0,Raw_Data!D2139,"")</f>
        <v>1976.06</v>
      </c>
      <c r="B2139" s="3" t="str">
        <f>IF(Raw_Data!J2139=1,Raw_Data!D2139,"")</f>
        <v/>
      </c>
    </row>
    <row r="2140" spans="1:2" x14ac:dyDescent="0.25">
      <c r="A2140" s="3">
        <f>IF(Raw_Data!J2140=0,Raw_Data!D2140,"")</f>
        <v>2477.8200000000002</v>
      </c>
      <c r="B2140" s="3" t="str">
        <f>IF(Raw_Data!J2140=1,Raw_Data!D2140,"")</f>
        <v/>
      </c>
    </row>
    <row r="2141" spans="1:2" x14ac:dyDescent="0.25">
      <c r="A2141" s="3">
        <f>IF(Raw_Data!J2141=0,Raw_Data!D2141,"")</f>
        <v>3793.13</v>
      </c>
      <c r="B2141" s="3" t="str">
        <f>IF(Raw_Data!J2141=1,Raw_Data!D2141,"")</f>
        <v/>
      </c>
    </row>
    <row r="2142" spans="1:2" x14ac:dyDescent="0.25">
      <c r="A2142" s="3">
        <f>IF(Raw_Data!J2142=0,Raw_Data!D2142,"")</f>
        <v>5924.71</v>
      </c>
      <c r="B2142" s="3" t="str">
        <f>IF(Raw_Data!J2142=1,Raw_Data!D2142,"")</f>
        <v/>
      </c>
    </row>
    <row r="2143" spans="1:2" x14ac:dyDescent="0.25">
      <c r="A2143" s="3">
        <f>IF(Raw_Data!J2143=0,Raw_Data!D2143,"")</f>
        <v>1700.54</v>
      </c>
      <c r="B2143" s="3" t="str">
        <f>IF(Raw_Data!J2143=1,Raw_Data!D2143,"")</f>
        <v/>
      </c>
    </row>
    <row r="2144" spans="1:2" x14ac:dyDescent="0.25">
      <c r="A2144" s="3">
        <f>IF(Raw_Data!J2144=0,Raw_Data!D2144,"")</f>
        <v>1532.35</v>
      </c>
      <c r="B2144" s="3" t="str">
        <f>IF(Raw_Data!J2144=1,Raw_Data!D2144,"")</f>
        <v/>
      </c>
    </row>
    <row r="2145" spans="1:2" x14ac:dyDescent="0.25">
      <c r="A2145" s="3">
        <f>IF(Raw_Data!J2145=0,Raw_Data!D2145,"")</f>
        <v>2938.86</v>
      </c>
      <c r="B2145" s="3" t="str">
        <f>IF(Raw_Data!J2145=1,Raw_Data!D2145,"")</f>
        <v/>
      </c>
    </row>
    <row r="2146" spans="1:2" x14ac:dyDescent="0.25">
      <c r="A2146" s="3" t="str">
        <f>IF(Raw_Data!J2146=0,Raw_Data!D2146,"")</f>
        <v/>
      </c>
      <c r="B2146" s="3">
        <f>IF(Raw_Data!J2146=1,Raw_Data!D2146,"")</f>
        <v>693.61</v>
      </c>
    </row>
    <row r="2147" spans="1:2" x14ac:dyDescent="0.25">
      <c r="A2147" s="3">
        <f>IF(Raw_Data!J2147=0,Raw_Data!D2147,"")</f>
        <v>1325.43</v>
      </c>
      <c r="B2147" s="3" t="str">
        <f>IF(Raw_Data!J2147=1,Raw_Data!D2147,"")</f>
        <v/>
      </c>
    </row>
    <row r="2148" spans="1:2" x14ac:dyDescent="0.25">
      <c r="A2148" s="3">
        <f>IF(Raw_Data!J2148=0,Raw_Data!D2148,"")</f>
        <v>4611.1400000000003</v>
      </c>
      <c r="B2148" s="3" t="str">
        <f>IF(Raw_Data!J2148=1,Raw_Data!D2148,"")</f>
        <v/>
      </c>
    </row>
    <row r="2149" spans="1:2" x14ac:dyDescent="0.25">
      <c r="A2149" s="3">
        <f>IF(Raw_Data!J2149=0,Raw_Data!D2149,"")</f>
        <v>933.53</v>
      </c>
      <c r="B2149" s="3" t="str">
        <f>IF(Raw_Data!J2149=1,Raw_Data!D2149,"")</f>
        <v/>
      </c>
    </row>
    <row r="2150" spans="1:2" x14ac:dyDescent="0.25">
      <c r="A2150" s="3">
        <f>IF(Raw_Data!J2150=0,Raw_Data!D2150,"")</f>
        <v>6643.47</v>
      </c>
      <c r="B2150" s="3" t="str">
        <f>IF(Raw_Data!J2150=1,Raw_Data!D2150,"")</f>
        <v/>
      </c>
    </row>
    <row r="2151" spans="1:2" x14ac:dyDescent="0.25">
      <c r="A2151" s="3">
        <f>IF(Raw_Data!J2151=0,Raw_Data!D2151,"")</f>
        <v>1137.54</v>
      </c>
      <c r="B2151" s="3" t="str">
        <f>IF(Raw_Data!J2151=1,Raw_Data!D2151,"")</f>
        <v/>
      </c>
    </row>
    <row r="2152" spans="1:2" x14ac:dyDescent="0.25">
      <c r="A2152" s="3">
        <f>IF(Raw_Data!J2152=0,Raw_Data!D2152,"")</f>
        <v>1650.99</v>
      </c>
      <c r="B2152" s="3" t="str">
        <f>IF(Raw_Data!J2152=1,Raw_Data!D2152,"")</f>
        <v/>
      </c>
    </row>
    <row r="2153" spans="1:2" x14ac:dyDescent="0.25">
      <c r="A2153" s="3">
        <f>IF(Raw_Data!J2153=0,Raw_Data!D2153,"")</f>
        <v>4673.2</v>
      </c>
      <c r="B2153" s="3" t="str">
        <f>IF(Raw_Data!J2153=1,Raw_Data!D2153,"")</f>
        <v/>
      </c>
    </row>
    <row r="2154" spans="1:2" x14ac:dyDescent="0.25">
      <c r="A2154" s="3">
        <f>IF(Raw_Data!J2154=0,Raw_Data!D2154,"")</f>
        <v>2902</v>
      </c>
      <c r="B2154" s="3" t="str">
        <f>IF(Raw_Data!J2154=1,Raw_Data!D2154,"")</f>
        <v/>
      </c>
    </row>
    <row r="2155" spans="1:2" x14ac:dyDescent="0.25">
      <c r="A2155" s="3">
        <f>IF(Raw_Data!J2155=0,Raw_Data!D2155,"")</f>
        <v>1336.2</v>
      </c>
      <c r="B2155" s="3" t="str">
        <f>IF(Raw_Data!J2155=1,Raw_Data!D2155,"")</f>
        <v/>
      </c>
    </row>
    <row r="2156" spans="1:2" x14ac:dyDescent="0.25">
      <c r="A2156" s="3">
        <f>IF(Raw_Data!J2156=0,Raw_Data!D2156,"")</f>
        <v>1715.63</v>
      </c>
      <c r="B2156" s="3" t="str">
        <f>IF(Raw_Data!J2156=1,Raw_Data!D2156,"")</f>
        <v/>
      </c>
    </row>
    <row r="2157" spans="1:2" x14ac:dyDescent="0.25">
      <c r="A2157" s="3" t="str">
        <f>IF(Raw_Data!J2157=0,Raw_Data!D2157,"")</f>
        <v/>
      </c>
      <c r="B2157" s="3">
        <f>IF(Raw_Data!J2157=1,Raw_Data!D2157,"")</f>
        <v>1298.5999999999999</v>
      </c>
    </row>
    <row r="2158" spans="1:2" x14ac:dyDescent="0.25">
      <c r="A2158" s="3">
        <f>IF(Raw_Data!J2158=0,Raw_Data!D2158,"")</f>
        <v>3357.35</v>
      </c>
      <c r="B2158" s="3" t="str">
        <f>IF(Raw_Data!J2158=1,Raw_Data!D2158,"")</f>
        <v/>
      </c>
    </row>
    <row r="2159" spans="1:2" x14ac:dyDescent="0.25">
      <c r="A2159" s="3">
        <f>IF(Raw_Data!J2159=0,Raw_Data!D2159,"")</f>
        <v>5489.75</v>
      </c>
      <c r="B2159" s="3" t="str">
        <f>IF(Raw_Data!J2159=1,Raw_Data!D2159,"")</f>
        <v/>
      </c>
    </row>
    <row r="2160" spans="1:2" x14ac:dyDescent="0.25">
      <c r="A2160" s="3">
        <f>IF(Raw_Data!J2160=0,Raw_Data!D2160,"")</f>
        <v>2456.12</v>
      </c>
      <c r="B2160" s="3" t="str">
        <f>IF(Raw_Data!J2160=1,Raw_Data!D2160,"")</f>
        <v/>
      </c>
    </row>
    <row r="2161" spans="1:2" x14ac:dyDescent="0.25">
      <c r="A2161" s="3" t="str">
        <f>IF(Raw_Data!J2161=0,Raw_Data!D2161,"")</f>
        <v/>
      </c>
      <c r="B2161" s="3">
        <f>IF(Raw_Data!J2161=1,Raw_Data!D2161,"")</f>
        <v>8689.16</v>
      </c>
    </row>
    <row r="2162" spans="1:2" x14ac:dyDescent="0.25">
      <c r="A2162" s="3" t="str">
        <f>IF(Raw_Data!J2162=0,Raw_Data!D2162,"")</f>
        <v/>
      </c>
      <c r="B2162" s="3">
        <f>IF(Raw_Data!J2162=1,Raw_Data!D2162,"")</f>
        <v>942.82</v>
      </c>
    </row>
    <row r="2163" spans="1:2" x14ac:dyDescent="0.25">
      <c r="A2163" s="3">
        <f>IF(Raw_Data!J2163=0,Raw_Data!D2163,"")</f>
        <v>10306.290000000001</v>
      </c>
      <c r="B2163" s="3" t="str">
        <f>IF(Raw_Data!J2163=1,Raw_Data!D2163,"")</f>
        <v/>
      </c>
    </row>
    <row r="2164" spans="1:2" x14ac:dyDescent="0.25">
      <c r="A2164" s="3">
        <f>IF(Raw_Data!J2164=0,Raw_Data!D2164,"")</f>
        <v>4196.46</v>
      </c>
      <c r="B2164" s="3" t="str">
        <f>IF(Raw_Data!J2164=1,Raw_Data!D2164,"")</f>
        <v/>
      </c>
    </row>
    <row r="2165" spans="1:2" x14ac:dyDescent="0.25">
      <c r="A2165" s="3">
        <f>IF(Raw_Data!J2165=0,Raw_Data!D2165,"")</f>
        <v>3005.92</v>
      </c>
      <c r="B2165" s="3" t="str">
        <f>IF(Raw_Data!J2165=1,Raw_Data!D2165,"")</f>
        <v/>
      </c>
    </row>
    <row r="2166" spans="1:2" x14ac:dyDescent="0.25">
      <c r="A2166" s="3">
        <f>IF(Raw_Data!J2166=0,Raw_Data!D2166,"")</f>
        <v>898.27</v>
      </c>
      <c r="B2166" s="3" t="str">
        <f>IF(Raw_Data!J2166=1,Raw_Data!D2166,"")</f>
        <v/>
      </c>
    </row>
    <row r="2167" spans="1:2" x14ac:dyDescent="0.25">
      <c r="A2167" s="3">
        <f>IF(Raw_Data!J2167=0,Raw_Data!D2167,"")</f>
        <v>2044.9</v>
      </c>
      <c r="B2167" s="3" t="str">
        <f>IF(Raw_Data!J2167=1,Raw_Data!D2167,"")</f>
        <v/>
      </c>
    </row>
    <row r="2168" spans="1:2" x14ac:dyDescent="0.25">
      <c r="A2168" s="3">
        <f>IF(Raw_Data!J2168=0,Raw_Data!D2168,"")</f>
        <v>2871.75</v>
      </c>
      <c r="B2168" s="3" t="str">
        <f>IF(Raw_Data!J2168=1,Raw_Data!D2168,"")</f>
        <v/>
      </c>
    </row>
    <row r="2169" spans="1:2" x14ac:dyDescent="0.25">
      <c r="A2169" s="3" t="str">
        <f>IF(Raw_Data!J2169=0,Raw_Data!D2169,"")</f>
        <v/>
      </c>
      <c r="B2169" s="3">
        <f>IF(Raw_Data!J2169=1,Raw_Data!D2169,"")</f>
        <v>2872.49</v>
      </c>
    </row>
    <row r="2170" spans="1:2" x14ac:dyDescent="0.25">
      <c r="A2170" s="3">
        <f>IF(Raw_Data!J2170=0,Raw_Data!D2170,"")</f>
        <v>6690.5</v>
      </c>
      <c r="B2170" s="3" t="str">
        <f>IF(Raw_Data!J2170=1,Raw_Data!D2170,"")</f>
        <v/>
      </c>
    </row>
    <row r="2171" spans="1:2" x14ac:dyDescent="0.25">
      <c r="A2171" s="3">
        <f>IF(Raw_Data!J2171=0,Raw_Data!D2171,"")</f>
        <v>3423.21</v>
      </c>
      <c r="B2171" s="3" t="str">
        <f>IF(Raw_Data!J2171=1,Raw_Data!D2171,"")</f>
        <v/>
      </c>
    </row>
    <row r="2172" spans="1:2" x14ac:dyDescent="0.25">
      <c r="A2172" s="3" t="str">
        <f>IF(Raw_Data!J2172=0,Raw_Data!D2172,"")</f>
        <v/>
      </c>
      <c r="B2172" s="3">
        <f>IF(Raw_Data!J2172=1,Raw_Data!D2172,"")</f>
        <v>3168.22</v>
      </c>
    </row>
    <row r="2173" spans="1:2" x14ac:dyDescent="0.25">
      <c r="A2173" s="3">
        <f>IF(Raw_Data!J2173=0,Raw_Data!D2173,"")</f>
        <v>3911.23</v>
      </c>
      <c r="B2173" s="3" t="str">
        <f>IF(Raw_Data!J2173=1,Raw_Data!D2173,"")</f>
        <v/>
      </c>
    </row>
    <row r="2174" spans="1:2" x14ac:dyDescent="0.25">
      <c r="A2174" s="3">
        <f>IF(Raw_Data!J2174=0,Raw_Data!D2174,"")</f>
        <v>492.84</v>
      </c>
      <c r="B2174" s="3" t="str">
        <f>IF(Raw_Data!J2174=1,Raw_Data!D2174,"")</f>
        <v/>
      </c>
    </row>
    <row r="2175" spans="1:2" x14ac:dyDescent="0.25">
      <c r="A2175" s="3">
        <f>IF(Raw_Data!J2175=0,Raw_Data!D2175,"")</f>
        <v>2308.88</v>
      </c>
      <c r="B2175" s="3" t="str">
        <f>IF(Raw_Data!J2175=1,Raw_Data!D2175,"")</f>
        <v/>
      </c>
    </row>
    <row r="2176" spans="1:2" x14ac:dyDescent="0.25">
      <c r="A2176" s="3">
        <f>IF(Raw_Data!J2176=0,Raw_Data!D2176,"")</f>
        <v>2180.44</v>
      </c>
      <c r="B2176" s="3" t="str">
        <f>IF(Raw_Data!J2176=1,Raw_Data!D2176,"")</f>
        <v/>
      </c>
    </row>
    <row r="2177" spans="1:2" x14ac:dyDescent="0.25">
      <c r="A2177" s="3">
        <f>IF(Raw_Data!J2177=0,Raw_Data!D2177,"")</f>
        <v>1189.3699999999999</v>
      </c>
      <c r="B2177" s="3" t="str">
        <f>IF(Raw_Data!J2177=1,Raw_Data!D2177,"")</f>
        <v/>
      </c>
    </row>
    <row r="2178" spans="1:2" x14ac:dyDescent="0.25">
      <c r="A2178" s="3">
        <f>IF(Raw_Data!J2178=0,Raw_Data!D2178,"")</f>
        <v>3609.43</v>
      </c>
      <c r="B2178" s="3" t="str">
        <f>IF(Raw_Data!J2178=1,Raw_Data!D2178,"")</f>
        <v/>
      </c>
    </row>
    <row r="2179" spans="1:2" x14ac:dyDescent="0.25">
      <c r="A2179" s="3">
        <f>IF(Raw_Data!J2179=0,Raw_Data!D2179,"")</f>
        <v>8106.46</v>
      </c>
      <c r="B2179" s="3" t="str">
        <f>IF(Raw_Data!J2179=1,Raw_Data!D2179,"")</f>
        <v/>
      </c>
    </row>
    <row r="2180" spans="1:2" x14ac:dyDescent="0.25">
      <c r="A2180" s="3">
        <f>IF(Raw_Data!J2180=0,Raw_Data!D2180,"")</f>
        <v>2780.56</v>
      </c>
      <c r="B2180" s="3" t="str">
        <f>IF(Raw_Data!J2180=1,Raw_Data!D2180,"")</f>
        <v/>
      </c>
    </row>
    <row r="2181" spans="1:2" x14ac:dyDescent="0.25">
      <c r="A2181" s="3" t="str">
        <f>IF(Raw_Data!J2181=0,Raw_Data!D2181,"")</f>
        <v/>
      </c>
      <c r="B2181" s="3">
        <f>IF(Raw_Data!J2181=1,Raw_Data!D2181,"")</f>
        <v>5049.18</v>
      </c>
    </row>
    <row r="2182" spans="1:2" x14ac:dyDescent="0.25">
      <c r="A2182" s="3">
        <f>IF(Raw_Data!J2182=0,Raw_Data!D2182,"")</f>
        <v>1566.1</v>
      </c>
      <c r="B2182" s="3" t="str">
        <f>IF(Raw_Data!J2182=1,Raw_Data!D2182,"")</f>
        <v/>
      </c>
    </row>
    <row r="2183" spans="1:2" x14ac:dyDescent="0.25">
      <c r="A2183" s="3">
        <f>IF(Raw_Data!J2183=0,Raw_Data!D2183,"")</f>
        <v>1231.26</v>
      </c>
      <c r="B2183" s="3" t="str">
        <f>IF(Raw_Data!J2183=1,Raw_Data!D2183,"")</f>
        <v/>
      </c>
    </row>
    <row r="2184" spans="1:2" x14ac:dyDescent="0.25">
      <c r="A2184" s="3">
        <f>IF(Raw_Data!J2184=0,Raw_Data!D2184,"")</f>
        <v>1675.48</v>
      </c>
      <c r="B2184" s="3" t="str">
        <f>IF(Raw_Data!J2184=1,Raw_Data!D2184,"")</f>
        <v/>
      </c>
    </row>
    <row r="2185" spans="1:2" x14ac:dyDescent="0.25">
      <c r="A2185" s="3">
        <f>IF(Raw_Data!J2185=0,Raw_Data!D2185,"")</f>
        <v>4737.05</v>
      </c>
      <c r="B2185" s="3" t="str">
        <f>IF(Raw_Data!J2185=1,Raw_Data!D2185,"")</f>
        <v/>
      </c>
    </row>
    <row r="2186" spans="1:2" x14ac:dyDescent="0.25">
      <c r="A2186" s="3">
        <f>IF(Raw_Data!J2186=0,Raw_Data!D2186,"")</f>
        <v>1833.57</v>
      </c>
      <c r="B2186" s="3" t="str">
        <f>IF(Raw_Data!J2186=1,Raw_Data!D2186,"")</f>
        <v/>
      </c>
    </row>
    <row r="2187" spans="1:2" x14ac:dyDescent="0.25">
      <c r="A2187" s="3">
        <f>IF(Raw_Data!J2187=0,Raw_Data!D2187,"")</f>
        <v>4456.8500000000004</v>
      </c>
      <c r="B2187" s="3" t="str">
        <f>IF(Raw_Data!J2187=1,Raw_Data!D2187,"")</f>
        <v/>
      </c>
    </row>
    <row r="2188" spans="1:2" x14ac:dyDescent="0.25">
      <c r="A2188" s="3">
        <f>IF(Raw_Data!J2188=0,Raw_Data!D2188,"")</f>
        <v>1580.58</v>
      </c>
      <c r="B2188" s="3" t="str">
        <f>IF(Raw_Data!J2188=1,Raw_Data!D2188,"")</f>
        <v/>
      </c>
    </row>
    <row r="2189" spans="1:2" x14ac:dyDescent="0.25">
      <c r="A2189" s="3">
        <f>IF(Raw_Data!J2189=0,Raw_Data!D2189,"")</f>
        <v>4910.8500000000004</v>
      </c>
      <c r="B2189" s="3" t="str">
        <f>IF(Raw_Data!J2189=1,Raw_Data!D2189,"")</f>
        <v/>
      </c>
    </row>
    <row r="2190" spans="1:2" x14ac:dyDescent="0.25">
      <c r="A2190" s="3">
        <f>IF(Raw_Data!J2190=0,Raw_Data!D2190,"")</f>
        <v>921.1</v>
      </c>
      <c r="B2190" s="3" t="str">
        <f>IF(Raw_Data!J2190=1,Raw_Data!D2190,"")</f>
        <v/>
      </c>
    </row>
    <row r="2191" spans="1:2" x14ac:dyDescent="0.25">
      <c r="A2191" s="3">
        <f>IF(Raw_Data!J2191=0,Raw_Data!D2191,"")</f>
        <v>1791.5</v>
      </c>
      <c r="B2191" s="3" t="str">
        <f>IF(Raw_Data!J2191=1,Raw_Data!D2191,"")</f>
        <v/>
      </c>
    </row>
    <row r="2192" spans="1:2" x14ac:dyDescent="0.25">
      <c r="A2192" s="3">
        <f>IF(Raw_Data!J2192=0,Raw_Data!D2192,"")</f>
        <v>662.31</v>
      </c>
      <c r="B2192" s="3" t="str">
        <f>IF(Raw_Data!J2192=1,Raw_Data!D2192,"")</f>
        <v/>
      </c>
    </row>
    <row r="2193" spans="1:2" x14ac:dyDescent="0.25">
      <c r="A2193" s="3">
        <f>IF(Raw_Data!J2193=0,Raw_Data!D2193,"")</f>
        <v>1042.8800000000001</v>
      </c>
      <c r="B2193" s="3" t="str">
        <f>IF(Raw_Data!J2193=1,Raw_Data!D2193,"")</f>
        <v/>
      </c>
    </row>
    <row r="2194" spans="1:2" x14ac:dyDescent="0.25">
      <c r="A2194" s="3">
        <f>IF(Raw_Data!J2194=0,Raw_Data!D2194,"")</f>
        <v>3440.4</v>
      </c>
      <c r="B2194" s="3" t="str">
        <f>IF(Raw_Data!J2194=1,Raw_Data!D2194,"")</f>
        <v/>
      </c>
    </row>
    <row r="2195" spans="1:2" x14ac:dyDescent="0.25">
      <c r="A2195" s="3" t="str">
        <f>IF(Raw_Data!J2195=0,Raw_Data!D2195,"")</f>
        <v/>
      </c>
      <c r="B2195" s="3">
        <f>IF(Raw_Data!J2195=1,Raw_Data!D2195,"")</f>
        <v>1342.09</v>
      </c>
    </row>
    <row r="2196" spans="1:2" x14ac:dyDescent="0.25">
      <c r="A2196" s="3">
        <f>IF(Raw_Data!J2196=0,Raw_Data!D2196,"")</f>
        <v>2147.06</v>
      </c>
      <c r="B2196" s="3" t="str">
        <f>IF(Raw_Data!J2196=1,Raw_Data!D2196,"")</f>
        <v/>
      </c>
    </row>
    <row r="2197" spans="1:2" x14ac:dyDescent="0.25">
      <c r="A2197" s="3">
        <f>IF(Raw_Data!J2197=0,Raw_Data!D2197,"")</f>
        <v>813.31</v>
      </c>
      <c r="B2197" s="3" t="str">
        <f>IF(Raw_Data!J2197=1,Raw_Data!D2197,"")</f>
        <v/>
      </c>
    </row>
    <row r="2198" spans="1:2" x14ac:dyDescent="0.25">
      <c r="A2198" s="3">
        <f>IF(Raw_Data!J2198=0,Raw_Data!D2198,"")</f>
        <v>3429.66</v>
      </c>
      <c r="B2198" s="3" t="str">
        <f>IF(Raw_Data!J2198=1,Raw_Data!D2198,"")</f>
        <v/>
      </c>
    </row>
    <row r="2199" spans="1:2" x14ac:dyDescent="0.25">
      <c r="A2199" s="3">
        <f>IF(Raw_Data!J2199=0,Raw_Data!D2199,"")</f>
        <v>4608.18</v>
      </c>
      <c r="B2199" s="3" t="str">
        <f>IF(Raw_Data!J2199=1,Raw_Data!D2199,"")</f>
        <v/>
      </c>
    </row>
    <row r="2200" spans="1:2" x14ac:dyDescent="0.25">
      <c r="A2200" s="3">
        <f>IF(Raw_Data!J2200=0,Raw_Data!D2200,"")</f>
        <v>3643.33</v>
      </c>
      <c r="B2200" s="3" t="str">
        <f>IF(Raw_Data!J2200=1,Raw_Data!D2200,"")</f>
        <v/>
      </c>
    </row>
    <row r="2201" spans="1:2" x14ac:dyDescent="0.25">
      <c r="A2201" s="3">
        <f>IF(Raw_Data!J2201=0,Raw_Data!D2201,"")</f>
        <v>3058.5</v>
      </c>
      <c r="B2201" s="3" t="str">
        <f>IF(Raw_Data!J2201=1,Raw_Data!D2201,"")</f>
        <v/>
      </c>
    </row>
    <row r="2202" spans="1:2" x14ac:dyDescent="0.25">
      <c r="A2202" s="3">
        <f>IF(Raw_Data!J2202=0,Raw_Data!D2202,"")</f>
        <v>3720.12</v>
      </c>
      <c r="B2202" s="3" t="str">
        <f>IF(Raw_Data!J2202=1,Raw_Data!D2202,"")</f>
        <v/>
      </c>
    </row>
    <row r="2203" spans="1:2" x14ac:dyDescent="0.25">
      <c r="A2203" s="3">
        <f>IF(Raw_Data!J2203=0,Raw_Data!D2203,"")</f>
        <v>216.14</v>
      </c>
      <c r="B2203" s="3" t="str">
        <f>IF(Raw_Data!J2203=1,Raw_Data!D2203,"")</f>
        <v/>
      </c>
    </row>
    <row r="2204" spans="1:2" x14ac:dyDescent="0.25">
      <c r="A2204" s="3">
        <f>IF(Raw_Data!J2204=0,Raw_Data!D2204,"")</f>
        <v>4769.7299999999996</v>
      </c>
      <c r="B2204" s="3" t="str">
        <f>IF(Raw_Data!J2204=1,Raw_Data!D2204,"")</f>
        <v/>
      </c>
    </row>
    <row r="2205" spans="1:2" x14ac:dyDescent="0.25">
      <c r="A2205" s="3">
        <f>IF(Raw_Data!J2205=0,Raw_Data!D2205,"")</f>
        <v>5023.2700000000004</v>
      </c>
      <c r="B2205" s="3" t="str">
        <f>IF(Raw_Data!J2205=1,Raw_Data!D2205,"")</f>
        <v/>
      </c>
    </row>
    <row r="2206" spans="1:2" x14ac:dyDescent="0.25">
      <c r="A2206" s="3">
        <f>IF(Raw_Data!J2206=0,Raw_Data!D2206,"")</f>
        <v>1975.37</v>
      </c>
      <c r="B2206" s="3" t="str">
        <f>IF(Raw_Data!J2206=1,Raw_Data!D2206,"")</f>
        <v/>
      </c>
    </row>
    <row r="2207" spans="1:2" x14ac:dyDescent="0.25">
      <c r="A2207" s="3">
        <f>IF(Raw_Data!J2207=0,Raw_Data!D2207,"")</f>
        <v>1266.02</v>
      </c>
      <c r="B2207" s="3" t="str">
        <f>IF(Raw_Data!J2207=1,Raw_Data!D2207,"")</f>
        <v/>
      </c>
    </row>
    <row r="2208" spans="1:2" x14ac:dyDescent="0.25">
      <c r="A2208" s="3">
        <f>IF(Raw_Data!J2208=0,Raw_Data!D2208,"")</f>
        <v>1862.82</v>
      </c>
      <c r="B2208" s="3" t="str">
        <f>IF(Raw_Data!J2208=1,Raw_Data!D2208,"")</f>
        <v/>
      </c>
    </row>
    <row r="2209" spans="1:2" x14ac:dyDescent="0.25">
      <c r="A2209" s="3">
        <f>IF(Raw_Data!J2209=0,Raw_Data!D2209,"")</f>
        <v>553.34</v>
      </c>
      <c r="B2209" s="3" t="str">
        <f>IF(Raw_Data!J2209=1,Raw_Data!D2209,"")</f>
        <v/>
      </c>
    </row>
    <row r="2210" spans="1:2" x14ac:dyDescent="0.25">
      <c r="A2210" s="3">
        <f>IF(Raw_Data!J2210=0,Raw_Data!D2210,"")</f>
        <v>2872.25</v>
      </c>
      <c r="B2210" s="3" t="str">
        <f>IF(Raw_Data!J2210=1,Raw_Data!D2210,"")</f>
        <v/>
      </c>
    </row>
    <row r="2211" spans="1:2" x14ac:dyDescent="0.25">
      <c r="A2211" s="3" t="str">
        <f>IF(Raw_Data!J2211=0,Raw_Data!D2211,"")</f>
        <v/>
      </c>
      <c r="B2211" s="3">
        <f>IF(Raw_Data!J2211=1,Raw_Data!D2211,"")</f>
        <v>3268.41</v>
      </c>
    </row>
    <row r="2212" spans="1:2" x14ac:dyDescent="0.25">
      <c r="A2212" s="3" t="str">
        <f>IF(Raw_Data!J2212=0,Raw_Data!D2212,"")</f>
        <v/>
      </c>
      <c r="B2212" s="3">
        <f>IF(Raw_Data!J2212=1,Raw_Data!D2212,"")</f>
        <v>5484.43</v>
      </c>
    </row>
    <row r="2213" spans="1:2" x14ac:dyDescent="0.25">
      <c r="A2213" s="3">
        <f>IF(Raw_Data!J2213=0,Raw_Data!D2213,"")</f>
        <v>4190.66</v>
      </c>
      <c r="B2213" s="3" t="str">
        <f>IF(Raw_Data!J2213=1,Raw_Data!D2213,"")</f>
        <v/>
      </c>
    </row>
    <row r="2214" spans="1:2" x14ac:dyDescent="0.25">
      <c r="A2214" s="3">
        <f>IF(Raw_Data!J2214=0,Raw_Data!D2214,"")</f>
        <v>2688.6</v>
      </c>
      <c r="B2214" s="3" t="str">
        <f>IF(Raw_Data!J2214=1,Raw_Data!D2214,"")</f>
        <v/>
      </c>
    </row>
    <row r="2215" spans="1:2" x14ac:dyDescent="0.25">
      <c r="A2215" s="3" t="str">
        <f>IF(Raw_Data!J2215=0,Raw_Data!D2215,"")</f>
        <v/>
      </c>
      <c r="B2215" s="3">
        <f>IF(Raw_Data!J2215=1,Raw_Data!D2215,"")</f>
        <v>800.38</v>
      </c>
    </row>
    <row r="2216" spans="1:2" x14ac:dyDescent="0.25">
      <c r="A2216" s="3">
        <f>IF(Raw_Data!J2216=0,Raw_Data!D2216,"")</f>
        <v>2011.69</v>
      </c>
      <c r="B2216" s="3" t="str">
        <f>IF(Raw_Data!J2216=1,Raw_Data!D2216,"")</f>
        <v/>
      </c>
    </row>
    <row r="2217" spans="1:2" x14ac:dyDescent="0.25">
      <c r="A2217" s="3">
        <f>IF(Raw_Data!J2217=0,Raw_Data!D2217,"")</f>
        <v>725.13</v>
      </c>
      <c r="B2217" s="3" t="str">
        <f>IF(Raw_Data!J2217=1,Raw_Data!D2217,"")</f>
        <v/>
      </c>
    </row>
    <row r="2218" spans="1:2" x14ac:dyDescent="0.25">
      <c r="A2218" s="3">
        <f>IF(Raw_Data!J2218=0,Raw_Data!D2218,"")</f>
        <v>3669.39</v>
      </c>
      <c r="B2218" s="3" t="str">
        <f>IF(Raw_Data!J2218=1,Raw_Data!D2218,"")</f>
        <v/>
      </c>
    </row>
    <row r="2219" spans="1:2" x14ac:dyDescent="0.25">
      <c r="A2219" s="3" t="str">
        <f>IF(Raw_Data!J2219=0,Raw_Data!D2219,"")</f>
        <v/>
      </c>
      <c r="B2219" s="3">
        <f>IF(Raw_Data!J2219=1,Raw_Data!D2219,"")</f>
        <v>2629.08</v>
      </c>
    </row>
    <row r="2220" spans="1:2" x14ac:dyDescent="0.25">
      <c r="A2220" s="3">
        <f>IF(Raw_Data!J2220=0,Raw_Data!D2220,"")</f>
        <v>728.09</v>
      </c>
      <c r="B2220" s="3" t="str">
        <f>IF(Raw_Data!J2220=1,Raw_Data!D2220,"")</f>
        <v/>
      </c>
    </row>
    <row r="2221" spans="1:2" x14ac:dyDescent="0.25">
      <c r="A2221" s="3">
        <f>IF(Raw_Data!J2221=0,Raw_Data!D2221,"")</f>
        <v>764.34</v>
      </c>
      <c r="B2221" s="3" t="str">
        <f>IF(Raw_Data!J2221=1,Raw_Data!D2221,"")</f>
        <v/>
      </c>
    </row>
    <row r="2222" spans="1:2" x14ac:dyDescent="0.25">
      <c r="A2222" s="3">
        <f>IF(Raw_Data!J2222=0,Raw_Data!D2222,"")</f>
        <v>1515.26</v>
      </c>
      <c r="B2222" s="3" t="str">
        <f>IF(Raw_Data!J2222=1,Raw_Data!D2222,"")</f>
        <v/>
      </c>
    </row>
    <row r="2223" spans="1:2" x14ac:dyDescent="0.25">
      <c r="A2223" s="3" t="str">
        <f>IF(Raw_Data!J2223=0,Raw_Data!D2223,"")</f>
        <v/>
      </c>
      <c r="B2223" s="3">
        <f>IF(Raw_Data!J2223=1,Raw_Data!D2223,"")</f>
        <v>6346.56</v>
      </c>
    </row>
    <row r="2224" spans="1:2" x14ac:dyDescent="0.25">
      <c r="A2224" s="3" t="str">
        <f>IF(Raw_Data!J2224=0,Raw_Data!D2224,"")</f>
        <v/>
      </c>
      <c r="B2224" s="3">
        <f>IF(Raw_Data!J2224=1,Raw_Data!D2224,"")</f>
        <v>4235.6400000000003</v>
      </c>
    </row>
    <row r="2225" spans="1:2" x14ac:dyDescent="0.25">
      <c r="A2225" s="3">
        <f>IF(Raw_Data!J2225=0,Raw_Data!D2225,"")</f>
        <v>2659.72</v>
      </c>
      <c r="B2225" s="3" t="str">
        <f>IF(Raw_Data!J2225=1,Raw_Data!D2225,"")</f>
        <v/>
      </c>
    </row>
    <row r="2226" spans="1:2" x14ac:dyDescent="0.25">
      <c r="A2226" s="3" t="str">
        <f>IF(Raw_Data!J2226=0,Raw_Data!D2226,"")</f>
        <v/>
      </c>
      <c r="B2226" s="3">
        <f>IF(Raw_Data!J2226=1,Raw_Data!D2226,"")</f>
        <v>2542.13</v>
      </c>
    </row>
    <row r="2227" spans="1:2" x14ac:dyDescent="0.25">
      <c r="A2227" s="3" t="str">
        <f>IF(Raw_Data!J2227=0,Raw_Data!D2227,"")</f>
        <v/>
      </c>
      <c r="B2227" s="3">
        <f>IF(Raw_Data!J2227=1,Raw_Data!D2227,"")</f>
        <v>5241.18</v>
      </c>
    </row>
    <row r="2228" spans="1:2" x14ac:dyDescent="0.25">
      <c r="A2228" s="3">
        <f>IF(Raw_Data!J2228=0,Raw_Data!D2228,"")</f>
        <v>2958.46</v>
      </c>
      <c r="B2228" s="3" t="str">
        <f>IF(Raw_Data!J2228=1,Raw_Data!D2228,"")</f>
        <v/>
      </c>
    </row>
    <row r="2229" spans="1:2" x14ac:dyDescent="0.25">
      <c r="A2229" s="3">
        <f>IF(Raw_Data!J2229=0,Raw_Data!D2229,"")</f>
        <v>376.19</v>
      </c>
      <c r="B2229" s="3" t="str">
        <f>IF(Raw_Data!J2229=1,Raw_Data!D2229,"")</f>
        <v/>
      </c>
    </row>
    <row r="2230" spans="1:2" x14ac:dyDescent="0.25">
      <c r="A2230" s="3" t="str">
        <f>IF(Raw_Data!J2230=0,Raw_Data!D2230,"")</f>
        <v/>
      </c>
      <c r="B2230" s="3">
        <f>IF(Raw_Data!J2230=1,Raw_Data!D2230,"")</f>
        <v>5580.63</v>
      </c>
    </row>
    <row r="2231" spans="1:2" x14ac:dyDescent="0.25">
      <c r="A2231" s="3">
        <f>IF(Raw_Data!J2231=0,Raw_Data!D2231,"")</f>
        <v>2099.7399999999998</v>
      </c>
      <c r="B2231" s="3" t="str">
        <f>IF(Raw_Data!J2231=1,Raw_Data!D2231,"")</f>
        <v/>
      </c>
    </row>
    <row r="2232" spans="1:2" x14ac:dyDescent="0.25">
      <c r="A2232" s="3" t="str">
        <f>IF(Raw_Data!J2232=0,Raw_Data!D2232,"")</f>
        <v/>
      </c>
      <c r="B2232" s="3">
        <f>IF(Raw_Data!J2232=1,Raw_Data!D2232,"")</f>
        <v>2876.77</v>
      </c>
    </row>
    <row r="2233" spans="1:2" x14ac:dyDescent="0.25">
      <c r="A2233" s="3">
        <f>IF(Raw_Data!J2233=0,Raw_Data!D2233,"")</f>
        <v>5421.95</v>
      </c>
      <c r="B2233" s="3" t="str">
        <f>IF(Raw_Data!J2233=1,Raw_Data!D2233,"")</f>
        <v/>
      </c>
    </row>
    <row r="2234" spans="1:2" x14ac:dyDescent="0.25">
      <c r="A2234" s="3">
        <f>IF(Raw_Data!J2234=0,Raw_Data!D2234,"")</f>
        <v>1062.23</v>
      </c>
      <c r="B2234" s="3" t="str">
        <f>IF(Raw_Data!J2234=1,Raw_Data!D2234,"")</f>
        <v/>
      </c>
    </row>
    <row r="2235" spans="1:2" x14ac:dyDescent="0.25">
      <c r="A2235" s="3" t="str">
        <f>IF(Raw_Data!J2235=0,Raw_Data!D2235,"")</f>
        <v/>
      </c>
      <c r="B2235" s="3">
        <f>IF(Raw_Data!J2235=1,Raw_Data!D2235,"")</f>
        <v>2570.66</v>
      </c>
    </row>
    <row r="2236" spans="1:2" x14ac:dyDescent="0.25">
      <c r="A2236" s="3" t="str">
        <f>IF(Raw_Data!J2236=0,Raw_Data!D2236,"")</f>
        <v/>
      </c>
      <c r="B2236" s="3">
        <f>IF(Raw_Data!J2236=1,Raw_Data!D2236,"")</f>
        <v>2756.55</v>
      </c>
    </row>
    <row r="2237" spans="1:2" x14ac:dyDescent="0.25">
      <c r="A2237" s="3">
        <f>IF(Raw_Data!J2237=0,Raw_Data!D2237,"")</f>
        <v>1641.26</v>
      </c>
      <c r="B2237" s="3" t="str">
        <f>IF(Raw_Data!J2237=1,Raw_Data!D2237,"")</f>
        <v/>
      </c>
    </row>
    <row r="2238" spans="1:2" x14ac:dyDescent="0.25">
      <c r="A2238" s="3" t="str">
        <f>IF(Raw_Data!J2238=0,Raw_Data!D2238,"")</f>
        <v/>
      </c>
      <c r="B2238" s="3">
        <f>IF(Raw_Data!J2238=1,Raw_Data!D2238,"")</f>
        <v>3732.75</v>
      </c>
    </row>
    <row r="2239" spans="1:2" x14ac:dyDescent="0.25">
      <c r="A2239" s="3" t="str">
        <f>IF(Raw_Data!J2239=0,Raw_Data!D2239,"")</f>
        <v/>
      </c>
      <c r="B2239" s="3">
        <f>IF(Raw_Data!J2239=1,Raw_Data!D2239,"")</f>
        <v>3188.19</v>
      </c>
    </row>
    <row r="2240" spans="1:2" x14ac:dyDescent="0.25">
      <c r="A2240" s="3">
        <f>IF(Raw_Data!J2240=0,Raw_Data!D2240,"")</f>
        <v>1746.74</v>
      </c>
      <c r="B2240" s="3" t="str">
        <f>IF(Raw_Data!J2240=1,Raw_Data!D2240,"")</f>
        <v/>
      </c>
    </row>
    <row r="2241" spans="1:2" x14ac:dyDescent="0.25">
      <c r="A2241" s="3" t="str">
        <f>IF(Raw_Data!J2241=0,Raw_Data!D2241,"")</f>
        <v/>
      </c>
      <c r="B2241" s="3">
        <f>IF(Raw_Data!J2241=1,Raw_Data!D2241,"")</f>
        <v>3308.46</v>
      </c>
    </row>
    <row r="2242" spans="1:2" x14ac:dyDescent="0.25">
      <c r="A2242" s="3" t="str">
        <f>IF(Raw_Data!J2242=0,Raw_Data!D2242,"")</f>
        <v/>
      </c>
      <c r="B2242" s="3">
        <f>IF(Raw_Data!J2242=1,Raw_Data!D2242,"")</f>
        <v>2873.42</v>
      </c>
    </row>
    <row r="2243" spans="1:2" x14ac:dyDescent="0.25">
      <c r="A2243" s="3" t="str">
        <f>IF(Raw_Data!J2243=0,Raw_Data!D2243,"")</f>
        <v/>
      </c>
      <c r="B2243" s="3">
        <f>IF(Raw_Data!J2243=1,Raw_Data!D2243,"")</f>
        <v>2396.09</v>
      </c>
    </row>
    <row r="2244" spans="1:2" x14ac:dyDescent="0.25">
      <c r="A2244" s="3">
        <f>IF(Raw_Data!J2244=0,Raw_Data!D2244,"")</f>
        <v>1976.64</v>
      </c>
      <c r="B2244" s="3" t="str">
        <f>IF(Raw_Data!J2244=1,Raw_Data!D2244,"")</f>
        <v/>
      </c>
    </row>
    <row r="2245" spans="1:2" x14ac:dyDescent="0.25">
      <c r="A2245" s="3">
        <f>IF(Raw_Data!J2245=0,Raw_Data!D2245,"")</f>
        <v>1182.6099999999999</v>
      </c>
      <c r="B2245" s="3" t="str">
        <f>IF(Raw_Data!J2245=1,Raw_Data!D2245,"")</f>
        <v/>
      </c>
    </row>
    <row r="2246" spans="1:2" x14ac:dyDescent="0.25">
      <c r="A2246" s="3" t="str">
        <f>IF(Raw_Data!J2246=0,Raw_Data!D2246,"")</f>
        <v/>
      </c>
      <c r="B2246" s="3">
        <f>IF(Raw_Data!J2246=1,Raw_Data!D2246,"")</f>
        <v>1688.69</v>
      </c>
    </row>
    <row r="2247" spans="1:2" x14ac:dyDescent="0.25">
      <c r="A2247" s="3" t="str">
        <f>IF(Raw_Data!J2247=0,Raw_Data!D2247,"")</f>
        <v/>
      </c>
      <c r="B2247" s="3">
        <f>IF(Raw_Data!J2247=1,Raw_Data!D2247,"")</f>
        <v>2406.1</v>
      </c>
    </row>
    <row r="2248" spans="1:2" x14ac:dyDescent="0.25">
      <c r="A2248" s="3">
        <f>IF(Raw_Data!J2248=0,Raw_Data!D2248,"")</f>
        <v>1986.64</v>
      </c>
      <c r="B2248" s="3" t="str">
        <f>IF(Raw_Data!J2248=1,Raw_Data!D2248,"")</f>
        <v/>
      </c>
    </row>
    <row r="2249" spans="1:2" x14ac:dyDescent="0.25">
      <c r="A2249" s="3">
        <f>IF(Raw_Data!J2249=0,Raw_Data!D2249,"")</f>
        <v>2616.9699999999998</v>
      </c>
      <c r="B2249" s="3" t="str">
        <f>IF(Raw_Data!J2249=1,Raw_Data!D2249,"")</f>
        <v/>
      </c>
    </row>
    <row r="2250" spans="1:2" x14ac:dyDescent="0.25">
      <c r="A2250" s="3">
        <f>IF(Raw_Data!J2250=0,Raw_Data!D2250,"")</f>
        <v>341.83</v>
      </c>
      <c r="B2250" s="3" t="str">
        <f>IF(Raw_Data!J2250=1,Raw_Data!D2250,"")</f>
        <v/>
      </c>
    </row>
    <row r="2251" spans="1:2" x14ac:dyDescent="0.25">
      <c r="A2251" s="3">
        <f>IF(Raw_Data!J2251=0,Raw_Data!D2251,"")</f>
        <v>2702.04</v>
      </c>
      <c r="B2251" s="3" t="str">
        <f>IF(Raw_Data!J2251=1,Raw_Data!D2251,"")</f>
        <v/>
      </c>
    </row>
    <row r="2252" spans="1:2" x14ac:dyDescent="0.25">
      <c r="A2252" s="3">
        <f>IF(Raw_Data!J2252=0,Raw_Data!D2252,"")</f>
        <v>6317.49</v>
      </c>
      <c r="B2252" s="3" t="str">
        <f>IF(Raw_Data!J2252=1,Raw_Data!D2252,"")</f>
        <v/>
      </c>
    </row>
    <row r="2253" spans="1:2" x14ac:dyDescent="0.25">
      <c r="A2253" s="3" t="str">
        <f>IF(Raw_Data!J2253=0,Raw_Data!D2253,"")</f>
        <v/>
      </c>
      <c r="B2253" s="3">
        <f>IF(Raw_Data!J2253=1,Raw_Data!D2253,"")</f>
        <v>5806.23</v>
      </c>
    </row>
    <row r="2254" spans="1:2" x14ac:dyDescent="0.25">
      <c r="A2254" s="3" t="str">
        <f>IF(Raw_Data!J2254=0,Raw_Data!D2254,"")</f>
        <v/>
      </c>
      <c r="B2254" s="3">
        <f>IF(Raw_Data!J2254=1,Raw_Data!D2254,"")</f>
        <v>5016.3900000000003</v>
      </c>
    </row>
    <row r="2255" spans="1:2" x14ac:dyDescent="0.25">
      <c r="A2255" s="3">
        <f>IF(Raw_Data!J2255=0,Raw_Data!D2255,"")</f>
        <v>5148.71</v>
      </c>
      <c r="B2255" s="3" t="str">
        <f>IF(Raw_Data!J2255=1,Raw_Data!D2255,"")</f>
        <v/>
      </c>
    </row>
    <row r="2256" spans="1:2" x14ac:dyDescent="0.25">
      <c r="A2256" s="3">
        <f>IF(Raw_Data!J2256=0,Raw_Data!D2256,"")</f>
        <v>2107.36</v>
      </c>
      <c r="B2256" s="3" t="str">
        <f>IF(Raw_Data!J2256=1,Raw_Data!D2256,"")</f>
        <v/>
      </c>
    </row>
    <row r="2257" spans="1:2" x14ac:dyDescent="0.25">
      <c r="A2257" s="3">
        <f>IF(Raw_Data!J2257=0,Raw_Data!D2257,"")</f>
        <v>1123.8900000000001</v>
      </c>
      <c r="B2257" s="3" t="str">
        <f>IF(Raw_Data!J2257=1,Raw_Data!D2257,"")</f>
        <v/>
      </c>
    </row>
    <row r="2258" spans="1:2" x14ac:dyDescent="0.25">
      <c r="A2258" s="3">
        <f>IF(Raw_Data!J2258=0,Raw_Data!D2258,"")</f>
        <v>4778.08</v>
      </c>
      <c r="B2258" s="3" t="str">
        <f>IF(Raw_Data!J2258=1,Raw_Data!D2258,"")</f>
        <v/>
      </c>
    </row>
    <row r="2259" spans="1:2" x14ac:dyDescent="0.25">
      <c r="A2259" s="3">
        <f>IF(Raw_Data!J2259=0,Raw_Data!D2259,"")</f>
        <v>3190.03</v>
      </c>
      <c r="B2259" s="3" t="str">
        <f>IF(Raw_Data!J2259=1,Raw_Data!D2259,"")</f>
        <v/>
      </c>
    </row>
    <row r="2260" spans="1:2" x14ac:dyDescent="0.25">
      <c r="A2260" s="3">
        <f>IF(Raw_Data!J2260=0,Raw_Data!D2260,"")</f>
        <v>3060.75</v>
      </c>
      <c r="B2260" s="3" t="str">
        <f>IF(Raw_Data!J2260=1,Raw_Data!D2260,"")</f>
        <v/>
      </c>
    </row>
    <row r="2261" spans="1:2" x14ac:dyDescent="0.25">
      <c r="A2261" s="3" t="str">
        <f>IF(Raw_Data!J2261=0,Raw_Data!D2261,"")</f>
        <v/>
      </c>
      <c r="B2261" s="3">
        <f>IF(Raw_Data!J2261=1,Raw_Data!D2261,"")</f>
        <v>2796.06</v>
      </c>
    </row>
    <row r="2262" spans="1:2" x14ac:dyDescent="0.25">
      <c r="A2262" s="3">
        <f>IF(Raw_Data!J2262=0,Raw_Data!D2262,"")</f>
        <v>6475.62</v>
      </c>
      <c r="B2262" s="3" t="str">
        <f>IF(Raw_Data!J2262=1,Raw_Data!D2262,"")</f>
        <v/>
      </c>
    </row>
    <row r="2263" spans="1:2" x14ac:dyDescent="0.25">
      <c r="A2263" s="3">
        <f>IF(Raw_Data!J2263=0,Raw_Data!D2263,"")</f>
        <v>248.28</v>
      </c>
      <c r="B2263" s="3" t="str">
        <f>IF(Raw_Data!J2263=1,Raw_Data!D2263,"")</f>
        <v/>
      </c>
    </row>
    <row r="2264" spans="1:2" x14ac:dyDescent="0.25">
      <c r="A2264" s="3">
        <f>IF(Raw_Data!J2264=0,Raw_Data!D2264,"")</f>
        <v>1944.73</v>
      </c>
      <c r="B2264" s="3" t="str">
        <f>IF(Raw_Data!J2264=1,Raw_Data!D2264,"")</f>
        <v/>
      </c>
    </row>
    <row r="2265" spans="1:2" x14ac:dyDescent="0.25">
      <c r="A2265" s="3">
        <f>IF(Raw_Data!J2265=0,Raw_Data!D2265,"")</f>
        <v>453.62</v>
      </c>
      <c r="B2265" s="3" t="str">
        <f>IF(Raw_Data!J2265=1,Raw_Data!D2265,"")</f>
        <v/>
      </c>
    </row>
    <row r="2266" spans="1:2" x14ac:dyDescent="0.25">
      <c r="A2266" s="3">
        <f>IF(Raw_Data!J2266=0,Raw_Data!D2266,"")</f>
        <v>1331.28</v>
      </c>
      <c r="B2266" s="3" t="str">
        <f>IF(Raw_Data!J2266=1,Raw_Data!D2266,"")</f>
        <v/>
      </c>
    </row>
    <row r="2267" spans="1:2" x14ac:dyDescent="0.25">
      <c r="A2267" s="3">
        <f>IF(Raw_Data!J2267=0,Raw_Data!D2267,"")</f>
        <v>3328.58</v>
      </c>
      <c r="B2267" s="3" t="str">
        <f>IF(Raw_Data!J2267=1,Raw_Data!D2267,"")</f>
        <v/>
      </c>
    </row>
    <row r="2268" spans="1:2" x14ac:dyDescent="0.25">
      <c r="A2268" s="3" t="str">
        <f>IF(Raw_Data!J2268=0,Raw_Data!D2268,"")</f>
        <v/>
      </c>
      <c r="B2268" s="3">
        <f>IF(Raw_Data!J2268=1,Raw_Data!D2268,"")</f>
        <v>1582.53</v>
      </c>
    </row>
    <row r="2269" spans="1:2" x14ac:dyDescent="0.25">
      <c r="A2269" s="3" t="str">
        <f>IF(Raw_Data!J2269=0,Raw_Data!D2269,"")</f>
        <v/>
      </c>
      <c r="B2269" s="3">
        <f>IF(Raw_Data!J2269=1,Raw_Data!D2269,"")</f>
        <v>2602.37</v>
      </c>
    </row>
    <row r="2270" spans="1:2" x14ac:dyDescent="0.25">
      <c r="A2270" s="3">
        <f>IF(Raw_Data!J2270=0,Raw_Data!D2270,"")</f>
        <v>2477.9</v>
      </c>
      <c r="B2270" s="3" t="str">
        <f>IF(Raw_Data!J2270=1,Raw_Data!D2270,"")</f>
        <v/>
      </c>
    </row>
    <row r="2271" spans="1:2" x14ac:dyDescent="0.25">
      <c r="A2271" s="3">
        <f>IF(Raw_Data!J2271=0,Raw_Data!D2271,"")</f>
        <v>1340.21</v>
      </c>
      <c r="B2271" s="3" t="str">
        <f>IF(Raw_Data!J2271=1,Raw_Data!D2271,"")</f>
        <v/>
      </c>
    </row>
    <row r="2272" spans="1:2" x14ac:dyDescent="0.25">
      <c r="A2272" s="3">
        <f>IF(Raw_Data!J2272=0,Raw_Data!D2272,"")</f>
        <v>2452.5</v>
      </c>
      <c r="B2272" s="3" t="str">
        <f>IF(Raw_Data!J2272=1,Raw_Data!D2272,"")</f>
        <v/>
      </c>
    </row>
    <row r="2273" spans="1:2" x14ac:dyDescent="0.25">
      <c r="A2273" s="3" t="str">
        <f>IF(Raw_Data!J2273=0,Raw_Data!D2273,"")</f>
        <v/>
      </c>
      <c r="B2273" s="3">
        <f>IF(Raw_Data!J2273=1,Raw_Data!D2273,"")</f>
        <v>2220.96</v>
      </c>
    </row>
    <row r="2274" spans="1:2" x14ac:dyDescent="0.25">
      <c r="A2274" s="3">
        <f>IF(Raw_Data!J2274=0,Raw_Data!D2274,"")</f>
        <v>1619.25</v>
      </c>
      <c r="B2274" s="3" t="str">
        <f>IF(Raw_Data!J2274=1,Raw_Data!D2274,"")</f>
        <v/>
      </c>
    </row>
    <row r="2275" spans="1:2" x14ac:dyDescent="0.25">
      <c r="A2275" s="3">
        <f>IF(Raw_Data!J2275=0,Raw_Data!D2275,"")</f>
        <v>3546.16</v>
      </c>
      <c r="B2275" s="3" t="str">
        <f>IF(Raw_Data!J2275=1,Raw_Data!D2275,"")</f>
        <v/>
      </c>
    </row>
    <row r="2276" spans="1:2" x14ac:dyDescent="0.25">
      <c r="A2276" s="3">
        <f>IF(Raw_Data!J2276=0,Raw_Data!D2276,"")</f>
        <v>4540.2</v>
      </c>
      <c r="B2276" s="3" t="str">
        <f>IF(Raw_Data!J2276=1,Raw_Data!D2276,"")</f>
        <v/>
      </c>
    </row>
    <row r="2277" spans="1:2" x14ac:dyDescent="0.25">
      <c r="A2277" s="3">
        <f>IF(Raw_Data!J2277=0,Raw_Data!D2277,"")</f>
        <v>5492.77</v>
      </c>
      <c r="B2277" s="3" t="str">
        <f>IF(Raw_Data!J2277=1,Raw_Data!D2277,"")</f>
        <v/>
      </c>
    </row>
    <row r="2278" spans="1:2" x14ac:dyDescent="0.25">
      <c r="A2278" s="3">
        <f>IF(Raw_Data!J2278=0,Raw_Data!D2278,"")</f>
        <v>3169.56</v>
      </c>
      <c r="B2278" s="3" t="str">
        <f>IF(Raw_Data!J2278=1,Raw_Data!D2278,"")</f>
        <v/>
      </c>
    </row>
    <row r="2279" spans="1:2" x14ac:dyDescent="0.25">
      <c r="A2279" s="3">
        <f>IF(Raw_Data!J2279=0,Raw_Data!D2279,"")</f>
        <v>1771.55</v>
      </c>
      <c r="B2279" s="3" t="str">
        <f>IF(Raw_Data!J2279=1,Raw_Data!D2279,"")</f>
        <v/>
      </c>
    </row>
    <row r="2280" spans="1:2" x14ac:dyDescent="0.25">
      <c r="A2280" s="3" t="str">
        <f>IF(Raw_Data!J2280=0,Raw_Data!D2280,"")</f>
        <v/>
      </c>
      <c r="B2280" s="3">
        <f>IF(Raw_Data!J2280=1,Raw_Data!D2280,"")</f>
        <v>5235.68</v>
      </c>
    </row>
    <row r="2281" spans="1:2" x14ac:dyDescent="0.25">
      <c r="A2281" s="3">
        <f>IF(Raw_Data!J2281=0,Raw_Data!D2281,"")</f>
        <v>8768.89</v>
      </c>
      <c r="B2281" s="3" t="str">
        <f>IF(Raw_Data!J2281=1,Raw_Data!D2281,"")</f>
        <v/>
      </c>
    </row>
    <row r="2282" spans="1:2" x14ac:dyDescent="0.25">
      <c r="A2282" s="3">
        <f>IF(Raw_Data!J2282=0,Raw_Data!D2282,"")</f>
        <v>561.77</v>
      </c>
      <c r="B2282" s="3" t="str">
        <f>IF(Raw_Data!J2282=1,Raw_Data!D2282,"")</f>
        <v/>
      </c>
    </row>
    <row r="2283" spans="1:2" x14ac:dyDescent="0.25">
      <c r="A2283" s="3">
        <f>IF(Raw_Data!J2283=0,Raw_Data!D2283,"")</f>
        <v>1729.9</v>
      </c>
      <c r="B2283" s="3" t="str">
        <f>IF(Raw_Data!J2283=1,Raw_Data!D2283,"")</f>
        <v/>
      </c>
    </row>
    <row r="2284" spans="1:2" x14ac:dyDescent="0.25">
      <c r="A2284" s="3">
        <f>IF(Raw_Data!J2284=0,Raw_Data!D2284,"")</f>
        <v>3000.81</v>
      </c>
      <c r="B2284" s="3" t="str">
        <f>IF(Raw_Data!J2284=1,Raw_Data!D2284,"")</f>
        <v/>
      </c>
    </row>
    <row r="2285" spans="1:2" x14ac:dyDescent="0.25">
      <c r="A2285" s="3" t="str">
        <f>IF(Raw_Data!J2285=0,Raw_Data!D2285,"")</f>
        <v/>
      </c>
      <c r="B2285" s="3">
        <f>IF(Raw_Data!J2285=1,Raw_Data!D2285,"")</f>
        <v>1950.7</v>
      </c>
    </row>
    <row r="2286" spans="1:2" x14ac:dyDescent="0.25">
      <c r="A2286" s="3">
        <f>IF(Raw_Data!J2286=0,Raw_Data!D2286,"")</f>
        <v>997.54</v>
      </c>
      <c r="B2286" s="3" t="str">
        <f>IF(Raw_Data!J2286=1,Raw_Data!D2286,"")</f>
        <v/>
      </c>
    </row>
    <row r="2287" spans="1:2" x14ac:dyDescent="0.25">
      <c r="A2287" s="3" t="str">
        <f>IF(Raw_Data!J2287=0,Raw_Data!D2287,"")</f>
        <v/>
      </c>
      <c r="B2287" s="3">
        <f>IF(Raw_Data!J2287=1,Raw_Data!D2287,"")</f>
        <v>4687.62</v>
      </c>
    </row>
    <row r="2288" spans="1:2" x14ac:dyDescent="0.25">
      <c r="A2288" s="3">
        <f>IF(Raw_Data!J2288=0,Raw_Data!D2288,"")</f>
        <v>4748.49</v>
      </c>
      <c r="B2288" s="3" t="str">
        <f>IF(Raw_Data!J2288=1,Raw_Data!D2288,"")</f>
        <v/>
      </c>
    </row>
    <row r="2289" spans="1:2" x14ac:dyDescent="0.25">
      <c r="A2289" s="3">
        <f>IF(Raw_Data!J2289=0,Raw_Data!D2289,"")</f>
        <v>1092.8599999999999</v>
      </c>
      <c r="B2289" s="3" t="str">
        <f>IF(Raw_Data!J2289=1,Raw_Data!D2289,"")</f>
        <v/>
      </c>
    </row>
    <row r="2290" spans="1:2" x14ac:dyDescent="0.25">
      <c r="A2290" s="3">
        <f>IF(Raw_Data!J2290=0,Raw_Data!D2290,"")</f>
        <v>2456.41</v>
      </c>
      <c r="B2290" s="3" t="str">
        <f>IF(Raw_Data!J2290=1,Raw_Data!D2290,"")</f>
        <v/>
      </c>
    </row>
    <row r="2291" spans="1:2" x14ac:dyDescent="0.25">
      <c r="A2291" s="3">
        <f>IF(Raw_Data!J2291=0,Raw_Data!D2291,"")</f>
        <v>3723.27</v>
      </c>
      <c r="B2291" s="3" t="str">
        <f>IF(Raw_Data!J2291=1,Raw_Data!D2291,"")</f>
        <v/>
      </c>
    </row>
    <row r="2292" spans="1:2" x14ac:dyDescent="0.25">
      <c r="A2292" s="3" t="str">
        <f>IF(Raw_Data!J2292=0,Raw_Data!D2292,"")</f>
        <v/>
      </c>
      <c r="B2292" s="3">
        <f>IF(Raw_Data!J2292=1,Raw_Data!D2292,"")</f>
        <v>6926.5</v>
      </c>
    </row>
    <row r="2293" spans="1:2" x14ac:dyDescent="0.25">
      <c r="A2293" s="3">
        <f>IF(Raw_Data!J2293=0,Raw_Data!D2293,"")</f>
        <v>3250.73</v>
      </c>
      <c r="B2293" s="3" t="str">
        <f>IF(Raw_Data!J2293=1,Raw_Data!D2293,"")</f>
        <v/>
      </c>
    </row>
    <row r="2294" spans="1:2" x14ac:dyDescent="0.25">
      <c r="A2294" s="3" t="str">
        <f>IF(Raw_Data!J2294=0,Raw_Data!D2294,"")</f>
        <v/>
      </c>
      <c r="B2294" s="3">
        <f>IF(Raw_Data!J2294=1,Raw_Data!D2294,"")</f>
        <v>5162.38</v>
      </c>
    </row>
    <row r="2295" spans="1:2" x14ac:dyDescent="0.25">
      <c r="A2295" s="3">
        <f>IF(Raw_Data!J2295=0,Raw_Data!D2295,"")</f>
        <v>1909.74</v>
      </c>
      <c r="B2295" s="3" t="str">
        <f>IF(Raw_Data!J2295=1,Raw_Data!D2295,"")</f>
        <v/>
      </c>
    </row>
    <row r="2296" spans="1:2" x14ac:dyDescent="0.25">
      <c r="A2296" s="3">
        <f>IF(Raw_Data!J2296=0,Raw_Data!D2296,"")</f>
        <v>3545.2</v>
      </c>
      <c r="B2296" s="3" t="str">
        <f>IF(Raw_Data!J2296=1,Raw_Data!D2296,"")</f>
        <v/>
      </c>
    </row>
    <row r="2297" spans="1:2" x14ac:dyDescent="0.25">
      <c r="A2297" s="3">
        <f>IF(Raw_Data!J2297=0,Raw_Data!D2297,"")</f>
        <v>4092.27</v>
      </c>
      <c r="B2297" s="3" t="str">
        <f>IF(Raw_Data!J2297=1,Raw_Data!D2297,"")</f>
        <v/>
      </c>
    </row>
    <row r="2298" spans="1:2" x14ac:dyDescent="0.25">
      <c r="A2298" s="3">
        <f>IF(Raw_Data!J2298=0,Raw_Data!D2298,"")</f>
        <v>1135.02</v>
      </c>
      <c r="B2298" s="3" t="str">
        <f>IF(Raw_Data!J2298=1,Raw_Data!D2298,"")</f>
        <v/>
      </c>
    </row>
    <row r="2299" spans="1:2" x14ac:dyDescent="0.25">
      <c r="A2299" s="3">
        <f>IF(Raw_Data!J2299=0,Raw_Data!D2299,"")</f>
        <v>3750.2</v>
      </c>
      <c r="B2299" s="3" t="str">
        <f>IF(Raw_Data!J2299=1,Raw_Data!D2299,"")</f>
        <v/>
      </c>
    </row>
    <row r="2300" spans="1:2" x14ac:dyDescent="0.25">
      <c r="A2300" s="3">
        <f>IF(Raw_Data!J2300=0,Raw_Data!D2300,"")</f>
        <v>735.02</v>
      </c>
      <c r="B2300" s="3" t="str">
        <f>IF(Raw_Data!J2300=1,Raw_Data!D2300,"")</f>
        <v/>
      </c>
    </row>
    <row r="2301" spans="1:2" x14ac:dyDescent="0.25">
      <c r="A2301" s="3">
        <f>IF(Raw_Data!J2301=0,Raw_Data!D2301,"")</f>
        <v>3886.1</v>
      </c>
      <c r="B2301" s="3" t="str">
        <f>IF(Raw_Data!J2301=1,Raw_Data!D2301,"")</f>
        <v/>
      </c>
    </row>
    <row r="2302" spans="1:2" x14ac:dyDescent="0.25">
      <c r="A2302" s="3">
        <f>IF(Raw_Data!J2302=0,Raw_Data!D2302,"")</f>
        <v>1352.28</v>
      </c>
      <c r="B2302" s="3" t="str">
        <f>IF(Raw_Data!J2302=1,Raw_Data!D2302,"")</f>
        <v/>
      </c>
    </row>
    <row r="2303" spans="1:2" x14ac:dyDescent="0.25">
      <c r="A2303" s="3">
        <f>IF(Raw_Data!J2303=0,Raw_Data!D2303,"")</f>
        <v>1468.25</v>
      </c>
      <c r="B2303" s="3" t="str">
        <f>IF(Raw_Data!J2303=1,Raw_Data!D2303,"")</f>
        <v/>
      </c>
    </row>
    <row r="2304" spans="1:2" x14ac:dyDescent="0.25">
      <c r="A2304" s="3">
        <f>IF(Raw_Data!J2304=0,Raw_Data!D2304,"")</f>
        <v>5579.67</v>
      </c>
      <c r="B2304" s="3" t="str">
        <f>IF(Raw_Data!J2304=1,Raw_Data!D2304,"")</f>
        <v/>
      </c>
    </row>
    <row r="2305" spans="1:2" x14ac:dyDescent="0.25">
      <c r="A2305" s="3">
        <f>IF(Raw_Data!J2305=0,Raw_Data!D2305,"")</f>
        <v>3373.15</v>
      </c>
      <c r="B2305" s="3" t="str">
        <f>IF(Raw_Data!J2305=1,Raw_Data!D2305,"")</f>
        <v/>
      </c>
    </row>
    <row r="2306" spans="1:2" x14ac:dyDescent="0.25">
      <c r="A2306" s="3">
        <f>IF(Raw_Data!J2306=0,Raw_Data!D2306,"")</f>
        <v>6390.04</v>
      </c>
      <c r="B2306" s="3" t="str">
        <f>IF(Raw_Data!J2306=1,Raw_Data!D2306,"")</f>
        <v/>
      </c>
    </row>
    <row r="2307" spans="1:2" x14ac:dyDescent="0.25">
      <c r="A2307" s="3">
        <f>IF(Raw_Data!J2307=0,Raw_Data!D2307,"")</f>
        <v>3026.29</v>
      </c>
      <c r="B2307" s="3" t="str">
        <f>IF(Raw_Data!J2307=1,Raw_Data!D2307,"")</f>
        <v/>
      </c>
    </row>
    <row r="2308" spans="1:2" x14ac:dyDescent="0.25">
      <c r="A2308" s="3">
        <f>IF(Raw_Data!J2308=0,Raw_Data!D2308,"")</f>
        <v>1086.3</v>
      </c>
      <c r="B2308" s="3" t="str">
        <f>IF(Raw_Data!J2308=1,Raw_Data!D2308,"")</f>
        <v/>
      </c>
    </row>
    <row r="2309" spans="1:2" x14ac:dyDescent="0.25">
      <c r="A2309" s="3">
        <f>IF(Raw_Data!J2309=0,Raw_Data!D2309,"")</f>
        <v>1713.07</v>
      </c>
      <c r="B2309" s="3" t="str">
        <f>IF(Raw_Data!J2309=1,Raw_Data!D2309,"")</f>
        <v/>
      </c>
    </row>
    <row r="2310" spans="1:2" x14ac:dyDescent="0.25">
      <c r="A2310" s="3">
        <f>IF(Raw_Data!J2310=0,Raw_Data!D2310,"")</f>
        <v>1412.36</v>
      </c>
      <c r="B2310" s="3" t="str">
        <f>IF(Raw_Data!J2310=1,Raw_Data!D2310,"")</f>
        <v/>
      </c>
    </row>
    <row r="2311" spans="1:2" x14ac:dyDescent="0.25">
      <c r="A2311" s="3">
        <f>IF(Raw_Data!J2311=0,Raw_Data!D2311,"")</f>
        <v>1897.31</v>
      </c>
      <c r="B2311" s="3" t="str">
        <f>IF(Raw_Data!J2311=1,Raw_Data!D2311,"")</f>
        <v/>
      </c>
    </row>
    <row r="2312" spans="1:2" x14ac:dyDescent="0.25">
      <c r="A2312" s="3">
        <f>IF(Raw_Data!J2312=0,Raw_Data!D2312,"")</f>
        <v>1280.8800000000001</v>
      </c>
      <c r="B2312" s="3" t="str">
        <f>IF(Raw_Data!J2312=1,Raw_Data!D2312,"")</f>
        <v/>
      </c>
    </row>
    <row r="2313" spans="1:2" x14ac:dyDescent="0.25">
      <c r="A2313" s="3" t="str">
        <f>IF(Raw_Data!J2313=0,Raw_Data!D2313,"")</f>
        <v/>
      </c>
      <c r="B2313" s="3">
        <f>IF(Raw_Data!J2313=1,Raw_Data!D2313,"")</f>
        <v>5298.67</v>
      </c>
    </row>
    <row r="2314" spans="1:2" x14ac:dyDescent="0.25">
      <c r="A2314" s="3">
        <f>IF(Raw_Data!J2314=0,Raw_Data!D2314,"")</f>
        <v>3542.17</v>
      </c>
      <c r="B2314" s="3" t="str">
        <f>IF(Raw_Data!J2314=1,Raw_Data!D2314,"")</f>
        <v/>
      </c>
    </row>
    <row r="2315" spans="1:2" x14ac:dyDescent="0.25">
      <c r="A2315" s="3">
        <f>IF(Raw_Data!J2315=0,Raw_Data!D2315,"")</f>
        <v>1633.87</v>
      </c>
      <c r="B2315" s="3" t="str">
        <f>IF(Raw_Data!J2315=1,Raw_Data!D2315,"")</f>
        <v/>
      </c>
    </row>
    <row r="2316" spans="1:2" x14ac:dyDescent="0.25">
      <c r="A2316" s="3">
        <f>IF(Raw_Data!J2316=0,Raw_Data!D2316,"")</f>
        <v>1540.91</v>
      </c>
      <c r="B2316" s="3" t="str">
        <f>IF(Raw_Data!J2316=1,Raw_Data!D2316,"")</f>
        <v/>
      </c>
    </row>
    <row r="2317" spans="1:2" x14ac:dyDescent="0.25">
      <c r="A2317" s="3">
        <f>IF(Raw_Data!J2317=0,Raw_Data!D2317,"")</f>
        <v>3060.75</v>
      </c>
      <c r="B2317" s="3" t="str">
        <f>IF(Raw_Data!J2317=1,Raw_Data!D2317,"")</f>
        <v/>
      </c>
    </row>
    <row r="2318" spans="1:2" x14ac:dyDescent="0.25">
      <c r="A2318" s="3">
        <f>IF(Raw_Data!J2318=0,Raw_Data!D2318,"")</f>
        <v>3866.42</v>
      </c>
      <c r="B2318" s="3" t="str">
        <f>IF(Raw_Data!J2318=1,Raw_Data!D2318,"")</f>
        <v/>
      </c>
    </row>
    <row r="2319" spans="1:2" x14ac:dyDescent="0.25">
      <c r="A2319" s="3">
        <f>IF(Raw_Data!J2319=0,Raw_Data!D2319,"")</f>
        <v>1312.96</v>
      </c>
      <c r="B2319" s="3" t="str">
        <f>IF(Raw_Data!J2319=1,Raw_Data!D2319,"")</f>
        <v/>
      </c>
    </row>
    <row r="2320" spans="1:2" x14ac:dyDescent="0.25">
      <c r="A2320" s="3" t="str">
        <f>IF(Raw_Data!J2320=0,Raw_Data!D2320,"")</f>
        <v/>
      </c>
      <c r="B2320" s="3">
        <f>IF(Raw_Data!J2320=1,Raw_Data!D2320,"")</f>
        <v>2430.9899999999998</v>
      </c>
    </row>
    <row r="2321" spans="1:2" x14ac:dyDescent="0.25">
      <c r="A2321" s="3">
        <f>IF(Raw_Data!J2321=0,Raw_Data!D2321,"")</f>
        <v>1331.07</v>
      </c>
      <c r="B2321" s="3" t="str">
        <f>IF(Raw_Data!J2321=1,Raw_Data!D2321,"")</f>
        <v/>
      </c>
    </row>
    <row r="2322" spans="1:2" x14ac:dyDescent="0.25">
      <c r="A2322" s="3">
        <f>IF(Raw_Data!J2322=0,Raw_Data!D2322,"")</f>
        <v>4352.17</v>
      </c>
      <c r="B2322" s="3" t="str">
        <f>IF(Raw_Data!J2322=1,Raw_Data!D2322,"")</f>
        <v/>
      </c>
    </row>
    <row r="2323" spans="1:2" x14ac:dyDescent="0.25">
      <c r="A2323" s="3">
        <f>IF(Raw_Data!J2323=0,Raw_Data!D2323,"")</f>
        <v>3056.32</v>
      </c>
      <c r="B2323" s="3" t="str">
        <f>IF(Raw_Data!J2323=1,Raw_Data!D2323,"")</f>
        <v/>
      </c>
    </row>
    <row r="2324" spans="1:2" x14ac:dyDescent="0.25">
      <c r="A2324" s="3">
        <f>IF(Raw_Data!J2324=0,Raw_Data!D2324,"")</f>
        <v>6507.3</v>
      </c>
      <c r="B2324" s="3" t="str">
        <f>IF(Raw_Data!J2324=1,Raw_Data!D2324,"")</f>
        <v/>
      </c>
    </row>
    <row r="2325" spans="1:2" x14ac:dyDescent="0.25">
      <c r="A2325" s="3" t="str">
        <f>IF(Raw_Data!J2325=0,Raw_Data!D2325,"")</f>
        <v/>
      </c>
      <c r="B2325" s="3">
        <f>IF(Raw_Data!J2325=1,Raw_Data!D2325,"")</f>
        <v>2652.62</v>
      </c>
    </row>
    <row r="2326" spans="1:2" x14ac:dyDescent="0.25">
      <c r="A2326" s="3">
        <f>IF(Raw_Data!J2326=0,Raw_Data!D2326,"")</f>
        <v>2092.5100000000002</v>
      </c>
      <c r="B2326" s="3" t="str">
        <f>IF(Raw_Data!J2326=1,Raw_Data!D2326,"")</f>
        <v/>
      </c>
    </row>
    <row r="2327" spans="1:2" x14ac:dyDescent="0.25">
      <c r="A2327" s="3">
        <f>IF(Raw_Data!J2327=0,Raw_Data!D2327,"")</f>
        <v>3686.67</v>
      </c>
      <c r="B2327" s="3" t="str">
        <f>IF(Raw_Data!J2327=1,Raw_Data!D2327,"")</f>
        <v/>
      </c>
    </row>
    <row r="2328" spans="1:2" x14ac:dyDescent="0.25">
      <c r="A2328" s="3">
        <f>IF(Raw_Data!J2328=0,Raw_Data!D2328,"")</f>
        <v>2515.9899999999998</v>
      </c>
      <c r="B2328" s="3" t="str">
        <f>IF(Raw_Data!J2328=1,Raw_Data!D2328,"")</f>
        <v/>
      </c>
    </row>
    <row r="2329" spans="1:2" x14ac:dyDescent="0.25">
      <c r="A2329" s="3">
        <f>IF(Raw_Data!J2329=0,Raw_Data!D2329,"")</f>
        <v>1889.73</v>
      </c>
      <c r="B2329" s="3" t="str">
        <f>IF(Raw_Data!J2329=1,Raw_Data!D2329,"")</f>
        <v/>
      </c>
    </row>
    <row r="2330" spans="1:2" x14ac:dyDescent="0.25">
      <c r="A2330" s="3">
        <f>IF(Raw_Data!J2330=0,Raw_Data!D2330,"")</f>
        <v>874.18</v>
      </c>
      <c r="B2330" s="3" t="str">
        <f>IF(Raw_Data!J2330=1,Raw_Data!D2330,"")</f>
        <v/>
      </c>
    </row>
    <row r="2331" spans="1:2" x14ac:dyDescent="0.25">
      <c r="A2331" s="3">
        <f>IF(Raw_Data!J2331=0,Raw_Data!D2331,"")</f>
        <v>4486.25</v>
      </c>
      <c r="B2331" s="3" t="str">
        <f>IF(Raw_Data!J2331=1,Raw_Data!D2331,"")</f>
        <v/>
      </c>
    </row>
    <row r="2332" spans="1:2" x14ac:dyDescent="0.25">
      <c r="A2332" s="3">
        <f>IF(Raw_Data!J2332=0,Raw_Data!D2332,"")</f>
        <v>1481.44</v>
      </c>
      <c r="B2332" s="3" t="str">
        <f>IF(Raw_Data!J2332=1,Raw_Data!D2332,"")</f>
        <v/>
      </c>
    </row>
    <row r="2333" spans="1:2" x14ac:dyDescent="0.25">
      <c r="A2333" s="3">
        <f>IF(Raw_Data!J2333=0,Raw_Data!D2333,"")</f>
        <v>5801.03</v>
      </c>
      <c r="B2333" s="3" t="str">
        <f>IF(Raw_Data!J2333=1,Raw_Data!D2333,"")</f>
        <v/>
      </c>
    </row>
    <row r="2334" spans="1:2" x14ac:dyDescent="0.25">
      <c r="A2334" s="3" t="str">
        <f>IF(Raw_Data!J2334=0,Raw_Data!D2334,"")</f>
        <v/>
      </c>
      <c r="B2334" s="3">
        <f>IF(Raw_Data!J2334=1,Raw_Data!D2334,"")</f>
        <v>2953.53</v>
      </c>
    </row>
    <row r="2335" spans="1:2" x14ac:dyDescent="0.25">
      <c r="A2335" s="3">
        <f>IF(Raw_Data!J2335=0,Raw_Data!D2335,"")</f>
        <v>7826.86</v>
      </c>
      <c r="B2335" s="3" t="str">
        <f>IF(Raw_Data!J2335=1,Raw_Data!D2335,"")</f>
        <v/>
      </c>
    </row>
    <row r="2336" spans="1:2" x14ac:dyDescent="0.25">
      <c r="A2336" s="3">
        <f>IF(Raw_Data!J2336=0,Raw_Data!D2336,"")</f>
        <v>1482.54</v>
      </c>
      <c r="B2336" s="3" t="str">
        <f>IF(Raw_Data!J2336=1,Raw_Data!D2336,"")</f>
        <v/>
      </c>
    </row>
    <row r="2337" spans="1:2" x14ac:dyDescent="0.25">
      <c r="A2337" s="3" t="str">
        <f>IF(Raw_Data!J2337=0,Raw_Data!D2337,"")</f>
        <v/>
      </c>
      <c r="B2337" s="3">
        <f>IF(Raw_Data!J2337=1,Raw_Data!D2337,"")</f>
        <v>922.37</v>
      </c>
    </row>
    <row r="2338" spans="1:2" x14ac:dyDescent="0.25">
      <c r="A2338" s="3">
        <f>IF(Raw_Data!J2338=0,Raw_Data!D2338,"")</f>
        <v>2724.27</v>
      </c>
      <c r="B2338" s="3" t="str">
        <f>IF(Raw_Data!J2338=1,Raw_Data!D2338,"")</f>
        <v/>
      </c>
    </row>
    <row r="2339" spans="1:2" x14ac:dyDescent="0.25">
      <c r="A2339" s="3">
        <f>IF(Raw_Data!J2339=0,Raw_Data!D2339,"")</f>
        <v>1216.3399999999999</v>
      </c>
      <c r="B2339" s="3" t="str">
        <f>IF(Raw_Data!J2339=1,Raw_Data!D2339,"")</f>
        <v/>
      </c>
    </row>
    <row r="2340" spans="1:2" x14ac:dyDescent="0.25">
      <c r="A2340" s="3">
        <f>IF(Raw_Data!J2340=0,Raw_Data!D2340,"")</f>
        <v>976.7</v>
      </c>
      <c r="B2340" s="3" t="str">
        <f>IF(Raw_Data!J2340=1,Raw_Data!D2340,"")</f>
        <v/>
      </c>
    </row>
    <row r="2341" spans="1:2" x14ac:dyDescent="0.25">
      <c r="A2341" s="3" t="str">
        <f>IF(Raw_Data!J2341=0,Raw_Data!D2341,"")</f>
        <v/>
      </c>
      <c r="B2341" s="3">
        <f>IF(Raw_Data!J2341=1,Raw_Data!D2341,"")</f>
        <v>3093.06</v>
      </c>
    </row>
    <row r="2342" spans="1:2" x14ac:dyDescent="0.25">
      <c r="A2342" s="3" t="str">
        <f>IF(Raw_Data!J2342=0,Raw_Data!D2342,"")</f>
        <v/>
      </c>
      <c r="B2342" s="3">
        <f>IF(Raw_Data!J2342=1,Raw_Data!D2342,"")</f>
        <v>4397.67</v>
      </c>
    </row>
    <row r="2343" spans="1:2" x14ac:dyDescent="0.25">
      <c r="A2343" s="3">
        <f>IF(Raw_Data!J2343=0,Raw_Data!D2343,"")</f>
        <v>2740.11</v>
      </c>
      <c r="B2343" s="3" t="str">
        <f>IF(Raw_Data!J2343=1,Raw_Data!D2343,"")</f>
        <v/>
      </c>
    </row>
    <row r="2344" spans="1:2" x14ac:dyDescent="0.25">
      <c r="A2344" s="3">
        <f>IF(Raw_Data!J2344=0,Raw_Data!D2344,"")</f>
        <v>1146.49</v>
      </c>
      <c r="B2344" s="3" t="str">
        <f>IF(Raw_Data!J2344=1,Raw_Data!D2344,"")</f>
        <v/>
      </c>
    </row>
    <row r="2345" spans="1:2" x14ac:dyDescent="0.25">
      <c r="A2345" s="3">
        <f>IF(Raw_Data!J2345=0,Raw_Data!D2345,"")</f>
        <v>1799.17</v>
      </c>
      <c r="B2345" s="3" t="str">
        <f>IF(Raw_Data!J2345=1,Raw_Data!D2345,"")</f>
        <v/>
      </c>
    </row>
    <row r="2346" spans="1:2" x14ac:dyDescent="0.25">
      <c r="A2346" s="3">
        <f>IF(Raw_Data!J2346=0,Raw_Data!D2346,"")</f>
        <v>2500.19</v>
      </c>
      <c r="B2346" s="3" t="str">
        <f>IF(Raw_Data!J2346=1,Raw_Data!D2346,"")</f>
        <v/>
      </c>
    </row>
    <row r="2347" spans="1:2" x14ac:dyDescent="0.25">
      <c r="A2347" s="3">
        <f>IF(Raw_Data!J2347=0,Raw_Data!D2347,"")</f>
        <v>1918.35</v>
      </c>
      <c r="B2347" s="3" t="str">
        <f>IF(Raw_Data!J2347=1,Raw_Data!D2347,"")</f>
        <v/>
      </c>
    </row>
    <row r="2348" spans="1:2" x14ac:dyDescent="0.25">
      <c r="A2348" s="3">
        <f>IF(Raw_Data!J2348=0,Raw_Data!D2348,"")</f>
        <v>394.54</v>
      </c>
      <c r="B2348" s="3" t="str">
        <f>IF(Raw_Data!J2348=1,Raw_Data!D2348,"")</f>
        <v/>
      </c>
    </row>
    <row r="2349" spans="1:2" x14ac:dyDescent="0.25">
      <c r="A2349" s="3">
        <f>IF(Raw_Data!J2349=0,Raw_Data!D2349,"")</f>
        <v>3274.47</v>
      </c>
      <c r="B2349" s="3" t="str">
        <f>IF(Raw_Data!J2349=1,Raw_Data!D2349,"")</f>
        <v/>
      </c>
    </row>
    <row r="2350" spans="1:2" x14ac:dyDescent="0.25">
      <c r="A2350" s="3">
        <f>IF(Raw_Data!J2350=0,Raw_Data!D2350,"")</f>
        <v>1707.25</v>
      </c>
      <c r="B2350" s="3" t="str">
        <f>IF(Raw_Data!J2350=1,Raw_Data!D2350,"")</f>
        <v/>
      </c>
    </row>
    <row r="2351" spans="1:2" x14ac:dyDescent="0.25">
      <c r="A2351" s="3">
        <f>IF(Raw_Data!J2351=0,Raw_Data!D2351,"")</f>
        <v>3954.4</v>
      </c>
      <c r="B2351" s="3" t="str">
        <f>IF(Raw_Data!J2351=1,Raw_Data!D2351,"")</f>
        <v/>
      </c>
    </row>
    <row r="2352" spans="1:2" x14ac:dyDescent="0.25">
      <c r="A2352" s="3">
        <f>IF(Raw_Data!J2352=0,Raw_Data!D2352,"")</f>
        <v>1952.27</v>
      </c>
      <c r="B2352" s="3" t="str">
        <f>IF(Raw_Data!J2352=1,Raw_Data!D2352,"")</f>
        <v/>
      </c>
    </row>
    <row r="2353" spans="1:2" x14ac:dyDescent="0.25">
      <c r="A2353" s="3" t="str">
        <f>IF(Raw_Data!J2353=0,Raw_Data!D2353,"")</f>
        <v/>
      </c>
      <c r="B2353" s="3">
        <f>IF(Raw_Data!J2353=1,Raw_Data!D2353,"")</f>
        <v>1834.78</v>
      </c>
    </row>
    <row r="2354" spans="1:2" x14ac:dyDescent="0.25">
      <c r="A2354" s="3">
        <f>IF(Raw_Data!J2354=0,Raw_Data!D2354,"")</f>
        <v>4667.91</v>
      </c>
      <c r="B2354" s="3" t="str">
        <f>IF(Raw_Data!J2354=1,Raw_Data!D2354,"")</f>
        <v/>
      </c>
    </row>
    <row r="2355" spans="1:2" x14ac:dyDescent="0.25">
      <c r="A2355" s="3">
        <f>IF(Raw_Data!J2355=0,Raw_Data!D2355,"")</f>
        <v>3876.29</v>
      </c>
      <c r="B2355" s="3" t="str">
        <f>IF(Raw_Data!J2355=1,Raw_Data!D2355,"")</f>
        <v/>
      </c>
    </row>
    <row r="2356" spans="1:2" x14ac:dyDescent="0.25">
      <c r="A2356" s="3">
        <f>IF(Raw_Data!J2356=0,Raw_Data!D2356,"")</f>
        <v>193.5</v>
      </c>
      <c r="B2356" s="3" t="str">
        <f>IF(Raw_Data!J2356=1,Raw_Data!D2356,"")</f>
        <v/>
      </c>
    </row>
    <row r="2357" spans="1:2" x14ac:dyDescent="0.25">
      <c r="A2357" s="3">
        <f>IF(Raw_Data!J2357=0,Raw_Data!D2357,"")</f>
        <v>3179.51</v>
      </c>
      <c r="B2357" s="3" t="str">
        <f>IF(Raw_Data!J2357=1,Raw_Data!D2357,"")</f>
        <v/>
      </c>
    </row>
    <row r="2358" spans="1:2" x14ac:dyDescent="0.25">
      <c r="A2358" s="3">
        <f>IF(Raw_Data!J2358=0,Raw_Data!D2358,"")</f>
        <v>4432.2700000000004</v>
      </c>
      <c r="B2358" s="3" t="str">
        <f>IF(Raw_Data!J2358=1,Raw_Data!D2358,"")</f>
        <v/>
      </c>
    </row>
    <row r="2359" spans="1:2" x14ac:dyDescent="0.25">
      <c r="A2359" s="3">
        <f>IF(Raw_Data!J2359=0,Raw_Data!D2359,"")</f>
        <v>909.75</v>
      </c>
      <c r="B2359" s="3" t="str">
        <f>IF(Raw_Data!J2359=1,Raw_Data!D2359,"")</f>
        <v/>
      </c>
    </row>
    <row r="2360" spans="1:2" x14ac:dyDescent="0.25">
      <c r="A2360" s="3">
        <f>IF(Raw_Data!J2360=0,Raw_Data!D2360,"")</f>
        <v>2342.52</v>
      </c>
      <c r="B2360" s="3" t="str">
        <f>IF(Raw_Data!J2360=1,Raw_Data!D2360,"")</f>
        <v/>
      </c>
    </row>
    <row r="2361" spans="1:2" x14ac:dyDescent="0.25">
      <c r="A2361" s="3">
        <f>IF(Raw_Data!J2361=0,Raw_Data!D2361,"")</f>
        <v>1273.49</v>
      </c>
      <c r="B2361" s="3" t="str">
        <f>IF(Raw_Data!J2361=1,Raw_Data!D2361,"")</f>
        <v/>
      </c>
    </row>
    <row r="2362" spans="1:2" x14ac:dyDescent="0.25">
      <c r="A2362" s="3" t="str">
        <f>IF(Raw_Data!J2362=0,Raw_Data!D2362,"")</f>
        <v/>
      </c>
      <c r="B2362" s="3">
        <f>IF(Raw_Data!J2362=1,Raw_Data!D2362,"")</f>
        <v>5301.78</v>
      </c>
    </row>
    <row r="2363" spans="1:2" x14ac:dyDescent="0.25">
      <c r="A2363" s="3" t="str">
        <f>IF(Raw_Data!J2363=0,Raw_Data!D2363,"")</f>
        <v/>
      </c>
      <c r="B2363" s="3">
        <f>IF(Raw_Data!J2363=1,Raw_Data!D2363,"")</f>
        <v>2752.77</v>
      </c>
    </row>
    <row r="2364" spans="1:2" x14ac:dyDescent="0.25">
      <c r="A2364" s="3">
        <f>IF(Raw_Data!J2364=0,Raw_Data!D2364,"")</f>
        <v>1614.12</v>
      </c>
      <c r="B2364" s="3" t="str">
        <f>IF(Raw_Data!J2364=1,Raw_Data!D2364,"")</f>
        <v/>
      </c>
    </row>
    <row r="2365" spans="1:2" x14ac:dyDescent="0.25">
      <c r="A2365" s="3">
        <f>IF(Raw_Data!J2365=0,Raw_Data!D2365,"")</f>
        <v>2762.61</v>
      </c>
      <c r="B2365" s="3" t="str">
        <f>IF(Raw_Data!J2365=1,Raw_Data!D2365,"")</f>
        <v/>
      </c>
    </row>
    <row r="2366" spans="1:2" x14ac:dyDescent="0.25">
      <c r="A2366" s="3" t="str">
        <f>IF(Raw_Data!J2366=0,Raw_Data!D2366,"")</f>
        <v/>
      </c>
      <c r="B2366" s="3">
        <f>IF(Raw_Data!J2366=1,Raw_Data!D2366,"")</f>
        <v>2849.25</v>
      </c>
    </row>
    <row r="2367" spans="1:2" x14ac:dyDescent="0.25">
      <c r="A2367" s="3" t="str">
        <f>IF(Raw_Data!J2367=0,Raw_Data!D2367,"")</f>
        <v/>
      </c>
      <c r="B2367" s="3">
        <f>IF(Raw_Data!J2367=1,Raw_Data!D2367,"")</f>
        <v>1607.66</v>
      </c>
    </row>
    <row r="2368" spans="1:2" x14ac:dyDescent="0.25">
      <c r="A2368" s="3">
        <f>IF(Raw_Data!J2368=0,Raw_Data!D2368,"")</f>
        <v>4130.05</v>
      </c>
      <c r="B2368" s="3" t="str">
        <f>IF(Raw_Data!J2368=1,Raw_Data!D2368,"")</f>
        <v/>
      </c>
    </row>
    <row r="2369" spans="1:2" x14ac:dyDescent="0.25">
      <c r="A2369" s="3">
        <f>IF(Raw_Data!J2369=0,Raw_Data!D2369,"")</f>
        <v>399.46</v>
      </c>
      <c r="B2369" s="3" t="str">
        <f>IF(Raw_Data!J2369=1,Raw_Data!D2369,"")</f>
        <v/>
      </c>
    </row>
    <row r="2370" spans="1:2" x14ac:dyDescent="0.25">
      <c r="A2370" s="3">
        <f>IF(Raw_Data!J2370=0,Raw_Data!D2370,"")</f>
        <v>4682.01</v>
      </c>
      <c r="B2370" s="3" t="str">
        <f>IF(Raw_Data!J2370=1,Raw_Data!D2370,"")</f>
        <v/>
      </c>
    </row>
    <row r="2371" spans="1:2" x14ac:dyDescent="0.25">
      <c r="A2371" s="3">
        <f>IF(Raw_Data!J2371=0,Raw_Data!D2371,"")</f>
        <v>6528.74</v>
      </c>
      <c r="B2371" s="3" t="str">
        <f>IF(Raw_Data!J2371=1,Raw_Data!D2371,"")</f>
        <v/>
      </c>
    </row>
    <row r="2372" spans="1:2" x14ac:dyDescent="0.25">
      <c r="A2372" s="3">
        <f>IF(Raw_Data!J2372=0,Raw_Data!D2372,"")</f>
        <v>2201.31</v>
      </c>
      <c r="B2372" s="3" t="str">
        <f>IF(Raw_Data!J2372=1,Raw_Data!D2372,"")</f>
        <v/>
      </c>
    </row>
    <row r="2373" spans="1:2" x14ac:dyDescent="0.25">
      <c r="A2373" s="3">
        <f>IF(Raw_Data!J2373=0,Raw_Data!D2373,"")</f>
        <v>2603.5100000000002</v>
      </c>
      <c r="B2373" s="3" t="str">
        <f>IF(Raw_Data!J2373=1,Raw_Data!D2373,"")</f>
        <v/>
      </c>
    </row>
    <row r="2374" spans="1:2" x14ac:dyDescent="0.25">
      <c r="A2374" s="3" t="str">
        <f>IF(Raw_Data!J2374=0,Raw_Data!D2374,"")</f>
        <v/>
      </c>
      <c r="B2374" s="3">
        <f>IF(Raw_Data!J2374=1,Raw_Data!D2374,"")</f>
        <v>2705.28</v>
      </c>
    </row>
    <row r="2375" spans="1:2" x14ac:dyDescent="0.25">
      <c r="A2375" s="3">
        <f>IF(Raw_Data!J2375=0,Raw_Data!D2375,"")</f>
        <v>382.66</v>
      </c>
      <c r="B2375" s="3" t="str">
        <f>IF(Raw_Data!J2375=1,Raw_Data!D2375,"")</f>
        <v/>
      </c>
    </row>
    <row r="2376" spans="1:2" x14ac:dyDescent="0.25">
      <c r="A2376" s="3">
        <f>IF(Raw_Data!J2376=0,Raw_Data!D2376,"")</f>
        <v>6883.04</v>
      </c>
      <c r="B2376" s="3" t="str">
        <f>IF(Raw_Data!J2376=1,Raw_Data!D2376,"")</f>
        <v/>
      </c>
    </row>
    <row r="2377" spans="1:2" x14ac:dyDescent="0.25">
      <c r="A2377" s="3">
        <f>IF(Raw_Data!J2377=0,Raw_Data!D2377,"")</f>
        <v>3945.75</v>
      </c>
      <c r="B2377" s="3" t="str">
        <f>IF(Raw_Data!J2377=1,Raw_Data!D2377,"")</f>
        <v/>
      </c>
    </row>
    <row r="2378" spans="1:2" x14ac:dyDescent="0.25">
      <c r="A2378" s="3">
        <f>IF(Raw_Data!J2378=0,Raw_Data!D2378,"")</f>
        <v>812.41</v>
      </c>
      <c r="B2378" s="3" t="str">
        <f>IF(Raw_Data!J2378=1,Raw_Data!D2378,"")</f>
        <v/>
      </c>
    </row>
    <row r="2379" spans="1:2" x14ac:dyDescent="0.25">
      <c r="A2379" s="3" t="str">
        <f>IF(Raw_Data!J2379=0,Raw_Data!D2379,"")</f>
        <v/>
      </c>
      <c r="B2379" s="3">
        <f>IF(Raw_Data!J2379=1,Raw_Data!D2379,"")</f>
        <v>759.17</v>
      </c>
    </row>
    <row r="2380" spans="1:2" x14ac:dyDescent="0.25">
      <c r="A2380" s="3">
        <f>IF(Raw_Data!J2380=0,Raw_Data!D2380,"")</f>
        <v>1890.79</v>
      </c>
      <c r="B2380" s="3" t="str">
        <f>IF(Raw_Data!J2380=1,Raw_Data!D2380,"")</f>
        <v/>
      </c>
    </row>
    <row r="2381" spans="1:2" x14ac:dyDescent="0.25">
      <c r="A2381" s="3">
        <f>IF(Raw_Data!J2381=0,Raw_Data!D2381,"")</f>
        <v>1670.27</v>
      </c>
      <c r="B2381" s="3" t="str">
        <f>IF(Raw_Data!J2381=1,Raw_Data!D2381,"")</f>
        <v/>
      </c>
    </row>
    <row r="2382" spans="1:2" x14ac:dyDescent="0.25">
      <c r="A2382" s="3">
        <f>IF(Raw_Data!J2382=0,Raw_Data!D2382,"")</f>
        <v>579.03</v>
      </c>
      <c r="B2382" s="3" t="str">
        <f>IF(Raw_Data!J2382=1,Raw_Data!D2382,"")</f>
        <v/>
      </c>
    </row>
    <row r="2383" spans="1:2" x14ac:dyDescent="0.25">
      <c r="A2383" s="3">
        <f>IF(Raw_Data!J2383=0,Raw_Data!D2383,"")</f>
        <v>712.23</v>
      </c>
      <c r="B2383" s="3" t="str">
        <f>IF(Raw_Data!J2383=1,Raw_Data!D2383,"")</f>
        <v/>
      </c>
    </row>
    <row r="2384" spans="1:2" x14ac:dyDescent="0.25">
      <c r="A2384" s="3">
        <f>IF(Raw_Data!J2384=0,Raw_Data!D2384,"")</f>
        <v>3269.77</v>
      </c>
      <c r="B2384" s="3" t="str">
        <f>IF(Raw_Data!J2384=1,Raw_Data!D2384,"")</f>
        <v/>
      </c>
    </row>
    <row r="2385" spans="1:2" x14ac:dyDescent="0.25">
      <c r="A2385" s="3">
        <f>IF(Raw_Data!J2385=0,Raw_Data!D2385,"")</f>
        <v>2652.53</v>
      </c>
      <c r="B2385" s="3" t="str">
        <f>IF(Raw_Data!J2385=1,Raw_Data!D2385,"")</f>
        <v/>
      </c>
    </row>
    <row r="2386" spans="1:2" x14ac:dyDescent="0.25">
      <c r="A2386" s="3">
        <f>IF(Raw_Data!J2386=0,Raw_Data!D2386,"")</f>
        <v>3411.4</v>
      </c>
      <c r="B2386" s="3" t="str">
        <f>IF(Raw_Data!J2386=1,Raw_Data!D2386,"")</f>
        <v/>
      </c>
    </row>
    <row r="2387" spans="1:2" x14ac:dyDescent="0.25">
      <c r="A2387" s="3" t="str">
        <f>IF(Raw_Data!J2387=0,Raw_Data!D2387,"")</f>
        <v/>
      </c>
      <c r="B2387" s="3">
        <f>IF(Raw_Data!J2387=1,Raw_Data!D2387,"")</f>
        <v>1637.29</v>
      </c>
    </row>
    <row r="2388" spans="1:2" x14ac:dyDescent="0.25">
      <c r="A2388" s="3">
        <f>IF(Raw_Data!J2388=0,Raw_Data!D2388,"")</f>
        <v>1653.23</v>
      </c>
      <c r="B2388" s="3" t="str">
        <f>IF(Raw_Data!J2388=1,Raw_Data!D2388,"")</f>
        <v/>
      </c>
    </row>
    <row r="2389" spans="1:2" x14ac:dyDescent="0.25">
      <c r="A2389" s="3">
        <f>IF(Raw_Data!J2389=0,Raw_Data!D2389,"")</f>
        <v>1184.1199999999999</v>
      </c>
      <c r="B2389" s="3" t="str">
        <f>IF(Raw_Data!J2389=1,Raw_Data!D2389,"")</f>
        <v/>
      </c>
    </row>
    <row r="2390" spans="1:2" x14ac:dyDescent="0.25">
      <c r="A2390" s="3">
        <f>IF(Raw_Data!J2390=0,Raw_Data!D2390,"")</f>
        <v>1425.81</v>
      </c>
      <c r="B2390" s="3" t="str">
        <f>IF(Raw_Data!J2390=1,Raw_Data!D2390,"")</f>
        <v/>
      </c>
    </row>
    <row r="2391" spans="1:2" x14ac:dyDescent="0.25">
      <c r="A2391" s="3">
        <f>IF(Raw_Data!J2391=0,Raw_Data!D2391,"")</f>
        <v>2148.4499999999998</v>
      </c>
      <c r="B2391" s="3" t="str">
        <f>IF(Raw_Data!J2391=1,Raw_Data!D2391,"")</f>
        <v/>
      </c>
    </row>
    <row r="2392" spans="1:2" x14ac:dyDescent="0.25">
      <c r="A2392" s="3">
        <f>IF(Raw_Data!J2392=0,Raw_Data!D2392,"")</f>
        <v>2368.39</v>
      </c>
      <c r="B2392" s="3" t="str">
        <f>IF(Raw_Data!J2392=1,Raw_Data!D2392,"")</f>
        <v/>
      </c>
    </row>
    <row r="2393" spans="1:2" x14ac:dyDescent="0.25">
      <c r="A2393" s="3">
        <f>IF(Raw_Data!J2393=0,Raw_Data!D2393,"")</f>
        <v>2907.72</v>
      </c>
      <c r="B2393" s="3" t="str">
        <f>IF(Raw_Data!J2393=1,Raw_Data!D2393,"")</f>
        <v/>
      </c>
    </row>
    <row r="2394" spans="1:2" x14ac:dyDescent="0.25">
      <c r="A2394" s="3">
        <f>IF(Raw_Data!J2394=0,Raw_Data!D2394,"")</f>
        <v>434.61</v>
      </c>
      <c r="B2394" s="3" t="str">
        <f>IF(Raw_Data!J2394=1,Raw_Data!D2394,"")</f>
        <v/>
      </c>
    </row>
    <row r="2395" spans="1:2" x14ac:dyDescent="0.25">
      <c r="A2395" s="3">
        <f>IF(Raw_Data!J2395=0,Raw_Data!D2395,"")</f>
        <v>2387.86</v>
      </c>
      <c r="B2395" s="3" t="str">
        <f>IF(Raw_Data!J2395=1,Raw_Data!D2395,"")</f>
        <v/>
      </c>
    </row>
    <row r="2396" spans="1:2" x14ac:dyDescent="0.25">
      <c r="A2396" s="3">
        <f>IF(Raw_Data!J2396=0,Raw_Data!D2396,"")</f>
        <v>2372.41</v>
      </c>
      <c r="B2396" s="3" t="str">
        <f>IF(Raw_Data!J2396=1,Raw_Data!D2396,"")</f>
        <v/>
      </c>
    </row>
    <row r="2397" spans="1:2" x14ac:dyDescent="0.25">
      <c r="A2397" s="3">
        <f>IF(Raw_Data!J2397=0,Raw_Data!D2397,"")</f>
        <v>2107.5100000000002</v>
      </c>
      <c r="B2397" s="3" t="str">
        <f>IF(Raw_Data!J2397=1,Raw_Data!D2397,"")</f>
        <v/>
      </c>
    </row>
    <row r="2398" spans="1:2" x14ac:dyDescent="0.25">
      <c r="A2398" s="3">
        <f>IF(Raw_Data!J2398=0,Raw_Data!D2398,"")</f>
        <v>998.41</v>
      </c>
      <c r="B2398" s="3" t="str">
        <f>IF(Raw_Data!J2398=1,Raw_Data!D2398,"")</f>
        <v/>
      </c>
    </row>
    <row r="2399" spans="1:2" x14ac:dyDescent="0.25">
      <c r="A2399" s="3">
        <f>IF(Raw_Data!J2399=0,Raw_Data!D2399,"")</f>
        <v>6639.34</v>
      </c>
      <c r="B2399" s="3" t="str">
        <f>IF(Raw_Data!J2399=1,Raw_Data!D2399,"")</f>
        <v/>
      </c>
    </row>
    <row r="2400" spans="1:2" x14ac:dyDescent="0.25">
      <c r="A2400" s="3">
        <f>IF(Raw_Data!J2400=0,Raw_Data!D2400,"")</f>
        <v>4215.74</v>
      </c>
      <c r="B2400" s="3" t="str">
        <f>IF(Raw_Data!J2400=1,Raw_Data!D2400,"")</f>
        <v/>
      </c>
    </row>
    <row r="2401" spans="1:2" x14ac:dyDescent="0.25">
      <c r="A2401" s="3">
        <f>IF(Raw_Data!J2401=0,Raw_Data!D2401,"")</f>
        <v>1149.5</v>
      </c>
      <c r="B2401" s="3" t="str">
        <f>IF(Raw_Data!J2401=1,Raw_Data!D2401,"")</f>
        <v/>
      </c>
    </row>
    <row r="2402" spans="1:2" x14ac:dyDescent="0.25">
      <c r="A2402" s="3">
        <f>IF(Raw_Data!J2402=0,Raw_Data!D2402,"")</f>
        <v>535.52</v>
      </c>
      <c r="B2402" s="3" t="str">
        <f>IF(Raw_Data!J2402=1,Raw_Data!D2402,"")</f>
        <v/>
      </c>
    </row>
    <row r="2403" spans="1:2" x14ac:dyDescent="0.25">
      <c r="A2403" s="3" t="str">
        <f>IF(Raw_Data!J2403=0,Raw_Data!D2403,"")</f>
        <v/>
      </c>
      <c r="B2403" s="3">
        <f>IF(Raw_Data!J2403=1,Raw_Data!D2403,"")</f>
        <v>2276.06</v>
      </c>
    </row>
    <row r="2404" spans="1:2" x14ac:dyDescent="0.25">
      <c r="A2404" s="3" t="str">
        <f>IF(Raw_Data!J2404=0,Raw_Data!D2404,"")</f>
        <v/>
      </c>
      <c r="B2404" s="3">
        <f>IF(Raw_Data!J2404=1,Raw_Data!D2404,"")</f>
        <v>3397.24</v>
      </c>
    </row>
    <row r="2405" spans="1:2" x14ac:dyDescent="0.25">
      <c r="A2405" s="3" t="str">
        <f>IF(Raw_Data!J2405=0,Raw_Data!D2405,"")</f>
        <v/>
      </c>
      <c r="B2405" s="3">
        <f>IF(Raw_Data!J2405=1,Raw_Data!D2405,"")</f>
        <v>2496.0500000000002</v>
      </c>
    </row>
    <row r="2406" spans="1:2" x14ac:dyDescent="0.25">
      <c r="A2406" s="3">
        <f>IF(Raw_Data!J2406=0,Raw_Data!D2406,"")</f>
        <v>729.17</v>
      </c>
      <c r="B2406" s="3" t="str">
        <f>IF(Raw_Data!J2406=1,Raw_Data!D2406,"")</f>
        <v/>
      </c>
    </row>
    <row r="2407" spans="1:2" x14ac:dyDescent="0.25">
      <c r="A2407" s="3">
        <f>IF(Raw_Data!J2407=0,Raw_Data!D2407,"")</f>
        <v>789.91</v>
      </c>
      <c r="B2407" s="3" t="str">
        <f>IF(Raw_Data!J2407=1,Raw_Data!D2407,"")</f>
        <v/>
      </c>
    </row>
    <row r="2408" spans="1:2" x14ac:dyDescent="0.25">
      <c r="A2408" s="3">
        <f>IF(Raw_Data!J2408=0,Raw_Data!D2408,"")</f>
        <v>823.22</v>
      </c>
      <c r="B2408" s="3" t="str">
        <f>IF(Raw_Data!J2408=1,Raw_Data!D2408,"")</f>
        <v/>
      </c>
    </row>
    <row r="2409" spans="1:2" x14ac:dyDescent="0.25">
      <c r="A2409" s="3" t="str">
        <f>IF(Raw_Data!J2409=0,Raw_Data!D2409,"")</f>
        <v/>
      </c>
      <c r="B2409" s="3">
        <f>IF(Raw_Data!J2409=1,Raw_Data!D2409,"")</f>
        <v>3682.06</v>
      </c>
    </row>
    <row r="2410" spans="1:2" x14ac:dyDescent="0.25">
      <c r="A2410" s="3">
        <f>IF(Raw_Data!J2410=0,Raw_Data!D2410,"")</f>
        <v>1042.53</v>
      </c>
      <c r="B2410" s="3" t="str">
        <f>IF(Raw_Data!J2410=1,Raw_Data!D2410,"")</f>
        <v/>
      </c>
    </row>
    <row r="2411" spans="1:2" x14ac:dyDescent="0.25">
      <c r="A2411" s="3">
        <f>IF(Raw_Data!J2411=0,Raw_Data!D2411,"")</f>
        <v>2699.42</v>
      </c>
      <c r="B2411" s="3" t="str">
        <f>IF(Raw_Data!J2411=1,Raw_Data!D2411,"")</f>
        <v/>
      </c>
    </row>
    <row r="2412" spans="1:2" x14ac:dyDescent="0.25">
      <c r="A2412" s="3">
        <f>IF(Raw_Data!J2412=0,Raw_Data!D2412,"")</f>
        <v>1775.14</v>
      </c>
      <c r="B2412" s="3" t="str">
        <f>IF(Raw_Data!J2412=1,Raw_Data!D2412,"")</f>
        <v/>
      </c>
    </row>
    <row r="2413" spans="1:2" x14ac:dyDescent="0.25">
      <c r="A2413" s="3">
        <f>IF(Raw_Data!J2413=0,Raw_Data!D2413,"")</f>
        <v>1327.84</v>
      </c>
      <c r="B2413" s="3" t="str">
        <f>IF(Raw_Data!J2413=1,Raw_Data!D2413,"")</f>
        <v/>
      </c>
    </row>
    <row r="2414" spans="1:2" x14ac:dyDescent="0.25">
      <c r="A2414" s="3">
        <f>IF(Raw_Data!J2414=0,Raw_Data!D2414,"")</f>
        <v>633.4</v>
      </c>
      <c r="B2414" s="3" t="str">
        <f>IF(Raw_Data!J2414=1,Raw_Data!D2414,"")</f>
        <v/>
      </c>
    </row>
    <row r="2415" spans="1:2" x14ac:dyDescent="0.25">
      <c r="A2415" s="3">
        <f>IF(Raw_Data!J2415=0,Raw_Data!D2415,"")</f>
        <v>3768.05</v>
      </c>
      <c r="B2415" s="3" t="str">
        <f>IF(Raw_Data!J2415=1,Raw_Data!D2415,"")</f>
        <v/>
      </c>
    </row>
    <row r="2416" spans="1:2" x14ac:dyDescent="0.25">
      <c r="A2416" s="3" t="str">
        <f>IF(Raw_Data!J2416=0,Raw_Data!D2416,"")</f>
        <v/>
      </c>
      <c r="B2416" s="3">
        <f>IF(Raw_Data!J2416=1,Raw_Data!D2416,"")</f>
        <v>402.26</v>
      </c>
    </row>
    <row r="2417" spans="1:2" x14ac:dyDescent="0.25">
      <c r="A2417" s="3" t="str">
        <f>IF(Raw_Data!J2417=0,Raw_Data!D2417,"")</f>
        <v/>
      </c>
      <c r="B2417" s="3">
        <f>IF(Raw_Data!J2417=1,Raw_Data!D2417,"")</f>
        <v>4799.84</v>
      </c>
    </row>
    <row r="2418" spans="1:2" x14ac:dyDescent="0.25">
      <c r="A2418" s="3">
        <f>IF(Raw_Data!J2418=0,Raw_Data!D2418,"")</f>
        <v>489.39</v>
      </c>
      <c r="B2418" s="3" t="str">
        <f>IF(Raw_Data!J2418=1,Raw_Data!D2418,"")</f>
        <v/>
      </c>
    </row>
    <row r="2419" spans="1:2" x14ac:dyDescent="0.25">
      <c r="A2419" s="3">
        <f>IF(Raw_Data!J2419=0,Raw_Data!D2419,"")</f>
        <v>2582.48</v>
      </c>
      <c r="B2419" s="3" t="str">
        <f>IF(Raw_Data!J2419=1,Raw_Data!D2419,"")</f>
        <v/>
      </c>
    </row>
    <row r="2420" spans="1:2" x14ac:dyDescent="0.25">
      <c r="A2420" s="3" t="str">
        <f>IF(Raw_Data!J2420=0,Raw_Data!D2420,"")</f>
        <v/>
      </c>
      <c r="B2420" s="3">
        <f>IF(Raw_Data!J2420=1,Raw_Data!D2420,"")</f>
        <v>236.72</v>
      </c>
    </row>
    <row r="2421" spans="1:2" x14ac:dyDescent="0.25">
      <c r="A2421" s="3">
        <f>IF(Raw_Data!J2421=0,Raw_Data!D2421,"")</f>
        <v>2899.86</v>
      </c>
      <c r="B2421" s="3" t="str">
        <f>IF(Raw_Data!J2421=1,Raw_Data!D2421,"")</f>
        <v/>
      </c>
    </row>
    <row r="2422" spans="1:2" x14ac:dyDescent="0.25">
      <c r="A2422" s="3">
        <f>IF(Raw_Data!J2422=0,Raw_Data!D2422,"")</f>
        <v>258.73</v>
      </c>
      <c r="B2422" s="3" t="str">
        <f>IF(Raw_Data!J2422=1,Raw_Data!D2422,"")</f>
        <v/>
      </c>
    </row>
    <row r="2423" spans="1:2" x14ac:dyDescent="0.25">
      <c r="A2423" s="3">
        <f>IF(Raw_Data!J2423=0,Raw_Data!D2423,"")</f>
        <v>3635.04</v>
      </c>
      <c r="B2423" s="3" t="str">
        <f>IF(Raw_Data!J2423=1,Raw_Data!D2423,"")</f>
        <v/>
      </c>
    </row>
    <row r="2424" spans="1:2" x14ac:dyDescent="0.25">
      <c r="A2424" s="3">
        <f>IF(Raw_Data!J2424=0,Raw_Data!D2424,"")</f>
        <v>9040.83</v>
      </c>
      <c r="B2424" s="3" t="str">
        <f>IF(Raw_Data!J2424=1,Raw_Data!D2424,"")</f>
        <v/>
      </c>
    </row>
    <row r="2425" spans="1:2" x14ac:dyDescent="0.25">
      <c r="A2425" s="3">
        <f>IF(Raw_Data!J2425=0,Raw_Data!D2425,"")</f>
        <v>877.77</v>
      </c>
      <c r="B2425" s="3" t="str">
        <f>IF(Raw_Data!J2425=1,Raw_Data!D2425,"")</f>
        <v/>
      </c>
    </row>
    <row r="2426" spans="1:2" x14ac:dyDescent="0.25">
      <c r="A2426" s="3">
        <f>IF(Raw_Data!J2426=0,Raw_Data!D2426,"")</f>
        <v>80.72</v>
      </c>
      <c r="B2426" s="3" t="str">
        <f>IF(Raw_Data!J2426=1,Raw_Data!D2426,"")</f>
        <v/>
      </c>
    </row>
    <row r="2427" spans="1:2" x14ac:dyDescent="0.25">
      <c r="A2427" s="3">
        <f>IF(Raw_Data!J2427=0,Raw_Data!D2427,"")</f>
        <v>1171.56</v>
      </c>
      <c r="B2427" s="3" t="str">
        <f>IF(Raw_Data!J2427=1,Raw_Data!D2427,"")</f>
        <v/>
      </c>
    </row>
    <row r="2428" spans="1:2" x14ac:dyDescent="0.25">
      <c r="A2428" s="3">
        <f>IF(Raw_Data!J2428=0,Raw_Data!D2428,"")</f>
        <v>2202.23</v>
      </c>
      <c r="B2428" s="3" t="str">
        <f>IF(Raw_Data!J2428=1,Raw_Data!D2428,"")</f>
        <v/>
      </c>
    </row>
    <row r="2429" spans="1:2" x14ac:dyDescent="0.25">
      <c r="A2429" s="3">
        <f>IF(Raw_Data!J2429=0,Raw_Data!D2429,"")</f>
        <v>1410.38</v>
      </c>
      <c r="B2429" s="3" t="str">
        <f>IF(Raw_Data!J2429=1,Raw_Data!D2429,"")</f>
        <v/>
      </c>
    </row>
    <row r="2430" spans="1:2" x14ac:dyDescent="0.25">
      <c r="A2430" s="3">
        <f>IF(Raw_Data!J2430=0,Raw_Data!D2430,"")</f>
        <v>159.08000000000001</v>
      </c>
      <c r="B2430" s="3" t="str">
        <f>IF(Raw_Data!J2430=1,Raw_Data!D2430,"")</f>
        <v/>
      </c>
    </row>
    <row r="2431" spans="1:2" x14ac:dyDescent="0.25">
      <c r="A2431" s="3">
        <f>IF(Raw_Data!J2431=0,Raw_Data!D2431,"")</f>
        <v>1735.17</v>
      </c>
      <c r="B2431" s="3" t="str">
        <f>IF(Raw_Data!J2431=1,Raw_Data!D2431,"")</f>
        <v/>
      </c>
    </row>
    <row r="2432" spans="1:2" x14ac:dyDescent="0.25">
      <c r="A2432" s="3">
        <f>IF(Raw_Data!J2432=0,Raw_Data!D2432,"")</f>
        <v>4681.1000000000004</v>
      </c>
      <c r="B2432" s="3" t="str">
        <f>IF(Raw_Data!J2432=1,Raw_Data!D2432,"")</f>
        <v/>
      </c>
    </row>
    <row r="2433" spans="1:2" x14ac:dyDescent="0.25">
      <c r="A2433" s="3">
        <f>IF(Raw_Data!J2433=0,Raw_Data!D2433,"")</f>
        <v>1286.56</v>
      </c>
      <c r="B2433" s="3" t="str">
        <f>IF(Raw_Data!J2433=1,Raw_Data!D2433,"")</f>
        <v/>
      </c>
    </row>
    <row r="2434" spans="1:2" x14ac:dyDescent="0.25">
      <c r="A2434" s="3">
        <f>IF(Raw_Data!J2434=0,Raw_Data!D2434,"")</f>
        <v>1505.98</v>
      </c>
      <c r="B2434" s="3" t="str">
        <f>IF(Raw_Data!J2434=1,Raw_Data!D2434,"")</f>
        <v/>
      </c>
    </row>
    <row r="2435" spans="1:2" x14ac:dyDescent="0.25">
      <c r="A2435" s="3">
        <f>IF(Raw_Data!J2435=0,Raw_Data!D2435,"")</f>
        <v>3243.99</v>
      </c>
      <c r="B2435" s="3" t="str">
        <f>IF(Raw_Data!J2435=1,Raw_Data!D2435,"")</f>
        <v/>
      </c>
    </row>
    <row r="2436" spans="1:2" x14ac:dyDescent="0.25">
      <c r="A2436" s="3" t="str">
        <f>IF(Raw_Data!J2436=0,Raw_Data!D2436,"")</f>
        <v/>
      </c>
      <c r="B2436" s="3">
        <f>IF(Raw_Data!J2436=1,Raw_Data!D2436,"")</f>
        <v>2465.65</v>
      </c>
    </row>
    <row r="2437" spans="1:2" x14ac:dyDescent="0.25">
      <c r="A2437" s="3">
        <f>IF(Raw_Data!J2437=0,Raw_Data!D2437,"")</f>
        <v>5530.32</v>
      </c>
      <c r="B2437" s="3" t="str">
        <f>IF(Raw_Data!J2437=1,Raw_Data!D2437,"")</f>
        <v/>
      </c>
    </row>
    <row r="2438" spans="1:2" x14ac:dyDescent="0.25">
      <c r="A2438" s="3">
        <f>IF(Raw_Data!J2438=0,Raw_Data!D2438,"")</f>
        <v>903.66</v>
      </c>
      <c r="B2438" s="3" t="str">
        <f>IF(Raw_Data!J2438=1,Raw_Data!D2438,"")</f>
        <v/>
      </c>
    </row>
    <row r="2439" spans="1:2" x14ac:dyDescent="0.25">
      <c r="A2439" s="3" t="str">
        <f>IF(Raw_Data!J2439=0,Raw_Data!D2439,"")</f>
        <v/>
      </c>
      <c r="B2439" s="3">
        <f>IF(Raw_Data!J2439=1,Raw_Data!D2439,"")</f>
        <v>3810.15</v>
      </c>
    </row>
    <row r="2440" spans="1:2" x14ac:dyDescent="0.25">
      <c r="A2440" s="3">
        <f>IF(Raw_Data!J2440=0,Raw_Data!D2440,"")</f>
        <v>1313.47</v>
      </c>
      <c r="B2440" s="3" t="str">
        <f>IF(Raw_Data!J2440=1,Raw_Data!D2440,"")</f>
        <v/>
      </c>
    </row>
    <row r="2441" spans="1:2" x14ac:dyDescent="0.25">
      <c r="A2441" s="3" t="str">
        <f>IF(Raw_Data!J2441=0,Raw_Data!D2441,"")</f>
        <v/>
      </c>
      <c r="B2441" s="3">
        <f>IF(Raw_Data!J2441=1,Raw_Data!D2441,"")</f>
        <v>2689.68</v>
      </c>
    </row>
    <row r="2442" spans="1:2" x14ac:dyDescent="0.25">
      <c r="A2442" s="3">
        <f>IF(Raw_Data!J2442=0,Raw_Data!D2442,"")</f>
        <v>1074.4000000000001</v>
      </c>
      <c r="B2442" s="3" t="str">
        <f>IF(Raw_Data!J2442=1,Raw_Data!D2442,"")</f>
        <v/>
      </c>
    </row>
    <row r="2443" spans="1:2" x14ac:dyDescent="0.25">
      <c r="A2443" s="3">
        <f>IF(Raw_Data!J2443=0,Raw_Data!D2443,"")</f>
        <v>2614.89</v>
      </c>
      <c r="B2443" s="3" t="str">
        <f>IF(Raw_Data!J2443=1,Raw_Data!D2443,"")</f>
        <v/>
      </c>
    </row>
    <row r="2444" spans="1:2" x14ac:dyDescent="0.25">
      <c r="A2444" s="3" t="str">
        <f>IF(Raw_Data!J2444=0,Raw_Data!D2444,"")</f>
        <v/>
      </c>
      <c r="B2444" s="3">
        <f>IF(Raw_Data!J2444=1,Raw_Data!D2444,"")</f>
        <v>1361.8</v>
      </c>
    </row>
    <row r="2445" spans="1:2" x14ac:dyDescent="0.25">
      <c r="A2445" s="3">
        <f>IF(Raw_Data!J2445=0,Raw_Data!D2445,"")</f>
        <v>2095.6</v>
      </c>
      <c r="B2445" s="3" t="str">
        <f>IF(Raw_Data!J2445=1,Raw_Data!D2445,"")</f>
        <v/>
      </c>
    </row>
    <row r="2446" spans="1:2" x14ac:dyDescent="0.25">
      <c r="A2446" s="3" t="str">
        <f>IF(Raw_Data!J2446=0,Raw_Data!D2446,"")</f>
        <v/>
      </c>
      <c r="B2446" s="3">
        <f>IF(Raw_Data!J2446=1,Raw_Data!D2446,"")</f>
        <v>594.85</v>
      </c>
    </row>
    <row r="2447" spans="1:2" x14ac:dyDescent="0.25">
      <c r="A2447" s="3">
        <f>IF(Raw_Data!J2447=0,Raw_Data!D2447,"")</f>
        <v>3008.72</v>
      </c>
      <c r="B2447" s="3" t="str">
        <f>IF(Raw_Data!J2447=1,Raw_Data!D2447,"")</f>
        <v/>
      </c>
    </row>
    <row r="2448" spans="1:2" x14ac:dyDescent="0.25">
      <c r="A2448" s="3">
        <f>IF(Raw_Data!J2448=0,Raw_Data!D2448,"")</f>
        <v>2497.7399999999998</v>
      </c>
      <c r="B2448" s="3" t="str">
        <f>IF(Raw_Data!J2448=1,Raw_Data!D2448,"")</f>
        <v/>
      </c>
    </row>
    <row r="2449" spans="1:2" x14ac:dyDescent="0.25">
      <c r="A2449" s="3">
        <f>IF(Raw_Data!J2449=0,Raw_Data!D2449,"")</f>
        <v>3771.43</v>
      </c>
      <c r="B2449" s="3" t="str">
        <f>IF(Raw_Data!J2449=1,Raw_Data!D2449,"")</f>
        <v/>
      </c>
    </row>
    <row r="2450" spans="1:2" x14ac:dyDescent="0.25">
      <c r="A2450" s="3">
        <f>IF(Raw_Data!J2450=0,Raw_Data!D2450,"")</f>
        <v>2705.89</v>
      </c>
      <c r="B2450" s="3" t="str">
        <f>IF(Raw_Data!J2450=1,Raw_Data!D2450,"")</f>
        <v/>
      </c>
    </row>
    <row r="2451" spans="1:2" x14ac:dyDescent="0.25">
      <c r="A2451" s="3" t="str">
        <f>IF(Raw_Data!J2451=0,Raw_Data!D2451,"")</f>
        <v/>
      </c>
      <c r="B2451" s="3">
        <f>IF(Raw_Data!J2451=1,Raw_Data!D2451,"")</f>
        <v>2084.7199999999998</v>
      </c>
    </row>
    <row r="2452" spans="1:2" x14ac:dyDescent="0.25">
      <c r="A2452" s="3">
        <f>IF(Raw_Data!J2452=0,Raw_Data!D2452,"")</f>
        <v>819.8</v>
      </c>
      <c r="B2452" s="3" t="str">
        <f>IF(Raw_Data!J2452=1,Raw_Data!D2452,"")</f>
        <v/>
      </c>
    </row>
    <row r="2453" spans="1:2" x14ac:dyDescent="0.25">
      <c r="A2453" s="3">
        <f>IF(Raw_Data!J2453=0,Raw_Data!D2453,"")</f>
        <v>1050.4100000000001</v>
      </c>
      <c r="B2453" s="3" t="str">
        <f>IF(Raw_Data!J2453=1,Raw_Data!D2453,"")</f>
        <v/>
      </c>
    </row>
    <row r="2454" spans="1:2" x14ac:dyDescent="0.25">
      <c r="A2454" s="3">
        <f>IF(Raw_Data!J2454=0,Raw_Data!D2454,"")</f>
        <v>212.55</v>
      </c>
      <c r="B2454" s="3" t="str">
        <f>IF(Raw_Data!J2454=1,Raw_Data!D2454,"")</f>
        <v/>
      </c>
    </row>
    <row r="2455" spans="1:2" x14ac:dyDescent="0.25">
      <c r="A2455" s="3">
        <f>IF(Raw_Data!J2455=0,Raw_Data!D2455,"")</f>
        <v>6690.96</v>
      </c>
      <c r="B2455" s="3" t="str">
        <f>IF(Raw_Data!J2455=1,Raw_Data!D2455,"")</f>
        <v/>
      </c>
    </row>
    <row r="2456" spans="1:2" x14ac:dyDescent="0.25">
      <c r="A2456" s="3">
        <f>IF(Raw_Data!J2456=0,Raw_Data!D2456,"")</f>
        <v>2280.9</v>
      </c>
      <c r="B2456" s="3" t="str">
        <f>IF(Raw_Data!J2456=1,Raw_Data!D2456,"")</f>
        <v/>
      </c>
    </row>
    <row r="2457" spans="1:2" x14ac:dyDescent="0.25">
      <c r="A2457" s="3">
        <f>IF(Raw_Data!J2457=0,Raw_Data!D2457,"")</f>
        <v>2551.9299999999998</v>
      </c>
      <c r="B2457" s="3" t="str">
        <f>IF(Raw_Data!J2457=1,Raw_Data!D2457,"")</f>
        <v/>
      </c>
    </row>
    <row r="2458" spans="1:2" x14ac:dyDescent="0.25">
      <c r="A2458" s="3">
        <f>IF(Raw_Data!J2458=0,Raw_Data!D2458,"")</f>
        <v>2075.8200000000002</v>
      </c>
      <c r="B2458" s="3" t="str">
        <f>IF(Raw_Data!J2458=1,Raw_Data!D2458,"")</f>
        <v/>
      </c>
    </row>
    <row r="2459" spans="1:2" x14ac:dyDescent="0.25">
      <c r="A2459" s="3">
        <f>IF(Raw_Data!J2459=0,Raw_Data!D2459,"")</f>
        <v>1278.57</v>
      </c>
      <c r="B2459" s="3" t="str">
        <f>IF(Raw_Data!J2459=1,Raw_Data!D2459,"")</f>
        <v/>
      </c>
    </row>
    <row r="2460" spans="1:2" x14ac:dyDescent="0.25">
      <c r="A2460" s="3">
        <f>IF(Raw_Data!J2460=0,Raw_Data!D2460,"")</f>
        <v>1756.77</v>
      </c>
      <c r="B2460" s="3" t="str">
        <f>IF(Raw_Data!J2460=1,Raw_Data!D2460,"")</f>
        <v/>
      </c>
    </row>
    <row r="2461" spans="1:2" x14ac:dyDescent="0.25">
      <c r="A2461" s="3">
        <f>IF(Raw_Data!J2461=0,Raw_Data!D2461,"")</f>
        <v>1929.35</v>
      </c>
      <c r="B2461" s="3" t="str">
        <f>IF(Raw_Data!J2461=1,Raw_Data!D2461,"")</f>
        <v/>
      </c>
    </row>
    <row r="2462" spans="1:2" x14ac:dyDescent="0.25">
      <c r="A2462" s="3">
        <f>IF(Raw_Data!J2462=0,Raw_Data!D2462,"")</f>
        <v>794.94</v>
      </c>
      <c r="B2462" s="3" t="str">
        <f>IF(Raw_Data!J2462=1,Raw_Data!D2462,"")</f>
        <v/>
      </c>
    </row>
    <row r="2463" spans="1:2" x14ac:dyDescent="0.25">
      <c r="A2463" s="3">
        <f>IF(Raw_Data!J2463=0,Raw_Data!D2463,"")</f>
        <v>1438.95</v>
      </c>
      <c r="B2463" s="3" t="str">
        <f>IF(Raw_Data!J2463=1,Raw_Data!D2463,"")</f>
        <v/>
      </c>
    </row>
    <row r="2464" spans="1:2" x14ac:dyDescent="0.25">
      <c r="A2464" s="3" t="str">
        <f>IF(Raw_Data!J2464=0,Raw_Data!D2464,"")</f>
        <v/>
      </c>
      <c r="B2464" s="3">
        <f>IF(Raw_Data!J2464=1,Raw_Data!D2464,"")</f>
        <v>2122.0300000000002</v>
      </c>
    </row>
    <row r="2465" spans="1:2" x14ac:dyDescent="0.25">
      <c r="A2465" s="3">
        <f>IF(Raw_Data!J2465=0,Raw_Data!D2465,"")</f>
        <v>3824.18</v>
      </c>
      <c r="B2465" s="3" t="str">
        <f>IF(Raw_Data!J2465=1,Raw_Data!D2465,"")</f>
        <v/>
      </c>
    </row>
    <row r="2466" spans="1:2" x14ac:dyDescent="0.25">
      <c r="A2466" s="3">
        <f>IF(Raw_Data!J2466=0,Raw_Data!D2466,"")</f>
        <v>1503.26</v>
      </c>
      <c r="B2466" s="3" t="str">
        <f>IF(Raw_Data!J2466=1,Raw_Data!D2466,"")</f>
        <v/>
      </c>
    </row>
    <row r="2467" spans="1:2" x14ac:dyDescent="0.25">
      <c r="A2467" s="3">
        <f>IF(Raw_Data!J2467=0,Raw_Data!D2467,"")</f>
        <v>1155.1300000000001</v>
      </c>
      <c r="B2467" s="3" t="str">
        <f>IF(Raw_Data!J2467=1,Raw_Data!D2467,"")</f>
        <v/>
      </c>
    </row>
    <row r="2468" spans="1:2" x14ac:dyDescent="0.25">
      <c r="A2468" s="3">
        <f>IF(Raw_Data!J2468=0,Raw_Data!D2468,"")</f>
        <v>7055.28</v>
      </c>
      <c r="B2468" s="3" t="str">
        <f>IF(Raw_Data!J2468=1,Raw_Data!D2468,"")</f>
        <v/>
      </c>
    </row>
    <row r="2469" spans="1:2" x14ac:dyDescent="0.25">
      <c r="A2469" s="3">
        <f>IF(Raw_Data!J2469=0,Raw_Data!D2469,"")</f>
        <v>1554.45</v>
      </c>
      <c r="B2469" s="3" t="str">
        <f>IF(Raw_Data!J2469=1,Raw_Data!D2469,"")</f>
        <v/>
      </c>
    </row>
    <row r="2470" spans="1:2" x14ac:dyDescent="0.25">
      <c r="A2470" s="3">
        <f>IF(Raw_Data!J2470=0,Raw_Data!D2470,"")</f>
        <v>303.66000000000003</v>
      </c>
      <c r="B2470" s="3" t="str">
        <f>IF(Raw_Data!J2470=1,Raw_Data!D2470,"")</f>
        <v/>
      </c>
    </row>
    <row r="2471" spans="1:2" x14ac:dyDescent="0.25">
      <c r="A2471" s="3">
        <f>IF(Raw_Data!J2471=0,Raw_Data!D2471,"")</f>
        <v>2149.0700000000002</v>
      </c>
      <c r="B2471" s="3" t="str">
        <f>IF(Raw_Data!J2471=1,Raw_Data!D2471,"")</f>
        <v/>
      </c>
    </row>
    <row r="2472" spans="1:2" x14ac:dyDescent="0.25">
      <c r="A2472" s="3">
        <f>IF(Raw_Data!J2472=0,Raw_Data!D2472,"")</f>
        <v>1939.8</v>
      </c>
      <c r="B2472" s="3" t="str">
        <f>IF(Raw_Data!J2472=1,Raw_Data!D2472,"")</f>
        <v/>
      </c>
    </row>
    <row r="2473" spans="1:2" x14ac:dyDescent="0.25">
      <c r="A2473" s="3">
        <f>IF(Raw_Data!J2473=0,Raw_Data!D2473,"")</f>
        <v>940.16</v>
      </c>
      <c r="B2473" s="3" t="str">
        <f>IF(Raw_Data!J2473=1,Raw_Data!D2473,"")</f>
        <v/>
      </c>
    </row>
    <row r="2474" spans="1:2" x14ac:dyDescent="0.25">
      <c r="A2474" s="3">
        <f>IF(Raw_Data!J2474=0,Raw_Data!D2474,"")</f>
        <v>2507.5500000000002</v>
      </c>
      <c r="B2474" s="3" t="str">
        <f>IF(Raw_Data!J2474=1,Raw_Data!D2474,"")</f>
        <v/>
      </c>
    </row>
    <row r="2475" spans="1:2" x14ac:dyDescent="0.25">
      <c r="A2475" s="3">
        <f>IF(Raw_Data!J2475=0,Raw_Data!D2475,"")</f>
        <v>1556.01</v>
      </c>
      <c r="B2475" s="3" t="str">
        <f>IF(Raw_Data!J2475=1,Raw_Data!D2475,"")</f>
        <v/>
      </c>
    </row>
    <row r="2476" spans="1:2" x14ac:dyDescent="0.25">
      <c r="A2476" s="3">
        <f>IF(Raw_Data!J2476=0,Raw_Data!D2476,"")</f>
        <v>2510.0500000000002</v>
      </c>
      <c r="B2476" s="3" t="str">
        <f>IF(Raw_Data!J2476=1,Raw_Data!D2476,"")</f>
        <v/>
      </c>
    </row>
    <row r="2477" spans="1:2" x14ac:dyDescent="0.25">
      <c r="A2477" s="3">
        <f>IF(Raw_Data!J2477=0,Raw_Data!D2477,"")</f>
        <v>2216.9</v>
      </c>
      <c r="B2477" s="3" t="str">
        <f>IF(Raw_Data!J2477=1,Raw_Data!D2477,"")</f>
        <v/>
      </c>
    </row>
    <row r="2478" spans="1:2" x14ac:dyDescent="0.25">
      <c r="A2478" s="3">
        <f>IF(Raw_Data!J2478=0,Raw_Data!D2478,"")</f>
        <v>2653.16</v>
      </c>
      <c r="B2478" s="3" t="str">
        <f>IF(Raw_Data!J2478=1,Raw_Data!D2478,"")</f>
        <v/>
      </c>
    </row>
    <row r="2479" spans="1:2" x14ac:dyDescent="0.25">
      <c r="A2479" s="3">
        <f>IF(Raw_Data!J2479=0,Raw_Data!D2479,"")</f>
        <v>267.06</v>
      </c>
      <c r="B2479" s="3" t="str">
        <f>IF(Raw_Data!J2479=1,Raw_Data!D2479,"")</f>
        <v/>
      </c>
    </row>
    <row r="2480" spans="1:2" x14ac:dyDescent="0.25">
      <c r="A2480" s="3" t="str">
        <f>IF(Raw_Data!J2480=0,Raw_Data!D2480,"")</f>
        <v/>
      </c>
      <c r="B2480" s="3">
        <f>IF(Raw_Data!J2480=1,Raw_Data!D2480,"")</f>
        <v>1023.67</v>
      </c>
    </row>
    <row r="2481" spans="1:2" x14ac:dyDescent="0.25">
      <c r="A2481" s="3">
        <f>IF(Raw_Data!J2481=0,Raw_Data!D2481,"")</f>
        <v>2866.77</v>
      </c>
      <c r="B2481" s="3" t="str">
        <f>IF(Raw_Data!J2481=1,Raw_Data!D2481,"")</f>
        <v/>
      </c>
    </row>
    <row r="2482" spans="1:2" x14ac:dyDescent="0.25">
      <c r="A2482" s="3">
        <f>IF(Raw_Data!J2482=0,Raw_Data!D2482,"")</f>
        <v>4800.67</v>
      </c>
      <c r="B2482" s="3" t="str">
        <f>IF(Raw_Data!J2482=1,Raw_Data!D2482,"")</f>
        <v/>
      </c>
    </row>
    <row r="2483" spans="1:2" x14ac:dyDescent="0.25">
      <c r="A2483" s="3">
        <f>IF(Raw_Data!J2483=0,Raw_Data!D2483,"")</f>
        <v>3965.42</v>
      </c>
      <c r="B2483" s="3" t="str">
        <f>IF(Raw_Data!J2483=1,Raw_Data!D2483,"")</f>
        <v/>
      </c>
    </row>
    <row r="2484" spans="1:2" x14ac:dyDescent="0.25">
      <c r="A2484" s="3">
        <f>IF(Raw_Data!J2484=0,Raw_Data!D2484,"")</f>
        <v>3602.78</v>
      </c>
      <c r="B2484" s="3" t="str">
        <f>IF(Raw_Data!J2484=1,Raw_Data!D2484,"")</f>
        <v/>
      </c>
    </row>
    <row r="2485" spans="1:2" x14ac:dyDescent="0.25">
      <c r="A2485" s="3">
        <f>IF(Raw_Data!J2485=0,Raw_Data!D2485,"")</f>
        <v>2866.97</v>
      </c>
      <c r="B2485" s="3" t="str">
        <f>IF(Raw_Data!J2485=1,Raw_Data!D2485,"")</f>
        <v/>
      </c>
    </row>
    <row r="2486" spans="1:2" x14ac:dyDescent="0.25">
      <c r="A2486" s="3">
        <f>IF(Raw_Data!J2486=0,Raw_Data!D2486,"")</f>
        <v>5619.32</v>
      </c>
      <c r="B2486" s="3" t="str">
        <f>IF(Raw_Data!J2486=1,Raw_Data!D2486,"")</f>
        <v/>
      </c>
    </row>
    <row r="2487" spans="1:2" x14ac:dyDescent="0.25">
      <c r="A2487" s="3" t="str">
        <f>IF(Raw_Data!J2487=0,Raw_Data!D2487,"")</f>
        <v/>
      </c>
      <c r="B2487" s="3">
        <f>IF(Raw_Data!J2487=1,Raw_Data!D2487,"")</f>
        <v>2077.89</v>
      </c>
    </row>
    <row r="2488" spans="1:2" x14ac:dyDescent="0.25">
      <c r="A2488" s="3">
        <f>IF(Raw_Data!J2488=0,Raw_Data!D2488,"")</f>
        <v>525.41</v>
      </c>
      <c r="B2488" s="3" t="str">
        <f>IF(Raw_Data!J2488=1,Raw_Data!D2488,"")</f>
        <v/>
      </c>
    </row>
    <row r="2489" spans="1:2" x14ac:dyDescent="0.25">
      <c r="A2489" s="3">
        <f>IF(Raw_Data!J2489=0,Raw_Data!D2489,"")</f>
        <v>1043.08</v>
      </c>
      <c r="B2489" s="3" t="str">
        <f>IF(Raw_Data!J2489=1,Raw_Data!D2489,"")</f>
        <v/>
      </c>
    </row>
    <row r="2490" spans="1:2" x14ac:dyDescent="0.25">
      <c r="A2490" s="3">
        <f>IF(Raw_Data!J2490=0,Raw_Data!D2490,"")</f>
        <v>6588.52</v>
      </c>
      <c r="B2490" s="3" t="str">
        <f>IF(Raw_Data!J2490=1,Raw_Data!D2490,"")</f>
        <v/>
      </c>
    </row>
    <row r="2491" spans="1:2" x14ac:dyDescent="0.25">
      <c r="A2491" s="3">
        <f>IF(Raw_Data!J2491=0,Raw_Data!D2491,"")</f>
        <v>2131.83</v>
      </c>
      <c r="B2491" s="3" t="str">
        <f>IF(Raw_Data!J2491=1,Raw_Data!D2491,"")</f>
        <v/>
      </c>
    </row>
    <row r="2492" spans="1:2" x14ac:dyDescent="0.25">
      <c r="A2492" s="3">
        <f>IF(Raw_Data!J2492=0,Raw_Data!D2492,"")</f>
        <v>4172.32</v>
      </c>
      <c r="B2492" s="3" t="str">
        <f>IF(Raw_Data!J2492=1,Raw_Data!D2492,"")</f>
        <v/>
      </c>
    </row>
    <row r="2493" spans="1:2" x14ac:dyDescent="0.25">
      <c r="A2493" s="3">
        <f>IF(Raw_Data!J2493=0,Raw_Data!D2493,"")</f>
        <v>6932.4</v>
      </c>
      <c r="B2493" s="3" t="str">
        <f>IF(Raw_Data!J2493=1,Raw_Data!D2493,"")</f>
        <v/>
      </c>
    </row>
    <row r="2494" spans="1:2" x14ac:dyDescent="0.25">
      <c r="A2494" s="3">
        <f>IF(Raw_Data!J2494=0,Raw_Data!D2494,"")</f>
        <v>2208.09</v>
      </c>
      <c r="B2494" s="3" t="str">
        <f>IF(Raw_Data!J2494=1,Raw_Data!D2494,"")</f>
        <v/>
      </c>
    </row>
    <row r="2495" spans="1:2" x14ac:dyDescent="0.25">
      <c r="A2495" s="3">
        <f>IF(Raw_Data!J2495=0,Raw_Data!D2495,"")</f>
        <v>1186.1300000000001</v>
      </c>
      <c r="B2495" s="3" t="str">
        <f>IF(Raw_Data!J2495=1,Raw_Data!D2495,"")</f>
        <v/>
      </c>
    </row>
    <row r="2496" spans="1:2" x14ac:dyDescent="0.25">
      <c r="A2496" s="3">
        <f>IF(Raw_Data!J2496=0,Raw_Data!D2496,"")</f>
        <v>3521.89</v>
      </c>
      <c r="B2496" s="3" t="str">
        <f>IF(Raw_Data!J2496=1,Raw_Data!D2496,"")</f>
        <v/>
      </c>
    </row>
    <row r="2497" spans="1:2" x14ac:dyDescent="0.25">
      <c r="A2497" s="3">
        <f>IF(Raw_Data!J2497=0,Raw_Data!D2497,"")</f>
        <v>4061.55</v>
      </c>
      <c r="B2497" s="3" t="str">
        <f>IF(Raw_Data!J2497=1,Raw_Data!D2497,"")</f>
        <v/>
      </c>
    </row>
    <row r="2498" spans="1:2" x14ac:dyDescent="0.25">
      <c r="A2498" s="3" t="str">
        <f>IF(Raw_Data!J2498=0,Raw_Data!D2498,"")</f>
        <v/>
      </c>
      <c r="B2498" s="3">
        <f>IF(Raw_Data!J2498=1,Raw_Data!D2498,"")</f>
        <v>840.47</v>
      </c>
    </row>
    <row r="2499" spans="1:2" x14ac:dyDescent="0.25">
      <c r="A2499" s="3">
        <f>IF(Raw_Data!J2499=0,Raw_Data!D2499,"")</f>
        <v>5913.44</v>
      </c>
      <c r="B2499" s="3" t="str">
        <f>IF(Raw_Data!J2499=1,Raw_Data!D2499,"")</f>
        <v/>
      </c>
    </row>
    <row r="2500" spans="1:2" x14ac:dyDescent="0.25">
      <c r="A2500" s="3">
        <f>IF(Raw_Data!J2500=0,Raw_Data!D2500,"")</f>
        <v>4174.82</v>
      </c>
      <c r="B2500" s="3" t="str">
        <f>IF(Raw_Data!J2500=1,Raw_Data!D2500,"")</f>
        <v/>
      </c>
    </row>
    <row r="2501" spans="1:2" x14ac:dyDescent="0.25">
      <c r="A2501" s="3">
        <f>IF(Raw_Data!J2501=0,Raw_Data!D2501,"")</f>
        <v>1551.8</v>
      </c>
      <c r="B2501" s="3" t="str">
        <f>IF(Raw_Data!J2501=1,Raw_Data!D2501,"")</f>
        <v/>
      </c>
    </row>
    <row r="2502" spans="1:2" x14ac:dyDescent="0.25">
      <c r="A2502" s="3">
        <f>IF(Raw_Data!J2502=0,Raw_Data!D2502,"")</f>
        <v>2710.64</v>
      </c>
      <c r="B2502" s="3" t="str">
        <f>IF(Raw_Data!J2502=1,Raw_Data!D2502,"")</f>
        <v/>
      </c>
    </row>
    <row r="2503" spans="1:2" x14ac:dyDescent="0.25">
      <c r="A2503" s="3">
        <f>IF(Raw_Data!J2503=0,Raw_Data!D2503,"")</f>
        <v>2870.23</v>
      </c>
      <c r="B2503" s="3" t="str">
        <f>IF(Raw_Data!J2503=1,Raw_Data!D2503,"")</f>
        <v/>
      </c>
    </row>
    <row r="2504" spans="1:2" x14ac:dyDescent="0.25">
      <c r="A2504" s="3">
        <f>IF(Raw_Data!J2504=0,Raw_Data!D2504,"")</f>
        <v>2461.0700000000002</v>
      </c>
      <c r="B2504" s="3" t="str">
        <f>IF(Raw_Data!J2504=1,Raw_Data!D2504,"")</f>
        <v/>
      </c>
    </row>
    <row r="2505" spans="1:2" x14ac:dyDescent="0.25">
      <c r="A2505" s="3">
        <f>IF(Raw_Data!J2505=0,Raw_Data!D2505,"")</f>
        <v>2697.44</v>
      </c>
      <c r="B2505" s="3" t="str">
        <f>IF(Raw_Data!J2505=1,Raw_Data!D2505,"")</f>
        <v/>
      </c>
    </row>
    <row r="2506" spans="1:2" x14ac:dyDescent="0.25">
      <c r="A2506" s="3">
        <f>IF(Raw_Data!J2506=0,Raw_Data!D2506,"")</f>
        <v>3530.36</v>
      </c>
      <c r="B2506" s="3" t="str">
        <f>IF(Raw_Data!J2506=1,Raw_Data!D2506,"")</f>
        <v/>
      </c>
    </row>
    <row r="2507" spans="1:2" x14ac:dyDescent="0.25">
      <c r="A2507" s="3">
        <f>IF(Raw_Data!J2507=0,Raw_Data!D2507,"")</f>
        <v>5537.7</v>
      </c>
      <c r="B2507" s="3" t="str">
        <f>IF(Raw_Data!J2507=1,Raw_Data!D2507,"")</f>
        <v/>
      </c>
    </row>
    <row r="2508" spans="1:2" x14ac:dyDescent="0.25">
      <c r="A2508" s="3" t="str">
        <f>IF(Raw_Data!J2508=0,Raw_Data!D2508,"")</f>
        <v/>
      </c>
      <c r="B2508" s="3">
        <f>IF(Raw_Data!J2508=1,Raw_Data!D2508,"")</f>
        <v>3880.05</v>
      </c>
    </row>
    <row r="2509" spans="1:2" x14ac:dyDescent="0.25">
      <c r="A2509" s="3">
        <f>IF(Raw_Data!J2509=0,Raw_Data!D2509,"")</f>
        <v>6409.99</v>
      </c>
      <c r="B2509" s="3" t="str">
        <f>IF(Raw_Data!J2509=1,Raw_Data!D2509,"")</f>
        <v/>
      </c>
    </row>
    <row r="2510" spans="1:2" x14ac:dyDescent="0.25">
      <c r="A2510" s="3">
        <f>IF(Raw_Data!J2510=0,Raw_Data!D2510,"")</f>
        <v>283.13</v>
      </c>
      <c r="B2510" s="3" t="str">
        <f>IF(Raw_Data!J2510=1,Raw_Data!D2510,"")</f>
        <v/>
      </c>
    </row>
    <row r="2511" spans="1:2" x14ac:dyDescent="0.25">
      <c r="A2511" s="3">
        <f>IF(Raw_Data!J2511=0,Raw_Data!D2511,"")</f>
        <v>1784.25</v>
      </c>
      <c r="B2511" s="3" t="str">
        <f>IF(Raw_Data!J2511=1,Raw_Data!D2511,"")</f>
        <v/>
      </c>
    </row>
    <row r="2512" spans="1:2" x14ac:dyDescent="0.25">
      <c r="A2512" s="3">
        <f>IF(Raw_Data!J2512=0,Raw_Data!D2512,"")</f>
        <v>2485.5700000000002</v>
      </c>
      <c r="B2512" s="3" t="str">
        <f>IF(Raw_Data!J2512=1,Raw_Data!D2512,"")</f>
        <v/>
      </c>
    </row>
    <row r="2513" spans="1:2" x14ac:dyDescent="0.25">
      <c r="A2513" s="3">
        <f>IF(Raw_Data!J2513=0,Raw_Data!D2513,"")</f>
        <v>2392.8200000000002</v>
      </c>
      <c r="B2513" s="3" t="str">
        <f>IF(Raw_Data!J2513=1,Raw_Data!D2513,"")</f>
        <v/>
      </c>
    </row>
    <row r="2514" spans="1:2" x14ac:dyDescent="0.25">
      <c r="A2514" s="3">
        <f>IF(Raw_Data!J2514=0,Raw_Data!D2514,"")</f>
        <v>3707.72</v>
      </c>
      <c r="B2514" s="3" t="str">
        <f>IF(Raw_Data!J2514=1,Raw_Data!D2514,"")</f>
        <v/>
      </c>
    </row>
    <row r="2515" spans="1:2" x14ac:dyDescent="0.25">
      <c r="A2515" s="3">
        <f>IF(Raw_Data!J2515=0,Raw_Data!D2515,"")</f>
        <v>3744.35</v>
      </c>
      <c r="B2515" s="3" t="str">
        <f>IF(Raw_Data!J2515=1,Raw_Data!D2515,"")</f>
        <v/>
      </c>
    </row>
    <row r="2516" spans="1:2" x14ac:dyDescent="0.25">
      <c r="A2516" s="3">
        <f>IF(Raw_Data!J2516=0,Raw_Data!D2516,"")</f>
        <v>1798.07</v>
      </c>
      <c r="B2516" s="3" t="str">
        <f>IF(Raw_Data!J2516=1,Raw_Data!D2516,"")</f>
        <v/>
      </c>
    </row>
    <row r="2517" spans="1:2" x14ac:dyDescent="0.25">
      <c r="A2517" s="3">
        <f>IF(Raw_Data!J2517=0,Raw_Data!D2517,"")</f>
        <v>424.13</v>
      </c>
      <c r="B2517" s="3" t="str">
        <f>IF(Raw_Data!J2517=1,Raw_Data!D2517,"")</f>
        <v/>
      </c>
    </row>
    <row r="2518" spans="1:2" x14ac:dyDescent="0.25">
      <c r="A2518" s="3">
        <f>IF(Raw_Data!J2518=0,Raw_Data!D2518,"")</f>
        <v>1922.63</v>
      </c>
      <c r="B2518" s="3" t="str">
        <f>IF(Raw_Data!J2518=1,Raw_Data!D2518,"")</f>
        <v/>
      </c>
    </row>
    <row r="2519" spans="1:2" x14ac:dyDescent="0.25">
      <c r="A2519" s="3">
        <f>IF(Raw_Data!J2519=0,Raw_Data!D2519,"")</f>
        <v>1116.4000000000001</v>
      </c>
      <c r="B2519" s="3" t="str">
        <f>IF(Raw_Data!J2519=1,Raw_Data!D2519,"")</f>
        <v/>
      </c>
    </row>
    <row r="2520" spans="1:2" x14ac:dyDescent="0.25">
      <c r="A2520" s="3" t="str">
        <f>IF(Raw_Data!J2520=0,Raw_Data!D2520,"")</f>
        <v/>
      </c>
      <c r="B2520" s="3">
        <f>IF(Raw_Data!J2520=1,Raw_Data!D2520,"")</f>
        <v>3278.97</v>
      </c>
    </row>
    <row r="2521" spans="1:2" x14ac:dyDescent="0.25">
      <c r="A2521" s="3">
        <f>IF(Raw_Data!J2521=0,Raw_Data!D2521,"")</f>
        <v>1874.08</v>
      </c>
      <c r="B2521" s="3" t="str">
        <f>IF(Raw_Data!J2521=1,Raw_Data!D2521,"")</f>
        <v/>
      </c>
    </row>
    <row r="2522" spans="1:2" x14ac:dyDescent="0.25">
      <c r="A2522" s="3">
        <f>IF(Raw_Data!J2522=0,Raw_Data!D2522,"")</f>
        <v>1179.48</v>
      </c>
      <c r="B2522" s="3" t="str">
        <f>IF(Raw_Data!J2522=1,Raw_Data!D2522,"")</f>
        <v/>
      </c>
    </row>
    <row r="2523" spans="1:2" x14ac:dyDescent="0.25">
      <c r="A2523" s="3">
        <f>IF(Raw_Data!J2523=0,Raw_Data!D2523,"")</f>
        <v>5891.93</v>
      </c>
      <c r="B2523" s="3" t="str">
        <f>IF(Raw_Data!J2523=1,Raw_Data!D2523,"")</f>
        <v/>
      </c>
    </row>
    <row r="2524" spans="1:2" x14ac:dyDescent="0.25">
      <c r="A2524" s="3">
        <f>IF(Raw_Data!J2524=0,Raw_Data!D2524,"")</f>
        <v>3591.62</v>
      </c>
      <c r="B2524" s="3" t="str">
        <f>IF(Raw_Data!J2524=1,Raw_Data!D2524,"")</f>
        <v/>
      </c>
    </row>
    <row r="2525" spans="1:2" x14ac:dyDescent="0.25">
      <c r="A2525" s="3">
        <f>IF(Raw_Data!J2525=0,Raw_Data!D2525,"")</f>
        <v>552.25</v>
      </c>
      <c r="B2525" s="3" t="str">
        <f>IF(Raw_Data!J2525=1,Raw_Data!D2525,"")</f>
        <v/>
      </c>
    </row>
    <row r="2526" spans="1:2" x14ac:dyDescent="0.25">
      <c r="A2526" s="3" t="str">
        <f>IF(Raw_Data!J2526=0,Raw_Data!D2526,"")</f>
        <v/>
      </c>
      <c r="B2526" s="3">
        <f>IF(Raw_Data!J2526=1,Raw_Data!D2526,"")</f>
        <v>2729.8</v>
      </c>
    </row>
    <row r="2527" spans="1:2" x14ac:dyDescent="0.25">
      <c r="A2527" s="3">
        <f>IF(Raw_Data!J2527=0,Raw_Data!D2527,"")</f>
        <v>2670.33</v>
      </c>
      <c r="B2527" s="3" t="str">
        <f>IF(Raw_Data!J2527=1,Raw_Data!D2527,"")</f>
        <v/>
      </c>
    </row>
    <row r="2528" spans="1:2" x14ac:dyDescent="0.25">
      <c r="A2528" s="3">
        <f>IF(Raw_Data!J2528=0,Raw_Data!D2528,"")</f>
        <v>602.32000000000005</v>
      </c>
      <c r="B2528" s="3" t="str">
        <f>IF(Raw_Data!J2528=1,Raw_Data!D2528,"")</f>
        <v/>
      </c>
    </row>
    <row r="2529" spans="1:2" x14ac:dyDescent="0.25">
      <c r="A2529" s="3">
        <f>IF(Raw_Data!J2529=0,Raw_Data!D2529,"")</f>
        <v>2634.45</v>
      </c>
      <c r="B2529" s="3" t="str">
        <f>IF(Raw_Data!J2529=1,Raw_Data!D2529,"")</f>
        <v/>
      </c>
    </row>
    <row r="2530" spans="1:2" x14ac:dyDescent="0.25">
      <c r="A2530" s="3" t="str">
        <f>IF(Raw_Data!J2530=0,Raw_Data!D2530,"")</f>
        <v/>
      </c>
      <c r="B2530" s="3">
        <f>IF(Raw_Data!J2530=1,Raw_Data!D2530,"")</f>
        <v>6253.43</v>
      </c>
    </row>
    <row r="2531" spans="1:2" x14ac:dyDescent="0.25">
      <c r="A2531" s="3">
        <f>IF(Raw_Data!J2531=0,Raw_Data!D2531,"")</f>
        <v>3185.4</v>
      </c>
      <c r="B2531" s="3" t="str">
        <f>IF(Raw_Data!J2531=1,Raw_Data!D2531,"")</f>
        <v/>
      </c>
    </row>
    <row r="2532" spans="1:2" x14ac:dyDescent="0.25">
      <c r="A2532" s="3">
        <f>IF(Raw_Data!J2532=0,Raw_Data!D2532,"")</f>
        <v>2991.47</v>
      </c>
      <c r="B2532" s="3" t="str">
        <f>IF(Raw_Data!J2532=1,Raw_Data!D2532,"")</f>
        <v/>
      </c>
    </row>
    <row r="2533" spans="1:2" x14ac:dyDescent="0.25">
      <c r="A2533" s="3" t="str">
        <f>IF(Raw_Data!J2533=0,Raw_Data!D2533,"")</f>
        <v/>
      </c>
      <c r="B2533" s="3">
        <f>IF(Raw_Data!J2533=1,Raw_Data!D2533,"")</f>
        <v>1533.26</v>
      </c>
    </row>
    <row r="2534" spans="1:2" x14ac:dyDescent="0.25">
      <c r="A2534" s="3">
        <f>IF(Raw_Data!J2534=0,Raw_Data!D2534,"")</f>
        <v>1585.88</v>
      </c>
      <c r="B2534" s="3" t="str">
        <f>IF(Raw_Data!J2534=1,Raw_Data!D2534,"")</f>
        <v/>
      </c>
    </row>
    <row r="2535" spans="1:2" x14ac:dyDescent="0.25">
      <c r="A2535" s="3">
        <f>IF(Raw_Data!J2535=0,Raw_Data!D2535,"")</f>
        <v>3051.45</v>
      </c>
      <c r="B2535" s="3" t="str">
        <f>IF(Raw_Data!J2535=1,Raw_Data!D2535,"")</f>
        <v/>
      </c>
    </row>
    <row r="2536" spans="1:2" x14ac:dyDescent="0.25">
      <c r="A2536" s="3">
        <f>IF(Raw_Data!J2536=0,Raw_Data!D2536,"")</f>
        <v>1374.07</v>
      </c>
      <c r="B2536" s="3" t="str">
        <f>IF(Raw_Data!J2536=1,Raw_Data!D2536,"")</f>
        <v/>
      </c>
    </row>
    <row r="2537" spans="1:2" x14ac:dyDescent="0.25">
      <c r="A2537" s="3">
        <f>IF(Raw_Data!J2537=0,Raw_Data!D2537,"")</f>
        <v>1542.37</v>
      </c>
      <c r="B2537" s="3" t="str">
        <f>IF(Raw_Data!J2537=1,Raw_Data!D2537,"")</f>
        <v/>
      </c>
    </row>
    <row r="2538" spans="1:2" x14ac:dyDescent="0.25">
      <c r="A2538" s="3">
        <f>IF(Raw_Data!J2538=0,Raw_Data!D2538,"")</f>
        <v>366.23</v>
      </c>
      <c r="B2538" s="3" t="str">
        <f>IF(Raw_Data!J2538=1,Raw_Data!D2538,"")</f>
        <v/>
      </c>
    </row>
    <row r="2539" spans="1:2" x14ac:dyDescent="0.25">
      <c r="A2539" s="3">
        <f>IF(Raw_Data!J2539=0,Raw_Data!D2539,"")</f>
        <v>1565.17</v>
      </c>
      <c r="B2539" s="3" t="str">
        <f>IF(Raw_Data!J2539=1,Raw_Data!D2539,"")</f>
        <v/>
      </c>
    </row>
    <row r="2540" spans="1:2" x14ac:dyDescent="0.25">
      <c r="A2540" s="3">
        <f>IF(Raw_Data!J2540=0,Raw_Data!D2540,"")</f>
        <v>6637.54</v>
      </c>
      <c r="B2540" s="3" t="str">
        <f>IF(Raw_Data!J2540=1,Raw_Data!D2540,"")</f>
        <v/>
      </c>
    </row>
    <row r="2541" spans="1:2" x14ac:dyDescent="0.25">
      <c r="A2541" s="3">
        <f>IF(Raw_Data!J2541=0,Raw_Data!D2541,"")</f>
        <v>5490.31</v>
      </c>
      <c r="B2541" s="3" t="str">
        <f>IF(Raw_Data!J2541=1,Raw_Data!D2541,"")</f>
        <v/>
      </c>
    </row>
    <row r="2542" spans="1:2" x14ac:dyDescent="0.25">
      <c r="A2542" s="3">
        <f>IF(Raw_Data!J2542=0,Raw_Data!D2542,"")</f>
        <v>2062.1999999999998</v>
      </c>
      <c r="B2542" s="3" t="str">
        <f>IF(Raw_Data!J2542=1,Raw_Data!D2542,"")</f>
        <v/>
      </c>
    </row>
    <row r="2543" spans="1:2" x14ac:dyDescent="0.25">
      <c r="A2543" s="3" t="str">
        <f>IF(Raw_Data!J2543=0,Raw_Data!D2543,"")</f>
        <v/>
      </c>
      <c r="B2543" s="3">
        <f>IF(Raw_Data!J2543=1,Raw_Data!D2543,"")</f>
        <v>1729.27</v>
      </c>
    </row>
    <row r="2544" spans="1:2" x14ac:dyDescent="0.25">
      <c r="A2544" s="3">
        <f>IF(Raw_Data!J2544=0,Raw_Data!D2544,"")</f>
        <v>1622.25</v>
      </c>
      <c r="B2544" s="3" t="str">
        <f>IF(Raw_Data!J2544=1,Raw_Data!D2544,"")</f>
        <v/>
      </c>
    </row>
    <row r="2545" spans="1:2" x14ac:dyDescent="0.25">
      <c r="A2545" s="3">
        <f>IF(Raw_Data!J2545=0,Raw_Data!D2545,"")</f>
        <v>5017.2299999999996</v>
      </c>
      <c r="B2545" s="3" t="str">
        <f>IF(Raw_Data!J2545=1,Raw_Data!D2545,"")</f>
        <v/>
      </c>
    </row>
    <row r="2546" spans="1:2" x14ac:dyDescent="0.25">
      <c r="A2546" s="3" t="str">
        <f>IF(Raw_Data!J2546=0,Raw_Data!D2546,"")</f>
        <v/>
      </c>
      <c r="B2546" s="3">
        <f>IF(Raw_Data!J2546=1,Raw_Data!D2546,"")</f>
        <v>1633.58</v>
      </c>
    </row>
    <row r="2547" spans="1:2" x14ac:dyDescent="0.25">
      <c r="A2547" s="3">
        <f>IF(Raw_Data!J2547=0,Raw_Data!D2547,"")</f>
        <v>2504.6</v>
      </c>
      <c r="B2547" s="3" t="str">
        <f>IF(Raw_Data!J2547=1,Raw_Data!D2547,"")</f>
        <v/>
      </c>
    </row>
    <row r="2548" spans="1:2" x14ac:dyDescent="0.25">
      <c r="A2548" s="3">
        <f>IF(Raw_Data!J2548=0,Raw_Data!D2548,"")</f>
        <v>3536.51</v>
      </c>
      <c r="B2548" s="3" t="str">
        <f>IF(Raw_Data!J2548=1,Raw_Data!D2548,"")</f>
        <v/>
      </c>
    </row>
    <row r="2549" spans="1:2" x14ac:dyDescent="0.25">
      <c r="A2549" s="3" t="str">
        <f>IF(Raw_Data!J2549=0,Raw_Data!D2549,"")</f>
        <v/>
      </c>
      <c r="B2549" s="3">
        <f>IF(Raw_Data!J2549=1,Raw_Data!D2549,"")</f>
        <v>649.46</v>
      </c>
    </row>
    <row r="2550" spans="1:2" x14ac:dyDescent="0.25">
      <c r="A2550" s="3">
        <f>IF(Raw_Data!J2550=0,Raw_Data!D2550,"")</f>
        <v>1468.66</v>
      </c>
      <c r="B2550" s="3" t="str">
        <f>IF(Raw_Data!J2550=1,Raw_Data!D2550,"")</f>
        <v/>
      </c>
    </row>
    <row r="2551" spans="1:2" x14ac:dyDescent="0.25">
      <c r="A2551" s="3">
        <f>IF(Raw_Data!J2551=0,Raw_Data!D2551,"")</f>
        <v>1274.78</v>
      </c>
      <c r="B2551" s="3" t="str">
        <f>IF(Raw_Data!J2551=1,Raw_Data!D2551,"")</f>
        <v/>
      </c>
    </row>
    <row r="2552" spans="1:2" x14ac:dyDescent="0.25">
      <c r="A2552" s="3" t="str">
        <f>IF(Raw_Data!J2552=0,Raw_Data!D2552,"")</f>
        <v/>
      </c>
      <c r="B2552" s="3">
        <f>IF(Raw_Data!J2552=1,Raw_Data!D2552,"")</f>
        <v>3437.19</v>
      </c>
    </row>
    <row r="2553" spans="1:2" x14ac:dyDescent="0.25">
      <c r="A2553" s="3">
        <f>IF(Raw_Data!J2553=0,Raw_Data!D2553,"")</f>
        <v>5349.09</v>
      </c>
      <c r="B2553" s="3" t="str">
        <f>IF(Raw_Data!J2553=1,Raw_Data!D2553,"")</f>
        <v/>
      </c>
    </row>
    <row r="2554" spans="1:2" x14ac:dyDescent="0.25">
      <c r="A2554" s="3">
        <f>IF(Raw_Data!J2554=0,Raw_Data!D2554,"")</f>
        <v>3714.81</v>
      </c>
      <c r="B2554" s="3" t="str">
        <f>IF(Raw_Data!J2554=1,Raw_Data!D2554,"")</f>
        <v/>
      </c>
    </row>
    <row r="2555" spans="1:2" x14ac:dyDescent="0.25">
      <c r="A2555" s="3" t="str">
        <f>IF(Raw_Data!J2555=0,Raw_Data!D2555,"")</f>
        <v/>
      </c>
      <c r="B2555" s="3">
        <f>IF(Raw_Data!J2555=1,Raw_Data!D2555,"")</f>
        <v>3037.31</v>
      </c>
    </row>
    <row r="2556" spans="1:2" x14ac:dyDescent="0.25">
      <c r="A2556" s="3">
        <f>IF(Raw_Data!J2556=0,Raw_Data!D2556,"")</f>
        <v>1520.96</v>
      </c>
      <c r="B2556" s="3" t="str">
        <f>IF(Raw_Data!J2556=1,Raw_Data!D2556,"")</f>
        <v/>
      </c>
    </row>
    <row r="2557" spans="1:2" x14ac:dyDescent="0.25">
      <c r="A2557" s="3">
        <f>IF(Raw_Data!J2557=0,Raw_Data!D2557,"")</f>
        <v>5097.33</v>
      </c>
      <c r="B2557" s="3" t="str">
        <f>IF(Raw_Data!J2557=1,Raw_Data!D2557,"")</f>
        <v/>
      </c>
    </row>
    <row r="2558" spans="1:2" x14ac:dyDescent="0.25">
      <c r="A2558" s="3">
        <f>IF(Raw_Data!J2558=0,Raw_Data!D2558,"")</f>
        <v>2257.92</v>
      </c>
      <c r="B2558" s="3" t="str">
        <f>IF(Raw_Data!J2558=1,Raw_Data!D2558,"")</f>
        <v/>
      </c>
    </row>
    <row r="2559" spans="1:2" x14ac:dyDescent="0.25">
      <c r="A2559" s="3">
        <f>IF(Raw_Data!J2559=0,Raw_Data!D2559,"")</f>
        <v>2101.17</v>
      </c>
      <c r="B2559" s="3" t="str">
        <f>IF(Raw_Data!J2559=1,Raw_Data!D2559,"")</f>
        <v/>
      </c>
    </row>
    <row r="2560" spans="1:2" x14ac:dyDescent="0.25">
      <c r="A2560" s="3">
        <f>IF(Raw_Data!J2560=0,Raw_Data!D2560,"")</f>
        <v>3994.77</v>
      </c>
      <c r="B2560" s="3" t="str">
        <f>IF(Raw_Data!J2560=1,Raw_Data!D2560,"")</f>
        <v/>
      </c>
    </row>
    <row r="2561" spans="1:2" x14ac:dyDescent="0.25">
      <c r="A2561" s="3">
        <f>IF(Raw_Data!J2561=0,Raw_Data!D2561,"")</f>
        <v>2528.06</v>
      </c>
      <c r="B2561" s="3" t="str">
        <f>IF(Raw_Data!J2561=1,Raw_Data!D2561,"")</f>
        <v/>
      </c>
    </row>
    <row r="2562" spans="1:2" x14ac:dyDescent="0.25">
      <c r="A2562" s="3">
        <f>IF(Raw_Data!J2562=0,Raw_Data!D2562,"")</f>
        <v>3996.21</v>
      </c>
      <c r="B2562" s="3" t="str">
        <f>IF(Raw_Data!J2562=1,Raw_Data!D2562,"")</f>
        <v/>
      </c>
    </row>
    <row r="2563" spans="1:2" x14ac:dyDescent="0.25">
      <c r="A2563" s="3" t="str">
        <f>IF(Raw_Data!J2563=0,Raw_Data!D2563,"")</f>
        <v/>
      </c>
      <c r="B2563" s="3">
        <f>IF(Raw_Data!J2563=1,Raw_Data!D2563,"")</f>
        <v>4372.49</v>
      </c>
    </row>
    <row r="2564" spans="1:2" x14ac:dyDescent="0.25">
      <c r="A2564" s="3">
        <f>IF(Raw_Data!J2564=0,Raw_Data!D2564,"")</f>
        <v>1064.8599999999999</v>
      </c>
      <c r="B2564" s="3" t="str">
        <f>IF(Raw_Data!J2564=1,Raw_Data!D2564,"")</f>
        <v/>
      </c>
    </row>
    <row r="2565" spans="1:2" x14ac:dyDescent="0.25">
      <c r="A2565" s="3" t="str">
        <f>IF(Raw_Data!J2565=0,Raw_Data!D2565,"")</f>
        <v/>
      </c>
      <c r="B2565" s="3">
        <f>IF(Raw_Data!J2565=1,Raw_Data!D2565,"")</f>
        <v>3912.84</v>
      </c>
    </row>
    <row r="2566" spans="1:2" x14ac:dyDescent="0.25">
      <c r="A2566" s="3">
        <f>IF(Raw_Data!J2566=0,Raw_Data!D2566,"")</f>
        <v>3312.76</v>
      </c>
      <c r="B2566" s="3" t="str">
        <f>IF(Raw_Data!J2566=1,Raw_Data!D2566,"")</f>
        <v/>
      </c>
    </row>
    <row r="2567" spans="1:2" x14ac:dyDescent="0.25">
      <c r="A2567" s="3">
        <f>IF(Raw_Data!J2567=0,Raw_Data!D2567,"")</f>
        <v>137.44</v>
      </c>
      <c r="B2567" s="3" t="str">
        <f>IF(Raw_Data!J2567=1,Raw_Data!D2567,"")</f>
        <v/>
      </c>
    </row>
    <row r="2568" spans="1:2" x14ac:dyDescent="0.25">
      <c r="A2568" s="3">
        <f>IF(Raw_Data!J2568=0,Raw_Data!D2568,"")</f>
        <v>1991.43</v>
      </c>
      <c r="B2568" s="3" t="str">
        <f>IF(Raw_Data!J2568=1,Raw_Data!D2568,"")</f>
        <v/>
      </c>
    </row>
    <row r="2569" spans="1:2" x14ac:dyDescent="0.25">
      <c r="A2569" s="3">
        <f>IF(Raw_Data!J2569=0,Raw_Data!D2569,"")</f>
        <v>4976.46</v>
      </c>
      <c r="B2569" s="3" t="str">
        <f>IF(Raw_Data!J2569=1,Raw_Data!D2569,"")</f>
        <v/>
      </c>
    </row>
    <row r="2570" spans="1:2" x14ac:dyDescent="0.25">
      <c r="A2570" s="3">
        <f>IF(Raw_Data!J2570=0,Raw_Data!D2570,"")</f>
        <v>2445.9</v>
      </c>
      <c r="B2570" s="3" t="str">
        <f>IF(Raw_Data!J2570=1,Raw_Data!D2570,"")</f>
        <v/>
      </c>
    </row>
    <row r="2571" spans="1:2" x14ac:dyDescent="0.25">
      <c r="A2571" s="3">
        <f>IF(Raw_Data!J2571=0,Raw_Data!D2571,"")</f>
        <v>2336.6999999999998</v>
      </c>
      <c r="B2571" s="3" t="str">
        <f>IF(Raw_Data!J2571=1,Raw_Data!D2571,"")</f>
        <v/>
      </c>
    </row>
    <row r="2572" spans="1:2" x14ac:dyDescent="0.25">
      <c r="A2572" s="3">
        <f>IF(Raw_Data!J2572=0,Raw_Data!D2572,"")</f>
        <v>1156.6600000000001</v>
      </c>
      <c r="B2572" s="3" t="str">
        <f>IF(Raw_Data!J2572=1,Raw_Data!D2572,"")</f>
        <v/>
      </c>
    </row>
    <row r="2573" spans="1:2" x14ac:dyDescent="0.25">
      <c r="A2573" s="3">
        <f>IF(Raw_Data!J2573=0,Raw_Data!D2573,"")</f>
        <v>915.98</v>
      </c>
      <c r="B2573" s="3" t="str">
        <f>IF(Raw_Data!J2573=1,Raw_Data!D2573,"")</f>
        <v/>
      </c>
    </row>
    <row r="2574" spans="1:2" x14ac:dyDescent="0.25">
      <c r="A2574" s="3">
        <f>IF(Raw_Data!J2574=0,Raw_Data!D2574,"")</f>
        <v>8698.8700000000008</v>
      </c>
      <c r="B2574" s="3" t="str">
        <f>IF(Raw_Data!J2574=1,Raw_Data!D2574,"")</f>
        <v/>
      </c>
    </row>
    <row r="2575" spans="1:2" x14ac:dyDescent="0.25">
      <c r="A2575" s="3">
        <f>IF(Raw_Data!J2575=0,Raw_Data!D2575,"")</f>
        <v>2193.91</v>
      </c>
      <c r="B2575" s="3" t="str">
        <f>IF(Raw_Data!J2575=1,Raw_Data!D2575,"")</f>
        <v/>
      </c>
    </row>
    <row r="2576" spans="1:2" x14ac:dyDescent="0.25">
      <c r="A2576" s="3">
        <f>IF(Raw_Data!J2576=0,Raw_Data!D2576,"")</f>
        <v>6599.62</v>
      </c>
      <c r="B2576" s="3" t="str">
        <f>IF(Raw_Data!J2576=1,Raw_Data!D2576,"")</f>
        <v/>
      </c>
    </row>
    <row r="2577" spans="1:2" x14ac:dyDescent="0.25">
      <c r="A2577" s="3">
        <f>IF(Raw_Data!J2577=0,Raw_Data!D2577,"")</f>
        <v>1895.7</v>
      </c>
      <c r="B2577" s="3" t="str">
        <f>IF(Raw_Data!J2577=1,Raw_Data!D2577,"")</f>
        <v/>
      </c>
    </row>
    <row r="2578" spans="1:2" x14ac:dyDescent="0.25">
      <c r="A2578" s="3">
        <f>IF(Raw_Data!J2578=0,Raw_Data!D2578,"")</f>
        <v>1594.61</v>
      </c>
      <c r="B2578" s="3" t="str">
        <f>IF(Raw_Data!J2578=1,Raw_Data!D2578,"")</f>
        <v/>
      </c>
    </row>
    <row r="2579" spans="1:2" x14ac:dyDescent="0.25">
      <c r="A2579" s="3">
        <f>IF(Raw_Data!J2579=0,Raw_Data!D2579,"")</f>
        <v>2316.02</v>
      </c>
      <c r="B2579" s="3" t="str">
        <f>IF(Raw_Data!J2579=1,Raw_Data!D2579,"")</f>
        <v/>
      </c>
    </row>
    <row r="2580" spans="1:2" x14ac:dyDescent="0.25">
      <c r="A2580" s="3">
        <f>IF(Raw_Data!J2580=0,Raw_Data!D2580,"")</f>
        <v>536.04999999999995</v>
      </c>
      <c r="B2580" s="3" t="str">
        <f>IF(Raw_Data!J2580=1,Raw_Data!D2580,"")</f>
        <v/>
      </c>
    </row>
    <row r="2581" spans="1:2" x14ac:dyDescent="0.25">
      <c r="A2581" s="3">
        <f>IF(Raw_Data!J2581=0,Raw_Data!D2581,"")</f>
        <v>1188.6099999999999</v>
      </c>
      <c r="B2581" s="3" t="str">
        <f>IF(Raw_Data!J2581=1,Raw_Data!D2581,"")</f>
        <v/>
      </c>
    </row>
    <row r="2582" spans="1:2" x14ac:dyDescent="0.25">
      <c r="A2582" s="3">
        <f>IF(Raw_Data!J2582=0,Raw_Data!D2582,"")</f>
        <v>11373.32</v>
      </c>
      <c r="B2582" s="3" t="str">
        <f>IF(Raw_Data!J2582=1,Raw_Data!D2582,"")</f>
        <v/>
      </c>
    </row>
    <row r="2583" spans="1:2" x14ac:dyDescent="0.25">
      <c r="A2583" s="3" t="str">
        <f>IF(Raw_Data!J2583=0,Raw_Data!D2583,"")</f>
        <v/>
      </c>
      <c r="B2583" s="3">
        <f>IF(Raw_Data!J2583=1,Raw_Data!D2583,"")</f>
        <v>7348.97</v>
      </c>
    </row>
    <row r="2584" spans="1:2" x14ac:dyDescent="0.25">
      <c r="A2584" s="3">
        <f>IF(Raw_Data!J2584=0,Raw_Data!D2584,"")</f>
        <v>1008.79</v>
      </c>
      <c r="B2584" s="3" t="str">
        <f>IF(Raw_Data!J2584=1,Raw_Data!D2584,"")</f>
        <v/>
      </c>
    </row>
    <row r="2585" spans="1:2" x14ac:dyDescent="0.25">
      <c r="A2585" s="3">
        <f>IF(Raw_Data!J2585=0,Raw_Data!D2585,"")</f>
        <v>3599</v>
      </c>
      <c r="B2585" s="3" t="str">
        <f>IF(Raw_Data!J2585=1,Raw_Data!D2585,"")</f>
        <v/>
      </c>
    </row>
    <row r="2586" spans="1:2" x14ac:dyDescent="0.25">
      <c r="A2586" s="3">
        <f>IF(Raw_Data!J2586=0,Raw_Data!D2586,"")</f>
        <v>2002.81</v>
      </c>
      <c r="B2586" s="3" t="str">
        <f>IF(Raw_Data!J2586=1,Raw_Data!D2586,"")</f>
        <v/>
      </c>
    </row>
    <row r="2587" spans="1:2" x14ac:dyDescent="0.25">
      <c r="A2587" s="3">
        <f>IF(Raw_Data!J2587=0,Raw_Data!D2587,"")</f>
        <v>2951.83</v>
      </c>
      <c r="B2587" s="3" t="str">
        <f>IF(Raw_Data!J2587=1,Raw_Data!D2587,"")</f>
        <v/>
      </c>
    </row>
    <row r="2588" spans="1:2" x14ac:dyDescent="0.25">
      <c r="A2588" s="3">
        <f>IF(Raw_Data!J2588=0,Raw_Data!D2588,"")</f>
        <v>701.86</v>
      </c>
      <c r="B2588" s="3" t="str">
        <f>IF(Raw_Data!J2588=1,Raw_Data!D2588,"")</f>
        <v/>
      </c>
    </row>
    <row r="2589" spans="1:2" x14ac:dyDescent="0.25">
      <c r="A2589" s="3">
        <f>IF(Raw_Data!J2589=0,Raw_Data!D2589,"")</f>
        <v>1446.54</v>
      </c>
      <c r="B2589" s="3" t="str">
        <f>IF(Raw_Data!J2589=1,Raw_Data!D2589,"")</f>
        <v/>
      </c>
    </row>
    <row r="2590" spans="1:2" x14ac:dyDescent="0.25">
      <c r="A2590" s="3">
        <f>IF(Raw_Data!J2590=0,Raw_Data!D2590,"")</f>
        <v>1087.31</v>
      </c>
      <c r="B2590" s="3" t="str">
        <f>IF(Raw_Data!J2590=1,Raw_Data!D2590,"")</f>
        <v/>
      </c>
    </row>
    <row r="2591" spans="1:2" x14ac:dyDescent="0.25">
      <c r="A2591" s="3">
        <f>IF(Raw_Data!J2591=0,Raw_Data!D2591,"")</f>
        <v>3082.21</v>
      </c>
      <c r="B2591" s="3" t="str">
        <f>IF(Raw_Data!J2591=1,Raw_Data!D2591,"")</f>
        <v/>
      </c>
    </row>
    <row r="2592" spans="1:2" x14ac:dyDescent="0.25">
      <c r="A2592" s="3">
        <f>IF(Raw_Data!J2592=0,Raw_Data!D2592,"")</f>
        <v>1946.98</v>
      </c>
      <c r="B2592" s="3" t="str">
        <f>IF(Raw_Data!J2592=1,Raw_Data!D2592,"")</f>
        <v/>
      </c>
    </row>
    <row r="2593" spans="1:2" x14ac:dyDescent="0.25">
      <c r="A2593" s="3">
        <f>IF(Raw_Data!J2593=0,Raw_Data!D2593,"")</f>
        <v>3083.42</v>
      </c>
      <c r="B2593" s="3" t="str">
        <f>IF(Raw_Data!J2593=1,Raw_Data!D2593,"")</f>
        <v/>
      </c>
    </row>
    <row r="2594" spans="1:2" x14ac:dyDescent="0.25">
      <c r="A2594" s="3">
        <f>IF(Raw_Data!J2594=0,Raw_Data!D2594,"")</f>
        <v>4834.6099999999997</v>
      </c>
      <c r="B2594" s="3" t="str">
        <f>IF(Raw_Data!J2594=1,Raw_Data!D2594,"")</f>
        <v/>
      </c>
    </row>
    <row r="2595" spans="1:2" x14ac:dyDescent="0.25">
      <c r="A2595" s="3">
        <f>IF(Raw_Data!J2595=0,Raw_Data!D2595,"")</f>
        <v>4897.29</v>
      </c>
      <c r="B2595" s="3" t="str">
        <f>IF(Raw_Data!J2595=1,Raw_Data!D2595,"")</f>
        <v/>
      </c>
    </row>
    <row r="2596" spans="1:2" x14ac:dyDescent="0.25">
      <c r="A2596" s="3">
        <f>IF(Raw_Data!J2596=0,Raw_Data!D2596,"")</f>
        <v>2801.88</v>
      </c>
      <c r="B2596" s="3" t="str">
        <f>IF(Raw_Data!J2596=1,Raw_Data!D2596,"")</f>
        <v/>
      </c>
    </row>
    <row r="2597" spans="1:2" x14ac:dyDescent="0.25">
      <c r="A2597" s="3">
        <f>IF(Raw_Data!J2597=0,Raw_Data!D2597,"")</f>
        <v>1085.55</v>
      </c>
      <c r="B2597" s="3" t="str">
        <f>IF(Raw_Data!J2597=1,Raw_Data!D2597,"")</f>
        <v/>
      </c>
    </row>
    <row r="2598" spans="1:2" x14ac:dyDescent="0.25">
      <c r="A2598" s="3">
        <f>IF(Raw_Data!J2598=0,Raw_Data!D2598,"")</f>
        <v>1714.21</v>
      </c>
      <c r="B2598" s="3" t="str">
        <f>IF(Raw_Data!J2598=1,Raw_Data!D2598,"")</f>
        <v/>
      </c>
    </row>
    <row r="2599" spans="1:2" x14ac:dyDescent="0.25">
      <c r="A2599" s="3">
        <f>IF(Raw_Data!J2599=0,Raw_Data!D2599,"")</f>
        <v>3224.06</v>
      </c>
      <c r="B2599" s="3" t="str">
        <f>IF(Raw_Data!J2599=1,Raw_Data!D2599,"")</f>
        <v/>
      </c>
    </row>
    <row r="2600" spans="1:2" x14ac:dyDescent="0.25">
      <c r="A2600" s="3">
        <f>IF(Raw_Data!J2600=0,Raw_Data!D2600,"")</f>
        <v>2703.73</v>
      </c>
      <c r="B2600" s="3" t="str">
        <f>IF(Raw_Data!J2600=1,Raw_Data!D2600,"")</f>
        <v/>
      </c>
    </row>
    <row r="2601" spans="1:2" x14ac:dyDescent="0.25">
      <c r="A2601" s="3" t="str">
        <f>IF(Raw_Data!J2601=0,Raw_Data!D2601,"")</f>
        <v/>
      </c>
      <c r="B2601" s="3">
        <f>IF(Raw_Data!J2601=1,Raw_Data!D2601,"")</f>
        <v>1177.45</v>
      </c>
    </row>
    <row r="2602" spans="1:2" x14ac:dyDescent="0.25">
      <c r="A2602" s="3">
        <f>IF(Raw_Data!J2602=0,Raw_Data!D2602,"")</f>
        <v>1487.76</v>
      </c>
      <c r="B2602" s="3" t="str">
        <f>IF(Raw_Data!J2602=1,Raw_Data!D2602,"")</f>
        <v/>
      </c>
    </row>
    <row r="2603" spans="1:2" x14ac:dyDescent="0.25">
      <c r="A2603" s="3" t="str">
        <f>IF(Raw_Data!J2603=0,Raw_Data!D2603,"")</f>
        <v/>
      </c>
      <c r="B2603" s="3">
        <f>IF(Raw_Data!J2603=1,Raw_Data!D2603,"")</f>
        <v>5307.8</v>
      </c>
    </row>
    <row r="2604" spans="1:2" x14ac:dyDescent="0.25">
      <c r="A2604" s="3">
        <f>IF(Raw_Data!J2604=0,Raw_Data!D2604,"")</f>
        <v>1453.98</v>
      </c>
      <c r="B2604" s="3" t="str">
        <f>IF(Raw_Data!J2604=1,Raw_Data!D2604,"")</f>
        <v/>
      </c>
    </row>
    <row r="2605" spans="1:2" x14ac:dyDescent="0.25">
      <c r="A2605" s="3">
        <f>IF(Raw_Data!J2605=0,Raw_Data!D2605,"")</f>
        <v>1103.2</v>
      </c>
      <c r="B2605" s="3" t="str">
        <f>IF(Raw_Data!J2605=1,Raw_Data!D2605,"")</f>
        <v/>
      </c>
    </row>
    <row r="2606" spans="1:2" x14ac:dyDescent="0.25">
      <c r="A2606" s="3">
        <f>IF(Raw_Data!J2606=0,Raw_Data!D2606,"")</f>
        <v>5065.6899999999996</v>
      </c>
      <c r="B2606" s="3" t="str">
        <f>IF(Raw_Data!J2606=1,Raw_Data!D2606,"")</f>
        <v/>
      </c>
    </row>
    <row r="2607" spans="1:2" x14ac:dyDescent="0.25">
      <c r="A2607" s="3">
        <f>IF(Raw_Data!J2607=0,Raw_Data!D2607,"")</f>
        <v>3313.02</v>
      </c>
      <c r="B2607" s="3" t="str">
        <f>IF(Raw_Data!J2607=1,Raw_Data!D2607,"")</f>
        <v/>
      </c>
    </row>
    <row r="2608" spans="1:2" x14ac:dyDescent="0.25">
      <c r="A2608" s="3">
        <f>IF(Raw_Data!J2608=0,Raw_Data!D2608,"")</f>
        <v>3202.81</v>
      </c>
      <c r="B2608" s="3" t="str">
        <f>IF(Raw_Data!J2608=1,Raw_Data!D2608,"")</f>
        <v/>
      </c>
    </row>
    <row r="2609" spans="1:2" x14ac:dyDescent="0.25">
      <c r="A2609" s="3">
        <f>IF(Raw_Data!J2609=0,Raw_Data!D2609,"")</f>
        <v>2177.58</v>
      </c>
      <c r="B2609" s="3" t="str">
        <f>IF(Raw_Data!J2609=1,Raw_Data!D2609,"")</f>
        <v/>
      </c>
    </row>
    <row r="2610" spans="1:2" x14ac:dyDescent="0.25">
      <c r="A2610" s="3">
        <f>IF(Raw_Data!J2610=0,Raw_Data!D2610,"")</f>
        <v>899.55</v>
      </c>
      <c r="B2610" s="3" t="str">
        <f>IF(Raw_Data!J2610=1,Raw_Data!D2610,"")</f>
        <v/>
      </c>
    </row>
    <row r="2611" spans="1:2" x14ac:dyDescent="0.25">
      <c r="A2611" s="3" t="str">
        <f>IF(Raw_Data!J2611=0,Raw_Data!D2611,"")</f>
        <v/>
      </c>
      <c r="B2611" s="3">
        <f>IF(Raw_Data!J2611=1,Raw_Data!D2611,"")</f>
        <v>327.62</v>
      </c>
    </row>
    <row r="2612" spans="1:2" x14ac:dyDescent="0.25">
      <c r="A2612" s="3">
        <f>IF(Raw_Data!J2612=0,Raw_Data!D2612,"")</f>
        <v>2558.12</v>
      </c>
      <c r="B2612" s="3" t="str">
        <f>IF(Raw_Data!J2612=1,Raw_Data!D2612,"")</f>
        <v/>
      </c>
    </row>
    <row r="2613" spans="1:2" x14ac:dyDescent="0.25">
      <c r="A2613" s="3">
        <f>IF(Raw_Data!J2613=0,Raw_Data!D2613,"")</f>
        <v>1496.39</v>
      </c>
      <c r="B2613" s="3" t="str">
        <f>IF(Raw_Data!J2613=1,Raw_Data!D2613,"")</f>
        <v/>
      </c>
    </row>
    <row r="2614" spans="1:2" x14ac:dyDescent="0.25">
      <c r="A2614" s="3">
        <f>IF(Raw_Data!J2614=0,Raw_Data!D2614,"")</f>
        <v>599.69000000000005</v>
      </c>
      <c r="B2614" s="3" t="str">
        <f>IF(Raw_Data!J2614=1,Raw_Data!D2614,"")</f>
        <v/>
      </c>
    </row>
    <row r="2615" spans="1:2" x14ac:dyDescent="0.25">
      <c r="A2615" s="3">
        <f>IF(Raw_Data!J2615=0,Raw_Data!D2615,"")</f>
        <v>2542.46</v>
      </c>
      <c r="B2615" s="3" t="str">
        <f>IF(Raw_Data!J2615=1,Raw_Data!D2615,"")</f>
        <v/>
      </c>
    </row>
    <row r="2616" spans="1:2" x14ac:dyDescent="0.25">
      <c r="A2616" s="3">
        <f>IF(Raw_Data!J2616=0,Raw_Data!D2616,"")</f>
        <v>426.9</v>
      </c>
      <c r="B2616" s="3" t="str">
        <f>IF(Raw_Data!J2616=1,Raw_Data!D2616,"")</f>
        <v/>
      </c>
    </row>
    <row r="2617" spans="1:2" x14ac:dyDescent="0.25">
      <c r="A2617" s="3">
        <f>IF(Raw_Data!J2617=0,Raw_Data!D2617,"")</f>
        <v>516.80999999999995</v>
      </c>
      <c r="B2617" s="3" t="str">
        <f>IF(Raw_Data!J2617=1,Raw_Data!D2617,"")</f>
        <v/>
      </c>
    </row>
    <row r="2618" spans="1:2" x14ac:dyDescent="0.25">
      <c r="A2618" s="3">
        <f>IF(Raw_Data!J2618=0,Raw_Data!D2618,"")</f>
        <v>5445.59</v>
      </c>
      <c r="B2618" s="3" t="str">
        <f>IF(Raw_Data!J2618=1,Raw_Data!D2618,"")</f>
        <v/>
      </c>
    </row>
    <row r="2619" spans="1:2" x14ac:dyDescent="0.25">
      <c r="A2619" s="3">
        <f>IF(Raw_Data!J2619=0,Raw_Data!D2619,"")</f>
        <v>1937.32</v>
      </c>
      <c r="B2619" s="3" t="str">
        <f>IF(Raw_Data!J2619=1,Raw_Data!D2619,"")</f>
        <v/>
      </c>
    </row>
    <row r="2620" spans="1:2" x14ac:dyDescent="0.25">
      <c r="A2620" s="3">
        <f>IF(Raw_Data!J2620=0,Raw_Data!D2620,"")</f>
        <v>2546.86</v>
      </c>
      <c r="B2620" s="3" t="str">
        <f>IF(Raw_Data!J2620=1,Raw_Data!D2620,"")</f>
        <v/>
      </c>
    </row>
    <row r="2621" spans="1:2" x14ac:dyDescent="0.25">
      <c r="A2621" s="3">
        <f>IF(Raw_Data!J2621=0,Raw_Data!D2621,"")</f>
        <v>657.06</v>
      </c>
      <c r="B2621" s="3" t="str">
        <f>IF(Raw_Data!J2621=1,Raw_Data!D2621,"")</f>
        <v/>
      </c>
    </row>
    <row r="2622" spans="1:2" x14ac:dyDescent="0.25">
      <c r="A2622" s="3">
        <f>IF(Raw_Data!J2622=0,Raw_Data!D2622,"")</f>
        <v>1769.7</v>
      </c>
      <c r="B2622" s="3" t="str">
        <f>IF(Raw_Data!J2622=1,Raw_Data!D2622,"")</f>
        <v/>
      </c>
    </row>
    <row r="2623" spans="1:2" x14ac:dyDescent="0.25">
      <c r="A2623" s="3">
        <f>IF(Raw_Data!J2623=0,Raw_Data!D2623,"")</f>
        <v>1340.3</v>
      </c>
      <c r="B2623" s="3" t="str">
        <f>IF(Raw_Data!J2623=1,Raw_Data!D2623,"")</f>
        <v/>
      </c>
    </row>
    <row r="2624" spans="1:2" x14ac:dyDescent="0.25">
      <c r="A2624" s="3">
        <f>IF(Raw_Data!J2624=0,Raw_Data!D2624,"")</f>
        <v>546.44000000000005</v>
      </c>
      <c r="B2624" s="3" t="str">
        <f>IF(Raw_Data!J2624=1,Raw_Data!D2624,"")</f>
        <v/>
      </c>
    </row>
    <row r="2625" spans="1:2" x14ac:dyDescent="0.25">
      <c r="A2625" s="3">
        <f>IF(Raw_Data!J2625=0,Raw_Data!D2625,"")</f>
        <v>767.97</v>
      </c>
      <c r="B2625" s="3" t="str">
        <f>IF(Raw_Data!J2625=1,Raw_Data!D2625,"")</f>
        <v/>
      </c>
    </row>
    <row r="2626" spans="1:2" x14ac:dyDescent="0.25">
      <c r="A2626" s="3" t="str">
        <f>IF(Raw_Data!J2626=0,Raw_Data!D2626,"")</f>
        <v/>
      </c>
      <c r="B2626" s="3">
        <f>IF(Raw_Data!J2626=1,Raw_Data!D2626,"")</f>
        <v>3091.86</v>
      </c>
    </row>
    <row r="2627" spans="1:2" x14ac:dyDescent="0.25">
      <c r="A2627" s="3">
        <f>IF(Raw_Data!J2627=0,Raw_Data!D2627,"")</f>
        <v>1084.8399999999999</v>
      </c>
      <c r="B2627" s="3" t="str">
        <f>IF(Raw_Data!J2627=1,Raw_Data!D2627,"")</f>
        <v/>
      </c>
    </row>
    <row r="2628" spans="1:2" x14ac:dyDescent="0.25">
      <c r="A2628" s="3">
        <f>IF(Raw_Data!J2628=0,Raw_Data!D2628,"")</f>
        <v>1243.17</v>
      </c>
      <c r="B2628" s="3" t="str">
        <f>IF(Raw_Data!J2628=1,Raw_Data!D2628,"")</f>
        <v/>
      </c>
    </row>
    <row r="2629" spans="1:2" x14ac:dyDescent="0.25">
      <c r="A2629" s="3">
        <f>IF(Raw_Data!J2629=0,Raw_Data!D2629,"")</f>
        <v>655.23</v>
      </c>
      <c r="B2629" s="3" t="str">
        <f>IF(Raw_Data!J2629=1,Raw_Data!D2629,"")</f>
        <v/>
      </c>
    </row>
    <row r="2630" spans="1:2" x14ac:dyDescent="0.25">
      <c r="A2630" s="3">
        <f>IF(Raw_Data!J2630=0,Raw_Data!D2630,"")</f>
        <v>6352.43</v>
      </c>
      <c r="B2630" s="3" t="str">
        <f>IF(Raw_Data!J2630=1,Raw_Data!D2630,"")</f>
        <v/>
      </c>
    </row>
    <row r="2631" spans="1:2" x14ac:dyDescent="0.25">
      <c r="A2631" s="3">
        <f>IF(Raw_Data!J2631=0,Raw_Data!D2631,"")</f>
        <v>908.77</v>
      </c>
      <c r="B2631" s="3" t="str">
        <f>IF(Raw_Data!J2631=1,Raw_Data!D2631,"")</f>
        <v/>
      </c>
    </row>
    <row r="2632" spans="1:2" x14ac:dyDescent="0.25">
      <c r="A2632" s="3">
        <f>IF(Raw_Data!J2632=0,Raw_Data!D2632,"")</f>
        <v>2825.49</v>
      </c>
      <c r="B2632" s="3" t="str">
        <f>IF(Raw_Data!J2632=1,Raw_Data!D2632,"")</f>
        <v/>
      </c>
    </row>
    <row r="2633" spans="1:2" x14ac:dyDescent="0.25">
      <c r="A2633" s="3">
        <f>IF(Raw_Data!J2633=0,Raw_Data!D2633,"")</f>
        <v>1476.78</v>
      </c>
      <c r="B2633" s="3" t="str">
        <f>IF(Raw_Data!J2633=1,Raw_Data!D2633,"")</f>
        <v/>
      </c>
    </row>
    <row r="2634" spans="1:2" x14ac:dyDescent="0.25">
      <c r="A2634" s="3">
        <f>IF(Raw_Data!J2634=0,Raw_Data!D2634,"")</f>
        <v>925.09</v>
      </c>
      <c r="B2634" s="3" t="str">
        <f>IF(Raw_Data!J2634=1,Raw_Data!D2634,"")</f>
        <v/>
      </c>
    </row>
    <row r="2635" spans="1:2" x14ac:dyDescent="0.25">
      <c r="A2635" s="3">
        <f>IF(Raw_Data!J2635=0,Raw_Data!D2635,"")</f>
        <v>3569.5</v>
      </c>
      <c r="B2635" s="3" t="str">
        <f>IF(Raw_Data!J2635=1,Raw_Data!D2635,"")</f>
        <v/>
      </c>
    </row>
    <row r="2636" spans="1:2" x14ac:dyDescent="0.25">
      <c r="A2636" s="3">
        <f>IF(Raw_Data!J2636=0,Raw_Data!D2636,"")</f>
        <v>6810.2</v>
      </c>
      <c r="B2636" s="3" t="str">
        <f>IF(Raw_Data!J2636=1,Raw_Data!D2636,"")</f>
        <v/>
      </c>
    </row>
    <row r="2637" spans="1:2" x14ac:dyDescent="0.25">
      <c r="A2637" s="3">
        <f>IF(Raw_Data!J2637=0,Raw_Data!D2637,"")</f>
        <v>3458.14</v>
      </c>
      <c r="B2637" s="3" t="str">
        <f>IF(Raw_Data!J2637=1,Raw_Data!D2637,"")</f>
        <v/>
      </c>
    </row>
    <row r="2638" spans="1:2" x14ac:dyDescent="0.25">
      <c r="A2638" s="3">
        <f>IF(Raw_Data!J2638=0,Raw_Data!D2638,"")</f>
        <v>1048.42</v>
      </c>
      <c r="B2638" s="3" t="str">
        <f>IF(Raw_Data!J2638=1,Raw_Data!D2638,"")</f>
        <v/>
      </c>
    </row>
    <row r="2639" spans="1:2" x14ac:dyDescent="0.25">
      <c r="A2639" s="3" t="str">
        <f>IF(Raw_Data!J2639=0,Raw_Data!D2639,"")</f>
        <v/>
      </c>
      <c r="B2639" s="3">
        <f>IF(Raw_Data!J2639=1,Raw_Data!D2639,"")</f>
        <v>3942.85</v>
      </c>
    </row>
    <row r="2640" spans="1:2" x14ac:dyDescent="0.25">
      <c r="A2640" s="3">
        <f>IF(Raw_Data!J2640=0,Raw_Data!D2640,"")</f>
        <v>4005.55</v>
      </c>
      <c r="B2640" s="3" t="str">
        <f>IF(Raw_Data!J2640=1,Raw_Data!D2640,"")</f>
        <v/>
      </c>
    </row>
    <row r="2641" spans="1:2" x14ac:dyDescent="0.25">
      <c r="A2641" s="3">
        <f>IF(Raw_Data!J2641=0,Raw_Data!D2641,"")</f>
        <v>1229.32</v>
      </c>
      <c r="B2641" s="3" t="str">
        <f>IF(Raw_Data!J2641=1,Raw_Data!D2641,"")</f>
        <v/>
      </c>
    </row>
    <row r="2642" spans="1:2" x14ac:dyDescent="0.25">
      <c r="A2642" s="3">
        <f>IF(Raw_Data!J2642=0,Raw_Data!D2642,"")</f>
        <v>1746.63</v>
      </c>
      <c r="B2642" s="3" t="str">
        <f>IF(Raw_Data!J2642=1,Raw_Data!D2642,"")</f>
        <v/>
      </c>
    </row>
    <row r="2643" spans="1:2" x14ac:dyDescent="0.25">
      <c r="A2643" s="3">
        <f>IF(Raw_Data!J2643=0,Raw_Data!D2643,"")</f>
        <v>3223.72</v>
      </c>
      <c r="B2643" s="3" t="str">
        <f>IF(Raw_Data!J2643=1,Raw_Data!D2643,"")</f>
        <v/>
      </c>
    </row>
    <row r="2644" spans="1:2" x14ac:dyDescent="0.25">
      <c r="A2644" s="3">
        <f>IF(Raw_Data!J2644=0,Raw_Data!D2644,"")</f>
        <v>5580.97</v>
      </c>
      <c r="B2644" s="3" t="str">
        <f>IF(Raw_Data!J2644=1,Raw_Data!D2644,"")</f>
        <v/>
      </c>
    </row>
    <row r="2645" spans="1:2" x14ac:dyDescent="0.25">
      <c r="A2645" s="3">
        <f>IF(Raw_Data!J2645=0,Raw_Data!D2645,"")</f>
        <v>3801.03</v>
      </c>
      <c r="B2645" s="3" t="str">
        <f>IF(Raw_Data!J2645=1,Raw_Data!D2645,"")</f>
        <v/>
      </c>
    </row>
    <row r="2646" spans="1:2" x14ac:dyDescent="0.25">
      <c r="A2646" s="3" t="str">
        <f>IF(Raw_Data!J2646=0,Raw_Data!D2646,"")</f>
        <v/>
      </c>
      <c r="B2646" s="3">
        <f>IF(Raw_Data!J2646=1,Raw_Data!D2646,"")</f>
        <v>2962.37</v>
      </c>
    </row>
    <row r="2647" spans="1:2" x14ac:dyDescent="0.25">
      <c r="A2647" s="3">
        <f>IF(Raw_Data!J2647=0,Raw_Data!D2647,"")</f>
        <v>5556.97</v>
      </c>
      <c r="B2647" s="3" t="str">
        <f>IF(Raw_Data!J2647=1,Raw_Data!D2647,"")</f>
        <v/>
      </c>
    </row>
    <row r="2648" spans="1:2" x14ac:dyDescent="0.25">
      <c r="A2648" s="3">
        <f>IF(Raw_Data!J2648=0,Raw_Data!D2648,"")</f>
        <v>1974.62</v>
      </c>
      <c r="B2648" s="3" t="str">
        <f>IF(Raw_Data!J2648=1,Raw_Data!D2648,"")</f>
        <v/>
      </c>
    </row>
    <row r="2649" spans="1:2" x14ac:dyDescent="0.25">
      <c r="A2649" s="3">
        <f>IF(Raw_Data!J2649=0,Raw_Data!D2649,"")</f>
        <v>2289.69</v>
      </c>
      <c r="B2649" s="3" t="str">
        <f>IF(Raw_Data!J2649=1,Raw_Data!D2649,"")</f>
        <v/>
      </c>
    </row>
    <row r="2650" spans="1:2" x14ac:dyDescent="0.25">
      <c r="A2650" s="3" t="str">
        <f>IF(Raw_Data!J2650=0,Raw_Data!D2650,"")</f>
        <v/>
      </c>
      <c r="B2650" s="3">
        <f>IF(Raw_Data!J2650=1,Raw_Data!D2650,"")</f>
        <v>917.98</v>
      </c>
    </row>
    <row r="2651" spans="1:2" x14ac:dyDescent="0.25">
      <c r="A2651" s="3">
        <f>IF(Raw_Data!J2651=0,Raw_Data!D2651,"")</f>
        <v>1934.04</v>
      </c>
      <c r="B2651" s="3" t="str">
        <f>IF(Raw_Data!J2651=1,Raw_Data!D2651,"")</f>
        <v/>
      </c>
    </row>
    <row r="2652" spans="1:2" x14ac:dyDescent="0.25">
      <c r="A2652" s="3">
        <f>IF(Raw_Data!J2652=0,Raw_Data!D2652,"")</f>
        <v>2197.2199999999998</v>
      </c>
      <c r="B2652" s="3" t="str">
        <f>IF(Raw_Data!J2652=1,Raw_Data!D2652,"")</f>
        <v/>
      </c>
    </row>
    <row r="2653" spans="1:2" x14ac:dyDescent="0.25">
      <c r="A2653" s="3">
        <f>IF(Raw_Data!J2653=0,Raw_Data!D2653,"")</f>
        <v>207.94</v>
      </c>
      <c r="B2653" s="3" t="str">
        <f>IF(Raw_Data!J2653=1,Raw_Data!D2653,"")</f>
        <v/>
      </c>
    </row>
    <row r="2654" spans="1:2" x14ac:dyDescent="0.25">
      <c r="A2654" s="3">
        <f>IF(Raw_Data!J2654=0,Raw_Data!D2654,"")</f>
        <v>2329.36</v>
      </c>
      <c r="B2654" s="3" t="str">
        <f>IF(Raw_Data!J2654=1,Raw_Data!D2654,"")</f>
        <v/>
      </c>
    </row>
    <row r="2655" spans="1:2" x14ac:dyDescent="0.25">
      <c r="A2655" s="3">
        <f>IF(Raw_Data!J2655=0,Raw_Data!D2655,"")</f>
        <v>810.29</v>
      </c>
      <c r="B2655" s="3" t="str">
        <f>IF(Raw_Data!J2655=1,Raw_Data!D2655,"")</f>
        <v/>
      </c>
    </row>
    <row r="2656" spans="1:2" x14ac:dyDescent="0.25">
      <c r="A2656" s="3">
        <f>IF(Raw_Data!J2656=0,Raw_Data!D2656,"")</f>
        <v>4682.2700000000004</v>
      </c>
      <c r="B2656" s="3" t="str">
        <f>IF(Raw_Data!J2656=1,Raw_Data!D2656,"")</f>
        <v/>
      </c>
    </row>
    <row r="2657" spans="1:2" x14ac:dyDescent="0.25">
      <c r="A2657" s="3">
        <f>IF(Raw_Data!J2657=0,Raw_Data!D2657,"")</f>
        <v>3502.8</v>
      </c>
      <c r="B2657" s="3" t="str">
        <f>IF(Raw_Data!J2657=1,Raw_Data!D2657,"")</f>
        <v/>
      </c>
    </row>
    <row r="2658" spans="1:2" x14ac:dyDescent="0.25">
      <c r="A2658" s="3" t="str">
        <f>IF(Raw_Data!J2658=0,Raw_Data!D2658,"")</f>
        <v/>
      </c>
      <c r="B2658" s="3">
        <f>IF(Raw_Data!J2658=1,Raw_Data!D2658,"")</f>
        <v>3928.93</v>
      </c>
    </row>
    <row r="2659" spans="1:2" x14ac:dyDescent="0.25">
      <c r="A2659" s="3">
        <f>IF(Raw_Data!J2659=0,Raw_Data!D2659,"")</f>
        <v>5581.38</v>
      </c>
      <c r="B2659" s="3" t="str">
        <f>IF(Raw_Data!J2659=1,Raw_Data!D2659,"")</f>
        <v/>
      </c>
    </row>
    <row r="2660" spans="1:2" x14ac:dyDescent="0.25">
      <c r="A2660" s="3">
        <f>IF(Raw_Data!J2660=0,Raw_Data!D2660,"")</f>
        <v>1122.17</v>
      </c>
      <c r="B2660" s="3" t="str">
        <f>IF(Raw_Data!J2660=1,Raw_Data!D2660,"")</f>
        <v/>
      </c>
    </row>
    <row r="2661" spans="1:2" x14ac:dyDescent="0.25">
      <c r="A2661" s="3" t="str">
        <f>IF(Raw_Data!J2661=0,Raw_Data!D2661,"")</f>
        <v/>
      </c>
      <c r="B2661" s="3">
        <f>IF(Raw_Data!J2661=1,Raw_Data!D2661,"")</f>
        <v>1843.21</v>
      </c>
    </row>
    <row r="2662" spans="1:2" x14ac:dyDescent="0.25">
      <c r="A2662" s="3">
        <f>IF(Raw_Data!J2662=0,Raw_Data!D2662,"")</f>
        <v>4957.74</v>
      </c>
      <c r="B2662" s="3" t="str">
        <f>IF(Raw_Data!J2662=1,Raw_Data!D2662,"")</f>
        <v/>
      </c>
    </row>
    <row r="2663" spans="1:2" x14ac:dyDescent="0.25">
      <c r="A2663" s="3">
        <f>IF(Raw_Data!J2663=0,Raw_Data!D2663,"")</f>
        <v>4302.1000000000004</v>
      </c>
      <c r="B2663" s="3" t="str">
        <f>IF(Raw_Data!J2663=1,Raw_Data!D2663,"")</f>
        <v/>
      </c>
    </row>
    <row r="2664" spans="1:2" x14ac:dyDescent="0.25">
      <c r="A2664" s="3">
        <f>IF(Raw_Data!J2664=0,Raw_Data!D2664,"")</f>
        <v>3038.76</v>
      </c>
      <c r="B2664" s="3" t="str">
        <f>IF(Raw_Data!J2664=1,Raw_Data!D2664,"")</f>
        <v/>
      </c>
    </row>
    <row r="2665" spans="1:2" x14ac:dyDescent="0.25">
      <c r="A2665" s="3">
        <f>IF(Raw_Data!J2665=0,Raw_Data!D2665,"")</f>
        <v>1777.02</v>
      </c>
      <c r="B2665" s="3" t="str">
        <f>IF(Raw_Data!J2665=1,Raw_Data!D2665,"")</f>
        <v/>
      </c>
    </row>
    <row r="2666" spans="1:2" x14ac:dyDescent="0.25">
      <c r="A2666" s="3" t="str">
        <f>IF(Raw_Data!J2666=0,Raw_Data!D2666,"")</f>
        <v/>
      </c>
      <c r="B2666" s="3">
        <f>IF(Raw_Data!J2666=1,Raw_Data!D2666,"")</f>
        <v>585.35</v>
      </c>
    </row>
    <row r="2667" spans="1:2" x14ac:dyDescent="0.25">
      <c r="A2667" s="3">
        <f>IF(Raw_Data!J2667=0,Raw_Data!D2667,"")</f>
        <v>1144.3900000000001</v>
      </c>
      <c r="B2667" s="3" t="str">
        <f>IF(Raw_Data!J2667=1,Raw_Data!D2667,"")</f>
        <v/>
      </c>
    </row>
    <row r="2668" spans="1:2" x14ac:dyDescent="0.25">
      <c r="A2668" s="3">
        <f>IF(Raw_Data!J2668=0,Raw_Data!D2668,"")</f>
        <v>2204.41</v>
      </c>
      <c r="B2668" s="3" t="str">
        <f>IF(Raw_Data!J2668=1,Raw_Data!D2668,"")</f>
        <v/>
      </c>
    </row>
    <row r="2669" spans="1:2" x14ac:dyDescent="0.25">
      <c r="A2669" s="3">
        <f>IF(Raw_Data!J2669=0,Raw_Data!D2669,"")</f>
        <v>2875.03</v>
      </c>
      <c r="B2669" s="3" t="str">
        <f>IF(Raw_Data!J2669=1,Raw_Data!D2669,"")</f>
        <v/>
      </c>
    </row>
    <row r="2670" spans="1:2" x14ac:dyDescent="0.25">
      <c r="A2670" s="3">
        <f>IF(Raw_Data!J2670=0,Raw_Data!D2670,"")</f>
        <v>1123.23</v>
      </c>
      <c r="B2670" s="3" t="str">
        <f>IF(Raw_Data!J2670=1,Raw_Data!D2670,"")</f>
        <v/>
      </c>
    </row>
    <row r="2671" spans="1:2" x14ac:dyDescent="0.25">
      <c r="A2671" s="3" t="str">
        <f>IF(Raw_Data!J2671=0,Raw_Data!D2671,"")</f>
        <v/>
      </c>
      <c r="B2671" s="3">
        <f>IF(Raw_Data!J2671=1,Raw_Data!D2671,"")</f>
        <v>2319.2399999999998</v>
      </c>
    </row>
    <row r="2672" spans="1:2" x14ac:dyDescent="0.25">
      <c r="A2672" s="3">
        <f>IF(Raw_Data!J2672=0,Raw_Data!D2672,"")</f>
        <v>708.66</v>
      </c>
      <c r="B2672" s="3" t="str">
        <f>IF(Raw_Data!J2672=1,Raw_Data!D2672,"")</f>
        <v/>
      </c>
    </row>
    <row r="2673" spans="1:2" x14ac:dyDescent="0.25">
      <c r="A2673" s="3">
        <f>IF(Raw_Data!J2673=0,Raw_Data!D2673,"")</f>
        <v>2175.9899999999998</v>
      </c>
      <c r="B2673" s="3" t="str">
        <f>IF(Raw_Data!J2673=1,Raw_Data!D2673,"")</f>
        <v/>
      </c>
    </row>
    <row r="2674" spans="1:2" x14ac:dyDescent="0.25">
      <c r="A2674" s="3">
        <f>IF(Raw_Data!J2674=0,Raw_Data!D2674,"")</f>
        <v>3227.37</v>
      </c>
      <c r="B2674" s="3" t="str">
        <f>IF(Raw_Data!J2674=1,Raw_Data!D2674,"")</f>
        <v/>
      </c>
    </row>
    <row r="2675" spans="1:2" x14ac:dyDescent="0.25">
      <c r="A2675" s="3">
        <f>IF(Raw_Data!J2675=0,Raw_Data!D2675,"")</f>
        <v>1171.1400000000001</v>
      </c>
      <c r="B2675" s="3" t="str">
        <f>IF(Raw_Data!J2675=1,Raw_Data!D2675,"")</f>
        <v/>
      </c>
    </row>
    <row r="2676" spans="1:2" x14ac:dyDescent="0.25">
      <c r="A2676" s="3">
        <f>IF(Raw_Data!J2676=0,Raw_Data!D2676,"")</f>
        <v>3138.3</v>
      </c>
      <c r="B2676" s="3" t="str">
        <f>IF(Raw_Data!J2676=1,Raw_Data!D2676,"")</f>
        <v/>
      </c>
    </row>
    <row r="2677" spans="1:2" x14ac:dyDescent="0.25">
      <c r="A2677" s="3" t="str">
        <f>IF(Raw_Data!J2677=0,Raw_Data!D2677,"")</f>
        <v/>
      </c>
      <c r="B2677" s="3">
        <f>IF(Raw_Data!J2677=1,Raw_Data!D2677,"")</f>
        <v>3170.21</v>
      </c>
    </row>
    <row r="2678" spans="1:2" x14ac:dyDescent="0.25">
      <c r="A2678" s="3">
        <f>IF(Raw_Data!J2678=0,Raw_Data!D2678,"")</f>
        <v>3291.43</v>
      </c>
      <c r="B2678" s="3" t="str">
        <f>IF(Raw_Data!J2678=1,Raw_Data!D2678,"")</f>
        <v/>
      </c>
    </row>
    <row r="2679" spans="1:2" x14ac:dyDescent="0.25">
      <c r="A2679" s="3">
        <f>IF(Raw_Data!J2679=0,Raw_Data!D2679,"")</f>
        <v>3182.71</v>
      </c>
      <c r="B2679" s="3" t="str">
        <f>IF(Raw_Data!J2679=1,Raw_Data!D2679,"")</f>
        <v/>
      </c>
    </row>
    <row r="2680" spans="1:2" x14ac:dyDescent="0.25">
      <c r="A2680" s="3">
        <f>IF(Raw_Data!J2680=0,Raw_Data!D2680,"")</f>
        <v>9618.06</v>
      </c>
      <c r="B2680" s="3" t="str">
        <f>IF(Raw_Data!J2680=1,Raw_Data!D2680,"")</f>
        <v/>
      </c>
    </row>
    <row r="2681" spans="1:2" x14ac:dyDescent="0.25">
      <c r="A2681" s="3">
        <f>IF(Raw_Data!J2681=0,Raw_Data!D2681,"")</f>
        <v>718.22</v>
      </c>
      <c r="B2681" s="3" t="str">
        <f>IF(Raw_Data!J2681=1,Raw_Data!D2681,"")</f>
        <v/>
      </c>
    </row>
    <row r="2682" spans="1:2" x14ac:dyDescent="0.25">
      <c r="A2682" s="3">
        <f>IF(Raw_Data!J2682=0,Raw_Data!D2682,"")</f>
        <v>5028.2700000000004</v>
      </c>
      <c r="B2682" s="3" t="str">
        <f>IF(Raw_Data!J2682=1,Raw_Data!D2682,"")</f>
        <v/>
      </c>
    </row>
    <row r="2683" spans="1:2" x14ac:dyDescent="0.25">
      <c r="A2683" s="3">
        <f>IF(Raw_Data!J2683=0,Raw_Data!D2683,"")</f>
        <v>3874.77</v>
      </c>
      <c r="B2683" s="3" t="str">
        <f>IF(Raw_Data!J2683=1,Raw_Data!D2683,"")</f>
        <v/>
      </c>
    </row>
    <row r="2684" spans="1:2" x14ac:dyDescent="0.25">
      <c r="A2684" s="3" t="str">
        <f>IF(Raw_Data!J2684=0,Raw_Data!D2684,"")</f>
        <v/>
      </c>
      <c r="B2684" s="3">
        <f>IF(Raw_Data!J2684=1,Raw_Data!D2684,"")</f>
        <v>1647.75</v>
      </c>
    </row>
    <row r="2685" spans="1:2" x14ac:dyDescent="0.25">
      <c r="A2685" s="3">
        <f>IF(Raw_Data!J2685=0,Raw_Data!D2685,"")</f>
        <v>550.08000000000004</v>
      </c>
      <c r="B2685" s="3" t="str">
        <f>IF(Raw_Data!J2685=1,Raw_Data!D2685,"")</f>
        <v/>
      </c>
    </row>
    <row r="2686" spans="1:2" x14ac:dyDescent="0.25">
      <c r="A2686" s="3">
        <f>IF(Raw_Data!J2686=0,Raw_Data!D2686,"")</f>
        <v>1867.21</v>
      </c>
      <c r="B2686" s="3" t="str">
        <f>IF(Raw_Data!J2686=1,Raw_Data!D2686,"")</f>
        <v/>
      </c>
    </row>
    <row r="2687" spans="1:2" x14ac:dyDescent="0.25">
      <c r="A2687" s="3">
        <f>IF(Raw_Data!J2687=0,Raw_Data!D2687,"")</f>
        <v>2375.0100000000002</v>
      </c>
      <c r="B2687" s="3" t="str">
        <f>IF(Raw_Data!J2687=1,Raw_Data!D2687,"")</f>
        <v/>
      </c>
    </row>
    <row r="2688" spans="1:2" x14ac:dyDescent="0.25">
      <c r="A2688" s="3" t="str">
        <f>IF(Raw_Data!J2688=0,Raw_Data!D2688,"")</f>
        <v/>
      </c>
      <c r="B2688" s="3">
        <f>IF(Raw_Data!J2688=1,Raw_Data!D2688,"")</f>
        <v>4173.6400000000003</v>
      </c>
    </row>
    <row r="2689" spans="1:2" x14ac:dyDescent="0.25">
      <c r="A2689" s="3">
        <f>IF(Raw_Data!J2689=0,Raw_Data!D2689,"")</f>
        <v>3023.44</v>
      </c>
      <c r="B2689" s="3" t="str">
        <f>IF(Raw_Data!J2689=1,Raw_Data!D2689,"")</f>
        <v/>
      </c>
    </row>
    <row r="2690" spans="1:2" x14ac:dyDescent="0.25">
      <c r="A2690" s="3">
        <f>IF(Raw_Data!J2690=0,Raw_Data!D2690,"")</f>
        <v>2228.65</v>
      </c>
      <c r="B2690" s="3" t="str">
        <f>IF(Raw_Data!J2690=1,Raw_Data!D2690,"")</f>
        <v/>
      </c>
    </row>
    <row r="2691" spans="1:2" x14ac:dyDescent="0.25">
      <c r="A2691" s="3">
        <f>IF(Raw_Data!J2691=0,Raw_Data!D2691,"")</f>
        <v>1441.36</v>
      </c>
      <c r="B2691" s="3" t="str">
        <f>IF(Raw_Data!J2691=1,Raw_Data!D2691,"")</f>
        <v/>
      </c>
    </row>
    <row r="2692" spans="1:2" x14ac:dyDescent="0.25">
      <c r="A2692" s="3">
        <f>IF(Raw_Data!J2692=0,Raw_Data!D2692,"")</f>
        <v>3849.14</v>
      </c>
      <c r="B2692" s="3" t="str">
        <f>IF(Raw_Data!J2692=1,Raw_Data!D2692,"")</f>
        <v/>
      </c>
    </row>
    <row r="2693" spans="1:2" x14ac:dyDescent="0.25">
      <c r="A2693" s="3">
        <f>IF(Raw_Data!J2693=0,Raw_Data!D2693,"")</f>
        <v>509.57</v>
      </c>
      <c r="B2693" s="3" t="str">
        <f>IF(Raw_Data!J2693=1,Raw_Data!D2693,"")</f>
        <v/>
      </c>
    </row>
    <row r="2694" spans="1:2" x14ac:dyDescent="0.25">
      <c r="A2694" s="3">
        <f>IF(Raw_Data!J2694=0,Raw_Data!D2694,"")</f>
        <v>1627.13</v>
      </c>
      <c r="B2694" s="3" t="str">
        <f>IF(Raw_Data!J2694=1,Raw_Data!D2694,"")</f>
        <v/>
      </c>
    </row>
    <row r="2695" spans="1:2" x14ac:dyDescent="0.25">
      <c r="A2695" s="3">
        <f>IF(Raw_Data!J2695=0,Raw_Data!D2695,"")</f>
        <v>3637.17</v>
      </c>
      <c r="B2695" s="3" t="str">
        <f>IF(Raw_Data!J2695=1,Raw_Data!D2695,"")</f>
        <v/>
      </c>
    </row>
    <row r="2696" spans="1:2" x14ac:dyDescent="0.25">
      <c r="A2696" s="3">
        <f>IF(Raw_Data!J2696=0,Raw_Data!D2696,"")</f>
        <v>5828.98</v>
      </c>
      <c r="B2696" s="3" t="str">
        <f>IF(Raw_Data!J2696=1,Raw_Data!D2696,"")</f>
        <v/>
      </c>
    </row>
    <row r="2697" spans="1:2" x14ac:dyDescent="0.25">
      <c r="A2697" s="3">
        <f>IF(Raw_Data!J2697=0,Raw_Data!D2697,"")</f>
        <v>3248</v>
      </c>
      <c r="B2697" s="3" t="str">
        <f>IF(Raw_Data!J2697=1,Raw_Data!D2697,"")</f>
        <v/>
      </c>
    </row>
    <row r="2698" spans="1:2" x14ac:dyDescent="0.25">
      <c r="A2698" s="3">
        <f>IF(Raw_Data!J2698=0,Raw_Data!D2698,"")</f>
        <v>1601.14</v>
      </c>
      <c r="B2698" s="3" t="str">
        <f>IF(Raw_Data!J2698=1,Raw_Data!D2698,"")</f>
        <v/>
      </c>
    </row>
    <row r="2699" spans="1:2" x14ac:dyDescent="0.25">
      <c r="A2699" s="3">
        <f>IF(Raw_Data!J2699=0,Raw_Data!D2699,"")</f>
        <v>3850.34</v>
      </c>
      <c r="B2699" s="3" t="str">
        <f>IF(Raw_Data!J2699=1,Raw_Data!D2699,"")</f>
        <v/>
      </c>
    </row>
    <row r="2700" spans="1:2" x14ac:dyDescent="0.25">
      <c r="A2700" s="3" t="str">
        <f>IF(Raw_Data!J2700=0,Raw_Data!D2700,"")</f>
        <v/>
      </c>
      <c r="B2700" s="3">
        <f>IF(Raw_Data!J2700=1,Raw_Data!D2700,"")</f>
        <v>8110.9</v>
      </c>
    </row>
    <row r="2701" spans="1:2" x14ac:dyDescent="0.25">
      <c r="A2701" s="3">
        <f>IF(Raw_Data!J2701=0,Raw_Data!D2701,"")</f>
        <v>2285.8000000000002</v>
      </c>
      <c r="B2701" s="3" t="str">
        <f>IF(Raw_Data!J2701=1,Raw_Data!D2701,"")</f>
        <v/>
      </c>
    </row>
    <row r="2702" spans="1:2" x14ac:dyDescent="0.25">
      <c r="A2702" s="3">
        <f>IF(Raw_Data!J2702=0,Raw_Data!D2702,"")</f>
        <v>2967.98</v>
      </c>
      <c r="B2702" s="3" t="str">
        <f>IF(Raw_Data!J2702=1,Raw_Data!D2702,"")</f>
        <v/>
      </c>
    </row>
    <row r="2703" spans="1:2" x14ac:dyDescent="0.25">
      <c r="A2703" s="3" t="str">
        <f>IF(Raw_Data!J2703=0,Raw_Data!D2703,"")</f>
        <v/>
      </c>
      <c r="B2703" s="3">
        <f>IF(Raw_Data!J2703=1,Raw_Data!D2703,"")</f>
        <v>950.45</v>
      </c>
    </row>
    <row r="2704" spans="1:2" x14ac:dyDescent="0.25">
      <c r="A2704" s="3" t="str">
        <f>IF(Raw_Data!J2704=0,Raw_Data!D2704,"")</f>
        <v/>
      </c>
      <c r="B2704" s="3">
        <f>IF(Raw_Data!J2704=1,Raw_Data!D2704,"")</f>
        <v>5223.12</v>
      </c>
    </row>
    <row r="2705" spans="1:2" x14ac:dyDescent="0.25">
      <c r="A2705" s="3" t="str">
        <f>IF(Raw_Data!J2705=0,Raw_Data!D2705,"")</f>
        <v/>
      </c>
      <c r="B2705" s="3">
        <f>IF(Raw_Data!J2705=1,Raw_Data!D2705,"")</f>
        <v>3735.42</v>
      </c>
    </row>
    <row r="2706" spans="1:2" x14ac:dyDescent="0.25">
      <c r="A2706" s="3">
        <f>IF(Raw_Data!J2706=0,Raw_Data!D2706,"")</f>
        <v>3173.85</v>
      </c>
      <c r="B2706" s="3" t="str">
        <f>IF(Raw_Data!J2706=1,Raw_Data!D2706,"")</f>
        <v/>
      </c>
    </row>
    <row r="2707" spans="1:2" x14ac:dyDescent="0.25">
      <c r="A2707" s="3">
        <f>IF(Raw_Data!J2707=0,Raw_Data!D2707,"")</f>
        <v>1666.65</v>
      </c>
      <c r="B2707" s="3" t="str">
        <f>IF(Raw_Data!J2707=1,Raw_Data!D2707,"")</f>
        <v/>
      </c>
    </row>
    <row r="2708" spans="1:2" x14ac:dyDescent="0.25">
      <c r="A2708" s="3">
        <f>IF(Raw_Data!J2708=0,Raw_Data!D2708,"")</f>
        <v>820.72</v>
      </c>
      <c r="B2708" s="3" t="str">
        <f>IF(Raw_Data!J2708=1,Raw_Data!D2708,"")</f>
        <v/>
      </c>
    </row>
    <row r="2709" spans="1:2" x14ac:dyDescent="0.25">
      <c r="A2709" s="3" t="str">
        <f>IF(Raw_Data!J2709=0,Raw_Data!D2709,"")</f>
        <v/>
      </c>
      <c r="B2709" s="3">
        <f>IF(Raw_Data!J2709=1,Raw_Data!D2709,"")</f>
        <v>4669.2700000000004</v>
      </c>
    </row>
    <row r="2710" spans="1:2" x14ac:dyDescent="0.25">
      <c r="A2710" s="3">
        <f>IF(Raw_Data!J2710=0,Raw_Data!D2710,"")</f>
        <v>2828.77</v>
      </c>
      <c r="B2710" s="3" t="str">
        <f>IF(Raw_Data!J2710=1,Raw_Data!D2710,"")</f>
        <v/>
      </c>
    </row>
    <row r="2711" spans="1:2" x14ac:dyDescent="0.25">
      <c r="A2711" s="3">
        <f>IF(Raw_Data!J2711=0,Raw_Data!D2711,"")</f>
        <v>2507.63</v>
      </c>
      <c r="B2711" s="3" t="str">
        <f>IF(Raw_Data!J2711=1,Raw_Data!D2711,"")</f>
        <v/>
      </c>
    </row>
    <row r="2712" spans="1:2" x14ac:dyDescent="0.25">
      <c r="A2712" s="3">
        <f>IF(Raw_Data!J2712=0,Raw_Data!D2712,"")</f>
        <v>3135.96</v>
      </c>
      <c r="B2712" s="3" t="str">
        <f>IF(Raw_Data!J2712=1,Raw_Data!D2712,"")</f>
        <v/>
      </c>
    </row>
    <row r="2713" spans="1:2" x14ac:dyDescent="0.25">
      <c r="A2713" s="3">
        <f>IF(Raw_Data!J2713=0,Raw_Data!D2713,"")</f>
        <v>1805.07</v>
      </c>
      <c r="B2713" s="3" t="str">
        <f>IF(Raw_Data!J2713=1,Raw_Data!D2713,"")</f>
        <v/>
      </c>
    </row>
    <row r="2714" spans="1:2" x14ac:dyDescent="0.25">
      <c r="A2714" s="3">
        <f>IF(Raw_Data!J2714=0,Raw_Data!D2714,"")</f>
        <v>5780.33</v>
      </c>
      <c r="B2714" s="3" t="str">
        <f>IF(Raw_Data!J2714=1,Raw_Data!D2714,"")</f>
        <v/>
      </c>
    </row>
    <row r="2715" spans="1:2" x14ac:dyDescent="0.25">
      <c r="A2715" s="3">
        <f>IF(Raw_Data!J2715=0,Raw_Data!D2715,"")</f>
        <v>1047.67</v>
      </c>
      <c r="B2715" s="3" t="str">
        <f>IF(Raw_Data!J2715=1,Raw_Data!D2715,"")</f>
        <v/>
      </c>
    </row>
    <row r="2716" spans="1:2" x14ac:dyDescent="0.25">
      <c r="A2716" s="3" t="str">
        <f>IF(Raw_Data!J2716=0,Raw_Data!D2716,"")</f>
        <v/>
      </c>
      <c r="B2716" s="3">
        <f>IF(Raw_Data!J2716=1,Raw_Data!D2716,"")</f>
        <v>773.5</v>
      </c>
    </row>
    <row r="2717" spans="1:2" x14ac:dyDescent="0.25">
      <c r="A2717" s="3">
        <f>IF(Raw_Data!J2717=0,Raw_Data!D2717,"")</f>
        <v>621.87</v>
      </c>
      <c r="B2717" s="3" t="str">
        <f>IF(Raw_Data!J2717=1,Raw_Data!D2717,"")</f>
        <v/>
      </c>
    </row>
    <row r="2718" spans="1:2" x14ac:dyDescent="0.25">
      <c r="A2718" s="3">
        <f>IF(Raw_Data!J2718=0,Raw_Data!D2718,"")</f>
        <v>4302.66</v>
      </c>
      <c r="B2718" s="3" t="str">
        <f>IF(Raw_Data!J2718=1,Raw_Data!D2718,"")</f>
        <v/>
      </c>
    </row>
    <row r="2719" spans="1:2" x14ac:dyDescent="0.25">
      <c r="A2719" s="3" t="str">
        <f>IF(Raw_Data!J2719=0,Raw_Data!D2719,"")</f>
        <v/>
      </c>
      <c r="B2719" s="3">
        <f>IF(Raw_Data!J2719=1,Raw_Data!D2719,"")</f>
        <v>5002.1099999999997</v>
      </c>
    </row>
    <row r="2720" spans="1:2" x14ac:dyDescent="0.25">
      <c r="A2720" s="3">
        <f>IF(Raw_Data!J2720=0,Raw_Data!D2720,"")</f>
        <v>1551.08</v>
      </c>
      <c r="B2720" s="3" t="str">
        <f>IF(Raw_Data!J2720=1,Raw_Data!D2720,"")</f>
        <v/>
      </c>
    </row>
    <row r="2721" spans="1:2" x14ac:dyDescent="0.25">
      <c r="A2721" s="3" t="str">
        <f>IF(Raw_Data!J2721=0,Raw_Data!D2721,"")</f>
        <v/>
      </c>
      <c r="B2721" s="3">
        <f>IF(Raw_Data!J2721=1,Raw_Data!D2721,"")</f>
        <v>4946.74</v>
      </c>
    </row>
    <row r="2722" spans="1:2" x14ac:dyDescent="0.25">
      <c r="A2722" s="3">
        <f>IF(Raw_Data!J2722=0,Raw_Data!D2722,"")</f>
        <v>2062.75</v>
      </c>
      <c r="B2722" s="3" t="str">
        <f>IF(Raw_Data!J2722=1,Raw_Data!D2722,"")</f>
        <v/>
      </c>
    </row>
    <row r="2723" spans="1:2" x14ac:dyDescent="0.25">
      <c r="A2723" s="3" t="str">
        <f>IF(Raw_Data!J2723=0,Raw_Data!D2723,"")</f>
        <v/>
      </c>
      <c r="B2723" s="3">
        <f>IF(Raw_Data!J2723=1,Raw_Data!D2723,"")</f>
        <v>1943.3</v>
      </c>
    </row>
    <row r="2724" spans="1:2" x14ac:dyDescent="0.25">
      <c r="A2724" s="3">
        <f>IF(Raw_Data!J2724=0,Raw_Data!D2724,"")</f>
        <v>2643.63</v>
      </c>
      <c r="B2724" s="3" t="str">
        <f>IF(Raw_Data!J2724=1,Raw_Data!D2724,"")</f>
        <v/>
      </c>
    </row>
    <row r="2725" spans="1:2" x14ac:dyDescent="0.25">
      <c r="A2725" s="3" t="str">
        <f>IF(Raw_Data!J2725=0,Raw_Data!D2725,"")</f>
        <v/>
      </c>
      <c r="B2725" s="3">
        <f>IF(Raw_Data!J2725=1,Raw_Data!D2725,"")</f>
        <v>686.68</v>
      </c>
    </row>
    <row r="2726" spans="1:2" x14ac:dyDescent="0.25">
      <c r="A2726" s="3">
        <f>IF(Raw_Data!J2726=0,Raw_Data!D2726,"")</f>
        <v>4525.1099999999997</v>
      </c>
      <c r="B2726" s="3" t="str">
        <f>IF(Raw_Data!J2726=1,Raw_Data!D2726,"")</f>
        <v/>
      </c>
    </row>
    <row r="2727" spans="1:2" x14ac:dyDescent="0.25">
      <c r="A2727" s="3">
        <f>IF(Raw_Data!J2727=0,Raw_Data!D2727,"")</f>
        <v>6075.06</v>
      </c>
      <c r="B2727" s="3" t="str">
        <f>IF(Raw_Data!J2727=1,Raw_Data!D2727,"")</f>
        <v/>
      </c>
    </row>
    <row r="2728" spans="1:2" x14ac:dyDescent="0.25">
      <c r="A2728" s="3" t="str">
        <f>IF(Raw_Data!J2728=0,Raw_Data!D2728,"")</f>
        <v/>
      </c>
      <c r="B2728" s="3">
        <f>IF(Raw_Data!J2728=1,Raw_Data!D2728,"")</f>
        <v>5857.98</v>
      </c>
    </row>
    <row r="2729" spans="1:2" x14ac:dyDescent="0.25">
      <c r="A2729" s="3" t="str">
        <f>IF(Raw_Data!J2729=0,Raw_Data!D2729,"")</f>
        <v/>
      </c>
      <c r="B2729" s="3">
        <f>IF(Raw_Data!J2729=1,Raw_Data!D2729,"")</f>
        <v>1501.65</v>
      </c>
    </row>
    <row r="2730" spans="1:2" x14ac:dyDescent="0.25">
      <c r="A2730" s="3">
        <f>IF(Raw_Data!J2730=0,Raw_Data!D2730,"")</f>
        <v>2420.98</v>
      </c>
      <c r="B2730" s="3" t="str">
        <f>IF(Raw_Data!J2730=1,Raw_Data!D2730,"")</f>
        <v/>
      </c>
    </row>
    <row r="2731" spans="1:2" x14ac:dyDescent="0.25">
      <c r="A2731" s="3">
        <f>IF(Raw_Data!J2731=0,Raw_Data!D2731,"")</f>
        <v>994.28</v>
      </c>
      <c r="B2731" s="3" t="str">
        <f>IF(Raw_Data!J2731=1,Raw_Data!D2731,"")</f>
        <v/>
      </c>
    </row>
    <row r="2732" spans="1:2" x14ac:dyDescent="0.25">
      <c r="A2732" s="3">
        <f>IF(Raw_Data!J2732=0,Raw_Data!D2732,"")</f>
        <v>3171.18</v>
      </c>
      <c r="B2732" s="3" t="str">
        <f>IF(Raw_Data!J2732=1,Raw_Data!D2732,"")</f>
        <v/>
      </c>
    </row>
    <row r="2733" spans="1:2" x14ac:dyDescent="0.25">
      <c r="A2733" s="3">
        <f>IF(Raw_Data!J2733=0,Raw_Data!D2733,"")</f>
        <v>8504.84</v>
      </c>
      <c r="B2733" s="3" t="str">
        <f>IF(Raw_Data!J2733=1,Raw_Data!D2733,"")</f>
        <v/>
      </c>
    </row>
    <row r="2734" spans="1:2" x14ac:dyDescent="0.25">
      <c r="A2734" s="3">
        <f>IF(Raw_Data!J2734=0,Raw_Data!D2734,"")</f>
        <v>3645.54</v>
      </c>
      <c r="B2734" s="3" t="str">
        <f>IF(Raw_Data!J2734=1,Raw_Data!D2734,"")</f>
        <v/>
      </c>
    </row>
    <row r="2735" spans="1:2" x14ac:dyDescent="0.25">
      <c r="A2735" s="3">
        <f>IF(Raw_Data!J2735=0,Raw_Data!D2735,"")</f>
        <v>2730.28</v>
      </c>
      <c r="B2735" s="3" t="str">
        <f>IF(Raw_Data!J2735=1,Raw_Data!D2735,"")</f>
        <v/>
      </c>
    </row>
    <row r="2736" spans="1:2" x14ac:dyDescent="0.25">
      <c r="A2736" s="3">
        <f>IF(Raw_Data!J2736=0,Raw_Data!D2736,"")</f>
        <v>4471.97</v>
      </c>
      <c r="B2736" s="3" t="str">
        <f>IF(Raw_Data!J2736=1,Raw_Data!D2736,"")</f>
        <v/>
      </c>
    </row>
    <row r="2737" spans="1:2" x14ac:dyDescent="0.25">
      <c r="A2737" s="3">
        <f>IF(Raw_Data!J2737=0,Raw_Data!D2737,"")</f>
        <v>1074.42</v>
      </c>
      <c r="B2737" s="3" t="str">
        <f>IF(Raw_Data!J2737=1,Raw_Data!D2737,"")</f>
        <v/>
      </c>
    </row>
    <row r="2738" spans="1:2" x14ac:dyDescent="0.25">
      <c r="A2738" s="3">
        <f>IF(Raw_Data!J2738=0,Raw_Data!D2738,"")</f>
        <v>1856.87</v>
      </c>
      <c r="B2738" s="3" t="str">
        <f>IF(Raw_Data!J2738=1,Raw_Data!D2738,"")</f>
        <v/>
      </c>
    </row>
    <row r="2739" spans="1:2" x14ac:dyDescent="0.25">
      <c r="A2739" s="3">
        <f>IF(Raw_Data!J2739=0,Raw_Data!D2739,"")</f>
        <v>3311.28</v>
      </c>
      <c r="B2739" s="3" t="str">
        <f>IF(Raw_Data!J2739=1,Raw_Data!D2739,"")</f>
        <v/>
      </c>
    </row>
    <row r="2740" spans="1:2" x14ac:dyDescent="0.25">
      <c r="A2740" s="3">
        <f>IF(Raw_Data!J2740=0,Raw_Data!D2740,"")</f>
        <v>630.04</v>
      </c>
      <c r="B2740" s="3" t="str">
        <f>IF(Raw_Data!J2740=1,Raw_Data!D2740,"")</f>
        <v/>
      </c>
    </row>
    <row r="2741" spans="1:2" x14ac:dyDescent="0.25">
      <c r="A2741" s="3">
        <f>IF(Raw_Data!J2741=0,Raw_Data!D2741,"")</f>
        <v>1009.86</v>
      </c>
      <c r="B2741" s="3" t="str">
        <f>IF(Raw_Data!J2741=1,Raw_Data!D2741,"")</f>
        <v/>
      </c>
    </row>
    <row r="2742" spans="1:2" x14ac:dyDescent="0.25">
      <c r="A2742" s="3">
        <f>IF(Raw_Data!J2742=0,Raw_Data!D2742,"")</f>
        <v>4362.55</v>
      </c>
      <c r="B2742" s="3" t="str">
        <f>IF(Raw_Data!J2742=1,Raw_Data!D2742,"")</f>
        <v/>
      </c>
    </row>
    <row r="2743" spans="1:2" x14ac:dyDescent="0.25">
      <c r="A2743" s="3">
        <f>IF(Raw_Data!J2743=0,Raw_Data!D2743,"")</f>
        <v>2838.74</v>
      </c>
      <c r="B2743" s="3" t="str">
        <f>IF(Raw_Data!J2743=1,Raw_Data!D2743,"")</f>
        <v/>
      </c>
    </row>
    <row r="2744" spans="1:2" x14ac:dyDescent="0.25">
      <c r="A2744" s="3">
        <f>IF(Raw_Data!J2744=0,Raw_Data!D2744,"")</f>
        <v>1309.8</v>
      </c>
      <c r="B2744" s="3" t="str">
        <f>IF(Raw_Data!J2744=1,Raw_Data!D2744,"")</f>
        <v/>
      </c>
    </row>
    <row r="2745" spans="1:2" x14ac:dyDescent="0.25">
      <c r="A2745" s="3">
        <f>IF(Raw_Data!J2745=0,Raw_Data!D2745,"")</f>
        <v>1819.51</v>
      </c>
      <c r="B2745" s="3" t="str">
        <f>IF(Raw_Data!J2745=1,Raw_Data!D2745,"")</f>
        <v/>
      </c>
    </row>
    <row r="2746" spans="1:2" x14ac:dyDescent="0.25">
      <c r="A2746" s="3">
        <f>IF(Raw_Data!J2746=0,Raw_Data!D2746,"")</f>
        <v>2558.5</v>
      </c>
      <c r="B2746" s="3" t="str">
        <f>IF(Raw_Data!J2746=1,Raw_Data!D2746,"")</f>
        <v/>
      </c>
    </row>
    <row r="2747" spans="1:2" x14ac:dyDescent="0.25">
      <c r="A2747" s="3" t="str">
        <f>IF(Raw_Data!J2747=0,Raw_Data!D2747,"")</f>
        <v/>
      </c>
      <c r="B2747" s="3">
        <f>IF(Raw_Data!J2747=1,Raw_Data!D2747,"")</f>
        <v>3202.93</v>
      </c>
    </row>
    <row r="2748" spans="1:2" x14ac:dyDescent="0.25">
      <c r="A2748" s="3" t="str">
        <f>IF(Raw_Data!J2748=0,Raw_Data!D2748,"")</f>
        <v/>
      </c>
      <c r="B2748" s="3">
        <f>IF(Raw_Data!J2748=1,Raw_Data!D2748,"")</f>
        <v>5838.71</v>
      </c>
    </row>
    <row r="2749" spans="1:2" x14ac:dyDescent="0.25">
      <c r="A2749" s="3">
        <f>IF(Raw_Data!J2749=0,Raw_Data!D2749,"")</f>
        <v>3421.43</v>
      </c>
      <c r="B2749" s="3" t="str">
        <f>IF(Raw_Data!J2749=1,Raw_Data!D2749,"")</f>
        <v/>
      </c>
    </row>
    <row r="2750" spans="1:2" x14ac:dyDescent="0.25">
      <c r="A2750" s="3">
        <f>IF(Raw_Data!J2750=0,Raw_Data!D2750,"")</f>
        <v>4404.29</v>
      </c>
      <c r="B2750" s="3" t="str">
        <f>IF(Raw_Data!J2750=1,Raw_Data!D2750,"")</f>
        <v/>
      </c>
    </row>
    <row r="2751" spans="1:2" x14ac:dyDescent="0.25">
      <c r="A2751" s="3" t="str">
        <f>IF(Raw_Data!J2751=0,Raw_Data!D2751,"")</f>
        <v/>
      </c>
      <c r="B2751" s="3">
        <f>IF(Raw_Data!J2751=1,Raw_Data!D2751,"")</f>
        <v>1485.7</v>
      </c>
    </row>
    <row r="2752" spans="1:2" x14ac:dyDescent="0.25">
      <c r="A2752" s="3">
        <f>IF(Raw_Data!J2752=0,Raw_Data!D2752,"")</f>
        <v>4712.22</v>
      </c>
      <c r="B2752" s="3" t="str">
        <f>IF(Raw_Data!J2752=1,Raw_Data!D2752,"")</f>
        <v/>
      </c>
    </row>
    <row r="2753" spans="1:2" x14ac:dyDescent="0.25">
      <c r="A2753" s="3">
        <f>IF(Raw_Data!J2753=0,Raw_Data!D2753,"")</f>
        <v>6979.23</v>
      </c>
      <c r="B2753" s="3" t="str">
        <f>IF(Raw_Data!J2753=1,Raw_Data!D2753,"")</f>
        <v/>
      </c>
    </row>
    <row r="2754" spans="1:2" x14ac:dyDescent="0.25">
      <c r="A2754" s="3">
        <f>IF(Raw_Data!J2754=0,Raw_Data!D2754,"")</f>
        <v>5346.67</v>
      </c>
      <c r="B2754" s="3" t="str">
        <f>IF(Raw_Data!J2754=1,Raw_Data!D2754,"")</f>
        <v/>
      </c>
    </row>
    <row r="2755" spans="1:2" x14ac:dyDescent="0.25">
      <c r="A2755" s="3">
        <f>IF(Raw_Data!J2755=0,Raw_Data!D2755,"")</f>
        <v>1040.06</v>
      </c>
      <c r="B2755" s="3" t="str">
        <f>IF(Raw_Data!J2755=1,Raw_Data!D2755,"")</f>
        <v/>
      </c>
    </row>
    <row r="2756" spans="1:2" x14ac:dyDescent="0.25">
      <c r="A2756" s="3">
        <f>IF(Raw_Data!J2756=0,Raw_Data!D2756,"")</f>
        <v>3612.91</v>
      </c>
      <c r="B2756" s="3" t="str">
        <f>IF(Raw_Data!J2756=1,Raw_Data!D2756,"")</f>
        <v/>
      </c>
    </row>
    <row r="2757" spans="1:2" x14ac:dyDescent="0.25">
      <c r="A2757" s="3">
        <f>IF(Raw_Data!J2757=0,Raw_Data!D2757,"")</f>
        <v>2547.48</v>
      </c>
      <c r="B2757" s="3" t="str">
        <f>IF(Raw_Data!J2757=1,Raw_Data!D2757,"")</f>
        <v/>
      </c>
    </row>
    <row r="2758" spans="1:2" x14ac:dyDescent="0.25">
      <c r="A2758" s="3" t="str">
        <f>IF(Raw_Data!J2758=0,Raw_Data!D2758,"")</f>
        <v/>
      </c>
      <c r="B2758" s="3">
        <f>IF(Raw_Data!J2758=1,Raw_Data!D2758,"")</f>
        <v>1829.75</v>
      </c>
    </row>
    <row r="2759" spans="1:2" x14ac:dyDescent="0.25">
      <c r="A2759" s="3">
        <f>IF(Raw_Data!J2759=0,Raw_Data!D2759,"")</f>
        <v>3867.47</v>
      </c>
      <c r="B2759" s="3" t="str">
        <f>IF(Raw_Data!J2759=1,Raw_Data!D2759,"")</f>
        <v/>
      </c>
    </row>
    <row r="2760" spans="1:2" x14ac:dyDescent="0.25">
      <c r="A2760" s="3">
        <f>IF(Raw_Data!J2760=0,Raw_Data!D2760,"")</f>
        <v>1109.8499999999999</v>
      </c>
      <c r="B2760" s="3" t="str">
        <f>IF(Raw_Data!J2760=1,Raw_Data!D2760,"")</f>
        <v/>
      </c>
    </row>
    <row r="2761" spans="1:2" x14ac:dyDescent="0.25">
      <c r="A2761" s="3">
        <f>IF(Raw_Data!J2761=0,Raw_Data!D2761,"")</f>
        <v>580.1</v>
      </c>
      <c r="B2761" s="3" t="str">
        <f>IF(Raw_Data!J2761=1,Raw_Data!D2761,"")</f>
        <v/>
      </c>
    </row>
    <row r="2762" spans="1:2" x14ac:dyDescent="0.25">
      <c r="A2762" s="3">
        <f>IF(Raw_Data!J2762=0,Raw_Data!D2762,"")</f>
        <v>3146.28</v>
      </c>
      <c r="B2762" s="3" t="str">
        <f>IF(Raw_Data!J2762=1,Raw_Data!D2762,"")</f>
        <v/>
      </c>
    </row>
    <row r="2763" spans="1:2" x14ac:dyDescent="0.25">
      <c r="A2763" s="3">
        <f>IF(Raw_Data!J2763=0,Raw_Data!D2763,"")</f>
        <v>3093.84</v>
      </c>
      <c r="B2763" s="3" t="str">
        <f>IF(Raw_Data!J2763=1,Raw_Data!D2763,"")</f>
        <v/>
      </c>
    </row>
    <row r="2764" spans="1:2" x14ac:dyDescent="0.25">
      <c r="A2764" s="3">
        <f>IF(Raw_Data!J2764=0,Raw_Data!D2764,"")</f>
        <v>3386.01</v>
      </c>
      <c r="B2764" s="3" t="str">
        <f>IF(Raw_Data!J2764=1,Raw_Data!D2764,"")</f>
        <v/>
      </c>
    </row>
    <row r="2765" spans="1:2" x14ac:dyDescent="0.25">
      <c r="A2765" s="3">
        <f>IF(Raw_Data!J2765=0,Raw_Data!D2765,"")</f>
        <v>1407.11</v>
      </c>
      <c r="B2765" s="3" t="str">
        <f>IF(Raw_Data!J2765=1,Raw_Data!D2765,"")</f>
        <v/>
      </c>
    </row>
    <row r="2766" spans="1:2" x14ac:dyDescent="0.25">
      <c r="A2766" s="3">
        <f>IF(Raw_Data!J2766=0,Raw_Data!D2766,"")</f>
        <v>1920.16</v>
      </c>
      <c r="B2766" s="3" t="str">
        <f>IF(Raw_Data!J2766=1,Raw_Data!D2766,"")</f>
        <v/>
      </c>
    </row>
    <row r="2767" spans="1:2" x14ac:dyDescent="0.25">
      <c r="A2767" s="3" t="str">
        <f>IF(Raw_Data!J2767=0,Raw_Data!D2767,"")</f>
        <v/>
      </c>
      <c r="B2767" s="3">
        <f>IF(Raw_Data!J2767=1,Raw_Data!D2767,"")</f>
        <v>2177.92</v>
      </c>
    </row>
    <row r="2768" spans="1:2" x14ac:dyDescent="0.25">
      <c r="A2768" s="3">
        <f>IF(Raw_Data!J2768=0,Raw_Data!D2768,"")</f>
        <v>1149.94</v>
      </c>
      <c r="B2768" s="3" t="str">
        <f>IF(Raw_Data!J2768=1,Raw_Data!D2768,"")</f>
        <v/>
      </c>
    </row>
    <row r="2769" spans="1:2" x14ac:dyDescent="0.25">
      <c r="A2769" s="3">
        <f>IF(Raw_Data!J2769=0,Raw_Data!D2769,"")</f>
        <v>1009.49</v>
      </c>
      <c r="B2769" s="3" t="str">
        <f>IF(Raw_Data!J2769=1,Raw_Data!D2769,"")</f>
        <v/>
      </c>
    </row>
    <row r="2770" spans="1:2" x14ac:dyDescent="0.25">
      <c r="A2770" s="3">
        <f>IF(Raw_Data!J2770=0,Raw_Data!D2770,"")</f>
        <v>4090.03</v>
      </c>
      <c r="B2770" s="3" t="str">
        <f>IF(Raw_Data!J2770=1,Raw_Data!D2770,"")</f>
        <v/>
      </c>
    </row>
    <row r="2771" spans="1:2" x14ac:dyDescent="0.25">
      <c r="A2771" s="3">
        <f>IF(Raw_Data!J2771=0,Raw_Data!D2771,"")</f>
        <v>3364.36</v>
      </c>
      <c r="B2771" s="3" t="str">
        <f>IF(Raw_Data!J2771=1,Raw_Data!D2771,"")</f>
        <v/>
      </c>
    </row>
    <row r="2772" spans="1:2" x14ac:dyDescent="0.25">
      <c r="A2772" s="3">
        <f>IF(Raw_Data!J2772=0,Raw_Data!D2772,"")</f>
        <v>1154.27</v>
      </c>
      <c r="B2772" s="3" t="str">
        <f>IF(Raw_Data!J2772=1,Raw_Data!D2772,"")</f>
        <v/>
      </c>
    </row>
    <row r="2773" spans="1:2" x14ac:dyDescent="0.25">
      <c r="A2773" s="3" t="str">
        <f>IF(Raw_Data!J2773=0,Raw_Data!D2773,"")</f>
        <v/>
      </c>
      <c r="B2773" s="3">
        <f>IF(Raw_Data!J2773=1,Raw_Data!D2773,"")</f>
        <v>3113.5</v>
      </c>
    </row>
    <row r="2774" spans="1:2" x14ac:dyDescent="0.25">
      <c r="A2774" s="3">
        <f>IF(Raw_Data!J2774=0,Raw_Data!D2774,"")</f>
        <v>3690.8</v>
      </c>
      <c r="B2774" s="3" t="str">
        <f>IF(Raw_Data!J2774=1,Raw_Data!D2774,"")</f>
        <v/>
      </c>
    </row>
    <row r="2775" spans="1:2" x14ac:dyDescent="0.25">
      <c r="A2775" s="3">
        <f>IF(Raw_Data!J2775=0,Raw_Data!D2775,"")</f>
        <v>705.87</v>
      </c>
      <c r="B2775" s="3" t="str">
        <f>IF(Raw_Data!J2775=1,Raw_Data!D2775,"")</f>
        <v/>
      </c>
    </row>
    <row r="2776" spans="1:2" x14ac:dyDescent="0.25">
      <c r="A2776" s="3">
        <f>IF(Raw_Data!J2776=0,Raw_Data!D2776,"")</f>
        <v>4449.2</v>
      </c>
      <c r="B2776" s="3" t="str">
        <f>IF(Raw_Data!J2776=1,Raw_Data!D2776,"")</f>
        <v/>
      </c>
    </row>
    <row r="2777" spans="1:2" x14ac:dyDescent="0.25">
      <c r="A2777" s="3">
        <f>IF(Raw_Data!J2777=0,Raw_Data!D2777,"")</f>
        <v>2078.86</v>
      </c>
      <c r="B2777" s="3" t="str">
        <f>IF(Raw_Data!J2777=1,Raw_Data!D2777,"")</f>
        <v/>
      </c>
    </row>
    <row r="2778" spans="1:2" x14ac:dyDescent="0.25">
      <c r="A2778" s="3">
        <f>IF(Raw_Data!J2778=0,Raw_Data!D2778,"")</f>
        <v>1677.29</v>
      </c>
      <c r="B2778" s="3" t="str">
        <f>IF(Raw_Data!J2778=1,Raw_Data!D2778,"")</f>
        <v/>
      </c>
    </row>
    <row r="2779" spans="1:2" x14ac:dyDescent="0.25">
      <c r="A2779" s="3">
        <f>IF(Raw_Data!J2779=0,Raw_Data!D2779,"")</f>
        <v>316.13</v>
      </c>
      <c r="B2779" s="3" t="str">
        <f>IF(Raw_Data!J2779=1,Raw_Data!D2779,"")</f>
        <v/>
      </c>
    </row>
    <row r="2780" spans="1:2" x14ac:dyDescent="0.25">
      <c r="A2780" s="3">
        <f>IF(Raw_Data!J2780=0,Raw_Data!D2780,"")</f>
        <v>4068.65</v>
      </c>
      <c r="B2780" s="3" t="str">
        <f>IF(Raw_Data!J2780=1,Raw_Data!D2780,"")</f>
        <v/>
      </c>
    </row>
    <row r="2781" spans="1:2" x14ac:dyDescent="0.25">
      <c r="A2781" s="3">
        <f>IF(Raw_Data!J2781=0,Raw_Data!D2781,"")</f>
        <v>3169.81</v>
      </c>
      <c r="B2781" s="3" t="str">
        <f>IF(Raw_Data!J2781=1,Raw_Data!D2781,"")</f>
        <v/>
      </c>
    </row>
    <row r="2782" spans="1:2" x14ac:dyDescent="0.25">
      <c r="A2782" s="3">
        <f>IF(Raw_Data!J2782=0,Raw_Data!D2782,"")</f>
        <v>5730.44</v>
      </c>
      <c r="B2782" s="3" t="str">
        <f>IF(Raw_Data!J2782=1,Raw_Data!D2782,"")</f>
        <v/>
      </c>
    </row>
    <row r="2783" spans="1:2" x14ac:dyDescent="0.25">
      <c r="A2783" s="3">
        <f>IF(Raw_Data!J2783=0,Raw_Data!D2783,"")</f>
        <v>2429.42</v>
      </c>
      <c r="B2783" s="3" t="str">
        <f>IF(Raw_Data!J2783=1,Raw_Data!D2783,"")</f>
        <v/>
      </c>
    </row>
    <row r="2784" spans="1:2" x14ac:dyDescent="0.25">
      <c r="A2784" s="3">
        <f>IF(Raw_Data!J2784=0,Raw_Data!D2784,"")</f>
        <v>3920.81</v>
      </c>
      <c r="B2784" s="3" t="str">
        <f>IF(Raw_Data!J2784=1,Raw_Data!D2784,"")</f>
        <v/>
      </c>
    </row>
    <row r="2785" spans="1:2" x14ac:dyDescent="0.25">
      <c r="A2785" s="3">
        <f>IF(Raw_Data!J2785=0,Raw_Data!D2785,"")</f>
        <v>3161.7</v>
      </c>
      <c r="B2785" s="3" t="str">
        <f>IF(Raw_Data!J2785=1,Raw_Data!D2785,"")</f>
        <v/>
      </c>
    </row>
    <row r="2786" spans="1:2" x14ac:dyDescent="0.25">
      <c r="A2786" s="3" t="str">
        <f>IF(Raw_Data!J2786=0,Raw_Data!D2786,"")</f>
        <v/>
      </c>
      <c r="B2786" s="3">
        <f>IF(Raw_Data!J2786=1,Raw_Data!D2786,"")</f>
        <v>655.84</v>
      </c>
    </row>
    <row r="2787" spans="1:2" x14ac:dyDescent="0.25">
      <c r="A2787" s="3">
        <f>IF(Raw_Data!J2787=0,Raw_Data!D2787,"")</f>
        <v>797.2</v>
      </c>
      <c r="B2787" s="3" t="str">
        <f>IF(Raw_Data!J2787=1,Raw_Data!D2787,"")</f>
        <v/>
      </c>
    </row>
    <row r="2788" spans="1:2" x14ac:dyDescent="0.25">
      <c r="A2788" s="3">
        <f>IF(Raw_Data!J2788=0,Raw_Data!D2788,"")</f>
        <v>1831.68</v>
      </c>
      <c r="B2788" s="3" t="str">
        <f>IF(Raw_Data!J2788=1,Raw_Data!D2788,"")</f>
        <v/>
      </c>
    </row>
    <row r="2789" spans="1:2" x14ac:dyDescent="0.25">
      <c r="A2789" s="3">
        <f>IF(Raw_Data!J2789=0,Raw_Data!D2789,"")</f>
        <v>6653.36</v>
      </c>
      <c r="B2789" s="3" t="str">
        <f>IF(Raw_Data!J2789=1,Raw_Data!D2789,"")</f>
        <v/>
      </c>
    </row>
    <row r="2790" spans="1:2" x14ac:dyDescent="0.25">
      <c r="A2790" s="3">
        <f>IF(Raw_Data!J2790=0,Raw_Data!D2790,"")</f>
        <v>3318.02</v>
      </c>
      <c r="B2790" s="3" t="str">
        <f>IF(Raw_Data!J2790=1,Raw_Data!D2790,"")</f>
        <v/>
      </c>
    </row>
    <row r="2791" spans="1:2" x14ac:dyDescent="0.25">
      <c r="A2791" s="3">
        <f>IF(Raw_Data!J2791=0,Raw_Data!D2791,"")</f>
        <v>2432.46</v>
      </c>
      <c r="B2791" s="3" t="str">
        <f>IF(Raw_Data!J2791=1,Raw_Data!D2791,"")</f>
        <v/>
      </c>
    </row>
    <row r="2792" spans="1:2" x14ac:dyDescent="0.25">
      <c r="A2792" s="3">
        <f>IF(Raw_Data!J2792=0,Raw_Data!D2792,"")</f>
        <v>563.77</v>
      </c>
      <c r="B2792" s="3" t="str">
        <f>IF(Raw_Data!J2792=1,Raw_Data!D2792,"")</f>
        <v/>
      </c>
    </row>
    <row r="2793" spans="1:2" x14ac:dyDescent="0.25">
      <c r="A2793" s="3">
        <f>IF(Raw_Data!J2793=0,Raw_Data!D2793,"")</f>
        <v>1351.05</v>
      </c>
      <c r="B2793" s="3" t="str">
        <f>IF(Raw_Data!J2793=1,Raw_Data!D2793,"")</f>
        <v/>
      </c>
    </row>
    <row r="2794" spans="1:2" x14ac:dyDescent="0.25">
      <c r="A2794" s="3">
        <f>IF(Raw_Data!J2794=0,Raw_Data!D2794,"")</f>
        <v>3128.53</v>
      </c>
      <c r="B2794" s="3" t="str">
        <f>IF(Raw_Data!J2794=1,Raw_Data!D2794,"")</f>
        <v/>
      </c>
    </row>
    <row r="2795" spans="1:2" x14ac:dyDescent="0.25">
      <c r="A2795" s="3" t="str">
        <f>IF(Raw_Data!J2795=0,Raw_Data!D2795,"")</f>
        <v/>
      </c>
      <c r="B2795" s="3">
        <f>IF(Raw_Data!J2795=1,Raw_Data!D2795,"")</f>
        <v>1926.02</v>
      </c>
    </row>
    <row r="2796" spans="1:2" x14ac:dyDescent="0.25">
      <c r="A2796" s="3">
        <f>IF(Raw_Data!J2796=0,Raw_Data!D2796,"")</f>
        <v>1246.1199999999999</v>
      </c>
      <c r="B2796" s="3" t="str">
        <f>IF(Raw_Data!J2796=1,Raw_Data!D2796,"")</f>
        <v/>
      </c>
    </row>
    <row r="2797" spans="1:2" x14ac:dyDescent="0.25">
      <c r="A2797" s="3">
        <f>IF(Raw_Data!J2797=0,Raw_Data!D2797,"")</f>
        <v>2848.73</v>
      </c>
      <c r="B2797" s="3" t="str">
        <f>IF(Raw_Data!J2797=1,Raw_Data!D2797,"")</f>
        <v/>
      </c>
    </row>
    <row r="2798" spans="1:2" x14ac:dyDescent="0.25">
      <c r="A2798" s="3">
        <f>IF(Raw_Data!J2798=0,Raw_Data!D2798,"")</f>
        <v>3519.18</v>
      </c>
      <c r="B2798" s="3" t="str">
        <f>IF(Raw_Data!J2798=1,Raw_Data!D2798,"")</f>
        <v/>
      </c>
    </row>
    <row r="2799" spans="1:2" x14ac:dyDescent="0.25">
      <c r="A2799" s="3">
        <f>IF(Raw_Data!J2799=0,Raw_Data!D2799,"")</f>
        <v>733.63</v>
      </c>
      <c r="B2799" s="3" t="str">
        <f>IF(Raw_Data!J2799=1,Raw_Data!D2799,"")</f>
        <v/>
      </c>
    </row>
    <row r="2800" spans="1:2" x14ac:dyDescent="0.25">
      <c r="A2800" s="3">
        <f>IF(Raw_Data!J2800=0,Raw_Data!D2800,"")</f>
        <v>1184.93</v>
      </c>
      <c r="B2800" s="3" t="str">
        <f>IF(Raw_Data!J2800=1,Raw_Data!D2800,"")</f>
        <v/>
      </c>
    </row>
    <row r="2801" spans="1:2" x14ac:dyDescent="0.25">
      <c r="A2801" s="3">
        <f>IF(Raw_Data!J2801=0,Raw_Data!D2801,"")</f>
        <v>577.73</v>
      </c>
      <c r="B2801" s="3" t="str">
        <f>IF(Raw_Data!J2801=1,Raw_Data!D2801,"")</f>
        <v/>
      </c>
    </row>
    <row r="2802" spans="1:2" x14ac:dyDescent="0.25">
      <c r="A2802" s="3">
        <f>IF(Raw_Data!J2802=0,Raw_Data!D2802,"")</f>
        <v>1918.23</v>
      </c>
      <c r="B2802" s="3" t="str">
        <f>IF(Raw_Data!J2802=1,Raw_Data!D2802,"")</f>
        <v/>
      </c>
    </row>
    <row r="2803" spans="1:2" x14ac:dyDescent="0.25">
      <c r="A2803" s="3">
        <f>IF(Raw_Data!J2803=0,Raw_Data!D2803,"")</f>
        <v>1248.31</v>
      </c>
      <c r="B2803" s="3" t="str">
        <f>IF(Raw_Data!J2803=1,Raw_Data!D2803,"")</f>
        <v/>
      </c>
    </row>
    <row r="2804" spans="1:2" x14ac:dyDescent="0.25">
      <c r="A2804" s="3">
        <f>IF(Raw_Data!J2804=0,Raw_Data!D2804,"")</f>
        <v>9797.98</v>
      </c>
      <c r="B2804" s="3" t="str">
        <f>IF(Raw_Data!J2804=1,Raw_Data!D2804,"")</f>
        <v/>
      </c>
    </row>
    <row r="2805" spans="1:2" x14ac:dyDescent="0.25">
      <c r="A2805" s="3">
        <f>IF(Raw_Data!J2805=0,Raw_Data!D2805,"")</f>
        <v>1305.3800000000001</v>
      </c>
      <c r="B2805" s="3" t="str">
        <f>IF(Raw_Data!J2805=1,Raw_Data!D2805,"")</f>
        <v/>
      </c>
    </row>
    <row r="2806" spans="1:2" x14ac:dyDescent="0.25">
      <c r="A2806" s="3">
        <f>IF(Raw_Data!J2806=0,Raw_Data!D2806,"")</f>
        <v>3623.22</v>
      </c>
      <c r="B2806" s="3" t="str">
        <f>IF(Raw_Data!J2806=1,Raw_Data!D2806,"")</f>
        <v/>
      </c>
    </row>
    <row r="2807" spans="1:2" x14ac:dyDescent="0.25">
      <c r="A2807" s="3">
        <f>IF(Raw_Data!J2807=0,Raw_Data!D2807,"")</f>
        <v>3330.2</v>
      </c>
      <c r="B2807" s="3" t="str">
        <f>IF(Raw_Data!J2807=1,Raw_Data!D2807,"")</f>
        <v/>
      </c>
    </row>
    <row r="2808" spans="1:2" x14ac:dyDescent="0.25">
      <c r="A2808" s="3">
        <f>IF(Raw_Data!J2808=0,Raw_Data!D2808,"")</f>
        <v>3209.15</v>
      </c>
      <c r="B2808" s="3" t="str">
        <f>IF(Raw_Data!J2808=1,Raw_Data!D2808,"")</f>
        <v/>
      </c>
    </row>
    <row r="2809" spans="1:2" x14ac:dyDescent="0.25">
      <c r="A2809" s="3">
        <f>IF(Raw_Data!J2809=0,Raw_Data!D2809,"")</f>
        <v>1064.6300000000001</v>
      </c>
      <c r="B2809" s="3" t="str">
        <f>IF(Raw_Data!J2809=1,Raw_Data!D2809,"")</f>
        <v/>
      </c>
    </row>
    <row r="2810" spans="1:2" x14ac:dyDescent="0.25">
      <c r="A2810" s="3">
        <f>IF(Raw_Data!J2810=0,Raw_Data!D2810,"")</f>
        <v>2552.16</v>
      </c>
      <c r="B2810" s="3" t="str">
        <f>IF(Raw_Data!J2810=1,Raw_Data!D2810,"")</f>
        <v/>
      </c>
    </row>
    <row r="2811" spans="1:2" x14ac:dyDescent="0.25">
      <c r="A2811" s="3">
        <f>IF(Raw_Data!J2811=0,Raw_Data!D2811,"")</f>
        <v>907.52</v>
      </c>
      <c r="B2811" s="3" t="str">
        <f>IF(Raw_Data!J2811=1,Raw_Data!D2811,"")</f>
        <v/>
      </c>
    </row>
    <row r="2812" spans="1:2" x14ac:dyDescent="0.25">
      <c r="A2812" s="3">
        <f>IF(Raw_Data!J2812=0,Raw_Data!D2812,"")</f>
        <v>1217.01</v>
      </c>
      <c r="B2812" s="3" t="str">
        <f>IF(Raw_Data!J2812=1,Raw_Data!D2812,"")</f>
        <v/>
      </c>
    </row>
    <row r="2813" spans="1:2" x14ac:dyDescent="0.25">
      <c r="A2813" s="3">
        <f>IF(Raw_Data!J2813=0,Raw_Data!D2813,"")</f>
        <v>2578.67</v>
      </c>
      <c r="B2813" s="3" t="str">
        <f>IF(Raw_Data!J2813=1,Raw_Data!D2813,"")</f>
        <v/>
      </c>
    </row>
    <row r="2814" spans="1:2" x14ac:dyDescent="0.25">
      <c r="A2814" s="3" t="str">
        <f>IF(Raw_Data!J2814=0,Raw_Data!D2814,"")</f>
        <v/>
      </c>
      <c r="B2814" s="3">
        <f>IF(Raw_Data!J2814=1,Raw_Data!D2814,"")</f>
        <v>2733.03</v>
      </c>
    </row>
    <row r="2815" spans="1:2" x14ac:dyDescent="0.25">
      <c r="A2815" s="3">
        <f>IF(Raw_Data!J2815=0,Raw_Data!D2815,"")</f>
        <v>1678.55</v>
      </c>
      <c r="B2815" s="3" t="str">
        <f>IF(Raw_Data!J2815=1,Raw_Data!D2815,"")</f>
        <v/>
      </c>
    </row>
    <row r="2816" spans="1:2" x14ac:dyDescent="0.25">
      <c r="A2816" s="3">
        <f>IF(Raw_Data!J2816=0,Raw_Data!D2816,"")</f>
        <v>4830.7700000000004</v>
      </c>
      <c r="B2816" s="3" t="str">
        <f>IF(Raw_Data!J2816=1,Raw_Data!D2816,"")</f>
        <v/>
      </c>
    </row>
    <row r="2817" spans="1:2" x14ac:dyDescent="0.25">
      <c r="A2817" s="3">
        <f>IF(Raw_Data!J2817=0,Raw_Data!D2817,"")</f>
        <v>2372.46</v>
      </c>
      <c r="B2817" s="3" t="str">
        <f>IF(Raw_Data!J2817=1,Raw_Data!D2817,"")</f>
        <v/>
      </c>
    </row>
    <row r="2818" spans="1:2" x14ac:dyDescent="0.25">
      <c r="A2818" s="3" t="str">
        <f>IF(Raw_Data!J2818=0,Raw_Data!D2818,"")</f>
        <v/>
      </c>
      <c r="B2818" s="3">
        <f>IF(Raw_Data!J2818=1,Raw_Data!D2818,"")</f>
        <v>5432.03</v>
      </c>
    </row>
    <row r="2819" spans="1:2" x14ac:dyDescent="0.25">
      <c r="A2819" s="3">
        <f>IF(Raw_Data!J2819=0,Raw_Data!D2819,"")</f>
        <v>2039.32</v>
      </c>
      <c r="B2819" s="3" t="str">
        <f>IF(Raw_Data!J2819=1,Raw_Data!D2819,"")</f>
        <v/>
      </c>
    </row>
    <row r="2820" spans="1:2" x14ac:dyDescent="0.25">
      <c r="A2820" s="3">
        <f>IF(Raw_Data!J2820=0,Raw_Data!D2820,"")</f>
        <v>6281.38</v>
      </c>
      <c r="B2820" s="3" t="str">
        <f>IF(Raw_Data!J2820=1,Raw_Data!D2820,"")</f>
        <v/>
      </c>
    </row>
    <row r="2821" spans="1:2" x14ac:dyDescent="0.25">
      <c r="A2821" s="3">
        <f>IF(Raw_Data!J2821=0,Raw_Data!D2821,"")</f>
        <v>580.52</v>
      </c>
      <c r="B2821" s="3" t="str">
        <f>IF(Raw_Data!J2821=1,Raw_Data!D2821,"")</f>
        <v/>
      </c>
    </row>
    <row r="2822" spans="1:2" x14ac:dyDescent="0.25">
      <c r="A2822" s="3">
        <f>IF(Raw_Data!J2822=0,Raw_Data!D2822,"")</f>
        <v>2220.7600000000002</v>
      </c>
      <c r="B2822" s="3" t="str">
        <f>IF(Raw_Data!J2822=1,Raw_Data!D2822,"")</f>
        <v/>
      </c>
    </row>
    <row r="2823" spans="1:2" x14ac:dyDescent="0.25">
      <c r="A2823" s="3">
        <f>IF(Raw_Data!J2823=0,Raw_Data!D2823,"")</f>
        <v>113.14</v>
      </c>
      <c r="B2823" s="3" t="str">
        <f>IF(Raw_Data!J2823=1,Raw_Data!D2823,"")</f>
        <v/>
      </c>
    </row>
    <row r="2824" spans="1:2" x14ac:dyDescent="0.25">
      <c r="A2824" s="3">
        <f>IF(Raw_Data!J2824=0,Raw_Data!D2824,"")</f>
        <v>4382.96</v>
      </c>
      <c r="B2824" s="3" t="str">
        <f>IF(Raw_Data!J2824=1,Raw_Data!D2824,"")</f>
        <v/>
      </c>
    </row>
    <row r="2825" spans="1:2" x14ac:dyDescent="0.25">
      <c r="A2825" s="3">
        <f>IF(Raw_Data!J2825=0,Raw_Data!D2825,"")</f>
        <v>11114.39</v>
      </c>
      <c r="B2825" s="3" t="str">
        <f>IF(Raw_Data!J2825=1,Raw_Data!D2825,"")</f>
        <v/>
      </c>
    </row>
    <row r="2826" spans="1:2" x14ac:dyDescent="0.25">
      <c r="A2826" s="3">
        <f>IF(Raw_Data!J2826=0,Raw_Data!D2826,"")</f>
        <v>2139.6999999999998</v>
      </c>
      <c r="B2826" s="3" t="str">
        <f>IF(Raw_Data!J2826=1,Raw_Data!D2826,"")</f>
        <v/>
      </c>
    </row>
    <row r="2827" spans="1:2" x14ac:dyDescent="0.25">
      <c r="A2827" s="3">
        <f>IF(Raw_Data!J2827=0,Raw_Data!D2827,"")</f>
        <v>630.5</v>
      </c>
      <c r="B2827" s="3" t="str">
        <f>IF(Raw_Data!J2827=1,Raw_Data!D2827,"")</f>
        <v/>
      </c>
    </row>
    <row r="2828" spans="1:2" x14ac:dyDescent="0.25">
      <c r="A2828" s="3">
        <f>IF(Raw_Data!J2828=0,Raw_Data!D2828,"")</f>
        <v>4137.09</v>
      </c>
      <c r="B2828" s="3" t="str">
        <f>IF(Raw_Data!J2828=1,Raw_Data!D2828,"")</f>
        <v/>
      </c>
    </row>
    <row r="2829" spans="1:2" x14ac:dyDescent="0.25">
      <c r="A2829" s="3">
        <f>IF(Raw_Data!J2829=0,Raw_Data!D2829,"")</f>
        <v>2724.82</v>
      </c>
      <c r="B2829" s="3" t="str">
        <f>IF(Raw_Data!J2829=1,Raw_Data!D2829,"")</f>
        <v/>
      </c>
    </row>
    <row r="2830" spans="1:2" x14ac:dyDescent="0.25">
      <c r="A2830" s="3">
        <f>IF(Raw_Data!J2830=0,Raw_Data!D2830,"")</f>
        <v>2716.43</v>
      </c>
      <c r="B2830" s="3" t="str">
        <f>IF(Raw_Data!J2830=1,Raw_Data!D2830,"")</f>
        <v/>
      </c>
    </row>
    <row r="2831" spans="1:2" x14ac:dyDescent="0.25">
      <c r="A2831" s="3">
        <f>IF(Raw_Data!J2831=0,Raw_Data!D2831,"")</f>
        <v>986.18</v>
      </c>
      <c r="B2831" s="3" t="str">
        <f>IF(Raw_Data!J2831=1,Raw_Data!D2831,"")</f>
        <v/>
      </c>
    </row>
    <row r="2832" spans="1:2" x14ac:dyDescent="0.25">
      <c r="A2832" s="3">
        <f>IF(Raw_Data!J2832=0,Raw_Data!D2832,"")</f>
        <v>4328.01</v>
      </c>
      <c r="B2832" s="3" t="str">
        <f>IF(Raw_Data!J2832=1,Raw_Data!D2832,"")</f>
        <v/>
      </c>
    </row>
    <row r="2833" spans="1:2" x14ac:dyDescent="0.25">
      <c r="A2833" s="3">
        <f>IF(Raw_Data!J2833=0,Raw_Data!D2833,"")</f>
        <v>4805.59</v>
      </c>
      <c r="B2833" s="3" t="str">
        <f>IF(Raw_Data!J2833=1,Raw_Data!D2833,"")</f>
        <v/>
      </c>
    </row>
    <row r="2834" spans="1:2" x14ac:dyDescent="0.25">
      <c r="A2834" s="3">
        <f>IF(Raw_Data!J2834=0,Raw_Data!D2834,"")</f>
        <v>2407.34</v>
      </c>
      <c r="B2834" s="3" t="str">
        <f>IF(Raw_Data!J2834=1,Raw_Data!D2834,"")</f>
        <v/>
      </c>
    </row>
    <row r="2835" spans="1:2" x14ac:dyDescent="0.25">
      <c r="A2835" s="3">
        <f>IF(Raw_Data!J2835=0,Raw_Data!D2835,"")</f>
        <v>2226.75</v>
      </c>
      <c r="B2835" s="3" t="str">
        <f>IF(Raw_Data!J2835=1,Raw_Data!D2835,"")</f>
        <v/>
      </c>
    </row>
    <row r="2836" spans="1:2" x14ac:dyDescent="0.25">
      <c r="A2836" s="3">
        <f>IF(Raw_Data!J2836=0,Raw_Data!D2836,"")</f>
        <v>2304.79</v>
      </c>
      <c r="B2836" s="3" t="str">
        <f>IF(Raw_Data!J2836=1,Raw_Data!D2836,"")</f>
        <v/>
      </c>
    </row>
    <row r="2837" spans="1:2" x14ac:dyDescent="0.25">
      <c r="A2837" s="3" t="str">
        <f>IF(Raw_Data!J2837=0,Raw_Data!D2837,"")</f>
        <v/>
      </c>
      <c r="B2837" s="3">
        <f>IF(Raw_Data!J2837=1,Raw_Data!D2837,"")</f>
        <v>5644.27</v>
      </c>
    </row>
    <row r="2838" spans="1:2" x14ac:dyDescent="0.25">
      <c r="A2838" s="3" t="str">
        <f>IF(Raw_Data!J2838=0,Raw_Data!D2838,"")</f>
        <v/>
      </c>
      <c r="B2838" s="3">
        <f>IF(Raw_Data!J2838=1,Raw_Data!D2838,"")</f>
        <v>3251.92</v>
      </c>
    </row>
    <row r="2839" spans="1:2" x14ac:dyDescent="0.25">
      <c r="A2839" s="3">
        <f>IF(Raw_Data!J2839=0,Raw_Data!D2839,"")</f>
        <v>4905.07</v>
      </c>
      <c r="B2839" s="3" t="str">
        <f>IF(Raw_Data!J2839=1,Raw_Data!D2839,"")</f>
        <v/>
      </c>
    </row>
    <row r="2840" spans="1:2" x14ac:dyDescent="0.25">
      <c r="A2840" s="3">
        <f>IF(Raw_Data!J2840=0,Raw_Data!D2840,"")</f>
        <v>3621.52</v>
      </c>
      <c r="B2840" s="3" t="str">
        <f>IF(Raw_Data!J2840=1,Raw_Data!D2840,"")</f>
        <v/>
      </c>
    </row>
    <row r="2841" spans="1:2" x14ac:dyDescent="0.25">
      <c r="A2841" s="3">
        <f>IF(Raw_Data!J2841=0,Raw_Data!D2841,"")</f>
        <v>915.92</v>
      </c>
      <c r="B2841" s="3" t="str">
        <f>IF(Raw_Data!J2841=1,Raw_Data!D2841,"")</f>
        <v/>
      </c>
    </row>
    <row r="2842" spans="1:2" x14ac:dyDescent="0.25">
      <c r="A2842" s="3">
        <f>IF(Raw_Data!J2842=0,Raw_Data!D2842,"")</f>
        <v>7450.34</v>
      </c>
      <c r="B2842" s="3" t="str">
        <f>IF(Raw_Data!J2842=1,Raw_Data!D2842,"")</f>
        <v/>
      </c>
    </row>
    <row r="2843" spans="1:2" x14ac:dyDescent="0.25">
      <c r="A2843" s="3">
        <f>IF(Raw_Data!J2843=0,Raw_Data!D2843,"")</f>
        <v>928.82</v>
      </c>
      <c r="B2843" s="3" t="str">
        <f>IF(Raw_Data!J2843=1,Raw_Data!D2843,"")</f>
        <v/>
      </c>
    </row>
    <row r="2844" spans="1:2" x14ac:dyDescent="0.25">
      <c r="A2844" s="3">
        <f>IF(Raw_Data!J2844=0,Raw_Data!D2844,"")</f>
        <v>967.02</v>
      </c>
      <c r="B2844" s="3" t="str">
        <f>IF(Raw_Data!J2844=1,Raw_Data!D2844,"")</f>
        <v/>
      </c>
    </row>
    <row r="2845" spans="1:2" x14ac:dyDescent="0.25">
      <c r="A2845" s="3">
        <f>IF(Raw_Data!J2845=0,Raw_Data!D2845,"")</f>
        <v>2414.77</v>
      </c>
      <c r="B2845" s="3" t="str">
        <f>IF(Raw_Data!J2845=1,Raw_Data!D2845,"")</f>
        <v/>
      </c>
    </row>
    <row r="2846" spans="1:2" x14ac:dyDescent="0.25">
      <c r="A2846" s="3" t="str">
        <f>IF(Raw_Data!J2846=0,Raw_Data!D2846,"")</f>
        <v/>
      </c>
      <c r="B2846" s="3">
        <f>IF(Raw_Data!J2846=1,Raw_Data!D2846,"")</f>
        <v>1487.14</v>
      </c>
    </row>
    <row r="2847" spans="1:2" x14ac:dyDescent="0.25">
      <c r="A2847" s="3">
        <f>IF(Raw_Data!J2847=0,Raw_Data!D2847,"")</f>
        <v>1487.03</v>
      </c>
      <c r="B2847" s="3" t="str">
        <f>IF(Raw_Data!J2847=1,Raw_Data!D2847,"")</f>
        <v/>
      </c>
    </row>
    <row r="2848" spans="1:2" x14ac:dyDescent="0.25">
      <c r="A2848" s="3">
        <f>IF(Raw_Data!J2848=0,Raw_Data!D2848,"")</f>
        <v>849.45</v>
      </c>
      <c r="B2848" s="3" t="str">
        <f>IF(Raw_Data!J2848=1,Raw_Data!D2848,"")</f>
        <v/>
      </c>
    </row>
    <row r="2849" spans="1:2" x14ac:dyDescent="0.25">
      <c r="A2849" s="3" t="str">
        <f>IF(Raw_Data!J2849=0,Raw_Data!D2849,"")</f>
        <v/>
      </c>
      <c r="B2849" s="3">
        <f>IF(Raw_Data!J2849=1,Raw_Data!D2849,"")</f>
        <v>2875.12</v>
      </c>
    </row>
    <row r="2850" spans="1:2" x14ac:dyDescent="0.25">
      <c r="A2850" s="3">
        <f>IF(Raw_Data!J2850=0,Raw_Data!D2850,"")</f>
        <v>3170.44</v>
      </c>
      <c r="B2850" s="3" t="str">
        <f>IF(Raw_Data!J2850=1,Raw_Data!D2850,"")</f>
        <v/>
      </c>
    </row>
    <row r="2851" spans="1:2" x14ac:dyDescent="0.25">
      <c r="A2851" s="3" t="str">
        <f>IF(Raw_Data!J2851=0,Raw_Data!D2851,"")</f>
        <v/>
      </c>
      <c r="B2851" s="3">
        <f>IF(Raw_Data!J2851=1,Raw_Data!D2851,"")</f>
        <v>2805.4</v>
      </c>
    </row>
    <row r="2852" spans="1:2" x14ac:dyDescent="0.25">
      <c r="A2852" s="3">
        <f>IF(Raw_Data!J2852=0,Raw_Data!D2852,"")</f>
        <v>2203.61</v>
      </c>
      <c r="B2852" s="3" t="str">
        <f>IF(Raw_Data!J2852=1,Raw_Data!D2852,"")</f>
        <v/>
      </c>
    </row>
    <row r="2853" spans="1:2" x14ac:dyDescent="0.25">
      <c r="A2853" s="3" t="str">
        <f>IF(Raw_Data!J2853=0,Raw_Data!D2853,"")</f>
        <v/>
      </c>
      <c r="B2853" s="3">
        <f>IF(Raw_Data!J2853=1,Raw_Data!D2853,"")</f>
        <v>3067.5</v>
      </c>
    </row>
    <row r="2854" spans="1:2" x14ac:dyDescent="0.25">
      <c r="A2854" s="3" t="str">
        <f>IF(Raw_Data!J2854=0,Raw_Data!D2854,"")</f>
        <v/>
      </c>
      <c r="B2854" s="3">
        <f>IF(Raw_Data!J2854=1,Raw_Data!D2854,"")</f>
        <v>1629.77</v>
      </c>
    </row>
    <row r="2855" spans="1:2" x14ac:dyDescent="0.25">
      <c r="A2855" s="3">
        <f>IF(Raw_Data!J2855=0,Raw_Data!D2855,"")</f>
        <v>2687.51</v>
      </c>
      <c r="B2855" s="3" t="str">
        <f>IF(Raw_Data!J2855=1,Raw_Data!D2855,"")</f>
        <v/>
      </c>
    </row>
    <row r="2856" spans="1:2" x14ac:dyDescent="0.25">
      <c r="A2856" s="3">
        <f>IF(Raw_Data!J2856=0,Raw_Data!D2856,"")</f>
        <v>2244.08</v>
      </c>
      <c r="B2856" s="3" t="str">
        <f>IF(Raw_Data!J2856=1,Raw_Data!D2856,"")</f>
        <v/>
      </c>
    </row>
    <row r="2857" spans="1:2" x14ac:dyDescent="0.25">
      <c r="A2857" s="3">
        <f>IF(Raw_Data!J2857=0,Raw_Data!D2857,"")</f>
        <v>983.48</v>
      </c>
      <c r="B2857" s="3" t="str">
        <f>IF(Raw_Data!J2857=1,Raw_Data!D2857,"")</f>
        <v/>
      </c>
    </row>
    <row r="2858" spans="1:2" x14ac:dyDescent="0.25">
      <c r="A2858" s="3" t="str">
        <f>IF(Raw_Data!J2858=0,Raw_Data!D2858,"")</f>
        <v/>
      </c>
      <c r="B2858" s="3">
        <f>IF(Raw_Data!J2858=1,Raw_Data!D2858,"")</f>
        <v>1576.02</v>
      </c>
    </row>
    <row r="2859" spans="1:2" x14ac:dyDescent="0.25">
      <c r="A2859" s="3">
        <f>IF(Raw_Data!J2859=0,Raw_Data!D2859,"")</f>
        <v>2918.06</v>
      </c>
      <c r="B2859" s="3" t="str">
        <f>IF(Raw_Data!J2859=1,Raw_Data!D2859,"")</f>
        <v/>
      </c>
    </row>
    <row r="2860" spans="1:2" x14ac:dyDescent="0.25">
      <c r="A2860" s="3">
        <f>IF(Raw_Data!J2860=0,Raw_Data!D2860,"")</f>
        <v>3504.19</v>
      </c>
      <c r="B2860" s="3" t="str">
        <f>IF(Raw_Data!J2860=1,Raw_Data!D2860,"")</f>
        <v/>
      </c>
    </row>
    <row r="2861" spans="1:2" x14ac:dyDescent="0.25">
      <c r="A2861" s="3">
        <f>IF(Raw_Data!J2861=0,Raw_Data!D2861,"")</f>
        <v>2617.0500000000002</v>
      </c>
      <c r="B2861" s="3" t="str">
        <f>IF(Raw_Data!J2861=1,Raw_Data!D2861,"")</f>
        <v/>
      </c>
    </row>
    <row r="2862" spans="1:2" x14ac:dyDescent="0.25">
      <c r="A2862" s="3">
        <f>IF(Raw_Data!J2862=0,Raw_Data!D2862,"")</f>
        <v>435.89</v>
      </c>
      <c r="B2862" s="3" t="str">
        <f>IF(Raw_Data!J2862=1,Raw_Data!D2862,"")</f>
        <v/>
      </c>
    </row>
    <row r="2863" spans="1:2" x14ac:dyDescent="0.25">
      <c r="A2863" s="3">
        <f>IF(Raw_Data!J2863=0,Raw_Data!D2863,"")</f>
        <v>1911.32</v>
      </c>
      <c r="B2863" s="3" t="str">
        <f>IF(Raw_Data!J2863=1,Raw_Data!D2863,"")</f>
        <v/>
      </c>
    </row>
    <row r="2864" spans="1:2" x14ac:dyDescent="0.25">
      <c r="A2864" s="3">
        <f>IF(Raw_Data!J2864=0,Raw_Data!D2864,"")</f>
        <v>1601.82</v>
      </c>
      <c r="B2864" s="3" t="str">
        <f>IF(Raw_Data!J2864=1,Raw_Data!D2864,"")</f>
        <v/>
      </c>
    </row>
    <row r="2865" spans="1:2" x14ac:dyDescent="0.25">
      <c r="A2865" s="3" t="str">
        <f>IF(Raw_Data!J2865=0,Raw_Data!D2865,"")</f>
        <v/>
      </c>
      <c r="B2865" s="3">
        <f>IF(Raw_Data!J2865=1,Raw_Data!D2865,"")</f>
        <v>3255.6</v>
      </c>
    </row>
    <row r="2866" spans="1:2" x14ac:dyDescent="0.25">
      <c r="A2866" s="3">
        <f>IF(Raw_Data!J2866=0,Raw_Data!D2866,"")</f>
        <v>1755.57</v>
      </c>
      <c r="B2866" s="3" t="str">
        <f>IF(Raw_Data!J2866=1,Raw_Data!D2866,"")</f>
        <v/>
      </c>
    </row>
    <row r="2867" spans="1:2" x14ac:dyDescent="0.25">
      <c r="A2867" s="3" t="str">
        <f>IF(Raw_Data!J2867=0,Raw_Data!D2867,"")</f>
        <v/>
      </c>
      <c r="B2867" s="3">
        <f>IF(Raw_Data!J2867=1,Raw_Data!D2867,"")</f>
        <v>4282.04</v>
      </c>
    </row>
    <row r="2868" spans="1:2" x14ac:dyDescent="0.25">
      <c r="A2868" s="3">
        <f>IF(Raw_Data!J2868=0,Raw_Data!D2868,"")</f>
        <v>266.88</v>
      </c>
      <c r="B2868" s="3" t="str">
        <f>IF(Raw_Data!J2868=1,Raw_Data!D2868,"")</f>
        <v/>
      </c>
    </row>
    <row r="2869" spans="1:2" x14ac:dyDescent="0.25">
      <c r="A2869" s="3">
        <f>IF(Raw_Data!J2869=0,Raw_Data!D2869,"")</f>
        <v>1610.28</v>
      </c>
      <c r="B2869" s="3" t="str">
        <f>IF(Raw_Data!J2869=1,Raw_Data!D2869,"")</f>
        <v/>
      </c>
    </row>
    <row r="2870" spans="1:2" x14ac:dyDescent="0.25">
      <c r="A2870" s="3" t="str">
        <f>IF(Raw_Data!J2870=0,Raw_Data!D2870,"")</f>
        <v/>
      </c>
      <c r="B2870" s="3">
        <f>IF(Raw_Data!J2870=1,Raw_Data!D2870,"")</f>
        <v>754.15</v>
      </c>
    </row>
    <row r="2871" spans="1:2" x14ac:dyDescent="0.25">
      <c r="A2871" s="3">
        <f>IF(Raw_Data!J2871=0,Raw_Data!D2871,"")</f>
        <v>3946.92</v>
      </c>
      <c r="B2871" s="3" t="str">
        <f>IF(Raw_Data!J2871=1,Raw_Data!D2871,"")</f>
        <v/>
      </c>
    </row>
    <row r="2872" spans="1:2" x14ac:dyDescent="0.25">
      <c r="A2872" s="3">
        <f>IF(Raw_Data!J2872=0,Raw_Data!D2872,"")</f>
        <v>5639.94</v>
      </c>
      <c r="B2872" s="3" t="str">
        <f>IF(Raw_Data!J2872=1,Raw_Data!D2872,"")</f>
        <v/>
      </c>
    </row>
    <row r="2873" spans="1:2" x14ac:dyDescent="0.25">
      <c r="A2873" s="3">
        <f>IF(Raw_Data!J2873=0,Raw_Data!D2873,"")</f>
        <v>4751.6099999999997</v>
      </c>
      <c r="B2873" s="3" t="str">
        <f>IF(Raw_Data!J2873=1,Raw_Data!D2873,"")</f>
        <v/>
      </c>
    </row>
    <row r="2874" spans="1:2" x14ac:dyDescent="0.25">
      <c r="A2874" s="3">
        <f>IF(Raw_Data!J2874=0,Raw_Data!D2874,"")</f>
        <v>1728.14</v>
      </c>
      <c r="B2874" s="3" t="str">
        <f>IF(Raw_Data!J2874=1,Raw_Data!D2874,"")</f>
        <v/>
      </c>
    </row>
    <row r="2875" spans="1:2" x14ac:dyDescent="0.25">
      <c r="A2875" s="3">
        <f>IF(Raw_Data!J2875=0,Raw_Data!D2875,"")</f>
        <v>2029.07</v>
      </c>
      <c r="B2875" s="3" t="str">
        <f>IF(Raw_Data!J2875=1,Raw_Data!D2875,"")</f>
        <v/>
      </c>
    </row>
    <row r="2876" spans="1:2" x14ac:dyDescent="0.25">
      <c r="A2876" s="3">
        <f>IF(Raw_Data!J2876=0,Raw_Data!D2876,"")</f>
        <v>5425.13</v>
      </c>
      <c r="B2876" s="3" t="str">
        <f>IF(Raw_Data!J2876=1,Raw_Data!D2876,"")</f>
        <v/>
      </c>
    </row>
    <row r="2877" spans="1:2" x14ac:dyDescent="0.25">
      <c r="A2877" s="3">
        <f>IF(Raw_Data!J2877=0,Raw_Data!D2877,"")</f>
        <v>619.97</v>
      </c>
      <c r="B2877" s="3" t="str">
        <f>IF(Raw_Data!J2877=1,Raw_Data!D2877,"")</f>
        <v/>
      </c>
    </row>
    <row r="2878" spans="1:2" x14ac:dyDescent="0.25">
      <c r="A2878" s="3" t="str">
        <f>IF(Raw_Data!J2878=0,Raw_Data!D2878,"")</f>
        <v/>
      </c>
      <c r="B2878" s="3">
        <f>IF(Raw_Data!J2878=1,Raw_Data!D2878,"")</f>
        <v>251.61</v>
      </c>
    </row>
    <row r="2879" spans="1:2" x14ac:dyDescent="0.25">
      <c r="A2879" s="3" t="str">
        <f>IF(Raw_Data!J2879=0,Raw_Data!D2879,"")</f>
        <v/>
      </c>
      <c r="B2879" s="3">
        <f>IF(Raw_Data!J2879=1,Raw_Data!D2879,"")</f>
        <v>2864.01</v>
      </c>
    </row>
    <row r="2880" spans="1:2" x14ac:dyDescent="0.25">
      <c r="A2880" s="3" t="str">
        <f>IF(Raw_Data!J2880=0,Raw_Data!D2880,"")</f>
        <v/>
      </c>
      <c r="B2880" s="3">
        <f>IF(Raw_Data!J2880=1,Raw_Data!D2880,"")</f>
        <v>3097.86</v>
      </c>
    </row>
    <row r="2881" spans="1:2" x14ac:dyDescent="0.25">
      <c r="A2881" s="3">
        <f>IF(Raw_Data!J2881=0,Raw_Data!D2881,"")</f>
        <v>4111.18</v>
      </c>
      <c r="B2881" s="3" t="str">
        <f>IF(Raw_Data!J2881=1,Raw_Data!D2881,"")</f>
        <v/>
      </c>
    </row>
    <row r="2882" spans="1:2" x14ac:dyDescent="0.25">
      <c r="A2882" s="3">
        <f>IF(Raw_Data!J2882=0,Raw_Data!D2882,"")</f>
        <v>421.97</v>
      </c>
      <c r="B2882" s="3" t="str">
        <f>IF(Raw_Data!J2882=1,Raw_Data!D2882,"")</f>
        <v/>
      </c>
    </row>
    <row r="2883" spans="1:2" x14ac:dyDescent="0.25">
      <c r="A2883" s="3">
        <f>IF(Raw_Data!J2883=0,Raw_Data!D2883,"")</f>
        <v>1541.96</v>
      </c>
      <c r="B2883" s="3" t="str">
        <f>IF(Raw_Data!J2883=1,Raw_Data!D2883,"")</f>
        <v/>
      </c>
    </row>
    <row r="2884" spans="1:2" x14ac:dyDescent="0.25">
      <c r="A2884" s="3">
        <f>IF(Raw_Data!J2884=0,Raw_Data!D2884,"")</f>
        <v>4233.88</v>
      </c>
      <c r="B2884" s="3" t="str">
        <f>IF(Raw_Data!J2884=1,Raw_Data!D2884,"")</f>
        <v/>
      </c>
    </row>
    <row r="2885" spans="1:2" x14ac:dyDescent="0.25">
      <c r="A2885" s="3">
        <f>IF(Raw_Data!J2885=0,Raw_Data!D2885,"")</f>
        <v>158</v>
      </c>
      <c r="B2885" s="3" t="str">
        <f>IF(Raw_Data!J2885=1,Raw_Data!D2885,"")</f>
        <v/>
      </c>
    </row>
    <row r="2886" spans="1:2" x14ac:dyDescent="0.25">
      <c r="A2886" s="3">
        <f>IF(Raw_Data!J2886=0,Raw_Data!D2886,"")</f>
        <v>1024.47</v>
      </c>
      <c r="B2886" s="3" t="str">
        <f>IF(Raw_Data!J2886=1,Raw_Data!D2886,"")</f>
        <v/>
      </c>
    </row>
    <row r="2887" spans="1:2" x14ac:dyDescent="0.25">
      <c r="A2887" s="3">
        <f>IF(Raw_Data!J2887=0,Raw_Data!D2887,"")</f>
        <v>3648.38</v>
      </c>
      <c r="B2887" s="3" t="str">
        <f>IF(Raw_Data!J2887=1,Raw_Data!D2887,"")</f>
        <v/>
      </c>
    </row>
    <row r="2888" spans="1:2" x14ac:dyDescent="0.25">
      <c r="A2888" s="3">
        <f>IF(Raw_Data!J2888=0,Raw_Data!D2888,"")</f>
        <v>1805.85</v>
      </c>
      <c r="B2888" s="3" t="str">
        <f>IF(Raw_Data!J2888=1,Raw_Data!D2888,"")</f>
        <v/>
      </c>
    </row>
    <row r="2889" spans="1:2" x14ac:dyDescent="0.25">
      <c r="A2889" s="3">
        <f>IF(Raw_Data!J2889=0,Raw_Data!D2889,"")</f>
        <v>1709.4</v>
      </c>
      <c r="B2889" s="3" t="str">
        <f>IF(Raw_Data!J2889=1,Raw_Data!D2889,"")</f>
        <v/>
      </c>
    </row>
    <row r="2890" spans="1:2" x14ac:dyDescent="0.25">
      <c r="A2890" s="3">
        <f>IF(Raw_Data!J2890=0,Raw_Data!D2890,"")</f>
        <v>5273.02</v>
      </c>
      <c r="B2890" s="3" t="str">
        <f>IF(Raw_Data!J2890=1,Raw_Data!D2890,"")</f>
        <v/>
      </c>
    </row>
    <row r="2891" spans="1:2" x14ac:dyDescent="0.25">
      <c r="A2891" s="3">
        <f>IF(Raw_Data!J2891=0,Raw_Data!D2891,"")</f>
        <v>4141.8900000000003</v>
      </c>
      <c r="B2891" s="3" t="str">
        <f>IF(Raw_Data!J2891=1,Raw_Data!D2891,"")</f>
        <v/>
      </c>
    </row>
    <row r="2892" spans="1:2" x14ac:dyDescent="0.25">
      <c r="A2892" s="3">
        <f>IF(Raw_Data!J2892=0,Raw_Data!D2892,"")</f>
        <v>3589.51</v>
      </c>
      <c r="B2892" s="3" t="str">
        <f>IF(Raw_Data!J2892=1,Raw_Data!D2892,"")</f>
        <v/>
      </c>
    </row>
    <row r="2893" spans="1:2" x14ac:dyDescent="0.25">
      <c r="A2893" s="3">
        <f>IF(Raw_Data!J2893=0,Raw_Data!D2893,"")</f>
        <v>4238.62</v>
      </c>
      <c r="B2893" s="3" t="str">
        <f>IF(Raw_Data!J2893=1,Raw_Data!D2893,"")</f>
        <v/>
      </c>
    </row>
    <row r="2894" spans="1:2" x14ac:dyDescent="0.25">
      <c r="A2894" s="3" t="str">
        <f>IF(Raw_Data!J2894=0,Raw_Data!D2894,"")</f>
        <v/>
      </c>
      <c r="B2894" s="3">
        <f>IF(Raw_Data!J2894=1,Raw_Data!D2894,"")</f>
        <v>428.08</v>
      </c>
    </row>
    <row r="2895" spans="1:2" x14ac:dyDescent="0.25">
      <c r="A2895" s="3">
        <f>IF(Raw_Data!J2895=0,Raw_Data!D2895,"")</f>
        <v>2334.9499999999998</v>
      </c>
      <c r="B2895" s="3" t="str">
        <f>IF(Raw_Data!J2895=1,Raw_Data!D2895,"")</f>
        <v/>
      </c>
    </row>
    <row r="2896" spans="1:2" x14ac:dyDescent="0.25">
      <c r="A2896" s="3">
        <f>IF(Raw_Data!J2896=0,Raw_Data!D2896,"")</f>
        <v>2717</v>
      </c>
      <c r="B2896" s="3" t="str">
        <f>IF(Raw_Data!J2896=1,Raw_Data!D2896,"")</f>
        <v/>
      </c>
    </row>
    <row r="2897" spans="1:2" x14ac:dyDescent="0.25">
      <c r="A2897" s="3" t="str">
        <f>IF(Raw_Data!J2897=0,Raw_Data!D2897,"")</f>
        <v/>
      </c>
      <c r="B2897" s="3">
        <f>IF(Raw_Data!J2897=1,Raw_Data!D2897,"")</f>
        <v>803.93</v>
      </c>
    </row>
    <row r="2898" spans="1:2" x14ac:dyDescent="0.25">
      <c r="A2898" s="3">
        <f>IF(Raw_Data!J2898=0,Raw_Data!D2898,"")</f>
        <v>2996.62</v>
      </c>
      <c r="B2898" s="3" t="str">
        <f>IF(Raw_Data!J2898=1,Raw_Data!D2898,"")</f>
        <v/>
      </c>
    </row>
    <row r="2899" spans="1:2" x14ac:dyDescent="0.25">
      <c r="A2899" s="3">
        <f>IF(Raw_Data!J2899=0,Raw_Data!D2899,"")</f>
        <v>330.81</v>
      </c>
      <c r="B2899" s="3" t="str">
        <f>IF(Raw_Data!J2899=1,Raw_Data!D2899,"")</f>
        <v/>
      </c>
    </row>
    <row r="2900" spans="1:2" x14ac:dyDescent="0.25">
      <c r="A2900" s="3">
        <f>IF(Raw_Data!J2900=0,Raw_Data!D2900,"")</f>
        <v>2078.7800000000002</v>
      </c>
      <c r="B2900" s="3" t="str">
        <f>IF(Raw_Data!J2900=1,Raw_Data!D2900,"")</f>
        <v/>
      </c>
    </row>
    <row r="2901" spans="1:2" x14ac:dyDescent="0.25">
      <c r="A2901" s="3">
        <f>IF(Raw_Data!J2901=0,Raw_Data!D2901,"")</f>
        <v>4555.09</v>
      </c>
      <c r="B2901" s="3" t="str">
        <f>IF(Raw_Data!J2901=1,Raw_Data!D2901,"")</f>
        <v/>
      </c>
    </row>
    <row r="2902" spans="1:2" x14ac:dyDescent="0.25">
      <c r="A2902" s="3">
        <f>IF(Raw_Data!J2902=0,Raw_Data!D2902,"")</f>
        <v>3665.15</v>
      </c>
      <c r="B2902" s="3" t="str">
        <f>IF(Raw_Data!J2902=1,Raw_Data!D2902,"")</f>
        <v/>
      </c>
    </row>
    <row r="2903" spans="1:2" x14ac:dyDescent="0.25">
      <c r="A2903" s="3">
        <f>IF(Raw_Data!J2903=0,Raw_Data!D2903,"")</f>
        <v>1885.47</v>
      </c>
      <c r="B2903" s="3" t="str">
        <f>IF(Raw_Data!J2903=1,Raw_Data!D2903,"")</f>
        <v/>
      </c>
    </row>
    <row r="2904" spans="1:2" x14ac:dyDescent="0.25">
      <c r="A2904" s="3">
        <f>IF(Raw_Data!J2904=0,Raw_Data!D2904,"")</f>
        <v>5086.7299999999996</v>
      </c>
      <c r="B2904" s="3" t="str">
        <f>IF(Raw_Data!J2904=1,Raw_Data!D2904,"")</f>
        <v/>
      </c>
    </row>
    <row r="2905" spans="1:2" x14ac:dyDescent="0.25">
      <c r="A2905" s="3">
        <f>IF(Raw_Data!J2905=0,Raw_Data!D2905,"")</f>
        <v>1661.67</v>
      </c>
      <c r="B2905" s="3" t="str">
        <f>IF(Raw_Data!J2905=1,Raw_Data!D2905,"")</f>
        <v/>
      </c>
    </row>
    <row r="2906" spans="1:2" x14ac:dyDescent="0.25">
      <c r="A2906" s="3">
        <f>IF(Raw_Data!J2906=0,Raw_Data!D2906,"")</f>
        <v>2624.31</v>
      </c>
      <c r="B2906" s="3" t="str">
        <f>IF(Raw_Data!J2906=1,Raw_Data!D2906,"")</f>
        <v/>
      </c>
    </row>
    <row r="2907" spans="1:2" x14ac:dyDescent="0.25">
      <c r="A2907" s="3">
        <f>IF(Raw_Data!J2907=0,Raw_Data!D2907,"")</f>
        <v>5132.45</v>
      </c>
      <c r="B2907" s="3" t="str">
        <f>IF(Raw_Data!J2907=1,Raw_Data!D2907,"")</f>
        <v/>
      </c>
    </row>
    <row r="2908" spans="1:2" x14ac:dyDescent="0.25">
      <c r="A2908" s="3" t="str">
        <f>IF(Raw_Data!J2908=0,Raw_Data!D2908,"")</f>
        <v/>
      </c>
      <c r="B2908" s="3">
        <f>IF(Raw_Data!J2908=1,Raw_Data!D2908,"")</f>
        <v>3163.38</v>
      </c>
    </row>
    <row r="2909" spans="1:2" x14ac:dyDescent="0.25">
      <c r="A2909" s="3">
        <f>IF(Raw_Data!J2909=0,Raw_Data!D2909,"")</f>
        <v>660.67</v>
      </c>
      <c r="B2909" s="3" t="str">
        <f>IF(Raw_Data!J2909=1,Raw_Data!D2909,"")</f>
        <v/>
      </c>
    </row>
    <row r="2910" spans="1:2" x14ac:dyDescent="0.25">
      <c r="A2910" s="3" t="str">
        <f>IF(Raw_Data!J2910=0,Raw_Data!D2910,"")</f>
        <v/>
      </c>
      <c r="B2910" s="3">
        <f>IF(Raw_Data!J2910=1,Raw_Data!D2910,"")</f>
        <v>490.79</v>
      </c>
    </row>
    <row r="2911" spans="1:2" x14ac:dyDescent="0.25">
      <c r="A2911" s="3">
        <f>IF(Raw_Data!J2911=0,Raw_Data!D2911,"")</f>
        <v>1988.51</v>
      </c>
      <c r="B2911" s="3" t="str">
        <f>IF(Raw_Data!J2911=1,Raw_Data!D2911,"")</f>
        <v/>
      </c>
    </row>
    <row r="2912" spans="1:2" x14ac:dyDescent="0.25">
      <c r="A2912" s="3" t="str">
        <f>IF(Raw_Data!J2912=0,Raw_Data!D2912,"")</f>
        <v/>
      </c>
      <c r="B2912" s="3">
        <f>IF(Raw_Data!J2912=1,Raw_Data!D2912,"")</f>
        <v>3215.16</v>
      </c>
    </row>
    <row r="2913" spans="1:2" x14ac:dyDescent="0.25">
      <c r="A2913" s="3">
        <f>IF(Raw_Data!J2913=0,Raw_Data!D2913,"")</f>
        <v>1147.97</v>
      </c>
      <c r="B2913" s="3" t="str">
        <f>IF(Raw_Data!J2913=1,Raw_Data!D2913,"")</f>
        <v/>
      </c>
    </row>
    <row r="2914" spans="1:2" x14ac:dyDescent="0.25">
      <c r="A2914" s="3" t="str">
        <f>IF(Raw_Data!J2914=0,Raw_Data!D2914,"")</f>
        <v/>
      </c>
      <c r="B2914" s="3">
        <f>IF(Raw_Data!J2914=1,Raw_Data!D2914,"")</f>
        <v>2758.1</v>
      </c>
    </row>
    <row r="2915" spans="1:2" x14ac:dyDescent="0.25">
      <c r="A2915" s="3" t="str">
        <f>IF(Raw_Data!J2915=0,Raw_Data!D2915,"")</f>
        <v/>
      </c>
      <c r="B2915" s="3">
        <f>IF(Raw_Data!J2915=1,Raw_Data!D2915,"")</f>
        <v>3728.12</v>
      </c>
    </row>
    <row r="2916" spans="1:2" x14ac:dyDescent="0.25">
      <c r="A2916" s="3">
        <f>IF(Raw_Data!J2916=0,Raw_Data!D2916,"")</f>
        <v>3106.27</v>
      </c>
      <c r="B2916" s="3" t="str">
        <f>IF(Raw_Data!J2916=1,Raw_Data!D2916,"")</f>
        <v/>
      </c>
    </row>
    <row r="2917" spans="1:2" x14ac:dyDescent="0.25">
      <c r="A2917" s="3" t="str">
        <f>IF(Raw_Data!J2917=0,Raw_Data!D2917,"")</f>
        <v/>
      </c>
      <c r="B2917" s="3">
        <f>IF(Raw_Data!J2917=1,Raw_Data!D2917,"")</f>
        <v>1795.91</v>
      </c>
    </row>
    <row r="2918" spans="1:2" x14ac:dyDescent="0.25">
      <c r="A2918" s="3" t="str">
        <f>IF(Raw_Data!J2918=0,Raw_Data!D2918,"")</f>
        <v/>
      </c>
      <c r="B2918" s="3">
        <f>IF(Raw_Data!J2918=1,Raw_Data!D2918,"")</f>
        <v>1877.96</v>
      </c>
    </row>
    <row r="2919" spans="1:2" x14ac:dyDescent="0.25">
      <c r="A2919" s="3">
        <f>IF(Raw_Data!J2919=0,Raw_Data!D2919,"")</f>
        <v>1676.18</v>
      </c>
      <c r="B2919" s="3" t="str">
        <f>IF(Raw_Data!J2919=1,Raw_Data!D2919,"")</f>
        <v/>
      </c>
    </row>
    <row r="2920" spans="1:2" x14ac:dyDescent="0.25">
      <c r="A2920" s="3">
        <f>IF(Raw_Data!J2920=0,Raw_Data!D2920,"")</f>
        <v>876.08</v>
      </c>
      <c r="B2920" s="3" t="str">
        <f>IF(Raw_Data!J2920=1,Raw_Data!D2920,"")</f>
        <v/>
      </c>
    </row>
    <row r="2921" spans="1:2" x14ac:dyDescent="0.25">
      <c r="A2921" s="3">
        <f>IF(Raw_Data!J2921=0,Raw_Data!D2921,"")</f>
        <v>5806</v>
      </c>
      <c r="B2921" s="3" t="str">
        <f>IF(Raw_Data!J2921=1,Raw_Data!D2921,"")</f>
        <v/>
      </c>
    </row>
    <row r="2922" spans="1:2" x14ac:dyDescent="0.25">
      <c r="A2922" s="3" t="str">
        <f>IF(Raw_Data!J2922=0,Raw_Data!D2922,"")</f>
        <v/>
      </c>
      <c r="B2922" s="3">
        <f>IF(Raw_Data!J2922=1,Raw_Data!D2922,"")</f>
        <v>3832.11</v>
      </c>
    </row>
    <row r="2923" spans="1:2" x14ac:dyDescent="0.25">
      <c r="A2923" s="3">
        <f>IF(Raw_Data!J2923=0,Raw_Data!D2923,"")</f>
        <v>2285.19</v>
      </c>
      <c r="B2923" s="3" t="str">
        <f>IF(Raw_Data!J2923=1,Raw_Data!D2923,"")</f>
        <v/>
      </c>
    </row>
    <row r="2924" spans="1:2" x14ac:dyDescent="0.25">
      <c r="A2924" s="3">
        <f>IF(Raw_Data!J2924=0,Raw_Data!D2924,"")</f>
        <v>4621.46</v>
      </c>
      <c r="B2924" s="3" t="str">
        <f>IF(Raw_Data!J2924=1,Raw_Data!D2924,"")</f>
        <v/>
      </c>
    </row>
    <row r="2925" spans="1:2" x14ac:dyDescent="0.25">
      <c r="A2925" s="3" t="str">
        <f>IF(Raw_Data!J2925=0,Raw_Data!D2925,"")</f>
        <v/>
      </c>
      <c r="B2925" s="3">
        <f>IF(Raw_Data!J2925=1,Raw_Data!D2925,"")</f>
        <v>2690.52</v>
      </c>
    </row>
    <row r="2926" spans="1:2" x14ac:dyDescent="0.25">
      <c r="A2926" s="3">
        <f>IF(Raw_Data!J2926=0,Raw_Data!D2926,"")</f>
        <v>2974.91</v>
      </c>
      <c r="B2926" s="3" t="str">
        <f>IF(Raw_Data!J2926=1,Raw_Data!D2926,"")</f>
        <v/>
      </c>
    </row>
    <row r="2927" spans="1:2" x14ac:dyDescent="0.25">
      <c r="A2927" s="3">
        <f>IF(Raw_Data!J2927=0,Raw_Data!D2927,"")</f>
        <v>5538.33</v>
      </c>
      <c r="B2927" s="3" t="str">
        <f>IF(Raw_Data!J2927=1,Raw_Data!D2927,"")</f>
        <v/>
      </c>
    </row>
    <row r="2928" spans="1:2" x14ac:dyDescent="0.25">
      <c r="A2928" s="3">
        <f>IF(Raw_Data!J2928=0,Raw_Data!D2928,"")</f>
        <v>5702.29</v>
      </c>
      <c r="B2928" s="3" t="str">
        <f>IF(Raw_Data!J2928=1,Raw_Data!D2928,"")</f>
        <v/>
      </c>
    </row>
    <row r="2929" spans="1:2" x14ac:dyDescent="0.25">
      <c r="A2929" s="3" t="str">
        <f>IF(Raw_Data!J2929=0,Raw_Data!D2929,"")</f>
        <v/>
      </c>
      <c r="B2929" s="3">
        <f>IF(Raw_Data!J2929=1,Raw_Data!D2929,"")</f>
        <v>2295.6799999999998</v>
      </c>
    </row>
    <row r="2930" spans="1:2" x14ac:dyDescent="0.25">
      <c r="A2930" s="3" t="str">
        <f>IF(Raw_Data!J2930=0,Raw_Data!D2930,"")</f>
        <v/>
      </c>
      <c r="B2930" s="3">
        <f>IF(Raw_Data!J2930=1,Raw_Data!D2930,"")</f>
        <v>1801.61</v>
      </c>
    </row>
    <row r="2931" spans="1:2" x14ac:dyDescent="0.25">
      <c r="A2931" s="3" t="str">
        <f>IF(Raw_Data!J2931=0,Raw_Data!D2931,"")</f>
        <v/>
      </c>
      <c r="B2931" s="3">
        <f>IF(Raw_Data!J2931=1,Raw_Data!D2931,"")</f>
        <v>2029.36</v>
      </c>
    </row>
    <row r="2932" spans="1:2" x14ac:dyDescent="0.25">
      <c r="A2932" s="3" t="str">
        <f>IF(Raw_Data!J2932=0,Raw_Data!D2932,"")</f>
        <v/>
      </c>
      <c r="B2932" s="3">
        <f>IF(Raw_Data!J2932=1,Raw_Data!D2932,"")</f>
        <v>4468.87</v>
      </c>
    </row>
    <row r="2933" spans="1:2" x14ac:dyDescent="0.25">
      <c r="A2933" s="3">
        <f>IF(Raw_Data!J2933=0,Raw_Data!D2933,"")</f>
        <v>7737.7</v>
      </c>
      <c r="B2933" s="3" t="str">
        <f>IF(Raw_Data!J2933=1,Raw_Data!D2933,"")</f>
        <v/>
      </c>
    </row>
    <row r="2934" spans="1:2" x14ac:dyDescent="0.25">
      <c r="A2934" s="3" t="str">
        <f>IF(Raw_Data!J2934=0,Raw_Data!D2934,"")</f>
        <v/>
      </c>
      <c r="B2934" s="3">
        <f>IF(Raw_Data!J2934=1,Raw_Data!D2934,"")</f>
        <v>1917.42</v>
      </c>
    </row>
    <row r="2935" spans="1:2" x14ac:dyDescent="0.25">
      <c r="A2935" s="3">
        <f>IF(Raw_Data!J2935=0,Raw_Data!D2935,"")</f>
        <v>1261.22</v>
      </c>
      <c r="B2935" s="3" t="str">
        <f>IF(Raw_Data!J2935=1,Raw_Data!D2935,"")</f>
        <v/>
      </c>
    </row>
    <row r="2936" spans="1:2" x14ac:dyDescent="0.25">
      <c r="A2936" s="3">
        <f>IF(Raw_Data!J2936=0,Raw_Data!D2936,"")</f>
        <v>1389.43</v>
      </c>
      <c r="B2936" s="3" t="str">
        <f>IF(Raw_Data!J2936=1,Raw_Data!D2936,"")</f>
        <v/>
      </c>
    </row>
    <row r="2937" spans="1:2" x14ac:dyDescent="0.25">
      <c r="A2937" s="3">
        <f>IF(Raw_Data!J2937=0,Raw_Data!D2937,"")</f>
        <v>814.35</v>
      </c>
      <c r="B2937" s="3" t="str">
        <f>IF(Raw_Data!J2937=1,Raw_Data!D2937,"")</f>
        <v/>
      </c>
    </row>
    <row r="2938" spans="1:2" x14ac:dyDescent="0.25">
      <c r="A2938" s="3">
        <f>IF(Raw_Data!J2938=0,Raw_Data!D2938,"")</f>
        <v>2652.84</v>
      </c>
      <c r="B2938" s="3" t="str">
        <f>IF(Raw_Data!J2938=1,Raw_Data!D2938,"")</f>
        <v/>
      </c>
    </row>
    <row r="2939" spans="1:2" x14ac:dyDescent="0.25">
      <c r="A2939" s="3">
        <f>IF(Raw_Data!J2939=0,Raw_Data!D2939,"")</f>
        <v>4627.7700000000004</v>
      </c>
      <c r="B2939" s="3" t="str">
        <f>IF(Raw_Data!J2939=1,Raw_Data!D2939,"")</f>
        <v/>
      </c>
    </row>
    <row r="2940" spans="1:2" x14ac:dyDescent="0.25">
      <c r="A2940" s="3">
        <f>IF(Raw_Data!J2940=0,Raw_Data!D2940,"")</f>
        <v>2217.9699999999998</v>
      </c>
      <c r="B2940" s="3" t="str">
        <f>IF(Raw_Data!J2940=1,Raw_Data!D2940,"")</f>
        <v/>
      </c>
    </row>
    <row r="2941" spans="1:2" x14ac:dyDescent="0.25">
      <c r="A2941" s="3">
        <f>IF(Raw_Data!J2941=0,Raw_Data!D2941,"")</f>
        <v>2032.43</v>
      </c>
      <c r="B2941" s="3" t="str">
        <f>IF(Raw_Data!J2941=1,Raw_Data!D2941,"")</f>
        <v/>
      </c>
    </row>
    <row r="2942" spans="1:2" x14ac:dyDescent="0.25">
      <c r="A2942" s="3">
        <f>IF(Raw_Data!J2942=0,Raw_Data!D2942,"")</f>
        <v>1118.01</v>
      </c>
      <c r="B2942" s="3" t="str">
        <f>IF(Raw_Data!J2942=1,Raw_Data!D2942,"")</f>
        <v/>
      </c>
    </row>
    <row r="2943" spans="1:2" x14ac:dyDescent="0.25">
      <c r="A2943" s="3">
        <f>IF(Raw_Data!J2943=0,Raw_Data!D2943,"")</f>
        <v>2698.12</v>
      </c>
      <c r="B2943" s="3" t="str">
        <f>IF(Raw_Data!J2943=1,Raw_Data!D2943,"")</f>
        <v/>
      </c>
    </row>
    <row r="2944" spans="1:2" x14ac:dyDescent="0.25">
      <c r="A2944" s="3">
        <f>IF(Raw_Data!J2944=0,Raw_Data!D2944,"")</f>
        <v>5116.71</v>
      </c>
      <c r="B2944" s="3" t="str">
        <f>IF(Raw_Data!J2944=1,Raw_Data!D2944,"")</f>
        <v/>
      </c>
    </row>
    <row r="2945" spans="1:2" x14ac:dyDescent="0.25">
      <c r="A2945" s="3">
        <f>IF(Raw_Data!J2945=0,Raw_Data!D2945,"")</f>
        <v>4856.72</v>
      </c>
      <c r="B2945" s="3" t="str">
        <f>IF(Raw_Data!J2945=1,Raw_Data!D2945,"")</f>
        <v/>
      </c>
    </row>
    <row r="2946" spans="1:2" x14ac:dyDescent="0.25">
      <c r="A2946" s="3">
        <f>IF(Raw_Data!J2946=0,Raw_Data!D2946,"")</f>
        <v>3382.01</v>
      </c>
      <c r="B2946" s="3" t="str">
        <f>IF(Raw_Data!J2946=1,Raw_Data!D2946,"")</f>
        <v/>
      </c>
    </row>
    <row r="2947" spans="1:2" x14ac:dyDescent="0.25">
      <c r="A2947" s="3">
        <f>IF(Raw_Data!J2947=0,Raw_Data!D2947,"")</f>
        <v>2821.05</v>
      </c>
      <c r="B2947" s="3" t="str">
        <f>IF(Raw_Data!J2947=1,Raw_Data!D2947,"")</f>
        <v/>
      </c>
    </row>
    <row r="2948" spans="1:2" x14ac:dyDescent="0.25">
      <c r="A2948" s="3" t="str">
        <f>IF(Raw_Data!J2948=0,Raw_Data!D2948,"")</f>
        <v/>
      </c>
      <c r="B2948" s="3">
        <f>IF(Raw_Data!J2948=1,Raw_Data!D2948,"")</f>
        <v>2770.15</v>
      </c>
    </row>
    <row r="2949" spans="1:2" x14ac:dyDescent="0.25">
      <c r="A2949" s="3">
        <f>IF(Raw_Data!J2949=0,Raw_Data!D2949,"")</f>
        <v>1334.71</v>
      </c>
      <c r="B2949" s="3" t="str">
        <f>IF(Raw_Data!J2949=1,Raw_Data!D2949,"")</f>
        <v/>
      </c>
    </row>
    <row r="2950" spans="1:2" x14ac:dyDescent="0.25">
      <c r="A2950" s="3">
        <f>IF(Raw_Data!J2950=0,Raw_Data!D2950,"")</f>
        <v>2731.89</v>
      </c>
      <c r="B2950" s="3" t="str">
        <f>IF(Raw_Data!J2950=1,Raw_Data!D2950,"")</f>
        <v/>
      </c>
    </row>
    <row r="2951" spans="1:2" x14ac:dyDescent="0.25">
      <c r="A2951" s="3" t="str">
        <f>IF(Raw_Data!J2951=0,Raw_Data!D2951,"")</f>
        <v/>
      </c>
      <c r="B2951" s="3">
        <f>IF(Raw_Data!J2951=1,Raw_Data!D2951,"")</f>
        <v>5302.24</v>
      </c>
    </row>
    <row r="2952" spans="1:2" x14ac:dyDescent="0.25">
      <c r="A2952" s="3">
        <f>IF(Raw_Data!J2952=0,Raw_Data!D2952,"")</f>
        <v>2113.1999999999998</v>
      </c>
      <c r="B2952" s="3" t="str">
        <f>IF(Raw_Data!J2952=1,Raw_Data!D2952,"")</f>
        <v/>
      </c>
    </row>
    <row r="2953" spans="1:2" x14ac:dyDescent="0.25">
      <c r="A2953" s="3">
        <f>IF(Raw_Data!J2953=0,Raw_Data!D2953,"")</f>
        <v>4557.74</v>
      </c>
      <c r="B2953" s="3" t="str">
        <f>IF(Raw_Data!J2953=1,Raw_Data!D2953,"")</f>
        <v/>
      </c>
    </row>
    <row r="2954" spans="1:2" x14ac:dyDescent="0.25">
      <c r="A2954" s="3">
        <f>IF(Raw_Data!J2954=0,Raw_Data!D2954,"")</f>
        <v>2294.1999999999998</v>
      </c>
      <c r="B2954" s="3" t="str">
        <f>IF(Raw_Data!J2954=1,Raw_Data!D2954,"")</f>
        <v/>
      </c>
    </row>
    <row r="2955" spans="1:2" x14ac:dyDescent="0.25">
      <c r="A2955" s="3">
        <f>IF(Raw_Data!J2955=0,Raw_Data!D2955,"")</f>
        <v>3285.91</v>
      </c>
      <c r="B2955" s="3" t="str">
        <f>IF(Raw_Data!J2955=1,Raw_Data!D2955,"")</f>
        <v/>
      </c>
    </row>
    <row r="2956" spans="1:2" x14ac:dyDescent="0.25">
      <c r="A2956" s="3" t="str">
        <f>IF(Raw_Data!J2956=0,Raw_Data!D2956,"")</f>
        <v/>
      </c>
      <c r="B2956" s="3">
        <f>IF(Raw_Data!J2956=1,Raw_Data!D2956,"")</f>
        <v>6042.25</v>
      </c>
    </row>
    <row r="2957" spans="1:2" x14ac:dyDescent="0.25">
      <c r="A2957" s="3">
        <f>IF(Raw_Data!J2957=0,Raw_Data!D2957,"")</f>
        <v>413.73</v>
      </c>
      <c r="B2957" s="3" t="str">
        <f>IF(Raw_Data!J2957=1,Raw_Data!D2957,"")</f>
        <v/>
      </c>
    </row>
    <row r="2958" spans="1:2" x14ac:dyDescent="0.25">
      <c r="A2958" s="3" t="str">
        <f>IF(Raw_Data!J2958=0,Raw_Data!D2958,"")</f>
        <v/>
      </c>
      <c r="B2958" s="3">
        <f>IF(Raw_Data!J2958=1,Raw_Data!D2958,"")</f>
        <v>1839.93</v>
      </c>
    </row>
    <row r="2959" spans="1:2" x14ac:dyDescent="0.25">
      <c r="A2959" s="3">
        <f>IF(Raw_Data!J2959=0,Raw_Data!D2959,"")</f>
        <v>693.46</v>
      </c>
      <c r="B2959" s="3" t="str">
        <f>IF(Raw_Data!J2959=1,Raw_Data!D2959,"")</f>
        <v/>
      </c>
    </row>
    <row r="2960" spans="1:2" x14ac:dyDescent="0.25">
      <c r="A2960" s="3">
        <f>IF(Raw_Data!J2960=0,Raw_Data!D2960,"")</f>
        <v>479.74</v>
      </c>
      <c r="B2960" s="3" t="str">
        <f>IF(Raw_Data!J2960=1,Raw_Data!D2960,"")</f>
        <v/>
      </c>
    </row>
    <row r="2961" spans="1:2" x14ac:dyDescent="0.25">
      <c r="A2961" s="3">
        <f>IF(Raw_Data!J2961=0,Raw_Data!D2961,"")</f>
        <v>4221.4399999999996</v>
      </c>
      <c r="B2961" s="3" t="str">
        <f>IF(Raw_Data!J2961=1,Raw_Data!D2961,"")</f>
        <v/>
      </c>
    </row>
    <row r="2962" spans="1:2" x14ac:dyDescent="0.25">
      <c r="A2962" s="3" t="str">
        <f>IF(Raw_Data!J2962=0,Raw_Data!D2962,"")</f>
        <v/>
      </c>
      <c r="B2962" s="3">
        <f>IF(Raw_Data!J2962=1,Raw_Data!D2962,"")</f>
        <v>2170.4499999999998</v>
      </c>
    </row>
    <row r="2963" spans="1:2" x14ac:dyDescent="0.25">
      <c r="A2963" s="3">
        <f>IF(Raw_Data!J2963=0,Raw_Data!D2963,"")</f>
        <v>3794.1</v>
      </c>
      <c r="B2963" s="3" t="str">
        <f>IF(Raw_Data!J2963=1,Raw_Data!D2963,"")</f>
        <v/>
      </c>
    </row>
    <row r="2964" spans="1:2" x14ac:dyDescent="0.25">
      <c r="A2964" s="3">
        <f>IF(Raw_Data!J2964=0,Raw_Data!D2964,"")</f>
        <v>3543.5</v>
      </c>
      <c r="B2964" s="3" t="str">
        <f>IF(Raw_Data!J2964=1,Raw_Data!D2964,"")</f>
        <v/>
      </c>
    </row>
    <row r="2965" spans="1:2" x14ac:dyDescent="0.25">
      <c r="A2965" s="3">
        <f>IF(Raw_Data!J2965=0,Raw_Data!D2965,"")</f>
        <v>4335.6899999999996</v>
      </c>
      <c r="B2965" s="3" t="str">
        <f>IF(Raw_Data!J2965=1,Raw_Data!D2965,"")</f>
        <v/>
      </c>
    </row>
    <row r="2966" spans="1:2" x14ac:dyDescent="0.25">
      <c r="A2966" s="3">
        <f>IF(Raw_Data!J2966=0,Raw_Data!D2966,"")</f>
        <v>3332.34</v>
      </c>
      <c r="B2966" s="3" t="str">
        <f>IF(Raw_Data!J2966=1,Raw_Data!D2966,"")</f>
        <v/>
      </c>
    </row>
    <row r="2967" spans="1:2" x14ac:dyDescent="0.25">
      <c r="A2967" s="3">
        <f>IF(Raw_Data!J2967=0,Raw_Data!D2967,"")</f>
        <v>1074.9100000000001</v>
      </c>
      <c r="B2967" s="3" t="str">
        <f>IF(Raw_Data!J2967=1,Raw_Data!D2967,"")</f>
        <v/>
      </c>
    </row>
    <row r="2968" spans="1:2" x14ac:dyDescent="0.25">
      <c r="A2968" s="3">
        <f>IF(Raw_Data!J2968=0,Raw_Data!D2968,"")</f>
        <v>1845.99</v>
      </c>
      <c r="B2968" s="3" t="str">
        <f>IF(Raw_Data!J2968=1,Raw_Data!D2968,"")</f>
        <v/>
      </c>
    </row>
    <row r="2969" spans="1:2" x14ac:dyDescent="0.25">
      <c r="A2969" s="3">
        <f>IF(Raw_Data!J2969=0,Raw_Data!D2969,"")</f>
        <v>2982.41</v>
      </c>
      <c r="B2969" s="3" t="str">
        <f>IF(Raw_Data!J2969=1,Raw_Data!D2969,"")</f>
        <v/>
      </c>
    </row>
    <row r="2970" spans="1:2" x14ac:dyDescent="0.25">
      <c r="A2970" s="3">
        <f>IF(Raw_Data!J2970=0,Raw_Data!D2970,"")</f>
        <v>3349.55</v>
      </c>
      <c r="B2970" s="3" t="str">
        <f>IF(Raw_Data!J2970=1,Raw_Data!D2970,"")</f>
        <v/>
      </c>
    </row>
    <row r="2971" spans="1:2" x14ac:dyDescent="0.25">
      <c r="A2971" s="3">
        <f>IF(Raw_Data!J2971=0,Raw_Data!D2971,"")</f>
        <v>4965.2700000000004</v>
      </c>
      <c r="B2971" s="3" t="str">
        <f>IF(Raw_Data!J2971=1,Raw_Data!D2971,"")</f>
        <v/>
      </c>
    </row>
    <row r="2972" spans="1:2" x14ac:dyDescent="0.25">
      <c r="A2972" s="3" t="str">
        <f>IF(Raw_Data!J2972=0,Raw_Data!D2972,"")</f>
        <v/>
      </c>
      <c r="B2972" s="3">
        <f>IF(Raw_Data!J2972=1,Raw_Data!D2972,"")</f>
        <v>5421.17</v>
      </c>
    </row>
    <row r="2973" spans="1:2" x14ac:dyDescent="0.25">
      <c r="A2973" s="3">
        <f>IF(Raw_Data!J2973=0,Raw_Data!D2973,"")</f>
        <v>3655.06</v>
      </c>
      <c r="B2973" s="3" t="str">
        <f>IF(Raw_Data!J2973=1,Raw_Data!D2973,"")</f>
        <v/>
      </c>
    </row>
    <row r="2974" spans="1:2" x14ac:dyDescent="0.25">
      <c r="A2974" s="3">
        <f>IF(Raw_Data!J2974=0,Raw_Data!D2974,"")</f>
        <v>628.09</v>
      </c>
      <c r="B2974" s="3" t="str">
        <f>IF(Raw_Data!J2974=1,Raw_Data!D2974,"")</f>
        <v/>
      </c>
    </row>
    <row r="2975" spans="1:2" x14ac:dyDescent="0.25">
      <c r="A2975" s="3" t="str">
        <f>IF(Raw_Data!J2975=0,Raw_Data!D2975,"")</f>
        <v/>
      </c>
      <c r="B2975" s="3">
        <f>IF(Raw_Data!J2975=1,Raw_Data!D2975,"")</f>
        <v>934.17</v>
      </c>
    </row>
    <row r="2976" spans="1:2" x14ac:dyDescent="0.25">
      <c r="A2976" s="3">
        <f>IF(Raw_Data!J2976=0,Raw_Data!D2976,"")</f>
        <v>2838.94</v>
      </c>
      <c r="B2976" s="3" t="str">
        <f>IF(Raw_Data!J2976=1,Raw_Data!D2976,"")</f>
        <v/>
      </c>
    </row>
    <row r="2977" spans="1:2" x14ac:dyDescent="0.25">
      <c r="A2977" s="3">
        <f>IF(Raw_Data!J2977=0,Raw_Data!D2977,"")</f>
        <v>1474.79</v>
      </c>
      <c r="B2977" s="3" t="str">
        <f>IF(Raw_Data!J2977=1,Raw_Data!D2977,"")</f>
        <v/>
      </c>
    </row>
    <row r="2978" spans="1:2" x14ac:dyDescent="0.25">
      <c r="A2978" s="3">
        <f>IF(Raw_Data!J2978=0,Raw_Data!D2978,"")</f>
        <v>2408.39</v>
      </c>
      <c r="B2978" s="3" t="str">
        <f>IF(Raw_Data!J2978=1,Raw_Data!D2978,"")</f>
        <v/>
      </c>
    </row>
    <row r="2979" spans="1:2" x14ac:dyDescent="0.25">
      <c r="A2979" s="3">
        <f>IF(Raw_Data!J2979=0,Raw_Data!D2979,"")</f>
        <v>1315.31</v>
      </c>
      <c r="B2979" s="3" t="str">
        <f>IF(Raw_Data!J2979=1,Raw_Data!D2979,"")</f>
        <v/>
      </c>
    </row>
    <row r="2980" spans="1:2" x14ac:dyDescent="0.25">
      <c r="A2980" s="3">
        <f>IF(Raw_Data!J2980=0,Raw_Data!D2980,"")</f>
        <v>1592.01</v>
      </c>
      <c r="B2980" s="3" t="str">
        <f>IF(Raw_Data!J2980=1,Raw_Data!D2980,"")</f>
        <v/>
      </c>
    </row>
    <row r="2981" spans="1:2" x14ac:dyDescent="0.25">
      <c r="A2981" s="3">
        <f>IF(Raw_Data!J2981=0,Raw_Data!D2981,"")</f>
        <v>2549.73</v>
      </c>
      <c r="B2981" s="3" t="str">
        <f>IF(Raw_Data!J2981=1,Raw_Data!D2981,"")</f>
        <v/>
      </c>
    </row>
    <row r="2982" spans="1:2" x14ac:dyDescent="0.25">
      <c r="A2982" s="3">
        <f>IF(Raw_Data!J2982=0,Raw_Data!D2982,"")</f>
        <v>1633.83</v>
      </c>
      <c r="B2982" s="3" t="str">
        <f>IF(Raw_Data!J2982=1,Raw_Data!D2982,"")</f>
        <v/>
      </c>
    </row>
    <row r="2983" spans="1:2" x14ac:dyDescent="0.25">
      <c r="A2983" s="3">
        <f>IF(Raw_Data!J2983=0,Raw_Data!D2983,"")</f>
        <v>3047.48</v>
      </c>
      <c r="B2983" s="3" t="str">
        <f>IF(Raw_Data!J2983=1,Raw_Data!D2983,"")</f>
        <v/>
      </c>
    </row>
    <row r="2984" spans="1:2" x14ac:dyDescent="0.25">
      <c r="A2984" s="3">
        <f>IF(Raw_Data!J2984=0,Raw_Data!D2984,"")</f>
        <v>1454.22</v>
      </c>
      <c r="B2984" s="3" t="str">
        <f>IF(Raw_Data!J2984=1,Raw_Data!D2984,"")</f>
        <v/>
      </c>
    </row>
    <row r="2985" spans="1:2" x14ac:dyDescent="0.25">
      <c r="A2985" s="3">
        <f>IF(Raw_Data!J2985=0,Raw_Data!D2985,"")</f>
        <v>1013.26</v>
      </c>
      <c r="B2985" s="3" t="str">
        <f>IF(Raw_Data!J2985=1,Raw_Data!D2985,"")</f>
        <v/>
      </c>
    </row>
    <row r="2986" spans="1:2" x14ac:dyDescent="0.25">
      <c r="A2986" s="3">
        <f>IF(Raw_Data!J2986=0,Raw_Data!D2986,"")</f>
        <v>2711.74</v>
      </c>
      <c r="B2986" s="3" t="str">
        <f>IF(Raw_Data!J2986=1,Raw_Data!D2986,"")</f>
        <v/>
      </c>
    </row>
    <row r="2987" spans="1:2" x14ac:dyDescent="0.25">
      <c r="A2987" s="3" t="str">
        <f>IF(Raw_Data!J2987=0,Raw_Data!D2987,"")</f>
        <v/>
      </c>
      <c r="B2987" s="3">
        <f>IF(Raw_Data!J2987=1,Raw_Data!D2987,"")</f>
        <v>3459.62</v>
      </c>
    </row>
    <row r="2988" spans="1:2" x14ac:dyDescent="0.25">
      <c r="A2988" s="3">
        <f>IF(Raw_Data!J2988=0,Raw_Data!D2988,"")</f>
        <v>1630.22</v>
      </c>
      <c r="B2988" s="3" t="str">
        <f>IF(Raw_Data!J2988=1,Raw_Data!D2988,"")</f>
        <v/>
      </c>
    </row>
    <row r="2989" spans="1:2" x14ac:dyDescent="0.25">
      <c r="A2989" s="3">
        <f>IF(Raw_Data!J2989=0,Raw_Data!D2989,"")</f>
        <v>1380.5</v>
      </c>
      <c r="B2989" s="3" t="str">
        <f>IF(Raw_Data!J2989=1,Raw_Data!D2989,"")</f>
        <v/>
      </c>
    </row>
    <row r="2990" spans="1:2" x14ac:dyDescent="0.25">
      <c r="A2990" s="3">
        <f>IF(Raw_Data!J2990=0,Raw_Data!D2990,"")</f>
        <v>1968.79</v>
      </c>
      <c r="B2990" s="3" t="str">
        <f>IF(Raw_Data!J2990=1,Raw_Data!D2990,"")</f>
        <v/>
      </c>
    </row>
    <row r="2991" spans="1:2" x14ac:dyDescent="0.25">
      <c r="A2991" s="3">
        <f>IF(Raw_Data!J2991=0,Raw_Data!D2991,"")</f>
        <v>1333.42</v>
      </c>
      <c r="B2991" s="3" t="str">
        <f>IF(Raw_Data!J2991=1,Raw_Data!D2991,"")</f>
        <v/>
      </c>
    </row>
    <row r="2992" spans="1:2" x14ac:dyDescent="0.25">
      <c r="A2992" s="3">
        <f>IF(Raw_Data!J2992=0,Raw_Data!D2992,"")</f>
        <v>3173.71</v>
      </c>
      <c r="B2992" s="3" t="str">
        <f>IF(Raw_Data!J2992=1,Raw_Data!D2992,"")</f>
        <v/>
      </c>
    </row>
    <row r="2993" spans="1:2" x14ac:dyDescent="0.25">
      <c r="A2993" s="3">
        <f>IF(Raw_Data!J2993=0,Raw_Data!D2993,"")</f>
        <v>1014.54</v>
      </c>
      <c r="B2993" s="3" t="str">
        <f>IF(Raw_Data!J2993=1,Raw_Data!D2993,"")</f>
        <v/>
      </c>
    </row>
    <row r="2994" spans="1:2" x14ac:dyDescent="0.25">
      <c r="A2994" s="3">
        <f>IF(Raw_Data!J2994=0,Raw_Data!D2994,"")</f>
        <v>6186.29</v>
      </c>
      <c r="B2994" s="3" t="str">
        <f>IF(Raw_Data!J2994=1,Raw_Data!D2994,"")</f>
        <v/>
      </c>
    </row>
    <row r="2995" spans="1:2" x14ac:dyDescent="0.25">
      <c r="A2995" s="3">
        <f>IF(Raw_Data!J2995=0,Raw_Data!D2995,"")</f>
        <v>537.9</v>
      </c>
      <c r="B2995" s="3" t="str">
        <f>IF(Raw_Data!J2995=1,Raw_Data!D2995,"")</f>
        <v/>
      </c>
    </row>
    <row r="2996" spans="1:2" x14ac:dyDescent="0.25">
      <c r="A2996" s="3">
        <f>IF(Raw_Data!J2996=0,Raw_Data!D2996,"")</f>
        <v>1899.44</v>
      </c>
      <c r="B2996" s="3" t="str">
        <f>IF(Raw_Data!J2996=1,Raw_Data!D2996,"")</f>
        <v/>
      </c>
    </row>
    <row r="2997" spans="1:2" x14ac:dyDescent="0.25">
      <c r="A2997" s="3">
        <f>IF(Raw_Data!J2997=0,Raw_Data!D2997,"")</f>
        <v>1154.58</v>
      </c>
      <c r="B2997" s="3" t="str">
        <f>IF(Raw_Data!J2997=1,Raw_Data!D2997,"")</f>
        <v/>
      </c>
    </row>
    <row r="2998" spans="1:2" x14ac:dyDescent="0.25">
      <c r="A2998" s="3">
        <f>IF(Raw_Data!J2998=0,Raw_Data!D2998,"")</f>
        <v>3693.86</v>
      </c>
      <c r="B2998" s="3" t="str">
        <f>IF(Raw_Data!J2998=1,Raw_Data!D2998,"")</f>
        <v/>
      </c>
    </row>
    <row r="2999" spans="1:2" x14ac:dyDescent="0.25">
      <c r="A2999" s="3">
        <f>IF(Raw_Data!J2999=0,Raw_Data!D2999,"")</f>
        <v>1058.95</v>
      </c>
      <c r="B2999" s="3" t="str">
        <f>IF(Raw_Data!J2999=1,Raw_Data!D2999,"")</f>
        <v/>
      </c>
    </row>
    <row r="3000" spans="1:2" x14ac:dyDescent="0.25">
      <c r="A3000" s="3" t="str">
        <f>IF(Raw_Data!J3000=0,Raw_Data!D3000,"")</f>
        <v/>
      </c>
      <c r="B3000" s="3">
        <f>IF(Raw_Data!J3000=1,Raw_Data!D3000,"")</f>
        <v>2736.77</v>
      </c>
    </row>
    <row r="3001" spans="1:2" x14ac:dyDescent="0.25">
      <c r="A3001" s="3">
        <f>IF(Raw_Data!J3001=0,Raw_Data!D3001,"")</f>
        <v>3275.2</v>
      </c>
      <c r="B3001" s="3" t="str">
        <f>IF(Raw_Data!J3001=1,Raw_Data!D3001,"")</f>
        <v/>
      </c>
    </row>
    <row r="3002" spans="1:2" x14ac:dyDescent="0.25">
      <c r="A3002" s="3" t="str">
        <f>IF(Raw_Data!J3002=0,Raw_Data!D3002,"")</f>
        <v/>
      </c>
      <c r="B3002" s="3">
        <f>IF(Raw_Data!J3002=1,Raw_Data!D3002,"")</f>
        <v>2397.31</v>
      </c>
    </row>
    <row r="3003" spans="1:2" x14ac:dyDescent="0.25">
      <c r="A3003" s="3" t="str">
        <f>IF(Raw_Data!J3003=0,Raw_Data!D3003,"")</f>
        <v/>
      </c>
      <c r="B3003" s="3">
        <f>IF(Raw_Data!J3003=1,Raw_Data!D3003,"")</f>
        <v>1047.72</v>
      </c>
    </row>
    <row r="3004" spans="1:2" x14ac:dyDescent="0.25">
      <c r="A3004" s="3">
        <f>IF(Raw_Data!J3004=0,Raw_Data!D3004,"")</f>
        <v>4330.84</v>
      </c>
      <c r="B3004" s="3" t="str">
        <f>IF(Raw_Data!J3004=1,Raw_Data!D3004,"")</f>
        <v/>
      </c>
    </row>
    <row r="3005" spans="1:2" x14ac:dyDescent="0.25">
      <c r="A3005" s="3">
        <f>IF(Raw_Data!J3005=0,Raw_Data!D3005,"")</f>
        <v>6074.13</v>
      </c>
      <c r="B3005" s="3" t="str">
        <f>IF(Raw_Data!J3005=1,Raw_Data!D3005,"")</f>
        <v/>
      </c>
    </row>
    <row r="3006" spans="1:2" x14ac:dyDescent="0.25">
      <c r="A3006" s="3">
        <f>IF(Raw_Data!J3006=0,Raw_Data!D3006,"")</f>
        <v>3760.1</v>
      </c>
      <c r="B3006" s="3" t="str">
        <f>IF(Raw_Data!J3006=1,Raw_Data!D3006,"")</f>
        <v/>
      </c>
    </row>
    <row r="3007" spans="1:2" x14ac:dyDescent="0.25">
      <c r="A3007" s="3">
        <f>IF(Raw_Data!J3007=0,Raw_Data!D3007,"")</f>
        <v>2422.31</v>
      </c>
      <c r="B3007" s="3" t="str">
        <f>IF(Raw_Data!J3007=1,Raw_Data!D3007,"")</f>
        <v/>
      </c>
    </row>
    <row r="3008" spans="1:2" x14ac:dyDescent="0.25">
      <c r="A3008" s="3">
        <f>IF(Raw_Data!J3008=0,Raw_Data!D3008,"")</f>
        <v>330.8</v>
      </c>
      <c r="B3008" s="3" t="str">
        <f>IF(Raw_Data!J3008=1,Raw_Data!D3008,"")</f>
        <v/>
      </c>
    </row>
    <row r="3009" spans="1:2" x14ac:dyDescent="0.25">
      <c r="A3009" s="3">
        <f>IF(Raw_Data!J3009=0,Raw_Data!D3009,"")</f>
        <v>4000.25</v>
      </c>
      <c r="B3009" s="3" t="str">
        <f>IF(Raw_Data!J3009=1,Raw_Data!D3009,"")</f>
        <v/>
      </c>
    </row>
    <row r="3010" spans="1:2" x14ac:dyDescent="0.25">
      <c r="A3010" s="3">
        <f>IF(Raw_Data!J3010=0,Raw_Data!D3010,"")</f>
        <v>2129.46</v>
      </c>
      <c r="B3010" s="3" t="str">
        <f>IF(Raw_Data!J3010=1,Raw_Data!D3010,"")</f>
        <v/>
      </c>
    </row>
    <row r="3011" spans="1:2" x14ac:dyDescent="0.25">
      <c r="A3011" s="3">
        <f>IF(Raw_Data!J3011=0,Raw_Data!D3011,"")</f>
        <v>1912.48</v>
      </c>
      <c r="B3011" s="3" t="str">
        <f>IF(Raw_Data!J3011=1,Raw_Data!D3011,"")</f>
        <v/>
      </c>
    </row>
    <row r="3012" spans="1:2" x14ac:dyDescent="0.25">
      <c r="A3012" s="3">
        <f>IF(Raw_Data!J3012=0,Raw_Data!D3012,"")</f>
        <v>1338.85</v>
      </c>
      <c r="B3012" s="3" t="str">
        <f>IF(Raw_Data!J3012=1,Raw_Data!D3012,"")</f>
        <v/>
      </c>
    </row>
    <row r="3013" spans="1:2" x14ac:dyDescent="0.25">
      <c r="A3013" s="3">
        <f>IF(Raw_Data!J3013=0,Raw_Data!D3013,"")</f>
        <v>2401.7399999999998</v>
      </c>
      <c r="B3013" s="3" t="str">
        <f>IF(Raw_Data!J3013=1,Raw_Data!D3013,"")</f>
        <v/>
      </c>
    </row>
    <row r="3014" spans="1:2" x14ac:dyDescent="0.25">
      <c r="A3014" s="3" t="str">
        <f>IF(Raw_Data!J3014=0,Raw_Data!D3014,"")</f>
        <v/>
      </c>
      <c r="B3014" s="3">
        <f>IF(Raw_Data!J3014=1,Raw_Data!D3014,"")</f>
        <v>1253.4000000000001</v>
      </c>
    </row>
    <row r="3015" spans="1:2" x14ac:dyDescent="0.25">
      <c r="A3015" s="3">
        <f>IF(Raw_Data!J3015=0,Raw_Data!D3015,"")</f>
        <v>2386.66</v>
      </c>
      <c r="B3015" s="3" t="str">
        <f>IF(Raw_Data!J3015=1,Raw_Data!D3015,"")</f>
        <v/>
      </c>
    </row>
    <row r="3016" spans="1:2" x14ac:dyDescent="0.25">
      <c r="A3016" s="3">
        <f>IF(Raw_Data!J3016=0,Raw_Data!D3016,"")</f>
        <v>919.18</v>
      </c>
      <c r="B3016" s="3" t="str">
        <f>IF(Raw_Data!J3016=1,Raw_Data!D3016,"")</f>
        <v/>
      </c>
    </row>
    <row r="3017" spans="1:2" x14ac:dyDescent="0.25">
      <c r="A3017" s="3">
        <f>IF(Raw_Data!J3017=0,Raw_Data!D3017,"")</f>
        <v>2578.4299999999998</v>
      </c>
      <c r="B3017" s="3" t="str">
        <f>IF(Raw_Data!J3017=1,Raw_Data!D3017,"")</f>
        <v/>
      </c>
    </row>
    <row r="3018" spans="1:2" x14ac:dyDescent="0.25">
      <c r="A3018" s="3">
        <f>IF(Raw_Data!J3018=0,Raw_Data!D3018,"")</f>
        <v>6398.82</v>
      </c>
      <c r="B3018" s="3" t="str">
        <f>IF(Raw_Data!J3018=1,Raw_Data!D3018,"")</f>
        <v/>
      </c>
    </row>
    <row r="3019" spans="1:2" x14ac:dyDescent="0.25">
      <c r="A3019" s="3">
        <f>IF(Raw_Data!J3019=0,Raw_Data!D3019,"")</f>
        <v>1723.51</v>
      </c>
      <c r="B3019" s="3" t="str">
        <f>IF(Raw_Data!J3019=1,Raw_Data!D3019,"")</f>
        <v/>
      </c>
    </row>
    <row r="3020" spans="1:2" x14ac:dyDescent="0.25">
      <c r="A3020" s="3">
        <f>IF(Raw_Data!J3020=0,Raw_Data!D3020,"")</f>
        <v>1344.14</v>
      </c>
      <c r="B3020" s="3" t="str">
        <f>IF(Raw_Data!J3020=1,Raw_Data!D3020,"")</f>
        <v/>
      </c>
    </row>
    <row r="3021" spans="1:2" x14ac:dyDescent="0.25">
      <c r="A3021" s="3" t="str">
        <f>IF(Raw_Data!J3021=0,Raw_Data!D3021,"")</f>
        <v/>
      </c>
      <c r="B3021" s="3">
        <f>IF(Raw_Data!J3021=1,Raw_Data!D3021,"")</f>
        <v>3809.93</v>
      </c>
    </row>
    <row r="3022" spans="1:2" x14ac:dyDescent="0.25">
      <c r="A3022" s="3">
        <f>IF(Raw_Data!J3022=0,Raw_Data!D3022,"")</f>
        <v>210.33</v>
      </c>
      <c r="B3022" s="3" t="str">
        <f>IF(Raw_Data!J3022=1,Raw_Data!D3022,"")</f>
        <v/>
      </c>
    </row>
    <row r="3023" spans="1:2" x14ac:dyDescent="0.25">
      <c r="A3023" s="3">
        <f>IF(Raw_Data!J3023=0,Raw_Data!D3023,"")</f>
        <v>1569.09</v>
      </c>
      <c r="B3023" s="3" t="str">
        <f>IF(Raw_Data!J3023=1,Raw_Data!D3023,"")</f>
        <v/>
      </c>
    </row>
    <row r="3024" spans="1:2" x14ac:dyDescent="0.25">
      <c r="A3024" s="3">
        <f>IF(Raw_Data!J3024=0,Raw_Data!D3024,"")</f>
        <v>5550.49</v>
      </c>
      <c r="B3024" s="3" t="str">
        <f>IF(Raw_Data!J3024=1,Raw_Data!D3024,"")</f>
        <v/>
      </c>
    </row>
    <row r="3025" spans="1:2" x14ac:dyDescent="0.25">
      <c r="A3025" s="3">
        <f>IF(Raw_Data!J3025=0,Raw_Data!D3025,"")</f>
        <v>984.67</v>
      </c>
      <c r="B3025" s="3" t="str">
        <f>IF(Raw_Data!J3025=1,Raw_Data!D3025,"")</f>
        <v/>
      </c>
    </row>
    <row r="3026" spans="1:2" x14ac:dyDescent="0.25">
      <c r="A3026" s="3">
        <f>IF(Raw_Data!J3026=0,Raw_Data!D3026,"")</f>
        <v>2602.61</v>
      </c>
      <c r="B3026" s="3" t="str">
        <f>IF(Raw_Data!J3026=1,Raw_Data!D3026,"")</f>
        <v/>
      </c>
    </row>
    <row r="3027" spans="1:2" x14ac:dyDescent="0.25">
      <c r="A3027" s="3" t="str">
        <f>IF(Raw_Data!J3027=0,Raw_Data!D3027,"")</f>
        <v/>
      </c>
      <c r="B3027" s="3">
        <f>IF(Raw_Data!J3027=1,Raw_Data!D3027,"")</f>
        <v>3676.67</v>
      </c>
    </row>
    <row r="3028" spans="1:2" x14ac:dyDescent="0.25">
      <c r="A3028" s="3">
        <f>IF(Raw_Data!J3028=0,Raw_Data!D3028,"")</f>
        <v>6106.54</v>
      </c>
      <c r="B3028" s="3" t="str">
        <f>IF(Raw_Data!J3028=1,Raw_Data!D3028,"")</f>
        <v/>
      </c>
    </row>
    <row r="3029" spans="1:2" x14ac:dyDescent="0.25">
      <c r="A3029" s="3">
        <f>IF(Raw_Data!J3029=0,Raw_Data!D3029,"")</f>
        <v>3698.73</v>
      </c>
      <c r="B3029" s="3" t="str">
        <f>IF(Raw_Data!J3029=1,Raw_Data!D3029,"")</f>
        <v/>
      </c>
    </row>
    <row r="3030" spans="1:2" x14ac:dyDescent="0.25">
      <c r="A3030" s="3">
        <f>IF(Raw_Data!J3030=0,Raw_Data!D3030,"")</f>
        <v>1638.7</v>
      </c>
      <c r="B3030" s="3" t="str">
        <f>IF(Raw_Data!J3030=1,Raw_Data!D3030,"")</f>
        <v/>
      </c>
    </row>
    <row r="3031" spans="1:2" x14ac:dyDescent="0.25">
      <c r="A3031" s="3" t="str">
        <f>IF(Raw_Data!J3031=0,Raw_Data!D3031,"")</f>
        <v/>
      </c>
      <c r="B3031" s="3">
        <f>IF(Raw_Data!J3031=1,Raw_Data!D3031,"")</f>
        <v>11817.01</v>
      </c>
    </row>
    <row r="3032" spans="1:2" x14ac:dyDescent="0.25">
      <c r="A3032" s="3">
        <f>IF(Raw_Data!J3032=0,Raw_Data!D3032,"")</f>
        <v>1864.92</v>
      </c>
      <c r="B3032" s="3" t="str">
        <f>IF(Raw_Data!J3032=1,Raw_Data!D3032,"")</f>
        <v/>
      </c>
    </row>
    <row r="3033" spans="1:2" x14ac:dyDescent="0.25">
      <c r="A3033" s="3">
        <f>IF(Raw_Data!J3033=0,Raw_Data!D3033,"")</f>
        <v>2833.97</v>
      </c>
      <c r="B3033" s="3" t="str">
        <f>IF(Raw_Data!J3033=1,Raw_Data!D3033,"")</f>
        <v/>
      </c>
    </row>
    <row r="3034" spans="1:2" x14ac:dyDescent="0.25">
      <c r="A3034" s="3">
        <f>IF(Raw_Data!J3034=0,Raw_Data!D3034,"")</f>
        <v>390.05</v>
      </c>
      <c r="B3034" s="3" t="str">
        <f>IF(Raw_Data!J3034=1,Raw_Data!D3034,"")</f>
        <v/>
      </c>
    </row>
    <row r="3035" spans="1:2" x14ac:dyDescent="0.25">
      <c r="A3035" s="3">
        <f>IF(Raw_Data!J3035=0,Raw_Data!D3035,"")</f>
        <v>8332.6200000000008</v>
      </c>
      <c r="B3035" s="3" t="str">
        <f>IF(Raw_Data!J3035=1,Raw_Data!D3035,"")</f>
        <v/>
      </c>
    </row>
    <row r="3036" spans="1:2" x14ac:dyDescent="0.25">
      <c r="A3036" s="3">
        <f>IF(Raw_Data!J3036=0,Raw_Data!D3036,"")</f>
        <v>3473.73</v>
      </c>
      <c r="B3036" s="3" t="str">
        <f>IF(Raw_Data!J3036=1,Raw_Data!D3036,"")</f>
        <v/>
      </c>
    </row>
    <row r="3037" spans="1:2" x14ac:dyDescent="0.25">
      <c r="A3037" s="3" t="str">
        <f>IF(Raw_Data!J3037=0,Raw_Data!D3037,"")</f>
        <v/>
      </c>
      <c r="B3037" s="3">
        <f>IF(Raw_Data!J3037=1,Raw_Data!D3037,"")</f>
        <v>2249.29</v>
      </c>
    </row>
    <row r="3038" spans="1:2" x14ac:dyDescent="0.25">
      <c r="A3038" s="3">
        <f>IF(Raw_Data!J3038=0,Raw_Data!D3038,"")</f>
        <v>3960.45</v>
      </c>
      <c r="B3038" s="3" t="str">
        <f>IF(Raw_Data!J3038=1,Raw_Data!D3038,"")</f>
        <v/>
      </c>
    </row>
    <row r="3039" spans="1:2" x14ac:dyDescent="0.25">
      <c r="A3039" s="3">
        <f>IF(Raw_Data!J3039=0,Raw_Data!D3039,"")</f>
        <v>1689.13</v>
      </c>
      <c r="B3039" s="3" t="str">
        <f>IF(Raw_Data!J3039=1,Raw_Data!D3039,"")</f>
        <v/>
      </c>
    </row>
    <row r="3040" spans="1:2" x14ac:dyDescent="0.25">
      <c r="A3040" s="3">
        <f>IF(Raw_Data!J3040=0,Raw_Data!D3040,"")</f>
        <v>2897.7</v>
      </c>
      <c r="B3040" s="3" t="str">
        <f>IF(Raw_Data!J3040=1,Raw_Data!D3040,"")</f>
        <v/>
      </c>
    </row>
    <row r="3041" spans="1:2" x14ac:dyDescent="0.25">
      <c r="A3041" s="3">
        <f>IF(Raw_Data!J3041=0,Raw_Data!D3041,"")</f>
        <v>1171.21</v>
      </c>
      <c r="B3041" s="3" t="str">
        <f>IF(Raw_Data!J3041=1,Raw_Data!D3041,"")</f>
        <v/>
      </c>
    </row>
    <row r="3042" spans="1:2" x14ac:dyDescent="0.25">
      <c r="A3042" s="3">
        <f>IF(Raw_Data!J3042=0,Raw_Data!D3042,"")</f>
        <v>2461.9899999999998</v>
      </c>
      <c r="B3042" s="3" t="str">
        <f>IF(Raw_Data!J3042=1,Raw_Data!D3042,"")</f>
        <v/>
      </c>
    </row>
    <row r="3043" spans="1:2" x14ac:dyDescent="0.25">
      <c r="A3043" s="3">
        <f>IF(Raw_Data!J3043=0,Raw_Data!D3043,"")</f>
        <v>869.77</v>
      </c>
      <c r="B3043" s="3" t="str">
        <f>IF(Raw_Data!J3043=1,Raw_Data!D3043,"")</f>
        <v/>
      </c>
    </row>
    <row r="3044" spans="1:2" x14ac:dyDescent="0.25">
      <c r="A3044" s="3">
        <f>IF(Raw_Data!J3044=0,Raw_Data!D3044,"")</f>
        <v>1940.66</v>
      </c>
      <c r="B3044" s="3" t="str">
        <f>IF(Raw_Data!J3044=1,Raw_Data!D3044,"")</f>
        <v/>
      </c>
    </row>
    <row r="3045" spans="1:2" x14ac:dyDescent="0.25">
      <c r="A3045" s="3">
        <f>IF(Raw_Data!J3045=0,Raw_Data!D3045,"")</f>
        <v>3533.99</v>
      </c>
      <c r="B3045" s="3" t="str">
        <f>IF(Raw_Data!J3045=1,Raw_Data!D3045,"")</f>
        <v/>
      </c>
    </row>
    <row r="3046" spans="1:2" x14ac:dyDescent="0.25">
      <c r="A3046" s="3">
        <f>IF(Raw_Data!J3046=0,Raw_Data!D3046,"")</f>
        <v>2604.21</v>
      </c>
      <c r="B3046" s="3" t="str">
        <f>IF(Raw_Data!J3046=1,Raw_Data!D3046,"")</f>
        <v/>
      </c>
    </row>
    <row r="3047" spans="1:2" x14ac:dyDescent="0.25">
      <c r="A3047" s="3">
        <f>IF(Raw_Data!J3047=0,Raw_Data!D3047,"")</f>
        <v>1259.6099999999999</v>
      </c>
      <c r="B3047" s="3" t="str">
        <f>IF(Raw_Data!J3047=1,Raw_Data!D3047,"")</f>
        <v/>
      </c>
    </row>
    <row r="3048" spans="1:2" x14ac:dyDescent="0.25">
      <c r="A3048" s="3" t="str">
        <f>IF(Raw_Data!J3048=0,Raw_Data!D3048,"")</f>
        <v/>
      </c>
      <c r="B3048" s="3">
        <f>IF(Raw_Data!J3048=1,Raw_Data!D3048,"")</f>
        <v>1300.29</v>
      </c>
    </row>
    <row r="3049" spans="1:2" x14ac:dyDescent="0.25">
      <c r="A3049" s="3">
        <f>IF(Raw_Data!J3049=0,Raw_Data!D3049,"")</f>
        <v>1726.51</v>
      </c>
      <c r="B3049" s="3" t="str">
        <f>IF(Raw_Data!J3049=1,Raw_Data!D3049,"")</f>
        <v/>
      </c>
    </row>
    <row r="3050" spans="1:2" x14ac:dyDescent="0.25">
      <c r="A3050" s="3">
        <f>IF(Raw_Data!J3050=0,Raw_Data!D3050,"")</f>
        <v>1791.85</v>
      </c>
      <c r="B3050" s="3" t="str">
        <f>IF(Raw_Data!J3050=1,Raw_Data!D3050,"")</f>
        <v/>
      </c>
    </row>
    <row r="3051" spans="1:2" x14ac:dyDescent="0.25">
      <c r="A3051" s="3">
        <f>IF(Raw_Data!J3051=0,Raw_Data!D3051,"")</f>
        <v>491.91</v>
      </c>
      <c r="B3051" s="3" t="str">
        <f>IF(Raw_Data!J3051=1,Raw_Data!D3051,"")</f>
        <v/>
      </c>
    </row>
    <row r="3052" spans="1:2" x14ac:dyDescent="0.25">
      <c r="A3052" s="3">
        <f>IF(Raw_Data!J3052=0,Raw_Data!D3052,"")</f>
        <v>4162.6099999999997</v>
      </c>
      <c r="B3052" s="3" t="str">
        <f>IF(Raw_Data!J3052=1,Raw_Data!D3052,"")</f>
        <v/>
      </c>
    </row>
    <row r="3053" spans="1:2" x14ac:dyDescent="0.25">
      <c r="A3053" s="3">
        <f>IF(Raw_Data!J3053=0,Raw_Data!D3053,"")</f>
        <v>1306.3800000000001</v>
      </c>
      <c r="B3053" s="3" t="str">
        <f>IF(Raw_Data!J3053=1,Raw_Data!D3053,"")</f>
        <v/>
      </c>
    </row>
    <row r="3054" spans="1:2" x14ac:dyDescent="0.25">
      <c r="A3054" s="3">
        <f>IF(Raw_Data!J3054=0,Raw_Data!D3054,"")</f>
        <v>4665.54</v>
      </c>
      <c r="B3054" s="3" t="str">
        <f>IF(Raw_Data!J3054=1,Raw_Data!D3054,"")</f>
        <v/>
      </c>
    </row>
    <row r="3055" spans="1:2" x14ac:dyDescent="0.25">
      <c r="A3055" s="3">
        <f>IF(Raw_Data!J3055=0,Raw_Data!D3055,"")</f>
        <v>491.18</v>
      </c>
      <c r="B3055" s="3" t="str">
        <f>IF(Raw_Data!J3055=1,Raw_Data!D3055,"")</f>
        <v/>
      </c>
    </row>
    <row r="3056" spans="1:2" x14ac:dyDescent="0.25">
      <c r="A3056" s="3">
        <f>IF(Raw_Data!J3056=0,Raw_Data!D3056,"")</f>
        <v>2898.51</v>
      </c>
      <c r="B3056" s="3" t="str">
        <f>IF(Raw_Data!J3056=1,Raw_Data!D3056,"")</f>
        <v/>
      </c>
    </row>
    <row r="3057" spans="1:2" x14ac:dyDescent="0.25">
      <c r="A3057" s="3">
        <f>IF(Raw_Data!J3057=0,Raw_Data!D3057,"")</f>
        <v>1709.55</v>
      </c>
      <c r="B3057" s="3" t="str">
        <f>IF(Raw_Data!J3057=1,Raw_Data!D3057,"")</f>
        <v/>
      </c>
    </row>
    <row r="3058" spans="1:2" x14ac:dyDescent="0.25">
      <c r="A3058" s="3">
        <f>IF(Raw_Data!J3058=0,Raw_Data!D3058,"")</f>
        <v>1373.32</v>
      </c>
      <c r="B3058" s="3" t="str">
        <f>IF(Raw_Data!J3058=1,Raw_Data!D3058,"")</f>
        <v/>
      </c>
    </row>
    <row r="3059" spans="1:2" x14ac:dyDescent="0.25">
      <c r="A3059" s="3">
        <f>IF(Raw_Data!J3059=0,Raw_Data!D3059,"")</f>
        <v>2472.17</v>
      </c>
      <c r="B3059" s="3" t="str">
        <f>IF(Raw_Data!J3059=1,Raw_Data!D3059,"")</f>
        <v/>
      </c>
    </row>
    <row r="3060" spans="1:2" x14ac:dyDescent="0.25">
      <c r="A3060" s="3">
        <f>IF(Raw_Data!J3060=0,Raw_Data!D3060,"")</f>
        <v>935.93</v>
      </c>
      <c r="B3060" s="3" t="str">
        <f>IF(Raw_Data!J3060=1,Raw_Data!D3060,"")</f>
        <v/>
      </c>
    </row>
    <row r="3061" spans="1:2" x14ac:dyDescent="0.25">
      <c r="A3061" s="3" t="str">
        <f>IF(Raw_Data!J3061=0,Raw_Data!D3061,"")</f>
        <v/>
      </c>
      <c r="B3061" s="3">
        <f>IF(Raw_Data!J3061=1,Raw_Data!D3061,"")</f>
        <v>5604.8</v>
      </c>
    </row>
    <row r="3062" spans="1:2" x14ac:dyDescent="0.25">
      <c r="A3062" s="3">
        <f>IF(Raw_Data!J3062=0,Raw_Data!D3062,"")</f>
        <v>1356.13</v>
      </c>
      <c r="B3062" s="3" t="str">
        <f>IF(Raw_Data!J3062=1,Raw_Data!D3062,"")</f>
        <v/>
      </c>
    </row>
    <row r="3063" spans="1:2" x14ac:dyDescent="0.25">
      <c r="A3063" s="3">
        <f>IF(Raw_Data!J3063=0,Raw_Data!D3063,"")</f>
        <v>2004.34</v>
      </c>
      <c r="B3063" s="3" t="str">
        <f>IF(Raw_Data!J3063=1,Raw_Data!D3063,"")</f>
        <v/>
      </c>
    </row>
    <row r="3064" spans="1:2" x14ac:dyDescent="0.25">
      <c r="A3064" s="3">
        <f>IF(Raw_Data!J3064=0,Raw_Data!D3064,"")</f>
        <v>3543.4</v>
      </c>
      <c r="B3064" s="3" t="str">
        <f>IF(Raw_Data!J3064=1,Raw_Data!D3064,"")</f>
        <v/>
      </c>
    </row>
    <row r="3065" spans="1:2" x14ac:dyDescent="0.25">
      <c r="A3065" s="3" t="str">
        <f>IF(Raw_Data!J3065=0,Raw_Data!D3065,"")</f>
        <v/>
      </c>
      <c r="B3065" s="3">
        <f>IF(Raw_Data!J3065=1,Raw_Data!D3065,"")</f>
        <v>3798.86</v>
      </c>
    </row>
    <row r="3066" spans="1:2" x14ac:dyDescent="0.25">
      <c r="A3066" s="3">
        <f>IF(Raw_Data!J3066=0,Raw_Data!D3066,"")</f>
        <v>3961.34</v>
      </c>
      <c r="B3066" s="3" t="str">
        <f>IF(Raw_Data!J3066=1,Raw_Data!D3066,"")</f>
        <v/>
      </c>
    </row>
    <row r="3067" spans="1:2" x14ac:dyDescent="0.25">
      <c r="A3067" s="3">
        <f>IF(Raw_Data!J3067=0,Raw_Data!D3067,"")</f>
        <v>1727.44</v>
      </c>
      <c r="B3067" s="3" t="str">
        <f>IF(Raw_Data!J3067=1,Raw_Data!D3067,"")</f>
        <v/>
      </c>
    </row>
    <row r="3068" spans="1:2" x14ac:dyDescent="0.25">
      <c r="A3068" s="3">
        <f>IF(Raw_Data!J3068=0,Raw_Data!D3068,"")</f>
        <v>2770.02</v>
      </c>
      <c r="B3068" s="3" t="str">
        <f>IF(Raw_Data!J3068=1,Raw_Data!D3068,"")</f>
        <v/>
      </c>
    </row>
    <row r="3069" spans="1:2" x14ac:dyDescent="0.25">
      <c r="A3069" s="3">
        <f>IF(Raw_Data!J3069=0,Raw_Data!D3069,"")</f>
        <v>1924.2</v>
      </c>
      <c r="B3069" s="3" t="str">
        <f>IF(Raw_Data!J3069=1,Raw_Data!D3069,"")</f>
        <v/>
      </c>
    </row>
    <row r="3070" spans="1:2" x14ac:dyDescent="0.25">
      <c r="A3070" s="3">
        <f>IF(Raw_Data!J3070=0,Raw_Data!D3070,"")</f>
        <v>279.42</v>
      </c>
      <c r="B3070" s="3" t="str">
        <f>IF(Raw_Data!J3070=1,Raw_Data!D3070,"")</f>
        <v/>
      </c>
    </row>
    <row r="3071" spans="1:2" x14ac:dyDescent="0.25">
      <c r="A3071" s="3">
        <f>IF(Raw_Data!J3071=0,Raw_Data!D3071,"")</f>
        <v>5065.3999999999996</v>
      </c>
      <c r="B3071" s="3" t="str">
        <f>IF(Raw_Data!J3071=1,Raw_Data!D3071,"")</f>
        <v/>
      </c>
    </row>
    <row r="3072" spans="1:2" x14ac:dyDescent="0.25">
      <c r="A3072" s="3">
        <f>IF(Raw_Data!J3072=0,Raw_Data!D3072,"")</f>
        <v>1552.36</v>
      </c>
      <c r="B3072" s="3" t="str">
        <f>IF(Raw_Data!J3072=1,Raw_Data!D3072,"")</f>
        <v/>
      </c>
    </row>
    <row r="3073" spans="1:2" x14ac:dyDescent="0.25">
      <c r="A3073" s="3">
        <f>IF(Raw_Data!J3073=0,Raw_Data!D3073,"")</f>
        <v>1054.78</v>
      </c>
      <c r="B3073" s="3" t="str">
        <f>IF(Raw_Data!J3073=1,Raw_Data!D3073,"")</f>
        <v/>
      </c>
    </row>
    <row r="3074" spans="1:2" x14ac:dyDescent="0.25">
      <c r="A3074" s="3">
        <f>IF(Raw_Data!J3074=0,Raw_Data!D3074,"")</f>
        <v>1232.76</v>
      </c>
      <c r="B3074" s="3" t="str">
        <f>IF(Raw_Data!J3074=1,Raw_Data!D3074,"")</f>
        <v/>
      </c>
    </row>
    <row r="3075" spans="1:2" x14ac:dyDescent="0.25">
      <c r="A3075" s="3">
        <f>IF(Raw_Data!J3075=0,Raw_Data!D3075,"")</f>
        <v>2491.34</v>
      </c>
      <c r="B3075" s="3" t="str">
        <f>IF(Raw_Data!J3075=1,Raw_Data!D3075,"")</f>
        <v/>
      </c>
    </row>
    <row r="3076" spans="1:2" x14ac:dyDescent="0.25">
      <c r="A3076" s="3">
        <f>IF(Raw_Data!J3076=0,Raw_Data!D3076,"")</f>
        <v>4649.3599999999997</v>
      </c>
      <c r="B3076" s="3" t="str">
        <f>IF(Raw_Data!J3076=1,Raw_Data!D3076,"")</f>
        <v/>
      </c>
    </row>
    <row r="3077" spans="1:2" x14ac:dyDescent="0.25">
      <c r="A3077" s="3">
        <f>IF(Raw_Data!J3077=0,Raw_Data!D3077,"")</f>
        <v>5322.87</v>
      </c>
      <c r="B3077" s="3" t="str">
        <f>IF(Raw_Data!J3077=1,Raw_Data!D3077,"")</f>
        <v/>
      </c>
    </row>
    <row r="3078" spans="1:2" x14ac:dyDescent="0.25">
      <c r="A3078" s="3" t="str">
        <f>IF(Raw_Data!J3078=0,Raw_Data!D3078,"")</f>
        <v/>
      </c>
      <c r="B3078" s="3">
        <f>IF(Raw_Data!J3078=1,Raw_Data!D3078,"")</f>
        <v>1222.93</v>
      </c>
    </row>
    <row r="3079" spans="1:2" x14ac:dyDescent="0.25">
      <c r="A3079" s="3">
        <f>IF(Raw_Data!J3079=0,Raw_Data!D3079,"")</f>
        <v>1493.06</v>
      </c>
      <c r="B3079" s="3" t="str">
        <f>IF(Raw_Data!J3079=1,Raw_Data!D3079,"")</f>
        <v/>
      </c>
    </row>
    <row r="3080" spans="1:2" x14ac:dyDescent="0.25">
      <c r="A3080" s="3">
        <f>IF(Raw_Data!J3080=0,Raw_Data!D3080,"")</f>
        <v>5853.43</v>
      </c>
      <c r="B3080" s="3" t="str">
        <f>IF(Raw_Data!J3080=1,Raw_Data!D3080,"")</f>
        <v/>
      </c>
    </row>
    <row r="3081" spans="1:2" x14ac:dyDescent="0.25">
      <c r="A3081" s="3">
        <f>IF(Raw_Data!J3081=0,Raw_Data!D3081,"")</f>
        <v>2304.88</v>
      </c>
      <c r="B3081" s="3" t="str">
        <f>IF(Raw_Data!J3081=1,Raw_Data!D3081,"")</f>
        <v/>
      </c>
    </row>
    <row r="3082" spans="1:2" x14ac:dyDescent="0.25">
      <c r="A3082" s="3">
        <f>IF(Raw_Data!J3082=0,Raw_Data!D3082,"")</f>
        <v>1747.86</v>
      </c>
      <c r="B3082" s="3" t="str">
        <f>IF(Raw_Data!J3082=1,Raw_Data!D3082,"")</f>
        <v/>
      </c>
    </row>
    <row r="3083" spans="1:2" x14ac:dyDescent="0.25">
      <c r="A3083" s="3">
        <f>IF(Raw_Data!J3083=0,Raw_Data!D3083,"")</f>
        <v>1727.75</v>
      </c>
      <c r="B3083" s="3" t="str">
        <f>IF(Raw_Data!J3083=1,Raw_Data!D3083,"")</f>
        <v/>
      </c>
    </row>
    <row r="3084" spans="1:2" x14ac:dyDescent="0.25">
      <c r="A3084" s="3">
        <f>IF(Raw_Data!J3084=0,Raw_Data!D3084,"")</f>
        <v>1762.27</v>
      </c>
      <c r="B3084" s="3" t="str">
        <f>IF(Raw_Data!J3084=1,Raw_Data!D3084,"")</f>
        <v/>
      </c>
    </row>
    <row r="3085" spans="1:2" x14ac:dyDescent="0.25">
      <c r="A3085" s="3">
        <f>IF(Raw_Data!J3085=0,Raw_Data!D3085,"")</f>
        <v>779.69</v>
      </c>
      <c r="B3085" s="3" t="str">
        <f>IF(Raw_Data!J3085=1,Raw_Data!D3085,"")</f>
        <v/>
      </c>
    </row>
    <row r="3086" spans="1:2" x14ac:dyDescent="0.25">
      <c r="A3086" s="3">
        <f>IF(Raw_Data!J3086=0,Raw_Data!D3086,"")</f>
        <v>3820.36</v>
      </c>
      <c r="B3086" s="3" t="str">
        <f>IF(Raw_Data!J3086=1,Raw_Data!D3086,"")</f>
        <v/>
      </c>
    </row>
    <row r="3087" spans="1:2" x14ac:dyDescent="0.25">
      <c r="A3087" s="3" t="str">
        <f>IF(Raw_Data!J3087=0,Raw_Data!D3087,"")</f>
        <v/>
      </c>
      <c r="B3087" s="3">
        <f>IF(Raw_Data!J3087=1,Raw_Data!D3087,"")</f>
        <v>1788.73</v>
      </c>
    </row>
    <row r="3088" spans="1:2" x14ac:dyDescent="0.25">
      <c r="A3088" s="3">
        <f>IF(Raw_Data!J3088=0,Raw_Data!D3088,"")</f>
        <v>2622.85</v>
      </c>
      <c r="B3088" s="3" t="str">
        <f>IF(Raw_Data!J3088=1,Raw_Data!D3088,"")</f>
        <v/>
      </c>
    </row>
    <row r="3089" spans="1:2" x14ac:dyDescent="0.25">
      <c r="A3089" s="3">
        <f>IF(Raw_Data!J3089=0,Raw_Data!D3089,"")</f>
        <v>1926.24</v>
      </c>
      <c r="B3089" s="3" t="str">
        <f>IF(Raw_Data!J3089=1,Raw_Data!D3089,"")</f>
        <v/>
      </c>
    </row>
    <row r="3090" spans="1:2" x14ac:dyDescent="0.25">
      <c r="A3090" s="3" t="str">
        <f>IF(Raw_Data!J3090=0,Raw_Data!D3090,"")</f>
        <v/>
      </c>
      <c r="B3090" s="3">
        <f>IF(Raw_Data!J3090=1,Raw_Data!D3090,"")</f>
        <v>4307.58</v>
      </c>
    </row>
    <row r="3091" spans="1:2" x14ac:dyDescent="0.25">
      <c r="A3091" s="3">
        <f>IF(Raw_Data!J3091=0,Raw_Data!D3091,"")</f>
        <v>3863.84</v>
      </c>
      <c r="B3091" s="3" t="str">
        <f>IF(Raw_Data!J3091=1,Raw_Data!D3091,"")</f>
        <v/>
      </c>
    </row>
    <row r="3092" spans="1:2" x14ac:dyDescent="0.25">
      <c r="A3092" s="3">
        <f>IF(Raw_Data!J3092=0,Raw_Data!D3092,"")</f>
        <v>274.3</v>
      </c>
      <c r="B3092" s="3" t="str">
        <f>IF(Raw_Data!J3092=1,Raw_Data!D3092,"")</f>
        <v/>
      </c>
    </row>
    <row r="3093" spans="1:2" x14ac:dyDescent="0.25">
      <c r="A3093" s="3" t="str">
        <f>IF(Raw_Data!J3093=0,Raw_Data!D3093,"")</f>
        <v/>
      </c>
      <c r="B3093" s="3">
        <f>IF(Raw_Data!J3093=1,Raw_Data!D3093,"")</f>
        <v>4690.3900000000003</v>
      </c>
    </row>
    <row r="3094" spans="1:2" x14ac:dyDescent="0.25">
      <c r="A3094" s="3" t="str">
        <f>IF(Raw_Data!J3094=0,Raw_Data!D3094,"")</f>
        <v/>
      </c>
      <c r="B3094" s="3">
        <f>IF(Raw_Data!J3094=1,Raw_Data!D3094,"")</f>
        <v>1620.71</v>
      </c>
    </row>
    <row r="3095" spans="1:2" x14ac:dyDescent="0.25">
      <c r="A3095" s="3" t="str">
        <f>IF(Raw_Data!J3095=0,Raw_Data!D3095,"")</f>
        <v/>
      </c>
      <c r="B3095" s="3">
        <f>IF(Raw_Data!J3095=1,Raw_Data!D3095,"")</f>
        <v>5350.54</v>
      </c>
    </row>
    <row r="3096" spans="1:2" x14ac:dyDescent="0.25">
      <c r="A3096" s="3">
        <f>IF(Raw_Data!J3096=0,Raw_Data!D3096,"")</f>
        <v>541.37</v>
      </c>
      <c r="B3096" s="3" t="str">
        <f>IF(Raw_Data!J3096=1,Raw_Data!D3096,"")</f>
        <v/>
      </c>
    </row>
    <row r="3097" spans="1:2" x14ac:dyDescent="0.25">
      <c r="A3097" s="3">
        <f>IF(Raw_Data!J3097=0,Raw_Data!D3097,"")</f>
        <v>669.67</v>
      </c>
      <c r="B3097" s="3" t="str">
        <f>IF(Raw_Data!J3097=1,Raw_Data!D3097,"")</f>
        <v/>
      </c>
    </row>
    <row r="3098" spans="1:2" x14ac:dyDescent="0.25">
      <c r="A3098" s="3">
        <f>IF(Raw_Data!J3098=0,Raw_Data!D3098,"")</f>
        <v>280.58999999999997</v>
      </c>
      <c r="B3098" s="3" t="str">
        <f>IF(Raw_Data!J3098=1,Raw_Data!D3098,"")</f>
        <v/>
      </c>
    </row>
    <row r="3099" spans="1:2" x14ac:dyDescent="0.25">
      <c r="A3099" s="3">
        <f>IF(Raw_Data!J3099=0,Raw_Data!D3099,"")</f>
        <v>645.79999999999995</v>
      </c>
      <c r="B3099" s="3" t="str">
        <f>IF(Raw_Data!J3099=1,Raw_Data!D3099,"")</f>
        <v/>
      </c>
    </row>
    <row r="3100" spans="1:2" x14ac:dyDescent="0.25">
      <c r="A3100" s="3">
        <f>IF(Raw_Data!J3100=0,Raw_Data!D3100,"")</f>
        <v>1930.48</v>
      </c>
      <c r="B3100" s="3" t="str">
        <f>IF(Raw_Data!J3100=1,Raw_Data!D3100,"")</f>
        <v/>
      </c>
    </row>
    <row r="3101" spans="1:2" x14ac:dyDescent="0.25">
      <c r="A3101" s="3">
        <f>IF(Raw_Data!J3101=0,Raw_Data!D3101,"")</f>
        <v>4998.91</v>
      </c>
      <c r="B3101" s="3" t="str">
        <f>IF(Raw_Data!J3101=1,Raw_Data!D3101,"")</f>
        <v/>
      </c>
    </row>
    <row r="3102" spans="1:2" x14ac:dyDescent="0.25">
      <c r="A3102" s="3">
        <f>IF(Raw_Data!J3102=0,Raw_Data!D3102,"")</f>
        <v>3705.81</v>
      </c>
      <c r="B3102" s="3" t="str">
        <f>IF(Raw_Data!J3102=1,Raw_Data!D3102,"")</f>
        <v/>
      </c>
    </row>
    <row r="3103" spans="1:2" x14ac:dyDescent="0.25">
      <c r="A3103" s="3">
        <f>IF(Raw_Data!J3103=0,Raw_Data!D3103,"")</f>
        <v>677.19</v>
      </c>
      <c r="B3103" s="3" t="str">
        <f>IF(Raw_Data!J3103=1,Raw_Data!D3103,"")</f>
        <v/>
      </c>
    </row>
    <row r="3104" spans="1:2" x14ac:dyDescent="0.25">
      <c r="A3104" s="3">
        <f>IF(Raw_Data!J3104=0,Raw_Data!D3104,"")</f>
        <v>6332.45</v>
      </c>
      <c r="B3104" s="3" t="str">
        <f>IF(Raw_Data!J3104=1,Raw_Data!D3104,"")</f>
        <v/>
      </c>
    </row>
    <row r="3105" spans="1:2" x14ac:dyDescent="0.25">
      <c r="A3105" s="3">
        <f>IF(Raw_Data!J3105=0,Raw_Data!D3105,"")</f>
        <v>787.59</v>
      </c>
      <c r="B3105" s="3" t="str">
        <f>IF(Raw_Data!J3105=1,Raw_Data!D3105,"")</f>
        <v/>
      </c>
    </row>
    <row r="3106" spans="1:2" x14ac:dyDescent="0.25">
      <c r="A3106" s="3">
        <f>IF(Raw_Data!J3106=0,Raw_Data!D3106,"")</f>
        <v>1418.52</v>
      </c>
      <c r="B3106" s="3" t="str">
        <f>IF(Raw_Data!J3106=1,Raw_Data!D3106,"")</f>
        <v/>
      </c>
    </row>
    <row r="3107" spans="1:2" x14ac:dyDescent="0.25">
      <c r="A3107" s="3">
        <f>IF(Raw_Data!J3107=0,Raw_Data!D3107,"")</f>
        <v>2188.35</v>
      </c>
      <c r="B3107" s="3" t="str">
        <f>IF(Raw_Data!J3107=1,Raw_Data!D3107,"")</f>
        <v/>
      </c>
    </row>
    <row r="3108" spans="1:2" x14ac:dyDescent="0.25">
      <c r="A3108" s="3">
        <f>IF(Raw_Data!J3108=0,Raw_Data!D3108,"")</f>
        <v>2428.2800000000002</v>
      </c>
      <c r="B3108" s="3" t="str">
        <f>IF(Raw_Data!J3108=1,Raw_Data!D3108,"")</f>
        <v/>
      </c>
    </row>
    <row r="3109" spans="1:2" x14ac:dyDescent="0.25">
      <c r="A3109" s="3">
        <f>IF(Raw_Data!J3109=0,Raw_Data!D3109,"")</f>
        <v>1960.12</v>
      </c>
      <c r="B3109" s="3" t="str">
        <f>IF(Raw_Data!J3109=1,Raw_Data!D3109,"")</f>
        <v/>
      </c>
    </row>
    <row r="3110" spans="1:2" x14ac:dyDescent="0.25">
      <c r="A3110" s="3">
        <f>IF(Raw_Data!J3110=0,Raw_Data!D3110,"")</f>
        <v>1822.04</v>
      </c>
      <c r="B3110" s="3" t="str">
        <f>IF(Raw_Data!J3110=1,Raw_Data!D3110,"")</f>
        <v/>
      </c>
    </row>
    <row r="3111" spans="1:2" x14ac:dyDescent="0.25">
      <c r="A3111" s="3">
        <f>IF(Raw_Data!J3111=0,Raw_Data!D3111,"")</f>
        <v>2204.27</v>
      </c>
      <c r="B3111" s="3" t="str">
        <f>IF(Raw_Data!J3111=1,Raw_Data!D3111,"")</f>
        <v/>
      </c>
    </row>
    <row r="3112" spans="1:2" x14ac:dyDescent="0.25">
      <c r="A3112" s="3">
        <f>IF(Raw_Data!J3112=0,Raw_Data!D3112,"")</f>
        <v>1330.77</v>
      </c>
      <c r="B3112" s="3" t="str">
        <f>IF(Raw_Data!J3112=1,Raw_Data!D3112,"")</f>
        <v/>
      </c>
    </row>
    <row r="3113" spans="1:2" x14ac:dyDescent="0.25">
      <c r="A3113" s="3">
        <f>IF(Raw_Data!J3113=0,Raw_Data!D3113,"")</f>
        <v>1019.8</v>
      </c>
      <c r="B3113" s="3" t="str">
        <f>IF(Raw_Data!J3113=1,Raw_Data!D3113,"")</f>
        <v/>
      </c>
    </row>
    <row r="3114" spans="1:2" x14ac:dyDescent="0.25">
      <c r="A3114" s="3">
        <f>IF(Raw_Data!J3114=0,Raw_Data!D3114,"")</f>
        <v>4871.62</v>
      </c>
      <c r="B3114" s="3" t="str">
        <f>IF(Raw_Data!J3114=1,Raw_Data!D3114,"")</f>
        <v/>
      </c>
    </row>
    <row r="3115" spans="1:2" x14ac:dyDescent="0.25">
      <c r="A3115" s="3">
        <f>IF(Raw_Data!J3115=0,Raw_Data!D3115,"")</f>
        <v>3804.25</v>
      </c>
      <c r="B3115" s="3" t="str">
        <f>IF(Raw_Data!J3115=1,Raw_Data!D3115,"")</f>
        <v/>
      </c>
    </row>
    <row r="3116" spans="1:2" x14ac:dyDescent="0.25">
      <c r="A3116" s="3">
        <f>IF(Raw_Data!J3116=0,Raw_Data!D3116,"")</f>
        <v>821.86</v>
      </c>
      <c r="B3116" s="3" t="str">
        <f>IF(Raw_Data!J3116=1,Raw_Data!D3116,"")</f>
        <v/>
      </c>
    </row>
    <row r="3117" spans="1:2" x14ac:dyDescent="0.25">
      <c r="A3117" s="3">
        <f>IF(Raw_Data!J3117=0,Raw_Data!D3117,"")</f>
        <v>561.79999999999995</v>
      </c>
      <c r="B3117" s="3" t="str">
        <f>IF(Raw_Data!J3117=1,Raw_Data!D3117,"")</f>
        <v/>
      </c>
    </row>
    <row r="3118" spans="1:2" x14ac:dyDescent="0.25">
      <c r="A3118" s="3">
        <f>IF(Raw_Data!J3118=0,Raw_Data!D3118,"")</f>
        <v>991.52</v>
      </c>
      <c r="B3118" s="3" t="str">
        <f>IF(Raw_Data!J3118=1,Raw_Data!D3118,"")</f>
        <v/>
      </c>
    </row>
    <row r="3119" spans="1:2" x14ac:dyDescent="0.25">
      <c r="A3119" s="3" t="str">
        <f>IF(Raw_Data!J3119=0,Raw_Data!D3119,"")</f>
        <v/>
      </c>
      <c r="B3119" s="3">
        <f>IF(Raw_Data!J3119=1,Raw_Data!D3119,"")</f>
        <v>552.30999999999995</v>
      </c>
    </row>
    <row r="3120" spans="1:2" x14ac:dyDescent="0.25">
      <c r="A3120" s="3">
        <f>IF(Raw_Data!J3120=0,Raw_Data!D3120,"")</f>
        <v>104.92</v>
      </c>
      <c r="B3120" s="3" t="str">
        <f>IF(Raw_Data!J3120=1,Raw_Data!D3120,"")</f>
        <v/>
      </c>
    </row>
    <row r="3121" spans="1:2" x14ac:dyDescent="0.25">
      <c r="A3121" s="3" t="str">
        <f>IF(Raw_Data!J3121=0,Raw_Data!D3121,"")</f>
        <v/>
      </c>
      <c r="B3121" s="3">
        <f>IF(Raw_Data!J3121=1,Raw_Data!D3121,"")</f>
        <v>2024.76</v>
      </c>
    </row>
    <row r="3122" spans="1:2" x14ac:dyDescent="0.25">
      <c r="A3122" s="3">
        <f>IF(Raw_Data!J3122=0,Raw_Data!D3122,"")</f>
        <v>970.29</v>
      </c>
      <c r="B3122" s="3" t="str">
        <f>IF(Raw_Data!J3122=1,Raw_Data!D3122,"")</f>
        <v/>
      </c>
    </row>
    <row r="3123" spans="1:2" x14ac:dyDescent="0.25">
      <c r="A3123" s="3">
        <f>IF(Raw_Data!J3123=0,Raw_Data!D3123,"")</f>
        <v>6497.29</v>
      </c>
      <c r="B3123" s="3" t="str">
        <f>IF(Raw_Data!J3123=1,Raw_Data!D3123,"")</f>
        <v/>
      </c>
    </row>
    <row r="3124" spans="1:2" x14ac:dyDescent="0.25">
      <c r="A3124" s="3">
        <f>IF(Raw_Data!J3124=0,Raw_Data!D3124,"")</f>
        <v>3499.32</v>
      </c>
      <c r="B3124" s="3" t="str">
        <f>IF(Raw_Data!J3124=1,Raw_Data!D3124,"")</f>
        <v/>
      </c>
    </row>
    <row r="3125" spans="1:2" x14ac:dyDescent="0.25">
      <c r="A3125" s="3">
        <f>IF(Raw_Data!J3125=0,Raw_Data!D3125,"")</f>
        <v>4014.64</v>
      </c>
      <c r="B3125" s="3" t="str">
        <f>IF(Raw_Data!J3125=1,Raw_Data!D3125,"")</f>
        <v/>
      </c>
    </row>
    <row r="3126" spans="1:2" x14ac:dyDescent="0.25">
      <c r="A3126" s="3">
        <f>IF(Raw_Data!J3126=0,Raw_Data!D3126,"")</f>
        <v>1675.34</v>
      </c>
      <c r="B3126" s="3" t="str">
        <f>IF(Raw_Data!J3126=1,Raw_Data!D3126,"")</f>
        <v/>
      </c>
    </row>
    <row r="3127" spans="1:2" x14ac:dyDescent="0.25">
      <c r="A3127" s="3">
        <f>IF(Raw_Data!J3127=0,Raw_Data!D3127,"")</f>
        <v>1810.7</v>
      </c>
      <c r="B3127" s="3" t="str">
        <f>IF(Raw_Data!J3127=1,Raw_Data!D3127,"")</f>
        <v/>
      </c>
    </row>
    <row r="3128" spans="1:2" x14ac:dyDescent="0.25">
      <c r="A3128" s="3">
        <f>IF(Raw_Data!J3128=0,Raw_Data!D3128,"")</f>
        <v>2076.1799999999998</v>
      </c>
      <c r="B3128" s="3" t="str">
        <f>IF(Raw_Data!J3128=1,Raw_Data!D3128,"")</f>
        <v/>
      </c>
    </row>
    <row r="3129" spans="1:2" x14ac:dyDescent="0.25">
      <c r="A3129" s="3">
        <f>IF(Raw_Data!J3129=0,Raw_Data!D3129,"")</f>
        <v>4500.0200000000004</v>
      </c>
      <c r="B3129" s="3" t="str">
        <f>IF(Raw_Data!J3129=1,Raw_Data!D3129,"")</f>
        <v/>
      </c>
    </row>
    <row r="3130" spans="1:2" x14ac:dyDescent="0.25">
      <c r="A3130" s="3">
        <f>IF(Raw_Data!J3130=0,Raw_Data!D3130,"")</f>
        <v>1328.28</v>
      </c>
      <c r="B3130" s="3" t="str">
        <f>IF(Raw_Data!J3130=1,Raw_Data!D3130,"")</f>
        <v/>
      </c>
    </row>
    <row r="3131" spans="1:2" x14ac:dyDescent="0.25">
      <c r="A3131" s="3">
        <f>IF(Raw_Data!J3131=0,Raw_Data!D3131,"")</f>
        <v>3292.54</v>
      </c>
      <c r="B3131" s="3" t="str">
        <f>IF(Raw_Data!J3131=1,Raw_Data!D3131,"")</f>
        <v/>
      </c>
    </row>
    <row r="3132" spans="1:2" x14ac:dyDescent="0.25">
      <c r="A3132" s="3">
        <f>IF(Raw_Data!J3132=0,Raw_Data!D3132,"")</f>
        <v>3046.24</v>
      </c>
      <c r="B3132" s="3" t="str">
        <f>IF(Raw_Data!J3132=1,Raw_Data!D3132,"")</f>
        <v/>
      </c>
    </row>
    <row r="3133" spans="1:2" x14ac:dyDescent="0.25">
      <c r="A3133" s="3">
        <f>IF(Raw_Data!J3133=0,Raw_Data!D3133,"")</f>
        <v>1438.67</v>
      </c>
      <c r="B3133" s="3" t="str">
        <f>IF(Raw_Data!J3133=1,Raw_Data!D3133,"")</f>
        <v/>
      </c>
    </row>
    <row r="3134" spans="1:2" x14ac:dyDescent="0.25">
      <c r="A3134" s="3" t="str">
        <f>IF(Raw_Data!J3134=0,Raw_Data!D3134,"")</f>
        <v/>
      </c>
      <c r="B3134" s="3">
        <f>IF(Raw_Data!J3134=1,Raw_Data!D3134,"")</f>
        <v>1049.6199999999999</v>
      </c>
    </row>
    <row r="3135" spans="1:2" x14ac:dyDescent="0.25">
      <c r="A3135" s="3">
        <f>IF(Raw_Data!J3135=0,Raw_Data!D3135,"")</f>
        <v>3336.66</v>
      </c>
      <c r="B3135" s="3" t="str">
        <f>IF(Raw_Data!J3135=1,Raw_Data!D3135,"")</f>
        <v/>
      </c>
    </row>
    <row r="3136" spans="1:2" x14ac:dyDescent="0.25">
      <c r="A3136" s="3">
        <f>IF(Raw_Data!J3136=0,Raw_Data!D3136,"")</f>
        <v>1517.24</v>
      </c>
      <c r="B3136" s="3" t="str">
        <f>IF(Raw_Data!J3136=1,Raw_Data!D3136,"")</f>
        <v/>
      </c>
    </row>
    <row r="3137" spans="1:2" x14ac:dyDescent="0.25">
      <c r="A3137" s="3">
        <f>IF(Raw_Data!J3137=0,Raw_Data!D3137,"")</f>
        <v>1791.07</v>
      </c>
      <c r="B3137" s="3" t="str">
        <f>IF(Raw_Data!J3137=1,Raw_Data!D3137,"")</f>
        <v/>
      </c>
    </row>
    <row r="3138" spans="1:2" x14ac:dyDescent="0.25">
      <c r="A3138" s="3">
        <f>IF(Raw_Data!J3138=0,Raw_Data!D3138,"")</f>
        <v>956.99</v>
      </c>
      <c r="B3138" s="3" t="str">
        <f>IF(Raw_Data!J3138=1,Raw_Data!D3138,"")</f>
        <v/>
      </c>
    </row>
    <row r="3139" spans="1:2" x14ac:dyDescent="0.25">
      <c r="A3139" s="3">
        <f>IF(Raw_Data!J3139=0,Raw_Data!D3139,"")</f>
        <v>2654.52</v>
      </c>
      <c r="B3139" s="3" t="str">
        <f>IF(Raw_Data!J3139=1,Raw_Data!D3139,"")</f>
        <v/>
      </c>
    </row>
    <row r="3140" spans="1:2" x14ac:dyDescent="0.25">
      <c r="A3140" s="3" t="str">
        <f>IF(Raw_Data!J3140=0,Raw_Data!D3140,"")</f>
        <v/>
      </c>
      <c r="B3140" s="3">
        <f>IF(Raw_Data!J3140=1,Raw_Data!D3140,"")</f>
        <v>2024.05</v>
      </c>
    </row>
    <row r="3141" spans="1:2" x14ac:dyDescent="0.25">
      <c r="A3141" s="3">
        <f>IF(Raw_Data!J3141=0,Raw_Data!D3141,"")</f>
        <v>1315.92</v>
      </c>
      <c r="B3141" s="3" t="str">
        <f>IF(Raw_Data!J3141=1,Raw_Data!D3141,"")</f>
        <v/>
      </c>
    </row>
    <row r="3142" spans="1:2" x14ac:dyDescent="0.25">
      <c r="A3142" s="3">
        <f>IF(Raw_Data!J3142=0,Raw_Data!D3142,"")</f>
        <v>1051.42</v>
      </c>
      <c r="B3142" s="3" t="str">
        <f>IF(Raw_Data!J3142=1,Raw_Data!D3142,"")</f>
        <v/>
      </c>
    </row>
    <row r="3143" spans="1:2" x14ac:dyDescent="0.25">
      <c r="A3143" s="3">
        <f>IF(Raw_Data!J3143=0,Raw_Data!D3143,"")</f>
        <v>1159.6400000000001</v>
      </c>
      <c r="B3143" s="3" t="str">
        <f>IF(Raw_Data!J3143=1,Raw_Data!D3143,"")</f>
        <v/>
      </c>
    </row>
    <row r="3144" spans="1:2" x14ac:dyDescent="0.25">
      <c r="A3144" s="3">
        <f>IF(Raw_Data!J3144=0,Raw_Data!D3144,"")</f>
        <v>1007.09</v>
      </c>
      <c r="B3144" s="3" t="str">
        <f>IF(Raw_Data!J3144=1,Raw_Data!D3144,"")</f>
        <v/>
      </c>
    </row>
    <row r="3145" spans="1:2" x14ac:dyDescent="0.25">
      <c r="A3145" s="3" t="str">
        <f>IF(Raw_Data!J3145=0,Raw_Data!D3145,"")</f>
        <v/>
      </c>
      <c r="B3145" s="3">
        <f>IF(Raw_Data!J3145=1,Raw_Data!D3145,"")</f>
        <v>1117.8599999999999</v>
      </c>
    </row>
    <row r="3146" spans="1:2" x14ac:dyDescent="0.25">
      <c r="A3146" s="3">
        <f>IF(Raw_Data!J3146=0,Raw_Data!D3146,"")</f>
        <v>2505.69</v>
      </c>
      <c r="B3146" s="3" t="str">
        <f>IF(Raw_Data!J3146=1,Raw_Data!D3146,"")</f>
        <v/>
      </c>
    </row>
    <row r="3147" spans="1:2" x14ac:dyDescent="0.25">
      <c r="A3147" s="3">
        <f>IF(Raw_Data!J3147=0,Raw_Data!D3147,"")</f>
        <v>1876.69</v>
      </c>
      <c r="B3147" s="3" t="str">
        <f>IF(Raw_Data!J3147=1,Raw_Data!D3147,"")</f>
        <v/>
      </c>
    </row>
    <row r="3148" spans="1:2" x14ac:dyDescent="0.25">
      <c r="A3148" s="3">
        <f>IF(Raw_Data!J3148=0,Raw_Data!D3148,"")</f>
        <v>4194.2299999999996</v>
      </c>
      <c r="B3148" s="3" t="str">
        <f>IF(Raw_Data!J3148=1,Raw_Data!D3148,"")</f>
        <v/>
      </c>
    </row>
    <row r="3149" spans="1:2" x14ac:dyDescent="0.25">
      <c r="A3149" s="3">
        <f>IF(Raw_Data!J3149=0,Raw_Data!D3149,"")</f>
        <v>2071.31</v>
      </c>
      <c r="B3149" s="3" t="str">
        <f>IF(Raw_Data!J3149=1,Raw_Data!D3149,"")</f>
        <v/>
      </c>
    </row>
    <row r="3150" spans="1:2" x14ac:dyDescent="0.25">
      <c r="A3150" s="3">
        <f>IF(Raw_Data!J3150=0,Raw_Data!D3150,"")</f>
        <v>5653.16</v>
      </c>
      <c r="B3150" s="3" t="str">
        <f>IF(Raw_Data!J3150=1,Raw_Data!D3150,"")</f>
        <v/>
      </c>
    </row>
    <row r="3151" spans="1:2" x14ac:dyDescent="0.25">
      <c r="A3151" s="3">
        <f>IF(Raw_Data!J3151=0,Raw_Data!D3151,"")</f>
        <v>4942.58</v>
      </c>
      <c r="B3151" s="3" t="str">
        <f>IF(Raw_Data!J3151=1,Raw_Data!D3151,"")</f>
        <v/>
      </c>
    </row>
    <row r="3152" spans="1:2" x14ac:dyDescent="0.25">
      <c r="A3152" s="3">
        <f>IF(Raw_Data!J3152=0,Raw_Data!D3152,"")</f>
        <v>579.41</v>
      </c>
      <c r="B3152" s="3" t="str">
        <f>IF(Raw_Data!J3152=1,Raw_Data!D3152,"")</f>
        <v/>
      </c>
    </row>
    <row r="3153" spans="1:2" x14ac:dyDescent="0.25">
      <c r="A3153" s="3">
        <f>IF(Raw_Data!J3153=0,Raw_Data!D3153,"")</f>
        <v>2880.53</v>
      </c>
      <c r="B3153" s="3" t="str">
        <f>IF(Raw_Data!J3153=1,Raw_Data!D3153,"")</f>
        <v/>
      </c>
    </row>
    <row r="3154" spans="1:2" x14ac:dyDescent="0.25">
      <c r="A3154" s="3">
        <f>IF(Raw_Data!J3154=0,Raw_Data!D3154,"")</f>
        <v>2546.69</v>
      </c>
      <c r="B3154" s="3" t="str">
        <f>IF(Raw_Data!J3154=1,Raw_Data!D3154,"")</f>
        <v/>
      </c>
    </row>
    <row r="3155" spans="1:2" x14ac:dyDescent="0.25">
      <c r="A3155" s="3">
        <f>IF(Raw_Data!J3155=0,Raw_Data!D3155,"")</f>
        <v>1832.95</v>
      </c>
      <c r="B3155" s="3" t="str">
        <f>IF(Raw_Data!J3155=1,Raw_Data!D3155,"")</f>
        <v/>
      </c>
    </row>
    <row r="3156" spans="1:2" x14ac:dyDescent="0.25">
      <c r="A3156" s="3">
        <f>IF(Raw_Data!J3156=0,Raw_Data!D3156,"")</f>
        <v>4387.1499999999996</v>
      </c>
      <c r="B3156" s="3" t="str">
        <f>IF(Raw_Data!J3156=1,Raw_Data!D3156,"")</f>
        <v/>
      </c>
    </row>
    <row r="3157" spans="1:2" x14ac:dyDescent="0.25">
      <c r="A3157" s="3" t="str">
        <f>IF(Raw_Data!J3157=0,Raw_Data!D3157,"")</f>
        <v/>
      </c>
      <c r="B3157" s="3">
        <f>IF(Raw_Data!J3157=1,Raw_Data!D3157,"")</f>
        <v>2328.81</v>
      </c>
    </row>
    <row r="3158" spans="1:2" x14ac:dyDescent="0.25">
      <c r="A3158" s="3">
        <f>IF(Raw_Data!J3158=0,Raw_Data!D3158,"")</f>
        <v>1059.72</v>
      </c>
      <c r="B3158" s="3" t="str">
        <f>IF(Raw_Data!J3158=1,Raw_Data!D3158,"")</f>
        <v/>
      </c>
    </row>
    <row r="3159" spans="1:2" x14ac:dyDescent="0.25">
      <c r="A3159" s="3" t="str">
        <f>IF(Raw_Data!J3159=0,Raw_Data!D3159,"")</f>
        <v/>
      </c>
      <c r="B3159" s="3">
        <f>IF(Raw_Data!J3159=1,Raw_Data!D3159,"")</f>
        <v>1187.2</v>
      </c>
    </row>
    <row r="3160" spans="1:2" x14ac:dyDescent="0.25">
      <c r="A3160" s="3">
        <f>IF(Raw_Data!J3160=0,Raw_Data!D3160,"")</f>
        <v>2942.98</v>
      </c>
      <c r="B3160" s="3" t="str">
        <f>IF(Raw_Data!J3160=1,Raw_Data!D3160,"")</f>
        <v/>
      </c>
    </row>
    <row r="3161" spans="1:2" x14ac:dyDescent="0.25">
      <c r="A3161" s="3" t="str">
        <f>IF(Raw_Data!J3161=0,Raw_Data!D3161,"")</f>
        <v/>
      </c>
      <c r="B3161" s="3">
        <f>IF(Raw_Data!J3161=1,Raw_Data!D3161,"")</f>
        <v>992.74</v>
      </c>
    </row>
    <row r="3162" spans="1:2" x14ac:dyDescent="0.25">
      <c r="A3162" s="3" t="str">
        <f>IF(Raw_Data!J3162=0,Raw_Data!D3162,"")</f>
        <v/>
      </c>
      <c r="B3162" s="3">
        <f>IF(Raw_Data!J3162=1,Raw_Data!D3162,"")</f>
        <v>3324.85</v>
      </c>
    </row>
    <row r="3163" spans="1:2" x14ac:dyDescent="0.25">
      <c r="A3163" s="3">
        <f>IF(Raw_Data!J3163=0,Raw_Data!D3163,"")</f>
        <v>917.38</v>
      </c>
      <c r="B3163" s="3" t="str">
        <f>IF(Raw_Data!J3163=1,Raw_Data!D3163,"")</f>
        <v/>
      </c>
    </row>
    <row r="3164" spans="1:2" x14ac:dyDescent="0.25">
      <c r="A3164" s="3" t="str">
        <f>IF(Raw_Data!J3164=0,Raw_Data!D3164,"")</f>
        <v/>
      </c>
      <c r="B3164" s="3">
        <f>IF(Raw_Data!J3164=1,Raw_Data!D3164,"")</f>
        <v>2316.19</v>
      </c>
    </row>
    <row r="3165" spans="1:2" x14ac:dyDescent="0.25">
      <c r="A3165" s="3">
        <f>IF(Raw_Data!J3165=0,Raw_Data!D3165,"")</f>
        <v>905.83</v>
      </c>
      <c r="B3165" s="3" t="str">
        <f>IF(Raw_Data!J3165=1,Raw_Data!D3165,"")</f>
        <v/>
      </c>
    </row>
    <row r="3166" spans="1:2" x14ac:dyDescent="0.25">
      <c r="A3166" s="3">
        <f>IF(Raw_Data!J3166=0,Raw_Data!D3166,"")</f>
        <v>2962.71</v>
      </c>
      <c r="B3166" s="3" t="str">
        <f>IF(Raw_Data!J3166=1,Raw_Data!D3166,"")</f>
        <v/>
      </c>
    </row>
    <row r="3167" spans="1:2" x14ac:dyDescent="0.25">
      <c r="A3167" s="3">
        <f>IF(Raw_Data!J3167=0,Raw_Data!D3167,"")</f>
        <v>2613.2600000000002</v>
      </c>
      <c r="B3167" s="3" t="str">
        <f>IF(Raw_Data!J3167=1,Raw_Data!D3167,"")</f>
        <v/>
      </c>
    </row>
    <row r="3168" spans="1:2" x14ac:dyDescent="0.25">
      <c r="A3168" s="3">
        <f>IF(Raw_Data!J3168=0,Raw_Data!D3168,"")</f>
        <v>4069.31</v>
      </c>
      <c r="B3168" s="3" t="str">
        <f>IF(Raw_Data!J3168=1,Raw_Data!D3168,"")</f>
        <v/>
      </c>
    </row>
    <row r="3169" spans="1:2" x14ac:dyDescent="0.25">
      <c r="A3169" s="3">
        <f>IF(Raw_Data!J3169=0,Raw_Data!D3169,"")</f>
        <v>3523.29</v>
      </c>
      <c r="B3169" s="3" t="str">
        <f>IF(Raw_Data!J3169=1,Raw_Data!D3169,"")</f>
        <v/>
      </c>
    </row>
    <row r="3170" spans="1:2" x14ac:dyDescent="0.25">
      <c r="A3170" s="3">
        <f>IF(Raw_Data!J3170=0,Raw_Data!D3170,"")</f>
        <v>1368.35</v>
      </c>
      <c r="B3170" s="3" t="str">
        <f>IF(Raw_Data!J3170=1,Raw_Data!D3170,"")</f>
        <v/>
      </c>
    </row>
    <row r="3171" spans="1:2" x14ac:dyDescent="0.25">
      <c r="A3171" s="3" t="str">
        <f>IF(Raw_Data!J3171=0,Raw_Data!D3171,"")</f>
        <v/>
      </c>
      <c r="B3171" s="3">
        <f>IF(Raw_Data!J3171=1,Raw_Data!D3171,"")</f>
        <v>4554.66</v>
      </c>
    </row>
    <row r="3172" spans="1:2" x14ac:dyDescent="0.25">
      <c r="A3172" s="3">
        <f>IF(Raw_Data!J3172=0,Raw_Data!D3172,"")</f>
        <v>1232.48</v>
      </c>
      <c r="B3172" s="3" t="str">
        <f>IF(Raw_Data!J3172=1,Raw_Data!D3172,"")</f>
        <v/>
      </c>
    </row>
    <row r="3173" spans="1:2" x14ac:dyDescent="0.25">
      <c r="A3173" s="3">
        <f>IF(Raw_Data!J3173=0,Raw_Data!D3173,"")</f>
        <v>536.83000000000004</v>
      </c>
      <c r="B3173" s="3" t="str">
        <f>IF(Raw_Data!J3173=1,Raw_Data!D3173,"")</f>
        <v/>
      </c>
    </row>
    <row r="3174" spans="1:2" x14ac:dyDescent="0.25">
      <c r="A3174" s="3" t="str">
        <f>IF(Raw_Data!J3174=0,Raw_Data!D3174,"")</f>
        <v/>
      </c>
      <c r="B3174" s="3">
        <f>IF(Raw_Data!J3174=1,Raw_Data!D3174,"")</f>
        <v>5508.2</v>
      </c>
    </row>
    <row r="3175" spans="1:2" x14ac:dyDescent="0.25">
      <c r="A3175" s="3">
        <f>IF(Raw_Data!J3175=0,Raw_Data!D3175,"")</f>
        <v>3859.83</v>
      </c>
      <c r="B3175" s="3" t="str">
        <f>IF(Raw_Data!J3175=1,Raw_Data!D3175,"")</f>
        <v/>
      </c>
    </row>
    <row r="3176" spans="1:2" x14ac:dyDescent="0.25">
      <c r="A3176" s="3" t="str">
        <f>IF(Raw_Data!J3176=0,Raw_Data!D3176,"")</f>
        <v/>
      </c>
      <c r="B3176" s="3">
        <f>IF(Raw_Data!J3176=1,Raw_Data!D3176,"")</f>
        <v>579.86</v>
      </c>
    </row>
    <row r="3177" spans="1:2" x14ac:dyDescent="0.25">
      <c r="A3177" s="3">
        <f>IF(Raw_Data!J3177=0,Raw_Data!D3177,"")</f>
        <v>951.87</v>
      </c>
      <c r="B3177" s="3" t="str">
        <f>IF(Raw_Data!J3177=1,Raw_Data!D3177,"")</f>
        <v/>
      </c>
    </row>
    <row r="3178" spans="1:2" x14ac:dyDescent="0.25">
      <c r="A3178" s="3">
        <f>IF(Raw_Data!J3178=0,Raw_Data!D3178,"")</f>
        <v>3415.07</v>
      </c>
      <c r="B3178" s="3" t="str">
        <f>IF(Raw_Data!J3178=1,Raw_Data!D3178,"")</f>
        <v/>
      </c>
    </row>
    <row r="3179" spans="1:2" x14ac:dyDescent="0.25">
      <c r="A3179" s="3">
        <f>IF(Raw_Data!J3179=0,Raw_Data!D3179,"")</f>
        <v>771.4</v>
      </c>
      <c r="B3179" s="3" t="str">
        <f>IF(Raw_Data!J3179=1,Raw_Data!D3179,"")</f>
        <v/>
      </c>
    </row>
    <row r="3180" spans="1:2" x14ac:dyDescent="0.25">
      <c r="A3180" s="3">
        <f>IF(Raw_Data!J3180=0,Raw_Data!D3180,"")</f>
        <v>4593.88</v>
      </c>
      <c r="B3180" s="3" t="str">
        <f>IF(Raw_Data!J3180=1,Raw_Data!D3180,"")</f>
        <v/>
      </c>
    </row>
    <row r="3181" spans="1:2" x14ac:dyDescent="0.25">
      <c r="A3181" s="3">
        <f>IF(Raw_Data!J3181=0,Raw_Data!D3181,"")</f>
        <v>3281.02</v>
      </c>
      <c r="B3181" s="3" t="str">
        <f>IF(Raw_Data!J3181=1,Raw_Data!D3181,"")</f>
        <v/>
      </c>
    </row>
    <row r="3182" spans="1:2" x14ac:dyDescent="0.25">
      <c r="A3182" s="3">
        <f>IF(Raw_Data!J3182=0,Raw_Data!D3182,"")</f>
        <v>1027.51</v>
      </c>
      <c r="B3182" s="3" t="str">
        <f>IF(Raw_Data!J3182=1,Raw_Data!D3182,"")</f>
        <v/>
      </c>
    </row>
    <row r="3183" spans="1:2" x14ac:dyDescent="0.25">
      <c r="A3183" s="3">
        <f>IF(Raw_Data!J3183=0,Raw_Data!D3183,"")</f>
        <v>406.91</v>
      </c>
      <c r="B3183" s="3" t="str">
        <f>IF(Raw_Data!J3183=1,Raw_Data!D3183,"")</f>
        <v/>
      </c>
    </row>
    <row r="3184" spans="1:2" x14ac:dyDescent="0.25">
      <c r="A3184" s="3">
        <f>IF(Raw_Data!J3184=0,Raw_Data!D3184,"")</f>
        <v>1538.39</v>
      </c>
      <c r="B3184" s="3" t="str">
        <f>IF(Raw_Data!J3184=1,Raw_Data!D3184,"")</f>
        <v/>
      </c>
    </row>
    <row r="3185" spans="1:2" x14ac:dyDescent="0.25">
      <c r="A3185" s="3" t="str">
        <f>IF(Raw_Data!J3185=0,Raw_Data!D3185,"")</f>
        <v/>
      </c>
      <c r="B3185" s="3">
        <f>IF(Raw_Data!J3185=1,Raw_Data!D3185,"")</f>
        <v>746.53</v>
      </c>
    </row>
    <row r="3186" spans="1:2" x14ac:dyDescent="0.25">
      <c r="A3186" s="3">
        <f>IF(Raw_Data!J3186=0,Raw_Data!D3186,"")</f>
        <v>2085.85</v>
      </c>
      <c r="B3186" s="3" t="str">
        <f>IF(Raw_Data!J3186=1,Raw_Data!D3186,"")</f>
        <v/>
      </c>
    </row>
    <row r="3187" spans="1:2" x14ac:dyDescent="0.25">
      <c r="A3187" s="3">
        <f>IF(Raw_Data!J3187=0,Raw_Data!D3187,"")</f>
        <v>4619.7299999999996</v>
      </c>
      <c r="B3187" s="3" t="str">
        <f>IF(Raw_Data!J3187=1,Raw_Data!D3187,"")</f>
        <v/>
      </c>
    </row>
    <row r="3188" spans="1:2" x14ac:dyDescent="0.25">
      <c r="A3188" s="3">
        <f>IF(Raw_Data!J3188=0,Raw_Data!D3188,"")</f>
        <v>208.19</v>
      </c>
      <c r="B3188" s="3" t="str">
        <f>IF(Raw_Data!J3188=1,Raw_Data!D3188,"")</f>
        <v/>
      </c>
    </row>
    <row r="3189" spans="1:2" x14ac:dyDescent="0.25">
      <c r="A3189" s="3" t="str">
        <f>IF(Raw_Data!J3189=0,Raw_Data!D3189,"")</f>
        <v/>
      </c>
      <c r="B3189" s="3">
        <f>IF(Raw_Data!J3189=1,Raw_Data!D3189,"")</f>
        <v>1077.1500000000001</v>
      </c>
    </row>
    <row r="3190" spans="1:2" x14ac:dyDescent="0.25">
      <c r="A3190" s="3" t="str">
        <f>IF(Raw_Data!J3190=0,Raw_Data!D3190,"")</f>
        <v/>
      </c>
      <c r="B3190" s="3">
        <f>IF(Raw_Data!J3190=1,Raw_Data!D3190,"")</f>
        <v>2772.35</v>
      </c>
    </row>
    <row r="3191" spans="1:2" x14ac:dyDescent="0.25">
      <c r="A3191" s="3">
        <f>IF(Raw_Data!J3191=0,Raw_Data!D3191,"")</f>
        <v>2009.04</v>
      </c>
      <c r="B3191" s="3" t="str">
        <f>IF(Raw_Data!J3191=1,Raw_Data!D3191,"")</f>
        <v/>
      </c>
    </row>
    <row r="3192" spans="1:2" x14ac:dyDescent="0.25">
      <c r="A3192" s="3">
        <f>IF(Raw_Data!J3192=0,Raw_Data!D3192,"")</f>
        <v>1541.54</v>
      </c>
      <c r="B3192" s="3" t="str">
        <f>IF(Raw_Data!J3192=1,Raw_Data!D3192,"")</f>
        <v/>
      </c>
    </row>
    <row r="3193" spans="1:2" x14ac:dyDescent="0.25">
      <c r="A3193" s="3">
        <f>IF(Raw_Data!J3193=0,Raw_Data!D3193,"")</f>
        <v>2762.36</v>
      </c>
      <c r="B3193" s="3" t="str">
        <f>IF(Raw_Data!J3193=1,Raw_Data!D3193,"")</f>
        <v/>
      </c>
    </row>
    <row r="3194" spans="1:2" x14ac:dyDescent="0.25">
      <c r="A3194" s="3">
        <f>IF(Raw_Data!J3194=0,Raw_Data!D3194,"")</f>
        <v>6365.54</v>
      </c>
      <c r="B3194" s="3" t="str">
        <f>IF(Raw_Data!J3194=1,Raw_Data!D3194,"")</f>
        <v/>
      </c>
    </row>
    <row r="3195" spans="1:2" x14ac:dyDescent="0.25">
      <c r="A3195" s="3">
        <f>IF(Raw_Data!J3195=0,Raw_Data!D3195,"")</f>
        <v>4519.3500000000004</v>
      </c>
      <c r="B3195" s="3" t="str">
        <f>IF(Raw_Data!J3195=1,Raw_Data!D3195,"")</f>
        <v/>
      </c>
    </row>
    <row r="3196" spans="1:2" x14ac:dyDescent="0.25">
      <c r="A3196" s="3">
        <f>IF(Raw_Data!J3196=0,Raw_Data!D3196,"")</f>
        <v>6672.37</v>
      </c>
      <c r="B3196" s="3" t="str">
        <f>IF(Raw_Data!J3196=1,Raw_Data!D3196,"")</f>
        <v/>
      </c>
    </row>
    <row r="3197" spans="1:2" x14ac:dyDescent="0.25">
      <c r="A3197" s="3">
        <f>IF(Raw_Data!J3197=0,Raw_Data!D3197,"")</f>
        <v>665.84</v>
      </c>
      <c r="B3197" s="3" t="str">
        <f>IF(Raw_Data!J3197=1,Raw_Data!D3197,"")</f>
        <v/>
      </c>
    </row>
    <row r="3198" spans="1:2" x14ac:dyDescent="0.25">
      <c r="A3198" s="3">
        <f>IF(Raw_Data!J3198=0,Raw_Data!D3198,"")</f>
        <v>1094.9100000000001</v>
      </c>
      <c r="B3198" s="3" t="str">
        <f>IF(Raw_Data!J3198=1,Raw_Data!D3198,"")</f>
        <v/>
      </c>
    </row>
    <row r="3199" spans="1:2" x14ac:dyDescent="0.25">
      <c r="A3199" s="3">
        <f>IF(Raw_Data!J3199=0,Raw_Data!D3199,"")</f>
        <v>1291.1199999999999</v>
      </c>
      <c r="B3199" s="3" t="str">
        <f>IF(Raw_Data!J3199=1,Raw_Data!D3199,"")</f>
        <v/>
      </c>
    </row>
    <row r="3200" spans="1:2" x14ac:dyDescent="0.25">
      <c r="A3200" s="3" t="str">
        <f>IF(Raw_Data!J3200=0,Raw_Data!D3200,"")</f>
        <v/>
      </c>
      <c r="B3200" s="3">
        <f>IF(Raw_Data!J3200=1,Raw_Data!D3200,"")</f>
        <v>3168.84</v>
      </c>
    </row>
    <row r="3201" spans="1:2" x14ac:dyDescent="0.25">
      <c r="A3201" s="3">
        <f>IF(Raw_Data!J3201=0,Raw_Data!D3201,"")</f>
        <v>2999.95</v>
      </c>
      <c r="B3201" s="3" t="str">
        <f>IF(Raw_Data!J3201=1,Raw_Data!D3201,"")</f>
        <v/>
      </c>
    </row>
    <row r="3202" spans="1:2" x14ac:dyDescent="0.25">
      <c r="A3202" s="3">
        <f>IF(Raw_Data!J3202=0,Raw_Data!D3202,"")</f>
        <v>3095.4</v>
      </c>
      <c r="B3202" s="3" t="str">
        <f>IF(Raw_Data!J3202=1,Raw_Data!D3202,"")</f>
        <v/>
      </c>
    </row>
    <row r="3203" spans="1:2" x14ac:dyDescent="0.25">
      <c r="A3203" s="3">
        <f>IF(Raw_Data!J3203=0,Raw_Data!D3203,"")</f>
        <v>1114.4100000000001</v>
      </c>
      <c r="B3203" s="3" t="str">
        <f>IF(Raw_Data!J3203=1,Raw_Data!D3203,"")</f>
        <v/>
      </c>
    </row>
    <row r="3204" spans="1:2" x14ac:dyDescent="0.25">
      <c r="A3204" s="3" t="str">
        <f>IF(Raw_Data!J3204=0,Raw_Data!D3204,"")</f>
        <v/>
      </c>
      <c r="B3204" s="3">
        <f>IF(Raw_Data!J3204=1,Raw_Data!D3204,"")</f>
        <v>1145.6500000000001</v>
      </c>
    </row>
    <row r="3205" spans="1:2" x14ac:dyDescent="0.25">
      <c r="A3205" s="3">
        <f>IF(Raw_Data!J3205=0,Raw_Data!D3205,"")</f>
        <v>1162.8599999999999</v>
      </c>
      <c r="B3205" s="3" t="str">
        <f>IF(Raw_Data!J3205=1,Raw_Data!D3205,"")</f>
        <v/>
      </c>
    </row>
    <row r="3206" spans="1:2" x14ac:dyDescent="0.25">
      <c r="A3206" s="3">
        <f>IF(Raw_Data!J3206=0,Raw_Data!D3206,"")</f>
        <v>965.03</v>
      </c>
      <c r="B3206" s="3" t="str">
        <f>IF(Raw_Data!J3206=1,Raw_Data!D3206,"")</f>
        <v/>
      </c>
    </row>
    <row r="3207" spans="1:2" x14ac:dyDescent="0.25">
      <c r="A3207" s="3">
        <f>IF(Raw_Data!J3207=0,Raw_Data!D3207,"")</f>
        <v>5516.2</v>
      </c>
      <c r="B3207" s="3" t="str">
        <f>IF(Raw_Data!J3207=1,Raw_Data!D3207,"")</f>
        <v/>
      </c>
    </row>
    <row r="3208" spans="1:2" x14ac:dyDescent="0.25">
      <c r="A3208" s="3">
        <f>IF(Raw_Data!J3208=0,Raw_Data!D3208,"")</f>
        <v>1381.46</v>
      </c>
      <c r="B3208" s="3" t="str">
        <f>IF(Raw_Data!J3208=1,Raw_Data!D3208,"")</f>
        <v/>
      </c>
    </row>
    <row r="3209" spans="1:2" x14ac:dyDescent="0.25">
      <c r="A3209" s="3">
        <f>IF(Raw_Data!J3209=0,Raw_Data!D3209,"")</f>
        <v>9616.65</v>
      </c>
      <c r="B3209" s="3" t="str">
        <f>IF(Raw_Data!J3209=1,Raw_Data!D3209,"")</f>
        <v/>
      </c>
    </row>
    <row r="3210" spans="1:2" x14ac:dyDescent="0.25">
      <c r="A3210" s="3">
        <f>IF(Raw_Data!J3210=0,Raw_Data!D3210,"")</f>
        <v>1955</v>
      </c>
      <c r="B3210" s="3" t="str">
        <f>IF(Raw_Data!J3210=1,Raw_Data!D3210,"")</f>
        <v/>
      </c>
    </row>
    <row r="3211" spans="1:2" x14ac:dyDescent="0.25">
      <c r="A3211" s="3">
        <f>IF(Raw_Data!J3211=0,Raw_Data!D3211,"")</f>
        <v>1043.6199999999999</v>
      </c>
      <c r="B3211" s="3" t="str">
        <f>IF(Raw_Data!J3211=1,Raw_Data!D3211,"")</f>
        <v/>
      </c>
    </row>
    <row r="3212" spans="1:2" x14ac:dyDescent="0.25">
      <c r="A3212" s="3" t="str">
        <f>IF(Raw_Data!J3212=0,Raw_Data!D3212,"")</f>
        <v/>
      </c>
      <c r="B3212" s="3">
        <f>IF(Raw_Data!J3212=1,Raw_Data!D3212,"")</f>
        <v>3870.77</v>
      </c>
    </row>
    <row r="3213" spans="1:2" x14ac:dyDescent="0.25">
      <c r="A3213" s="3" t="str">
        <f>IF(Raw_Data!J3213=0,Raw_Data!D3213,"")</f>
        <v/>
      </c>
      <c r="B3213" s="3">
        <f>IF(Raw_Data!J3213=1,Raw_Data!D3213,"")</f>
        <v>1966.69</v>
      </c>
    </row>
    <row r="3214" spans="1:2" x14ac:dyDescent="0.25">
      <c r="A3214" s="3">
        <f>IF(Raw_Data!J3214=0,Raw_Data!D3214,"")</f>
        <v>2023.44</v>
      </c>
      <c r="B3214" s="3" t="str">
        <f>IF(Raw_Data!J3214=1,Raw_Data!D3214,"")</f>
        <v/>
      </c>
    </row>
    <row r="3215" spans="1:2" x14ac:dyDescent="0.25">
      <c r="A3215" s="3">
        <f>IF(Raw_Data!J3215=0,Raw_Data!D3215,"")</f>
        <v>2263.6</v>
      </c>
      <c r="B3215" s="3" t="str">
        <f>IF(Raw_Data!J3215=1,Raw_Data!D3215,"")</f>
        <v/>
      </c>
    </row>
    <row r="3216" spans="1:2" x14ac:dyDescent="0.25">
      <c r="A3216" s="3">
        <f>IF(Raw_Data!J3216=0,Raw_Data!D3216,"")</f>
        <v>3599.55</v>
      </c>
      <c r="B3216" s="3" t="str">
        <f>IF(Raw_Data!J3216=1,Raw_Data!D3216,"")</f>
        <v/>
      </c>
    </row>
    <row r="3217" spans="1:2" x14ac:dyDescent="0.25">
      <c r="A3217" s="3">
        <f>IF(Raw_Data!J3217=0,Raw_Data!D3217,"")</f>
        <v>407.66</v>
      </c>
      <c r="B3217" s="3" t="str">
        <f>IF(Raw_Data!J3217=1,Raw_Data!D3217,"")</f>
        <v/>
      </c>
    </row>
    <row r="3218" spans="1:2" x14ac:dyDescent="0.25">
      <c r="A3218" s="3">
        <f>IF(Raw_Data!J3218=0,Raw_Data!D3218,"")</f>
        <v>2645.85</v>
      </c>
      <c r="B3218" s="3" t="str">
        <f>IF(Raw_Data!J3218=1,Raw_Data!D3218,"")</f>
        <v/>
      </c>
    </row>
    <row r="3219" spans="1:2" x14ac:dyDescent="0.25">
      <c r="A3219" s="3">
        <f>IF(Raw_Data!J3219=0,Raw_Data!D3219,"")</f>
        <v>1373.77</v>
      </c>
      <c r="B3219" s="3" t="str">
        <f>IF(Raw_Data!J3219=1,Raw_Data!D3219,"")</f>
        <v/>
      </c>
    </row>
    <row r="3220" spans="1:2" x14ac:dyDescent="0.25">
      <c r="A3220" s="3">
        <f>IF(Raw_Data!J3220=0,Raw_Data!D3220,"")</f>
        <v>1237.0999999999999</v>
      </c>
      <c r="B3220" s="3" t="str">
        <f>IF(Raw_Data!J3220=1,Raw_Data!D3220,"")</f>
        <v/>
      </c>
    </row>
    <row r="3221" spans="1:2" x14ac:dyDescent="0.25">
      <c r="A3221" s="3" t="str">
        <f>IF(Raw_Data!J3221=0,Raw_Data!D3221,"")</f>
        <v/>
      </c>
      <c r="B3221" s="3">
        <f>IF(Raw_Data!J3221=1,Raw_Data!D3221,"")</f>
        <v>2257.12</v>
      </c>
    </row>
    <row r="3222" spans="1:2" x14ac:dyDescent="0.25">
      <c r="A3222" s="3">
        <f>IF(Raw_Data!J3222=0,Raw_Data!D3222,"")</f>
        <v>2149.61</v>
      </c>
      <c r="B3222" s="3" t="str">
        <f>IF(Raw_Data!J3222=1,Raw_Data!D3222,"")</f>
        <v/>
      </c>
    </row>
    <row r="3223" spans="1:2" x14ac:dyDescent="0.25">
      <c r="A3223" s="3" t="str">
        <f>IF(Raw_Data!J3223=0,Raw_Data!D3223,"")</f>
        <v/>
      </c>
      <c r="B3223" s="3">
        <f>IF(Raw_Data!J3223=1,Raw_Data!D3223,"")</f>
        <v>278.61</v>
      </c>
    </row>
    <row r="3224" spans="1:2" x14ac:dyDescent="0.25">
      <c r="A3224" s="3">
        <f>IF(Raw_Data!J3224=0,Raw_Data!D3224,"")</f>
        <v>1937.06</v>
      </c>
      <c r="B3224" s="3" t="str">
        <f>IF(Raw_Data!J3224=1,Raw_Data!D3224,"")</f>
        <v/>
      </c>
    </row>
    <row r="3225" spans="1:2" x14ac:dyDescent="0.25">
      <c r="A3225" s="3">
        <f>IF(Raw_Data!J3225=0,Raw_Data!D3225,"")</f>
        <v>2400.8200000000002</v>
      </c>
      <c r="B3225" s="3" t="str">
        <f>IF(Raw_Data!J3225=1,Raw_Data!D3225,"")</f>
        <v/>
      </c>
    </row>
    <row r="3226" spans="1:2" x14ac:dyDescent="0.25">
      <c r="A3226" s="3">
        <f>IF(Raw_Data!J3226=0,Raw_Data!D3226,"")</f>
        <v>748.11</v>
      </c>
      <c r="B3226" s="3" t="str">
        <f>IF(Raw_Data!J3226=1,Raw_Data!D3226,"")</f>
        <v/>
      </c>
    </row>
    <row r="3227" spans="1:2" x14ac:dyDescent="0.25">
      <c r="A3227" s="3">
        <f>IF(Raw_Data!J3227=0,Raw_Data!D3227,"")</f>
        <v>222.95</v>
      </c>
      <c r="B3227" s="3" t="str">
        <f>IF(Raw_Data!J3227=1,Raw_Data!D3227,"")</f>
        <v/>
      </c>
    </row>
    <row r="3228" spans="1:2" x14ac:dyDescent="0.25">
      <c r="A3228" s="3">
        <f>IF(Raw_Data!J3228=0,Raw_Data!D3228,"")</f>
        <v>6044.14</v>
      </c>
      <c r="B3228" s="3" t="str">
        <f>IF(Raw_Data!J3228=1,Raw_Data!D3228,"")</f>
        <v/>
      </c>
    </row>
    <row r="3229" spans="1:2" x14ac:dyDescent="0.25">
      <c r="A3229" s="3" t="str">
        <f>IF(Raw_Data!J3229=0,Raw_Data!D3229,"")</f>
        <v/>
      </c>
      <c r="B3229" s="3">
        <f>IF(Raw_Data!J3229=1,Raw_Data!D3229,"")</f>
        <v>1940.08</v>
      </c>
    </row>
    <row r="3230" spans="1:2" x14ac:dyDescent="0.25">
      <c r="A3230" s="3">
        <f>IF(Raw_Data!J3230=0,Raw_Data!D3230,"")</f>
        <v>2431.02</v>
      </c>
      <c r="B3230" s="3" t="str">
        <f>IF(Raw_Data!J3230=1,Raw_Data!D3230,"")</f>
        <v/>
      </c>
    </row>
    <row r="3231" spans="1:2" x14ac:dyDescent="0.25">
      <c r="A3231" s="3">
        <f>IF(Raw_Data!J3231=0,Raw_Data!D3231,"")</f>
        <v>2498.4299999999998</v>
      </c>
      <c r="B3231" s="3" t="str">
        <f>IF(Raw_Data!J3231=1,Raw_Data!D3231,"")</f>
        <v/>
      </c>
    </row>
    <row r="3232" spans="1:2" x14ac:dyDescent="0.25">
      <c r="A3232" s="3">
        <f>IF(Raw_Data!J3232=0,Raw_Data!D3232,"")</f>
        <v>3818.29</v>
      </c>
      <c r="B3232" s="3" t="str">
        <f>IF(Raw_Data!J3232=1,Raw_Data!D3232,"")</f>
        <v/>
      </c>
    </row>
    <row r="3233" spans="1:2" x14ac:dyDescent="0.25">
      <c r="A3233" s="3">
        <f>IF(Raw_Data!J3233=0,Raw_Data!D3233,"")</f>
        <v>454.76</v>
      </c>
      <c r="B3233" s="3" t="str">
        <f>IF(Raw_Data!J3233=1,Raw_Data!D3233,"")</f>
        <v/>
      </c>
    </row>
    <row r="3234" spans="1:2" x14ac:dyDescent="0.25">
      <c r="A3234" s="3">
        <f>IF(Raw_Data!J3234=0,Raw_Data!D3234,"")</f>
        <v>2120.9299999999998</v>
      </c>
      <c r="B3234" s="3" t="str">
        <f>IF(Raw_Data!J3234=1,Raw_Data!D3234,"")</f>
        <v/>
      </c>
    </row>
    <row r="3235" spans="1:2" x14ac:dyDescent="0.25">
      <c r="A3235" s="3" t="str">
        <f>IF(Raw_Data!J3235=0,Raw_Data!D3235,"")</f>
        <v/>
      </c>
      <c r="B3235" s="3">
        <f>IF(Raw_Data!J3235=1,Raw_Data!D3235,"")</f>
        <v>2235.4</v>
      </c>
    </row>
    <row r="3236" spans="1:2" x14ac:dyDescent="0.25">
      <c r="A3236" s="3">
        <f>IF(Raw_Data!J3236=0,Raw_Data!D3236,"")</f>
        <v>5891.4</v>
      </c>
      <c r="B3236" s="3" t="str">
        <f>IF(Raw_Data!J3236=1,Raw_Data!D3236,"")</f>
        <v/>
      </c>
    </row>
    <row r="3237" spans="1:2" x14ac:dyDescent="0.25">
      <c r="A3237" s="3">
        <f>IF(Raw_Data!J3237=0,Raw_Data!D3237,"")</f>
        <v>378.17</v>
      </c>
      <c r="B3237" s="3" t="str">
        <f>IF(Raw_Data!J3237=1,Raw_Data!D3237,"")</f>
        <v/>
      </c>
    </row>
    <row r="3238" spans="1:2" x14ac:dyDescent="0.25">
      <c r="A3238" s="3">
        <f>IF(Raw_Data!J3238=0,Raw_Data!D3238,"")</f>
        <v>2160.79</v>
      </c>
      <c r="B3238" s="3" t="str">
        <f>IF(Raw_Data!J3238=1,Raw_Data!D3238,"")</f>
        <v/>
      </c>
    </row>
    <row r="3239" spans="1:2" x14ac:dyDescent="0.25">
      <c r="A3239" s="3">
        <f>IF(Raw_Data!J3239=0,Raw_Data!D3239,"")</f>
        <v>2896.28</v>
      </c>
      <c r="B3239" s="3" t="str">
        <f>IF(Raw_Data!J3239=1,Raw_Data!D3239,"")</f>
        <v/>
      </c>
    </row>
    <row r="3240" spans="1:2" x14ac:dyDescent="0.25">
      <c r="A3240" s="3">
        <f>IF(Raw_Data!J3240=0,Raw_Data!D3240,"")</f>
        <v>9246.58</v>
      </c>
      <c r="B3240" s="3" t="str">
        <f>IF(Raw_Data!J3240=1,Raw_Data!D3240,"")</f>
        <v/>
      </c>
    </row>
    <row r="3241" spans="1:2" x14ac:dyDescent="0.25">
      <c r="A3241" s="3">
        <f>IF(Raw_Data!J3241=0,Raw_Data!D3241,"")</f>
        <v>643.39</v>
      </c>
      <c r="B3241" s="3" t="str">
        <f>IF(Raw_Data!J3241=1,Raw_Data!D3241,"")</f>
        <v/>
      </c>
    </row>
    <row r="3242" spans="1:2" x14ac:dyDescent="0.25">
      <c r="A3242" s="3">
        <f>IF(Raw_Data!J3242=0,Raw_Data!D3242,"")</f>
        <v>1100.23</v>
      </c>
      <c r="B3242" s="3" t="str">
        <f>IF(Raw_Data!J3242=1,Raw_Data!D3242,"")</f>
        <v/>
      </c>
    </row>
    <row r="3243" spans="1:2" x14ac:dyDescent="0.25">
      <c r="A3243" s="3">
        <f>IF(Raw_Data!J3243=0,Raw_Data!D3243,"")</f>
        <v>3916.58</v>
      </c>
      <c r="B3243" s="3" t="str">
        <f>IF(Raw_Data!J3243=1,Raw_Data!D3243,"")</f>
        <v/>
      </c>
    </row>
    <row r="3244" spans="1:2" x14ac:dyDescent="0.25">
      <c r="A3244" s="3">
        <f>IF(Raw_Data!J3244=0,Raw_Data!D3244,"")</f>
        <v>1159.82</v>
      </c>
      <c r="B3244" s="3" t="str">
        <f>IF(Raw_Data!J3244=1,Raw_Data!D3244,"")</f>
        <v/>
      </c>
    </row>
    <row r="3245" spans="1:2" x14ac:dyDescent="0.25">
      <c r="A3245" s="3">
        <f>IF(Raw_Data!J3245=0,Raw_Data!D3245,"")</f>
        <v>3735.87</v>
      </c>
      <c r="B3245" s="3" t="str">
        <f>IF(Raw_Data!J3245=1,Raw_Data!D3245,"")</f>
        <v/>
      </c>
    </row>
    <row r="3246" spans="1:2" x14ac:dyDescent="0.25">
      <c r="A3246" s="3" t="str">
        <f>IF(Raw_Data!J3246=0,Raw_Data!D3246,"")</f>
        <v/>
      </c>
      <c r="B3246" s="3">
        <f>IF(Raw_Data!J3246=1,Raw_Data!D3246,"")</f>
        <v>4618.3</v>
      </c>
    </row>
    <row r="3247" spans="1:2" x14ac:dyDescent="0.25">
      <c r="A3247" s="3" t="str">
        <f>IF(Raw_Data!J3247=0,Raw_Data!D3247,"")</f>
        <v/>
      </c>
      <c r="B3247" s="3">
        <f>IF(Raw_Data!J3247=1,Raw_Data!D3247,"")</f>
        <v>459.31</v>
      </c>
    </row>
    <row r="3248" spans="1:2" x14ac:dyDescent="0.25">
      <c r="A3248" s="3">
        <f>IF(Raw_Data!J3248=0,Raw_Data!D3248,"")</f>
        <v>3338.24</v>
      </c>
      <c r="B3248" s="3" t="str">
        <f>IF(Raw_Data!J3248=1,Raw_Data!D3248,"")</f>
        <v/>
      </c>
    </row>
    <row r="3249" spans="1:2" x14ac:dyDescent="0.25">
      <c r="A3249" s="3">
        <f>IF(Raw_Data!J3249=0,Raw_Data!D3249,"")</f>
        <v>1538.22</v>
      </c>
      <c r="B3249" s="3" t="str">
        <f>IF(Raw_Data!J3249=1,Raw_Data!D3249,"")</f>
        <v/>
      </c>
    </row>
    <row r="3250" spans="1:2" x14ac:dyDescent="0.25">
      <c r="A3250" s="3">
        <f>IF(Raw_Data!J3250=0,Raw_Data!D3250,"")</f>
        <v>1635.28</v>
      </c>
      <c r="B3250" s="3" t="str">
        <f>IF(Raw_Data!J3250=1,Raw_Data!D3250,"")</f>
        <v/>
      </c>
    </row>
    <row r="3251" spans="1:2" x14ac:dyDescent="0.25">
      <c r="A3251" s="3">
        <f>IF(Raw_Data!J3251=0,Raw_Data!D3251,"")</f>
        <v>3253.05</v>
      </c>
      <c r="B3251" s="3" t="str">
        <f>IF(Raw_Data!J3251=1,Raw_Data!D3251,"")</f>
        <v/>
      </c>
    </row>
    <row r="3252" spans="1:2" x14ac:dyDescent="0.25">
      <c r="A3252" s="3">
        <f>IF(Raw_Data!J3252=0,Raw_Data!D3252,"")</f>
        <v>536.09</v>
      </c>
      <c r="B3252" s="3" t="str">
        <f>IF(Raw_Data!J3252=1,Raw_Data!D3252,"")</f>
        <v/>
      </c>
    </row>
    <row r="3253" spans="1:2" x14ac:dyDescent="0.25">
      <c r="A3253" s="3">
        <f>IF(Raw_Data!J3253=0,Raw_Data!D3253,"")</f>
        <v>3200.21</v>
      </c>
      <c r="B3253" s="3" t="str">
        <f>IF(Raw_Data!J3253=1,Raw_Data!D3253,"")</f>
        <v/>
      </c>
    </row>
    <row r="3254" spans="1:2" x14ac:dyDescent="0.25">
      <c r="A3254" s="3" t="str">
        <f>IF(Raw_Data!J3254=0,Raw_Data!D3254,"")</f>
        <v/>
      </c>
      <c r="B3254" s="3">
        <f>IF(Raw_Data!J3254=1,Raw_Data!D3254,"")</f>
        <v>3673.3</v>
      </c>
    </row>
    <row r="3255" spans="1:2" x14ac:dyDescent="0.25">
      <c r="A3255" s="3" t="str">
        <f>IF(Raw_Data!J3255=0,Raw_Data!D3255,"")</f>
        <v/>
      </c>
      <c r="B3255" s="3">
        <f>IF(Raw_Data!J3255=1,Raw_Data!D3255,"")</f>
        <v>2406.0500000000002</v>
      </c>
    </row>
    <row r="3256" spans="1:2" x14ac:dyDescent="0.25">
      <c r="A3256" s="3" t="str">
        <f>IF(Raw_Data!J3256=0,Raw_Data!D3256,"")</f>
        <v/>
      </c>
      <c r="B3256" s="3">
        <f>IF(Raw_Data!J3256=1,Raw_Data!D3256,"")</f>
        <v>3500.57</v>
      </c>
    </row>
    <row r="3257" spans="1:2" x14ac:dyDescent="0.25">
      <c r="A3257" s="3">
        <f>IF(Raw_Data!J3257=0,Raw_Data!D3257,"")</f>
        <v>1593.94</v>
      </c>
      <c r="B3257" s="3" t="str">
        <f>IF(Raw_Data!J3257=1,Raw_Data!D3257,"")</f>
        <v/>
      </c>
    </row>
    <row r="3258" spans="1:2" x14ac:dyDescent="0.25">
      <c r="A3258" s="3">
        <f>IF(Raw_Data!J3258=0,Raw_Data!D3258,"")</f>
        <v>3208.37</v>
      </c>
      <c r="B3258" s="3" t="str">
        <f>IF(Raw_Data!J3258=1,Raw_Data!D3258,"")</f>
        <v/>
      </c>
    </row>
    <row r="3259" spans="1:2" x14ac:dyDescent="0.25">
      <c r="A3259" s="3">
        <f>IF(Raw_Data!J3259=0,Raw_Data!D3259,"")</f>
        <v>597.4</v>
      </c>
      <c r="B3259" s="3" t="str">
        <f>IF(Raw_Data!J3259=1,Raw_Data!D3259,"")</f>
        <v/>
      </c>
    </row>
    <row r="3260" spans="1:2" x14ac:dyDescent="0.25">
      <c r="A3260" s="3">
        <f>IF(Raw_Data!J3260=0,Raw_Data!D3260,"")</f>
        <v>1075.06</v>
      </c>
      <c r="B3260" s="3" t="str">
        <f>IF(Raw_Data!J3260=1,Raw_Data!D3260,"")</f>
        <v/>
      </c>
    </row>
    <row r="3261" spans="1:2" x14ac:dyDescent="0.25">
      <c r="A3261" s="3">
        <f>IF(Raw_Data!J3261=0,Raw_Data!D3261,"")</f>
        <v>1863.63</v>
      </c>
      <c r="B3261" s="3" t="str">
        <f>IF(Raw_Data!J3261=1,Raw_Data!D3261,"")</f>
        <v/>
      </c>
    </row>
    <row r="3262" spans="1:2" x14ac:dyDescent="0.25">
      <c r="A3262" s="3">
        <f>IF(Raw_Data!J3262=0,Raw_Data!D3262,"")</f>
        <v>953.49</v>
      </c>
      <c r="B3262" s="3" t="str">
        <f>IF(Raw_Data!J3262=1,Raw_Data!D3262,"")</f>
        <v/>
      </c>
    </row>
    <row r="3263" spans="1:2" x14ac:dyDescent="0.25">
      <c r="A3263" s="3" t="str">
        <f>IF(Raw_Data!J3263=0,Raw_Data!D3263,"")</f>
        <v/>
      </c>
      <c r="B3263" s="3">
        <f>IF(Raw_Data!J3263=1,Raw_Data!D3263,"")</f>
        <v>2305.37</v>
      </c>
    </row>
    <row r="3264" spans="1:2" x14ac:dyDescent="0.25">
      <c r="A3264" s="3">
        <f>IF(Raw_Data!J3264=0,Raw_Data!D3264,"")</f>
        <v>703.58</v>
      </c>
      <c r="B3264" s="3" t="str">
        <f>IF(Raw_Data!J3264=1,Raw_Data!D3264,"")</f>
        <v/>
      </c>
    </row>
    <row r="3265" spans="1:2" x14ac:dyDescent="0.25">
      <c r="A3265" s="3">
        <f>IF(Raw_Data!J3265=0,Raw_Data!D3265,"")</f>
        <v>3363.64</v>
      </c>
      <c r="B3265" s="3" t="str">
        <f>IF(Raw_Data!J3265=1,Raw_Data!D3265,"")</f>
        <v/>
      </c>
    </row>
    <row r="3266" spans="1:2" x14ac:dyDescent="0.25">
      <c r="A3266" s="3">
        <f>IF(Raw_Data!J3266=0,Raw_Data!D3266,"")</f>
        <v>1792.8</v>
      </c>
      <c r="B3266" s="3" t="str">
        <f>IF(Raw_Data!J3266=1,Raw_Data!D3266,"")</f>
        <v/>
      </c>
    </row>
    <row r="3267" spans="1:2" x14ac:dyDescent="0.25">
      <c r="A3267" s="3">
        <f>IF(Raw_Data!J3267=0,Raw_Data!D3267,"")</f>
        <v>2039.92</v>
      </c>
      <c r="B3267" s="3" t="str">
        <f>IF(Raw_Data!J3267=1,Raw_Data!D3267,"")</f>
        <v/>
      </c>
    </row>
    <row r="3268" spans="1:2" x14ac:dyDescent="0.25">
      <c r="A3268" s="3">
        <f>IF(Raw_Data!J3268=0,Raw_Data!D3268,"")</f>
        <v>2140.6999999999998</v>
      </c>
      <c r="B3268" s="3" t="str">
        <f>IF(Raw_Data!J3268=1,Raw_Data!D3268,"")</f>
        <v/>
      </c>
    </row>
    <row r="3269" spans="1:2" x14ac:dyDescent="0.25">
      <c r="A3269" s="3" t="str">
        <f>IF(Raw_Data!J3269=0,Raw_Data!D3269,"")</f>
        <v/>
      </c>
      <c r="B3269" s="3">
        <f>IF(Raw_Data!J3269=1,Raw_Data!D3269,"")</f>
        <v>500.76</v>
      </c>
    </row>
    <row r="3270" spans="1:2" x14ac:dyDescent="0.25">
      <c r="A3270" s="3">
        <f>IF(Raw_Data!J3270=0,Raw_Data!D3270,"")</f>
        <v>7360.46</v>
      </c>
      <c r="B3270" s="3" t="str">
        <f>IF(Raw_Data!J3270=1,Raw_Data!D3270,"")</f>
        <v/>
      </c>
    </row>
    <row r="3271" spans="1:2" x14ac:dyDescent="0.25">
      <c r="A3271" s="3">
        <f>IF(Raw_Data!J3271=0,Raw_Data!D3271,"")</f>
        <v>1788.77</v>
      </c>
      <c r="B3271" s="3" t="str">
        <f>IF(Raw_Data!J3271=1,Raw_Data!D3271,"")</f>
        <v/>
      </c>
    </row>
    <row r="3272" spans="1:2" x14ac:dyDescent="0.25">
      <c r="A3272" s="3">
        <f>IF(Raw_Data!J3272=0,Raw_Data!D3272,"")</f>
        <v>3502.9</v>
      </c>
      <c r="B3272" s="3" t="str">
        <f>IF(Raw_Data!J3272=1,Raw_Data!D3272,"")</f>
        <v/>
      </c>
    </row>
    <row r="3273" spans="1:2" x14ac:dyDescent="0.25">
      <c r="A3273" s="3" t="str">
        <f>IF(Raw_Data!J3273=0,Raw_Data!D3273,"")</f>
        <v/>
      </c>
      <c r="B3273" s="3">
        <f>IF(Raw_Data!J3273=1,Raw_Data!D3273,"")</f>
        <v>4134.12</v>
      </c>
    </row>
    <row r="3274" spans="1:2" x14ac:dyDescent="0.25">
      <c r="A3274" s="3">
        <f>IF(Raw_Data!J3274=0,Raw_Data!D3274,"")</f>
        <v>2600.92</v>
      </c>
      <c r="B3274" s="3" t="str">
        <f>IF(Raw_Data!J3274=1,Raw_Data!D3274,"")</f>
        <v/>
      </c>
    </row>
    <row r="3275" spans="1:2" x14ac:dyDescent="0.25">
      <c r="A3275" s="3">
        <f>IF(Raw_Data!J3275=0,Raw_Data!D3275,"")</f>
        <v>664.91</v>
      </c>
      <c r="B3275" s="3" t="str">
        <f>IF(Raw_Data!J3275=1,Raw_Data!D3275,"")</f>
        <v/>
      </c>
    </row>
    <row r="3276" spans="1:2" x14ac:dyDescent="0.25">
      <c r="A3276" s="3">
        <f>IF(Raw_Data!J3276=0,Raw_Data!D3276,"")</f>
        <v>600.38</v>
      </c>
      <c r="B3276" s="3" t="str">
        <f>IF(Raw_Data!J3276=1,Raw_Data!D3276,"")</f>
        <v/>
      </c>
    </row>
    <row r="3277" spans="1:2" x14ac:dyDescent="0.25">
      <c r="A3277" s="3" t="str">
        <f>IF(Raw_Data!J3277=0,Raw_Data!D3277,"")</f>
        <v/>
      </c>
      <c r="B3277" s="3">
        <f>IF(Raw_Data!J3277=1,Raw_Data!D3277,"")</f>
        <v>2181.09</v>
      </c>
    </row>
    <row r="3278" spans="1:2" x14ac:dyDescent="0.25">
      <c r="A3278" s="3">
        <f>IF(Raw_Data!J3278=0,Raw_Data!D3278,"")</f>
        <v>2754.54</v>
      </c>
      <c r="B3278" s="3" t="str">
        <f>IF(Raw_Data!J3278=1,Raw_Data!D3278,"")</f>
        <v/>
      </c>
    </row>
    <row r="3279" spans="1:2" x14ac:dyDescent="0.25">
      <c r="A3279" s="3">
        <f>IF(Raw_Data!J3279=0,Raw_Data!D3279,"")</f>
        <v>2211.4299999999998</v>
      </c>
      <c r="B3279" s="3" t="str">
        <f>IF(Raw_Data!J3279=1,Raw_Data!D3279,"")</f>
        <v/>
      </c>
    </row>
    <row r="3280" spans="1:2" x14ac:dyDescent="0.25">
      <c r="A3280" s="3">
        <f>IF(Raw_Data!J3280=0,Raw_Data!D3280,"")</f>
        <v>3187.37</v>
      </c>
      <c r="B3280" s="3" t="str">
        <f>IF(Raw_Data!J3280=1,Raw_Data!D3280,"")</f>
        <v/>
      </c>
    </row>
    <row r="3281" spans="1:2" x14ac:dyDescent="0.25">
      <c r="A3281" s="3">
        <f>IF(Raw_Data!J3281=0,Raw_Data!D3281,"")</f>
        <v>1152.6199999999999</v>
      </c>
      <c r="B3281" s="3" t="str">
        <f>IF(Raw_Data!J3281=1,Raw_Data!D3281,"")</f>
        <v/>
      </c>
    </row>
    <row r="3282" spans="1:2" x14ac:dyDescent="0.25">
      <c r="A3282" s="3">
        <f>IF(Raw_Data!J3282=0,Raw_Data!D3282,"")</f>
        <v>2004.23</v>
      </c>
      <c r="B3282" s="3" t="str">
        <f>IF(Raw_Data!J3282=1,Raw_Data!D3282,"")</f>
        <v/>
      </c>
    </row>
    <row r="3283" spans="1:2" x14ac:dyDescent="0.25">
      <c r="A3283" s="3">
        <f>IF(Raw_Data!J3283=0,Raw_Data!D3283,"")</f>
        <v>2755.58</v>
      </c>
      <c r="B3283" s="3" t="str">
        <f>IF(Raw_Data!J3283=1,Raw_Data!D3283,"")</f>
        <v/>
      </c>
    </row>
    <row r="3284" spans="1:2" x14ac:dyDescent="0.25">
      <c r="A3284" s="3">
        <f>IF(Raw_Data!J3284=0,Raw_Data!D3284,"")</f>
        <v>1116.92</v>
      </c>
      <c r="B3284" s="3" t="str">
        <f>IF(Raw_Data!J3284=1,Raw_Data!D3284,"")</f>
        <v/>
      </c>
    </row>
    <row r="3285" spans="1:2" x14ac:dyDescent="0.25">
      <c r="A3285" s="3">
        <f>IF(Raw_Data!J3285=0,Raw_Data!D3285,"")</f>
        <v>1783.61</v>
      </c>
      <c r="B3285" s="3" t="str">
        <f>IF(Raw_Data!J3285=1,Raw_Data!D3285,"")</f>
        <v/>
      </c>
    </row>
    <row r="3286" spans="1:2" x14ac:dyDescent="0.25">
      <c r="A3286" s="3">
        <f>IF(Raw_Data!J3286=0,Raw_Data!D3286,"")</f>
        <v>1412.43</v>
      </c>
      <c r="B3286" s="3" t="str">
        <f>IF(Raw_Data!J3286=1,Raw_Data!D3286,"")</f>
        <v/>
      </c>
    </row>
    <row r="3287" spans="1:2" x14ac:dyDescent="0.25">
      <c r="A3287" s="3">
        <f>IF(Raw_Data!J3287=0,Raw_Data!D3287,"")</f>
        <v>8526.86</v>
      </c>
      <c r="B3287" s="3" t="str">
        <f>IF(Raw_Data!J3287=1,Raw_Data!D3287,"")</f>
        <v/>
      </c>
    </row>
    <row r="3288" spans="1:2" x14ac:dyDescent="0.25">
      <c r="A3288" s="3">
        <f>IF(Raw_Data!J3288=0,Raw_Data!D3288,"")</f>
        <v>2009.63</v>
      </c>
      <c r="B3288" s="3" t="str">
        <f>IF(Raw_Data!J3288=1,Raw_Data!D3288,"")</f>
        <v/>
      </c>
    </row>
    <row r="3289" spans="1:2" x14ac:dyDescent="0.25">
      <c r="A3289" s="3">
        <f>IF(Raw_Data!J3289=0,Raw_Data!D3289,"")</f>
        <v>1187.19</v>
      </c>
      <c r="B3289" s="3" t="str">
        <f>IF(Raw_Data!J3289=1,Raw_Data!D3289,"")</f>
        <v/>
      </c>
    </row>
    <row r="3290" spans="1:2" x14ac:dyDescent="0.25">
      <c r="A3290" s="3">
        <f>IF(Raw_Data!J3290=0,Raw_Data!D3290,"")</f>
        <v>1556.48</v>
      </c>
      <c r="B3290" s="3" t="str">
        <f>IF(Raw_Data!J3290=1,Raw_Data!D3290,"")</f>
        <v/>
      </c>
    </row>
    <row r="3291" spans="1:2" x14ac:dyDescent="0.25">
      <c r="A3291" s="3">
        <f>IF(Raw_Data!J3291=0,Raw_Data!D3291,"")</f>
        <v>1937.78</v>
      </c>
      <c r="B3291" s="3" t="str">
        <f>IF(Raw_Data!J3291=1,Raw_Data!D3291,"")</f>
        <v/>
      </c>
    </row>
    <row r="3292" spans="1:2" x14ac:dyDescent="0.25">
      <c r="A3292" s="3">
        <f>IF(Raw_Data!J3292=0,Raw_Data!D3292,"")</f>
        <v>1351.07</v>
      </c>
      <c r="B3292" s="3" t="str">
        <f>IF(Raw_Data!J3292=1,Raw_Data!D3292,"")</f>
        <v/>
      </c>
    </row>
    <row r="3293" spans="1:2" x14ac:dyDescent="0.25">
      <c r="A3293" s="3" t="str">
        <f>IF(Raw_Data!J3293=0,Raw_Data!D3293,"")</f>
        <v/>
      </c>
      <c r="B3293" s="3">
        <f>IF(Raw_Data!J3293=1,Raw_Data!D3293,"")</f>
        <v>1131.49</v>
      </c>
    </row>
    <row r="3294" spans="1:2" x14ac:dyDescent="0.25">
      <c r="A3294" s="3">
        <f>IF(Raw_Data!J3294=0,Raw_Data!D3294,"")</f>
        <v>904.99</v>
      </c>
      <c r="B3294" s="3" t="str">
        <f>IF(Raw_Data!J3294=1,Raw_Data!D3294,"")</f>
        <v/>
      </c>
    </row>
    <row r="3295" spans="1:2" x14ac:dyDescent="0.25">
      <c r="A3295" s="3">
        <f>IF(Raw_Data!J3295=0,Raw_Data!D3295,"")</f>
        <v>3379.73</v>
      </c>
      <c r="B3295" s="3" t="str">
        <f>IF(Raw_Data!J3295=1,Raw_Data!D3295,"")</f>
        <v/>
      </c>
    </row>
    <row r="3296" spans="1:2" x14ac:dyDescent="0.25">
      <c r="A3296" s="3" t="str">
        <f>IF(Raw_Data!J3296=0,Raw_Data!D3296,"")</f>
        <v/>
      </c>
      <c r="B3296" s="3">
        <f>IF(Raw_Data!J3296=1,Raw_Data!D3296,"")</f>
        <v>2860.95</v>
      </c>
    </row>
    <row r="3297" spans="1:2" x14ac:dyDescent="0.25">
      <c r="A3297" s="3" t="str">
        <f>IF(Raw_Data!J3297=0,Raw_Data!D3297,"")</f>
        <v/>
      </c>
      <c r="B3297" s="3">
        <f>IF(Raw_Data!J3297=1,Raw_Data!D3297,"")</f>
        <v>2297.29</v>
      </c>
    </row>
    <row r="3298" spans="1:2" x14ac:dyDescent="0.25">
      <c r="A3298" s="3">
        <f>IF(Raw_Data!J3298=0,Raw_Data!D3298,"")</f>
        <v>5299.36</v>
      </c>
      <c r="B3298" s="3" t="str">
        <f>IF(Raw_Data!J3298=1,Raw_Data!D3298,"")</f>
        <v/>
      </c>
    </row>
    <row r="3299" spans="1:2" x14ac:dyDescent="0.25">
      <c r="A3299" s="3">
        <f>IF(Raw_Data!J3299=0,Raw_Data!D3299,"")</f>
        <v>2481.44</v>
      </c>
      <c r="B3299" s="3" t="str">
        <f>IF(Raw_Data!J3299=1,Raw_Data!D3299,"")</f>
        <v/>
      </c>
    </row>
    <row r="3300" spans="1:2" x14ac:dyDescent="0.25">
      <c r="A3300" s="3">
        <f>IF(Raw_Data!J3300=0,Raw_Data!D3300,"")</f>
        <v>3191.11</v>
      </c>
      <c r="B3300" s="3" t="str">
        <f>IF(Raw_Data!J3300=1,Raw_Data!D3300,"")</f>
        <v/>
      </c>
    </row>
    <row r="3301" spans="1:2" x14ac:dyDescent="0.25">
      <c r="A3301" s="3">
        <f>IF(Raw_Data!J3301=0,Raw_Data!D3301,"")</f>
        <v>3612.46</v>
      </c>
      <c r="B3301" s="3" t="str">
        <f>IF(Raw_Data!J3301=1,Raw_Data!D3301,"")</f>
        <v/>
      </c>
    </row>
    <row r="3302" spans="1:2" x14ac:dyDescent="0.25">
      <c r="A3302" s="3" t="str">
        <f>IF(Raw_Data!J3302=0,Raw_Data!D3302,"")</f>
        <v/>
      </c>
      <c r="B3302" s="3">
        <f>IF(Raw_Data!J3302=1,Raw_Data!D3302,"")</f>
        <v>1385.48</v>
      </c>
    </row>
    <row r="3303" spans="1:2" x14ac:dyDescent="0.25">
      <c r="A3303" s="3">
        <f>IF(Raw_Data!J3303=0,Raw_Data!D3303,"")</f>
        <v>5027.0200000000004</v>
      </c>
      <c r="B3303" s="3" t="str">
        <f>IF(Raw_Data!J3303=1,Raw_Data!D3303,"")</f>
        <v/>
      </c>
    </row>
    <row r="3304" spans="1:2" x14ac:dyDescent="0.25">
      <c r="A3304" s="3">
        <f>IF(Raw_Data!J3304=0,Raw_Data!D3304,"")</f>
        <v>1640.47</v>
      </c>
      <c r="B3304" s="3" t="str">
        <f>IF(Raw_Data!J3304=1,Raw_Data!D3304,"")</f>
        <v/>
      </c>
    </row>
    <row r="3305" spans="1:2" x14ac:dyDescent="0.25">
      <c r="A3305" s="3">
        <f>IF(Raw_Data!J3305=0,Raw_Data!D3305,"")</f>
        <v>1915.68</v>
      </c>
      <c r="B3305" s="3" t="str">
        <f>IF(Raw_Data!J3305=1,Raw_Data!D3305,"")</f>
        <v/>
      </c>
    </row>
    <row r="3306" spans="1:2" x14ac:dyDescent="0.25">
      <c r="A3306" s="3">
        <f>IF(Raw_Data!J3306=0,Raw_Data!D3306,"")</f>
        <v>397.97</v>
      </c>
      <c r="B3306" s="3" t="str">
        <f>IF(Raw_Data!J3306=1,Raw_Data!D3306,"")</f>
        <v/>
      </c>
    </row>
    <row r="3307" spans="1:2" x14ac:dyDescent="0.25">
      <c r="A3307" s="3">
        <f>IF(Raw_Data!J3307=0,Raw_Data!D3307,"")</f>
        <v>718.01</v>
      </c>
      <c r="B3307" s="3" t="str">
        <f>IF(Raw_Data!J3307=1,Raw_Data!D3307,"")</f>
        <v/>
      </c>
    </row>
    <row r="3308" spans="1:2" x14ac:dyDescent="0.25">
      <c r="A3308" s="3">
        <f>IF(Raw_Data!J3308=0,Raw_Data!D3308,"")</f>
        <v>2173.06</v>
      </c>
      <c r="B3308" s="3" t="str">
        <f>IF(Raw_Data!J3308=1,Raw_Data!D3308,"")</f>
        <v/>
      </c>
    </row>
    <row r="3309" spans="1:2" x14ac:dyDescent="0.25">
      <c r="A3309" s="3">
        <f>IF(Raw_Data!J3309=0,Raw_Data!D3309,"")</f>
        <v>1571.51</v>
      </c>
      <c r="B3309" s="3" t="str">
        <f>IF(Raw_Data!J3309=1,Raw_Data!D3309,"")</f>
        <v/>
      </c>
    </row>
    <row r="3310" spans="1:2" x14ac:dyDescent="0.25">
      <c r="A3310" s="3">
        <f>IF(Raw_Data!J3310=0,Raw_Data!D3310,"")</f>
        <v>1634.34</v>
      </c>
      <c r="B3310" s="3" t="str">
        <f>IF(Raw_Data!J3310=1,Raw_Data!D3310,"")</f>
        <v/>
      </c>
    </row>
    <row r="3311" spans="1:2" x14ac:dyDescent="0.25">
      <c r="A3311" s="3">
        <f>IF(Raw_Data!J3311=0,Raw_Data!D3311,"")</f>
        <v>6567.98</v>
      </c>
      <c r="B3311" s="3" t="str">
        <f>IF(Raw_Data!J3311=1,Raw_Data!D3311,"")</f>
        <v/>
      </c>
    </row>
    <row r="3312" spans="1:2" x14ac:dyDescent="0.25">
      <c r="A3312" s="3">
        <f>IF(Raw_Data!J3312=0,Raw_Data!D3312,"")</f>
        <v>1535.89</v>
      </c>
      <c r="B3312" s="3" t="str">
        <f>IF(Raw_Data!J3312=1,Raw_Data!D3312,"")</f>
        <v/>
      </c>
    </row>
    <row r="3313" spans="1:2" x14ac:dyDescent="0.25">
      <c r="A3313" s="3">
        <f>IF(Raw_Data!J3313=0,Raw_Data!D3313,"")</f>
        <v>1190.8800000000001</v>
      </c>
      <c r="B3313" s="3" t="str">
        <f>IF(Raw_Data!J3313=1,Raw_Data!D3313,"")</f>
        <v/>
      </c>
    </row>
    <row r="3314" spans="1:2" x14ac:dyDescent="0.25">
      <c r="A3314" s="3" t="str">
        <f>IF(Raw_Data!J3314=0,Raw_Data!D3314,"")</f>
        <v/>
      </c>
      <c r="B3314" s="3">
        <f>IF(Raw_Data!J3314=1,Raw_Data!D3314,"")</f>
        <v>5246.13</v>
      </c>
    </row>
    <row r="3315" spans="1:2" x14ac:dyDescent="0.25">
      <c r="A3315" s="3" t="str">
        <f>IF(Raw_Data!J3315=0,Raw_Data!D3315,"")</f>
        <v/>
      </c>
      <c r="B3315" s="3">
        <f>IF(Raw_Data!J3315=1,Raw_Data!D3315,"")</f>
        <v>2503.73</v>
      </c>
    </row>
    <row r="3316" spans="1:2" x14ac:dyDescent="0.25">
      <c r="A3316" s="3">
        <f>IF(Raw_Data!J3316=0,Raw_Data!D3316,"")</f>
        <v>2939.91</v>
      </c>
      <c r="B3316" s="3" t="str">
        <f>IF(Raw_Data!J3316=1,Raw_Data!D3316,"")</f>
        <v/>
      </c>
    </row>
    <row r="3317" spans="1:2" x14ac:dyDescent="0.25">
      <c r="A3317" s="3">
        <f>IF(Raw_Data!J3317=0,Raw_Data!D3317,"")</f>
        <v>3636.91</v>
      </c>
      <c r="B3317" s="3" t="str">
        <f>IF(Raw_Data!J3317=1,Raw_Data!D3317,"")</f>
        <v/>
      </c>
    </row>
    <row r="3318" spans="1:2" x14ac:dyDescent="0.25">
      <c r="A3318" s="3" t="str">
        <f>IF(Raw_Data!J3318=0,Raw_Data!D3318,"")</f>
        <v/>
      </c>
      <c r="B3318" s="3">
        <f>IF(Raw_Data!J3318=1,Raw_Data!D3318,"")</f>
        <v>2432.69</v>
      </c>
    </row>
    <row r="3319" spans="1:2" x14ac:dyDescent="0.25">
      <c r="A3319" s="3">
        <f>IF(Raw_Data!J3319=0,Raw_Data!D3319,"")</f>
        <v>1806.58</v>
      </c>
      <c r="B3319" s="3" t="str">
        <f>IF(Raw_Data!J3319=1,Raw_Data!D3319,"")</f>
        <v/>
      </c>
    </row>
    <row r="3320" spans="1:2" x14ac:dyDescent="0.25">
      <c r="A3320" s="3">
        <f>IF(Raw_Data!J3320=0,Raw_Data!D3320,"")</f>
        <v>1138.79</v>
      </c>
      <c r="B3320" s="3" t="str">
        <f>IF(Raw_Data!J3320=1,Raw_Data!D3320,"")</f>
        <v/>
      </c>
    </row>
    <row r="3321" spans="1:2" x14ac:dyDescent="0.25">
      <c r="A3321" s="3">
        <f>IF(Raw_Data!J3321=0,Raw_Data!D3321,"")</f>
        <v>1292.22</v>
      </c>
      <c r="B3321" s="3" t="str">
        <f>IF(Raw_Data!J3321=1,Raw_Data!D3321,"")</f>
        <v/>
      </c>
    </row>
    <row r="3322" spans="1:2" x14ac:dyDescent="0.25">
      <c r="A3322" s="3">
        <f>IF(Raw_Data!J3322=0,Raw_Data!D3322,"")</f>
        <v>472.36</v>
      </c>
      <c r="B3322" s="3" t="str">
        <f>IF(Raw_Data!J3322=1,Raw_Data!D3322,"")</f>
        <v/>
      </c>
    </row>
    <row r="3323" spans="1:2" x14ac:dyDescent="0.25">
      <c r="A3323" s="3">
        <f>IF(Raw_Data!J3323=0,Raw_Data!D3323,"")</f>
        <v>4082.34</v>
      </c>
      <c r="B3323" s="3" t="str">
        <f>IF(Raw_Data!J3323=1,Raw_Data!D3323,"")</f>
        <v/>
      </c>
    </row>
    <row r="3324" spans="1:2" x14ac:dyDescent="0.25">
      <c r="A3324" s="3">
        <f>IF(Raw_Data!J3324=0,Raw_Data!D3324,"")</f>
        <v>904.74</v>
      </c>
      <c r="B3324" s="3" t="str">
        <f>IF(Raw_Data!J3324=1,Raw_Data!D3324,"")</f>
        <v/>
      </c>
    </row>
    <row r="3325" spans="1:2" x14ac:dyDescent="0.25">
      <c r="A3325" s="3">
        <f>IF(Raw_Data!J3325=0,Raw_Data!D3325,"")</f>
        <v>2447.81</v>
      </c>
      <c r="B3325" s="3" t="str">
        <f>IF(Raw_Data!J3325=1,Raw_Data!D3325,"")</f>
        <v/>
      </c>
    </row>
    <row r="3326" spans="1:2" x14ac:dyDescent="0.25">
      <c r="A3326" s="3">
        <f>IF(Raw_Data!J3326=0,Raw_Data!D3326,"")</f>
        <v>1199.43</v>
      </c>
      <c r="B3326" s="3" t="str">
        <f>IF(Raw_Data!J3326=1,Raw_Data!D3326,"")</f>
        <v/>
      </c>
    </row>
    <row r="3327" spans="1:2" x14ac:dyDescent="0.25">
      <c r="A3327" s="3">
        <f>IF(Raw_Data!J3327=0,Raw_Data!D3327,"")</f>
        <v>1444.6</v>
      </c>
      <c r="B3327" s="3" t="str">
        <f>IF(Raw_Data!J3327=1,Raw_Data!D3327,"")</f>
        <v/>
      </c>
    </row>
    <row r="3328" spans="1:2" x14ac:dyDescent="0.25">
      <c r="A3328" s="3">
        <f>IF(Raw_Data!J3328=0,Raw_Data!D3328,"")</f>
        <v>3752.67</v>
      </c>
      <c r="B3328" s="3" t="str">
        <f>IF(Raw_Data!J3328=1,Raw_Data!D3328,"")</f>
        <v/>
      </c>
    </row>
    <row r="3329" spans="1:2" x14ac:dyDescent="0.25">
      <c r="A3329" s="3">
        <f>IF(Raw_Data!J3329=0,Raw_Data!D3329,"")</f>
        <v>2554.4899999999998</v>
      </c>
      <c r="B3329" s="3" t="str">
        <f>IF(Raw_Data!J3329=1,Raw_Data!D3329,"")</f>
        <v/>
      </c>
    </row>
    <row r="3330" spans="1:2" x14ac:dyDescent="0.25">
      <c r="A3330" s="3">
        <f>IF(Raw_Data!J3330=0,Raw_Data!D3330,"")</f>
        <v>1418.12</v>
      </c>
      <c r="B3330" s="3" t="str">
        <f>IF(Raw_Data!J3330=1,Raw_Data!D3330,"")</f>
        <v/>
      </c>
    </row>
    <row r="3331" spans="1:2" x14ac:dyDescent="0.25">
      <c r="A3331" s="3">
        <f>IF(Raw_Data!J3331=0,Raw_Data!D3331,"")</f>
        <v>5469.44</v>
      </c>
      <c r="B3331" s="3" t="str">
        <f>IF(Raw_Data!J3331=1,Raw_Data!D3331,"")</f>
        <v/>
      </c>
    </row>
    <row r="3332" spans="1:2" x14ac:dyDescent="0.25">
      <c r="A3332" s="3">
        <f>IF(Raw_Data!J3332=0,Raw_Data!D3332,"")</f>
        <v>1889.09</v>
      </c>
      <c r="B3332" s="3" t="str">
        <f>IF(Raw_Data!J3332=1,Raw_Data!D3332,"")</f>
        <v/>
      </c>
    </row>
    <row r="3333" spans="1:2" x14ac:dyDescent="0.25">
      <c r="A3333" s="3">
        <f>IF(Raw_Data!J3333=0,Raw_Data!D3333,"")</f>
        <v>1905.19</v>
      </c>
      <c r="B3333" s="3" t="str">
        <f>IF(Raw_Data!J3333=1,Raw_Data!D3333,"")</f>
        <v/>
      </c>
    </row>
    <row r="3334" spans="1:2" x14ac:dyDescent="0.25">
      <c r="A3334" s="3" t="str">
        <f>IF(Raw_Data!J3334=0,Raw_Data!D3334,"")</f>
        <v/>
      </c>
      <c r="B3334" s="3">
        <f>IF(Raw_Data!J3334=1,Raw_Data!D3334,"")</f>
        <v>1335.07</v>
      </c>
    </row>
    <row r="3335" spans="1:2" x14ac:dyDescent="0.25">
      <c r="A3335" s="3" t="str">
        <f>IF(Raw_Data!J3335=0,Raw_Data!D3335,"")</f>
        <v/>
      </c>
      <c r="B3335" s="3">
        <f>IF(Raw_Data!J3335=1,Raw_Data!D3335,"")</f>
        <v>3993.78</v>
      </c>
    </row>
    <row r="3336" spans="1:2" x14ac:dyDescent="0.25">
      <c r="A3336" s="3" t="str">
        <f>IF(Raw_Data!J3336=0,Raw_Data!D3336,"")</f>
        <v/>
      </c>
      <c r="B3336" s="3">
        <f>IF(Raw_Data!J3336=1,Raw_Data!D3336,"")</f>
        <v>2151.21</v>
      </c>
    </row>
    <row r="3337" spans="1:2" x14ac:dyDescent="0.25">
      <c r="A3337" s="3" t="str">
        <f>IF(Raw_Data!J3337=0,Raw_Data!D3337,"")</f>
        <v/>
      </c>
      <c r="B3337" s="3">
        <f>IF(Raw_Data!J3337=1,Raw_Data!D3337,"")</f>
        <v>1819.89</v>
      </c>
    </row>
    <row r="3338" spans="1:2" x14ac:dyDescent="0.25">
      <c r="A3338" s="3">
        <f>IF(Raw_Data!J3338=0,Raw_Data!D3338,"")</f>
        <v>1098.06</v>
      </c>
      <c r="B3338" s="3" t="str">
        <f>IF(Raw_Data!J3338=1,Raw_Data!D3338,"")</f>
        <v/>
      </c>
    </row>
    <row r="3339" spans="1:2" x14ac:dyDescent="0.25">
      <c r="A3339" s="3">
        <f>IF(Raw_Data!J3339=0,Raw_Data!D3339,"")</f>
        <v>2333.62</v>
      </c>
      <c r="B3339" s="3" t="str">
        <f>IF(Raw_Data!J3339=1,Raw_Data!D3339,"")</f>
        <v/>
      </c>
    </row>
    <row r="3340" spans="1:2" x14ac:dyDescent="0.25">
      <c r="A3340" s="3">
        <f>IF(Raw_Data!J3340=0,Raw_Data!D3340,"")</f>
        <v>882.5</v>
      </c>
      <c r="B3340" s="3" t="str">
        <f>IF(Raw_Data!J3340=1,Raw_Data!D3340,"")</f>
        <v/>
      </c>
    </row>
    <row r="3341" spans="1:2" x14ac:dyDescent="0.25">
      <c r="A3341" s="3">
        <f>IF(Raw_Data!J3341=0,Raw_Data!D3341,"")</f>
        <v>2010.45</v>
      </c>
      <c r="B3341" s="3" t="str">
        <f>IF(Raw_Data!J3341=1,Raw_Data!D3341,"")</f>
        <v/>
      </c>
    </row>
    <row r="3342" spans="1:2" x14ac:dyDescent="0.25">
      <c r="A3342" s="3">
        <f>IF(Raw_Data!J3342=0,Raw_Data!D3342,"")</f>
        <v>5140.7</v>
      </c>
      <c r="B3342" s="3" t="str">
        <f>IF(Raw_Data!J3342=1,Raw_Data!D3342,"")</f>
        <v/>
      </c>
    </row>
    <row r="3343" spans="1:2" x14ac:dyDescent="0.25">
      <c r="A3343" s="3">
        <f>IF(Raw_Data!J3343=0,Raw_Data!D3343,"")</f>
        <v>3335.52</v>
      </c>
      <c r="B3343" s="3" t="str">
        <f>IF(Raw_Data!J3343=1,Raw_Data!D3343,"")</f>
        <v/>
      </c>
    </row>
    <row r="3344" spans="1:2" x14ac:dyDescent="0.25">
      <c r="A3344" s="3">
        <f>IF(Raw_Data!J3344=0,Raw_Data!D3344,"")</f>
        <v>4931.83</v>
      </c>
      <c r="B3344" s="3" t="str">
        <f>IF(Raw_Data!J3344=1,Raw_Data!D3344,"")</f>
        <v/>
      </c>
    </row>
    <row r="3345" spans="1:2" x14ac:dyDescent="0.25">
      <c r="A3345" s="3">
        <f>IF(Raw_Data!J3345=0,Raw_Data!D3345,"")</f>
        <v>2014.05</v>
      </c>
      <c r="B3345" s="3" t="str">
        <f>IF(Raw_Data!J3345=1,Raw_Data!D3345,"")</f>
        <v/>
      </c>
    </row>
    <row r="3346" spans="1:2" x14ac:dyDescent="0.25">
      <c r="A3346" s="3">
        <f>IF(Raw_Data!J3346=0,Raw_Data!D3346,"")</f>
        <v>2630.3</v>
      </c>
      <c r="B3346" s="3" t="str">
        <f>IF(Raw_Data!J3346=1,Raw_Data!D3346,"")</f>
        <v/>
      </c>
    </row>
    <row r="3347" spans="1:2" x14ac:dyDescent="0.25">
      <c r="A3347" s="3">
        <f>IF(Raw_Data!J3347=0,Raw_Data!D3347,"")</f>
        <v>623.36</v>
      </c>
      <c r="B3347" s="3" t="str">
        <f>IF(Raw_Data!J3347=1,Raw_Data!D3347,"")</f>
        <v/>
      </c>
    </row>
    <row r="3348" spans="1:2" x14ac:dyDescent="0.25">
      <c r="A3348" s="3" t="str">
        <f>IF(Raw_Data!J3348=0,Raw_Data!D3348,"")</f>
        <v/>
      </c>
      <c r="B3348" s="3">
        <f>IF(Raw_Data!J3348=1,Raw_Data!D3348,"")</f>
        <v>1559.8</v>
      </c>
    </row>
    <row r="3349" spans="1:2" x14ac:dyDescent="0.25">
      <c r="A3349" s="3" t="str">
        <f>IF(Raw_Data!J3349=0,Raw_Data!D3349,"")</f>
        <v/>
      </c>
      <c r="B3349" s="3">
        <f>IF(Raw_Data!J3349=1,Raw_Data!D3349,"")</f>
        <v>442.13</v>
      </c>
    </row>
    <row r="3350" spans="1:2" x14ac:dyDescent="0.25">
      <c r="A3350" s="3">
        <f>IF(Raw_Data!J3350=0,Raw_Data!D3350,"")</f>
        <v>2149.8200000000002</v>
      </c>
      <c r="B3350" s="3" t="str">
        <f>IF(Raw_Data!J3350=1,Raw_Data!D3350,"")</f>
        <v/>
      </c>
    </row>
    <row r="3351" spans="1:2" x14ac:dyDescent="0.25">
      <c r="A3351" s="3">
        <f>IF(Raw_Data!J3351=0,Raw_Data!D3351,"")</f>
        <v>1789.98</v>
      </c>
      <c r="B3351" s="3" t="str">
        <f>IF(Raw_Data!J3351=1,Raw_Data!D3351,"")</f>
        <v/>
      </c>
    </row>
    <row r="3352" spans="1:2" x14ac:dyDescent="0.25">
      <c r="A3352" s="3">
        <f>IF(Raw_Data!J3352=0,Raw_Data!D3352,"")</f>
        <v>1510.95</v>
      </c>
      <c r="B3352" s="3" t="str">
        <f>IF(Raw_Data!J3352=1,Raw_Data!D3352,"")</f>
        <v/>
      </c>
    </row>
    <row r="3353" spans="1:2" x14ac:dyDescent="0.25">
      <c r="A3353" s="3">
        <f>IF(Raw_Data!J3353=0,Raw_Data!D3353,"")</f>
        <v>1751.43</v>
      </c>
      <c r="B3353" s="3" t="str">
        <f>IF(Raw_Data!J3353=1,Raw_Data!D3353,"")</f>
        <v/>
      </c>
    </row>
    <row r="3354" spans="1:2" x14ac:dyDescent="0.25">
      <c r="A3354" s="3">
        <f>IF(Raw_Data!J3354=0,Raw_Data!D3354,"")</f>
        <v>2465.5500000000002</v>
      </c>
      <c r="B3354" s="3" t="str">
        <f>IF(Raw_Data!J3354=1,Raw_Data!D3354,"")</f>
        <v/>
      </c>
    </row>
    <row r="3355" spans="1:2" x14ac:dyDescent="0.25">
      <c r="A3355" s="3" t="str">
        <f>IF(Raw_Data!J3355=0,Raw_Data!D3355,"")</f>
        <v/>
      </c>
      <c r="B3355" s="3">
        <f>IF(Raw_Data!J3355=1,Raw_Data!D3355,"")</f>
        <v>2791.27</v>
      </c>
    </row>
    <row r="3356" spans="1:2" x14ac:dyDescent="0.25">
      <c r="A3356" s="3">
        <f>IF(Raw_Data!J3356=0,Raw_Data!D3356,"")</f>
        <v>876.71</v>
      </c>
      <c r="B3356" s="3" t="str">
        <f>IF(Raw_Data!J3356=1,Raw_Data!D3356,"")</f>
        <v/>
      </c>
    </row>
    <row r="3357" spans="1:2" x14ac:dyDescent="0.25">
      <c r="A3357" s="3">
        <f>IF(Raw_Data!J3357=0,Raw_Data!D3357,"")</f>
        <v>1199.78</v>
      </c>
      <c r="B3357" s="3" t="str">
        <f>IF(Raw_Data!J3357=1,Raw_Data!D3357,"")</f>
        <v/>
      </c>
    </row>
    <row r="3358" spans="1:2" x14ac:dyDescent="0.25">
      <c r="A3358" s="3">
        <f>IF(Raw_Data!J3358=0,Raw_Data!D3358,"")</f>
        <v>2546.7800000000002</v>
      </c>
      <c r="B3358" s="3" t="str">
        <f>IF(Raw_Data!J3358=1,Raw_Data!D3358,"")</f>
        <v/>
      </c>
    </row>
    <row r="3359" spans="1:2" x14ac:dyDescent="0.25">
      <c r="A3359" s="3">
        <f>IF(Raw_Data!J3359=0,Raw_Data!D3359,"")</f>
        <v>5168.51</v>
      </c>
      <c r="B3359" s="3" t="str">
        <f>IF(Raw_Data!J3359=1,Raw_Data!D3359,"")</f>
        <v/>
      </c>
    </row>
    <row r="3360" spans="1:2" x14ac:dyDescent="0.25">
      <c r="A3360" s="3">
        <f>IF(Raw_Data!J3360=0,Raw_Data!D3360,"")</f>
        <v>3401.67</v>
      </c>
      <c r="B3360" s="3" t="str">
        <f>IF(Raw_Data!J3360=1,Raw_Data!D3360,"")</f>
        <v/>
      </c>
    </row>
    <row r="3361" spans="1:2" x14ac:dyDescent="0.25">
      <c r="A3361" s="3">
        <f>IF(Raw_Data!J3361=0,Raw_Data!D3361,"")</f>
        <v>1210.72</v>
      </c>
      <c r="B3361" s="3" t="str">
        <f>IF(Raw_Data!J3361=1,Raw_Data!D3361,"")</f>
        <v/>
      </c>
    </row>
    <row r="3362" spans="1:2" x14ac:dyDescent="0.25">
      <c r="A3362" s="3" t="str">
        <f>IF(Raw_Data!J3362=0,Raw_Data!D3362,"")</f>
        <v/>
      </c>
      <c r="B3362" s="3">
        <f>IF(Raw_Data!J3362=1,Raw_Data!D3362,"")</f>
        <v>1255.92</v>
      </c>
    </row>
    <row r="3363" spans="1:2" x14ac:dyDescent="0.25">
      <c r="A3363" s="3">
        <f>IF(Raw_Data!J3363=0,Raw_Data!D3363,"")</f>
        <v>1561.86</v>
      </c>
      <c r="B3363" s="3" t="str">
        <f>IF(Raw_Data!J3363=1,Raw_Data!D3363,"")</f>
        <v/>
      </c>
    </row>
    <row r="3364" spans="1:2" x14ac:dyDescent="0.25">
      <c r="A3364" s="3">
        <f>IF(Raw_Data!J3364=0,Raw_Data!D3364,"")</f>
        <v>1282.81</v>
      </c>
      <c r="B3364" s="3" t="str">
        <f>IF(Raw_Data!J3364=1,Raw_Data!D3364,"")</f>
        <v/>
      </c>
    </row>
    <row r="3365" spans="1:2" x14ac:dyDescent="0.25">
      <c r="A3365" s="3">
        <f>IF(Raw_Data!J3365=0,Raw_Data!D3365,"")</f>
        <v>2137.04</v>
      </c>
      <c r="B3365" s="3" t="str">
        <f>IF(Raw_Data!J3365=1,Raw_Data!D3365,"")</f>
        <v/>
      </c>
    </row>
    <row r="3366" spans="1:2" x14ac:dyDescent="0.25">
      <c r="A3366" s="3">
        <f>IF(Raw_Data!J3366=0,Raw_Data!D3366,"")</f>
        <v>2219.0500000000002</v>
      </c>
      <c r="B3366" s="3" t="str">
        <f>IF(Raw_Data!J3366=1,Raw_Data!D3366,"")</f>
        <v/>
      </c>
    </row>
    <row r="3367" spans="1:2" x14ac:dyDescent="0.25">
      <c r="A3367" s="3">
        <f>IF(Raw_Data!J3367=0,Raw_Data!D3367,"")</f>
        <v>2879.51</v>
      </c>
      <c r="B3367" s="3" t="str">
        <f>IF(Raw_Data!J3367=1,Raw_Data!D3367,"")</f>
        <v/>
      </c>
    </row>
    <row r="3368" spans="1:2" x14ac:dyDescent="0.25">
      <c r="A3368" s="3" t="str">
        <f>IF(Raw_Data!J3368=0,Raw_Data!D3368,"")</f>
        <v/>
      </c>
      <c r="B3368" s="3">
        <f>IF(Raw_Data!J3368=1,Raw_Data!D3368,"")</f>
        <v>1143.8599999999999</v>
      </c>
    </row>
    <row r="3369" spans="1:2" x14ac:dyDescent="0.25">
      <c r="A3369" s="3">
        <f>IF(Raw_Data!J3369=0,Raw_Data!D3369,"")</f>
        <v>2281.33</v>
      </c>
      <c r="B3369" s="3" t="str">
        <f>IF(Raw_Data!J3369=1,Raw_Data!D3369,"")</f>
        <v/>
      </c>
    </row>
    <row r="3370" spans="1:2" x14ac:dyDescent="0.25">
      <c r="A3370" s="3">
        <f>IF(Raw_Data!J3370=0,Raw_Data!D3370,"")</f>
        <v>566.66</v>
      </c>
      <c r="B3370" s="3" t="str">
        <f>IF(Raw_Data!J3370=1,Raw_Data!D3370,"")</f>
        <v/>
      </c>
    </row>
    <row r="3371" spans="1:2" x14ac:dyDescent="0.25">
      <c r="A3371" s="3">
        <f>IF(Raw_Data!J3371=0,Raw_Data!D3371,"")</f>
        <v>4153.75</v>
      </c>
      <c r="B3371" s="3" t="str">
        <f>IF(Raw_Data!J3371=1,Raw_Data!D3371,"")</f>
        <v/>
      </c>
    </row>
    <row r="3372" spans="1:2" x14ac:dyDescent="0.25">
      <c r="A3372" s="3">
        <f>IF(Raw_Data!J3372=0,Raw_Data!D3372,"")</f>
        <v>2921.46</v>
      </c>
      <c r="B3372" s="3" t="str">
        <f>IF(Raw_Data!J3372=1,Raw_Data!D3372,"")</f>
        <v/>
      </c>
    </row>
    <row r="3373" spans="1:2" x14ac:dyDescent="0.25">
      <c r="A3373" s="3">
        <f>IF(Raw_Data!J3373=0,Raw_Data!D3373,"")</f>
        <v>3352.97</v>
      </c>
      <c r="B3373" s="3" t="str">
        <f>IF(Raw_Data!J3373=1,Raw_Data!D3373,"")</f>
        <v/>
      </c>
    </row>
    <row r="3374" spans="1:2" x14ac:dyDescent="0.25">
      <c r="A3374" s="3">
        <f>IF(Raw_Data!J3374=0,Raw_Data!D3374,"")</f>
        <v>2675.49</v>
      </c>
      <c r="B3374" s="3" t="str">
        <f>IF(Raw_Data!J3374=1,Raw_Data!D3374,"")</f>
        <v/>
      </c>
    </row>
    <row r="3375" spans="1:2" x14ac:dyDescent="0.25">
      <c r="A3375" s="3">
        <f>IF(Raw_Data!J3375=0,Raw_Data!D3375,"")</f>
        <v>2117.5100000000002</v>
      </c>
      <c r="B3375" s="3" t="str">
        <f>IF(Raw_Data!J3375=1,Raw_Data!D3375,"")</f>
        <v/>
      </c>
    </row>
    <row r="3376" spans="1:2" x14ac:dyDescent="0.25">
      <c r="A3376" s="3">
        <f>IF(Raw_Data!J3376=0,Raw_Data!D3376,"")</f>
        <v>2573.6999999999998</v>
      </c>
      <c r="B3376" s="3" t="str">
        <f>IF(Raw_Data!J3376=1,Raw_Data!D3376,"")</f>
        <v/>
      </c>
    </row>
    <row r="3377" spans="1:2" x14ac:dyDescent="0.25">
      <c r="A3377" s="3">
        <f>IF(Raw_Data!J3377=0,Raw_Data!D3377,"")</f>
        <v>4685.3599999999997</v>
      </c>
      <c r="B3377" s="3" t="str">
        <f>IF(Raw_Data!J3377=1,Raw_Data!D3377,"")</f>
        <v/>
      </c>
    </row>
    <row r="3378" spans="1:2" x14ac:dyDescent="0.25">
      <c r="A3378" s="3">
        <f>IF(Raw_Data!J3378=0,Raw_Data!D3378,"")</f>
        <v>4484.13</v>
      </c>
      <c r="B3378" s="3" t="str">
        <f>IF(Raw_Data!J3378=1,Raw_Data!D3378,"")</f>
        <v/>
      </c>
    </row>
    <row r="3379" spans="1:2" x14ac:dyDescent="0.25">
      <c r="A3379" s="3">
        <f>IF(Raw_Data!J3379=0,Raw_Data!D3379,"")</f>
        <v>2521.63</v>
      </c>
      <c r="B3379" s="3" t="str">
        <f>IF(Raw_Data!J3379=1,Raw_Data!D3379,"")</f>
        <v/>
      </c>
    </row>
    <row r="3380" spans="1:2" x14ac:dyDescent="0.25">
      <c r="A3380" s="3">
        <f>IF(Raw_Data!J3380=0,Raw_Data!D3380,"")</f>
        <v>2833.09</v>
      </c>
      <c r="B3380" s="3" t="str">
        <f>IF(Raw_Data!J3380=1,Raw_Data!D3380,"")</f>
        <v/>
      </c>
    </row>
    <row r="3381" spans="1:2" x14ac:dyDescent="0.25">
      <c r="A3381" s="3">
        <f>IF(Raw_Data!J3381=0,Raw_Data!D3381,"")</f>
        <v>3736.64</v>
      </c>
      <c r="B3381" s="3" t="str">
        <f>IF(Raw_Data!J3381=1,Raw_Data!D3381,"")</f>
        <v/>
      </c>
    </row>
    <row r="3382" spans="1:2" x14ac:dyDescent="0.25">
      <c r="A3382" s="3">
        <f>IF(Raw_Data!J3382=0,Raw_Data!D3382,"")</f>
        <v>1495.09</v>
      </c>
      <c r="B3382" s="3" t="str">
        <f>IF(Raw_Data!J3382=1,Raw_Data!D3382,"")</f>
        <v/>
      </c>
    </row>
    <row r="3383" spans="1:2" x14ac:dyDescent="0.25">
      <c r="A3383" s="3">
        <f>IF(Raw_Data!J3383=0,Raw_Data!D3383,"")</f>
        <v>1239.45</v>
      </c>
      <c r="B3383" s="3" t="str">
        <f>IF(Raw_Data!J3383=1,Raw_Data!D3383,"")</f>
        <v/>
      </c>
    </row>
    <row r="3384" spans="1:2" x14ac:dyDescent="0.25">
      <c r="A3384" s="3">
        <f>IF(Raw_Data!J3384=0,Raw_Data!D3384,"")</f>
        <v>8661.93</v>
      </c>
      <c r="B3384" s="3" t="str">
        <f>IF(Raw_Data!J3384=1,Raw_Data!D3384,"")</f>
        <v/>
      </c>
    </row>
    <row r="3385" spans="1:2" x14ac:dyDescent="0.25">
      <c r="A3385" s="3">
        <f>IF(Raw_Data!J3385=0,Raw_Data!D3385,"")</f>
        <v>1636.25</v>
      </c>
      <c r="B3385" s="3" t="str">
        <f>IF(Raw_Data!J3385=1,Raw_Data!D3385,"")</f>
        <v/>
      </c>
    </row>
    <row r="3386" spans="1:2" x14ac:dyDescent="0.25">
      <c r="A3386" s="3" t="str">
        <f>IF(Raw_Data!J3386=0,Raw_Data!D3386,"")</f>
        <v/>
      </c>
      <c r="B3386" s="3">
        <f>IF(Raw_Data!J3386=1,Raw_Data!D3386,"")</f>
        <v>195.86</v>
      </c>
    </row>
    <row r="3387" spans="1:2" x14ac:dyDescent="0.25">
      <c r="A3387" s="3">
        <f>IF(Raw_Data!J3387=0,Raw_Data!D3387,"")</f>
        <v>2843.29</v>
      </c>
      <c r="B3387" s="3" t="str">
        <f>IF(Raw_Data!J3387=1,Raw_Data!D3387,"")</f>
        <v/>
      </c>
    </row>
    <row r="3388" spans="1:2" x14ac:dyDescent="0.25">
      <c r="A3388" s="3">
        <f>IF(Raw_Data!J3388=0,Raw_Data!D3388,"")</f>
        <v>789.52</v>
      </c>
      <c r="B3388" s="3" t="str">
        <f>IF(Raw_Data!J3388=1,Raw_Data!D3388,"")</f>
        <v/>
      </c>
    </row>
    <row r="3389" spans="1:2" x14ac:dyDescent="0.25">
      <c r="A3389" s="3">
        <f>IF(Raw_Data!J3389=0,Raw_Data!D3389,"")</f>
        <v>2547.63</v>
      </c>
      <c r="B3389" s="3" t="str">
        <f>IF(Raw_Data!J3389=1,Raw_Data!D3389,"")</f>
        <v/>
      </c>
    </row>
    <row r="3390" spans="1:2" x14ac:dyDescent="0.25">
      <c r="A3390" s="3">
        <f>IF(Raw_Data!J3390=0,Raw_Data!D3390,"")</f>
        <v>2400.71</v>
      </c>
      <c r="B3390" s="3" t="str">
        <f>IF(Raw_Data!J3390=1,Raw_Data!D3390,"")</f>
        <v/>
      </c>
    </row>
    <row r="3391" spans="1:2" x14ac:dyDescent="0.25">
      <c r="A3391" s="3" t="str">
        <f>IF(Raw_Data!J3391=0,Raw_Data!D3391,"")</f>
        <v/>
      </c>
      <c r="B3391" s="3">
        <f>IF(Raw_Data!J3391=1,Raw_Data!D3391,"")</f>
        <v>1417.71</v>
      </c>
    </row>
    <row r="3392" spans="1:2" x14ac:dyDescent="0.25">
      <c r="A3392" s="3">
        <f>IF(Raw_Data!J3392=0,Raw_Data!D3392,"")</f>
        <v>4264.6499999999996</v>
      </c>
      <c r="B3392" s="3" t="str">
        <f>IF(Raw_Data!J3392=1,Raw_Data!D3392,"")</f>
        <v/>
      </c>
    </row>
    <row r="3393" spans="1:2" x14ac:dyDescent="0.25">
      <c r="A3393" s="3">
        <f>IF(Raw_Data!J3393=0,Raw_Data!D3393,"")</f>
        <v>2691.53</v>
      </c>
      <c r="B3393" s="3" t="str">
        <f>IF(Raw_Data!J3393=1,Raw_Data!D3393,"")</f>
        <v/>
      </c>
    </row>
    <row r="3394" spans="1:2" x14ac:dyDescent="0.25">
      <c r="A3394" s="3" t="str">
        <f>IF(Raw_Data!J3394=0,Raw_Data!D3394,"")</f>
        <v/>
      </c>
      <c r="B3394" s="3">
        <f>IF(Raw_Data!J3394=1,Raw_Data!D3394,"")</f>
        <v>223.44</v>
      </c>
    </row>
    <row r="3395" spans="1:2" x14ac:dyDescent="0.25">
      <c r="A3395" s="3">
        <f>IF(Raw_Data!J3395=0,Raw_Data!D3395,"")</f>
        <v>2793.59</v>
      </c>
      <c r="B3395" s="3" t="str">
        <f>IF(Raw_Data!J3395=1,Raw_Data!D3395,"")</f>
        <v/>
      </c>
    </row>
    <row r="3396" spans="1:2" x14ac:dyDescent="0.25">
      <c r="A3396" s="3">
        <f>IF(Raw_Data!J3396=0,Raw_Data!D3396,"")</f>
        <v>1459.42</v>
      </c>
      <c r="B3396" s="3" t="str">
        <f>IF(Raw_Data!J3396=1,Raw_Data!D3396,"")</f>
        <v/>
      </c>
    </row>
    <row r="3397" spans="1:2" x14ac:dyDescent="0.25">
      <c r="A3397" s="3" t="str">
        <f>IF(Raw_Data!J3397=0,Raw_Data!D3397,"")</f>
        <v/>
      </c>
      <c r="B3397" s="3">
        <f>IF(Raw_Data!J3397=1,Raw_Data!D3397,"")</f>
        <v>1511.07</v>
      </c>
    </row>
    <row r="3398" spans="1:2" x14ac:dyDescent="0.25">
      <c r="A3398" s="3">
        <f>IF(Raw_Data!J3398=0,Raw_Data!D3398,"")</f>
        <v>934.15</v>
      </c>
      <c r="B3398" s="3" t="str">
        <f>IF(Raw_Data!J3398=1,Raw_Data!D3398,"")</f>
        <v/>
      </c>
    </row>
    <row r="3399" spans="1:2" x14ac:dyDescent="0.25">
      <c r="A3399" s="3">
        <f>IF(Raw_Data!J3399=0,Raw_Data!D3399,"")</f>
        <v>276.32</v>
      </c>
      <c r="B3399" s="3" t="str">
        <f>IF(Raw_Data!J3399=1,Raw_Data!D3399,"")</f>
        <v/>
      </c>
    </row>
    <row r="3400" spans="1:2" x14ac:dyDescent="0.25">
      <c r="A3400" s="3">
        <f>IF(Raw_Data!J3400=0,Raw_Data!D3400,"")</f>
        <v>6175.32</v>
      </c>
      <c r="B3400" s="3" t="str">
        <f>IF(Raw_Data!J3400=1,Raw_Data!D3400,"")</f>
        <v/>
      </c>
    </row>
    <row r="3401" spans="1:2" x14ac:dyDescent="0.25">
      <c r="A3401" s="3">
        <f>IF(Raw_Data!J3401=0,Raw_Data!D3401,"")</f>
        <v>4632.93</v>
      </c>
      <c r="B3401" s="3" t="str">
        <f>IF(Raw_Data!J3401=1,Raw_Data!D3401,"")</f>
        <v/>
      </c>
    </row>
    <row r="3402" spans="1:2" x14ac:dyDescent="0.25">
      <c r="A3402" s="3">
        <f>IF(Raw_Data!J3402=0,Raw_Data!D3402,"")</f>
        <v>2843.87</v>
      </c>
      <c r="B3402" s="3" t="str">
        <f>IF(Raw_Data!J3402=1,Raw_Data!D3402,"")</f>
        <v/>
      </c>
    </row>
    <row r="3403" spans="1:2" x14ac:dyDescent="0.25">
      <c r="A3403" s="3">
        <f>IF(Raw_Data!J3403=0,Raw_Data!D3403,"")</f>
        <v>1210.02</v>
      </c>
      <c r="B3403" s="3" t="str">
        <f>IF(Raw_Data!J3403=1,Raw_Data!D3403,"")</f>
        <v/>
      </c>
    </row>
    <row r="3404" spans="1:2" x14ac:dyDescent="0.25">
      <c r="A3404" s="3">
        <f>IF(Raw_Data!J3404=0,Raw_Data!D3404,"")</f>
        <v>596.66</v>
      </c>
      <c r="B3404" s="3" t="str">
        <f>IF(Raw_Data!J3404=1,Raw_Data!D3404,"")</f>
        <v/>
      </c>
    </row>
    <row r="3405" spans="1:2" x14ac:dyDescent="0.25">
      <c r="A3405" s="3">
        <f>IF(Raw_Data!J3405=0,Raw_Data!D3405,"")</f>
        <v>1508.09</v>
      </c>
      <c r="B3405" s="3" t="str">
        <f>IF(Raw_Data!J3405=1,Raw_Data!D3405,"")</f>
        <v/>
      </c>
    </row>
    <row r="3406" spans="1:2" x14ac:dyDescent="0.25">
      <c r="A3406" s="3">
        <f>IF(Raw_Data!J3406=0,Raw_Data!D3406,"")</f>
        <v>9460.92</v>
      </c>
      <c r="B3406" s="3" t="str">
        <f>IF(Raw_Data!J3406=1,Raw_Data!D3406,"")</f>
        <v/>
      </c>
    </row>
    <row r="3407" spans="1:2" x14ac:dyDescent="0.25">
      <c r="A3407" s="3">
        <f>IF(Raw_Data!J3407=0,Raw_Data!D3407,"")</f>
        <v>1652.93</v>
      </c>
      <c r="B3407" s="3" t="str">
        <f>IF(Raw_Data!J3407=1,Raw_Data!D3407,"")</f>
        <v/>
      </c>
    </row>
    <row r="3408" spans="1:2" x14ac:dyDescent="0.25">
      <c r="A3408" s="3">
        <f>IF(Raw_Data!J3408=0,Raw_Data!D3408,"")</f>
        <v>1581.07</v>
      </c>
      <c r="B3408" s="3" t="str">
        <f>IF(Raw_Data!J3408=1,Raw_Data!D3408,"")</f>
        <v/>
      </c>
    </row>
    <row r="3409" spans="1:2" x14ac:dyDescent="0.25">
      <c r="A3409" s="3" t="str">
        <f>IF(Raw_Data!J3409=0,Raw_Data!D3409,"")</f>
        <v/>
      </c>
      <c r="B3409" s="3">
        <f>IF(Raw_Data!J3409=1,Raw_Data!D3409,"")</f>
        <v>7673.72</v>
      </c>
    </row>
    <row r="3410" spans="1:2" x14ac:dyDescent="0.25">
      <c r="A3410" s="3">
        <f>IF(Raw_Data!J3410=0,Raw_Data!D3410,"")</f>
        <v>5243.92</v>
      </c>
      <c r="B3410" s="3" t="str">
        <f>IF(Raw_Data!J3410=1,Raw_Data!D3410,"")</f>
        <v/>
      </c>
    </row>
    <row r="3411" spans="1:2" x14ac:dyDescent="0.25">
      <c r="A3411" s="3" t="str">
        <f>IF(Raw_Data!J3411=0,Raw_Data!D3411,"")</f>
        <v/>
      </c>
      <c r="B3411" s="3">
        <f>IF(Raw_Data!J3411=1,Raw_Data!D3411,"")</f>
        <v>3354.9</v>
      </c>
    </row>
    <row r="3412" spans="1:2" x14ac:dyDescent="0.25">
      <c r="A3412" s="3" t="str">
        <f>IF(Raw_Data!J3412=0,Raw_Data!D3412,"")</f>
        <v/>
      </c>
      <c r="B3412" s="3">
        <f>IF(Raw_Data!J3412=1,Raw_Data!D3412,"")</f>
        <v>1840.79</v>
      </c>
    </row>
    <row r="3413" spans="1:2" x14ac:dyDescent="0.25">
      <c r="A3413" s="3">
        <f>IF(Raw_Data!J3413=0,Raw_Data!D3413,"")</f>
        <v>4802.83</v>
      </c>
      <c r="B3413" s="3" t="str">
        <f>IF(Raw_Data!J3413=1,Raw_Data!D3413,"")</f>
        <v/>
      </c>
    </row>
    <row r="3414" spans="1:2" x14ac:dyDescent="0.25">
      <c r="A3414" s="3">
        <f>IF(Raw_Data!J3414=0,Raw_Data!D3414,"")</f>
        <v>675.85</v>
      </c>
      <c r="B3414" s="3" t="str">
        <f>IF(Raw_Data!J3414=1,Raw_Data!D3414,"")</f>
        <v/>
      </c>
    </row>
    <row r="3415" spans="1:2" x14ac:dyDescent="0.25">
      <c r="A3415" s="3">
        <f>IF(Raw_Data!J3415=0,Raw_Data!D3415,"")</f>
        <v>1386.34</v>
      </c>
      <c r="B3415" s="3" t="str">
        <f>IF(Raw_Data!J3415=1,Raw_Data!D3415,"")</f>
        <v/>
      </c>
    </row>
    <row r="3416" spans="1:2" x14ac:dyDescent="0.25">
      <c r="A3416" s="3">
        <f>IF(Raw_Data!J3416=0,Raw_Data!D3416,"")</f>
        <v>2766.24</v>
      </c>
      <c r="B3416" s="3" t="str">
        <f>IF(Raw_Data!J3416=1,Raw_Data!D3416,"")</f>
        <v/>
      </c>
    </row>
    <row r="3417" spans="1:2" x14ac:dyDescent="0.25">
      <c r="A3417" s="3">
        <f>IF(Raw_Data!J3417=0,Raw_Data!D3417,"")</f>
        <v>440.92</v>
      </c>
      <c r="B3417" s="3" t="str">
        <f>IF(Raw_Data!J3417=1,Raw_Data!D3417,"")</f>
        <v/>
      </c>
    </row>
    <row r="3418" spans="1:2" x14ac:dyDescent="0.25">
      <c r="A3418" s="3">
        <f>IF(Raw_Data!J3418=0,Raw_Data!D3418,"")</f>
        <v>2452.89</v>
      </c>
      <c r="B3418" s="3" t="str">
        <f>IF(Raw_Data!J3418=1,Raw_Data!D3418,"")</f>
        <v/>
      </c>
    </row>
    <row r="3419" spans="1:2" x14ac:dyDescent="0.25">
      <c r="A3419" s="3" t="str">
        <f>IF(Raw_Data!J3419=0,Raw_Data!D3419,"")</f>
        <v/>
      </c>
      <c r="B3419" s="3">
        <f>IF(Raw_Data!J3419=1,Raw_Data!D3419,"")</f>
        <v>3083.11</v>
      </c>
    </row>
    <row r="3420" spans="1:2" x14ac:dyDescent="0.25">
      <c r="A3420" s="3">
        <f>IF(Raw_Data!J3420=0,Raw_Data!D3420,"")</f>
        <v>1032.02</v>
      </c>
      <c r="B3420" s="3" t="str">
        <f>IF(Raw_Data!J3420=1,Raw_Data!D3420,"")</f>
        <v/>
      </c>
    </row>
    <row r="3421" spans="1:2" x14ac:dyDescent="0.25">
      <c r="A3421" s="3">
        <f>IF(Raw_Data!J3421=0,Raw_Data!D3421,"")</f>
        <v>2768.03</v>
      </c>
      <c r="B3421" s="3" t="str">
        <f>IF(Raw_Data!J3421=1,Raw_Data!D3421,"")</f>
        <v/>
      </c>
    </row>
    <row r="3422" spans="1:2" x14ac:dyDescent="0.25">
      <c r="A3422" s="3">
        <f>IF(Raw_Data!J3422=0,Raw_Data!D3422,"")</f>
        <v>1690.39</v>
      </c>
      <c r="B3422" s="3" t="str">
        <f>IF(Raw_Data!J3422=1,Raw_Data!D3422,"")</f>
        <v/>
      </c>
    </row>
    <row r="3423" spans="1:2" x14ac:dyDescent="0.25">
      <c r="A3423" s="3">
        <f>IF(Raw_Data!J3423=0,Raw_Data!D3423,"")</f>
        <v>1883.31</v>
      </c>
      <c r="B3423" s="3" t="str">
        <f>IF(Raw_Data!J3423=1,Raw_Data!D3423,"")</f>
        <v/>
      </c>
    </row>
    <row r="3424" spans="1:2" x14ac:dyDescent="0.25">
      <c r="A3424" s="3" t="str">
        <f>IF(Raw_Data!J3424=0,Raw_Data!D3424,"")</f>
        <v/>
      </c>
      <c r="B3424" s="3">
        <f>IF(Raw_Data!J3424=1,Raw_Data!D3424,"")</f>
        <v>4836.75</v>
      </c>
    </row>
    <row r="3425" spans="1:2" x14ac:dyDescent="0.25">
      <c r="A3425" s="3">
        <f>IF(Raw_Data!J3425=0,Raw_Data!D3425,"")</f>
        <v>1883.73</v>
      </c>
      <c r="B3425" s="3" t="str">
        <f>IF(Raw_Data!J3425=1,Raw_Data!D3425,"")</f>
        <v/>
      </c>
    </row>
    <row r="3426" spans="1:2" x14ac:dyDescent="0.25">
      <c r="A3426" s="3">
        <f>IF(Raw_Data!J3426=0,Raw_Data!D3426,"")</f>
        <v>2913.72</v>
      </c>
      <c r="B3426" s="3" t="str">
        <f>IF(Raw_Data!J3426=1,Raw_Data!D3426,"")</f>
        <v/>
      </c>
    </row>
    <row r="3427" spans="1:2" x14ac:dyDescent="0.25">
      <c r="A3427" s="3">
        <f>IF(Raw_Data!J3427=0,Raw_Data!D3427,"")</f>
        <v>7274.02</v>
      </c>
      <c r="B3427" s="3" t="str">
        <f>IF(Raw_Data!J3427=1,Raw_Data!D3427,"")</f>
        <v/>
      </c>
    </row>
    <row r="3428" spans="1:2" x14ac:dyDescent="0.25">
      <c r="A3428" s="3">
        <f>IF(Raw_Data!J3428=0,Raw_Data!D3428,"")</f>
        <v>641.25</v>
      </c>
      <c r="B3428" s="3" t="str">
        <f>IF(Raw_Data!J3428=1,Raw_Data!D3428,"")</f>
        <v/>
      </c>
    </row>
    <row r="3429" spans="1:2" x14ac:dyDescent="0.25">
      <c r="A3429" s="3">
        <f>IF(Raw_Data!J3429=0,Raw_Data!D3429,"")</f>
        <v>3156.33</v>
      </c>
      <c r="B3429" s="3" t="str">
        <f>IF(Raw_Data!J3429=1,Raw_Data!D3429,"")</f>
        <v/>
      </c>
    </row>
    <row r="3430" spans="1:2" x14ac:dyDescent="0.25">
      <c r="A3430" s="3">
        <f>IF(Raw_Data!J3430=0,Raw_Data!D3430,"")</f>
        <v>1459.56</v>
      </c>
      <c r="B3430" s="3" t="str">
        <f>IF(Raw_Data!J3430=1,Raw_Data!D3430,"")</f>
        <v/>
      </c>
    </row>
    <row r="3431" spans="1:2" x14ac:dyDescent="0.25">
      <c r="A3431" s="3">
        <f>IF(Raw_Data!J3431=0,Raw_Data!D3431,"")</f>
        <v>1044.24</v>
      </c>
      <c r="B3431" s="3" t="str">
        <f>IF(Raw_Data!J3431=1,Raw_Data!D3431,"")</f>
        <v/>
      </c>
    </row>
    <row r="3432" spans="1:2" x14ac:dyDescent="0.25">
      <c r="A3432" s="3">
        <f>IF(Raw_Data!J3432=0,Raw_Data!D3432,"")</f>
        <v>1475.86</v>
      </c>
      <c r="B3432" s="3" t="str">
        <f>IF(Raw_Data!J3432=1,Raw_Data!D3432,"")</f>
        <v/>
      </c>
    </row>
    <row r="3433" spans="1:2" x14ac:dyDescent="0.25">
      <c r="A3433" s="3">
        <f>IF(Raw_Data!J3433=0,Raw_Data!D3433,"")</f>
        <v>980.41</v>
      </c>
      <c r="B3433" s="3" t="str">
        <f>IF(Raw_Data!J3433=1,Raw_Data!D3433,"")</f>
        <v/>
      </c>
    </row>
    <row r="3434" spans="1:2" x14ac:dyDescent="0.25">
      <c r="A3434" s="3">
        <f>IF(Raw_Data!J3434=0,Raw_Data!D3434,"")</f>
        <v>3410.48</v>
      </c>
      <c r="B3434" s="3" t="str">
        <f>IF(Raw_Data!J3434=1,Raw_Data!D3434,"")</f>
        <v/>
      </c>
    </row>
    <row r="3435" spans="1:2" x14ac:dyDescent="0.25">
      <c r="A3435" s="3">
        <f>IF(Raw_Data!J3435=0,Raw_Data!D3435,"")</f>
        <v>2164.13</v>
      </c>
      <c r="B3435" s="3" t="str">
        <f>IF(Raw_Data!J3435=1,Raw_Data!D3435,"")</f>
        <v/>
      </c>
    </row>
    <row r="3436" spans="1:2" x14ac:dyDescent="0.25">
      <c r="A3436" s="3">
        <f>IF(Raw_Data!J3436=0,Raw_Data!D3436,"")</f>
        <v>3820.01</v>
      </c>
      <c r="B3436" s="3" t="str">
        <f>IF(Raw_Data!J3436=1,Raw_Data!D3436,"")</f>
        <v/>
      </c>
    </row>
    <row r="3437" spans="1:2" x14ac:dyDescent="0.25">
      <c r="A3437" s="3">
        <f>IF(Raw_Data!J3437=0,Raw_Data!D3437,"")</f>
        <v>3426.33</v>
      </c>
      <c r="B3437" s="3" t="str">
        <f>IF(Raw_Data!J3437=1,Raw_Data!D3437,"")</f>
        <v/>
      </c>
    </row>
    <row r="3438" spans="1:2" x14ac:dyDescent="0.25">
      <c r="A3438" s="3">
        <f>IF(Raw_Data!J3438=0,Raw_Data!D3438,"")</f>
        <v>3175.64</v>
      </c>
      <c r="B3438" s="3" t="str">
        <f>IF(Raw_Data!J3438=1,Raw_Data!D3438,"")</f>
        <v/>
      </c>
    </row>
    <row r="3439" spans="1:2" x14ac:dyDescent="0.25">
      <c r="A3439" s="3">
        <f>IF(Raw_Data!J3439=0,Raw_Data!D3439,"")</f>
        <v>1779.78</v>
      </c>
      <c r="B3439" s="3" t="str">
        <f>IF(Raw_Data!J3439=1,Raw_Data!D3439,"")</f>
        <v/>
      </c>
    </row>
    <row r="3440" spans="1:2" x14ac:dyDescent="0.25">
      <c r="A3440" s="3">
        <f>IF(Raw_Data!J3440=0,Raw_Data!D3440,"")</f>
        <v>4445.99</v>
      </c>
      <c r="B3440" s="3" t="str">
        <f>IF(Raw_Data!J3440=1,Raw_Data!D3440,"")</f>
        <v/>
      </c>
    </row>
    <row r="3441" spans="1:2" x14ac:dyDescent="0.25">
      <c r="A3441" s="3" t="str">
        <f>IF(Raw_Data!J3441=0,Raw_Data!D3441,"")</f>
        <v/>
      </c>
      <c r="B3441" s="3">
        <f>IF(Raw_Data!J3441=1,Raw_Data!D3441,"")</f>
        <v>6095.64</v>
      </c>
    </row>
    <row r="3442" spans="1:2" x14ac:dyDescent="0.25">
      <c r="A3442" s="3">
        <f>IF(Raw_Data!J3442=0,Raw_Data!D3442,"")</f>
        <v>4093</v>
      </c>
      <c r="B3442" s="3" t="str">
        <f>IF(Raw_Data!J3442=1,Raw_Data!D3442,"")</f>
        <v/>
      </c>
    </row>
    <row r="3443" spans="1:2" x14ac:dyDescent="0.25">
      <c r="A3443" s="3">
        <f>IF(Raw_Data!J3443=0,Raw_Data!D3443,"")</f>
        <v>3812.26</v>
      </c>
      <c r="B3443" s="3" t="str">
        <f>IF(Raw_Data!J3443=1,Raw_Data!D3443,"")</f>
        <v/>
      </c>
    </row>
    <row r="3444" spans="1:2" x14ac:dyDescent="0.25">
      <c r="A3444" s="3">
        <f>IF(Raw_Data!J3444=0,Raw_Data!D3444,"")</f>
        <v>3794.84</v>
      </c>
      <c r="B3444" s="3" t="str">
        <f>IF(Raw_Data!J3444=1,Raw_Data!D3444,"")</f>
        <v/>
      </c>
    </row>
    <row r="3445" spans="1:2" x14ac:dyDescent="0.25">
      <c r="A3445" s="3">
        <f>IF(Raw_Data!J3445=0,Raw_Data!D3445,"")</f>
        <v>1838.98</v>
      </c>
      <c r="B3445" s="3" t="str">
        <f>IF(Raw_Data!J3445=1,Raw_Data!D3445,"")</f>
        <v/>
      </c>
    </row>
    <row r="3446" spans="1:2" x14ac:dyDescent="0.25">
      <c r="A3446" s="3" t="str">
        <f>IF(Raw_Data!J3446=0,Raw_Data!D3446,"")</f>
        <v/>
      </c>
      <c r="B3446" s="3">
        <f>IF(Raw_Data!J3446=1,Raw_Data!D3446,"")</f>
        <v>1998.13</v>
      </c>
    </row>
    <row r="3447" spans="1:2" x14ac:dyDescent="0.25">
      <c r="A3447" s="3">
        <f>IF(Raw_Data!J3447=0,Raw_Data!D3447,"")</f>
        <v>1861.97</v>
      </c>
      <c r="B3447" s="3" t="str">
        <f>IF(Raw_Data!J3447=1,Raw_Data!D3447,"")</f>
        <v/>
      </c>
    </row>
    <row r="3448" spans="1:2" x14ac:dyDescent="0.25">
      <c r="A3448" s="3">
        <f>IF(Raw_Data!J3448=0,Raw_Data!D3448,"")</f>
        <v>3552.79</v>
      </c>
      <c r="B3448" s="3" t="str">
        <f>IF(Raw_Data!J3448=1,Raw_Data!D3448,"")</f>
        <v/>
      </c>
    </row>
    <row r="3449" spans="1:2" x14ac:dyDescent="0.25">
      <c r="A3449" s="3">
        <f>IF(Raw_Data!J3449=0,Raw_Data!D3449,"")</f>
        <v>852.51</v>
      </c>
      <c r="B3449" s="3" t="str">
        <f>IF(Raw_Data!J3449=1,Raw_Data!D3449,"")</f>
        <v/>
      </c>
    </row>
    <row r="3450" spans="1:2" x14ac:dyDescent="0.25">
      <c r="A3450" s="3">
        <f>IF(Raw_Data!J3450=0,Raw_Data!D3450,"")</f>
        <v>1857.78</v>
      </c>
      <c r="B3450" s="3" t="str">
        <f>IF(Raw_Data!J3450=1,Raw_Data!D3450,"")</f>
        <v/>
      </c>
    </row>
    <row r="3451" spans="1:2" x14ac:dyDescent="0.25">
      <c r="A3451" s="3">
        <f>IF(Raw_Data!J3451=0,Raw_Data!D3451,"")</f>
        <v>2924.31</v>
      </c>
      <c r="B3451" s="3" t="str">
        <f>IF(Raw_Data!J3451=1,Raw_Data!D3451,"")</f>
        <v/>
      </c>
    </row>
    <row r="3452" spans="1:2" x14ac:dyDescent="0.25">
      <c r="A3452" s="3">
        <f>IF(Raw_Data!J3452=0,Raw_Data!D3452,"")</f>
        <v>2128.31</v>
      </c>
      <c r="B3452" s="3" t="str">
        <f>IF(Raw_Data!J3452=1,Raw_Data!D3452,"")</f>
        <v/>
      </c>
    </row>
    <row r="3453" spans="1:2" x14ac:dyDescent="0.25">
      <c r="A3453" s="3">
        <f>IF(Raw_Data!J3453=0,Raw_Data!D3453,"")</f>
        <v>2627.14</v>
      </c>
      <c r="B3453" s="3" t="str">
        <f>IF(Raw_Data!J3453=1,Raw_Data!D3453,"")</f>
        <v/>
      </c>
    </row>
    <row r="3454" spans="1:2" x14ac:dyDescent="0.25">
      <c r="A3454" s="3">
        <f>IF(Raw_Data!J3454=0,Raw_Data!D3454,"")</f>
        <v>2525.6</v>
      </c>
      <c r="B3454" s="3" t="str">
        <f>IF(Raw_Data!J3454=1,Raw_Data!D3454,"")</f>
        <v/>
      </c>
    </row>
    <row r="3455" spans="1:2" x14ac:dyDescent="0.25">
      <c r="A3455" s="3">
        <f>IF(Raw_Data!J3455=0,Raw_Data!D3455,"")</f>
        <v>3137</v>
      </c>
      <c r="B3455" s="3" t="str">
        <f>IF(Raw_Data!J3455=1,Raw_Data!D3455,"")</f>
        <v/>
      </c>
    </row>
    <row r="3456" spans="1:2" x14ac:dyDescent="0.25">
      <c r="A3456" s="3">
        <f>IF(Raw_Data!J3456=0,Raw_Data!D3456,"")</f>
        <v>2708.51</v>
      </c>
      <c r="B3456" s="3" t="str">
        <f>IF(Raw_Data!J3456=1,Raw_Data!D3456,"")</f>
        <v/>
      </c>
    </row>
    <row r="3457" spans="1:2" x14ac:dyDescent="0.25">
      <c r="A3457" s="3">
        <f>IF(Raw_Data!J3457=0,Raw_Data!D3457,"")</f>
        <v>3476.64</v>
      </c>
      <c r="B3457" s="3" t="str">
        <f>IF(Raw_Data!J3457=1,Raw_Data!D3457,"")</f>
        <v/>
      </c>
    </row>
    <row r="3458" spans="1:2" x14ac:dyDescent="0.25">
      <c r="A3458" s="3">
        <f>IF(Raw_Data!J3458=0,Raw_Data!D3458,"")</f>
        <v>1562</v>
      </c>
      <c r="B3458" s="3" t="str">
        <f>IF(Raw_Data!J3458=1,Raw_Data!D3458,"")</f>
        <v/>
      </c>
    </row>
    <row r="3459" spans="1:2" x14ac:dyDescent="0.25">
      <c r="A3459" s="3" t="str">
        <f>IF(Raw_Data!J3459=0,Raw_Data!D3459,"")</f>
        <v/>
      </c>
      <c r="B3459" s="3">
        <f>IF(Raw_Data!J3459=1,Raw_Data!D3459,"")</f>
        <v>107.66</v>
      </c>
    </row>
    <row r="3460" spans="1:2" x14ac:dyDescent="0.25">
      <c r="A3460" s="3" t="str">
        <f>IF(Raw_Data!J3460=0,Raw_Data!D3460,"")</f>
        <v/>
      </c>
      <c r="B3460" s="3">
        <f>IF(Raw_Data!J3460=1,Raw_Data!D3460,"")</f>
        <v>2366.39</v>
      </c>
    </row>
    <row r="3461" spans="1:2" x14ac:dyDescent="0.25">
      <c r="A3461" s="3">
        <f>IF(Raw_Data!J3461=0,Raw_Data!D3461,"")</f>
        <v>209.66</v>
      </c>
      <c r="B3461" s="3" t="str">
        <f>IF(Raw_Data!J3461=1,Raw_Data!D3461,"")</f>
        <v/>
      </c>
    </row>
    <row r="3462" spans="1:2" x14ac:dyDescent="0.25">
      <c r="A3462" s="3">
        <f>IF(Raw_Data!J3462=0,Raw_Data!D3462,"")</f>
        <v>6549.58</v>
      </c>
      <c r="B3462" s="3" t="str">
        <f>IF(Raw_Data!J3462=1,Raw_Data!D3462,"")</f>
        <v/>
      </c>
    </row>
    <row r="3463" spans="1:2" x14ac:dyDescent="0.25">
      <c r="A3463" s="3">
        <f>IF(Raw_Data!J3463=0,Raw_Data!D3463,"")</f>
        <v>961.53</v>
      </c>
      <c r="B3463" s="3" t="str">
        <f>IF(Raw_Data!J3463=1,Raw_Data!D3463,"")</f>
        <v/>
      </c>
    </row>
    <row r="3464" spans="1:2" x14ac:dyDescent="0.25">
      <c r="A3464" s="3">
        <f>IF(Raw_Data!J3464=0,Raw_Data!D3464,"")</f>
        <v>4760.1400000000003</v>
      </c>
      <c r="B3464" s="3" t="str">
        <f>IF(Raw_Data!J3464=1,Raw_Data!D3464,"")</f>
        <v/>
      </c>
    </row>
    <row r="3465" spans="1:2" x14ac:dyDescent="0.25">
      <c r="A3465" s="3">
        <f>IF(Raw_Data!J3465=0,Raw_Data!D3465,"")</f>
        <v>2362.42</v>
      </c>
      <c r="B3465" s="3" t="str">
        <f>IF(Raw_Data!J3465=1,Raw_Data!D3465,"")</f>
        <v/>
      </c>
    </row>
    <row r="3466" spans="1:2" x14ac:dyDescent="0.25">
      <c r="A3466" s="3">
        <f>IF(Raw_Data!J3466=0,Raw_Data!D3466,"")</f>
        <v>1710.7</v>
      </c>
      <c r="B3466" s="3" t="str">
        <f>IF(Raw_Data!J3466=1,Raw_Data!D3466,"")</f>
        <v/>
      </c>
    </row>
    <row r="3467" spans="1:2" x14ac:dyDescent="0.25">
      <c r="A3467" s="3">
        <f>IF(Raw_Data!J3467=0,Raw_Data!D3467,"")</f>
        <v>1807.08</v>
      </c>
      <c r="B3467" s="3" t="str">
        <f>IF(Raw_Data!J3467=1,Raw_Data!D3467,"")</f>
        <v/>
      </c>
    </row>
    <row r="3468" spans="1:2" x14ac:dyDescent="0.25">
      <c r="A3468" s="3">
        <f>IF(Raw_Data!J3468=0,Raw_Data!D3468,"")</f>
        <v>3138.33</v>
      </c>
      <c r="B3468" s="3" t="str">
        <f>IF(Raw_Data!J3468=1,Raw_Data!D3468,"")</f>
        <v/>
      </c>
    </row>
    <row r="3469" spans="1:2" x14ac:dyDescent="0.25">
      <c r="A3469" s="3">
        <f>IF(Raw_Data!J3469=0,Raw_Data!D3469,"")</f>
        <v>585.99</v>
      </c>
      <c r="B3469" s="3" t="str">
        <f>IF(Raw_Data!J3469=1,Raw_Data!D3469,"")</f>
        <v/>
      </c>
    </row>
    <row r="3470" spans="1:2" x14ac:dyDescent="0.25">
      <c r="A3470" s="3">
        <f>IF(Raw_Data!J3470=0,Raw_Data!D3470,"")</f>
        <v>2447.6999999999998</v>
      </c>
      <c r="B3470" s="3" t="str">
        <f>IF(Raw_Data!J3470=1,Raw_Data!D3470,"")</f>
        <v/>
      </c>
    </row>
    <row r="3471" spans="1:2" x14ac:dyDescent="0.25">
      <c r="A3471" s="3" t="str">
        <f>IF(Raw_Data!J3471=0,Raw_Data!D3471,"")</f>
        <v/>
      </c>
      <c r="B3471" s="3">
        <f>IF(Raw_Data!J3471=1,Raw_Data!D3471,"")</f>
        <v>1130.27</v>
      </c>
    </row>
    <row r="3472" spans="1:2" x14ac:dyDescent="0.25">
      <c r="A3472" s="3">
        <f>IF(Raw_Data!J3472=0,Raw_Data!D3472,"")</f>
        <v>1993.96</v>
      </c>
      <c r="B3472" s="3" t="str">
        <f>IF(Raw_Data!J3472=1,Raw_Data!D3472,"")</f>
        <v/>
      </c>
    </row>
    <row r="3473" spans="1:2" x14ac:dyDescent="0.25">
      <c r="A3473" s="3">
        <f>IF(Raw_Data!J3473=0,Raw_Data!D3473,"")</f>
        <v>2694.5</v>
      </c>
      <c r="B3473" s="3" t="str">
        <f>IF(Raw_Data!J3473=1,Raw_Data!D3473,"")</f>
        <v/>
      </c>
    </row>
    <row r="3474" spans="1:2" x14ac:dyDescent="0.25">
      <c r="A3474" s="3">
        <f>IF(Raw_Data!J3474=0,Raw_Data!D3474,"")</f>
        <v>934.19</v>
      </c>
      <c r="B3474" s="3" t="str">
        <f>IF(Raw_Data!J3474=1,Raw_Data!D3474,"")</f>
        <v/>
      </c>
    </row>
    <row r="3475" spans="1:2" x14ac:dyDescent="0.25">
      <c r="A3475" s="3">
        <f>IF(Raw_Data!J3475=0,Raw_Data!D3475,"")</f>
        <v>970.45</v>
      </c>
      <c r="B3475" s="3" t="str">
        <f>IF(Raw_Data!J3475=1,Raw_Data!D3475,"")</f>
        <v/>
      </c>
    </row>
    <row r="3476" spans="1:2" x14ac:dyDescent="0.25">
      <c r="A3476" s="3">
        <f>IF(Raw_Data!J3476=0,Raw_Data!D3476,"")</f>
        <v>1971.29</v>
      </c>
      <c r="B3476" s="3" t="str">
        <f>IF(Raw_Data!J3476=1,Raw_Data!D3476,"")</f>
        <v/>
      </c>
    </row>
    <row r="3477" spans="1:2" x14ac:dyDescent="0.25">
      <c r="A3477" s="3">
        <f>IF(Raw_Data!J3477=0,Raw_Data!D3477,"")</f>
        <v>1983.86</v>
      </c>
      <c r="B3477" s="3" t="str">
        <f>IF(Raw_Data!J3477=1,Raw_Data!D3477,"")</f>
        <v/>
      </c>
    </row>
    <row r="3478" spans="1:2" x14ac:dyDescent="0.25">
      <c r="A3478" s="3">
        <f>IF(Raw_Data!J3478=0,Raw_Data!D3478,"")</f>
        <v>3821.05</v>
      </c>
      <c r="B3478" s="3" t="str">
        <f>IF(Raw_Data!J3478=1,Raw_Data!D3478,"")</f>
        <v/>
      </c>
    </row>
    <row r="3479" spans="1:2" x14ac:dyDescent="0.25">
      <c r="A3479" s="3">
        <f>IF(Raw_Data!J3479=0,Raw_Data!D3479,"")</f>
        <v>1610.55</v>
      </c>
      <c r="B3479" s="3" t="str">
        <f>IF(Raw_Data!J3479=1,Raw_Data!D3479,"")</f>
        <v/>
      </c>
    </row>
    <row r="3480" spans="1:2" x14ac:dyDescent="0.25">
      <c r="A3480" s="3">
        <f>IF(Raw_Data!J3480=0,Raw_Data!D3480,"")</f>
        <v>2757.85</v>
      </c>
      <c r="B3480" s="3" t="str">
        <f>IF(Raw_Data!J3480=1,Raw_Data!D3480,"")</f>
        <v/>
      </c>
    </row>
    <row r="3481" spans="1:2" x14ac:dyDescent="0.25">
      <c r="A3481" s="3">
        <f>IF(Raw_Data!J3481=0,Raw_Data!D3481,"")</f>
        <v>2751.5</v>
      </c>
      <c r="B3481" s="3" t="str">
        <f>IF(Raw_Data!J3481=1,Raw_Data!D3481,"")</f>
        <v/>
      </c>
    </row>
    <row r="3482" spans="1:2" x14ac:dyDescent="0.25">
      <c r="A3482" s="3">
        <f>IF(Raw_Data!J3482=0,Raw_Data!D3482,"")</f>
        <v>346.91</v>
      </c>
      <c r="B3482" s="3" t="str">
        <f>IF(Raw_Data!J3482=1,Raw_Data!D3482,"")</f>
        <v/>
      </c>
    </row>
    <row r="3483" spans="1:2" x14ac:dyDescent="0.25">
      <c r="A3483" s="3">
        <f>IF(Raw_Data!J3483=0,Raw_Data!D3483,"")</f>
        <v>1677.88</v>
      </c>
      <c r="B3483" s="3" t="str">
        <f>IF(Raw_Data!J3483=1,Raw_Data!D3483,"")</f>
        <v/>
      </c>
    </row>
    <row r="3484" spans="1:2" x14ac:dyDescent="0.25">
      <c r="A3484" s="3">
        <f>IF(Raw_Data!J3484=0,Raw_Data!D3484,"")</f>
        <v>2117.7199999999998</v>
      </c>
      <c r="B3484" s="3" t="str">
        <f>IF(Raw_Data!J3484=1,Raw_Data!D3484,"")</f>
        <v/>
      </c>
    </row>
    <row r="3485" spans="1:2" x14ac:dyDescent="0.25">
      <c r="A3485" s="3">
        <f>IF(Raw_Data!J3485=0,Raw_Data!D3485,"")</f>
        <v>945.33</v>
      </c>
      <c r="B3485" s="3" t="str">
        <f>IF(Raw_Data!J3485=1,Raw_Data!D3485,"")</f>
        <v/>
      </c>
    </row>
    <row r="3486" spans="1:2" x14ac:dyDescent="0.25">
      <c r="A3486" s="3" t="str">
        <f>IF(Raw_Data!J3486=0,Raw_Data!D3486,"")</f>
        <v/>
      </c>
      <c r="B3486" s="3">
        <f>IF(Raw_Data!J3486=1,Raw_Data!D3486,"")</f>
        <v>7496.12</v>
      </c>
    </row>
    <row r="3487" spans="1:2" x14ac:dyDescent="0.25">
      <c r="A3487" s="3">
        <f>IF(Raw_Data!J3487=0,Raw_Data!D3487,"")</f>
        <v>4634.49</v>
      </c>
      <c r="B3487" s="3" t="str">
        <f>IF(Raw_Data!J3487=1,Raw_Data!D3487,"")</f>
        <v/>
      </c>
    </row>
    <row r="3488" spans="1:2" x14ac:dyDescent="0.25">
      <c r="A3488" s="3">
        <f>IF(Raw_Data!J3488=0,Raw_Data!D3488,"")</f>
        <v>1216.29</v>
      </c>
      <c r="B3488" s="3" t="str">
        <f>IF(Raw_Data!J3488=1,Raw_Data!D3488,"")</f>
        <v/>
      </c>
    </row>
    <row r="3489" spans="1:2" x14ac:dyDescent="0.25">
      <c r="A3489" s="3" t="str">
        <f>IF(Raw_Data!J3489=0,Raw_Data!D3489,"")</f>
        <v/>
      </c>
      <c r="B3489" s="3">
        <f>IF(Raw_Data!J3489=1,Raw_Data!D3489,"")</f>
        <v>2789.27</v>
      </c>
    </row>
    <row r="3490" spans="1:2" x14ac:dyDescent="0.25">
      <c r="A3490" s="3">
        <f>IF(Raw_Data!J3490=0,Raw_Data!D3490,"")</f>
        <v>2663.89</v>
      </c>
      <c r="B3490" s="3" t="str">
        <f>IF(Raw_Data!J3490=1,Raw_Data!D3490,"")</f>
        <v/>
      </c>
    </row>
    <row r="3491" spans="1:2" x14ac:dyDescent="0.25">
      <c r="A3491" s="3">
        <f>IF(Raw_Data!J3491=0,Raw_Data!D3491,"")</f>
        <v>1415.05</v>
      </c>
      <c r="B3491" s="3" t="str">
        <f>IF(Raw_Data!J3491=1,Raw_Data!D3491,"")</f>
        <v/>
      </c>
    </row>
    <row r="3492" spans="1:2" x14ac:dyDescent="0.25">
      <c r="A3492" s="3">
        <f>IF(Raw_Data!J3492=0,Raw_Data!D3492,"")</f>
        <v>3495.74</v>
      </c>
      <c r="B3492" s="3" t="str">
        <f>IF(Raw_Data!J3492=1,Raw_Data!D3492,"")</f>
        <v/>
      </c>
    </row>
    <row r="3493" spans="1:2" x14ac:dyDescent="0.25">
      <c r="A3493" s="3">
        <f>IF(Raw_Data!J3493=0,Raw_Data!D3493,"")</f>
        <v>4898.54</v>
      </c>
      <c r="B3493" s="3" t="str">
        <f>IF(Raw_Data!J3493=1,Raw_Data!D3493,"")</f>
        <v/>
      </c>
    </row>
    <row r="3494" spans="1:2" x14ac:dyDescent="0.25">
      <c r="A3494" s="3">
        <f>IF(Raw_Data!J3494=0,Raw_Data!D3494,"")</f>
        <v>2603.59</v>
      </c>
      <c r="B3494" s="3" t="str">
        <f>IF(Raw_Data!J3494=1,Raw_Data!D3494,"")</f>
        <v/>
      </c>
    </row>
    <row r="3495" spans="1:2" x14ac:dyDescent="0.25">
      <c r="A3495" s="3">
        <f>IF(Raw_Data!J3495=0,Raw_Data!D3495,"")</f>
        <v>4209.26</v>
      </c>
      <c r="B3495" s="3" t="str">
        <f>IF(Raw_Data!J3495=1,Raw_Data!D3495,"")</f>
        <v/>
      </c>
    </row>
    <row r="3496" spans="1:2" x14ac:dyDescent="0.25">
      <c r="A3496" s="3">
        <f>IF(Raw_Data!J3496=0,Raw_Data!D3496,"")</f>
        <v>1625.38</v>
      </c>
      <c r="B3496" s="3" t="str">
        <f>IF(Raw_Data!J3496=1,Raw_Data!D3496,"")</f>
        <v/>
      </c>
    </row>
    <row r="3497" spans="1:2" x14ac:dyDescent="0.25">
      <c r="A3497" s="3">
        <f>IF(Raw_Data!J3497=0,Raw_Data!D3497,"")</f>
        <v>6451.3</v>
      </c>
      <c r="B3497" s="3" t="str">
        <f>IF(Raw_Data!J3497=1,Raw_Data!D3497,"")</f>
        <v/>
      </c>
    </row>
    <row r="3498" spans="1:2" x14ac:dyDescent="0.25">
      <c r="A3498" s="3">
        <f>IF(Raw_Data!J3498=0,Raw_Data!D3498,"")</f>
        <v>2858.6</v>
      </c>
      <c r="B3498" s="3" t="str">
        <f>IF(Raw_Data!J3498=1,Raw_Data!D3498,"")</f>
        <v/>
      </c>
    </row>
    <row r="3499" spans="1:2" x14ac:dyDescent="0.25">
      <c r="A3499" s="3">
        <f>IF(Raw_Data!J3499=0,Raw_Data!D3499,"")</f>
        <v>604.92999999999995</v>
      </c>
      <c r="B3499" s="3" t="str">
        <f>IF(Raw_Data!J3499=1,Raw_Data!D3499,"")</f>
        <v/>
      </c>
    </row>
    <row r="3500" spans="1:2" x14ac:dyDescent="0.25">
      <c r="A3500" s="3">
        <f>IF(Raw_Data!J3500=0,Raw_Data!D3500,"")</f>
        <v>2440.94</v>
      </c>
      <c r="B3500" s="3" t="str">
        <f>IF(Raw_Data!J3500=1,Raw_Data!D3500,"")</f>
        <v/>
      </c>
    </row>
    <row r="3501" spans="1:2" x14ac:dyDescent="0.25">
      <c r="A3501" s="3">
        <f>IF(Raw_Data!J3501=0,Raw_Data!D3501,"")</f>
        <v>5008.37</v>
      </c>
      <c r="B3501" s="3" t="str">
        <f>IF(Raw_Data!J3501=1,Raw_Data!D3501,"")</f>
        <v/>
      </c>
    </row>
    <row r="3502" spans="1:2" x14ac:dyDescent="0.25">
      <c r="A3502" s="3">
        <f>IF(Raw_Data!J3502=0,Raw_Data!D3502,"")</f>
        <v>2185.63</v>
      </c>
      <c r="B3502" s="3" t="str">
        <f>IF(Raw_Data!J3502=1,Raw_Data!D3502,"")</f>
        <v/>
      </c>
    </row>
    <row r="3503" spans="1:2" x14ac:dyDescent="0.25">
      <c r="A3503" s="3">
        <f>IF(Raw_Data!J3503=0,Raw_Data!D3503,"")</f>
        <v>1745.48</v>
      </c>
      <c r="B3503" s="3" t="str">
        <f>IF(Raw_Data!J3503=1,Raw_Data!D3503,"")</f>
        <v/>
      </c>
    </row>
    <row r="3504" spans="1:2" x14ac:dyDescent="0.25">
      <c r="A3504" s="3">
        <f>IF(Raw_Data!J3504=0,Raw_Data!D3504,"")</f>
        <v>3112.48</v>
      </c>
      <c r="B3504" s="3" t="str">
        <f>IF(Raw_Data!J3504=1,Raw_Data!D3504,"")</f>
        <v/>
      </c>
    </row>
    <row r="3505" spans="1:2" x14ac:dyDescent="0.25">
      <c r="A3505" s="3">
        <f>IF(Raw_Data!J3505=0,Raw_Data!D3505,"")</f>
        <v>828.86</v>
      </c>
      <c r="B3505" s="3" t="str">
        <f>IF(Raw_Data!J3505=1,Raw_Data!D3505,"")</f>
        <v/>
      </c>
    </row>
    <row r="3506" spans="1:2" x14ac:dyDescent="0.25">
      <c r="A3506" s="3">
        <f>IF(Raw_Data!J3506=0,Raw_Data!D3506,"")</f>
        <v>4891.13</v>
      </c>
      <c r="B3506" s="3" t="str">
        <f>IF(Raw_Data!J3506=1,Raw_Data!D3506,"")</f>
        <v/>
      </c>
    </row>
    <row r="3507" spans="1:2" x14ac:dyDescent="0.25">
      <c r="A3507" s="3">
        <f>IF(Raw_Data!J3507=0,Raw_Data!D3507,"")</f>
        <v>3055.44</v>
      </c>
      <c r="B3507" s="3" t="str">
        <f>IF(Raw_Data!J3507=1,Raw_Data!D3507,"")</f>
        <v/>
      </c>
    </row>
    <row r="3508" spans="1:2" x14ac:dyDescent="0.25">
      <c r="A3508" s="3" t="str">
        <f>IF(Raw_Data!J3508=0,Raw_Data!D3508,"")</f>
        <v/>
      </c>
      <c r="B3508" s="3">
        <f>IF(Raw_Data!J3508=1,Raw_Data!D3508,"")</f>
        <v>2057.06</v>
      </c>
    </row>
    <row r="3509" spans="1:2" x14ac:dyDescent="0.25">
      <c r="A3509" s="3">
        <f>IF(Raw_Data!J3509=0,Raw_Data!D3509,"")</f>
        <v>1666.17</v>
      </c>
      <c r="B3509" s="3" t="str">
        <f>IF(Raw_Data!J3509=1,Raw_Data!D3509,"")</f>
        <v/>
      </c>
    </row>
    <row r="3510" spans="1:2" x14ac:dyDescent="0.25">
      <c r="A3510" s="3">
        <f>IF(Raw_Data!J3510=0,Raw_Data!D3510,"")</f>
        <v>1179.1600000000001</v>
      </c>
      <c r="B3510" s="3" t="str">
        <f>IF(Raw_Data!J3510=1,Raw_Data!D3510,"")</f>
        <v/>
      </c>
    </row>
    <row r="3511" spans="1:2" x14ac:dyDescent="0.25">
      <c r="A3511" s="3">
        <f>IF(Raw_Data!J3511=0,Raw_Data!D3511,"")</f>
        <v>1930.07</v>
      </c>
      <c r="B3511" s="3" t="str">
        <f>IF(Raw_Data!J3511=1,Raw_Data!D3511,"")</f>
        <v/>
      </c>
    </row>
    <row r="3512" spans="1:2" x14ac:dyDescent="0.25">
      <c r="A3512" s="3">
        <f>IF(Raw_Data!J3512=0,Raw_Data!D3512,"")</f>
        <v>1056.5999999999999</v>
      </c>
      <c r="B3512" s="3" t="str">
        <f>IF(Raw_Data!J3512=1,Raw_Data!D3512,"")</f>
        <v/>
      </c>
    </row>
    <row r="3513" spans="1:2" x14ac:dyDescent="0.25">
      <c r="A3513" s="3" t="str">
        <f>IF(Raw_Data!J3513=0,Raw_Data!D3513,"")</f>
        <v/>
      </c>
      <c r="B3513" s="3">
        <f>IF(Raw_Data!J3513=1,Raw_Data!D3513,"")</f>
        <v>5660.45</v>
      </c>
    </row>
    <row r="3514" spans="1:2" x14ac:dyDescent="0.25">
      <c r="A3514" s="3">
        <f>IF(Raw_Data!J3514=0,Raw_Data!D3514,"")</f>
        <v>1814.4</v>
      </c>
      <c r="B3514" s="3" t="str">
        <f>IF(Raw_Data!J3514=1,Raw_Data!D3514,"")</f>
        <v/>
      </c>
    </row>
    <row r="3515" spans="1:2" x14ac:dyDescent="0.25">
      <c r="A3515" s="3">
        <f>IF(Raw_Data!J3515=0,Raw_Data!D3515,"")</f>
        <v>1303.3</v>
      </c>
      <c r="B3515" s="3" t="str">
        <f>IF(Raw_Data!J3515=1,Raw_Data!D3515,"")</f>
        <v/>
      </c>
    </row>
    <row r="3516" spans="1:2" x14ac:dyDescent="0.25">
      <c r="A3516" s="3">
        <f>IF(Raw_Data!J3516=0,Raw_Data!D3516,"")</f>
        <v>4991.76</v>
      </c>
      <c r="B3516" s="3" t="str">
        <f>IF(Raw_Data!J3516=1,Raw_Data!D3516,"")</f>
        <v/>
      </c>
    </row>
    <row r="3517" spans="1:2" x14ac:dyDescent="0.25">
      <c r="A3517" s="3">
        <f>IF(Raw_Data!J3517=0,Raw_Data!D3517,"")</f>
        <v>3088.57</v>
      </c>
      <c r="B3517" s="3" t="str">
        <f>IF(Raw_Data!J3517=1,Raw_Data!D3517,"")</f>
        <v/>
      </c>
    </row>
    <row r="3518" spans="1:2" x14ac:dyDescent="0.25">
      <c r="A3518" s="3">
        <f>IF(Raw_Data!J3518=0,Raw_Data!D3518,"")</f>
        <v>5215.92</v>
      </c>
      <c r="B3518" s="3" t="str">
        <f>IF(Raw_Data!J3518=1,Raw_Data!D3518,"")</f>
        <v/>
      </c>
    </row>
    <row r="3519" spans="1:2" x14ac:dyDescent="0.25">
      <c r="A3519" s="3">
        <f>IF(Raw_Data!J3519=0,Raw_Data!D3519,"")</f>
        <v>1642.28</v>
      </c>
      <c r="B3519" s="3" t="str">
        <f>IF(Raw_Data!J3519=1,Raw_Data!D3519,"")</f>
        <v/>
      </c>
    </row>
    <row r="3520" spans="1:2" x14ac:dyDescent="0.25">
      <c r="A3520" s="3" t="str">
        <f>IF(Raw_Data!J3520=0,Raw_Data!D3520,"")</f>
        <v/>
      </c>
      <c r="B3520" s="3">
        <f>IF(Raw_Data!J3520=1,Raw_Data!D3520,"")</f>
        <v>3923.23</v>
      </c>
    </row>
    <row r="3521" spans="1:2" x14ac:dyDescent="0.25">
      <c r="A3521" s="3" t="str">
        <f>IF(Raw_Data!J3521=0,Raw_Data!D3521,"")</f>
        <v/>
      </c>
      <c r="B3521" s="3">
        <f>IF(Raw_Data!J3521=1,Raw_Data!D3521,"")</f>
        <v>382.83</v>
      </c>
    </row>
    <row r="3522" spans="1:2" x14ac:dyDescent="0.25">
      <c r="A3522" s="3">
        <f>IF(Raw_Data!J3522=0,Raw_Data!D3522,"")</f>
        <v>2177.9299999999998</v>
      </c>
      <c r="B3522" s="3" t="str">
        <f>IF(Raw_Data!J3522=1,Raw_Data!D3522,"")</f>
        <v/>
      </c>
    </row>
    <row r="3523" spans="1:2" x14ac:dyDescent="0.25">
      <c r="A3523" s="3">
        <f>IF(Raw_Data!J3523=0,Raw_Data!D3523,"")</f>
        <v>3102.23</v>
      </c>
      <c r="B3523" s="3" t="str">
        <f>IF(Raw_Data!J3523=1,Raw_Data!D3523,"")</f>
        <v/>
      </c>
    </row>
    <row r="3524" spans="1:2" x14ac:dyDescent="0.25">
      <c r="A3524" s="3">
        <f>IF(Raw_Data!J3524=0,Raw_Data!D3524,"")</f>
        <v>1943.56</v>
      </c>
      <c r="B3524" s="3" t="str">
        <f>IF(Raw_Data!J3524=1,Raw_Data!D3524,"")</f>
        <v/>
      </c>
    </row>
    <row r="3525" spans="1:2" x14ac:dyDescent="0.25">
      <c r="A3525" s="3">
        <f>IF(Raw_Data!J3525=0,Raw_Data!D3525,"")</f>
        <v>884.27</v>
      </c>
      <c r="B3525" s="3" t="str">
        <f>IF(Raw_Data!J3525=1,Raw_Data!D3525,"")</f>
        <v/>
      </c>
    </row>
    <row r="3526" spans="1:2" x14ac:dyDescent="0.25">
      <c r="A3526" s="3">
        <f>IF(Raw_Data!J3526=0,Raw_Data!D3526,"")</f>
        <v>3431.22</v>
      </c>
      <c r="B3526" s="3" t="str">
        <f>IF(Raw_Data!J3526=1,Raw_Data!D3526,"")</f>
        <v/>
      </c>
    </row>
    <row r="3527" spans="1:2" x14ac:dyDescent="0.25">
      <c r="A3527" s="3">
        <f>IF(Raw_Data!J3527=0,Raw_Data!D3527,"")</f>
        <v>4192.7700000000004</v>
      </c>
      <c r="B3527" s="3" t="str">
        <f>IF(Raw_Data!J3527=1,Raw_Data!D3527,"")</f>
        <v/>
      </c>
    </row>
    <row r="3528" spans="1:2" x14ac:dyDescent="0.25">
      <c r="A3528" s="3">
        <f>IF(Raw_Data!J3528=0,Raw_Data!D3528,"")</f>
        <v>1341.55</v>
      </c>
      <c r="B3528" s="3" t="str">
        <f>IF(Raw_Data!J3528=1,Raw_Data!D3528,"")</f>
        <v/>
      </c>
    </row>
    <row r="3529" spans="1:2" x14ac:dyDescent="0.25">
      <c r="A3529" s="3">
        <f>IF(Raw_Data!J3529=0,Raw_Data!D3529,"")</f>
        <v>3515.15</v>
      </c>
      <c r="B3529" s="3" t="str">
        <f>IF(Raw_Data!J3529=1,Raw_Data!D3529,"")</f>
        <v/>
      </c>
    </row>
    <row r="3530" spans="1:2" x14ac:dyDescent="0.25">
      <c r="A3530" s="3">
        <f>IF(Raw_Data!J3530=0,Raw_Data!D3530,"")</f>
        <v>3819.07</v>
      </c>
      <c r="B3530" s="3" t="str">
        <f>IF(Raw_Data!J3530=1,Raw_Data!D3530,"")</f>
        <v/>
      </c>
    </row>
    <row r="3531" spans="1:2" x14ac:dyDescent="0.25">
      <c r="A3531" s="3">
        <f>IF(Raw_Data!J3531=0,Raw_Data!D3531,"")</f>
        <v>1702.64</v>
      </c>
      <c r="B3531" s="3" t="str">
        <f>IF(Raw_Data!J3531=1,Raw_Data!D3531,"")</f>
        <v/>
      </c>
    </row>
    <row r="3532" spans="1:2" x14ac:dyDescent="0.25">
      <c r="A3532" s="3" t="str">
        <f>IF(Raw_Data!J3532=0,Raw_Data!D3532,"")</f>
        <v/>
      </c>
      <c r="B3532" s="3">
        <f>IF(Raw_Data!J3532=1,Raw_Data!D3532,"")</f>
        <v>521.25</v>
      </c>
    </row>
    <row r="3533" spans="1:2" x14ac:dyDescent="0.25">
      <c r="A3533" s="3">
        <f>IF(Raw_Data!J3533=0,Raw_Data!D3533,"")</f>
        <v>1060.9100000000001</v>
      </c>
      <c r="B3533" s="3" t="str">
        <f>IF(Raw_Data!J3533=1,Raw_Data!D3533,"")</f>
        <v/>
      </c>
    </row>
    <row r="3534" spans="1:2" x14ac:dyDescent="0.25">
      <c r="A3534" s="3">
        <f>IF(Raw_Data!J3534=0,Raw_Data!D3534,"")</f>
        <v>1423.64</v>
      </c>
      <c r="B3534" s="3" t="str">
        <f>IF(Raw_Data!J3534=1,Raw_Data!D3534,"")</f>
        <v/>
      </c>
    </row>
    <row r="3535" spans="1:2" x14ac:dyDescent="0.25">
      <c r="A3535" s="3">
        <f>IF(Raw_Data!J3535=0,Raw_Data!D3535,"")</f>
        <v>1585.98</v>
      </c>
      <c r="B3535" s="3" t="str">
        <f>IF(Raw_Data!J3535=1,Raw_Data!D3535,"")</f>
        <v/>
      </c>
    </row>
    <row r="3536" spans="1:2" x14ac:dyDescent="0.25">
      <c r="A3536" s="3">
        <f>IF(Raw_Data!J3536=0,Raw_Data!D3536,"")</f>
        <v>2306.17</v>
      </c>
      <c r="B3536" s="3" t="str">
        <f>IF(Raw_Data!J3536=1,Raw_Data!D3536,"")</f>
        <v/>
      </c>
    </row>
    <row r="3537" spans="1:2" x14ac:dyDescent="0.25">
      <c r="A3537" s="3">
        <f>IF(Raw_Data!J3537=0,Raw_Data!D3537,"")</f>
        <v>614.27</v>
      </c>
      <c r="B3537" s="3" t="str">
        <f>IF(Raw_Data!J3537=1,Raw_Data!D3537,"")</f>
        <v/>
      </c>
    </row>
    <row r="3538" spans="1:2" x14ac:dyDescent="0.25">
      <c r="A3538" s="3">
        <f>IF(Raw_Data!J3538=0,Raw_Data!D3538,"")</f>
        <v>666.85</v>
      </c>
      <c r="B3538" s="3" t="str">
        <f>IF(Raw_Data!J3538=1,Raw_Data!D3538,"")</f>
        <v/>
      </c>
    </row>
    <row r="3539" spans="1:2" x14ac:dyDescent="0.25">
      <c r="A3539" s="3" t="str">
        <f>IF(Raw_Data!J3539=0,Raw_Data!D3539,"")</f>
        <v/>
      </c>
      <c r="B3539" s="3">
        <f>IF(Raw_Data!J3539=1,Raw_Data!D3539,"")</f>
        <v>4208.8999999999996</v>
      </c>
    </row>
    <row r="3540" spans="1:2" x14ac:dyDescent="0.25">
      <c r="A3540" s="3" t="str">
        <f>IF(Raw_Data!J3540=0,Raw_Data!D3540,"")</f>
        <v/>
      </c>
      <c r="B3540" s="3">
        <f>IF(Raw_Data!J3540=1,Raw_Data!D3540,"")</f>
        <v>789.83</v>
      </c>
    </row>
    <row r="3541" spans="1:2" x14ac:dyDescent="0.25">
      <c r="A3541" s="3">
        <f>IF(Raw_Data!J3541=0,Raw_Data!D3541,"")</f>
        <v>1572.27</v>
      </c>
      <c r="B3541" s="3" t="str">
        <f>IF(Raw_Data!J3541=1,Raw_Data!D3541,"")</f>
        <v/>
      </c>
    </row>
    <row r="3542" spans="1:2" x14ac:dyDescent="0.25">
      <c r="A3542" s="3">
        <f>IF(Raw_Data!J3542=0,Raw_Data!D3542,"")</f>
        <v>3157.8</v>
      </c>
      <c r="B3542" s="3" t="str">
        <f>IF(Raw_Data!J3542=1,Raw_Data!D3542,"")</f>
        <v/>
      </c>
    </row>
    <row r="3543" spans="1:2" x14ac:dyDescent="0.25">
      <c r="A3543" s="3">
        <f>IF(Raw_Data!J3543=0,Raw_Data!D3543,"")</f>
        <v>3951.27</v>
      </c>
      <c r="B3543" s="3" t="str">
        <f>IF(Raw_Data!J3543=1,Raw_Data!D3543,"")</f>
        <v/>
      </c>
    </row>
    <row r="3544" spans="1:2" x14ac:dyDescent="0.25">
      <c r="A3544" s="3">
        <f>IF(Raw_Data!J3544=0,Raw_Data!D3544,"")</f>
        <v>1951.04</v>
      </c>
      <c r="B3544" s="3" t="str">
        <f>IF(Raw_Data!J3544=1,Raw_Data!D3544,"")</f>
        <v/>
      </c>
    </row>
    <row r="3545" spans="1:2" x14ac:dyDescent="0.25">
      <c r="A3545" s="3">
        <f>IF(Raw_Data!J3545=0,Raw_Data!D3545,"")</f>
        <v>5136.59</v>
      </c>
      <c r="B3545" s="3" t="str">
        <f>IF(Raw_Data!J3545=1,Raw_Data!D3545,"")</f>
        <v/>
      </c>
    </row>
    <row r="3546" spans="1:2" x14ac:dyDescent="0.25">
      <c r="A3546" s="3">
        <f>IF(Raw_Data!J3546=0,Raw_Data!D3546,"")</f>
        <v>2269.1999999999998</v>
      </c>
      <c r="B3546" s="3" t="str">
        <f>IF(Raw_Data!J3546=1,Raw_Data!D3546,"")</f>
        <v/>
      </c>
    </row>
    <row r="3547" spans="1:2" x14ac:dyDescent="0.25">
      <c r="A3547" s="3" t="str">
        <f>IF(Raw_Data!J3547=0,Raw_Data!D3547,"")</f>
        <v/>
      </c>
      <c r="B3547" s="3">
        <f>IF(Raw_Data!J3547=1,Raw_Data!D3547,"")</f>
        <v>952.02</v>
      </c>
    </row>
    <row r="3548" spans="1:2" x14ac:dyDescent="0.25">
      <c r="A3548" s="3">
        <f>IF(Raw_Data!J3548=0,Raw_Data!D3548,"")</f>
        <v>6097.34</v>
      </c>
      <c r="B3548" s="3" t="str">
        <f>IF(Raw_Data!J3548=1,Raw_Data!D3548,"")</f>
        <v/>
      </c>
    </row>
    <row r="3549" spans="1:2" x14ac:dyDescent="0.25">
      <c r="A3549" s="3" t="str">
        <f>IF(Raw_Data!J3549=0,Raw_Data!D3549,"")</f>
        <v/>
      </c>
      <c r="B3549" s="3">
        <f>IF(Raw_Data!J3549=1,Raw_Data!D3549,"")</f>
        <v>4137.83</v>
      </c>
    </row>
    <row r="3550" spans="1:2" x14ac:dyDescent="0.25">
      <c r="A3550" s="3">
        <f>IF(Raw_Data!J3550=0,Raw_Data!D3550,"")</f>
        <v>2932.32</v>
      </c>
      <c r="B3550" s="3" t="str">
        <f>IF(Raw_Data!J3550=1,Raw_Data!D3550,"")</f>
        <v/>
      </c>
    </row>
    <row r="3551" spans="1:2" x14ac:dyDescent="0.25">
      <c r="A3551" s="3">
        <f>IF(Raw_Data!J3551=0,Raw_Data!D3551,"")</f>
        <v>2199.8200000000002</v>
      </c>
      <c r="B3551" s="3" t="str">
        <f>IF(Raw_Data!J3551=1,Raw_Data!D3551,"")</f>
        <v/>
      </c>
    </row>
    <row r="3552" spans="1:2" x14ac:dyDescent="0.25">
      <c r="A3552" s="3">
        <f>IF(Raw_Data!J3552=0,Raw_Data!D3552,"")</f>
        <v>2633.8</v>
      </c>
      <c r="B3552" s="3" t="str">
        <f>IF(Raw_Data!J3552=1,Raw_Data!D3552,"")</f>
        <v/>
      </c>
    </row>
    <row r="3553" spans="1:2" x14ac:dyDescent="0.25">
      <c r="A3553" s="3">
        <f>IF(Raw_Data!J3553=0,Raw_Data!D3553,"")</f>
        <v>5442.83</v>
      </c>
      <c r="B3553" s="3" t="str">
        <f>IF(Raw_Data!J3553=1,Raw_Data!D3553,"")</f>
        <v/>
      </c>
    </row>
    <row r="3554" spans="1:2" x14ac:dyDescent="0.25">
      <c r="A3554" s="3">
        <f>IF(Raw_Data!J3554=0,Raw_Data!D3554,"")</f>
        <v>3114.56</v>
      </c>
      <c r="B3554" s="3" t="str">
        <f>IF(Raw_Data!J3554=1,Raw_Data!D3554,"")</f>
        <v/>
      </c>
    </row>
    <row r="3555" spans="1:2" x14ac:dyDescent="0.25">
      <c r="A3555" s="3">
        <f>IF(Raw_Data!J3555=0,Raw_Data!D3555,"")</f>
        <v>1270.6400000000001</v>
      </c>
      <c r="B3555" s="3" t="str">
        <f>IF(Raw_Data!J3555=1,Raw_Data!D3555,"")</f>
        <v/>
      </c>
    </row>
    <row r="3556" spans="1:2" x14ac:dyDescent="0.25">
      <c r="A3556" s="3" t="str">
        <f>IF(Raw_Data!J3556=0,Raw_Data!D3556,"")</f>
        <v/>
      </c>
      <c r="B3556" s="3">
        <f>IF(Raw_Data!J3556=1,Raw_Data!D3556,"")</f>
        <v>2583.71</v>
      </c>
    </row>
    <row r="3557" spans="1:2" x14ac:dyDescent="0.25">
      <c r="A3557" s="3">
        <f>IF(Raw_Data!J3557=0,Raw_Data!D3557,"")</f>
        <v>2107.06</v>
      </c>
      <c r="B3557" s="3" t="str">
        <f>IF(Raw_Data!J3557=1,Raw_Data!D3557,"")</f>
        <v/>
      </c>
    </row>
    <row r="3558" spans="1:2" x14ac:dyDescent="0.25">
      <c r="A3558" s="3">
        <f>IF(Raw_Data!J3558=0,Raw_Data!D3558,"")</f>
        <v>666.71</v>
      </c>
      <c r="B3558" s="3" t="str">
        <f>IF(Raw_Data!J3558=1,Raw_Data!D3558,"")</f>
        <v/>
      </c>
    </row>
    <row r="3559" spans="1:2" x14ac:dyDescent="0.25">
      <c r="A3559" s="3">
        <f>IF(Raw_Data!J3559=0,Raw_Data!D3559,"")</f>
        <v>2333.42</v>
      </c>
      <c r="B3559" s="3" t="str">
        <f>IF(Raw_Data!J3559=1,Raw_Data!D3559,"")</f>
        <v/>
      </c>
    </row>
    <row r="3560" spans="1:2" x14ac:dyDescent="0.25">
      <c r="A3560" s="3">
        <f>IF(Raw_Data!J3560=0,Raw_Data!D3560,"")</f>
        <v>1366.34</v>
      </c>
      <c r="B3560" s="3" t="str">
        <f>IF(Raw_Data!J3560=1,Raw_Data!D3560,"")</f>
        <v/>
      </c>
    </row>
    <row r="3561" spans="1:2" x14ac:dyDescent="0.25">
      <c r="A3561" s="3">
        <f>IF(Raw_Data!J3561=0,Raw_Data!D3561,"")</f>
        <v>1928.69</v>
      </c>
      <c r="B3561" s="3" t="str">
        <f>IF(Raw_Data!J3561=1,Raw_Data!D3561,"")</f>
        <v/>
      </c>
    </row>
    <row r="3562" spans="1:2" x14ac:dyDescent="0.25">
      <c r="A3562" s="3">
        <f>IF(Raw_Data!J3562=0,Raw_Data!D3562,"")</f>
        <v>1469.96</v>
      </c>
      <c r="B3562" s="3" t="str">
        <f>IF(Raw_Data!J3562=1,Raw_Data!D3562,"")</f>
        <v/>
      </c>
    </row>
    <row r="3563" spans="1:2" x14ac:dyDescent="0.25">
      <c r="A3563" s="3">
        <f>IF(Raw_Data!J3563=0,Raw_Data!D3563,"")</f>
        <v>1101.98</v>
      </c>
      <c r="B3563" s="3" t="str">
        <f>IF(Raw_Data!J3563=1,Raw_Data!D3563,"")</f>
        <v/>
      </c>
    </row>
    <row r="3564" spans="1:2" x14ac:dyDescent="0.25">
      <c r="A3564" s="3">
        <f>IF(Raw_Data!J3564=0,Raw_Data!D3564,"")</f>
        <v>563.24</v>
      </c>
      <c r="B3564" s="3" t="str">
        <f>IF(Raw_Data!J3564=1,Raw_Data!D3564,"")</f>
        <v/>
      </c>
    </row>
    <row r="3565" spans="1:2" x14ac:dyDescent="0.25">
      <c r="A3565" s="3">
        <f>IF(Raw_Data!J3565=0,Raw_Data!D3565,"")</f>
        <v>841.99</v>
      </c>
      <c r="B3565" s="3" t="str">
        <f>IF(Raw_Data!J3565=1,Raw_Data!D3565,"")</f>
        <v/>
      </c>
    </row>
    <row r="3566" spans="1:2" x14ac:dyDescent="0.25">
      <c r="A3566" s="3">
        <f>IF(Raw_Data!J3566=0,Raw_Data!D3566,"")</f>
        <v>5931.16</v>
      </c>
      <c r="B3566" s="3" t="str">
        <f>IF(Raw_Data!J3566=1,Raw_Data!D3566,"")</f>
        <v/>
      </c>
    </row>
    <row r="3567" spans="1:2" x14ac:dyDescent="0.25">
      <c r="A3567" s="3">
        <f>IF(Raw_Data!J3567=0,Raw_Data!D3567,"")</f>
        <v>629.77</v>
      </c>
      <c r="B3567" s="3" t="str">
        <f>IF(Raw_Data!J3567=1,Raw_Data!D3567,"")</f>
        <v/>
      </c>
    </row>
    <row r="3568" spans="1:2" x14ac:dyDescent="0.25">
      <c r="A3568" s="3">
        <f>IF(Raw_Data!J3568=0,Raw_Data!D3568,"")</f>
        <v>2659.71</v>
      </c>
      <c r="B3568" s="3" t="str">
        <f>IF(Raw_Data!J3568=1,Raw_Data!D3568,"")</f>
        <v/>
      </c>
    </row>
    <row r="3569" spans="1:2" x14ac:dyDescent="0.25">
      <c r="A3569" s="3">
        <f>IF(Raw_Data!J3569=0,Raw_Data!D3569,"")</f>
        <v>1747.73</v>
      </c>
      <c r="B3569" s="3" t="str">
        <f>IF(Raw_Data!J3569=1,Raw_Data!D3569,"")</f>
        <v/>
      </c>
    </row>
    <row r="3570" spans="1:2" x14ac:dyDescent="0.25">
      <c r="A3570" s="3">
        <f>IF(Raw_Data!J3570=0,Raw_Data!D3570,"")</f>
        <v>1012.9</v>
      </c>
      <c r="B3570" s="3" t="str">
        <f>IF(Raw_Data!J3570=1,Raw_Data!D3570,"")</f>
        <v/>
      </c>
    </row>
    <row r="3571" spans="1:2" x14ac:dyDescent="0.25">
      <c r="A3571" s="3">
        <f>IF(Raw_Data!J3571=0,Raw_Data!D3571,"")</f>
        <v>2770.07</v>
      </c>
      <c r="B3571" s="3" t="str">
        <f>IF(Raw_Data!J3571=1,Raw_Data!D3571,"")</f>
        <v/>
      </c>
    </row>
    <row r="3572" spans="1:2" x14ac:dyDescent="0.25">
      <c r="A3572" s="3" t="str">
        <f>IF(Raw_Data!J3572=0,Raw_Data!D3572,"")</f>
        <v/>
      </c>
      <c r="B3572" s="3">
        <f>IF(Raw_Data!J3572=1,Raw_Data!D3572,"")</f>
        <v>6214.03</v>
      </c>
    </row>
    <row r="3573" spans="1:2" x14ac:dyDescent="0.25">
      <c r="A3573" s="3">
        <f>IF(Raw_Data!J3573=0,Raw_Data!D3573,"")</f>
        <v>2516.91</v>
      </c>
      <c r="B3573" s="3" t="str">
        <f>IF(Raw_Data!J3573=1,Raw_Data!D3573,"")</f>
        <v/>
      </c>
    </row>
    <row r="3574" spans="1:2" x14ac:dyDescent="0.25">
      <c r="A3574" s="3">
        <f>IF(Raw_Data!J3574=0,Raw_Data!D3574,"")</f>
        <v>975.38</v>
      </c>
      <c r="B3574" s="3" t="str">
        <f>IF(Raw_Data!J3574=1,Raw_Data!D3574,"")</f>
        <v/>
      </c>
    </row>
    <row r="3575" spans="1:2" x14ac:dyDescent="0.25">
      <c r="A3575" s="3">
        <f>IF(Raw_Data!J3575=0,Raw_Data!D3575,"")</f>
        <v>2631.19</v>
      </c>
      <c r="B3575" s="3" t="str">
        <f>IF(Raw_Data!J3575=1,Raw_Data!D3575,"")</f>
        <v/>
      </c>
    </row>
    <row r="3576" spans="1:2" x14ac:dyDescent="0.25">
      <c r="A3576" s="3">
        <f>IF(Raw_Data!J3576=0,Raw_Data!D3576,"")</f>
        <v>1860.13</v>
      </c>
      <c r="B3576" s="3" t="str">
        <f>IF(Raw_Data!J3576=1,Raw_Data!D3576,"")</f>
        <v/>
      </c>
    </row>
    <row r="3577" spans="1:2" x14ac:dyDescent="0.25">
      <c r="A3577" s="3" t="str">
        <f>IF(Raw_Data!J3577=0,Raw_Data!D3577,"")</f>
        <v/>
      </c>
      <c r="B3577" s="3">
        <f>IF(Raw_Data!J3577=1,Raw_Data!D3577,"")</f>
        <v>473.26</v>
      </c>
    </row>
    <row r="3578" spans="1:2" x14ac:dyDescent="0.25">
      <c r="A3578" s="3">
        <f>IF(Raw_Data!J3578=0,Raw_Data!D3578,"")</f>
        <v>1127.1400000000001</v>
      </c>
      <c r="B3578" s="3" t="str">
        <f>IF(Raw_Data!J3578=1,Raw_Data!D3578,"")</f>
        <v/>
      </c>
    </row>
    <row r="3579" spans="1:2" x14ac:dyDescent="0.25">
      <c r="A3579" s="3">
        <f>IF(Raw_Data!J3579=0,Raw_Data!D3579,"")</f>
        <v>3279.44</v>
      </c>
      <c r="B3579" s="3" t="str">
        <f>IF(Raw_Data!J3579=1,Raw_Data!D3579,"")</f>
        <v/>
      </c>
    </row>
    <row r="3580" spans="1:2" x14ac:dyDescent="0.25">
      <c r="A3580" s="3">
        <f>IF(Raw_Data!J3580=0,Raw_Data!D3580,"")</f>
        <v>1377.83</v>
      </c>
      <c r="B3580" s="3" t="str">
        <f>IF(Raw_Data!J3580=1,Raw_Data!D3580,"")</f>
        <v/>
      </c>
    </row>
    <row r="3581" spans="1:2" x14ac:dyDescent="0.25">
      <c r="A3581" s="3">
        <f>IF(Raw_Data!J3581=0,Raw_Data!D3581,"")</f>
        <v>2617.02</v>
      </c>
      <c r="B3581" s="3" t="str">
        <f>IF(Raw_Data!J3581=1,Raw_Data!D3581,"")</f>
        <v/>
      </c>
    </row>
    <row r="3582" spans="1:2" x14ac:dyDescent="0.25">
      <c r="A3582" s="3">
        <f>IF(Raw_Data!J3582=0,Raw_Data!D3582,"")</f>
        <v>561.03</v>
      </c>
      <c r="B3582" s="3" t="str">
        <f>IF(Raw_Data!J3582=1,Raw_Data!D3582,"")</f>
        <v/>
      </c>
    </row>
    <row r="3583" spans="1:2" x14ac:dyDescent="0.25">
      <c r="A3583" s="3">
        <f>IF(Raw_Data!J3583=0,Raw_Data!D3583,"")</f>
        <v>682.03</v>
      </c>
      <c r="B3583" s="3" t="str">
        <f>IF(Raw_Data!J3583=1,Raw_Data!D3583,"")</f>
        <v/>
      </c>
    </row>
    <row r="3584" spans="1:2" x14ac:dyDescent="0.25">
      <c r="A3584" s="3">
        <f>IF(Raw_Data!J3584=0,Raw_Data!D3584,"")</f>
        <v>5770.92</v>
      </c>
      <c r="B3584" s="3" t="str">
        <f>IF(Raw_Data!J3584=1,Raw_Data!D3584,"")</f>
        <v/>
      </c>
    </row>
    <row r="3585" spans="1:2" x14ac:dyDescent="0.25">
      <c r="A3585" s="3">
        <f>IF(Raw_Data!J3585=0,Raw_Data!D3585,"")</f>
        <v>3287.46</v>
      </c>
      <c r="B3585" s="3" t="str">
        <f>IF(Raw_Data!J3585=1,Raw_Data!D3585,"")</f>
        <v/>
      </c>
    </row>
    <row r="3586" spans="1:2" x14ac:dyDescent="0.25">
      <c r="A3586" s="3">
        <f>IF(Raw_Data!J3586=0,Raw_Data!D3586,"")</f>
        <v>2655.96</v>
      </c>
      <c r="B3586" s="3" t="str">
        <f>IF(Raw_Data!J3586=1,Raw_Data!D3586,"")</f>
        <v/>
      </c>
    </row>
    <row r="3587" spans="1:2" x14ac:dyDescent="0.25">
      <c r="A3587" s="3" t="str">
        <f>IF(Raw_Data!J3587=0,Raw_Data!D3587,"")</f>
        <v/>
      </c>
      <c r="B3587" s="3">
        <f>IF(Raw_Data!J3587=1,Raw_Data!D3587,"")</f>
        <v>2995.8</v>
      </c>
    </row>
    <row r="3588" spans="1:2" x14ac:dyDescent="0.25">
      <c r="A3588" s="3" t="str">
        <f>IF(Raw_Data!J3588=0,Raw_Data!D3588,"")</f>
        <v/>
      </c>
      <c r="B3588" s="3">
        <f>IF(Raw_Data!J3588=1,Raw_Data!D3588,"")</f>
        <v>3680.97</v>
      </c>
    </row>
    <row r="3589" spans="1:2" x14ac:dyDescent="0.25">
      <c r="A3589" s="3">
        <f>IF(Raw_Data!J3589=0,Raw_Data!D3589,"")</f>
        <v>3058.63</v>
      </c>
      <c r="B3589" s="3" t="str">
        <f>IF(Raw_Data!J3589=1,Raw_Data!D3589,"")</f>
        <v/>
      </c>
    </row>
    <row r="3590" spans="1:2" x14ac:dyDescent="0.25">
      <c r="A3590" s="3">
        <f>IF(Raw_Data!J3590=0,Raw_Data!D3590,"")</f>
        <v>1911.97</v>
      </c>
      <c r="B3590" s="3" t="str">
        <f>IF(Raw_Data!J3590=1,Raw_Data!D3590,"")</f>
        <v/>
      </c>
    </row>
    <row r="3591" spans="1:2" x14ac:dyDescent="0.25">
      <c r="A3591" s="3">
        <f>IF(Raw_Data!J3591=0,Raw_Data!D3591,"")</f>
        <v>2451.63</v>
      </c>
      <c r="B3591" s="3" t="str">
        <f>IF(Raw_Data!J3591=1,Raw_Data!D3591,"")</f>
        <v/>
      </c>
    </row>
    <row r="3592" spans="1:2" x14ac:dyDescent="0.25">
      <c r="A3592" s="3">
        <f>IF(Raw_Data!J3592=0,Raw_Data!D3592,"")</f>
        <v>284.41000000000003</v>
      </c>
      <c r="B3592" s="3" t="str">
        <f>IF(Raw_Data!J3592=1,Raw_Data!D3592,"")</f>
        <v/>
      </c>
    </row>
    <row r="3593" spans="1:2" x14ac:dyDescent="0.25">
      <c r="A3593" s="3">
        <f>IF(Raw_Data!J3593=0,Raw_Data!D3593,"")</f>
        <v>3238.29</v>
      </c>
      <c r="B3593" s="3" t="str">
        <f>IF(Raw_Data!J3593=1,Raw_Data!D3593,"")</f>
        <v/>
      </c>
    </row>
    <row r="3594" spans="1:2" x14ac:dyDescent="0.25">
      <c r="A3594" s="3">
        <f>IF(Raw_Data!J3594=0,Raw_Data!D3594,"")</f>
        <v>868.75</v>
      </c>
      <c r="B3594" s="3" t="str">
        <f>IF(Raw_Data!J3594=1,Raw_Data!D3594,"")</f>
        <v/>
      </c>
    </row>
    <row r="3595" spans="1:2" x14ac:dyDescent="0.25">
      <c r="A3595" s="3">
        <f>IF(Raw_Data!J3595=0,Raw_Data!D3595,"")</f>
        <v>2721.83</v>
      </c>
      <c r="B3595" s="3" t="str">
        <f>IF(Raw_Data!J3595=1,Raw_Data!D3595,"")</f>
        <v/>
      </c>
    </row>
    <row r="3596" spans="1:2" x14ac:dyDescent="0.25">
      <c r="A3596" s="3">
        <f>IF(Raw_Data!J3596=0,Raw_Data!D3596,"")</f>
        <v>2783.44</v>
      </c>
      <c r="B3596" s="3" t="str">
        <f>IF(Raw_Data!J3596=1,Raw_Data!D3596,"")</f>
        <v/>
      </c>
    </row>
    <row r="3597" spans="1:2" x14ac:dyDescent="0.25">
      <c r="A3597" s="3">
        <f>IF(Raw_Data!J3597=0,Raw_Data!D3597,"")</f>
        <v>2177.5100000000002</v>
      </c>
      <c r="B3597" s="3" t="str">
        <f>IF(Raw_Data!J3597=1,Raw_Data!D3597,"")</f>
        <v/>
      </c>
    </row>
    <row r="3598" spans="1:2" x14ac:dyDescent="0.25">
      <c r="A3598" s="3">
        <f>IF(Raw_Data!J3598=0,Raw_Data!D3598,"")</f>
        <v>1526.21</v>
      </c>
      <c r="B3598" s="3" t="str">
        <f>IF(Raw_Data!J3598=1,Raw_Data!D3598,"")</f>
        <v/>
      </c>
    </row>
    <row r="3599" spans="1:2" x14ac:dyDescent="0.25">
      <c r="A3599" s="3">
        <f>IF(Raw_Data!J3599=0,Raw_Data!D3599,"")</f>
        <v>3598.66</v>
      </c>
      <c r="B3599" s="3" t="str">
        <f>IF(Raw_Data!J3599=1,Raw_Data!D3599,"")</f>
        <v/>
      </c>
    </row>
    <row r="3600" spans="1:2" x14ac:dyDescent="0.25">
      <c r="A3600" s="3">
        <f>IF(Raw_Data!J3600=0,Raw_Data!D3600,"")</f>
        <v>1033.23</v>
      </c>
      <c r="B3600" s="3" t="str">
        <f>IF(Raw_Data!J3600=1,Raw_Data!D3600,"")</f>
        <v/>
      </c>
    </row>
    <row r="3601" spans="1:2" x14ac:dyDescent="0.25">
      <c r="A3601" s="3">
        <f>IF(Raw_Data!J3601=0,Raw_Data!D3601,"")</f>
        <v>4046.19</v>
      </c>
      <c r="B3601" s="3" t="str">
        <f>IF(Raw_Data!J3601=1,Raw_Data!D3601,"")</f>
        <v/>
      </c>
    </row>
    <row r="3602" spans="1:2" x14ac:dyDescent="0.25">
      <c r="A3602" s="3">
        <f>IF(Raw_Data!J3602=0,Raw_Data!D3602,"")</f>
        <v>3247.91</v>
      </c>
      <c r="B3602" s="3" t="str">
        <f>IF(Raw_Data!J3602=1,Raw_Data!D3602,"")</f>
        <v/>
      </c>
    </row>
    <row r="3603" spans="1:2" x14ac:dyDescent="0.25">
      <c r="A3603" s="3">
        <f>IF(Raw_Data!J3603=0,Raw_Data!D3603,"")</f>
        <v>757.02</v>
      </c>
      <c r="B3603" s="3" t="str">
        <f>IF(Raw_Data!J3603=1,Raw_Data!D3603,"")</f>
        <v/>
      </c>
    </row>
    <row r="3604" spans="1:2" x14ac:dyDescent="0.25">
      <c r="A3604" s="3">
        <f>IF(Raw_Data!J3604=0,Raw_Data!D3604,"")</f>
        <v>3135.34</v>
      </c>
      <c r="B3604" s="3" t="str">
        <f>IF(Raw_Data!J3604=1,Raw_Data!D3604,"")</f>
        <v/>
      </c>
    </row>
    <row r="3605" spans="1:2" x14ac:dyDescent="0.25">
      <c r="A3605" s="3">
        <f>IF(Raw_Data!J3605=0,Raw_Data!D3605,"")</f>
        <v>3889.98</v>
      </c>
      <c r="B3605" s="3" t="str">
        <f>IF(Raw_Data!J3605=1,Raw_Data!D3605,"")</f>
        <v/>
      </c>
    </row>
    <row r="3606" spans="1:2" x14ac:dyDescent="0.25">
      <c r="A3606" s="3">
        <f>IF(Raw_Data!J3606=0,Raw_Data!D3606,"")</f>
        <v>1431.74</v>
      </c>
      <c r="B3606" s="3" t="str">
        <f>IF(Raw_Data!J3606=1,Raw_Data!D3606,"")</f>
        <v/>
      </c>
    </row>
    <row r="3607" spans="1:2" x14ac:dyDescent="0.25">
      <c r="A3607" s="3">
        <f>IF(Raw_Data!J3607=0,Raw_Data!D3607,"")</f>
        <v>4223.97</v>
      </c>
      <c r="B3607" s="3" t="str">
        <f>IF(Raw_Data!J3607=1,Raw_Data!D3607,"")</f>
        <v/>
      </c>
    </row>
    <row r="3608" spans="1:2" x14ac:dyDescent="0.25">
      <c r="A3608" s="3">
        <f>IF(Raw_Data!J3608=0,Raw_Data!D3608,"")</f>
        <v>1051.01</v>
      </c>
      <c r="B3608" s="3" t="str">
        <f>IF(Raw_Data!J3608=1,Raw_Data!D3608,"")</f>
        <v/>
      </c>
    </row>
    <row r="3609" spans="1:2" x14ac:dyDescent="0.25">
      <c r="A3609" s="3">
        <f>IF(Raw_Data!J3609=0,Raw_Data!D3609,"")</f>
        <v>2089.83</v>
      </c>
      <c r="B3609" s="3" t="str">
        <f>IF(Raw_Data!J3609=1,Raw_Data!D3609,"")</f>
        <v/>
      </c>
    </row>
    <row r="3610" spans="1:2" x14ac:dyDescent="0.25">
      <c r="A3610" s="3">
        <f>IF(Raw_Data!J3610=0,Raw_Data!D3610,"")</f>
        <v>2052.67</v>
      </c>
      <c r="B3610" s="3" t="str">
        <f>IF(Raw_Data!J3610=1,Raw_Data!D3610,"")</f>
        <v/>
      </c>
    </row>
    <row r="3611" spans="1:2" x14ac:dyDescent="0.25">
      <c r="A3611" s="3">
        <f>IF(Raw_Data!J3611=0,Raw_Data!D3611,"")</f>
        <v>1397.94</v>
      </c>
      <c r="B3611" s="3" t="str">
        <f>IF(Raw_Data!J3611=1,Raw_Data!D3611,"")</f>
        <v/>
      </c>
    </row>
    <row r="3612" spans="1:2" x14ac:dyDescent="0.25">
      <c r="A3612" s="3" t="str">
        <f>IF(Raw_Data!J3612=0,Raw_Data!D3612,"")</f>
        <v/>
      </c>
      <c r="B3612" s="3">
        <f>IF(Raw_Data!J3612=1,Raw_Data!D3612,"")</f>
        <v>5956.67</v>
      </c>
    </row>
    <row r="3613" spans="1:2" x14ac:dyDescent="0.25">
      <c r="A3613" s="3">
        <f>IF(Raw_Data!J3613=0,Raw_Data!D3613,"")</f>
        <v>2723.39</v>
      </c>
      <c r="B3613" s="3" t="str">
        <f>IF(Raw_Data!J3613=1,Raw_Data!D3613,"")</f>
        <v/>
      </c>
    </row>
    <row r="3614" spans="1:2" x14ac:dyDescent="0.25">
      <c r="A3614" s="3">
        <f>IF(Raw_Data!J3614=0,Raw_Data!D3614,"")</f>
        <v>4375.4799999999996</v>
      </c>
      <c r="B3614" s="3" t="str">
        <f>IF(Raw_Data!J3614=1,Raw_Data!D3614,"")</f>
        <v/>
      </c>
    </row>
    <row r="3615" spans="1:2" x14ac:dyDescent="0.25">
      <c r="A3615" s="3">
        <f>IF(Raw_Data!J3615=0,Raw_Data!D3615,"")</f>
        <v>1393.67</v>
      </c>
      <c r="B3615" s="3" t="str">
        <f>IF(Raw_Data!J3615=1,Raw_Data!D3615,"")</f>
        <v/>
      </c>
    </row>
    <row r="3616" spans="1:2" x14ac:dyDescent="0.25">
      <c r="A3616" s="3">
        <f>IF(Raw_Data!J3616=0,Raw_Data!D3616,"")</f>
        <v>3143.19</v>
      </c>
      <c r="B3616" s="3" t="str">
        <f>IF(Raw_Data!J3616=1,Raw_Data!D3616,"")</f>
        <v/>
      </c>
    </row>
    <row r="3617" spans="1:2" x14ac:dyDescent="0.25">
      <c r="A3617" s="3">
        <f>IF(Raw_Data!J3617=0,Raw_Data!D3617,"")</f>
        <v>205.67</v>
      </c>
      <c r="B3617" s="3" t="str">
        <f>IF(Raw_Data!J3617=1,Raw_Data!D3617,"")</f>
        <v/>
      </c>
    </row>
    <row r="3618" spans="1:2" x14ac:dyDescent="0.25">
      <c r="A3618" s="3">
        <f>IF(Raw_Data!J3618=0,Raw_Data!D3618,"")</f>
        <v>3256.44</v>
      </c>
      <c r="B3618" s="3" t="str">
        <f>IF(Raw_Data!J3618=1,Raw_Data!D3618,"")</f>
        <v/>
      </c>
    </row>
    <row r="3619" spans="1:2" x14ac:dyDescent="0.25">
      <c r="A3619" s="3" t="str">
        <f>IF(Raw_Data!J3619=0,Raw_Data!D3619,"")</f>
        <v/>
      </c>
      <c r="B3619" s="3">
        <f>IF(Raw_Data!J3619=1,Raw_Data!D3619,"")</f>
        <v>2349.3200000000002</v>
      </c>
    </row>
    <row r="3620" spans="1:2" x14ac:dyDescent="0.25">
      <c r="A3620" s="3">
        <f>IF(Raw_Data!J3620=0,Raw_Data!D3620,"")</f>
        <v>4309.1000000000004</v>
      </c>
      <c r="B3620" s="3" t="str">
        <f>IF(Raw_Data!J3620=1,Raw_Data!D3620,"")</f>
        <v/>
      </c>
    </row>
    <row r="3621" spans="1:2" x14ac:dyDescent="0.25">
      <c r="A3621" s="3">
        <f>IF(Raw_Data!J3621=0,Raw_Data!D3621,"")</f>
        <v>3256.02</v>
      </c>
      <c r="B3621" s="3" t="str">
        <f>IF(Raw_Data!J3621=1,Raw_Data!D3621,"")</f>
        <v/>
      </c>
    </row>
    <row r="3622" spans="1:2" x14ac:dyDescent="0.25">
      <c r="A3622" s="3">
        <f>IF(Raw_Data!J3622=0,Raw_Data!D3622,"")</f>
        <v>1147.33</v>
      </c>
      <c r="B3622" s="3" t="str">
        <f>IF(Raw_Data!J3622=1,Raw_Data!D3622,"")</f>
        <v/>
      </c>
    </row>
    <row r="3623" spans="1:2" x14ac:dyDescent="0.25">
      <c r="A3623" s="3">
        <f>IF(Raw_Data!J3623=0,Raw_Data!D3623,"")</f>
        <v>692.76</v>
      </c>
      <c r="B3623" s="3" t="str">
        <f>IF(Raw_Data!J3623=1,Raw_Data!D3623,"")</f>
        <v/>
      </c>
    </row>
    <row r="3624" spans="1:2" x14ac:dyDescent="0.25">
      <c r="A3624" s="3">
        <f>IF(Raw_Data!J3624=0,Raw_Data!D3624,"")</f>
        <v>1774.52</v>
      </c>
      <c r="B3624" s="3" t="str">
        <f>IF(Raw_Data!J3624=1,Raw_Data!D3624,"")</f>
        <v/>
      </c>
    </row>
    <row r="3625" spans="1:2" x14ac:dyDescent="0.25">
      <c r="A3625" s="3">
        <f>IF(Raw_Data!J3625=0,Raw_Data!D3625,"")</f>
        <v>2716.28</v>
      </c>
      <c r="B3625" s="3" t="str">
        <f>IF(Raw_Data!J3625=1,Raw_Data!D3625,"")</f>
        <v/>
      </c>
    </row>
    <row r="3626" spans="1:2" x14ac:dyDescent="0.25">
      <c r="A3626" s="3">
        <f>IF(Raw_Data!J3626=0,Raw_Data!D3626,"")</f>
        <v>3843.1</v>
      </c>
      <c r="B3626" s="3" t="str">
        <f>IF(Raw_Data!J3626=1,Raw_Data!D3626,"")</f>
        <v/>
      </c>
    </row>
    <row r="3627" spans="1:2" x14ac:dyDescent="0.25">
      <c r="A3627" s="3">
        <f>IF(Raw_Data!J3627=0,Raw_Data!D3627,"")</f>
        <v>4127.0200000000004</v>
      </c>
      <c r="B3627" s="3" t="str">
        <f>IF(Raw_Data!J3627=1,Raw_Data!D3627,"")</f>
        <v/>
      </c>
    </row>
    <row r="3628" spans="1:2" x14ac:dyDescent="0.25">
      <c r="A3628" s="3" t="str">
        <f>IF(Raw_Data!J3628=0,Raw_Data!D3628,"")</f>
        <v/>
      </c>
      <c r="B3628" s="3">
        <f>IF(Raw_Data!J3628=1,Raw_Data!D3628,"")</f>
        <v>3308.37</v>
      </c>
    </row>
    <row r="3629" spans="1:2" x14ac:dyDescent="0.25">
      <c r="A3629" s="3">
        <f>IF(Raw_Data!J3629=0,Raw_Data!D3629,"")</f>
        <v>2212.9899999999998</v>
      </c>
      <c r="B3629" s="3" t="str">
        <f>IF(Raw_Data!J3629=1,Raw_Data!D3629,"")</f>
        <v/>
      </c>
    </row>
    <row r="3630" spans="1:2" x14ac:dyDescent="0.25">
      <c r="A3630" s="3" t="str">
        <f>IF(Raw_Data!J3630=0,Raw_Data!D3630,"")</f>
        <v/>
      </c>
      <c r="B3630" s="3">
        <f>IF(Raw_Data!J3630=1,Raw_Data!D3630,"")</f>
        <v>3490.33</v>
      </c>
    </row>
    <row r="3631" spans="1:2" x14ac:dyDescent="0.25">
      <c r="A3631" s="3">
        <f>IF(Raw_Data!J3631=0,Raw_Data!D3631,"")</f>
        <v>1561.17</v>
      </c>
      <c r="B3631" s="3" t="str">
        <f>IF(Raw_Data!J3631=1,Raw_Data!D3631,"")</f>
        <v/>
      </c>
    </row>
    <row r="3632" spans="1:2" x14ac:dyDescent="0.25">
      <c r="A3632" s="3">
        <f>IF(Raw_Data!J3632=0,Raw_Data!D3632,"")</f>
        <v>679.54</v>
      </c>
      <c r="B3632" s="3" t="str">
        <f>IF(Raw_Data!J3632=1,Raw_Data!D3632,"")</f>
        <v/>
      </c>
    </row>
    <row r="3633" spans="1:2" x14ac:dyDescent="0.25">
      <c r="A3633" s="3">
        <f>IF(Raw_Data!J3633=0,Raw_Data!D3633,"")</f>
        <v>4102.18</v>
      </c>
      <c r="B3633" s="3" t="str">
        <f>IF(Raw_Data!J3633=1,Raw_Data!D3633,"")</f>
        <v/>
      </c>
    </row>
    <row r="3634" spans="1:2" x14ac:dyDescent="0.25">
      <c r="A3634" s="3">
        <f>IF(Raw_Data!J3634=0,Raw_Data!D3634,"")</f>
        <v>1482.05</v>
      </c>
      <c r="B3634" s="3" t="str">
        <f>IF(Raw_Data!J3634=1,Raw_Data!D3634,"")</f>
        <v/>
      </c>
    </row>
    <row r="3635" spans="1:2" x14ac:dyDescent="0.25">
      <c r="A3635" s="3">
        <f>IF(Raw_Data!J3635=0,Raw_Data!D3635,"")</f>
        <v>939.03</v>
      </c>
      <c r="B3635" s="3" t="str">
        <f>IF(Raw_Data!J3635=1,Raw_Data!D3635,"")</f>
        <v/>
      </c>
    </row>
    <row r="3636" spans="1:2" x14ac:dyDescent="0.25">
      <c r="A3636" s="3" t="str">
        <f>IF(Raw_Data!J3636=0,Raw_Data!D3636,"")</f>
        <v/>
      </c>
      <c r="B3636" s="3">
        <f>IF(Raw_Data!J3636=1,Raw_Data!D3636,"")</f>
        <v>1821.42</v>
      </c>
    </row>
    <row r="3637" spans="1:2" x14ac:dyDescent="0.25">
      <c r="A3637" s="3">
        <f>IF(Raw_Data!J3637=0,Raw_Data!D3637,"")</f>
        <v>1714.09</v>
      </c>
      <c r="B3637" s="3" t="str">
        <f>IF(Raw_Data!J3637=1,Raw_Data!D3637,"")</f>
        <v/>
      </c>
    </row>
    <row r="3638" spans="1:2" x14ac:dyDescent="0.25">
      <c r="A3638" s="3">
        <f>IF(Raw_Data!J3638=0,Raw_Data!D3638,"")</f>
        <v>3499</v>
      </c>
      <c r="B3638" s="3" t="str">
        <f>IF(Raw_Data!J3638=1,Raw_Data!D3638,"")</f>
        <v/>
      </c>
    </row>
    <row r="3639" spans="1:2" x14ac:dyDescent="0.25">
      <c r="A3639" s="3">
        <f>IF(Raw_Data!J3639=0,Raw_Data!D3639,"")</f>
        <v>2856.4</v>
      </c>
      <c r="B3639" s="3" t="str">
        <f>IF(Raw_Data!J3639=1,Raw_Data!D3639,"")</f>
        <v/>
      </c>
    </row>
    <row r="3640" spans="1:2" x14ac:dyDescent="0.25">
      <c r="A3640" s="3">
        <f>IF(Raw_Data!J3640=0,Raw_Data!D3640,"")</f>
        <v>2021.91</v>
      </c>
      <c r="B3640" s="3" t="str">
        <f>IF(Raw_Data!J3640=1,Raw_Data!D3640,"")</f>
        <v/>
      </c>
    </row>
    <row r="3641" spans="1:2" x14ac:dyDescent="0.25">
      <c r="A3641" s="3" t="str">
        <f>IF(Raw_Data!J3641=0,Raw_Data!D3641,"")</f>
        <v/>
      </c>
      <c r="B3641" s="3">
        <f>IF(Raw_Data!J3641=1,Raw_Data!D3641,"")</f>
        <v>2109.59</v>
      </c>
    </row>
    <row r="3642" spans="1:2" x14ac:dyDescent="0.25">
      <c r="A3642" s="3">
        <f>IF(Raw_Data!J3642=0,Raw_Data!D3642,"")</f>
        <v>1006.83</v>
      </c>
      <c r="B3642" s="3" t="str">
        <f>IF(Raw_Data!J3642=1,Raw_Data!D3642,"")</f>
        <v/>
      </c>
    </row>
    <row r="3643" spans="1:2" x14ac:dyDescent="0.25">
      <c r="A3643" s="3">
        <f>IF(Raw_Data!J3643=0,Raw_Data!D3643,"")</f>
        <v>9826.74</v>
      </c>
      <c r="B3643" s="3" t="str">
        <f>IF(Raw_Data!J3643=1,Raw_Data!D3643,"")</f>
        <v/>
      </c>
    </row>
    <row r="3644" spans="1:2" x14ac:dyDescent="0.25">
      <c r="A3644" s="3">
        <f>IF(Raw_Data!J3644=0,Raw_Data!D3644,"")</f>
        <v>736.28</v>
      </c>
      <c r="B3644" s="3" t="str">
        <f>IF(Raw_Data!J3644=1,Raw_Data!D3644,"")</f>
        <v/>
      </c>
    </row>
    <row r="3645" spans="1:2" x14ac:dyDescent="0.25">
      <c r="A3645" s="3">
        <f>IF(Raw_Data!J3645=0,Raw_Data!D3645,"")</f>
        <v>2997.75</v>
      </c>
      <c r="B3645" s="3" t="str">
        <f>IF(Raw_Data!J3645=1,Raw_Data!D3645,"")</f>
        <v/>
      </c>
    </row>
    <row r="3646" spans="1:2" x14ac:dyDescent="0.25">
      <c r="A3646" s="3" t="str">
        <f>IF(Raw_Data!J3646=0,Raw_Data!D3646,"")</f>
        <v/>
      </c>
      <c r="B3646" s="3">
        <f>IF(Raw_Data!J3646=1,Raw_Data!D3646,"")</f>
        <v>2901.78</v>
      </c>
    </row>
    <row r="3647" spans="1:2" x14ac:dyDescent="0.25">
      <c r="A3647" s="3" t="str">
        <f>IF(Raw_Data!J3647=0,Raw_Data!D3647,"")</f>
        <v/>
      </c>
      <c r="B3647" s="3">
        <f>IF(Raw_Data!J3647=1,Raw_Data!D3647,"")</f>
        <v>4307.3100000000004</v>
      </c>
    </row>
    <row r="3648" spans="1:2" x14ac:dyDescent="0.25">
      <c r="A3648" s="3">
        <f>IF(Raw_Data!J3648=0,Raw_Data!D3648,"")</f>
        <v>1500.93</v>
      </c>
      <c r="B3648" s="3" t="str">
        <f>IF(Raw_Data!J3648=1,Raw_Data!D3648,"")</f>
        <v/>
      </c>
    </row>
    <row r="3649" spans="1:2" x14ac:dyDescent="0.25">
      <c r="A3649" s="3">
        <f>IF(Raw_Data!J3649=0,Raw_Data!D3649,"")</f>
        <v>2097.2600000000002</v>
      </c>
      <c r="B3649" s="3" t="str">
        <f>IF(Raw_Data!J3649=1,Raw_Data!D3649,"")</f>
        <v/>
      </c>
    </row>
    <row r="3650" spans="1:2" x14ac:dyDescent="0.25">
      <c r="A3650" s="3">
        <f>IF(Raw_Data!J3650=0,Raw_Data!D3650,"")</f>
        <v>984.74</v>
      </c>
      <c r="B3650" s="3" t="str">
        <f>IF(Raw_Data!J3650=1,Raw_Data!D3650,"")</f>
        <v/>
      </c>
    </row>
    <row r="3651" spans="1:2" x14ac:dyDescent="0.25">
      <c r="A3651" s="3">
        <f>IF(Raw_Data!J3651=0,Raw_Data!D3651,"")</f>
        <v>1257.7</v>
      </c>
      <c r="B3651" s="3" t="str">
        <f>IF(Raw_Data!J3651=1,Raw_Data!D3651,"")</f>
        <v/>
      </c>
    </row>
    <row r="3652" spans="1:2" x14ac:dyDescent="0.25">
      <c r="A3652" s="3">
        <f>IF(Raw_Data!J3652=0,Raw_Data!D3652,"")</f>
        <v>3114.78</v>
      </c>
      <c r="B3652" s="3" t="str">
        <f>IF(Raw_Data!J3652=1,Raw_Data!D3652,"")</f>
        <v/>
      </c>
    </row>
    <row r="3653" spans="1:2" x14ac:dyDescent="0.25">
      <c r="A3653" s="3">
        <f>IF(Raw_Data!J3653=0,Raw_Data!D3653,"")</f>
        <v>1453.39</v>
      </c>
      <c r="B3653" s="3" t="str">
        <f>IF(Raw_Data!J3653=1,Raw_Data!D3653,"")</f>
        <v/>
      </c>
    </row>
    <row r="3654" spans="1:2" x14ac:dyDescent="0.25">
      <c r="A3654" s="3">
        <f>IF(Raw_Data!J3654=0,Raw_Data!D3654,"")</f>
        <v>1808.63</v>
      </c>
      <c r="B3654" s="3" t="str">
        <f>IF(Raw_Data!J3654=1,Raw_Data!D3654,"")</f>
        <v/>
      </c>
    </row>
    <row r="3655" spans="1:2" x14ac:dyDescent="0.25">
      <c r="A3655" s="3">
        <f>IF(Raw_Data!J3655=0,Raw_Data!D3655,"")</f>
        <v>7547.02</v>
      </c>
      <c r="B3655" s="3" t="str">
        <f>IF(Raw_Data!J3655=1,Raw_Data!D3655,"")</f>
        <v/>
      </c>
    </row>
    <row r="3656" spans="1:2" x14ac:dyDescent="0.25">
      <c r="A3656" s="3">
        <f>IF(Raw_Data!J3656=0,Raw_Data!D3656,"")</f>
        <v>4831.79</v>
      </c>
      <c r="B3656" s="3" t="str">
        <f>IF(Raw_Data!J3656=1,Raw_Data!D3656,"")</f>
        <v/>
      </c>
    </row>
    <row r="3657" spans="1:2" x14ac:dyDescent="0.25">
      <c r="A3657" s="3">
        <f>IF(Raw_Data!J3657=0,Raw_Data!D3657,"")</f>
        <v>900.35</v>
      </c>
      <c r="B3657" s="3" t="str">
        <f>IF(Raw_Data!J3657=1,Raw_Data!D3657,"")</f>
        <v/>
      </c>
    </row>
    <row r="3658" spans="1:2" x14ac:dyDescent="0.25">
      <c r="A3658" s="3" t="str">
        <f>IF(Raw_Data!J3658=0,Raw_Data!D3658,"")</f>
        <v/>
      </c>
      <c r="B3658" s="3">
        <f>IF(Raw_Data!J3658=1,Raw_Data!D3658,"")</f>
        <v>2057.5500000000002</v>
      </c>
    </row>
    <row r="3659" spans="1:2" x14ac:dyDescent="0.25">
      <c r="A3659" s="3" t="str">
        <f>IF(Raw_Data!J3659=0,Raw_Data!D3659,"")</f>
        <v/>
      </c>
      <c r="B3659" s="3">
        <f>IF(Raw_Data!J3659=1,Raw_Data!D3659,"")</f>
        <v>3463.02</v>
      </c>
    </row>
    <row r="3660" spans="1:2" x14ac:dyDescent="0.25">
      <c r="A3660" s="3">
        <f>IF(Raw_Data!J3660=0,Raw_Data!D3660,"")</f>
        <v>280.97000000000003</v>
      </c>
      <c r="B3660" s="3" t="str">
        <f>IF(Raw_Data!J3660=1,Raw_Data!D3660,"")</f>
        <v/>
      </c>
    </row>
    <row r="3661" spans="1:2" x14ac:dyDescent="0.25">
      <c r="A3661" s="3">
        <f>IF(Raw_Data!J3661=0,Raw_Data!D3661,"")</f>
        <v>1331.2</v>
      </c>
      <c r="B3661" s="3" t="str">
        <f>IF(Raw_Data!J3661=1,Raw_Data!D3661,"")</f>
        <v/>
      </c>
    </row>
    <row r="3662" spans="1:2" x14ac:dyDescent="0.25">
      <c r="A3662" s="3">
        <f>IF(Raw_Data!J3662=0,Raw_Data!D3662,"")</f>
        <v>2948.52</v>
      </c>
      <c r="B3662" s="3" t="str">
        <f>IF(Raw_Data!J3662=1,Raw_Data!D3662,"")</f>
        <v/>
      </c>
    </row>
    <row r="3663" spans="1:2" x14ac:dyDescent="0.25">
      <c r="A3663" s="3">
        <f>IF(Raw_Data!J3663=0,Raw_Data!D3663,"")</f>
        <v>2929.85</v>
      </c>
      <c r="B3663" s="3" t="str">
        <f>IF(Raw_Data!J3663=1,Raw_Data!D3663,"")</f>
        <v/>
      </c>
    </row>
    <row r="3664" spans="1:2" x14ac:dyDescent="0.25">
      <c r="A3664" s="3">
        <f>IF(Raw_Data!J3664=0,Raw_Data!D3664,"")</f>
        <v>5489.24</v>
      </c>
      <c r="B3664" s="3" t="str">
        <f>IF(Raw_Data!J3664=1,Raw_Data!D3664,"")</f>
        <v/>
      </c>
    </row>
    <row r="3665" spans="1:2" x14ac:dyDescent="0.25">
      <c r="A3665" s="3">
        <f>IF(Raw_Data!J3665=0,Raw_Data!D3665,"")</f>
        <v>1826.36</v>
      </c>
      <c r="B3665" s="3" t="str">
        <f>IF(Raw_Data!J3665=1,Raw_Data!D3665,"")</f>
        <v/>
      </c>
    </row>
    <row r="3666" spans="1:2" x14ac:dyDescent="0.25">
      <c r="A3666" s="3">
        <f>IF(Raw_Data!J3666=0,Raw_Data!D3666,"")</f>
        <v>1231.75</v>
      </c>
      <c r="B3666" s="3" t="str">
        <f>IF(Raw_Data!J3666=1,Raw_Data!D3666,"")</f>
        <v/>
      </c>
    </row>
    <row r="3667" spans="1:2" x14ac:dyDescent="0.25">
      <c r="A3667" s="3" t="str">
        <f>IF(Raw_Data!J3667=0,Raw_Data!D3667,"")</f>
        <v/>
      </c>
      <c r="B3667" s="3">
        <f>IF(Raw_Data!J3667=1,Raw_Data!D3667,"")</f>
        <v>2696.1</v>
      </c>
    </row>
    <row r="3668" spans="1:2" x14ac:dyDescent="0.25">
      <c r="A3668" s="3">
        <f>IF(Raw_Data!J3668=0,Raw_Data!D3668,"")</f>
        <v>1720.9</v>
      </c>
      <c r="B3668" s="3" t="str">
        <f>IF(Raw_Data!J3668=1,Raw_Data!D3668,"")</f>
        <v/>
      </c>
    </row>
    <row r="3669" spans="1:2" x14ac:dyDescent="0.25">
      <c r="A3669" s="3">
        <f>IF(Raw_Data!J3669=0,Raw_Data!D3669,"")</f>
        <v>3059.73</v>
      </c>
      <c r="B3669" s="3" t="str">
        <f>IF(Raw_Data!J3669=1,Raw_Data!D3669,"")</f>
        <v/>
      </c>
    </row>
    <row r="3670" spans="1:2" x14ac:dyDescent="0.25">
      <c r="A3670" s="3">
        <f>IF(Raw_Data!J3670=0,Raw_Data!D3670,"")</f>
        <v>2776.86</v>
      </c>
      <c r="B3670" s="3" t="str">
        <f>IF(Raw_Data!J3670=1,Raw_Data!D3670,"")</f>
        <v/>
      </c>
    </row>
    <row r="3671" spans="1:2" x14ac:dyDescent="0.25">
      <c r="A3671" s="3">
        <f>IF(Raw_Data!J3671=0,Raw_Data!D3671,"")</f>
        <v>1353.91</v>
      </c>
      <c r="B3671" s="3" t="str">
        <f>IF(Raw_Data!J3671=1,Raw_Data!D3671,"")</f>
        <v/>
      </c>
    </row>
    <row r="3672" spans="1:2" x14ac:dyDescent="0.25">
      <c r="A3672" s="3">
        <f>IF(Raw_Data!J3672=0,Raw_Data!D3672,"")</f>
        <v>1524.96</v>
      </c>
      <c r="B3672" s="3" t="str">
        <f>IF(Raw_Data!J3672=1,Raw_Data!D3672,"")</f>
        <v/>
      </c>
    </row>
    <row r="3673" spans="1:2" x14ac:dyDescent="0.25">
      <c r="A3673" s="3">
        <f>IF(Raw_Data!J3673=0,Raw_Data!D3673,"")</f>
        <v>2437.96</v>
      </c>
      <c r="B3673" s="3" t="str">
        <f>IF(Raw_Data!J3673=1,Raw_Data!D3673,"")</f>
        <v/>
      </c>
    </row>
    <row r="3674" spans="1:2" x14ac:dyDescent="0.25">
      <c r="A3674" s="3" t="str">
        <f>IF(Raw_Data!J3674=0,Raw_Data!D3674,"")</f>
        <v/>
      </c>
      <c r="B3674" s="3">
        <f>IF(Raw_Data!J3674=1,Raw_Data!D3674,"")</f>
        <v>2806.11</v>
      </c>
    </row>
    <row r="3675" spans="1:2" x14ac:dyDescent="0.25">
      <c r="A3675" s="3">
        <f>IF(Raw_Data!J3675=0,Raw_Data!D3675,"")</f>
        <v>1796.11</v>
      </c>
      <c r="B3675" s="3" t="str">
        <f>IF(Raw_Data!J3675=1,Raw_Data!D3675,"")</f>
        <v/>
      </c>
    </row>
    <row r="3676" spans="1:2" x14ac:dyDescent="0.25">
      <c r="A3676" s="3">
        <f>IF(Raw_Data!J3676=0,Raw_Data!D3676,"")</f>
        <v>509.03</v>
      </c>
      <c r="B3676" s="3" t="str">
        <f>IF(Raw_Data!J3676=1,Raw_Data!D3676,"")</f>
        <v/>
      </c>
    </row>
    <row r="3677" spans="1:2" x14ac:dyDescent="0.25">
      <c r="A3677" s="3">
        <f>IF(Raw_Data!J3677=0,Raw_Data!D3677,"")</f>
        <v>3119.06</v>
      </c>
      <c r="B3677" s="3" t="str">
        <f>IF(Raw_Data!J3677=1,Raw_Data!D3677,"")</f>
        <v/>
      </c>
    </row>
    <row r="3678" spans="1:2" x14ac:dyDescent="0.25">
      <c r="A3678" s="3">
        <f>IF(Raw_Data!J3678=0,Raw_Data!D3678,"")</f>
        <v>3521.44</v>
      </c>
      <c r="B3678" s="3" t="str">
        <f>IF(Raw_Data!J3678=1,Raw_Data!D3678,"")</f>
        <v/>
      </c>
    </row>
    <row r="3679" spans="1:2" x14ac:dyDescent="0.25">
      <c r="A3679" s="3" t="str">
        <f>IF(Raw_Data!J3679=0,Raw_Data!D3679,"")</f>
        <v/>
      </c>
      <c r="B3679" s="3">
        <f>IF(Raw_Data!J3679=1,Raw_Data!D3679,"")</f>
        <v>1365.56</v>
      </c>
    </row>
    <row r="3680" spans="1:2" x14ac:dyDescent="0.25">
      <c r="A3680" s="3">
        <f>IF(Raw_Data!J3680=0,Raw_Data!D3680,"")</f>
        <v>5283.08</v>
      </c>
      <c r="B3680" s="3" t="str">
        <f>IF(Raw_Data!J3680=1,Raw_Data!D3680,"")</f>
        <v/>
      </c>
    </row>
    <row r="3681" spans="1:2" x14ac:dyDescent="0.25">
      <c r="A3681" s="3">
        <f>IF(Raw_Data!J3681=0,Raw_Data!D3681,"")</f>
        <v>1538.35</v>
      </c>
      <c r="B3681" s="3" t="str">
        <f>IF(Raw_Data!J3681=1,Raw_Data!D3681,"")</f>
        <v/>
      </c>
    </row>
    <row r="3682" spans="1:2" x14ac:dyDescent="0.25">
      <c r="A3682" s="3">
        <f>IF(Raw_Data!J3682=0,Raw_Data!D3682,"")</f>
        <v>4546.3500000000004</v>
      </c>
      <c r="B3682" s="3" t="str">
        <f>IF(Raw_Data!J3682=1,Raw_Data!D3682,"")</f>
        <v/>
      </c>
    </row>
    <row r="3683" spans="1:2" x14ac:dyDescent="0.25">
      <c r="A3683" s="3">
        <f>IF(Raw_Data!J3683=0,Raw_Data!D3683,"")</f>
        <v>1945.08</v>
      </c>
      <c r="B3683" s="3" t="str">
        <f>IF(Raw_Data!J3683=1,Raw_Data!D3683,"")</f>
        <v/>
      </c>
    </row>
    <row r="3684" spans="1:2" x14ac:dyDescent="0.25">
      <c r="A3684" s="3">
        <f>IF(Raw_Data!J3684=0,Raw_Data!D3684,"")</f>
        <v>1621.44</v>
      </c>
      <c r="B3684" s="3" t="str">
        <f>IF(Raw_Data!J3684=1,Raw_Data!D3684,"")</f>
        <v/>
      </c>
    </row>
    <row r="3685" spans="1:2" x14ac:dyDescent="0.25">
      <c r="A3685" s="3">
        <f>IF(Raw_Data!J3685=0,Raw_Data!D3685,"")</f>
        <v>1141.23</v>
      </c>
      <c r="B3685" s="3" t="str">
        <f>IF(Raw_Data!J3685=1,Raw_Data!D3685,"")</f>
        <v/>
      </c>
    </row>
    <row r="3686" spans="1:2" x14ac:dyDescent="0.25">
      <c r="A3686" s="3">
        <f>IF(Raw_Data!J3686=0,Raw_Data!D3686,"")</f>
        <v>2473.84</v>
      </c>
      <c r="B3686" s="3" t="str">
        <f>IF(Raw_Data!J3686=1,Raw_Data!D3686,"")</f>
        <v/>
      </c>
    </row>
    <row r="3687" spans="1:2" x14ac:dyDescent="0.25">
      <c r="A3687" s="3">
        <f>IF(Raw_Data!J3687=0,Raw_Data!D3687,"")</f>
        <v>2198.15</v>
      </c>
      <c r="B3687" s="3" t="str">
        <f>IF(Raw_Data!J3687=1,Raw_Data!D3687,"")</f>
        <v/>
      </c>
    </row>
    <row r="3688" spans="1:2" x14ac:dyDescent="0.25">
      <c r="A3688" s="3">
        <f>IF(Raw_Data!J3688=0,Raw_Data!D3688,"")</f>
        <v>1259.32</v>
      </c>
      <c r="B3688" s="3" t="str">
        <f>IF(Raw_Data!J3688=1,Raw_Data!D3688,"")</f>
        <v/>
      </c>
    </row>
    <row r="3689" spans="1:2" x14ac:dyDescent="0.25">
      <c r="A3689" s="3" t="str">
        <f>IF(Raw_Data!J3689=0,Raw_Data!D3689,"")</f>
        <v/>
      </c>
      <c r="B3689" s="3">
        <f>IF(Raw_Data!J3689=1,Raw_Data!D3689,"")</f>
        <v>705.34</v>
      </c>
    </row>
    <row r="3690" spans="1:2" x14ac:dyDescent="0.25">
      <c r="A3690" s="3" t="str">
        <f>IF(Raw_Data!J3690=0,Raw_Data!D3690,"")</f>
        <v/>
      </c>
      <c r="B3690" s="3">
        <f>IF(Raw_Data!J3690=1,Raw_Data!D3690,"")</f>
        <v>2303.58</v>
      </c>
    </row>
    <row r="3691" spans="1:2" x14ac:dyDescent="0.25">
      <c r="A3691" s="3">
        <f>IF(Raw_Data!J3691=0,Raw_Data!D3691,"")</f>
        <v>248.35</v>
      </c>
      <c r="B3691" s="3" t="str">
        <f>IF(Raw_Data!J3691=1,Raw_Data!D3691,"")</f>
        <v/>
      </c>
    </row>
    <row r="3692" spans="1:2" x14ac:dyDescent="0.25">
      <c r="A3692" s="3">
        <f>IF(Raw_Data!J3692=0,Raw_Data!D3692,"")</f>
        <v>5589.64</v>
      </c>
      <c r="B3692" s="3" t="str">
        <f>IF(Raw_Data!J3692=1,Raw_Data!D3692,"")</f>
        <v/>
      </c>
    </row>
    <row r="3693" spans="1:2" x14ac:dyDescent="0.25">
      <c r="A3693" s="3">
        <f>IF(Raw_Data!J3693=0,Raw_Data!D3693,"")</f>
        <v>1012.52</v>
      </c>
      <c r="B3693" s="3" t="str">
        <f>IF(Raw_Data!J3693=1,Raw_Data!D3693,"")</f>
        <v/>
      </c>
    </row>
    <row r="3694" spans="1:2" x14ac:dyDescent="0.25">
      <c r="A3694" s="3">
        <f>IF(Raw_Data!J3694=0,Raw_Data!D3694,"")</f>
        <v>1304.31</v>
      </c>
      <c r="B3694" s="3" t="str">
        <f>IF(Raw_Data!J3694=1,Raw_Data!D3694,"")</f>
        <v/>
      </c>
    </row>
    <row r="3695" spans="1:2" x14ac:dyDescent="0.25">
      <c r="A3695" s="3" t="str">
        <f>IF(Raw_Data!J3695=0,Raw_Data!D3695,"")</f>
        <v/>
      </c>
      <c r="B3695" s="3">
        <f>IF(Raw_Data!J3695=1,Raw_Data!D3695,"")</f>
        <v>228.17</v>
      </c>
    </row>
    <row r="3696" spans="1:2" x14ac:dyDescent="0.25">
      <c r="A3696" s="3">
        <f>IF(Raw_Data!J3696=0,Raw_Data!D3696,"")</f>
        <v>2429.9</v>
      </c>
      <c r="B3696" s="3" t="str">
        <f>IF(Raw_Data!J3696=1,Raw_Data!D3696,"")</f>
        <v/>
      </c>
    </row>
    <row r="3697" spans="1:2" x14ac:dyDescent="0.25">
      <c r="A3697" s="3">
        <f>IF(Raw_Data!J3697=0,Raw_Data!D3697,"")</f>
        <v>935.67</v>
      </c>
      <c r="B3697" s="3" t="str">
        <f>IF(Raw_Data!J3697=1,Raw_Data!D3697,"")</f>
        <v/>
      </c>
    </row>
    <row r="3698" spans="1:2" x14ac:dyDescent="0.25">
      <c r="A3698" s="3" t="str">
        <f>IF(Raw_Data!J3698=0,Raw_Data!D3698,"")</f>
        <v/>
      </c>
      <c r="B3698" s="3">
        <f>IF(Raw_Data!J3698=1,Raw_Data!D3698,"")</f>
        <v>2632.66</v>
      </c>
    </row>
    <row r="3699" spans="1:2" x14ac:dyDescent="0.25">
      <c r="A3699" s="3">
        <f>IF(Raw_Data!J3699=0,Raw_Data!D3699,"")</f>
        <v>1139.17</v>
      </c>
      <c r="B3699" s="3" t="str">
        <f>IF(Raw_Data!J3699=1,Raw_Data!D3699,"")</f>
        <v/>
      </c>
    </row>
    <row r="3700" spans="1:2" x14ac:dyDescent="0.25">
      <c r="A3700" s="3" t="str">
        <f>IF(Raw_Data!J3700=0,Raw_Data!D3700,"")</f>
        <v/>
      </c>
      <c r="B3700" s="3">
        <f>IF(Raw_Data!J3700=1,Raw_Data!D3700,"")</f>
        <v>4728.2299999999996</v>
      </c>
    </row>
    <row r="3701" spans="1:2" x14ac:dyDescent="0.25">
      <c r="A3701" s="3">
        <f>IF(Raw_Data!J3701=0,Raw_Data!D3701,"")</f>
        <v>6130.33</v>
      </c>
      <c r="B3701" s="3" t="str">
        <f>IF(Raw_Data!J3701=1,Raw_Data!D3701,"")</f>
        <v/>
      </c>
    </row>
    <row r="3702" spans="1:2" x14ac:dyDescent="0.25">
      <c r="A3702" s="3" t="str">
        <f>IF(Raw_Data!J3702=0,Raw_Data!D3702,"")</f>
        <v/>
      </c>
      <c r="B3702" s="3">
        <f>IF(Raw_Data!J3702=1,Raw_Data!D3702,"")</f>
        <v>2603.31</v>
      </c>
    </row>
    <row r="3703" spans="1:2" x14ac:dyDescent="0.25">
      <c r="A3703" s="3">
        <f>IF(Raw_Data!J3703=0,Raw_Data!D3703,"")</f>
        <v>8154.94</v>
      </c>
      <c r="B3703" s="3" t="str">
        <f>IF(Raw_Data!J3703=1,Raw_Data!D3703,"")</f>
        <v/>
      </c>
    </row>
    <row r="3704" spans="1:2" x14ac:dyDescent="0.25">
      <c r="A3704" s="3">
        <f>IF(Raw_Data!J3704=0,Raw_Data!D3704,"")</f>
        <v>2335.1799999999998</v>
      </c>
      <c r="B3704" s="3" t="str">
        <f>IF(Raw_Data!J3704=1,Raw_Data!D3704,"")</f>
        <v/>
      </c>
    </row>
    <row r="3705" spans="1:2" x14ac:dyDescent="0.25">
      <c r="A3705" s="3">
        <f>IF(Raw_Data!J3705=0,Raw_Data!D3705,"")</f>
        <v>4685.8999999999996</v>
      </c>
      <c r="B3705" s="3" t="str">
        <f>IF(Raw_Data!J3705=1,Raw_Data!D3705,"")</f>
        <v/>
      </c>
    </row>
    <row r="3706" spans="1:2" x14ac:dyDescent="0.25">
      <c r="A3706" s="3" t="str">
        <f>IF(Raw_Data!J3706=0,Raw_Data!D3706,"")</f>
        <v/>
      </c>
      <c r="B3706" s="3">
        <f>IF(Raw_Data!J3706=1,Raw_Data!D3706,"")</f>
        <v>3205.62</v>
      </c>
    </row>
    <row r="3707" spans="1:2" x14ac:dyDescent="0.25">
      <c r="A3707" s="3">
        <f>IF(Raw_Data!J3707=0,Raw_Data!D3707,"")</f>
        <v>1887.22</v>
      </c>
      <c r="B3707" s="3" t="str">
        <f>IF(Raw_Data!J3707=1,Raw_Data!D3707,"")</f>
        <v/>
      </c>
    </row>
    <row r="3708" spans="1:2" x14ac:dyDescent="0.25">
      <c r="A3708" s="3">
        <f>IF(Raw_Data!J3708=0,Raw_Data!D3708,"")</f>
        <v>7521.74</v>
      </c>
      <c r="B3708" s="3" t="str">
        <f>IF(Raw_Data!J3708=1,Raw_Data!D3708,"")</f>
        <v/>
      </c>
    </row>
    <row r="3709" spans="1:2" x14ac:dyDescent="0.25">
      <c r="A3709" s="3">
        <f>IF(Raw_Data!J3709=0,Raw_Data!D3709,"")</f>
        <v>1159.5</v>
      </c>
      <c r="B3709" s="3" t="str">
        <f>IF(Raw_Data!J3709=1,Raw_Data!D3709,"")</f>
        <v/>
      </c>
    </row>
    <row r="3710" spans="1:2" x14ac:dyDescent="0.25">
      <c r="A3710" s="3" t="str">
        <f>IF(Raw_Data!J3710=0,Raw_Data!D3710,"")</f>
        <v/>
      </c>
      <c r="B3710" s="3">
        <f>IF(Raw_Data!J3710=1,Raw_Data!D3710,"")</f>
        <v>3253.82</v>
      </c>
    </row>
    <row r="3711" spans="1:2" x14ac:dyDescent="0.25">
      <c r="A3711" s="3">
        <f>IF(Raw_Data!J3711=0,Raw_Data!D3711,"")</f>
        <v>1059.19</v>
      </c>
      <c r="B3711" s="3" t="str">
        <f>IF(Raw_Data!J3711=1,Raw_Data!D3711,"")</f>
        <v/>
      </c>
    </row>
    <row r="3712" spans="1:2" x14ac:dyDescent="0.25">
      <c r="A3712" s="3" t="str">
        <f>IF(Raw_Data!J3712=0,Raw_Data!D3712,"")</f>
        <v/>
      </c>
      <c r="B3712" s="3">
        <f>IF(Raw_Data!J3712=1,Raw_Data!D3712,"")</f>
        <v>1605.69</v>
      </c>
    </row>
    <row r="3713" spans="1:2" x14ac:dyDescent="0.25">
      <c r="A3713" s="3">
        <f>IF(Raw_Data!J3713=0,Raw_Data!D3713,"")</f>
        <v>3522.45</v>
      </c>
      <c r="B3713" s="3" t="str">
        <f>IF(Raw_Data!J3713=1,Raw_Data!D3713,"")</f>
        <v/>
      </c>
    </row>
    <row r="3714" spans="1:2" x14ac:dyDescent="0.25">
      <c r="A3714" s="3">
        <f>IF(Raw_Data!J3714=0,Raw_Data!D3714,"")</f>
        <v>11486.94</v>
      </c>
      <c r="B3714" s="3" t="str">
        <f>IF(Raw_Data!J3714=1,Raw_Data!D3714,"")</f>
        <v/>
      </c>
    </row>
    <row r="3715" spans="1:2" x14ac:dyDescent="0.25">
      <c r="A3715" s="3">
        <f>IF(Raw_Data!J3715=0,Raw_Data!D3715,"")</f>
        <v>363.53</v>
      </c>
      <c r="B3715" s="3" t="str">
        <f>IF(Raw_Data!J3715=1,Raw_Data!D3715,"")</f>
        <v/>
      </c>
    </row>
    <row r="3716" spans="1:2" x14ac:dyDescent="0.25">
      <c r="A3716" s="3">
        <f>IF(Raw_Data!J3716=0,Raw_Data!D3716,"")</f>
        <v>1716.82</v>
      </c>
      <c r="B3716" s="3" t="str">
        <f>IF(Raw_Data!J3716=1,Raw_Data!D3716,"")</f>
        <v/>
      </c>
    </row>
    <row r="3717" spans="1:2" x14ac:dyDescent="0.25">
      <c r="A3717" s="3" t="str">
        <f>IF(Raw_Data!J3717=0,Raw_Data!D3717,"")</f>
        <v/>
      </c>
      <c r="B3717" s="3">
        <f>IF(Raw_Data!J3717=1,Raw_Data!D3717,"")</f>
        <v>4139.97</v>
      </c>
    </row>
    <row r="3718" spans="1:2" x14ac:dyDescent="0.25">
      <c r="A3718" s="3">
        <f>IF(Raw_Data!J3718=0,Raw_Data!D3718,"")</f>
        <v>1506.7</v>
      </c>
      <c r="B3718" s="3" t="str">
        <f>IF(Raw_Data!J3718=1,Raw_Data!D3718,"")</f>
        <v/>
      </c>
    </row>
    <row r="3719" spans="1:2" x14ac:dyDescent="0.25">
      <c r="A3719" s="3">
        <f>IF(Raw_Data!J3719=0,Raw_Data!D3719,"")</f>
        <v>2658.7</v>
      </c>
      <c r="B3719" s="3" t="str">
        <f>IF(Raw_Data!J3719=1,Raw_Data!D3719,"")</f>
        <v/>
      </c>
    </row>
    <row r="3720" spans="1:2" x14ac:dyDescent="0.25">
      <c r="A3720" s="3">
        <f>IF(Raw_Data!J3720=0,Raw_Data!D3720,"")</f>
        <v>2027.57</v>
      </c>
      <c r="B3720" s="3" t="str">
        <f>IF(Raw_Data!J3720=1,Raw_Data!D3720,"")</f>
        <v/>
      </c>
    </row>
    <row r="3721" spans="1:2" x14ac:dyDescent="0.25">
      <c r="A3721" s="3">
        <f>IF(Raw_Data!J3721=0,Raw_Data!D3721,"")</f>
        <v>2996.57</v>
      </c>
      <c r="B3721" s="3" t="str">
        <f>IF(Raw_Data!J3721=1,Raw_Data!D3721,"")</f>
        <v/>
      </c>
    </row>
    <row r="3722" spans="1:2" x14ac:dyDescent="0.25">
      <c r="A3722" s="3">
        <f>IF(Raw_Data!J3722=0,Raw_Data!D3722,"")</f>
        <v>1304.46</v>
      </c>
      <c r="B3722" s="3" t="str">
        <f>IF(Raw_Data!J3722=1,Raw_Data!D3722,"")</f>
        <v/>
      </c>
    </row>
    <row r="3723" spans="1:2" x14ac:dyDescent="0.25">
      <c r="A3723" s="3">
        <f>IF(Raw_Data!J3723=0,Raw_Data!D3723,"")</f>
        <v>5045.55</v>
      </c>
      <c r="B3723" s="3" t="str">
        <f>IF(Raw_Data!J3723=1,Raw_Data!D3723,"")</f>
        <v/>
      </c>
    </row>
    <row r="3724" spans="1:2" x14ac:dyDescent="0.25">
      <c r="A3724" s="3">
        <f>IF(Raw_Data!J3724=0,Raw_Data!D3724,"")</f>
        <v>2599.27</v>
      </c>
      <c r="B3724" s="3" t="str">
        <f>IF(Raw_Data!J3724=1,Raw_Data!D3724,"")</f>
        <v/>
      </c>
    </row>
    <row r="3725" spans="1:2" x14ac:dyDescent="0.25">
      <c r="A3725" s="3" t="str">
        <f>IF(Raw_Data!J3725=0,Raw_Data!D3725,"")</f>
        <v/>
      </c>
      <c r="B3725" s="3">
        <f>IF(Raw_Data!J3725=1,Raw_Data!D3725,"")</f>
        <v>1330.8</v>
      </c>
    </row>
    <row r="3726" spans="1:2" x14ac:dyDescent="0.25">
      <c r="A3726" s="3" t="str">
        <f>IF(Raw_Data!J3726=0,Raw_Data!D3726,"")</f>
        <v/>
      </c>
      <c r="B3726" s="3">
        <f>IF(Raw_Data!J3726=1,Raw_Data!D3726,"")</f>
        <v>6074.13</v>
      </c>
    </row>
    <row r="3727" spans="1:2" x14ac:dyDescent="0.25">
      <c r="A3727" s="3" t="str">
        <f>IF(Raw_Data!J3727=0,Raw_Data!D3727,"")</f>
        <v/>
      </c>
      <c r="B3727" s="3">
        <f>IF(Raw_Data!J3727=1,Raw_Data!D3727,"")</f>
        <v>1430.36</v>
      </c>
    </row>
    <row r="3728" spans="1:2" x14ac:dyDescent="0.25">
      <c r="A3728" s="3" t="str">
        <f>IF(Raw_Data!J3728=0,Raw_Data!D3728,"")</f>
        <v/>
      </c>
      <c r="B3728" s="3">
        <f>IF(Raw_Data!J3728=1,Raw_Data!D3728,"")</f>
        <v>1865.22</v>
      </c>
    </row>
    <row r="3729" spans="1:2" x14ac:dyDescent="0.25">
      <c r="A3729" s="3">
        <f>IF(Raw_Data!J3729=0,Raw_Data!D3729,"")</f>
        <v>774.85</v>
      </c>
      <c r="B3729" s="3" t="str">
        <f>IF(Raw_Data!J3729=1,Raw_Data!D3729,"")</f>
        <v/>
      </c>
    </row>
    <row r="3730" spans="1:2" x14ac:dyDescent="0.25">
      <c r="A3730" s="3">
        <f>IF(Raw_Data!J3730=0,Raw_Data!D3730,"")</f>
        <v>1068.8499999999999</v>
      </c>
      <c r="B3730" s="3" t="str">
        <f>IF(Raw_Data!J3730=1,Raw_Data!D3730,"")</f>
        <v/>
      </c>
    </row>
    <row r="3731" spans="1:2" x14ac:dyDescent="0.25">
      <c r="A3731" s="3">
        <f>IF(Raw_Data!J3731=0,Raw_Data!D3731,"")</f>
        <v>1791.73</v>
      </c>
      <c r="B3731" s="3" t="str">
        <f>IF(Raw_Data!J3731=1,Raw_Data!D3731,"")</f>
        <v/>
      </c>
    </row>
    <row r="3732" spans="1:2" x14ac:dyDescent="0.25">
      <c r="A3732" s="3" t="str">
        <f>IF(Raw_Data!J3732=0,Raw_Data!D3732,"")</f>
        <v/>
      </c>
      <c r="B3732" s="3">
        <f>IF(Raw_Data!J3732=1,Raw_Data!D3732,"")</f>
        <v>2137.5700000000002</v>
      </c>
    </row>
    <row r="3733" spans="1:2" x14ac:dyDescent="0.25">
      <c r="A3733" s="3">
        <f>IF(Raw_Data!J3733=0,Raw_Data!D3733,"")</f>
        <v>265.20999999999998</v>
      </c>
      <c r="B3733" s="3" t="str">
        <f>IF(Raw_Data!J3733=1,Raw_Data!D3733,"")</f>
        <v/>
      </c>
    </row>
    <row r="3734" spans="1:2" x14ac:dyDescent="0.25">
      <c r="A3734" s="3">
        <f>IF(Raw_Data!J3734=0,Raw_Data!D3734,"")</f>
        <v>1752.2</v>
      </c>
      <c r="B3734" s="3" t="str">
        <f>IF(Raw_Data!J3734=1,Raw_Data!D3734,"")</f>
        <v/>
      </c>
    </row>
    <row r="3735" spans="1:2" x14ac:dyDescent="0.25">
      <c r="A3735" s="3" t="str">
        <f>IF(Raw_Data!J3735=0,Raw_Data!D3735,"")</f>
        <v/>
      </c>
      <c r="B3735" s="3">
        <f>IF(Raw_Data!J3735=1,Raw_Data!D3735,"")</f>
        <v>4589.67</v>
      </c>
    </row>
    <row r="3736" spans="1:2" x14ac:dyDescent="0.25">
      <c r="A3736" s="3">
        <f>IF(Raw_Data!J3736=0,Raw_Data!D3736,"")</f>
        <v>2444.31</v>
      </c>
      <c r="B3736" s="3" t="str">
        <f>IF(Raw_Data!J3736=1,Raw_Data!D3736,"")</f>
        <v/>
      </c>
    </row>
    <row r="3737" spans="1:2" x14ac:dyDescent="0.25">
      <c r="A3737" s="3">
        <f>IF(Raw_Data!J3737=0,Raw_Data!D3737,"")</f>
        <v>4184.12</v>
      </c>
      <c r="B3737" s="3" t="str">
        <f>IF(Raw_Data!J3737=1,Raw_Data!D3737,"")</f>
        <v/>
      </c>
    </row>
    <row r="3738" spans="1:2" x14ac:dyDescent="0.25">
      <c r="A3738" s="3">
        <f>IF(Raw_Data!J3738=0,Raw_Data!D3738,"")</f>
        <v>2486.2600000000002</v>
      </c>
      <c r="B3738" s="3" t="str">
        <f>IF(Raw_Data!J3738=1,Raw_Data!D3738,"")</f>
        <v/>
      </c>
    </row>
    <row r="3739" spans="1:2" x14ac:dyDescent="0.25">
      <c r="A3739" s="3">
        <f>IF(Raw_Data!J3739=0,Raw_Data!D3739,"")</f>
        <v>346.98</v>
      </c>
      <c r="B3739" s="3" t="str">
        <f>IF(Raw_Data!J3739=1,Raw_Data!D3739,"")</f>
        <v/>
      </c>
    </row>
    <row r="3740" spans="1:2" x14ac:dyDescent="0.25">
      <c r="A3740" s="3" t="str">
        <f>IF(Raw_Data!J3740=0,Raw_Data!D3740,"")</f>
        <v/>
      </c>
      <c r="B3740" s="3">
        <f>IF(Raw_Data!J3740=1,Raw_Data!D3740,"")</f>
        <v>1060.42</v>
      </c>
    </row>
    <row r="3741" spans="1:2" x14ac:dyDescent="0.25">
      <c r="A3741" s="3" t="str">
        <f>IF(Raw_Data!J3741=0,Raw_Data!D3741,"")</f>
        <v/>
      </c>
      <c r="B3741" s="3">
        <f>IF(Raw_Data!J3741=1,Raw_Data!D3741,"")</f>
        <v>480.24</v>
      </c>
    </row>
    <row r="3742" spans="1:2" x14ac:dyDescent="0.25">
      <c r="A3742" s="3">
        <f>IF(Raw_Data!J3742=0,Raw_Data!D3742,"")</f>
        <v>671.84</v>
      </c>
      <c r="B3742" s="3" t="str">
        <f>IF(Raw_Data!J3742=1,Raw_Data!D3742,"")</f>
        <v/>
      </c>
    </row>
    <row r="3743" spans="1:2" x14ac:dyDescent="0.25">
      <c r="A3743" s="3">
        <f>IF(Raw_Data!J3743=0,Raw_Data!D3743,"")</f>
        <v>2198.44</v>
      </c>
      <c r="B3743" s="3" t="str">
        <f>IF(Raw_Data!J3743=1,Raw_Data!D3743,"")</f>
        <v/>
      </c>
    </row>
    <row r="3744" spans="1:2" x14ac:dyDescent="0.25">
      <c r="A3744" s="3">
        <f>IF(Raw_Data!J3744=0,Raw_Data!D3744,"")</f>
        <v>1711.67</v>
      </c>
      <c r="B3744" s="3" t="str">
        <f>IF(Raw_Data!J3744=1,Raw_Data!D3744,"")</f>
        <v/>
      </c>
    </row>
    <row r="3745" spans="1:2" x14ac:dyDescent="0.25">
      <c r="A3745" s="3">
        <f>IF(Raw_Data!J3745=0,Raw_Data!D3745,"")</f>
        <v>2680.24</v>
      </c>
      <c r="B3745" s="3" t="str">
        <f>IF(Raw_Data!J3745=1,Raw_Data!D3745,"")</f>
        <v/>
      </c>
    </row>
    <row r="3746" spans="1:2" x14ac:dyDescent="0.25">
      <c r="A3746" s="3">
        <f>IF(Raw_Data!J3746=0,Raw_Data!D3746,"")</f>
        <v>1091.19</v>
      </c>
      <c r="B3746" s="3" t="str">
        <f>IF(Raw_Data!J3746=1,Raw_Data!D3746,"")</f>
        <v/>
      </c>
    </row>
    <row r="3747" spans="1:2" x14ac:dyDescent="0.25">
      <c r="A3747" s="3">
        <f>IF(Raw_Data!J3747=0,Raw_Data!D3747,"")</f>
        <v>2136.6799999999998</v>
      </c>
      <c r="B3747" s="3" t="str">
        <f>IF(Raw_Data!J3747=1,Raw_Data!D3747,"")</f>
        <v/>
      </c>
    </row>
    <row r="3748" spans="1:2" x14ac:dyDescent="0.25">
      <c r="A3748" s="3" t="str">
        <f>IF(Raw_Data!J3748=0,Raw_Data!D3748,"")</f>
        <v/>
      </c>
      <c r="B3748" s="3">
        <f>IF(Raw_Data!J3748=1,Raw_Data!D3748,"")</f>
        <v>1850.81</v>
      </c>
    </row>
    <row r="3749" spans="1:2" x14ac:dyDescent="0.25">
      <c r="A3749" s="3">
        <f>IF(Raw_Data!J3749=0,Raw_Data!D3749,"")</f>
        <v>5889.68</v>
      </c>
      <c r="B3749" s="3" t="str">
        <f>IF(Raw_Data!J3749=1,Raw_Data!D3749,"")</f>
        <v/>
      </c>
    </row>
    <row r="3750" spans="1:2" x14ac:dyDescent="0.25">
      <c r="A3750" s="3">
        <f>IF(Raw_Data!J3750=0,Raw_Data!D3750,"")</f>
        <v>2098.39</v>
      </c>
      <c r="B3750" s="3" t="str">
        <f>IF(Raw_Data!J3750=1,Raw_Data!D3750,"")</f>
        <v/>
      </c>
    </row>
    <row r="3751" spans="1:2" x14ac:dyDescent="0.25">
      <c r="A3751" s="3">
        <f>IF(Raw_Data!J3751=0,Raw_Data!D3751,"")</f>
        <v>1456.58</v>
      </c>
      <c r="B3751" s="3" t="str">
        <f>IF(Raw_Data!J3751=1,Raw_Data!D3751,"")</f>
        <v/>
      </c>
    </row>
    <row r="3752" spans="1:2" x14ac:dyDescent="0.25">
      <c r="A3752" s="3" t="str">
        <f>IF(Raw_Data!J3752=0,Raw_Data!D3752,"")</f>
        <v/>
      </c>
      <c r="B3752" s="3">
        <f>IF(Raw_Data!J3752=1,Raw_Data!D3752,"")</f>
        <v>2744.55</v>
      </c>
    </row>
    <row r="3753" spans="1:2" x14ac:dyDescent="0.25">
      <c r="A3753" s="3" t="str">
        <f>IF(Raw_Data!J3753=0,Raw_Data!D3753,"")</f>
        <v/>
      </c>
      <c r="B3753" s="3">
        <f>IF(Raw_Data!J3753=1,Raw_Data!D3753,"")</f>
        <v>3263.28</v>
      </c>
    </row>
    <row r="3754" spans="1:2" x14ac:dyDescent="0.25">
      <c r="A3754" s="3">
        <f>IF(Raw_Data!J3754=0,Raw_Data!D3754,"")</f>
        <v>5052.12</v>
      </c>
      <c r="B3754" s="3" t="str">
        <f>IF(Raw_Data!J3754=1,Raw_Data!D3754,"")</f>
        <v/>
      </c>
    </row>
    <row r="3755" spans="1:2" x14ac:dyDescent="0.25">
      <c r="A3755" s="3">
        <f>IF(Raw_Data!J3755=0,Raw_Data!D3755,"")</f>
        <v>488.52</v>
      </c>
      <c r="B3755" s="3" t="str">
        <f>IF(Raw_Data!J3755=1,Raw_Data!D3755,"")</f>
        <v/>
      </c>
    </row>
    <row r="3756" spans="1:2" x14ac:dyDescent="0.25">
      <c r="A3756" s="3">
        <f>IF(Raw_Data!J3756=0,Raw_Data!D3756,"")</f>
        <v>6498.25</v>
      </c>
      <c r="B3756" s="3" t="str">
        <f>IF(Raw_Data!J3756=1,Raw_Data!D3756,"")</f>
        <v/>
      </c>
    </row>
    <row r="3757" spans="1:2" x14ac:dyDescent="0.25">
      <c r="A3757" s="3">
        <f>IF(Raw_Data!J3757=0,Raw_Data!D3757,"")</f>
        <v>3229.26</v>
      </c>
      <c r="B3757" s="3" t="str">
        <f>IF(Raw_Data!J3757=1,Raw_Data!D3757,"")</f>
        <v/>
      </c>
    </row>
    <row r="3758" spans="1:2" x14ac:dyDescent="0.25">
      <c r="A3758" s="3">
        <f>IF(Raw_Data!J3758=0,Raw_Data!D3758,"")</f>
        <v>3131.2</v>
      </c>
      <c r="B3758" s="3" t="str">
        <f>IF(Raw_Data!J3758=1,Raw_Data!D3758,"")</f>
        <v/>
      </c>
    </row>
    <row r="3759" spans="1:2" x14ac:dyDescent="0.25">
      <c r="A3759" s="3">
        <f>IF(Raw_Data!J3759=0,Raw_Data!D3759,"")</f>
        <v>1182.25</v>
      </c>
      <c r="B3759" s="3" t="str">
        <f>IF(Raw_Data!J3759=1,Raw_Data!D3759,"")</f>
        <v/>
      </c>
    </row>
    <row r="3760" spans="1:2" x14ac:dyDescent="0.25">
      <c r="A3760" s="3">
        <f>IF(Raw_Data!J3760=0,Raw_Data!D3760,"")</f>
        <v>1345.1</v>
      </c>
      <c r="B3760" s="3" t="str">
        <f>IF(Raw_Data!J3760=1,Raw_Data!D3760,"")</f>
        <v/>
      </c>
    </row>
    <row r="3761" spans="1:2" x14ac:dyDescent="0.25">
      <c r="A3761" s="3" t="str">
        <f>IF(Raw_Data!J3761=0,Raw_Data!D3761,"")</f>
        <v/>
      </c>
      <c r="B3761" s="3">
        <f>IF(Raw_Data!J3761=1,Raw_Data!D3761,"")</f>
        <v>2623.03</v>
      </c>
    </row>
    <row r="3762" spans="1:2" x14ac:dyDescent="0.25">
      <c r="A3762" s="3">
        <f>IF(Raw_Data!J3762=0,Raw_Data!D3762,"")</f>
        <v>1574.87</v>
      </c>
      <c r="B3762" s="3" t="str">
        <f>IF(Raw_Data!J3762=1,Raw_Data!D3762,"")</f>
        <v/>
      </c>
    </row>
    <row r="3763" spans="1:2" x14ac:dyDescent="0.25">
      <c r="A3763" s="3">
        <f>IF(Raw_Data!J3763=0,Raw_Data!D3763,"")</f>
        <v>3636.28</v>
      </c>
      <c r="B3763" s="3" t="str">
        <f>IF(Raw_Data!J3763=1,Raw_Data!D3763,"")</f>
        <v/>
      </c>
    </row>
    <row r="3764" spans="1:2" x14ac:dyDescent="0.25">
      <c r="A3764" s="3">
        <f>IF(Raw_Data!J3764=0,Raw_Data!D3764,"")</f>
        <v>2845.21</v>
      </c>
      <c r="B3764" s="3" t="str">
        <f>IF(Raw_Data!J3764=1,Raw_Data!D3764,"")</f>
        <v/>
      </c>
    </row>
    <row r="3765" spans="1:2" x14ac:dyDescent="0.25">
      <c r="A3765" s="3" t="str">
        <f>IF(Raw_Data!J3765=0,Raw_Data!D3765,"")</f>
        <v/>
      </c>
      <c r="B3765" s="3">
        <f>IF(Raw_Data!J3765=1,Raw_Data!D3765,"")</f>
        <v>700.02</v>
      </c>
    </row>
    <row r="3766" spans="1:2" x14ac:dyDescent="0.25">
      <c r="A3766" s="3" t="str">
        <f>IF(Raw_Data!J3766=0,Raw_Data!D3766,"")</f>
        <v/>
      </c>
      <c r="B3766" s="3">
        <f>IF(Raw_Data!J3766=1,Raw_Data!D3766,"")</f>
        <v>275.52</v>
      </c>
    </row>
    <row r="3767" spans="1:2" x14ac:dyDescent="0.25">
      <c r="A3767" s="3">
        <f>IF(Raw_Data!J3767=0,Raw_Data!D3767,"")</f>
        <v>2918.55</v>
      </c>
      <c r="B3767" s="3" t="str">
        <f>IF(Raw_Data!J3767=1,Raw_Data!D3767,"")</f>
        <v/>
      </c>
    </row>
    <row r="3768" spans="1:2" x14ac:dyDescent="0.25">
      <c r="A3768" s="3" t="str">
        <f>IF(Raw_Data!J3768=0,Raw_Data!D3768,"")</f>
        <v/>
      </c>
      <c r="B3768" s="3">
        <f>IF(Raw_Data!J3768=1,Raw_Data!D3768,"")</f>
        <v>799.87</v>
      </c>
    </row>
    <row r="3769" spans="1:2" x14ac:dyDescent="0.25">
      <c r="A3769" s="3">
        <f>IF(Raw_Data!J3769=0,Raw_Data!D3769,"")</f>
        <v>3623.19</v>
      </c>
      <c r="B3769" s="3" t="str">
        <f>IF(Raw_Data!J3769=1,Raw_Data!D3769,"")</f>
        <v/>
      </c>
    </row>
    <row r="3770" spans="1:2" x14ac:dyDescent="0.25">
      <c r="A3770" s="3" t="str">
        <f>IF(Raw_Data!J3770=0,Raw_Data!D3770,"")</f>
        <v/>
      </c>
      <c r="B3770" s="3">
        <f>IF(Raw_Data!J3770=1,Raw_Data!D3770,"")</f>
        <v>511.54</v>
      </c>
    </row>
    <row r="3771" spans="1:2" x14ac:dyDescent="0.25">
      <c r="A3771" s="3" t="str">
        <f>IF(Raw_Data!J3771=0,Raw_Data!D3771,"")</f>
        <v/>
      </c>
      <c r="B3771" s="3">
        <f>IF(Raw_Data!J3771=1,Raw_Data!D3771,"")</f>
        <v>1912.77</v>
      </c>
    </row>
    <row r="3772" spans="1:2" x14ac:dyDescent="0.25">
      <c r="A3772" s="3">
        <f>IF(Raw_Data!J3772=0,Raw_Data!D3772,"")</f>
        <v>1545.16</v>
      </c>
      <c r="B3772" s="3" t="str">
        <f>IF(Raw_Data!J3772=1,Raw_Data!D3772,"")</f>
        <v/>
      </c>
    </row>
    <row r="3773" spans="1:2" x14ac:dyDescent="0.25">
      <c r="A3773" s="3">
        <f>IF(Raw_Data!J3773=0,Raw_Data!D3773,"")</f>
        <v>1094.8900000000001</v>
      </c>
      <c r="B3773" s="3" t="str">
        <f>IF(Raw_Data!J3773=1,Raw_Data!D3773,"")</f>
        <v/>
      </c>
    </row>
    <row r="3774" spans="1:2" x14ac:dyDescent="0.25">
      <c r="A3774" s="3">
        <f>IF(Raw_Data!J3774=0,Raw_Data!D3774,"")</f>
        <v>1884.85</v>
      </c>
      <c r="B3774" s="3" t="str">
        <f>IF(Raw_Data!J3774=1,Raw_Data!D3774,"")</f>
        <v/>
      </c>
    </row>
    <row r="3775" spans="1:2" x14ac:dyDescent="0.25">
      <c r="A3775" s="3">
        <f>IF(Raw_Data!J3775=0,Raw_Data!D3775,"")</f>
        <v>7402.69</v>
      </c>
      <c r="B3775" s="3" t="str">
        <f>IF(Raw_Data!J3775=1,Raw_Data!D3775,"")</f>
        <v/>
      </c>
    </row>
    <row r="3776" spans="1:2" x14ac:dyDescent="0.25">
      <c r="A3776" s="3">
        <f>IF(Raw_Data!J3776=0,Raw_Data!D3776,"")</f>
        <v>1784.77</v>
      </c>
      <c r="B3776" s="3" t="str">
        <f>IF(Raw_Data!J3776=1,Raw_Data!D3776,"")</f>
        <v/>
      </c>
    </row>
    <row r="3777" spans="1:2" x14ac:dyDescent="0.25">
      <c r="A3777" s="3">
        <f>IF(Raw_Data!J3777=0,Raw_Data!D3777,"")</f>
        <v>2580.61</v>
      </c>
      <c r="B3777" s="3" t="str">
        <f>IF(Raw_Data!J3777=1,Raw_Data!D3777,"")</f>
        <v/>
      </c>
    </row>
    <row r="3778" spans="1:2" x14ac:dyDescent="0.25">
      <c r="A3778" s="3">
        <f>IF(Raw_Data!J3778=0,Raw_Data!D3778,"")</f>
        <v>4667.99</v>
      </c>
      <c r="B3778" s="3" t="str">
        <f>IF(Raw_Data!J3778=1,Raw_Data!D3778,"")</f>
        <v/>
      </c>
    </row>
    <row r="3779" spans="1:2" x14ac:dyDescent="0.25">
      <c r="A3779" s="3">
        <f>IF(Raw_Data!J3779=0,Raw_Data!D3779,"")</f>
        <v>1398.86</v>
      </c>
      <c r="B3779" s="3" t="str">
        <f>IF(Raw_Data!J3779=1,Raw_Data!D3779,"")</f>
        <v/>
      </c>
    </row>
    <row r="3780" spans="1:2" x14ac:dyDescent="0.25">
      <c r="A3780" s="3">
        <f>IF(Raw_Data!J3780=0,Raw_Data!D3780,"")</f>
        <v>4693.08</v>
      </c>
      <c r="B3780" s="3" t="str">
        <f>IF(Raw_Data!J3780=1,Raw_Data!D3780,"")</f>
        <v/>
      </c>
    </row>
    <row r="3781" spans="1:2" x14ac:dyDescent="0.25">
      <c r="A3781" s="3" t="str">
        <f>IF(Raw_Data!J3781=0,Raw_Data!D3781,"")</f>
        <v/>
      </c>
      <c r="B3781" s="3">
        <f>IF(Raw_Data!J3781=1,Raw_Data!D3781,"")</f>
        <v>875.29</v>
      </c>
    </row>
    <row r="3782" spans="1:2" x14ac:dyDescent="0.25">
      <c r="A3782" s="3">
        <f>IF(Raw_Data!J3782=0,Raw_Data!D3782,"")</f>
        <v>1527.9</v>
      </c>
      <c r="B3782" s="3" t="str">
        <f>IF(Raw_Data!J3782=1,Raw_Data!D3782,"")</f>
        <v/>
      </c>
    </row>
    <row r="3783" spans="1:2" x14ac:dyDescent="0.25">
      <c r="A3783" s="3">
        <f>IF(Raw_Data!J3783=0,Raw_Data!D3783,"")</f>
        <v>904.44</v>
      </c>
      <c r="B3783" s="3" t="str">
        <f>IF(Raw_Data!J3783=1,Raw_Data!D3783,"")</f>
        <v/>
      </c>
    </row>
    <row r="3784" spans="1:2" x14ac:dyDescent="0.25">
      <c r="A3784" s="3">
        <f>IF(Raw_Data!J3784=0,Raw_Data!D3784,"")</f>
        <v>6654.31</v>
      </c>
      <c r="B3784" s="3" t="str">
        <f>IF(Raw_Data!J3784=1,Raw_Data!D3784,"")</f>
        <v/>
      </c>
    </row>
    <row r="3785" spans="1:2" x14ac:dyDescent="0.25">
      <c r="A3785" s="3">
        <f>IF(Raw_Data!J3785=0,Raw_Data!D3785,"")</f>
        <v>6324.71</v>
      </c>
      <c r="B3785" s="3" t="str">
        <f>IF(Raw_Data!J3785=1,Raw_Data!D3785,"")</f>
        <v/>
      </c>
    </row>
    <row r="3786" spans="1:2" x14ac:dyDescent="0.25">
      <c r="A3786" s="3">
        <f>IF(Raw_Data!J3786=0,Raw_Data!D3786,"")</f>
        <v>4728.3100000000004</v>
      </c>
      <c r="B3786" s="3" t="str">
        <f>IF(Raw_Data!J3786=1,Raw_Data!D3786,"")</f>
        <v/>
      </c>
    </row>
    <row r="3787" spans="1:2" x14ac:dyDescent="0.25">
      <c r="A3787" s="3">
        <f>IF(Raw_Data!J3787=0,Raw_Data!D3787,"")</f>
        <v>3943.47</v>
      </c>
      <c r="B3787" s="3" t="str">
        <f>IF(Raw_Data!J3787=1,Raw_Data!D3787,"")</f>
        <v/>
      </c>
    </row>
    <row r="3788" spans="1:2" x14ac:dyDescent="0.25">
      <c r="A3788" s="3">
        <f>IF(Raw_Data!J3788=0,Raw_Data!D3788,"")</f>
        <v>1582.52</v>
      </c>
      <c r="B3788" s="3" t="str">
        <f>IF(Raw_Data!J3788=1,Raw_Data!D3788,"")</f>
        <v/>
      </c>
    </row>
    <row r="3789" spans="1:2" x14ac:dyDescent="0.25">
      <c r="A3789" s="3">
        <f>IF(Raw_Data!J3789=0,Raw_Data!D3789,"")</f>
        <v>2496.19</v>
      </c>
      <c r="B3789" s="3" t="str">
        <f>IF(Raw_Data!J3789=1,Raw_Data!D3789,"")</f>
        <v/>
      </c>
    </row>
    <row r="3790" spans="1:2" x14ac:dyDescent="0.25">
      <c r="A3790" s="3">
        <f>IF(Raw_Data!J3790=0,Raw_Data!D3790,"")</f>
        <v>11194.83</v>
      </c>
      <c r="B3790" s="3" t="str">
        <f>IF(Raw_Data!J3790=1,Raw_Data!D3790,"")</f>
        <v/>
      </c>
    </row>
    <row r="3791" spans="1:2" x14ac:dyDescent="0.25">
      <c r="A3791" s="3">
        <f>IF(Raw_Data!J3791=0,Raw_Data!D3791,"")</f>
        <v>2807.75</v>
      </c>
      <c r="B3791" s="3" t="str">
        <f>IF(Raw_Data!J3791=1,Raw_Data!D3791,"")</f>
        <v/>
      </c>
    </row>
    <row r="3792" spans="1:2" x14ac:dyDescent="0.25">
      <c r="A3792" s="3">
        <f>IF(Raw_Data!J3792=0,Raw_Data!D3792,"")</f>
        <v>2715.36</v>
      </c>
      <c r="B3792" s="3" t="str">
        <f>IF(Raw_Data!J3792=1,Raw_Data!D3792,"")</f>
        <v/>
      </c>
    </row>
    <row r="3793" spans="1:2" x14ac:dyDescent="0.25">
      <c r="A3793" s="3">
        <f>IF(Raw_Data!J3793=0,Raw_Data!D3793,"")</f>
        <v>1837.37</v>
      </c>
      <c r="B3793" s="3" t="str">
        <f>IF(Raw_Data!J3793=1,Raw_Data!D3793,"")</f>
        <v/>
      </c>
    </row>
    <row r="3794" spans="1:2" x14ac:dyDescent="0.25">
      <c r="A3794" s="3">
        <f>IF(Raw_Data!J3794=0,Raw_Data!D3794,"")</f>
        <v>2385.5500000000002</v>
      </c>
      <c r="B3794" s="3" t="str">
        <f>IF(Raw_Data!J3794=1,Raw_Data!D3794,"")</f>
        <v/>
      </c>
    </row>
    <row r="3795" spans="1:2" x14ac:dyDescent="0.25">
      <c r="A3795" s="3" t="str">
        <f>IF(Raw_Data!J3795=0,Raw_Data!D3795,"")</f>
        <v/>
      </c>
      <c r="B3795" s="3">
        <f>IF(Raw_Data!J3795=1,Raw_Data!D3795,"")</f>
        <v>826.73</v>
      </c>
    </row>
    <row r="3796" spans="1:2" x14ac:dyDescent="0.25">
      <c r="A3796" s="3" t="str">
        <f>IF(Raw_Data!J3796=0,Raw_Data!D3796,"")</f>
        <v/>
      </c>
      <c r="B3796" s="3">
        <f>IF(Raw_Data!J3796=1,Raw_Data!D3796,"")</f>
        <v>5298.87</v>
      </c>
    </row>
    <row r="3797" spans="1:2" x14ac:dyDescent="0.25">
      <c r="A3797" s="3">
        <f>IF(Raw_Data!J3797=0,Raw_Data!D3797,"")</f>
        <v>1758.98</v>
      </c>
      <c r="B3797" s="3" t="str">
        <f>IF(Raw_Data!J3797=1,Raw_Data!D3797,"")</f>
        <v/>
      </c>
    </row>
    <row r="3798" spans="1:2" x14ac:dyDescent="0.25">
      <c r="A3798" s="3">
        <f>IF(Raw_Data!J3798=0,Raw_Data!D3798,"")</f>
        <v>2519.6999999999998</v>
      </c>
      <c r="B3798" s="3" t="str">
        <f>IF(Raw_Data!J3798=1,Raw_Data!D3798,"")</f>
        <v/>
      </c>
    </row>
    <row r="3799" spans="1:2" x14ac:dyDescent="0.25">
      <c r="A3799" s="3">
        <f>IF(Raw_Data!J3799=0,Raw_Data!D3799,"")</f>
        <v>3336</v>
      </c>
      <c r="B3799" s="3" t="str">
        <f>IF(Raw_Data!J3799=1,Raw_Data!D3799,"")</f>
        <v/>
      </c>
    </row>
    <row r="3800" spans="1:2" x14ac:dyDescent="0.25">
      <c r="A3800" s="3">
        <f>IF(Raw_Data!J3800=0,Raw_Data!D3800,"")</f>
        <v>2949.92</v>
      </c>
      <c r="B3800" s="3" t="str">
        <f>IF(Raw_Data!J3800=1,Raw_Data!D3800,"")</f>
        <v/>
      </c>
    </row>
    <row r="3801" spans="1:2" x14ac:dyDescent="0.25">
      <c r="A3801" s="3">
        <f>IF(Raw_Data!J3801=0,Raw_Data!D3801,"")</f>
        <v>2683.92</v>
      </c>
      <c r="B3801" s="3" t="str">
        <f>IF(Raw_Data!J3801=1,Raw_Data!D3801,"")</f>
        <v/>
      </c>
    </row>
    <row r="3802" spans="1:2" x14ac:dyDescent="0.25">
      <c r="A3802" s="3">
        <f>IF(Raw_Data!J3802=0,Raw_Data!D3802,"")</f>
        <v>2791.77</v>
      </c>
      <c r="B3802" s="3" t="str">
        <f>IF(Raw_Data!J3802=1,Raw_Data!D3802,"")</f>
        <v/>
      </c>
    </row>
    <row r="3803" spans="1:2" x14ac:dyDescent="0.25">
      <c r="A3803" s="3">
        <f>IF(Raw_Data!J3803=0,Raw_Data!D3803,"")</f>
        <v>4418.2299999999996</v>
      </c>
      <c r="B3803" s="3" t="str">
        <f>IF(Raw_Data!J3803=1,Raw_Data!D3803,"")</f>
        <v/>
      </c>
    </row>
    <row r="3804" spans="1:2" x14ac:dyDescent="0.25">
      <c r="A3804" s="3">
        <f>IF(Raw_Data!J3804=0,Raw_Data!D3804,"")</f>
        <v>3039.79</v>
      </c>
      <c r="B3804" s="3" t="str">
        <f>IF(Raw_Data!J3804=1,Raw_Data!D3804,"")</f>
        <v/>
      </c>
    </row>
    <row r="3805" spans="1:2" x14ac:dyDescent="0.25">
      <c r="A3805" s="3" t="str">
        <f>IF(Raw_Data!J3805=0,Raw_Data!D3805,"")</f>
        <v/>
      </c>
      <c r="B3805" s="3">
        <f>IF(Raw_Data!J3805=1,Raw_Data!D3805,"")</f>
        <v>4378.37</v>
      </c>
    </row>
    <row r="3806" spans="1:2" x14ac:dyDescent="0.25">
      <c r="A3806" s="3" t="str">
        <f>IF(Raw_Data!J3806=0,Raw_Data!D3806,"")</f>
        <v/>
      </c>
      <c r="B3806" s="3">
        <f>IF(Raw_Data!J3806=1,Raw_Data!D3806,"")</f>
        <v>4645.0200000000004</v>
      </c>
    </row>
    <row r="3807" spans="1:2" x14ac:dyDescent="0.25">
      <c r="A3807" s="3">
        <f>IF(Raw_Data!J3807=0,Raw_Data!D3807,"")</f>
        <v>3897.35</v>
      </c>
      <c r="B3807" s="3" t="str">
        <f>IF(Raw_Data!J3807=1,Raw_Data!D3807,"")</f>
        <v/>
      </c>
    </row>
    <row r="3808" spans="1:2" x14ac:dyDescent="0.25">
      <c r="A3808" s="3">
        <f>IF(Raw_Data!J3808=0,Raw_Data!D3808,"")</f>
        <v>5306.8</v>
      </c>
      <c r="B3808" s="3" t="str">
        <f>IF(Raw_Data!J3808=1,Raw_Data!D3808,"")</f>
        <v/>
      </c>
    </row>
    <row r="3809" spans="1:2" x14ac:dyDescent="0.25">
      <c r="A3809" s="3">
        <f>IF(Raw_Data!J3809=0,Raw_Data!D3809,"")</f>
        <v>269.83999999999997</v>
      </c>
      <c r="B3809" s="3" t="str">
        <f>IF(Raw_Data!J3809=1,Raw_Data!D3809,"")</f>
        <v/>
      </c>
    </row>
    <row r="3810" spans="1:2" x14ac:dyDescent="0.25">
      <c r="A3810" s="3">
        <f>IF(Raw_Data!J3810=0,Raw_Data!D3810,"")</f>
        <v>2366.37</v>
      </c>
      <c r="B3810" s="3" t="str">
        <f>IF(Raw_Data!J3810=1,Raw_Data!D3810,"")</f>
        <v/>
      </c>
    </row>
    <row r="3811" spans="1:2" x14ac:dyDescent="0.25">
      <c r="A3811" s="3">
        <f>IF(Raw_Data!J3811=0,Raw_Data!D3811,"")</f>
        <v>1450.48</v>
      </c>
      <c r="B3811" s="3" t="str">
        <f>IF(Raw_Data!J3811=1,Raw_Data!D3811,"")</f>
        <v/>
      </c>
    </row>
    <row r="3812" spans="1:2" x14ac:dyDescent="0.25">
      <c r="A3812" s="3">
        <f>IF(Raw_Data!J3812=0,Raw_Data!D3812,"")</f>
        <v>1493.6</v>
      </c>
      <c r="B3812" s="3" t="str">
        <f>IF(Raw_Data!J3812=1,Raw_Data!D3812,"")</f>
        <v/>
      </c>
    </row>
    <row r="3813" spans="1:2" x14ac:dyDescent="0.25">
      <c r="A3813" s="3">
        <f>IF(Raw_Data!J3813=0,Raw_Data!D3813,"")</f>
        <v>2034.39</v>
      </c>
      <c r="B3813" s="3" t="str">
        <f>IF(Raw_Data!J3813=1,Raw_Data!D3813,"")</f>
        <v/>
      </c>
    </row>
    <row r="3814" spans="1:2" x14ac:dyDescent="0.25">
      <c r="A3814" s="3">
        <f>IF(Raw_Data!J3814=0,Raw_Data!D3814,"")</f>
        <v>554.54</v>
      </c>
      <c r="B3814" s="3" t="str">
        <f>IF(Raw_Data!J3814=1,Raw_Data!D3814,"")</f>
        <v/>
      </c>
    </row>
    <row r="3815" spans="1:2" x14ac:dyDescent="0.25">
      <c r="A3815" s="3">
        <f>IF(Raw_Data!J3815=0,Raw_Data!D3815,"")</f>
        <v>1276.08</v>
      </c>
      <c r="B3815" s="3" t="str">
        <f>IF(Raw_Data!J3815=1,Raw_Data!D3815,"")</f>
        <v/>
      </c>
    </row>
    <row r="3816" spans="1:2" x14ac:dyDescent="0.25">
      <c r="A3816" s="3">
        <f>IF(Raw_Data!J3816=0,Raw_Data!D3816,"")</f>
        <v>4024.95</v>
      </c>
      <c r="B3816" s="3" t="str">
        <f>IF(Raw_Data!J3816=1,Raw_Data!D3816,"")</f>
        <v/>
      </c>
    </row>
    <row r="3817" spans="1:2" x14ac:dyDescent="0.25">
      <c r="A3817" s="3">
        <f>IF(Raw_Data!J3817=0,Raw_Data!D3817,"")</f>
        <v>2773.98</v>
      </c>
      <c r="B3817" s="3" t="str">
        <f>IF(Raw_Data!J3817=1,Raw_Data!D3817,"")</f>
        <v/>
      </c>
    </row>
    <row r="3818" spans="1:2" x14ac:dyDescent="0.25">
      <c r="A3818" s="3">
        <f>IF(Raw_Data!J3818=0,Raw_Data!D3818,"")</f>
        <v>1986.58</v>
      </c>
      <c r="B3818" s="3" t="str">
        <f>IF(Raw_Data!J3818=1,Raw_Data!D3818,"")</f>
        <v/>
      </c>
    </row>
    <row r="3819" spans="1:2" x14ac:dyDescent="0.25">
      <c r="A3819" s="3">
        <f>IF(Raw_Data!J3819=0,Raw_Data!D3819,"")</f>
        <v>4808.59</v>
      </c>
      <c r="B3819" s="3" t="str">
        <f>IF(Raw_Data!J3819=1,Raw_Data!D3819,"")</f>
        <v/>
      </c>
    </row>
    <row r="3820" spans="1:2" x14ac:dyDescent="0.25">
      <c r="A3820" s="3">
        <f>IF(Raw_Data!J3820=0,Raw_Data!D3820,"")</f>
        <v>7277.2</v>
      </c>
      <c r="B3820" s="3" t="str">
        <f>IF(Raw_Data!J3820=1,Raw_Data!D3820,"")</f>
        <v/>
      </c>
    </row>
    <row r="3821" spans="1:2" x14ac:dyDescent="0.25">
      <c r="A3821" s="3">
        <f>IF(Raw_Data!J3821=0,Raw_Data!D3821,"")</f>
        <v>1157.9000000000001</v>
      </c>
      <c r="B3821" s="3" t="str">
        <f>IF(Raw_Data!J3821=1,Raw_Data!D3821,"")</f>
        <v/>
      </c>
    </row>
    <row r="3822" spans="1:2" x14ac:dyDescent="0.25">
      <c r="A3822" s="3" t="str">
        <f>IF(Raw_Data!J3822=0,Raw_Data!D3822,"")</f>
        <v/>
      </c>
      <c r="B3822" s="3">
        <f>IF(Raw_Data!J3822=1,Raw_Data!D3822,"")</f>
        <v>4643.4399999999996</v>
      </c>
    </row>
    <row r="3823" spans="1:2" x14ac:dyDescent="0.25">
      <c r="A3823" s="3">
        <f>IF(Raw_Data!J3823=0,Raw_Data!D3823,"")</f>
        <v>3169.99</v>
      </c>
      <c r="B3823" s="3" t="str">
        <f>IF(Raw_Data!J3823=1,Raw_Data!D3823,"")</f>
        <v/>
      </c>
    </row>
    <row r="3824" spans="1:2" x14ac:dyDescent="0.25">
      <c r="A3824" s="3">
        <f>IF(Raw_Data!J3824=0,Raw_Data!D3824,"")</f>
        <v>1851.22</v>
      </c>
      <c r="B3824" s="3" t="str">
        <f>IF(Raw_Data!J3824=1,Raw_Data!D3824,"")</f>
        <v/>
      </c>
    </row>
    <row r="3825" spans="1:2" x14ac:dyDescent="0.25">
      <c r="A3825" s="3">
        <f>IF(Raw_Data!J3825=0,Raw_Data!D3825,"")</f>
        <v>3977.89</v>
      </c>
      <c r="B3825" s="3" t="str">
        <f>IF(Raw_Data!J3825=1,Raw_Data!D3825,"")</f>
        <v/>
      </c>
    </row>
    <row r="3826" spans="1:2" x14ac:dyDescent="0.25">
      <c r="A3826" s="3" t="str">
        <f>IF(Raw_Data!J3826=0,Raw_Data!D3826,"")</f>
        <v/>
      </c>
      <c r="B3826" s="3">
        <f>IF(Raw_Data!J3826=1,Raw_Data!D3826,"")</f>
        <v>505.12</v>
      </c>
    </row>
    <row r="3827" spans="1:2" x14ac:dyDescent="0.25">
      <c r="A3827" s="3">
        <f>IF(Raw_Data!J3827=0,Raw_Data!D3827,"")</f>
        <v>5831.68</v>
      </c>
      <c r="B3827" s="3" t="str">
        <f>IF(Raw_Data!J3827=1,Raw_Data!D3827,"")</f>
        <v/>
      </c>
    </row>
    <row r="3828" spans="1:2" x14ac:dyDescent="0.25">
      <c r="A3828" s="3">
        <f>IF(Raw_Data!J3828=0,Raw_Data!D3828,"")</f>
        <v>1495.5</v>
      </c>
      <c r="B3828" s="3" t="str">
        <f>IF(Raw_Data!J3828=1,Raw_Data!D3828,"")</f>
        <v/>
      </c>
    </row>
    <row r="3829" spans="1:2" x14ac:dyDescent="0.25">
      <c r="A3829" s="3">
        <f>IF(Raw_Data!J3829=0,Raw_Data!D3829,"")</f>
        <v>1903.31</v>
      </c>
      <c r="B3829" s="3" t="str">
        <f>IF(Raw_Data!J3829=1,Raw_Data!D3829,"")</f>
        <v/>
      </c>
    </row>
    <row r="3830" spans="1:2" x14ac:dyDescent="0.25">
      <c r="A3830" s="3">
        <f>IF(Raw_Data!J3830=0,Raw_Data!D3830,"")</f>
        <v>1706.04</v>
      </c>
      <c r="B3830" s="3" t="str">
        <f>IF(Raw_Data!J3830=1,Raw_Data!D3830,"")</f>
        <v/>
      </c>
    </row>
    <row r="3831" spans="1:2" x14ac:dyDescent="0.25">
      <c r="A3831" s="3">
        <f>IF(Raw_Data!J3831=0,Raw_Data!D3831,"")</f>
        <v>614.9</v>
      </c>
      <c r="B3831" s="3" t="str">
        <f>IF(Raw_Data!J3831=1,Raw_Data!D3831,"")</f>
        <v/>
      </c>
    </row>
    <row r="3832" spans="1:2" x14ac:dyDescent="0.25">
      <c r="A3832" s="3">
        <f>IF(Raw_Data!J3832=0,Raw_Data!D3832,"")</f>
        <v>2627.79</v>
      </c>
      <c r="B3832" s="3" t="str">
        <f>IF(Raw_Data!J3832=1,Raw_Data!D3832,"")</f>
        <v/>
      </c>
    </row>
    <row r="3833" spans="1:2" x14ac:dyDescent="0.25">
      <c r="A3833" s="3">
        <f>IF(Raw_Data!J3833=0,Raw_Data!D3833,"")</f>
        <v>1282.76</v>
      </c>
      <c r="B3833" s="3" t="str">
        <f>IF(Raw_Data!J3833=1,Raw_Data!D3833,"")</f>
        <v/>
      </c>
    </row>
    <row r="3834" spans="1:2" x14ac:dyDescent="0.25">
      <c r="A3834" s="3" t="str">
        <f>IF(Raw_Data!J3834=0,Raw_Data!D3834,"")</f>
        <v/>
      </c>
      <c r="B3834" s="3">
        <f>IF(Raw_Data!J3834=1,Raw_Data!D3834,"")</f>
        <v>729.99</v>
      </c>
    </row>
    <row r="3835" spans="1:2" x14ac:dyDescent="0.25">
      <c r="A3835" s="3">
        <f>IF(Raw_Data!J3835=0,Raw_Data!D3835,"")</f>
        <v>5304.72</v>
      </c>
      <c r="B3835" s="3" t="str">
        <f>IF(Raw_Data!J3835=1,Raw_Data!D3835,"")</f>
        <v/>
      </c>
    </row>
    <row r="3836" spans="1:2" x14ac:dyDescent="0.25">
      <c r="A3836" s="3">
        <f>IF(Raw_Data!J3836=0,Raw_Data!D3836,"")</f>
        <v>906.63</v>
      </c>
      <c r="B3836" s="3" t="str">
        <f>IF(Raw_Data!J3836=1,Raw_Data!D3836,"")</f>
        <v/>
      </c>
    </row>
    <row r="3837" spans="1:2" x14ac:dyDescent="0.25">
      <c r="A3837" s="3">
        <f>IF(Raw_Data!J3837=0,Raw_Data!D3837,"")</f>
        <v>2368.39</v>
      </c>
      <c r="B3837" s="3" t="str">
        <f>IF(Raw_Data!J3837=1,Raw_Data!D3837,"")</f>
        <v/>
      </c>
    </row>
    <row r="3838" spans="1:2" x14ac:dyDescent="0.25">
      <c r="A3838" s="3">
        <f>IF(Raw_Data!J3838=0,Raw_Data!D3838,"")</f>
        <v>1228.49</v>
      </c>
      <c r="B3838" s="3" t="str">
        <f>IF(Raw_Data!J3838=1,Raw_Data!D3838,"")</f>
        <v/>
      </c>
    </row>
    <row r="3839" spans="1:2" x14ac:dyDescent="0.25">
      <c r="A3839" s="3">
        <f>IF(Raw_Data!J3839=0,Raw_Data!D3839,"")</f>
        <v>4737.24</v>
      </c>
      <c r="B3839" s="3" t="str">
        <f>IF(Raw_Data!J3839=1,Raw_Data!D3839,"")</f>
        <v/>
      </c>
    </row>
    <row r="3840" spans="1:2" x14ac:dyDescent="0.25">
      <c r="A3840" s="3">
        <f>IF(Raw_Data!J3840=0,Raw_Data!D3840,"")</f>
        <v>4900.6499999999996</v>
      </c>
      <c r="B3840" s="3" t="str">
        <f>IF(Raw_Data!J3840=1,Raw_Data!D3840,"")</f>
        <v/>
      </c>
    </row>
    <row r="3841" spans="1:2" x14ac:dyDescent="0.25">
      <c r="A3841" s="3">
        <f>IF(Raw_Data!J3841=0,Raw_Data!D3841,"")</f>
        <v>792.73</v>
      </c>
      <c r="B3841" s="3" t="str">
        <f>IF(Raw_Data!J3841=1,Raw_Data!D3841,"")</f>
        <v/>
      </c>
    </row>
    <row r="3842" spans="1:2" x14ac:dyDescent="0.25">
      <c r="A3842" s="3">
        <f>IF(Raw_Data!J3842=0,Raw_Data!D3842,"")</f>
        <v>1945.63</v>
      </c>
      <c r="B3842" s="3" t="str">
        <f>IF(Raw_Data!J3842=1,Raw_Data!D3842,"")</f>
        <v/>
      </c>
    </row>
    <row r="3843" spans="1:2" x14ac:dyDescent="0.25">
      <c r="A3843" s="3">
        <f>IF(Raw_Data!J3843=0,Raw_Data!D3843,"")</f>
        <v>5685.22</v>
      </c>
      <c r="B3843" s="3" t="str">
        <f>IF(Raw_Data!J3843=1,Raw_Data!D3843,"")</f>
        <v/>
      </c>
    </row>
    <row r="3844" spans="1:2" x14ac:dyDescent="0.25">
      <c r="A3844" s="3">
        <f>IF(Raw_Data!J3844=0,Raw_Data!D3844,"")</f>
        <v>5180.68</v>
      </c>
      <c r="B3844" s="3" t="str">
        <f>IF(Raw_Data!J3844=1,Raw_Data!D3844,"")</f>
        <v/>
      </c>
    </row>
    <row r="3845" spans="1:2" x14ac:dyDescent="0.25">
      <c r="A3845" s="3">
        <f>IF(Raw_Data!J3845=0,Raw_Data!D3845,"")</f>
        <v>4748.3599999999997</v>
      </c>
      <c r="B3845" s="3" t="str">
        <f>IF(Raw_Data!J3845=1,Raw_Data!D3845,"")</f>
        <v/>
      </c>
    </row>
    <row r="3846" spans="1:2" x14ac:dyDescent="0.25">
      <c r="A3846" s="3" t="str">
        <f>IF(Raw_Data!J3846=0,Raw_Data!D3846,"")</f>
        <v/>
      </c>
      <c r="B3846" s="3">
        <f>IF(Raw_Data!J3846=1,Raw_Data!D3846,"")</f>
        <v>6938.94</v>
      </c>
    </row>
    <row r="3847" spans="1:2" x14ac:dyDescent="0.25">
      <c r="A3847" s="3">
        <f>IF(Raw_Data!J3847=0,Raw_Data!D3847,"")</f>
        <v>2629.86</v>
      </c>
      <c r="B3847" s="3" t="str">
        <f>IF(Raw_Data!J3847=1,Raw_Data!D3847,"")</f>
        <v/>
      </c>
    </row>
    <row r="3848" spans="1:2" x14ac:dyDescent="0.25">
      <c r="A3848" s="3">
        <f>IF(Raw_Data!J3848=0,Raw_Data!D3848,"")</f>
        <v>3247.67</v>
      </c>
      <c r="B3848" s="3" t="str">
        <f>IF(Raw_Data!J3848=1,Raw_Data!D3848,"")</f>
        <v/>
      </c>
    </row>
    <row r="3849" spans="1:2" x14ac:dyDescent="0.25">
      <c r="A3849" s="3">
        <f>IF(Raw_Data!J3849=0,Raw_Data!D3849,"")</f>
        <v>4127.1000000000004</v>
      </c>
      <c r="B3849" s="3" t="str">
        <f>IF(Raw_Data!J3849=1,Raw_Data!D3849,"")</f>
        <v/>
      </c>
    </row>
    <row r="3850" spans="1:2" x14ac:dyDescent="0.25">
      <c r="A3850" s="3">
        <f>IF(Raw_Data!J3850=0,Raw_Data!D3850,"")</f>
        <v>4041.99</v>
      </c>
      <c r="B3850" s="3" t="str">
        <f>IF(Raw_Data!J3850=1,Raw_Data!D3850,"")</f>
        <v/>
      </c>
    </row>
    <row r="3851" spans="1:2" x14ac:dyDescent="0.25">
      <c r="A3851" s="3" t="str">
        <f>IF(Raw_Data!J3851=0,Raw_Data!D3851,"")</f>
        <v/>
      </c>
      <c r="B3851" s="3">
        <f>IF(Raw_Data!J3851=1,Raw_Data!D3851,"")</f>
        <v>2400.58</v>
      </c>
    </row>
    <row r="3852" spans="1:2" x14ac:dyDescent="0.25">
      <c r="A3852" s="3">
        <f>IF(Raw_Data!J3852=0,Raw_Data!D3852,"")</f>
        <v>2505.4699999999998</v>
      </c>
      <c r="B3852" s="3" t="str">
        <f>IF(Raw_Data!J3852=1,Raw_Data!D3852,"")</f>
        <v/>
      </c>
    </row>
    <row r="3853" spans="1:2" x14ac:dyDescent="0.25">
      <c r="A3853" s="3" t="str">
        <f>IF(Raw_Data!J3853=0,Raw_Data!D3853,"")</f>
        <v/>
      </c>
      <c r="B3853" s="3">
        <f>IF(Raw_Data!J3853=1,Raw_Data!D3853,"")</f>
        <v>2011.6</v>
      </c>
    </row>
    <row r="3854" spans="1:2" x14ac:dyDescent="0.25">
      <c r="A3854" s="3" t="str">
        <f>IF(Raw_Data!J3854=0,Raw_Data!D3854,"")</f>
        <v/>
      </c>
      <c r="B3854" s="3">
        <f>IF(Raw_Data!J3854=1,Raw_Data!D3854,"")</f>
        <v>4507.92</v>
      </c>
    </row>
    <row r="3855" spans="1:2" x14ac:dyDescent="0.25">
      <c r="A3855" s="3">
        <f>IF(Raw_Data!J3855=0,Raw_Data!D3855,"")</f>
        <v>3235.12</v>
      </c>
      <c r="B3855" s="3" t="str">
        <f>IF(Raw_Data!J3855=1,Raw_Data!D3855,"")</f>
        <v/>
      </c>
    </row>
    <row r="3856" spans="1:2" x14ac:dyDescent="0.25">
      <c r="A3856" s="3">
        <f>IF(Raw_Data!J3856=0,Raw_Data!D3856,"")</f>
        <v>3426.03</v>
      </c>
      <c r="B3856" s="3" t="str">
        <f>IF(Raw_Data!J3856=1,Raw_Data!D3856,"")</f>
        <v/>
      </c>
    </row>
    <row r="3857" spans="1:2" x14ac:dyDescent="0.25">
      <c r="A3857" s="3">
        <f>IF(Raw_Data!J3857=0,Raw_Data!D3857,"")</f>
        <v>4570.9399999999996</v>
      </c>
      <c r="B3857" s="3" t="str">
        <f>IF(Raw_Data!J3857=1,Raw_Data!D3857,"")</f>
        <v/>
      </c>
    </row>
    <row r="3858" spans="1:2" x14ac:dyDescent="0.25">
      <c r="A3858" s="3">
        <f>IF(Raw_Data!J3858=0,Raw_Data!D3858,"")</f>
        <v>6080.93</v>
      </c>
      <c r="B3858" s="3" t="str">
        <f>IF(Raw_Data!J3858=1,Raw_Data!D3858,"")</f>
        <v/>
      </c>
    </row>
    <row r="3859" spans="1:2" x14ac:dyDescent="0.25">
      <c r="A3859" s="3">
        <f>IF(Raw_Data!J3859=0,Raw_Data!D3859,"")</f>
        <v>3495.68</v>
      </c>
      <c r="B3859" s="3" t="str">
        <f>IF(Raw_Data!J3859=1,Raw_Data!D3859,"")</f>
        <v/>
      </c>
    </row>
    <row r="3860" spans="1:2" x14ac:dyDescent="0.25">
      <c r="A3860" s="3" t="str">
        <f>IF(Raw_Data!J3860=0,Raw_Data!D3860,"")</f>
        <v/>
      </c>
      <c r="B3860" s="3">
        <f>IF(Raw_Data!J3860=1,Raw_Data!D3860,"")</f>
        <v>617.16</v>
      </c>
    </row>
    <row r="3861" spans="1:2" x14ac:dyDescent="0.25">
      <c r="A3861" s="3">
        <f>IF(Raw_Data!J3861=0,Raw_Data!D3861,"")</f>
        <v>6361.48</v>
      </c>
      <c r="B3861" s="3" t="str">
        <f>IF(Raw_Data!J3861=1,Raw_Data!D3861,"")</f>
        <v/>
      </c>
    </row>
    <row r="3862" spans="1:2" x14ac:dyDescent="0.25">
      <c r="A3862" s="3">
        <f>IF(Raw_Data!J3862=0,Raw_Data!D3862,"")</f>
        <v>4465.0600000000004</v>
      </c>
      <c r="B3862" s="3" t="str">
        <f>IF(Raw_Data!J3862=1,Raw_Data!D3862,"")</f>
        <v/>
      </c>
    </row>
    <row r="3863" spans="1:2" x14ac:dyDescent="0.25">
      <c r="A3863" s="3">
        <f>IF(Raw_Data!J3863=0,Raw_Data!D3863,"")</f>
        <v>4814.99</v>
      </c>
      <c r="B3863" s="3" t="str">
        <f>IF(Raw_Data!J3863=1,Raw_Data!D3863,"")</f>
        <v/>
      </c>
    </row>
    <row r="3864" spans="1:2" x14ac:dyDescent="0.25">
      <c r="A3864" s="3">
        <f>IF(Raw_Data!J3864=0,Raw_Data!D3864,"")</f>
        <v>1297.71</v>
      </c>
      <c r="B3864" s="3" t="str">
        <f>IF(Raw_Data!J3864=1,Raw_Data!D3864,"")</f>
        <v/>
      </c>
    </row>
    <row r="3865" spans="1:2" x14ac:dyDescent="0.25">
      <c r="A3865" s="3">
        <f>IF(Raw_Data!J3865=0,Raw_Data!D3865,"")</f>
        <v>382.41</v>
      </c>
      <c r="B3865" s="3" t="str">
        <f>IF(Raw_Data!J3865=1,Raw_Data!D3865,"")</f>
        <v/>
      </c>
    </row>
    <row r="3866" spans="1:2" x14ac:dyDescent="0.25">
      <c r="A3866" s="3">
        <f>IF(Raw_Data!J3866=0,Raw_Data!D3866,"")</f>
        <v>3680.85</v>
      </c>
      <c r="B3866" s="3" t="str">
        <f>IF(Raw_Data!J3866=1,Raw_Data!D3866,"")</f>
        <v/>
      </c>
    </row>
    <row r="3867" spans="1:2" x14ac:dyDescent="0.25">
      <c r="A3867" s="3">
        <f>IF(Raw_Data!J3867=0,Raw_Data!D3867,"")</f>
        <v>744.07</v>
      </c>
      <c r="B3867" s="3" t="str">
        <f>IF(Raw_Data!J3867=1,Raw_Data!D3867,"")</f>
        <v/>
      </c>
    </row>
    <row r="3868" spans="1:2" x14ac:dyDescent="0.25">
      <c r="A3868" s="3" t="str">
        <f>IF(Raw_Data!J3868=0,Raw_Data!D3868,"")</f>
        <v/>
      </c>
      <c r="B3868" s="3">
        <f>IF(Raw_Data!J3868=1,Raw_Data!D3868,"")</f>
        <v>2409.94</v>
      </c>
    </row>
    <row r="3869" spans="1:2" x14ac:dyDescent="0.25">
      <c r="A3869" s="3">
        <f>IF(Raw_Data!J3869=0,Raw_Data!D3869,"")</f>
        <v>2864.92</v>
      </c>
      <c r="B3869" s="3" t="str">
        <f>IF(Raw_Data!J3869=1,Raw_Data!D3869,"")</f>
        <v/>
      </c>
    </row>
    <row r="3870" spans="1:2" x14ac:dyDescent="0.25">
      <c r="A3870" s="3" t="str">
        <f>IF(Raw_Data!J3870=0,Raw_Data!D3870,"")</f>
        <v/>
      </c>
      <c r="B3870" s="3">
        <f>IF(Raw_Data!J3870=1,Raw_Data!D3870,"")</f>
        <v>2029.25</v>
      </c>
    </row>
    <row r="3871" spans="1:2" x14ac:dyDescent="0.25">
      <c r="A3871" s="3" t="str">
        <f>IF(Raw_Data!J3871=0,Raw_Data!D3871,"")</f>
        <v/>
      </c>
      <c r="B3871" s="3">
        <f>IF(Raw_Data!J3871=1,Raw_Data!D3871,"")</f>
        <v>3494.29</v>
      </c>
    </row>
    <row r="3872" spans="1:2" x14ac:dyDescent="0.25">
      <c r="A3872" s="3">
        <f>IF(Raw_Data!J3872=0,Raw_Data!D3872,"")</f>
        <v>6074.92</v>
      </c>
      <c r="B3872" s="3" t="str">
        <f>IF(Raw_Data!J3872=1,Raw_Data!D3872,"")</f>
        <v/>
      </c>
    </row>
    <row r="3873" spans="1:2" x14ac:dyDescent="0.25">
      <c r="A3873" s="3">
        <f>IF(Raw_Data!J3873=0,Raw_Data!D3873,"")</f>
        <v>1302.54</v>
      </c>
      <c r="B3873" s="3" t="str">
        <f>IF(Raw_Data!J3873=1,Raw_Data!D3873,"")</f>
        <v/>
      </c>
    </row>
    <row r="3874" spans="1:2" x14ac:dyDescent="0.25">
      <c r="A3874" s="3">
        <f>IF(Raw_Data!J3874=0,Raw_Data!D3874,"")</f>
        <v>1785.35</v>
      </c>
      <c r="B3874" s="3" t="str">
        <f>IF(Raw_Data!J3874=1,Raw_Data!D3874,"")</f>
        <v/>
      </c>
    </row>
    <row r="3875" spans="1:2" x14ac:dyDescent="0.25">
      <c r="A3875" s="3">
        <f>IF(Raw_Data!J3875=0,Raw_Data!D3875,"")</f>
        <v>2102.3000000000002</v>
      </c>
      <c r="B3875" s="3" t="str">
        <f>IF(Raw_Data!J3875=1,Raw_Data!D3875,"")</f>
        <v/>
      </c>
    </row>
    <row r="3876" spans="1:2" x14ac:dyDescent="0.25">
      <c r="A3876" s="3">
        <f>IF(Raw_Data!J3876=0,Raw_Data!D3876,"")</f>
        <v>4324.29</v>
      </c>
      <c r="B3876" s="3" t="str">
        <f>IF(Raw_Data!J3876=1,Raw_Data!D3876,"")</f>
        <v/>
      </c>
    </row>
    <row r="3877" spans="1:2" x14ac:dyDescent="0.25">
      <c r="A3877" s="3">
        <f>IF(Raw_Data!J3877=0,Raw_Data!D3877,"")</f>
        <v>658.8</v>
      </c>
      <c r="B3877" s="3" t="str">
        <f>IF(Raw_Data!J3877=1,Raw_Data!D3877,"")</f>
        <v/>
      </c>
    </row>
    <row r="3878" spans="1:2" x14ac:dyDescent="0.25">
      <c r="A3878" s="3">
        <f>IF(Raw_Data!J3878=0,Raw_Data!D3878,"")</f>
        <v>960.34</v>
      </c>
      <c r="B3878" s="3" t="str">
        <f>IF(Raw_Data!J3878=1,Raw_Data!D3878,"")</f>
        <v/>
      </c>
    </row>
    <row r="3879" spans="1:2" x14ac:dyDescent="0.25">
      <c r="A3879" s="3">
        <f>IF(Raw_Data!J3879=0,Raw_Data!D3879,"")</f>
        <v>767.6</v>
      </c>
      <c r="B3879" s="3" t="str">
        <f>IF(Raw_Data!J3879=1,Raw_Data!D3879,"")</f>
        <v/>
      </c>
    </row>
    <row r="3880" spans="1:2" x14ac:dyDescent="0.25">
      <c r="A3880" s="3">
        <f>IF(Raw_Data!J3880=0,Raw_Data!D3880,"")</f>
        <v>1014.34</v>
      </c>
      <c r="B3880" s="3" t="str">
        <f>IF(Raw_Data!J3880=1,Raw_Data!D3880,"")</f>
        <v/>
      </c>
    </row>
    <row r="3881" spans="1:2" x14ac:dyDescent="0.25">
      <c r="A3881" s="3">
        <f>IF(Raw_Data!J3881=0,Raw_Data!D3881,"")</f>
        <v>823.19</v>
      </c>
      <c r="B3881" s="3" t="str">
        <f>IF(Raw_Data!J3881=1,Raw_Data!D3881,"")</f>
        <v/>
      </c>
    </row>
    <row r="3882" spans="1:2" x14ac:dyDescent="0.25">
      <c r="A3882" s="3">
        <f>IF(Raw_Data!J3882=0,Raw_Data!D3882,"")</f>
        <v>1410.06</v>
      </c>
      <c r="B3882" s="3" t="str">
        <f>IF(Raw_Data!J3882=1,Raw_Data!D3882,"")</f>
        <v/>
      </c>
    </row>
    <row r="3883" spans="1:2" x14ac:dyDescent="0.25">
      <c r="A3883" s="3">
        <f>IF(Raw_Data!J3883=0,Raw_Data!D3883,"")</f>
        <v>5225.1000000000004</v>
      </c>
      <c r="B3883" s="3" t="str">
        <f>IF(Raw_Data!J3883=1,Raw_Data!D3883,"")</f>
        <v/>
      </c>
    </row>
    <row r="3884" spans="1:2" x14ac:dyDescent="0.25">
      <c r="A3884" s="3">
        <f>IF(Raw_Data!J3884=0,Raw_Data!D3884,"")</f>
        <v>1482.17</v>
      </c>
      <c r="B3884" s="3" t="str">
        <f>IF(Raw_Data!J3884=1,Raw_Data!D3884,"")</f>
        <v/>
      </c>
    </row>
    <row r="3885" spans="1:2" x14ac:dyDescent="0.25">
      <c r="A3885" s="3">
        <f>IF(Raw_Data!J3885=0,Raw_Data!D3885,"")</f>
        <v>1634.56</v>
      </c>
      <c r="B3885" s="3" t="str">
        <f>IF(Raw_Data!J3885=1,Raw_Data!D3885,"")</f>
        <v/>
      </c>
    </row>
    <row r="3886" spans="1:2" x14ac:dyDescent="0.25">
      <c r="A3886" s="3">
        <f>IF(Raw_Data!J3886=0,Raw_Data!D3886,"")</f>
        <v>1122.8399999999999</v>
      </c>
      <c r="B3886" s="3" t="str">
        <f>IF(Raw_Data!J3886=1,Raw_Data!D3886,"")</f>
        <v/>
      </c>
    </row>
    <row r="3887" spans="1:2" x14ac:dyDescent="0.25">
      <c r="A3887" s="3">
        <f>IF(Raw_Data!J3887=0,Raw_Data!D3887,"")</f>
        <v>880.84</v>
      </c>
      <c r="B3887" s="3" t="str">
        <f>IF(Raw_Data!J3887=1,Raw_Data!D3887,"")</f>
        <v/>
      </c>
    </row>
    <row r="3888" spans="1:2" x14ac:dyDescent="0.25">
      <c r="A3888" s="3">
        <f>IF(Raw_Data!J3888=0,Raw_Data!D3888,"")</f>
        <v>2081.2800000000002</v>
      </c>
      <c r="B3888" s="3" t="str">
        <f>IF(Raw_Data!J3888=1,Raw_Data!D3888,"")</f>
        <v/>
      </c>
    </row>
    <row r="3889" spans="1:2" x14ac:dyDescent="0.25">
      <c r="A3889" s="3">
        <f>IF(Raw_Data!J3889=0,Raw_Data!D3889,"")</f>
        <v>3424.05</v>
      </c>
      <c r="B3889" s="3" t="str">
        <f>IF(Raw_Data!J3889=1,Raw_Data!D3889,"")</f>
        <v/>
      </c>
    </row>
    <row r="3890" spans="1:2" x14ac:dyDescent="0.25">
      <c r="A3890" s="3" t="str">
        <f>IF(Raw_Data!J3890=0,Raw_Data!D3890,"")</f>
        <v/>
      </c>
      <c r="B3890" s="3">
        <f>IF(Raw_Data!J3890=1,Raw_Data!D3890,"")</f>
        <v>5153.3500000000004</v>
      </c>
    </row>
    <row r="3891" spans="1:2" x14ac:dyDescent="0.25">
      <c r="A3891" s="3">
        <f>IF(Raw_Data!J3891=0,Raw_Data!D3891,"")</f>
        <v>3748.05</v>
      </c>
      <c r="B3891" s="3" t="str">
        <f>IF(Raw_Data!J3891=1,Raw_Data!D3891,"")</f>
        <v/>
      </c>
    </row>
    <row r="3892" spans="1:2" x14ac:dyDescent="0.25">
      <c r="A3892" s="3">
        <f>IF(Raw_Data!J3892=0,Raw_Data!D3892,"")</f>
        <v>1166.25</v>
      </c>
      <c r="B3892" s="3" t="str">
        <f>IF(Raw_Data!J3892=1,Raw_Data!D3892,"")</f>
        <v/>
      </c>
    </row>
    <row r="3893" spans="1:2" x14ac:dyDescent="0.25">
      <c r="A3893" s="3">
        <f>IF(Raw_Data!J3893=0,Raw_Data!D3893,"")</f>
        <v>2891.29</v>
      </c>
      <c r="B3893" s="3" t="str">
        <f>IF(Raw_Data!J3893=1,Raw_Data!D3893,"")</f>
        <v/>
      </c>
    </row>
    <row r="3894" spans="1:2" x14ac:dyDescent="0.25">
      <c r="A3894" s="3" t="str">
        <f>IF(Raw_Data!J3894=0,Raw_Data!D3894,"")</f>
        <v/>
      </c>
      <c r="B3894" s="3">
        <f>IF(Raw_Data!J3894=1,Raw_Data!D3894,"")</f>
        <v>2649.64</v>
      </c>
    </row>
    <row r="3895" spans="1:2" x14ac:dyDescent="0.25">
      <c r="A3895" s="3">
        <f>IF(Raw_Data!J3895=0,Raw_Data!D3895,"")</f>
        <v>1326.9</v>
      </c>
      <c r="B3895" s="3" t="str">
        <f>IF(Raw_Data!J3895=1,Raw_Data!D3895,"")</f>
        <v/>
      </c>
    </row>
    <row r="3896" spans="1:2" x14ac:dyDescent="0.25">
      <c r="A3896" s="3">
        <f>IF(Raw_Data!J3896=0,Raw_Data!D3896,"")</f>
        <v>1120.3599999999999</v>
      </c>
      <c r="B3896" s="3" t="str">
        <f>IF(Raw_Data!J3896=1,Raw_Data!D3896,"")</f>
        <v/>
      </c>
    </row>
    <row r="3897" spans="1:2" x14ac:dyDescent="0.25">
      <c r="A3897" s="3">
        <f>IF(Raw_Data!J3897=0,Raw_Data!D3897,"")</f>
        <v>4417.13</v>
      </c>
      <c r="B3897" s="3" t="str">
        <f>IF(Raw_Data!J3897=1,Raw_Data!D3897,"")</f>
        <v/>
      </c>
    </row>
    <row r="3898" spans="1:2" x14ac:dyDescent="0.25">
      <c r="A3898" s="3">
        <f>IF(Raw_Data!J3898=0,Raw_Data!D3898,"")</f>
        <v>5662.23</v>
      </c>
      <c r="B3898" s="3" t="str">
        <f>IF(Raw_Data!J3898=1,Raw_Data!D3898,"")</f>
        <v/>
      </c>
    </row>
    <row r="3899" spans="1:2" x14ac:dyDescent="0.25">
      <c r="A3899" s="3">
        <f>IF(Raw_Data!J3899=0,Raw_Data!D3899,"")</f>
        <v>4062.13</v>
      </c>
      <c r="B3899" s="3" t="str">
        <f>IF(Raw_Data!J3899=1,Raw_Data!D3899,"")</f>
        <v/>
      </c>
    </row>
    <row r="3900" spans="1:2" x14ac:dyDescent="0.25">
      <c r="A3900" s="3">
        <f>IF(Raw_Data!J3900=0,Raw_Data!D3900,"")</f>
        <v>1831.82</v>
      </c>
      <c r="B3900" s="3" t="str">
        <f>IF(Raw_Data!J3900=1,Raw_Data!D3900,"")</f>
        <v/>
      </c>
    </row>
    <row r="3901" spans="1:2" x14ac:dyDescent="0.25">
      <c r="A3901" s="3">
        <f>IF(Raw_Data!J3901=0,Raw_Data!D3901,"")</f>
        <v>2367.33</v>
      </c>
      <c r="B3901" s="3" t="str">
        <f>IF(Raw_Data!J3901=1,Raw_Data!D3901,"")</f>
        <v/>
      </c>
    </row>
    <row r="3902" spans="1:2" x14ac:dyDescent="0.25">
      <c r="A3902" s="3">
        <f>IF(Raw_Data!J3902=0,Raw_Data!D3902,"")</f>
        <v>1787.01</v>
      </c>
      <c r="B3902" s="3" t="str">
        <f>IF(Raw_Data!J3902=1,Raw_Data!D3902,"")</f>
        <v/>
      </c>
    </row>
    <row r="3903" spans="1:2" x14ac:dyDescent="0.25">
      <c r="A3903" s="3">
        <f>IF(Raw_Data!J3903=0,Raw_Data!D3903,"")</f>
        <v>1159.8699999999999</v>
      </c>
      <c r="B3903" s="3" t="str">
        <f>IF(Raw_Data!J3903=1,Raw_Data!D3903,"")</f>
        <v/>
      </c>
    </row>
    <row r="3904" spans="1:2" x14ac:dyDescent="0.25">
      <c r="A3904" s="3">
        <f>IF(Raw_Data!J3904=0,Raw_Data!D3904,"")</f>
        <v>1297.04</v>
      </c>
      <c r="B3904" s="3" t="str">
        <f>IF(Raw_Data!J3904=1,Raw_Data!D3904,"")</f>
        <v/>
      </c>
    </row>
    <row r="3905" spans="1:2" x14ac:dyDescent="0.25">
      <c r="A3905" s="3">
        <f>IF(Raw_Data!J3905=0,Raw_Data!D3905,"")</f>
        <v>1287.7</v>
      </c>
      <c r="B3905" s="3" t="str">
        <f>IF(Raw_Data!J3905=1,Raw_Data!D3905,"")</f>
        <v/>
      </c>
    </row>
    <row r="3906" spans="1:2" x14ac:dyDescent="0.25">
      <c r="A3906" s="3">
        <f>IF(Raw_Data!J3906=0,Raw_Data!D3906,"")</f>
        <v>1101.8599999999999</v>
      </c>
      <c r="B3906" s="3" t="str">
        <f>IF(Raw_Data!J3906=1,Raw_Data!D3906,"")</f>
        <v/>
      </c>
    </row>
    <row r="3907" spans="1:2" x14ac:dyDescent="0.25">
      <c r="A3907" s="3">
        <f>IF(Raw_Data!J3907=0,Raw_Data!D3907,"")</f>
        <v>3004.13</v>
      </c>
      <c r="B3907" s="3" t="str">
        <f>IF(Raw_Data!J3907=1,Raw_Data!D3907,"")</f>
        <v/>
      </c>
    </row>
    <row r="3908" spans="1:2" x14ac:dyDescent="0.25">
      <c r="A3908" s="3">
        <f>IF(Raw_Data!J3908=0,Raw_Data!D3908,"")</f>
        <v>2134.31</v>
      </c>
      <c r="B3908" s="3" t="str">
        <f>IF(Raw_Data!J3908=1,Raw_Data!D3908,"")</f>
        <v/>
      </c>
    </row>
    <row r="3909" spans="1:2" x14ac:dyDescent="0.25">
      <c r="A3909" s="3">
        <f>IF(Raw_Data!J3909=0,Raw_Data!D3909,"")</f>
        <v>3599.24</v>
      </c>
      <c r="B3909" s="3" t="str">
        <f>IF(Raw_Data!J3909=1,Raw_Data!D3909,"")</f>
        <v/>
      </c>
    </row>
    <row r="3910" spans="1:2" x14ac:dyDescent="0.25">
      <c r="A3910" s="3">
        <f>IF(Raw_Data!J3910=0,Raw_Data!D3910,"")</f>
        <v>1981.2</v>
      </c>
      <c r="B3910" s="3" t="str">
        <f>IF(Raw_Data!J3910=1,Raw_Data!D3910,"")</f>
        <v/>
      </c>
    </row>
    <row r="3911" spans="1:2" x14ac:dyDescent="0.25">
      <c r="A3911" s="3">
        <f>IF(Raw_Data!J3911=0,Raw_Data!D3911,"")</f>
        <v>4980.53</v>
      </c>
      <c r="B3911" s="3" t="str">
        <f>IF(Raw_Data!J3911=1,Raw_Data!D3911,"")</f>
        <v/>
      </c>
    </row>
    <row r="3912" spans="1:2" x14ac:dyDescent="0.25">
      <c r="A3912" s="3">
        <f>IF(Raw_Data!J3912=0,Raw_Data!D3912,"")</f>
        <v>2233.81</v>
      </c>
      <c r="B3912" s="3" t="str">
        <f>IF(Raw_Data!J3912=1,Raw_Data!D3912,"")</f>
        <v/>
      </c>
    </row>
    <row r="3913" spans="1:2" x14ac:dyDescent="0.25">
      <c r="A3913" s="3">
        <f>IF(Raw_Data!J3913=0,Raw_Data!D3913,"")</f>
        <v>1027.8399999999999</v>
      </c>
      <c r="B3913" s="3" t="str">
        <f>IF(Raw_Data!J3913=1,Raw_Data!D3913,"")</f>
        <v/>
      </c>
    </row>
    <row r="3914" spans="1:2" x14ac:dyDescent="0.25">
      <c r="A3914" s="3">
        <f>IF(Raw_Data!J3914=0,Raw_Data!D3914,"")</f>
        <v>1057.27</v>
      </c>
      <c r="B3914" s="3" t="str">
        <f>IF(Raw_Data!J3914=1,Raw_Data!D3914,"")</f>
        <v/>
      </c>
    </row>
    <row r="3915" spans="1:2" x14ac:dyDescent="0.25">
      <c r="A3915" s="3">
        <f>IF(Raw_Data!J3915=0,Raw_Data!D3915,"")</f>
        <v>4026.37</v>
      </c>
      <c r="B3915" s="3" t="str">
        <f>IF(Raw_Data!J3915=1,Raw_Data!D3915,"")</f>
        <v/>
      </c>
    </row>
    <row r="3916" spans="1:2" x14ac:dyDescent="0.25">
      <c r="A3916" s="3">
        <f>IF(Raw_Data!J3916=0,Raw_Data!D3916,"")</f>
        <v>2551.1999999999998</v>
      </c>
      <c r="B3916" s="3" t="str">
        <f>IF(Raw_Data!J3916=1,Raw_Data!D3916,"")</f>
        <v/>
      </c>
    </row>
    <row r="3917" spans="1:2" x14ac:dyDescent="0.25">
      <c r="A3917" s="3">
        <f>IF(Raw_Data!J3917=0,Raw_Data!D3917,"")</f>
        <v>5076.34</v>
      </c>
      <c r="B3917" s="3" t="str">
        <f>IF(Raw_Data!J3917=1,Raw_Data!D3917,"")</f>
        <v/>
      </c>
    </row>
    <row r="3918" spans="1:2" x14ac:dyDescent="0.25">
      <c r="A3918" s="3">
        <f>IF(Raw_Data!J3918=0,Raw_Data!D3918,"")</f>
        <v>2720.31</v>
      </c>
      <c r="B3918" s="3" t="str">
        <f>IF(Raw_Data!J3918=1,Raw_Data!D3918,"")</f>
        <v/>
      </c>
    </row>
    <row r="3919" spans="1:2" x14ac:dyDescent="0.25">
      <c r="A3919" s="3">
        <f>IF(Raw_Data!J3919=0,Raw_Data!D3919,"")</f>
        <v>4467.1000000000004</v>
      </c>
      <c r="B3919" s="3" t="str">
        <f>IF(Raw_Data!J3919=1,Raw_Data!D3919,"")</f>
        <v/>
      </c>
    </row>
    <row r="3920" spans="1:2" x14ac:dyDescent="0.25">
      <c r="A3920" s="3" t="str">
        <f>IF(Raw_Data!J3920=0,Raw_Data!D3920,"")</f>
        <v/>
      </c>
      <c r="B3920" s="3">
        <f>IF(Raw_Data!J3920=1,Raw_Data!D3920,"")</f>
        <v>2548.5500000000002</v>
      </c>
    </row>
    <row r="3921" spans="1:2" x14ac:dyDescent="0.25">
      <c r="A3921" s="3">
        <f>IF(Raw_Data!J3921=0,Raw_Data!D3921,"")</f>
        <v>1835.37</v>
      </c>
      <c r="B3921" s="3" t="str">
        <f>IF(Raw_Data!J3921=1,Raw_Data!D3921,"")</f>
        <v/>
      </c>
    </row>
    <row r="3922" spans="1:2" x14ac:dyDescent="0.25">
      <c r="A3922" s="3">
        <f>IF(Raw_Data!J3922=0,Raw_Data!D3922,"")</f>
        <v>1360.21</v>
      </c>
      <c r="B3922" s="3" t="str">
        <f>IF(Raw_Data!J3922=1,Raw_Data!D3922,"")</f>
        <v/>
      </c>
    </row>
    <row r="3923" spans="1:2" x14ac:dyDescent="0.25">
      <c r="A3923" s="3" t="str">
        <f>IF(Raw_Data!J3923=0,Raw_Data!D3923,"")</f>
        <v/>
      </c>
      <c r="B3923" s="3">
        <f>IF(Raw_Data!J3923=1,Raw_Data!D3923,"")</f>
        <v>2516.44</v>
      </c>
    </row>
    <row r="3924" spans="1:2" x14ac:dyDescent="0.25">
      <c r="A3924" s="3">
        <f>IF(Raw_Data!J3924=0,Raw_Data!D3924,"")</f>
        <v>3446.29</v>
      </c>
      <c r="B3924" s="3" t="str">
        <f>IF(Raw_Data!J3924=1,Raw_Data!D3924,"")</f>
        <v/>
      </c>
    </row>
    <row r="3925" spans="1:2" x14ac:dyDescent="0.25">
      <c r="A3925" s="3" t="str">
        <f>IF(Raw_Data!J3925=0,Raw_Data!D3925,"")</f>
        <v/>
      </c>
      <c r="B3925" s="3">
        <f>IF(Raw_Data!J3925=1,Raw_Data!D3925,"")</f>
        <v>1028.82</v>
      </c>
    </row>
    <row r="3926" spans="1:2" x14ac:dyDescent="0.25">
      <c r="A3926" s="3" t="str">
        <f>IF(Raw_Data!J3926=0,Raw_Data!D3926,"")</f>
        <v/>
      </c>
      <c r="B3926" s="3">
        <f>IF(Raw_Data!J3926=1,Raw_Data!D3926,"")</f>
        <v>1998.48</v>
      </c>
    </row>
    <row r="3927" spans="1:2" x14ac:dyDescent="0.25">
      <c r="A3927" s="3">
        <f>IF(Raw_Data!J3927=0,Raw_Data!D3927,"")</f>
        <v>2882.96</v>
      </c>
      <c r="B3927" s="3" t="str">
        <f>IF(Raw_Data!J3927=1,Raw_Data!D3927,"")</f>
        <v/>
      </c>
    </row>
    <row r="3928" spans="1:2" x14ac:dyDescent="0.25">
      <c r="A3928" s="3" t="str">
        <f>IF(Raw_Data!J3928=0,Raw_Data!D3928,"")</f>
        <v/>
      </c>
      <c r="B3928" s="3">
        <f>IF(Raw_Data!J3928=1,Raw_Data!D3928,"")</f>
        <v>2496</v>
      </c>
    </row>
    <row r="3929" spans="1:2" x14ac:dyDescent="0.25">
      <c r="A3929" s="3">
        <f>IF(Raw_Data!J3929=0,Raw_Data!D3929,"")</f>
        <v>1822.95</v>
      </c>
      <c r="B3929" s="3" t="str">
        <f>IF(Raw_Data!J3929=1,Raw_Data!D3929,"")</f>
        <v/>
      </c>
    </row>
    <row r="3930" spans="1:2" x14ac:dyDescent="0.25">
      <c r="A3930" s="3">
        <f>IF(Raw_Data!J3930=0,Raw_Data!D3930,"")</f>
        <v>232.83</v>
      </c>
      <c r="B3930" s="3" t="str">
        <f>IF(Raw_Data!J3930=1,Raw_Data!D3930,"")</f>
        <v/>
      </c>
    </row>
    <row r="3931" spans="1:2" x14ac:dyDescent="0.25">
      <c r="A3931" s="3" t="str">
        <f>IF(Raw_Data!J3931=0,Raw_Data!D3931,"")</f>
        <v/>
      </c>
      <c r="B3931" s="3">
        <f>IF(Raw_Data!J3931=1,Raw_Data!D3931,"")</f>
        <v>1519.77</v>
      </c>
    </row>
    <row r="3932" spans="1:2" x14ac:dyDescent="0.25">
      <c r="A3932" s="3" t="str">
        <f>IF(Raw_Data!J3932=0,Raw_Data!D3932,"")</f>
        <v/>
      </c>
      <c r="B3932" s="3">
        <f>IF(Raw_Data!J3932=1,Raw_Data!D3932,"")</f>
        <v>2491.96</v>
      </c>
    </row>
    <row r="3933" spans="1:2" x14ac:dyDescent="0.25">
      <c r="A3933" s="3">
        <f>IF(Raw_Data!J3933=0,Raw_Data!D3933,"")</f>
        <v>2166.38</v>
      </c>
      <c r="B3933" s="3" t="str">
        <f>IF(Raw_Data!J3933=1,Raw_Data!D3933,"")</f>
        <v/>
      </c>
    </row>
    <row r="3934" spans="1:2" x14ac:dyDescent="0.25">
      <c r="A3934" s="3" t="str">
        <f>IF(Raw_Data!J3934=0,Raw_Data!D3934,"")</f>
        <v/>
      </c>
      <c r="B3934" s="3">
        <f>IF(Raw_Data!J3934=1,Raw_Data!D3934,"")</f>
        <v>5039.17</v>
      </c>
    </row>
    <row r="3935" spans="1:2" x14ac:dyDescent="0.25">
      <c r="A3935" s="3" t="str">
        <f>IF(Raw_Data!J3935=0,Raw_Data!D3935,"")</f>
        <v/>
      </c>
      <c r="B3935" s="3">
        <f>IF(Raw_Data!J3935=1,Raw_Data!D3935,"")</f>
        <v>161.51</v>
      </c>
    </row>
    <row r="3936" spans="1:2" x14ac:dyDescent="0.25">
      <c r="A3936" s="3">
        <f>IF(Raw_Data!J3936=0,Raw_Data!D3936,"")</f>
        <v>3434.08</v>
      </c>
      <c r="B3936" s="3" t="str">
        <f>IF(Raw_Data!J3936=1,Raw_Data!D3936,"")</f>
        <v/>
      </c>
    </row>
    <row r="3937" spans="1:2" x14ac:dyDescent="0.25">
      <c r="A3937" s="3">
        <f>IF(Raw_Data!J3937=0,Raw_Data!D3937,"")</f>
        <v>1390.78</v>
      </c>
      <c r="B3937" s="3" t="str">
        <f>IF(Raw_Data!J3937=1,Raw_Data!D3937,"")</f>
        <v/>
      </c>
    </row>
    <row r="3938" spans="1:2" x14ac:dyDescent="0.25">
      <c r="A3938" s="3" t="str">
        <f>IF(Raw_Data!J3938=0,Raw_Data!D3938,"")</f>
        <v/>
      </c>
      <c r="B3938" s="3">
        <f>IF(Raw_Data!J3938=1,Raw_Data!D3938,"")</f>
        <v>3438.81</v>
      </c>
    </row>
    <row r="3939" spans="1:2" x14ac:dyDescent="0.25">
      <c r="A3939" s="3">
        <f>IF(Raw_Data!J3939=0,Raw_Data!D3939,"")</f>
        <v>2626.33</v>
      </c>
      <c r="B3939" s="3" t="str">
        <f>IF(Raw_Data!J3939=1,Raw_Data!D3939,"")</f>
        <v/>
      </c>
    </row>
    <row r="3940" spans="1:2" x14ac:dyDescent="0.25">
      <c r="A3940" s="3" t="str">
        <f>IF(Raw_Data!J3940=0,Raw_Data!D3940,"")</f>
        <v/>
      </c>
      <c r="B3940" s="3">
        <f>IF(Raw_Data!J3940=1,Raw_Data!D3940,"")</f>
        <v>993.57</v>
      </c>
    </row>
    <row r="3941" spans="1:2" x14ac:dyDescent="0.25">
      <c r="A3941" s="3" t="str">
        <f>IF(Raw_Data!J3941=0,Raw_Data!D3941,"")</f>
        <v/>
      </c>
      <c r="B3941" s="3">
        <f>IF(Raw_Data!J3941=1,Raw_Data!D3941,"")</f>
        <v>2691.29</v>
      </c>
    </row>
    <row r="3942" spans="1:2" x14ac:dyDescent="0.25">
      <c r="A3942" s="3">
        <f>IF(Raw_Data!J3942=0,Raw_Data!D3942,"")</f>
        <v>2537.52</v>
      </c>
      <c r="B3942" s="3" t="str">
        <f>IF(Raw_Data!J3942=1,Raw_Data!D3942,"")</f>
        <v/>
      </c>
    </row>
    <row r="3943" spans="1:2" x14ac:dyDescent="0.25">
      <c r="A3943" s="3">
        <f>IF(Raw_Data!J3943=0,Raw_Data!D3943,"")</f>
        <v>689.92</v>
      </c>
      <c r="B3943" s="3" t="str">
        <f>IF(Raw_Data!J3943=1,Raw_Data!D3943,"")</f>
        <v/>
      </c>
    </row>
    <row r="3944" spans="1:2" x14ac:dyDescent="0.25">
      <c r="A3944" s="3" t="str">
        <f>IF(Raw_Data!J3944=0,Raw_Data!D3944,"")</f>
        <v/>
      </c>
      <c r="B3944" s="3">
        <f>IF(Raw_Data!J3944=1,Raw_Data!D3944,"")</f>
        <v>1901.26</v>
      </c>
    </row>
    <row r="3945" spans="1:2" x14ac:dyDescent="0.25">
      <c r="A3945" s="3">
        <f>IF(Raw_Data!J3945=0,Raw_Data!D3945,"")</f>
        <v>5470.12</v>
      </c>
      <c r="B3945" s="3" t="str">
        <f>IF(Raw_Data!J3945=1,Raw_Data!D3945,"")</f>
        <v/>
      </c>
    </row>
    <row r="3946" spans="1:2" x14ac:dyDescent="0.25">
      <c r="A3946" s="3">
        <f>IF(Raw_Data!J3946=0,Raw_Data!D3946,"")</f>
        <v>3560.19</v>
      </c>
      <c r="B3946" s="3" t="str">
        <f>IF(Raw_Data!J3946=1,Raw_Data!D3946,"")</f>
        <v/>
      </c>
    </row>
    <row r="3947" spans="1:2" x14ac:dyDescent="0.25">
      <c r="A3947" s="3">
        <f>IF(Raw_Data!J3947=0,Raw_Data!D3947,"")</f>
        <v>828.28</v>
      </c>
      <c r="B3947" s="3" t="str">
        <f>IF(Raw_Data!J3947=1,Raw_Data!D3947,"")</f>
        <v/>
      </c>
    </row>
    <row r="3948" spans="1:2" x14ac:dyDescent="0.25">
      <c r="A3948" s="3">
        <f>IF(Raw_Data!J3948=0,Raw_Data!D3948,"")</f>
        <v>2428</v>
      </c>
      <c r="B3948" s="3" t="str">
        <f>IF(Raw_Data!J3948=1,Raw_Data!D3948,"")</f>
        <v/>
      </c>
    </row>
    <row r="3949" spans="1:2" x14ac:dyDescent="0.25">
      <c r="A3949" s="3">
        <f>IF(Raw_Data!J3949=0,Raw_Data!D3949,"")</f>
        <v>7335.23</v>
      </c>
      <c r="B3949" s="3" t="str">
        <f>IF(Raw_Data!J3949=1,Raw_Data!D3949,"")</f>
        <v/>
      </c>
    </row>
    <row r="3950" spans="1:2" x14ac:dyDescent="0.25">
      <c r="A3950" s="3" t="str">
        <f>IF(Raw_Data!J3950=0,Raw_Data!D3950,"")</f>
        <v/>
      </c>
      <c r="B3950" s="3">
        <f>IF(Raw_Data!J3950=1,Raw_Data!D3950,"")</f>
        <v>967.09</v>
      </c>
    </row>
    <row r="3951" spans="1:2" x14ac:dyDescent="0.25">
      <c r="A3951" s="3">
        <f>IF(Raw_Data!J3951=0,Raw_Data!D3951,"")</f>
        <v>4386.24</v>
      </c>
      <c r="B3951" s="3" t="str">
        <f>IF(Raw_Data!J3951=1,Raw_Data!D3951,"")</f>
        <v/>
      </c>
    </row>
    <row r="3952" spans="1:2" x14ac:dyDescent="0.25">
      <c r="A3952" s="3">
        <f>IF(Raw_Data!J3952=0,Raw_Data!D3952,"")</f>
        <v>8541.5</v>
      </c>
      <c r="B3952" s="3" t="str">
        <f>IF(Raw_Data!J3952=1,Raw_Data!D3952,"")</f>
        <v/>
      </c>
    </row>
    <row r="3953" spans="1:2" x14ac:dyDescent="0.25">
      <c r="A3953" s="3">
        <f>IF(Raw_Data!J3953=0,Raw_Data!D3953,"")</f>
        <v>3295.97</v>
      </c>
      <c r="B3953" s="3" t="str">
        <f>IF(Raw_Data!J3953=1,Raw_Data!D3953,"")</f>
        <v/>
      </c>
    </row>
    <row r="3954" spans="1:2" x14ac:dyDescent="0.25">
      <c r="A3954" s="3">
        <f>IF(Raw_Data!J3954=0,Raw_Data!D3954,"")</f>
        <v>3855.29</v>
      </c>
      <c r="B3954" s="3" t="str">
        <f>IF(Raw_Data!J3954=1,Raw_Data!D3954,"")</f>
        <v/>
      </c>
    </row>
    <row r="3955" spans="1:2" x14ac:dyDescent="0.25">
      <c r="A3955" s="3" t="str">
        <f>IF(Raw_Data!J3955=0,Raw_Data!D3955,"")</f>
        <v/>
      </c>
      <c r="B3955" s="3">
        <f>IF(Raw_Data!J3955=1,Raw_Data!D3955,"")</f>
        <v>2178.48</v>
      </c>
    </row>
    <row r="3956" spans="1:2" x14ac:dyDescent="0.25">
      <c r="A3956" s="3">
        <f>IF(Raw_Data!J3956=0,Raw_Data!D3956,"")</f>
        <v>4212.8</v>
      </c>
      <c r="B3956" s="3" t="str">
        <f>IF(Raw_Data!J3956=1,Raw_Data!D3956,"")</f>
        <v/>
      </c>
    </row>
    <row r="3957" spans="1:2" x14ac:dyDescent="0.25">
      <c r="A3957" s="3">
        <f>IF(Raw_Data!J3957=0,Raw_Data!D3957,"")</f>
        <v>2134.46</v>
      </c>
      <c r="B3957" s="3" t="str">
        <f>IF(Raw_Data!J3957=1,Raw_Data!D3957,"")</f>
        <v/>
      </c>
    </row>
    <row r="3958" spans="1:2" x14ac:dyDescent="0.25">
      <c r="A3958" s="3">
        <f>IF(Raw_Data!J3958=0,Raw_Data!D3958,"")</f>
        <v>886.13</v>
      </c>
      <c r="B3958" s="3" t="str">
        <f>IF(Raw_Data!J3958=1,Raw_Data!D3958,"")</f>
        <v/>
      </c>
    </row>
    <row r="3959" spans="1:2" x14ac:dyDescent="0.25">
      <c r="A3959" s="3">
        <f>IF(Raw_Data!J3959=0,Raw_Data!D3959,"")</f>
        <v>4214.25</v>
      </c>
      <c r="B3959" s="3" t="str">
        <f>IF(Raw_Data!J3959=1,Raw_Data!D3959,"")</f>
        <v/>
      </c>
    </row>
    <row r="3960" spans="1:2" x14ac:dyDescent="0.25">
      <c r="A3960" s="3" t="str">
        <f>IF(Raw_Data!J3960=0,Raw_Data!D3960,"")</f>
        <v/>
      </c>
      <c r="B3960" s="3">
        <f>IF(Raw_Data!J3960=1,Raw_Data!D3960,"")</f>
        <v>1198.04</v>
      </c>
    </row>
    <row r="3961" spans="1:2" x14ac:dyDescent="0.25">
      <c r="A3961" s="3">
        <f>IF(Raw_Data!J3961=0,Raw_Data!D3961,"")</f>
        <v>4035.78</v>
      </c>
      <c r="B3961" s="3" t="str">
        <f>IF(Raw_Data!J3961=1,Raw_Data!D3961,"")</f>
        <v/>
      </c>
    </row>
    <row r="3962" spans="1:2" x14ac:dyDescent="0.25">
      <c r="A3962" s="3">
        <f>IF(Raw_Data!J3962=0,Raw_Data!D3962,"")</f>
        <v>1951.69</v>
      </c>
      <c r="B3962" s="3" t="str">
        <f>IF(Raw_Data!J3962=1,Raw_Data!D3962,"")</f>
        <v/>
      </c>
    </row>
    <row r="3963" spans="1:2" x14ac:dyDescent="0.25">
      <c r="A3963" s="3">
        <f>IF(Raw_Data!J3963=0,Raw_Data!D3963,"")</f>
        <v>1032.42</v>
      </c>
      <c r="B3963" s="3" t="str">
        <f>IF(Raw_Data!J3963=1,Raw_Data!D3963,"")</f>
        <v/>
      </c>
    </row>
    <row r="3964" spans="1:2" x14ac:dyDescent="0.25">
      <c r="A3964" s="3">
        <f>IF(Raw_Data!J3964=0,Raw_Data!D3964,"")</f>
        <v>2700.27</v>
      </c>
      <c r="B3964" s="3" t="str">
        <f>IF(Raw_Data!J3964=1,Raw_Data!D3964,"")</f>
        <v/>
      </c>
    </row>
    <row r="3965" spans="1:2" x14ac:dyDescent="0.25">
      <c r="A3965" s="3">
        <f>IF(Raw_Data!J3965=0,Raw_Data!D3965,"")</f>
        <v>5517.06</v>
      </c>
      <c r="B3965" s="3" t="str">
        <f>IF(Raw_Data!J3965=1,Raw_Data!D3965,"")</f>
        <v/>
      </c>
    </row>
    <row r="3966" spans="1:2" x14ac:dyDescent="0.25">
      <c r="A3966" s="3">
        <f>IF(Raw_Data!J3966=0,Raw_Data!D3966,"")</f>
        <v>2095.92</v>
      </c>
      <c r="B3966" s="3" t="str">
        <f>IF(Raw_Data!J3966=1,Raw_Data!D3966,"")</f>
        <v/>
      </c>
    </row>
    <row r="3967" spans="1:2" x14ac:dyDescent="0.25">
      <c r="A3967" s="3">
        <f>IF(Raw_Data!J3967=0,Raw_Data!D3967,"")</f>
        <v>1026.6400000000001</v>
      </c>
      <c r="B3967" s="3" t="str">
        <f>IF(Raw_Data!J3967=1,Raw_Data!D3967,"")</f>
        <v/>
      </c>
    </row>
    <row r="3968" spans="1:2" x14ac:dyDescent="0.25">
      <c r="A3968" s="3">
        <f>IF(Raw_Data!J3968=0,Raw_Data!D3968,"")</f>
        <v>489.19</v>
      </c>
      <c r="B3968" s="3" t="str">
        <f>IF(Raw_Data!J3968=1,Raw_Data!D3968,"")</f>
        <v/>
      </c>
    </row>
    <row r="3969" spans="1:2" x14ac:dyDescent="0.25">
      <c r="A3969" s="3">
        <f>IF(Raw_Data!J3969=0,Raw_Data!D3969,"")</f>
        <v>1025.58</v>
      </c>
      <c r="B3969" s="3" t="str">
        <f>IF(Raw_Data!J3969=1,Raw_Data!D3969,"")</f>
        <v/>
      </c>
    </row>
    <row r="3970" spans="1:2" x14ac:dyDescent="0.25">
      <c r="A3970" s="3">
        <f>IF(Raw_Data!J3970=0,Raw_Data!D3970,"")</f>
        <v>3651.34</v>
      </c>
      <c r="B3970" s="3" t="str">
        <f>IF(Raw_Data!J3970=1,Raw_Data!D3970,"")</f>
        <v/>
      </c>
    </row>
    <row r="3971" spans="1:2" x14ac:dyDescent="0.25">
      <c r="A3971" s="3" t="str">
        <f>IF(Raw_Data!J3971=0,Raw_Data!D3971,"")</f>
        <v/>
      </c>
      <c r="B3971" s="3">
        <f>IF(Raw_Data!J3971=1,Raw_Data!D3971,"")</f>
        <v>2057.65</v>
      </c>
    </row>
    <row r="3972" spans="1:2" x14ac:dyDescent="0.25">
      <c r="A3972" s="3">
        <f>IF(Raw_Data!J3972=0,Raw_Data!D3972,"")</f>
        <v>3176.45</v>
      </c>
      <c r="B3972" s="3" t="str">
        <f>IF(Raw_Data!J3972=1,Raw_Data!D3972,"")</f>
        <v/>
      </c>
    </row>
    <row r="3973" spans="1:2" x14ac:dyDescent="0.25">
      <c r="A3973" s="3">
        <f>IF(Raw_Data!J3973=0,Raw_Data!D3973,"")</f>
        <v>934.68</v>
      </c>
      <c r="B3973" s="3" t="str">
        <f>IF(Raw_Data!J3973=1,Raw_Data!D3973,"")</f>
        <v/>
      </c>
    </row>
    <row r="3974" spans="1:2" x14ac:dyDescent="0.25">
      <c r="A3974" s="3">
        <f>IF(Raw_Data!J3974=0,Raw_Data!D3974,"")</f>
        <v>1717.64</v>
      </c>
      <c r="B3974" s="3" t="str">
        <f>IF(Raw_Data!J3974=1,Raw_Data!D3974,"")</f>
        <v/>
      </c>
    </row>
    <row r="3975" spans="1:2" x14ac:dyDescent="0.25">
      <c r="A3975" s="3">
        <f>IF(Raw_Data!J3975=0,Raw_Data!D3975,"")</f>
        <v>705.69</v>
      </c>
      <c r="B3975" s="3" t="str">
        <f>IF(Raw_Data!J3975=1,Raw_Data!D3975,"")</f>
        <v/>
      </c>
    </row>
    <row r="3976" spans="1:2" x14ac:dyDescent="0.25">
      <c r="A3976" s="3">
        <f>IF(Raw_Data!J3976=0,Raw_Data!D3976,"")</f>
        <v>751.32</v>
      </c>
      <c r="B3976" s="3" t="str">
        <f>IF(Raw_Data!J3976=1,Raw_Data!D3976,"")</f>
        <v/>
      </c>
    </row>
    <row r="3977" spans="1:2" x14ac:dyDescent="0.25">
      <c r="A3977" s="3">
        <f>IF(Raw_Data!J3977=0,Raw_Data!D3977,"")</f>
        <v>758.34</v>
      </c>
      <c r="B3977" s="3" t="str">
        <f>IF(Raw_Data!J3977=1,Raw_Data!D3977,"")</f>
        <v/>
      </c>
    </row>
    <row r="3978" spans="1:2" x14ac:dyDescent="0.25">
      <c r="A3978" s="3">
        <f>IF(Raw_Data!J3978=0,Raw_Data!D3978,"")</f>
        <v>3603.73</v>
      </c>
      <c r="B3978" s="3" t="str">
        <f>IF(Raw_Data!J3978=1,Raw_Data!D3978,"")</f>
        <v/>
      </c>
    </row>
    <row r="3979" spans="1:2" x14ac:dyDescent="0.25">
      <c r="A3979" s="3">
        <f>IF(Raw_Data!J3979=0,Raw_Data!D3979,"")</f>
        <v>2564.0300000000002</v>
      </c>
      <c r="B3979" s="3" t="str">
        <f>IF(Raw_Data!J3979=1,Raw_Data!D3979,"")</f>
        <v/>
      </c>
    </row>
    <row r="3980" spans="1:2" x14ac:dyDescent="0.25">
      <c r="A3980" s="3">
        <f>IF(Raw_Data!J3980=0,Raw_Data!D3980,"")</f>
        <v>3757.78</v>
      </c>
      <c r="B3980" s="3" t="str">
        <f>IF(Raw_Data!J3980=1,Raw_Data!D3980,"")</f>
        <v/>
      </c>
    </row>
    <row r="3981" spans="1:2" x14ac:dyDescent="0.25">
      <c r="A3981" s="3">
        <f>IF(Raw_Data!J3981=0,Raw_Data!D3981,"")</f>
        <v>1129.3</v>
      </c>
      <c r="B3981" s="3" t="str">
        <f>IF(Raw_Data!J3981=1,Raw_Data!D3981,"")</f>
        <v/>
      </c>
    </row>
    <row r="3982" spans="1:2" x14ac:dyDescent="0.25">
      <c r="A3982" s="3">
        <f>IF(Raw_Data!J3982=0,Raw_Data!D3982,"")</f>
        <v>2241.23</v>
      </c>
      <c r="B3982" s="3" t="str">
        <f>IF(Raw_Data!J3982=1,Raw_Data!D3982,"")</f>
        <v/>
      </c>
    </row>
    <row r="3983" spans="1:2" x14ac:dyDescent="0.25">
      <c r="A3983" s="3">
        <f>IF(Raw_Data!J3983=0,Raw_Data!D3983,"")</f>
        <v>800.76</v>
      </c>
      <c r="B3983" s="3" t="str">
        <f>IF(Raw_Data!J3983=1,Raw_Data!D3983,"")</f>
        <v/>
      </c>
    </row>
    <row r="3984" spans="1:2" x14ac:dyDescent="0.25">
      <c r="A3984" s="3" t="str">
        <f>IF(Raw_Data!J3984=0,Raw_Data!D3984,"")</f>
        <v/>
      </c>
      <c r="B3984" s="3">
        <f>IF(Raw_Data!J3984=1,Raw_Data!D3984,"")</f>
        <v>474.87</v>
      </c>
    </row>
    <row r="3985" spans="1:2" x14ac:dyDescent="0.25">
      <c r="A3985" s="3">
        <f>IF(Raw_Data!J3985=0,Raw_Data!D3985,"")</f>
        <v>665.84</v>
      </c>
      <c r="B3985" s="3" t="str">
        <f>IF(Raw_Data!J3985=1,Raw_Data!D3985,"")</f>
        <v/>
      </c>
    </row>
    <row r="3986" spans="1:2" x14ac:dyDescent="0.25">
      <c r="A3986" s="3">
        <f>IF(Raw_Data!J3986=0,Raw_Data!D3986,"")</f>
        <v>1810.03</v>
      </c>
      <c r="B3986" s="3" t="str">
        <f>IF(Raw_Data!J3986=1,Raw_Data!D3986,"")</f>
        <v/>
      </c>
    </row>
    <row r="3987" spans="1:2" x14ac:dyDescent="0.25">
      <c r="A3987" s="3">
        <f>IF(Raw_Data!J3987=0,Raw_Data!D3987,"")</f>
        <v>3787.44</v>
      </c>
      <c r="B3987" s="3" t="str">
        <f>IF(Raw_Data!J3987=1,Raw_Data!D3987,"")</f>
        <v/>
      </c>
    </row>
    <row r="3988" spans="1:2" x14ac:dyDescent="0.25">
      <c r="A3988" s="3">
        <f>IF(Raw_Data!J3988=0,Raw_Data!D3988,"")</f>
        <v>3336.3</v>
      </c>
      <c r="B3988" s="3" t="str">
        <f>IF(Raw_Data!J3988=1,Raw_Data!D3988,"")</f>
        <v/>
      </c>
    </row>
    <row r="3989" spans="1:2" x14ac:dyDescent="0.25">
      <c r="A3989" s="3">
        <f>IF(Raw_Data!J3989=0,Raw_Data!D3989,"")</f>
        <v>3663.05</v>
      </c>
      <c r="B3989" s="3" t="str">
        <f>IF(Raw_Data!J3989=1,Raw_Data!D3989,"")</f>
        <v/>
      </c>
    </row>
    <row r="3990" spans="1:2" x14ac:dyDescent="0.25">
      <c r="A3990" s="3">
        <f>IF(Raw_Data!J3990=0,Raw_Data!D3990,"")</f>
        <v>2388.13</v>
      </c>
      <c r="B3990" s="3" t="str">
        <f>IF(Raw_Data!J3990=1,Raw_Data!D3990,"")</f>
        <v/>
      </c>
    </row>
    <row r="3991" spans="1:2" x14ac:dyDescent="0.25">
      <c r="A3991" s="3">
        <f>IF(Raw_Data!J3991=0,Raw_Data!D3991,"")</f>
        <v>1883.38</v>
      </c>
      <c r="B3991" s="3" t="str">
        <f>IF(Raw_Data!J3991=1,Raw_Data!D3991,"")</f>
        <v/>
      </c>
    </row>
    <row r="3992" spans="1:2" x14ac:dyDescent="0.25">
      <c r="A3992" s="3">
        <f>IF(Raw_Data!J3992=0,Raw_Data!D3992,"")</f>
        <v>3479.97</v>
      </c>
      <c r="B3992" s="3" t="str">
        <f>IF(Raw_Data!J3992=1,Raw_Data!D3992,"")</f>
        <v/>
      </c>
    </row>
    <row r="3993" spans="1:2" x14ac:dyDescent="0.25">
      <c r="A3993" s="3">
        <f>IF(Raw_Data!J3993=0,Raw_Data!D3993,"")</f>
        <v>3523.97</v>
      </c>
      <c r="B3993" s="3" t="str">
        <f>IF(Raw_Data!J3993=1,Raw_Data!D3993,"")</f>
        <v/>
      </c>
    </row>
    <row r="3994" spans="1:2" x14ac:dyDescent="0.25">
      <c r="A3994" s="3">
        <f>IF(Raw_Data!J3994=0,Raw_Data!D3994,"")</f>
        <v>2063.02</v>
      </c>
      <c r="B3994" s="3" t="str">
        <f>IF(Raw_Data!J3994=1,Raw_Data!D3994,"")</f>
        <v/>
      </c>
    </row>
    <row r="3995" spans="1:2" x14ac:dyDescent="0.25">
      <c r="A3995" s="3">
        <f>IF(Raw_Data!J3995=0,Raw_Data!D3995,"")</f>
        <v>2258.2600000000002</v>
      </c>
      <c r="B3995" s="3" t="str">
        <f>IF(Raw_Data!J3995=1,Raw_Data!D3995,"")</f>
        <v/>
      </c>
    </row>
    <row r="3996" spans="1:2" x14ac:dyDescent="0.25">
      <c r="A3996" s="3" t="str">
        <f>IF(Raw_Data!J3996=0,Raw_Data!D3996,"")</f>
        <v/>
      </c>
      <c r="B3996" s="3">
        <f>IF(Raw_Data!J3996=1,Raw_Data!D3996,"")</f>
        <v>3648.42</v>
      </c>
    </row>
    <row r="3997" spans="1:2" x14ac:dyDescent="0.25">
      <c r="A3997" s="3">
        <f>IF(Raw_Data!J3997=0,Raw_Data!D3997,"")</f>
        <v>3984.37</v>
      </c>
      <c r="B3997" s="3" t="str">
        <f>IF(Raw_Data!J3997=1,Raw_Data!D3997,"")</f>
        <v/>
      </c>
    </row>
    <row r="3998" spans="1:2" x14ac:dyDescent="0.25">
      <c r="A3998" s="3">
        <f>IF(Raw_Data!J3998=0,Raw_Data!D3998,"")</f>
        <v>1404.59</v>
      </c>
      <c r="B3998" s="3" t="str">
        <f>IF(Raw_Data!J3998=1,Raw_Data!D3998,"")</f>
        <v/>
      </c>
    </row>
    <row r="3999" spans="1:2" x14ac:dyDescent="0.25">
      <c r="A3999" s="3">
        <f>IF(Raw_Data!J3999=0,Raw_Data!D3999,"")</f>
        <v>3876.13</v>
      </c>
      <c r="B3999" s="3" t="str">
        <f>IF(Raw_Data!J3999=1,Raw_Data!D3999,"")</f>
        <v/>
      </c>
    </row>
    <row r="4000" spans="1:2" x14ac:dyDescent="0.25">
      <c r="A4000" s="3">
        <f>IF(Raw_Data!J4000=0,Raw_Data!D4000,"")</f>
        <v>2538.09</v>
      </c>
      <c r="B4000" s="3" t="str">
        <f>IF(Raw_Data!J4000=1,Raw_Data!D4000,"")</f>
        <v/>
      </c>
    </row>
    <row r="4001" spans="1:2" x14ac:dyDescent="0.25">
      <c r="A4001" s="3">
        <f>IF(Raw_Data!J4001=0,Raw_Data!D4001,"")</f>
        <v>1201.6400000000001</v>
      </c>
      <c r="B4001" s="3" t="str">
        <f>IF(Raw_Data!J4001=1,Raw_Data!D4001,"")</f>
        <v/>
      </c>
    </row>
    <row r="4002" spans="1:2" x14ac:dyDescent="0.25">
      <c r="A4002" s="3">
        <f>IF(Raw_Data!J4002=0,Raw_Data!D4002,"")</f>
        <v>1791.76</v>
      </c>
      <c r="B4002" s="3" t="str">
        <f>IF(Raw_Data!J4002=1,Raw_Data!D4002,"")</f>
        <v/>
      </c>
    </row>
    <row r="4003" spans="1:2" x14ac:dyDescent="0.25">
      <c r="A4003" s="3">
        <f>IF(Raw_Data!J4003=0,Raw_Data!D4003,"")</f>
        <v>2872.04</v>
      </c>
      <c r="B4003" s="3" t="str">
        <f>IF(Raw_Data!J4003=1,Raw_Data!D4003,"")</f>
        <v/>
      </c>
    </row>
    <row r="4004" spans="1:2" x14ac:dyDescent="0.25">
      <c r="A4004" s="3">
        <f>IF(Raw_Data!J4004=0,Raw_Data!D4004,"")</f>
        <v>3186.49</v>
      </c>
      <c r="B4004" s="3" t="str">
        <f>IF(Raw_Data!J4004=1,Raw_Data!D4004,"")</f>
        <v/>
      </c>
    </row>
    <row r="4005" spans="1:2" x14ac:dyDescent="0.25">
      <c r="A4005" s="3">
        <f>IF(Raw_Data!J4005=0,Raw_Data!D4005,"")</f>
        <v>3558.9</v>
      </c>
      <c r="B4005" s="3" t="str">
        <f>IF(Raw_Data!J4005=1,Raw_Data!D4005,"")</f>
        <v/>
      </c>
    </row>
    <row r="4006" spans="1:2" x14ac:dyDescent="0.25">
      <c r="A4006" s="3">
        <f>IF(Raw_Data!J4006=0,Raw_Data!D4006,"")</f>
        <v>1600.81</v>
      </c>
      <c r="B4006" s="3" t="str">
        <f>IF(Raw_Data!J4006=1,Raw_Data!D4006,"")</f>
        <v/>
      </c>
    </row>
    <row r="4007" spans="1:2" x14ac:dyDescent="0.25">
      <c r="A4007" s="3">
        <f>IF(Raw_Data!J4007=0,Raw_Data!D4007,"")</f>
        <v>7375.35</v>
      </c>
      <c r="B4007" s="3" t="str">
        <f>IF(Raw_Data!J4007=1,Raw_Data!D4007,"")</f>
        <v/>
      </c>
    </row>
    <row r="4008" spans="1:2" x14ac:dyDescent="0.25">
      <c r="A4008" s="3">
        <f>IF(Raw_Data!J4008=0,Raw_Data!D4008,"")</f>
        <v>1205.67</v>
      </c>
      <c r="B4008" s="3" t="str">
        <f>IF(Raw_Data!J4008=1,Raw_Data!D4008,"")</f>
        <v/>
      </c>
    </row>
    <row r="4009" spans="1:2" x14ac:dyDescent="0.25">
      <c r="A4009" s="3">
        <f>IF(Raw_Data!J4009=0,Raw_Data!D4009,"")</f>
        <v>1514.19</v>
      </c>
      <c r="B4009" s="3" t="str">
        <f>IF(Raw_Data!J4009=1,Raw_Data!D4009,"")</f>
        <v/>
      </c>
    </row>
    <row r="4010" spans="1:2" x14ac:dyDescent="0.25">
      <c r="A4010" s="3">
        <f>IF(Raw_Data!J4010=0,Raw_Data!D4010,"")</f>
        <v>2560.96</v>
      </c>
      <c r="B4010" s="3" t="str">
        <f>IF(Raw_Data!J4010=1,Raw_Data!D4010,"")</f>
        <v/>
      </c>
    </row>
    <row r="4011" spans="1:2" x14ac:dyDescent="0.25">
      <c r="A4011" s="3">
        <f>IF(Raw_Data!J4011=0,Raw_Data!D4011,"")</f>
        <v>5881.97</v>
      </c>
      <c r="B4011" s="3" t="str">
        <f>IF(Raw_Data!J4011=1,Raw_Data!D4011,"")</f>
        <v/>
      </c>
    </row>
    <row r="4012" spans="1:2" x14ac:dyDescent="0.25">
      <c r="A4012" s="3">
        <f>IF(Raw_Data!J4012=0,Raw_Data!D4012,"")</f>
        <v>4751.3900000000003</v>
      </c>
      <c r="B4012" s="3" t="str">
        <f>IF(Raw_Data!J4012=1,Raw_Data!D4012,"")</f>
        <v/>
      </c>
    </row>
    <row r="4013" spans="1:2" x14ac:dyDescent="0.25">
      <c r="A4013" s="3">
        <f>IF(Raw_Data!J4013=0,Raw_Data!D4013,"")</f>
        <v>1711.29</v>
      </c>
      <c r="B4013" s="3" t="str">
        <f>IF(Raw_Data!J4013=1,Raw_Data!D4013,"")</f>
        <v/>
      </c>
    </row>
    <row r="4014" spans="1:2" x14ac:dyDescent="0.25">
      <c r="A4014" s="3">
        <f>IF(Raw_Data!J4014=0,Raw_Data!D4014,"")</f>
        <v>346.2</v>
      </c>
      <c r="B4014" s="3" t="str">
        <f>IF(Raw_Data!J4014=1,Raw_Data!D4014,"")</f>
        <v/>
      </c>
    </row>
    <row r="4015" spans="1:2" x14ac:dyDescent="0.25">
      <c r="A4015" s="3">
        <f>IF(Raw_Data!J4015=0,Raw_Data!D4015,"")</f>
        <v>956.87</v>
      </c>
      <c r="B4015" s="3" t="str">
        <f>IF(Raw_Data!J4015=1,Raw_Data!D4015,"")</f>
        <v/>
      </c>
    </row>
    <row r="4016" spans="1:2" x14ac:dyDescent="0.25">
      <c r="A4016" s="3">
        <f>IF(Raw_Data!J4016=0,Raw_Data!D4016,"")</f>
        <v>1774.69</v>
      </c>
      <c r="B4016" s="3" t="str">
        <f>IF(Raw_Data!J4016=1,Raw_Data!D4016,"")</f>
        <v/>
      </c>
    </row>
    <row r="4017" spans="1:2" x14ac:dyDescent="0.25">
      <c r="A4017" s="3" t="str">
        <f>IF(Raw_Data!J4017=0,Raw_Data!D4017,"")</f>
        <v/>
      </c>
      <c r="B4017" s="3">
        <f>IF(Raw_Data!J4017=1,Raw_Data!D4017,"")</f>
        <v>2255.0300000000002</v>
      </c>
    </row>
    <row r="4018" spans="1:2" x14ac:dyDescent="0.25">
      <c r="A4018" s="3">
        <f>IF(Raw_Data!J4018=0,Raw_Data!D4018,"")</f>
        <v>4284.82</v>
      </c>
      <c r="B4018" s="3" t="str">
        <f>IF(Raw_Data!J4018=1,Raw_Data!D4018,"")</f>
        <v/>
      </c>
    </row>
    <row r="4019" spans="1:2" x14ac:dyDescent="0.25">
      <c r="A4019" s="3">
        <f>IF(Raw_Data!J4019=0,Raw_Data!D4019,"")</f>
        <v>10675.92</v>
      </c>
      <c r="B4019" s="3" t="str">
        <f>IF(Raw_Data!J4019=1,Raw_Data!D4019,"")</f>
        <v/>
      </c>
    </row>
    <row r="4020" spans="1:2" x14ac:dyDescent="0.25">
      <c r="A4020" s="3">
        <f>IF(Raw_Data!J4020=0,Raw_Data!D4020,"")</f>
        <v>3573.67</v>
      </c>
      <c r="B4020" s="3" t="str">
        <f>IF(Raw_Data!J4020=1,Raw_Data!D4020,"")</f>
        <v/>
      </c>
    </row>
    <row r="4021" spans="1:2" x14ac:dyDescent="0.25">
      <c r="A4021" s="3">
        <f>IF(Raw_Data!J4021=0,Raw_Data!D4021,"")</f>
        <v>4724.04</v>
      </c>
      <c r="B4021" s="3" t="str">
        <f>IF(Raw_Data!J4021=1,Raw_Data!D4021,"")</f>
        <v/>
      </c>
    </row>
    <row r="4022" spans="1:2" x14ac:dyDescent="0.25">
      <c r="A4022" s="3">
        <f>IF(Raw_Data!J4022=0,Raw_Data!D4022,"")</f>
        <v>5138.03</v>
      </c>
      <c r="B4022" s="3" t="str">
        <f>IF(Raw_Data!J4022=1,Raw_Data!D4022,"")</f>
        <v/>
      </c>
    </row>
    <row r="4023" spans="1:2" x14ac:dyDescent="0.25">
      <c r="A4023" s="3">
        <f>IF(Raw_Data!J4023=0,Raw_Data!D4023,"")</f>
        <v>1436.9</v>
      </c>
      <c r="B4023" s="3" t="str">
        <f>IF(Raw_Data!J4023=1,Raw_Data!D4023,"")</f>
        <v/>
      </c>
    </row>
    <row r="4024" spans="1:2" x14ac:dyDescent="0.25">
      <c r="A4024" s="3">
        <f>IF(Raw_Data!J4024=0,Raw_Data!D4024,"")</f>
        <v>2021.64</v>
      </c>
      <c r="B4024" s="3" t="str">
        <f>IF(Raw_Data!J4024=1,Raw_Data!D4024,"")</f>
        <v/>
      </c>
    </row>
    <row r="4025" spans="1:2" x14ac:dyDescent="0.25">
      <c r="A4025" s="3">
        <f>IF(Raw_Data!J4025=0,Raw_Data!D4025,"")</f>
        <v>2476.5</v>
      </c>
      <c r="B4025" s="3" t="str">
        <f>IF(Raw_Data!J4025=1,Raw_Data!D4025,"")</f>
        <v/>
      </c>
    </row>
    <row r="4026" spans="1:2" x14ac:dyDescent="0.25">
      <c r="A4026" s="3">
        <f>IF(Raw_Data!J4026=0,Raw_Data!D4026,"")</f>
        <v>1794.04</v>
      </c>
      <c r="B4026" s="3" t="str">
        <f>IF(Raw_Data!J4026=1,Raw_Data!D4026,"")</f>
        <v/>
      </c>
    </row>
    <row r="4027" spans="1:2" x14ac:dyDescent="0.25">
      <c r="A4027" s="3">
        <f>IF(Raw_Data!J4027=0,Raw_Data!D4027,"")</f>
        <v>8476.75</v>
      </c>
      <c r="B4027" s="3" t="str">
        <f>IF(Raw_Data!J4027=1,Raw_Data!D4027,"")</f>
        <v/>
      </c>
    </row>
    <row r="4028" spans="1:2" x14ac:dyDescent="0.25">
      <c r="A4028" s="3">
        <f>IF(Raw_Data!J4028=0,Raw_Data!D4028,"")</f>
        <v>907.45</v>
      </c>
      <c r="B4028" s="3" t="str">
        <f>IF(Raw_Data!J4028=1,Raw_Data!D4028,"")</f>
        <v/>
      </c>
    </row>
    <row r="4029" spans="1:2" x14ac:dyDescent="0.25">
      <c r="A4029" s="3" t="str">
        <f>IF(Raw_Data!J4029=0,Raw_Data!D4029,"")</f>
        <v/>
      </c>
      <c r="B4029" s="3">
        <f>IF(Raw_Data!J4029=1,Raw_Data!D4029,"")</f>
        <v>2842.88</v>
      </c>
    </row>
    <row r="4030" spans="1:2" x14ac:dyDescent="0.25">
      <c r="A4030" s="3">
        <f>IF(Raw_Data!J4030=0,Raw_Data!D4030,"")</f>
        <v>3545.6</v>
      </c>
      <c r="B4030" s="3" t="str">
        <f>IF(Raw_Data!J4030=1,Raw_Data!D4030,"")</f>
        <v/>
      </c>
    </row>
    <row r="4031" spans="1:2" x14ac:dyDescent="0.25">
      <c r="A4031" s="3">
        <f>IF(Raw_Data!J4031=0,Raw_Data!D4031,"")</f>
        <v>6867.74</v>
      </c>
      <c r="B4031" s="3" t="str">
        <f>IF(Raw_Data!J4031=1,Raw_Data!D4031,"")</f>
        <v/>
      </c>
    </row>
    <row r="4032" spans="1:2" x14ac:dyDescent="0.25">
      <c r="A4032" s="3">
        <f>IF(Raw_Data!J4032=0,Raw_Data!D4032,"")</f>
        <v>861.45</v>
      </c>
      <c r="B4032" s="3" t="str">
        <f>IF(Raw_Data!J4032=1,Raw_Data!D4032,"")</f>
        <v/>
      </c>
    </row>
    <row r="4033" spans="1:2" x14ac:dyDescent="0.25">
      <c r="A4033" s="3">
        <f>IF(Raw_Data!J4033=0,Raw_Data!D4033,"")</f>
        <v>3687.58</v>
      </c>
      <c r="B4033" s="3" t="str">
        <f>IF(Raw_Data!J4033=1,Raw_Data!D4033,"")</f>
        <v/>
      </c>
    </row>
    <row r="4034" spans="1:2" x14ac:dyDescent="0.25">
      <c r="A4034" s="3">
        <f>IF(Raw_Data!J4034=0,Raw_Data!D4034,"")</f>
        <v>1195.54</v>
      </c>
      <c r="B4034" s="3" t="str">
        <f>IF(Raw_Data!J4034=1,Raw_Data!D4034,"")</f>
        <v/>
      </c>
    </row>
    <row r="4035" spans="1:2" x14ac:dyDescent="0.25">
      <c r="A4035" s="3">
        <f>IF(Raw_Data!J4035=0,Raw_Data!D4035,"")</f>
        <v>2256.94</v>
      </c>
      <c r="B4035" s="3" t="str">
        <f>IF(Raw_Data!J4035=1,Raw_Data!D4035,"")</f>
        <v/>
      </c>
    </row>
    <row r="4036" spans="1:2" x14ac:dyDescent="0.25">
      <c r="A4036" s="3">
        <f>IF(Raw_Data!J4036=0,Raw_Data!D4036,"")</f>
        <v>2157.63</v>
      </c>
      <c r="B4036" s="3" t="str">
        <f>IF(Raw_Data!J4036=1,Raw_Data!D4036,"")</f>
        <v/>
      </c>
    </row>
    <row r="4037" spans="1:2" x14ac:dyDescent="0.25">
      <c r="A4037" s="3">
        <f>IF(Raw_Data!J4037=0,Raw_Data!D4037,"")</f>
        <v>2008.81</v>
      </c>
      <c r="B4037" s="3" t="str">
        <f>IF(Raw_Data!J4037=1,Raw_Data!D4037,"")</f>
        <v/>
      </c>
    </row>
    <row r="4038" spans="1:2" x14ac:dyDescent="0.25">
      <c r="A4038" s="3">
        <f>IF(Raw_Data!J4038=0,Raw_Data!D4038,"")</f>
        <v>362.76</v>
      </c>
      <c r="B4038" s="3" t="str">
        <f>IF(Raw_Data!J4038=1,Raw_Data!D4038,"")</f>
        <v/>
      </c>
    </row>
    <row r="4039" spans="1:2" x14ac:dyDescent="0.25">
      <c r="A4039" s="3" t="str">
        <f>IF(Raw_Data!J4039=0,Raw_Data!D4039,"")</f>
        <v/>
      </c>
      <c r="B4039" s="3">
        <f>IF(Raw_Data!J4039=1,Raw_Data!D4039,"")</f>
        <v>2332.0500000000002</v>
      </c>
    </row>
    <row r="4040" spans="1:2" x14ac:dyDescent="0.25">
      <c r="A4040" s="3" t="str">
        <f>IF(Raw_Data!J4040=0,Raw_Data!D4040,"")</f>
        <v/>
      </c>
      <c r="B4040" s="3">
        <f>IF(Raw_Data!J4040=1,Raw_Data!D4040,"")</f>
        <v>4683.05</v>
      </c>
    </row>
    <row r="4041" spans="1:2" x14ac:dyDescent="0.25">
      <c r="A4041" s="3" t="str">
        <f>IF(Raw_Data!J4041=0,Raw_Data!D4041,"")</f>
        <v/>
      </c>
      <c r="B4041" s="3">
        <f>IF(Raw_Data!J4041=1,Raw_Data!D4041,"")</f>
        <v>1074.98</v>
      </c>
    </row>
    <row r="4042" spans="1:2" x14ac:dyDescent="0.25">
      <c r="A4042" s="3">
        <f>IF(Raw_Data!J4042=0,Raw_Data!D4042,"")</f>
        <v>602.91999999999996</v>
      </c>
      <c r="B4042" s="3" t="str">
        <f>IF(Raw_Data!J4042=1,Raw_Data!D4042,"")</f>
        <v/>
      </c>
    </row>
    <row r="4043" spans="1:2" x14ac:dyDescent="0.25">
      <c r="A4043" s="3">
        <f>IF(Raw_Data!J4043=0,Raw_Data!D4043,"")</f>
        <v>1786.12</v>
      </c>
      <c r="B4043" s="3" t="str">
        <f>IF(Raw_Data!J4043=1,Raw_Data!D4043,"")</f>
        <v/>
      </c>
    </row>
    <row r="4044" spans="1:2" x14ac:dyDescent="0.25">
      <c r="A4044" s="3" t="str">
        <f>IF(Raw_Data!J4044=0,Raw_Data!D4044,"")</f>
        <v/>
      </c>
      <c r="B4044" s="3">
        <f>IF(Raw_Data!J4044=1,Raw_Data!D4044,"")</f>
        <v>702.05</v>
      </c>
    </row>
    <row r="4045" spans="1:2" x14ac:dyDescent="0.25">
      <c r="A4045" s="3">
        <f>IF(Raw_Data!J4045=0,Raw_Data!D4045,"")</f>
        <v>2561.54</v>
      </c>
      <c r="B4045" s="3" t="str">
        <f>IF(Raw_Data!J4045=1,Raw_Data!D4045,"")</f>
        <v/>
      </c>
    </row>
    <row r="4046" spans="1:2" x14ac:dyDescent="0.25">
      <c r="A4046" s="3" t="str">
        <f>IF(Raw_Data!J4046=0,Raw_Data!D4046,"")</f>
        <v/>
      </c>
      <c r="B4046" s="3">
        <f>IF(Raw_Data!J4046=1,Raw_Data!D4046,"")</f>
        <v>4861.6099999999997</v>
      </c>
    </row>
    <row r="4047" spans="1:2" x14ac:dyDescent="0.25">
      <c r="A4047" s="3">
        <f>IF(Raw_Data!J4047=0,Raw_Data!D4047,"")</f>
        <v>4781.3599999999997</v>
      </c>
      <c r="B4047" s="3" t="str">
        <f>IF(Raw_Data!J4047=1,Raw_Data!D4047,"")</f>
        <v/>
      </c>
    </row>
    <row r="4048" spans="1:2" x14ac:dyDescent="0.25">
      <c r="A4048" s="3">
        <f>IF(Raw_Data!J4048=0,Raw_Data!D4048,"")</f>
        <v>1407.9</v>
      </c>
      <c r="B4048" s="3" t="str">
        <f>IF(Raw_Data!J4048=1,Raw_Data!D4048,"")</f>
        <v/>
      </c>
    </row>
    <row r="4049" spans="1:2" x14ac:dyDescent="0.25">
      <c r="A4049" s="3">
        <f>IF(Raw_Data!J4049=0,Raw_Data!D4049,"")</f>
        <v>4470.8100000000004</v>
      </c>
      <c r="B4049" s="3" t="str">
        <f>IF(Raw_Data!J4049=1,Raw_Data!D4049,"")</f>
        <v/>
      </c>
    </row>
    <row r="4050" spans="1:2" x14ac:dyDescent="0.25">
      <c r="A4050" s="3">
        <f>IF(Raw_Data!J4050=0,Raw_Data!D4050,"")</f>
        <v>2566.6799999999998</v>
      </c>
      <c r="B4050" s="3" t="str">
        <f>IF(Raw_Data!J4050=1,Raw_Data!D4050,"")</f>
        <v/>
      </c>
    </row>
    <row r="4051" spans="1:2" x14ac:dyDescent="0.25">
      <c r="A4051" s="3">
        <f>IF(Raw_Data!J4051=0,Raw_Data!D4051,"")</f>
        <v>1712.75</v>
      </c>
      <c r="B4051" s="3" t="str">
        <f>IF(Raw_Data!J4051=1,Raw_Data!D4051,"")</f>
        <v/>
      </c>
    </row>
    <row r="4052" spans="1:2" x14ac:dyDescent="0.25">
      <c r="A4052" s="3" t="str">
        <f>IF(Raw_Data!J4052=0,Raw_Data!D4052,"")</f>
        <v/>
      </c>
      <c r="B4052" s="3">
        <f>IF(Raw_Data!J4052=1,Raw_Data!D4052,"")</f>
        <v>6415.34</v>
      </c>
    </row>
    <row r="4053" spans="1:2" x14ac:dyDescent="0.25">
      <c r="A4053" s="3" t="str">
        <f>IF(Raw_Data!J4053=0,Raw_Data!D4053,"")</f>
        <v/>
      </c>
      <c r="B4053" s="3">
        <f>IF(Raw_Data!J4053=1,Raw_Data!D4053,"")</f>
        <v>817.9</v>
      </c>
    </row>
    <row r="4054" spans="1:2" x14ac:dyDescent="0.25">
      <c r="A4054" s="3">
        <f>IF(Raw_Data!J4054=0,Raw_Data!D4054,"")</f>
        <v>4028.4</v>
      </c>
      <c r="B4054" s="3" t="str">
        <f>IF(Raw_Data!J4054=1,Raw_Data!D4054,"")</f>
        <v/>
      </c>
    </row>
    <row r="4055" spans="1:2" x14ac:dyDescent="0.25">
      <c r="A4055" s="3">
        <f>IF(Raw_Data!J4055=0,Raw_Data!D4055,"")</f>
        <v>2524.75</v>
      </c>
      <c r="B4055" s="3" t="str">
        <f>IF(Raw_Data!J4055=1,Raw_Data!D4055,"")</f>
        <v/>
      </c>
    </row>
    <row r="4056" spans="1:2" x14ac:dyDescent="0.25">
      <c r="A4056" s="3">
        <f>IF(Raw_Data!J4056=0,Raw_Data!D4056,"")</f>
        <v>8669.1</v>
      </c>
      <c r="B4056" s="3" t="str">
        <f>IF(Raw_Data!J4056=1,Raw_Data!D4056,"")</f>
        <v/>
      </c>
    </row>
    <row r="4057" spans="1:2" x14ac:dyDescent="0.25">
      <c r="A4057" s="3">
        <f>IF(Raw_Data!J4057=0,Raw_Data!D4057,"")</f>
        <v>3760.98</v>
      </c>
      <c r="B4057" s="3" t="str">
        <f>IF(Raw_Data!J4057=1,Raw_Data!D4057,"")</f>
        <v/>
      </c>
    </row>
    <row r="4058" spans="1:2" x14ac:dyDescent="0.25">
      <c r="A4058" s="3">
        <f>IF(Raw_Data!J4058=0,Raw_Data!D4058,"")</f>
        <v>2331.71</v>
      </c>
      <c r="B4058" s="3" t="str">
        <f>IF(Raw_Data!J4058=1,Raw_Data!D4058,"")</f>
        <v/>
      </c>
    </row>
    <row r="4059" spans="1:2" x14ac:dyDescent="0.25">
      <c r="A4059" s="3">
        <f>IF(Raw_Data!J4059=0,Raw_Data!D4059,"")</f>
        <v>1254.78</v>
      </c>
      <c r="B4059" s="3" t="str">
        <f>IF(Raw_Data!J4059=1,Raw_Data!D4059,"")</f>
        <v/>
      </c>
    </row>
    <row r="4060" spans="1:2" x14ac:dyDescent="0.25">
      <c r="A4060" s="3">
        <f>IF(Raw_Data!J4060=0,Raw_Data!D4060,"")</f>
        <v>4333.1499999999996</v>
      </c>
      <c r="B4060" s="3" t="str">
        <f>IF(Raw_Data!J4060=1,Raw_Data!D4060,"")</f>
        <v/>
      </c>
    </row>
    <row r="4061" spans="1:2" x14ac:dyDescent="0.25">
      <c r="A4061" s="3">
        <f>IF(Raw_Data!J4061=0,Raw_Data!D4061,"")</f>
        <v>2900.64</v>
      </c>
      <c r="B4061" s="3" t="str">
        <f>IF(Raw_Data!J4061=1,Raw_Data!D4061,"")</f>
        <v/>
      </c>
    </row>
    <row r="4062" spans="1:2" x14ac:dyDescent="0.25">
      <c r="A4062" s="3">
        <f>IF(Raw_Data!J4062=0,Raw_Data!D4062,"")</f>
        <v>2631.66</v>
      </c>
      <c r="B4062" s="3" t="str">
        <f>IF(Raw_Data!J4062=1,Raw_Data!D4062,"")</f>
        <v/>
      </c>
    </row>
    <row r="4063" spans="1:2" x14ac:dyDescent="0.25">
      <c r="A4063" s="3">
        <f>IF(Raw_Data!J4063=0,Raw_Data!D4063,"")</f>
        <v>2794.53</v>
      </c>
      <c r="B4063" s="3" t="str">
        <f>IF(Raw_Data!J4063=1,Raw_Data!D4063,"")</f>
        <v/>
      </c>
    </row>
    <row r="4064" spans="1:2" x14ac:dyDescent="0.25">
      <c r="A4064" s="3">
        <f>IF(Raw_Data!J4064=0,Raw_Data!D4064,"")</f>
        <v>5514.11</v>
      </c>
      <c r="B4064" s="3" t="str">
        <f>IF(Raw_Data!J4064=1,Raw_Data!D4064,"")</f>
        <v/>
      </c>
    </row>
    <row r="4065" spans="1:2" x14ac:dyDescent="0.25">
      <c r="A4065" s="3">
        <f>IF(Raw_Data!J4065=0,Raw_Data!D4065,"")</f>
        <v>1057.1600000000001</v>
      </c>
      <c r="B4065" s="3" t="str">
        <f>IF(Raw_Data!J4065=1,Raw_Data!D4065,"")</f>
        <v/>
      </c>
    </row>
    <row r="4066" spans="1:2" x14ac:dyDescent="0.25">
      <c r="A4066" s="3" t="str">
        <f>IF(Raw_Data!J4066=0,Raw_Data!D4066,"")</f>
        <v/>
      </c>
      <c r="B4066" s="3">
        <f>IF(Raw_Data!J4066=1,Raw_Data!D4066,"")</f>
        <v>1861.69</v>
      </c>
    </row>
    <row r="4067" spans="1:2" x14ac:dyDescent="0.25">
      <c r="A4067" s="3" t="str">
        <f>IF(Raw_Data!J4067=0,Raw_Data!D4067,"")</f>
        <v/>
      </c>
      <c r="B4067" s="3">
        <f>IF(Raw_Data!J4067=1,Raw_Data!D4067,"")</f>
        <v>1283.3599999999999</v>
      </c>
    </row>
    <row r="4068" spans="1:2" x14ac:dyDescent="0.25">
      <c r="A4068" s="3">
        <f>IF(Raw_Data!J4068=0,Raw_Data!D4068,"")</f>
        <v>934.82</v>
      </c>
      <c r="B4068" s="3" t="str">
        <f>IF(Raw_Data!J4068=1,Raw_Data!D4068,"")</f>
        <v/>
      </c>
    </row>
    <row r="4069" spans="1:2" x14ac:dyDescent="0.25">
      <c r="A4069" s="3">
        <f>IF(Raw_Data!J4069=0,Raw_Data!D4069,"")</f>
        <v>1900.1</v>
      </c>
      <c r="B4069" s="3" t="str">
        <f>IF(Raw_Data!J4069=1,Raw_Data!D4069,"")</f>
        <v/>
      </c>
    </row>
    <row r="4070" spans="1:2" x14ac:dyDescent="0.25">
      <c r="A4070" s="3">
        <f>IF(Raw_Data!J4070=0,Raw_Data!D4070,"")</f>
        <v>1610.52</v>
      </c>
      <c r="B4070" s="3" t="str">
        <f>IF(Raw_Data!J4070=1,Raw_Data!D4070,"")</f>
        <v/>
      </c>
    </row>
    <row r="4071" spans="1:2" x14ac:dyDescent="0.25">
      <c r="A4071" s="3">
        <f>IF(Raw_Data!J4071=0,Raw_Data!D4071,"")</f>
        <v>5339.3</v>
      </c>
      <c r="B4071" s="3" t="str">
        <f>IF(Raw_Data!J4071=1,Raw_Data!D4071,"")</f>
        <v/>
      </c>
    </row>
    <row r="4072" spans="1:2" x14ac:dyDescent="0.25">
      <c r="A4072" s="3">
        <f>IF(Raw_Data!J4072=0,Raw_Data!D4072,"")</f>
        <v>1485.27</v>
      </c>
      <c r="B4072" s="3" t="str">
        <f>IF(Raw_Data!J4072=1,Raw_Data!D4072,"")</f>
        <v/>
      </c>
    </row>
    <row r="4073" spans="1:2" x14ac:dyDescent="0.25">
      <c r="A4073" s="3">
        <f>IF(Raw_Data!J4073=0,Raw_Data!D4073,"")</f>
        <v>7026.7</v>
      </c>
      <c r="B4073" s="3" t="str">
        <f>IF(Raw_Data!J4073=1,Raw_Data!D4073,"")</f>
        <v/>
      </c>
    </row>
    <row r="4074" spans="1:2" x14ac:dyDescent="0.25">
      <c r="A4074" s="3">
        <f>IF(Raw_Data!J4074=0,Raw_Data!D4074,"")</f>
        <v>4071.55</v>
      </c>
      <c r="B4074" s="3" t="str">
        <f>IF(Raw_Data!J4074=1,Raw_Data!D4074,"")</f>
        <v/>
      </c>
    </row>
    <row r="4075" spans="1:2" x14ac:dyDescent="0.25">
      <c r="A4075" s="3">
        <f>IF(Raw_Data!J4075=0,Raw_Data!D4075,"")</f>
        <v>1452.94</v>
      </c>
      <c r="B4075" s="3" t="str">
        <f>IF(Raw_Data!J4075=1,Raw_Data!D4075,"")</f>
        <v/>
      </c>
    </row>
    <row r="4076" spans="1:2" x14ac:dyDescent="0.25">
      <c r="A4076" s="3">
        <f>IF(Raw_Data!J4076=0,Raw_Data!D4076,"")</f>
        <v>3562.15</v>
      </c>
      <c r="B4076" s="3" t="str">
        <f>IF(Raw_Data!J4076=1,Raw_Data!D4076,"")</f>
        <v/>
      </c>
    </row>
    <row r="4077" spans="1:2" x14ac:dyDescent="0.25">
      <c r="A4077" s="3" t="str">
        <f>IF(Raw_Data!J4077=0,Raw_Data!D4077,"")</f>
        <v/>
      </c>
      <c r="B4077" s="3">
        <f>IF(Raw_Data!J4077=1,Raw_Data!D4077,"")</f>
        <v>3502.69</v>
      </c>
    </row>
    <row r="4078" spans="1:2" x14ac:dyDescent="0.25">
      <c r="A4078" s="3">
        <f>IF(Raw_Data!J4078=0,Raw_Data!D4078,"")</f>
        <v>2119.5300000000002</v>
      </c>
      <c r="B4078" s="3" t="str">
        <f>IF(Raw_Data!J4078=1,Raw_Data!D4078,"")</f>
        <v/>
      </c>
    </row>
    <row r="4079" spans="1:2" x14ac:dyDescent="0.25">
      <c r="A4079" s="3">
        <f>IF(Raw_Data!J4079=0,Raw_Data!D4079,"")</f>
        <v>5874.96</v>
      </c>
      <c r="B4079" s="3" t="str">
        <f>IF(Raw_Data!J4079=1,Raw_Data!D4079,"")</f>
        <v/>
      </c>
    </row>
    <row r="4080" spans="1:2" x14ac:dyDescent="0.25">
      <c r="A4080" s="3">
        <f>IF(Raw_Data!J4080=0,Raw_Data!D4080,"")</f>
        <v>3651.69</v>
      </c>
      <c r="B4080" s="3" t="str">
        <f>IF(Raw_Data!J4080=1,Raw_Data!D4080,"")</f>
        <v/>
      </c>
    </row>
    <row r="4081" spans="1:2" x14ac:dyDescent="0.25">
      <c r="A4081" s="3" t="str">
        <f>IF(Raw_Data!J4081=0,Raw_Data!D4081,"")</f>
        <v/>
      </c>
      <c r="B4081" s="3">
        <f>IF(Raw_Data!J4081=1,Raw_Data!D4081,"")</f>
        <v>2120.4</v>
      </c>
    </row>
    <row r="4082" spans="1:2" x14ac:dyDescent="0.25">
      <c r="A4082" s="3">
        <f>IF(Raw_Data!J4082=0,Raw_Data!D4082,"")</f>
        <v>798.34</v>
      </c>
      <c r="B4082" s="3" t="str">
        <f>IF(Raw_Data!J4082=1,Raw_Data!D4082,"")</f>
        <v/>
      </c>
    </row>
    <row r="4083" spans="1:2" x14ac:dyDescent="0.25">
      <c r="A4083" s="3" t="str">
        <f>IF(Raw_Data!J4083=0,Raw_Data!D4083,"")</f>
        <v/>
      </c>
      <c r="B4083" s="3">
        <f>IF(Raw_Data!J4083=1,Raw_Data!D4083,"")</f>
        <v>2315.5700000000002</v>
      </c>
    </row>
    <row r="4084" spans="1:2" x14ac:dyDescent="0.25">
      <c r="A4084" s="3">
        <f>IF(Raw_Data!J4084=0,Raw_Data!D4084,"")</f>
        <v>1800.93</v>
      </c>
      <c r="B4084" s="3" t="str">
        <f>IF(Raw_Data!J4084=1,Raw_Data!D4084,"")</f>
        <v/>
      </c>
    </row>
    <row r="4085" spans="1:2" x14ac:dyDescent="0.25">
      <c r="A4085" s="3">
        <f>IF(Raw_Data!J4085=0,Raw_Data!D4085,"")</f>
        <v>5563.96</v>
      </c>
      <c r="B4085" s="3" t="str">
        <f>IF(Raw_Data!J4085=1,Raw_Data!D4085,"")</f>
        <v/>
      </c>
    </row>
    <row r="4086" spans="1:2" x14ac:dyDescent="0.25">
      <c r="A4086" s="3">
        <f>IF(Raw_Data!J4086=0,Raw_Data!D4086,"")</f>
        <v>5981</v>
      </c>
      <c r="B4086" s="3" t="str">
        <f>IF(Raw_Data!J4086=1,Raw_Data!D4086,"")</f>
        <v/>
      </c>
    </row>
    <row r="4087" spans="1:2" x14ac:dyDescent="0.25">
      <c r="A4087" s="3">
        <f>IF(Raw_Data!J4087=0,Raw_Data!D4087,"")</f>
        <v>1868.95</v>
      </c>
      <c r="B4087" s="3" t="str">
        <f>IF(Raw_Data!J4087=1,Raw_Data!D4087,"")</f>
        <v/>
      </c>
    </row>
    <row r="4088" spans="1:2" x14ac:dyDescent="0.25">
      <c r="A4088" s="3">
        <f>IF(Raw_Data!J4088=0,Raw_Data!D4088,"")</f>
        <v>857.67</v>
      </c>
      <c r="B4088" s="3" t="str">
        <f>IF(Raw_Data!J4088=1,Raw_Data!D4088,"")</f>
        <v/>
      </c>
    </row>
    <row r="4089" spans="1:2" x14ac:dyDescent="0.25">
      <c r="A4089" s="3">
        <f>IF(Raw_Data!J4089=0,Raw_Data!D4089,"")</f>
        <v>2133.69</v>
      </c>
      <c r="B4089" s="3" t="str">
        <f>IF(Raw_Data!J4089=1,Raw_Data!D4089,"")</f>
        <v/>
      </c>
    </row>
    <row r="4090" spans="1:2" x14ac:dyDescent="0.25">
      <c r="A4090" s="3" t="str">
        <f>IF(Raw_Data!J4090=0,Raw_Data!D4090,"")</f>
        <v/>
      </c>
      <c r="B4090" s="3">
        <f>IF(Raw_Data!J4090=1,Raw_Data!D4090,"")</f>
        <v>2198.23</v>
      </c>
    </row>
    <row r="4091" spans="1:2" x14ac:dyDescent="0.25">
      <c r="A4091" s="3">
        <f>IF(Raw_Data!J4091=0,Raw_Data!D4091,"")</f>
        <v>3222.75</v>
      </c>
      <c r="B4091" s="3" t="str">
        <f>IF(Raw_Data!J4091=1,Raw_Data!D4091,"")</f>
        <v/>
      </c>
    </row>
    <row r="4092" spans="1:2" x14ac:dyDescent="0.25">
      <c r="A4092" s="3">
        <f>IF(Raw_Data!J4092=0,Raw_Data!D4092,"")</f>
        <v>3443.33</v>
      </c>
      <c r="B4092" s="3" t="str">
        <f>IF(Raw_Data!J4092=1,Raw_Data!D4092,"")</f>
        <v/>
      </c>
    </row>
    <row r="4093" spans="1:2" x14ac:dyDescent="0.25">
      <c r="A4093" s="3" t="str">
        <f>IF(Raw_Data!J4093=0,Raw_Data!D4093,"")</f>
        <v/>
      </c>
      <c r="B4093" s="3">
        <f>IF(Raw_Data!J4093=1,Raw_Data!D4093,"")</f>
        <v>1060.67</v>
      </c>
    </row>
    <row r="4094" spans="1:2" x14ac:dyDescent="0.25">
      <c r="A4094" s="3">
        <f>IF(Raw_Data!J4094=0,Raw_Data!D4094,"")</f>
        <v>482.36</v>
      </c>
      <c r="B4094" s="3" t="str">
        <f>IF(Raw_Data!J4094=1,Raw_Data!D4094,"")</f>
        <v/>
      </c>
    </row>
    <row r="4095" spans="1:2" x14ac:dyDescent="0.25">
      <c r="A4095" s="3">
        <f>IF(Raw_Data!J4095=0,Raw_Data!D4095,"")</f>
        <v>3606.93</v>
      </c>
      <c r="B4095" s="3" t="str">
        <f>IF(Raw_Data!J4095=1,Raw_Data!D4095,"")</f>
        <v/>
      </c>
    </row>
    <row r="4096" spans="1:2" x14ac:dyDescent="0.25">
      <c r="A4096" s="3">
        <f>IF(Raw_Data!J4096=0,Raw_Data!D4096,"")</f>
        <v>4140.92</v>
      </c>
      <c r="B4096" s="3" t="str">
        <f>IF(Raw_Data!J4096=1,Raw_Data!D4096,"")</f>
        <v/>
      </c>
    </row>
    <row r="4097" spans="1:2" x14ac:dyDescent="0.25">
      <c r="A4097" s="3">
        <f>IF(Raw_Data!J4097=0,Raw_Data!D4097,"")</f>
        <v>3548.86</v>
      </c>
      <c r="B4097" s="3" t="str">
        <f>IF(Raw_Data!J4097=1,Raw_Data!D4097,"")</f>
        <v/>
      </c>
    </row>
    <row r="4098" spans="1:2" x14ac:dyDescent="0.25">
      <c r="A4098" s="3" t="str">
        <f>IF(Raw_Data!J4098=0,Raw_Data!D4098,"")</f>
        <v/>
      </c>
      <c r="B4098" s="3">
        <f>IF(Raw_Data!J4098=1,Raw_Data!D4098,"")</f>
        <v>1385.6</v>
      </c>
    </row>
    <row r="4099" spans="1:2" x14ac:dyDescent="0.25">
      <c r="A4099" s="3">
        <f>IF(Raw_Data!J4099=0,Raw_Data!D4099,"")</f>
        <v>4057.55</v>
      </c>
      <c r="B4099" s="3" t="str">
        <f>IF(Raw_Data!J4099=1,Raw_Data!D4099,"")</f>
        <v/>
      </c>
    </row>
    <row r="4100" spans="1:2" x14ac:dyDescent="0.25">
      <c r="A4100" s="3">
        <f>IF(Raw_Data!J4100=0,Raw_Data!D4100,"")</f>
        <v>358.07</v>
      </c>
      <c r="B4100" s="3" t="str">
        <f>IF(Raw_Data!J4100=1,Raw_Data!D4100,"")</f>
        <v/>
      </c>
    </row>
    <row r="4101" spans="1:2" x14ac:dyDescent="0.25">
      <c r="A4101" s="3">
        <f>IF(Raw_Data!J4101=0,Raw_Data!D4101,"")</f>
        <v>5913.26</v>
      </c>
      <c r="B4101" s="3" t="str">
        <f>IF(Raw_Data!J4101=1,Raw_Data!D4101,"")</f>
        <v/>
      </c>
    </row>
    <row r="4102" spans="1:2" x14ac:dyDescent="0.25">
      <c r="A4102" s="3">
        <f>IF(Raw_Data!J4102=0,Raw_Data!D4102,"")</f>
        <v>838.54</v>
      </c>
      <c r="B4102" s="3" t="str">
        <f>IF(Raw_Data!J4102=1,Raw_Data!D4102,"")</f>
        <v/>
      </c>
    </row>
    <row r="4103" spans="1:2" x14ac:dyDescent="0.25">
      <c r="A4103" s="3">
        <f>IF(Raw_Data!J4103=0,Raw_Data!D4103,"")</f>
        <v>6139.42</v>
      </c>
      <c r="B4103" s="3" t="str">
        <f>IF(Raw_Data!J4103=1,Raw_Data!D4103,"")</f>
        <v/>
      </c>
    </row>
    <row r="4104" spans="1:2" x14ac:dyDescent="0.25">
      <c r="A4104" s="3">
        <f>IF(Raw_Data!J4104=0,Raw_Data!D4104,"")</f>
        <v>3781.88</v>
      </c>
      <c r="B4104" s="3" t="str">
        <f>IF(Raw_Data!J4104=1,Raw_Data!D4104,"")</f>
        <v/>
      </c>
    </row>
    <row r="4105" spans="1:2" x14ac:dyDescent="0.25">
      <c r="A4105" s="3">
        <f>IF(Raw_Data!J4105=0,Raw_Data!D4105,"")</f>
        <v>459.38</v>
      </c>
      <c r="B4105" s="3" t="str">
        <f>IF(Raw_Data!J4105=1,Raw_Data!D4105,"")</f>
        <v/>
      </c>
    </row>
    <row r="4106" spans="1:2" x14ac:dyDescent="0.25">
      <c r="A4106" s="3">
        <f>IF(Raw_Data!J4106=0,Raw_Data!D4106,"")</f>
        <v>1649</v>
      </c>
      <c r="B4106" s="3" t="str">
        <f>IF(Raw_Data!J4106=1,Raw_Data!D4106,"")</f>
        <v/>
      </c>
    </row>
    <row r="4107" spans="1:2" x14ac:dyDescent="0.25">
      <c r="A4107" s="3" t="str">
        <f>IF(Raw_Data!J4107=0,Raw_Data!D4107,"")</f>
        <v/>
      </c>
      <c r="B4107" s="3">
        <f>IF(Raw_Data!J4107=1,Raw_Data!D4107,"")</f>
        <v>2958.23</v>
      </c>
    </row>
    <row r="4108" spans="1:2" x14ac:dyDescent="0.25">
      <c r="A4108" s="3" t="str">
        <f>IF(Raw_Data!J4108=0,Raw_Data!D4108,"")</f>
        <v/>
      </c>
      <c r="B4108" s="3">
        <f>IF(Raw_Data!J4108=1,Raw_Data!D4108,"")</f>
        <v>1639.71</v>
      </c>
    </row>
    <row r="4109" spans="1:2" x14ac:dyDescent="0.25">
      <c r="A4109" s="3">
        <f>IF(Raw_Data!J4109=0,Raw_Data!D4109,"")</f>
        <v>2298.92</v>
      </c>
      <c r="B4109" s="3" t="str">
        <f>IF(Raw_Data!J4109=1,Raw_Data!D4109,"")</f>
        <v/>
      </c>
    </row>
    <row r="4110" spans="1:2" x14ac:dyDescent="0.25">
      <c r="A4110" s="3">
        <f>IF(Raw_Data!J4110=0,Raw_Data!D4110,"")</f>
        <v>2125.2600000000002</v>
      </c>
      <c r="B4110" s="3" t="str">
        <f>IF(Raw_Data!J4110=1,Raw_Data!D4110,"")</f>
        <v/>
      </c>
    </row>
    <row r="4111" spans="1:2" x14ac:dyDescent="0.25">
      <c r="A4111" s="3">
        <f>IF(Raw_Data!J4111=0,Raw_Data!D4111,"")</f>
        <v>1158.07</v>
      </c>
      <c r="B4111" s="3" t="str">
        <f>IF(Raw_Data!J4111=1,Raw_Data!D4111,"")</f>
        <v/>
      </c>
    </row>
    <row r="4112" spans="1:2" x14ac:dyDescent="0.25">
      <c r="A4112" s="3">
        <f>IF(Raw_Data!J4112=0,Raw_Data!D4112,"")</f>
        <v>1555.39</v>
      </c>
      <c r="B4112" s="3" t="str">
        <f>IF(Raw_Data!J4112=1,Raw_Data!D4112,"")</f>
        <v/>
      </c>
    </row>
    <row r="4113" spans="1:2" x14ac:dyDescent="0.25">
      <c r="A4113" s="3" t="str">
        <f>IF(Raw_Data!J4113=0,Raw_Data!D4113,"")</f>
        <v/>
      </c>
      <c r="B4113" s="3">
        <f>IF(Raw_Data!J4113=1,Raw_Data!D4113,"")</f>
        <v>2803.71</v>
      </c>
    </row>
    <row r="4114" spans="1:2" x14ac:dyDescent="0.25">
      <c r="A4114" s="3">
        <f>IF(Raw_Data!J4114=0,Raw_Data!D4114,"")</f>
        <v>2887.77</v>
      </c>
      <c r="B4114" s="3" t="str">
        <f>IF(Raw_Data!J4114=1,Raw_Data!D4114,"")</f>
        <v/>
      </c>
    </row>
    <row r="4115" spans="1:2" x14ac:dyDescent="0.25">
      <c r="A4115" s="3" t="str">
        <f>IF(Raw_Data!J4115=0,Raw_Data!D4115,"")</f>
        <v/>
      </c>
      <c r="B4115" s="3">
        <f>IF(Raw_Data!J4115=1,Raw_Data!D4115,"")</f>
        <v>2696.74</v>
      </c>
    </row>
    <row r="4116" spans="1:2" x14ac:dyDescent="0.25">
      <c r="A4116" s="3" t="str">
        <f>IF(Raw_Data!J4116=0,Raw_Data!D4116,"")</f>
        <v/>
      </c>
      <c r="B4116" s="3">
        <f>IF(Raw_Data!J4116=1,Raw_Data!D4116,"")</f>
        <v>5959.71</v>
      </c>
    </row>
    <row r="4117" spans="1:2" x14ac:dyDescent="0.25">
      <c r="A4117" s="3" t="str">
        <f>IF(Raw_Data!J4117=0,Raw_Data!D4117,"")</f>
        <v/>
      </c>
      <c r="B4117" s="3">
        <f>IF(Raw_Data!J4117=1,Raw_Data!D4117,"")</f>
        <v>3364.54</v>
      </c>
    </row>
    <row r="4118" spans="1:2" x14ac:dyDescent="0.25">
      <c r="A4118" s="3">
        <f>IF(Raw_Data!J4118=0,Raw_Data!D4118,"")</f>
        <v>681.48</v>
      </c>
      <c r="B4118" s="3" t="str">
        <f>IF(Raw_Data!J4118=1,Raw_Data!D4118,"")</f>
        <v/>
      </c>
    </row>
    <row r="4119" spans="1:2" x14ac:dyDescent="0.25">
      <c r="A4119" s="3">
        <f>IF(Raw_Data!J4119=0,Raw_Data!D4119,"")</f>
        <v>83.16</v>
      </c>
      <c r="B4119" s="3" t="str">
        <f>IF(Raw_Data!J4119=1,Raw_Data!D4119,"")</f>
        <v/>
      </c>
    </row>
    <row r="4120" spans="1:2" x14ac:dyDescent="0.25">
      <c r="A4120" s="3">
        <f>IF(Raw_Data!J4120=0,Raw_Data!D4120,"")</f>
        <v>1972.86</v>
      </c>
      <c r="B4120" s="3" t="str">
        <f>IF(Raw_Data!J4120=1,Raw_Data!D4120,"")</f>
        <v/>
      </c>
    </row>
    <row r="4121" spans="1:2" x14ac:dyDescent="0.25">
      <c r="A4121" s="3">
        <f>IF(Raw_Data!J4121=0,Raw_Data!D4121,"")</f>
        <v>3544.12</v>
      </c>
      <c r="B4121" s="3" t="str">
        <f>IF(Raw_Data!J4121=1,Raw_Data!D4121,"")</f>
        <v/>
      </c>
    </row>
    <row r="4122" spans="1:2" x14ac:dyDescent="0.25">
      <c r="A4122" s="3">
        <f>IF(Raw_Data!J4122=0,Raw_Data!D4122,"")</f>
        <v>3940.36</v>
      </c>
      <c r="B4122" s="3" t="str">
        <f>IF(Raw_Data!J4122=1,Raw_Data!D4122,"")</f>
        <v/>
      </c>
    </row>
    <row r="4123" spans="1:2" x14ac:dyDescent="0.25">
      <c r="A4123" s="3">
        <f>IF(Raw_Data!J4123=0,Raw_Data!D4123,"")</f>
        <v>950.74</v>
      </c>
      <c r="B4123" s="3" t="str">
        <f>IF(Raw_Data!J4123=1,Raw_Data!D4123,"")</f>
        <v/>
      </c>
    </row>
    <row r="4124" spans="1:2" x14ac:dyDescent="0.25">
      <c r="A4124" s="3">
        <f>IF(Raw_Data!J4124=0,Raw_Data!D4124,"")</f>
        <v>1433.34</v>
      </c>
      <c r="B4124" s="3" t="str">
        <f>IF(Raw_Data!J4124=1,Raw_Data!D4124,"")</f>
        <v/>
      </c>
    </row>
    <row r="4125" spans="1:2" x14ac:dyDescent="0.25">
      <c r="A4125" s="3">
        <f>IF(Raw_Data!J4125=0,Raw_Data!D4125,"")</f>
        <v>4116.24</v>
      </c>
      <c r="B4125" s="3" t="str">
        <f>IF(Raw_Data!J4125=1,Raw_Data!D4125,"")</f>
        <v/>
      </c>
    </row>
    <row r="4126" spans="1:2" x14ac:dyDescent="0.25">
      <c r="A4126" s="3">
        <f>IF(Raw_Data!J4126=0,Raw_Data!D4126,"")</f>
        <v>2725.96</v>
      </c>
      <c r="B4126" s="3" t="str">
        <f>IF(Raw_Data!J4126=1,Raw_Data!D4126,"")</f>
        <v/>
      </c>
    </row>
    <row r="4127" spans="1:2" x14ac:dyDescent="0.25">
      <c r="A4127" s="3">
        <f>IF(Raw_Data!J4127=0,Raw_Data!D4127,"")</f>
        <v>1997.77</v>
      </c>
      <c r="B4127" s="3" t="str">
        <f>IF(Raw_Data!J4127=1,Raw_Data!D4127,"")</f>
        <v/>
      </c>
    </row>
    <row r="4128" spans="1:2" x14ac:dyDescent="0.25">
      <c r="A4128" s="3">
        <f>IF(Raw_Data!J4128=0,Raw_Data!D4128,"")</f>
        <v>148.91</v>
      </c>
      <c r="B4128" s="3" t="str">
        <f>IF(Raw_Data!J4128=1,Raw_Data!D4128,"")</f>
        <v/>
      </c>
    </row>
    <row r="4129" spans="1:2" x14ac:dyDescent="0.25">
      <c r="A4129" s="3">
        <f>IF(Raw_Data!J4129=0,Raw_Data!D4129,"")</f>
        <v>2205.2600000000002</v>
      </c>
      <c r="B4129" s="3" t="str">
        <f>IF(Raw_Data!J4129=1,Raw_Data!D4129,"")</f>
        <v/>
      </c>
    </row>
    <row r="4130" spans="1:2" x14ac:dyDescent="0.25">
      <c r="A4130" s="3">
        <f>IF(Raw_Data!J4130=0,Raw_Data!D4130,"")</f>
        <v>642.38</v>
      </c>
      <c r="B4130" s="3" t="str">
        <f>IF(Raw_Data!J4130=1,Raw_Data!D4130,"")</f>
        <v/>
      </c>
    </row>
    <row r="4131" spans="1:2" x14ac:dyDescent="0.25">
      <c r="A4131" s="3">
        <f>IF(Raw_Data!J4131=0,Raw_Data!D4131,"")</f>
        <v>1526.69</v>
      </c>
      <c r="B4131" s="3" t="str">
        <f>IF(Raw_Data!J4131=1,Raw_Data!D4131,"")</f>
        <v/>
      </c>
    </row>
    <row r="4132" spans="1:2" x14ac:dyDescent="0.25">
      <c r="A4132" s="3" t="str">
        <f>IF(Raw_Data!J4132=0,Raw_Data!D4132,"")</f>
        <v/>
      </c>
      <c r="B4132" s="3">
        <f>IF(Raw_Data!J4132=1,Raw_Data!D4132,"")</f>
        <v>1815.44</v>
      </c>
    </row>
    <row r="4133" spans="1:2" x14ac:dyDescent="0.25">
      <c r="A4133" s="3">
        <f>IF(Raw_Data!J4133=0,Raw_Data!D4133,"")</f>
        <v>1020.73</v>
      </c>
      <c r="B4133" s="3" t="str">
        <f>IF(Raw_Data!J4133=1,Raw_Data!D4133,"")</f>
        <v/>
      </c>
    </row>
    <row r="4134" spans="1:2" x14ac:dyDescent="0.25">
      <c r="A4134" s="3">
        <f>IF(Raw_Data!J4134=0,Raw_Data!D4134,"")</f>
        <v>2700.61</v>
      </c>
      <c r="B4134" s="3" t="str">
        <f>IF(Raw_Data!J4134=1,Raw_Data!D4134,"")</f>
        <v/>
      </c>
    </row>
    <row r="4135" spans="1:2" x14ac:dyDescent="0.25">
      <c r="A4135" s="3">
        <f>IF(Raw_Data!J4135=0,Raw_Data!D4135,"")</f>
        <v>2097.14</v>
      </c>
      <c r="B4135" s="3" t="str">
        <f>IF(Raw_Data!J4135=1,Raw_Data!D4135,"")</f>
        <v/>
      </c>
    </row>
    <row r="4136" spans="1:2" x14ac:dyDescent="0.25">
      <c r="A4136" s="3">
        <f>IF(Raw_Data!J4136=0,Raw_Data!D4136,"")</f>
        <v>5988.56</v>
      </c>
      <c r="B4136" s="3" t="str">
        <f>IF(Raw_Data!J4136=1,Raw_Data!D4136,"")</f>
        <v/>
      </c>
    </row>
    <row r="4137" spans="1:2" x14ac:dyDescent="0.25">
      <c r="A4137" s="3">
        <f>IF(Raw_Data!J4137=0,Raw_Data!D4137,"")</f>
        <v>3039.77</v>
      </c>
      <c r="B4137" s="3" t="str">
        <f>IF(Raw_Data!J4137=1,Raw_Data!D4137,"")</f>
        <v/>
      </c>
    </row>
    <row r="4138" spans="1:2" x14ac:dyDescent="0.25">
      <c r="A4138" s="3">
        <f>IF(Raw_Data!J4138=0,Raw_Data!D4138,"")</f>
        <v>3606.91</v>
      </c>
      <c r="B4138" s="3" t="str">
        <f>IF(Raw_Data!J4138=1,Raw_Data!D4138,"")</f>
        <v/>
      </c>
    </row>
    <row r="4139" spans="1:2" x14ac:dyDescent="0.25">
      <c r="A4139" s="3">
        <f>IF(Raw_Data!J4139=0,Raw_Data!D4139,"")</f>
        <v>3552.73</v>
      </c>
      <c r="B4139" s="3" t="str">
        <f>IF(Raw_Data!J4139=1,Raw_Data!D4139,"")</f>
        <v/>
      </c>
    </row>
    <row r="4140" spans="1:2" x14ac:dyDescent="0.25">
      <c r="A4140" s="3">
        <f>IF(Raw_Data!J4140=0,Raw_Data!D4140,"")</f>
        <v>700.96</v>
      </c>
      <c r="B4140" s="3" t="str">
        <f>IF(Raw_Data!J4140=1,Raw_Data!D4140,"")</f>
        <v/>
      </c>
    </row>
    <row r="4141" spans="1:2" x14ac:dyDescent="0.25">
      <c r="A4141" s="3">
        <f>IF(Raw_Data!J4141=0,Raw_Data!D4141,"")</f>
        <v>5071.2</v>
      </c>
      <c r="B4141" s="3" t="str">
        <f>IF(Raw_Data!J4141=1,Raw_Data!D4141,"")</f>
        <v/>
      </c>
    </row>
    <row r="4142" spans="1:2" x14ac:dyDescent="0.25">
      <c r="A4142" s="3">
        <f>IF(Raw_Data!J4142=0,Raw_Data!D4142,"")</f>
        <v>3856.88</v>
      </c>
      <c r="B4142" s="3" t="str">
        <f>IF(Raw_Data!J4142=1,Raw_Data!D4142,"")</f>
        <v/>
      </c>
    </row>
    <row r="4143" spans="1:2" x14ac:dyDescent="0.25">
      <c r="A4143" s="3">
        <f>IF(Raw_Data!J4143=0,Raw_Data!D4143,"")</f>
        <v>668.36</v>
      </c>
      <c r="B4143" s="3" t="str">
        <f>IF(Raw_Data!J4143=1,Raw_Data!D4143,"")</f>
        <v/>
      </c>
    </row>
    <row r="4144" spans="1:2" x14ac:dyDescent="0.25">
      <c r="A4144" s="3">
        <f>IF(Raw_Data!J4144=0,Raw_Data!D4144,"")</f>
        <v>670.08</v>
      </c>
      <c r="B4144" s="3" t="str">
        <f>IF(Raw_Data!J4144=1,Raw_Data!D4144,"")</f>
        <v/>
      </c>
    </row>
    <row r="4145" spans="1:2" x14ac:dyDescent="0.25">
      <c r="A4145" s="3">
        <f>IF(Raw_Data!J4145=0,Raw_Data!D4145,"")</f>
        <v>5731.79</v>
      </c>
      <c r="B4145" s="3" t="str">
        <f>IF(Raw_Data!J4145=1,Raw_Data!D4145,"")</f>
        <v/>
      </c>
    </row>
    <row r="4146" spans="1:2" x14ac:dyDescent="0.25">
      <c r="A4146" s="3">
        <f>IF(Raw_Data!J4146=0,Raw_Data!D4146,"")</f>
        <v>3752.64</v>
      </c>
      <c r="B4146" s="3" t="str">
        <f>IF(Raw_Data!J4146=1,Raw_Data!D4146,"")</f>
        <v/>
      </c>
    </row>
    <row r="4147" spans="1:2" x14ac:dyDescent="0.25">
      <c r="A4147" s="3">
        <f>IF(Raw_Data!J4147=0,Raw_Data!D4147,"")</f>
        <v>2051.21</v>
      </c>
      <c r="B4147" s="3" t="str">
        <f>IF(Raw_Data!J4147=1,Raw_Data!D4147,"")</f>
        <v/>
      </c>
    </row>
    <row r="4148" spans="1:2" x14ac:dyDescent="0.25">
      <c r="A4148" s="3">
        <f>IF(Raw_Data!J4148=0,Raw_Data!D4148,"")</f>
        <v>3198.2</v>
      </c>
      <c r="B4148" s="3" t="str">
        <f>IF(Raw_Data!J4148=1,Raw_Data!D4148,"")</f>
        <v/>
      </c>
    </row>
    <row r="4149" spans="1:2" x14ac:dyDescent="0.25">
      <c r="A4149" s="3">
        <f>IF(Raw_Data!J4149=0,Raw_Data!D4149,"")</f>
        <v>1473.42</v>
      </c>
      <c r="B4149" s="3" t="str">
        <f>IF(Raw_Data!J4149=1,Raw_Data!D4149,"")</f>
        <v/>
      </c>
    </row>
    <row r="4150" spans="1:2" x14ac:dyDescent="0.25">
      <c r="A4150" s="3">
        <f>IF(Raw_Data!J4150=0,Raw_Data!D4150,"")</f>
        <v>3384.55</v>
      </c>
      <c r="B4150" s="3" t="str">
        <f>IF(Raw_Data!J4150=1,Raw_Data!D4150,"")</f>
        <v/>
      </c>
    </row>
    <row r="4151" spans="1:2" x14ac:dyDescent="0.25">
      <c r="A4151" s="3">
        <f>IF(Raw_Data!J4151=0,Raw_Data!D4151,"")</f>
        <v>980.52</v>
      </c>
      <c r="B4151" s="3" t="str">
        <f>IF(Raw_Data!J4151=1,Raw_Data!D4151,"")</f>
        <v/>
      </c>
    </row>
    <row r="4152" spans="1:2" x14ac:dyDescent="0.25">
      <c r="A4152" s="3">
        <f>IF(Raw_Data!J4152=0,Raw_Data!D4152,"")</f>
        <v>2052.14</v>
      </c>
      <c r="B4152" s="3" t="str">
        <f>IF(Raw_Data!J4152=1,Raw_Data!D4152,"")</f>
        <v/>
      </c>
    </row>
    <row r="4153" spans="1:2" x14ac:dyDescent="0.25">
      <c r="A4153" s="3">
        <f>IF(Raw_Data!J4153=0,Raw_Data!D4153,"")</f>
        <v>480.3</v>
      </c>
      <c r="B4153" s="3" t="str">
        <f>IF(Raw_Data!J4153=1,Raw_Data!D4153,"")</f>
        <v/>
      </c>
    </row>
    <row r="4154" spans="1:2" x14ac:dyDescent="0.25">
      <c r="A4154" s="3">
        <f>IF(Raw_Data!J4154=0,Raw_Data!D4154,"")</f>
        <v>422.97</v>
      </c>
      <c r="B4154" s="3" t="str">
        <f>IF(Raw_Data!J4154=1,Raw_Data!D4154,"")</f>
        <v/>
      </c>
    </row>
    <row r="4155" spans="1:2" x14ac:dyDescent="0.25">
      <c r="A4155" s="3">
        <f>IF(Raw_Data!J4155=0,Raw_Data!D4155,"")</f>
        <v>2004.1</v>
      </c>
      <c r="B4155" s="3" t="str">
        <f>IF(Raw_Data!J4155=1,Raw_Data!D4155,"")</f>
        <v/>
      </c>
    </row>
    <row r="4156" spans="1:2" x14ac:dyDescent="0.25">
      <c r="A4156" s="3" t="str">
        <f>IF(Raw_Data!J4156=0,Raw_Data!D4156,"")</f>
        <v/>
      </c>
      <c r="B4156" s="3">
        <f>IF(Raw_Data!J4156=1,Raw_Data!D4156,"")</f>
        <v>2029.2</v>
      </c>
    </row>
    <row r="4157" spans="1:2" x14ac:dyDescent="0.25">
      <c r="A4157" s="3">
        <f>IF(Raw_Data!J4157=0,Raw_Data!D4157,"")</f>
        <v>1125.83</v>
      </c>
      <c r="B4157" s="3" t="str">
        <f>IF(Raw_Data!J4157=1,Raw_Data!D4157,"")</f>
        <v/>
      </c>
    </row>
    <row r="4158" spans="1:2" x14ac:dyDescent="0.25">
      <c r="A4158" s="3">
        <f>IF(Raw_Data!J4158=0,Raw_Data!D4158,"")</f>
        <v>3608.37</v>
      </c>
      <c r="B4158" s="3" t="str">
        <f>IF(Raw_Data!J4158=1,Raw_Data!D4158,"")</f>
        <v/>
      </c>
    </row>
    <row r="4159" spans="1:2" x14ac:dyDescent="0.25">
      <c r="A4159" s="3">
        <f>IF(Raw_Data!J4159=0,Raw_Data!D4159,"")</f>
        <v>1078.82</v>
      </c>
      <c r="B4159" s="3" t="str">
        <f>IF(Raw_Data!J4159=1,Raw_Data!D4159,"")</f>
        <v/>
      </c>
    </row>
    <row r="4160" spans="1:2" x14ac:dyDescent="0.25">
      <c r="A4160" s="3">
        <f>IF(Raw_Data!J4160=0,Raw_Data!D4160,"")</f>
        <v>4803.41</v>
      </c>
      <c r="B4160" s="3" t="str">
        <f>IF(Raw_Data!J4160=1,Raw_Data!D4160,"")</f>
        <v/>
      </c>
    </row>
    <row r="4161" spans="1:2" x14ac:dyDescent="0.25">
      <c r="A4161" s="3">
        <f>IF(Raw_Data!J4161=0,Raw_Data!D4161,"")</f>
        <v>2593.9899999999998</v>
      </c>
      <c r="B4161" s="3" t="str">
        <f>IF(Raw_Data!J4161=1,Raw_Data!D4161,"")</f>
        <v/>
      </c>
    </row>
    <row r="4162" spans="1:2" x14ac:dyDescent="0.25">
      <c r="A4162" s="3">
        <f>IF(Raw_Data!J4162=0,Raw_Data!D4162,"")</f>
        <v>3129.57</v>
      </c>
      <c r="B4162" s="3" t="str">
        <f>IF(Raw_Data!J4162=1,Raw_Data!D4162,"")</f>
        <v/>
      </c>
    </row>
    <row r="4163" spans="1:2" x14ac:dyDescent="0.25">
      <c r="A4163" s="3">
        <f>IF(Raw_Data!J4163=0,Raw_Data!D4163,"")</f>
        <v>1235.49</v>
      </c>
      <c r="B4163" s="3" t="str">
        <f>IF(Raw_Data!J4163=1,Raw_Data!D4163,"")</f>
        <v/>
      </c>
    </row>
    <row r="4164" spans="1:2" x14ac:dyDescent="0.25">
      <c r="A4164" s="3">
        <f>IF(Raw_Data!J4164=0,Raw_Data!D4164,"")</f>
        <v>6222.55</v>
      </c>
      <c r="B4164" s="3" t="str">
        <f>IF(Raw_Data!J4164=1,Raw_Data!D4164,"")</f>
        <v/>
      </c>
    </row>
    <row r="4165" spans="1:2" x14ac:dyDescent="0.25">
      <c r="A4165" s="3">
        <f>IF(Raw_Data!J4165=0,Raw_Data!D4165,"")</f>
        <v>1614.28</v>
      </c>
      <c r="B4165" s="3" t="str">
        <f>IF(Raw_Data!J4165=1,Raw_Data!D4165,"")</f>
        <v/>
      </c>
    </row>
    <row r="4166" spans="1:2" x14ac:dyDescent="0.25">
      <c r="A4166" s="3">
        <f>IF(Raw_Data!J4166=0,Raw_Data!D4166,"")</f>
        <v>631.16999999999996</v>
      </c>
      <c r="B4166" s="3" t="str">
        <f>IF(Raw_Data!J4166=1,Raw_Data!D4166,"")</f>
        <v/>
      </c>
    </row>
    <row r="4167" spans="1:2" x14ac:dyDescent="0.25">
      <c r="A4167" s="3">
        <f>IF(Raw_Data!J4167=0,Raw_Data!D4167,"")</f>
        <v>1278.6400000000001</v>
      </c>
      <c r="B4167" s="3" t="str">
        <f>IF(Raw_Data!J4167=1,Raw_Data!D4167,"")</f>
        <v/>
      </c>
    </row>
    <row r="4168" spans="1:2" x14ac:dyDescent="0.25">
      <c r="A4168" s="3">
        <f>IF(Raw_Data!J4168=0,Raw_Data!D4168,"")</f>
        <v>5024.22</v>
      </c>
      <c r="B4168" s="3" t="str">
        <f>IF(Raw_Data!J4168=1,Raw_Data!D4168,"")</f>
        <v/>
      </c>
    </row>
    <row r="4169" spans="1:2" x14ac:dyDescent="0.25">
      <c r="A4169" s="3">
        <f>IF(Raw_Data!J4169=0,Raw_Data!D4169,"")</f>
        <v>1808.43</v>
      </c>
      <c r="B4169" s="3" t="str">
        <f>IF(Raw_Data!J4169=1,Raw_Data!D4169,"")</f>
        <v/>
      </c>
    </row>
    <row r="4170" spans="1:2" x14ac:dyDescent="0.25">
      <c r="A4170" s="3" t="str">
        <f>IF(Raw_Data!J4170=0,Raw_Data!D4170,"")</f>
        <v/>
      </c>
      <c r="B4170" s="3">
        <f>IF(Raw_Data!J4170=1,Raw_Data!D4170,"")</f>
        <v>760.44</v>
      </c>
    </row>
    <row r="4171" spans="1:2" x14ac:dyDescent="0.25">
      <c r="A4171" s="3" t="str">
        <f>IF(Raw_Data!J4171=0,Raw_Data!D4171,"")</f>
        <v/>
      </c>
      <c r="B4171" s="3">
        <f>IF(Raw_Data!J4171=1,Raw_Data!D4171,"")</f>
        <v>2929.82</v>
      </c>
    </row>
    <row r="4172" spans="1:2" x14ac:dyDescent="0.25">
      <c r="A4172" s="3">
        <f>IF(Raw_Data!J4172=0,Raw_Data!D4172,"")</f>
        <v>1079.5</v>
      </c>
      <c r="B4172" s="3" t="str">
        <f>IF(Raw_Data!J4172=1,Raw_Data!D4172,"")</f>
        <v/>
      </c>
    </row>
    <row r="4173" spans="1:2" x14ac:dyDescent="0.25">
      <c r="A4173" s="3">
        <f>IF(Raw_Data!J4173=0,Raw_Data!D4173,"")</f>
        <v>5458.55</v>
      </c>
      <c r="B4173" s="3" t="str">
        <f>IF(Raw_Data!J4173=1,Raw_Data!D4173,"")</f>
        <v/>
      </c>
    </row>
    <row r="4174" spans="1:2" x14ac:dyDescent="0.25">
      <c r="A4174" s="3">
        <f>IF(Raw_Data!J4174=0,Raw_Data!D4174,"")</f>
        <v>4397.0200000000004</v>
      </c>
      <c r="B4174" s="3" t="str">
        <f>IF(Raw_Data!J4174=1,Raw_Data!D4174,"")</f>
        <v/>
      </c>
    </row>
    <row r="4175" spans="1:2" x14ac:dyDescent="0.25">
      <c r="A4175" s="3">
        <f>IF(Raw_Data!J4175=0,Raw_Data!D4175,"")</f>
        <v>2458.25</v>
      </c>
      <c r="B4175" s="3" t="str">
        <f>IF(Raw_Data!J4175=1,Raw_Data!D4175,"")</f>
        <v/>
      </c>
    </row>
    <row r="4176" spans="1:2" x14ac:dyDescent="0.25">
      <c r="A4176" s="3">
        <f>IF(Raw_Data!J4176=0,Raw_Data!D4176,"")</f>
        <v>1016.38</v>
      </c>
      <c r="B4176" s="3" t="str">
        <f>IF(Raw_Data!J4176=1,Raw_Data!D4176,"")</f>
        <v/>
      </c>
    </row>
    <row r="4177" spans="1:2" x14ac:dyDescent="0.25">
      <c r="A4177" s="3">
        <f>IF(Raw_Data!J4177=0,Raw_Data!D4177,"")</f>
        <v>1500.53</v>
      </c>
      <c r="B4177" s="3" t="str">
        <f>IF(Raw_Data!J4177=1,Raw_Data!D4177,"")</f>
        <v/>
      </c>
    </row>
    <row r="4178" spans="1:2" x14ac:dyDescent="0.25">
      <c r="A4178" s="3">
        <f>IF(Raw_Data!J4178=0,Raw_Data!D4178,"")</f>
        <v>460.57</v>
      </c>
      <c r="B4178" s="3" t="str">
        <f>IF(Raw_Data!J4178=1,Raw_Data!D4178,"")</f>
        <v/>
      </c>
    </row>
    <row r="4179" spans="1:2" x14ac:dyDescent="0.25">
      <c r="A4179" s="3" t="str">
        <f>IF(Raw_Data!J4179=0,Raw_Data!D4179,"")</f>
        <v/>
      </c>
      <c r="B4179" s="3">
        <f>IF(Raw_Data!J4179=1,Raw_Data!D4179,"")</f>
        <v>2460.63</v>
      </c>
    </row>
    <row r="4180" spans="1:2" x14ac:dyDescent="0.25">
      <c r="A4180" s="3">
        <f>IF(Raw_Data!J4180=0,Raw_Data!D4180,"")</f>
        <v>1705.78</v>
      </c>
      <c r="B4180" s="3" t="str">
        <f>IF(Raw_Data!J4180=1,Raw_Data!D4180,"")</f>
        <v/>
      </c>
    </row>
    <row r="4181" spans="1:2" x14ac:dyDescent="0.25">
      <c r="A4181" s="3">
        <f>IF(Raw_Data!J4181=0,Raw_Data!D4181,"")</f>
        <v>6010.84</v>
      </c>
      <c r="B4181" s="3" t="str">
        <f>IF(Raw_Data!J4181=1,Raw_Data!D4181,"")</f>
        <v/>
      </c>
    </row>
    <row r="4182" spans="1:2" x14ac:dyDescent="0.25">
      <c r="A4182" s="3">
        <f>IF(Raw_Data!J4182=0,Raw_Data!D4182,"")</f>
        <v>3997.96</v>
      </c>
      <c r="B4182" s="3" t="str">
        <f>IF(Raw_Data!J4182=1,Raw_Data!D4182,"")</f>
        <v/>
      </c>
    </row>
    <row r="4183" spans="1:2" x14ac:dyDescent="0.25">
      <c r="A4183" s="3">
        <f>IF(Raw_Data!J4183=0,Raw_Data!D4183,"")</f>
        <v>2181.2600000000002</v>
      </c>
      <c r="B4183" s="3" t="str">
        <f>IF(Raw_Data!J4183=1,Raw_Data!D4183,"")</f>
        <v/>
      </c>
    </row>
    <row r="4184" spans="1:2" x14ac:dyDescent="0.25">
      <c r="A4184" s="3">
        <f>IF(Raw_Data!J4184=0,Raw_Data!D4184,"")</f>
        <v>1168.5999999999999</v>
      </c>
      <c r="B4184" s="3" t="str">
        <f>IF(Raw_Data!J4184=1,Raw_Data!D4184,"")</f>
        <v/>
      </c>
    </row>
    <row r="4185" spans="1:2" x14ac:dyDescent="0.25">
      <c r="A4185" s="3">
        <f>IF(Raw_Data!J4185=0,Raw_Data!D4185,"")</f>
        <v>338.04</v>
      </c>
      <c r="B4185" s="3" t="str">
        <f>IF(Raw_Data!J4185=1,Raw_Data!D4185,"")</f>
        <v/>
      </c>
    </row>
    <row r="4186" spans="1:2" x14ac:dyDescent="0.25">
      <c r="A4186" s="3">
        <f>IF(Raw_Data!J4186=0,Raw_Data!D4186,"")</f>
        <v>7483.16</v>
      </c>
      <c r="B4186" s="3" t="str">
        <f>IF(Raw_Data!J4186=1,Raw_Data!D4186,"")</f>
        <v/>
      </c>
    </row>
    <row r="4187" spans="1:2" x14ac:dyDescent="0.25">
      <c r="A4187" s="3">
        <f>IF(Raw_Data!J4187=0,Raw_Data!D4187,"")</f>
        <v>1881.65</v>
      </c>
      <c r="B4187" s="3" t="str">
        <f>IF(Raw_Data!J4187=1,Raw_Data!D4187,"")</f>
        <v/>
      </c>
    </row>
    <row r="4188" spans="1:2" x14ac:dyDescent="0.25">
      <c r="A4188" s="3">
        <f>IF(Raw_Data!J4188=0,Raw_Data!D4188,"")</f>
        <v>1078.57</v>
      </c>
      <c r="B4188" s="3" t="str">
        <f>IF(Raw_Data!J4188=1,Raw_Data!D4188,"")</f>
        <v/>
      </c>
    </row>
    <row r="4189" spans="1:2" x14ac:dyDescent="0.25">
      <c r="A4189" s="3">
        <f>IF(Raw_Data!J4189=0,Raw_Data!D4189,"")</f>
        <v>2338.94</v>
      </c>
      <c r="B4189" s="3" t="str">
        <f>IF(Raw_Data!J4189=1,Raw_Data!D4189,"")</f>
        <v/>
      </c>
    </row>
    <row r="4190" spans="1:2" x14ac:dyDescent="0.25">
      <c r="A4190" s="3">
        <f>IF(Raw_Data!J4190=0,Raw_Data!D4190,"")</f>
        <v>1369.83</v>
      </c>
      <c r="B4190" s="3" t="str">
        <f>IF(Raw_Data!J4190=1,Raw_Data!D4190,"")</f>
        <v/>
      </c>
    </row>
    <row r="4191" spans="1:2" x14ac:dyDescent="0.25">
      <c r="A4191" s="3">
        <f>IF(Raw_Data!J4191=0,Raw_Data!D4191,"")</f>
        <v>5367.99</v>
      </c>
      <c r="B4191" s="3" t="str">
        <f>IF(Raw_Data!J4191=1,Raw_Data!D4191,"")</f>
        <v/>
      </c>
    </row>
    <row r="4192" spans="1:2" x14ac:dyDescent="0.25">
      <c r="A4192" s="3">
        <f>IF(Raw_Data!J4192=0,Raw_Data!D4192,"")</f>
        <v>3791.21</v>
      </c>
      <c r="B4192" s="3" t="str">
        <f>IF(Raw_Data!J4192=1,Raw_Data!D4192,"")</f>
        <v/>
      </c>
    </row>
    <row r="4193" spans="1:2" x14ac:dyDescent="0.25">
      <c r="A4193" s="3">
        <f>IF(Raw_Data!J4193=0,Raw_Data!D4193,"")</f>
        <v>3224.88</v>
      </c>
      <c r="B4193" s="3" t="str">
        <f>IF(Raw_Data!J4193=1,Raw_Data!D4193,"")</f>
        <v/>
      </c>
    </row>
    <row r="4194" spans="1:2" x14ac:dyDescent="0.25">
      <c r="A4194" s="3">
        <f>IF(Raw_Data!J4194=0,Raw_Data!D4194,"")</f>
        <v>905.78</v>
      </c>
      <c r="B4194" s="3" t="str">
        <f>IF(Raw_Data!J4194=1,Raw_Data!D4194,"")</f>
        <v/>
      </c>
    </row>
    <row r="4195" spans="1:2" x14ac:dyDescent="0.25">
      <c r="A4195" s="3" t="str">
        <f>IF(Raw_Data!J4195=0,Raw_Data!D4195,"")</f>
        <v/>
      </c>
      <c r="B4195" s="3">
        <f>IF(Raw_Data!J4195=1,Raw_Data!D4195,"")</f>
        <v>3159.26</v>
      </c>
    </row>
    <row r="4196" spans="1:2" x14ac:dyDescent="0.25">
      <c r="A4196" s="3">
        <f>IF(Raw_Data!J4196=0,Raw_Data!D4196,"")</f>
        <v>3998.24</v>
      </c>
      <c r="B4196" s="3" t="str">
        <f>IF(Raw_Data!J4196=1,Raw_Data!D4196,"")</f>
        <v/>
      </c>
    </row>
    <row r="4197" spans="1:2" x14ac:dyDescent="0.25">
      <c r="A4197" s="3">
        <f>IF(Raw_Data!J4197=0,Raw_Data!D4197,"")</f>
        <v>5404.56</v>
      </c>
      <c r="B4197" s="3" t="str">
        <f>IF(Raw_Data!J4197=1,Raw_Data!D4197,"")</f>
        <v/>
      </c>
    </row>
    <row r="4198" spans="1:2" x14ac:dyDescent="0.25">
      <c r="A4198" s="3">
        <f>IF(Raw_Data!J4198=0,Raw_Data!D4198,"")</f>
        <v>1258.21</v>
      </c>
      <c r="B4198" s="3" t="str">
        <f>IF(Raw_Data!J4198=1,Raw_Data!D4198,"")</f>
        <v/>
      </c>
    </row>
    <row r="4199" spans="1:2" x14ac:dyDescent="0.25">
      <c r="A4199" s="3">
        <f>IF(Raw_Data!J4199=0,Raw_Data!D4199,"")</f>
        <v>6622.57</v>
      </c>
      <c r="B4199" s="3" t="str">
        <f>IF(Raw_Data!J4199=1,Raw_Data!D4199,"")</f>
        <v/>
      </c>
    </row>
    <row r="4200" spans="1:2" x14ac:dyDescent="0.25">
      <c r="A4200" s="3">
        <f>IF(Raw_Data!J4200=0,Raw_Data!D4200,"")</f>
        <v>3084.2</v>
      </c>
      <c r="B4200" s="3" t="str">
        <f>IF(Raw_Data!J4200=1,Raw_Data!D4200,"")</f>
        <v/>
      </c>
    </row>
    <row r="4201" spans="1:2" x14ac:dyDescent="0.25">
      <c r="A4201" s="3">
        <f>IF(Raw_Data!J4201=0,Raw_Data!D4201,"")</f>
        <v>2630.5</v>
      </c>
      <c r="B4201" s="3" t="str">
        <f>IF(Raw_Data!J4201=1,Raw_Data!D4201,"")</f>
        <v/>
      </c>
    </row>
    <row r="4202" spans="1:2" x14ac:dyDescent="0.25">
      <c r="A4202" s="3">
        <f>IF(Raw_Data!J4202=0,Raw_Data!D4202,"")</f>
        <v>1199.07</v>
      </c>
      <c r="B4202" s="3" t="str">
        <f>IF(Raw_Data!J4202=1,Raw_Data!D4202,"")</f>
        <v/>
      </c>
    </row>
    <row r="4203" spans="1:2" x14ac:dyDescent="0.25">
      <c r="A4203" s="3">
        <f>IF(Raw_Data!J4203=0,Raw_Data!D4203,"")</f>
        <v>1645.24</v>
      </c>
      <c r="B4203" s="3" t="str">
        <f>IF(Raw_Data!J4203=1,Raw_Data!D4203,"")</f>
        <v/>
      </c>
    </row>
    <row r="4204" spans="1:2" x14ac:dyDescent="0.25">
      <c r="A4204" s="3">
        <f>IF(Raw_Data!J4204=0,Raw_Data!D4204,"")</f>
        <v>3260.14</v>
      </c>
      <c r="B4204" s="3" t="str">
        <f>IF(Raw_Data!J4204=1,Raw_Data!D4204,"")</f>
        <v/>
      </c>
    </row>
    <row r="4205" spans="1:2" x14ac:dyDescent="0.25">
      <c r="A4205" s="3">
        <f>IF(Raw_Data!J4205=0,Raw_Data!D4205,"")</f>
        <v>2679.88</v>
      </c>
      <c r="B4205" s="3" t="str">
        <f>IF(Raw_Data!J4205=1,Raw_Data!D4205,"")</f>
        <v/>
      </c>
    </row>
    <row r="4206" spans="1:2" x14ac:dyDescent="0.25">
      <c r="A4206" s="3">
        <f>IF(Raw_Data!J4206=0,Raw_Data!D4206,"")</f>
        <v>784.48</v>
      </c>
      <c r="B4206" s="3" t="str">
        <f>IF(Raw_Data!J4206=1,Raw_Data!D4206,"")</f>
        <v/>
      </c>
    </row>
    <row r="4207" spans="1:2" x14ac:dyDescent="0.25">
      <c r="A4207" s="3">
        <f>IF(Raw_Data!J4207=0,Raw_Data!D4207,"")</f>
        <v>752.75</v>
      </c>
      <c r="B4207" s="3" t="str">
        <f>IF(Raw_Data!J4207=1,Raw_Data!D4207,"")</f>
        <v/>
      </c>
    </row>
    <row r="4208" spans="1:2" x14ac:dyDescent="0.25">
      <c r="A4208" s="3" t="str">
        <f>IF(Raw_Data!J4208=0,Raw_Data!D4208,"")</f>
        <v/>
      </c>
      <c r="B4208" s="3">
        <f>IF(Raw_Data!J4208=1,Raw_Data!D4208,"")</f>
        <v>1187.5</v>
      </c>
    </row>
    <row r="4209" spans="1:2" x14ac:dyDescent="0.25">
      <c r="A4209" s="3">
        <f>IF(Raw_Data!J4209=0,Raw_Data!D4209,"")</f>
        <v>2097</v>
      </c>
      <c r="B4209" s="3" t="str">
        <f>IF(Raw_Data!J4209=1,Raw_Data!D4209,"")</f>
        <v/>
      </c>
    </row>
    <row r="4210" spans="1:2" x14ac:dyDescent="0.25">
      <c r="A4210" s="3">
        <f>IF(Raw_Data!J4210=0,Raw_Data!D4210,"")</f>
        <v>1643.17</v>
      </c>
      <c r="B4210" s="3" t="str">
        <f>IF(Raw_Data!J4210=1,Raw_Data!D4210,"")</f>
        <v/>
      </c>
    </row>
    <row r="4211" spans="1:2" x14ac:dyDescent="0.25">
      <c r="A4211" s="3">
        <f>IF(Raw_Data!J4211=0,Raw_Data!D4211,"")</f>
        <v>6193.08</v>
      </c>
      <c r="B4211" s="3" t="str">
        <f>IF(Raw_Data!J4211=1,Raw_Data!D4211,"")</f>
        <v/>
      </c>
    </row>
    <row r="4212" spans="1:2" x14ac:dyDescent="0.25">
      <c r="A4212" s="3">
        <f>IF(Raw_Data!J4212=0,Raw_Data!D4212,"")</f>
        <v>2270.37</v>
      </c>
      <c r="B4212" s="3" t="str">
        <f>IF(Raw_Data!J4212=1,Raw_Data!D4212,"")</f>
        <v/>
      </c>
    </row>
    <row r="4213" spans="1:2" x14ac:dyDescent="0.25">
      <c r="A4213" s="3">
        <f>IF(Raw_Data!J4213=0,Raw_Data!D4213,"")</f>
        <v>6817.44</v>
      </c>
      <c r="B4213" s="3" t="str">
        <f>IF(Raw_Data!J4213=1,Raw_Data!D4213,"")</f>
        <v/>
      </c>
    </row>
    <row r="4214" spans="1:2" x14ac:dyDescent="0.25">
      <c r="A4214" s="3">
        <f>IF(Raw_Data!J4214=0,Raw_Data!D4214,"")</f>
        <v>2239.67</v>
      </c>
      <c r="B4214" s="3" t="str">
        <f>IF(Raw_Data!J4214=1,Raw_Data!D4214,"")</f>
        <v/>
      </c>
    </row>
    <row r="4215" spans="1:2" x14ac:dyDescent="0.25">
      <c r="A4215" s="3">
        <f>IF(Raw_Data!J4215=0,Raw_Data!D4215,"")</f>
        <v>1559.11</v>
      </c>
      <c r="B4215" s="3" t="str">
        <f>IF(Raw_Data!J4215=1,Raw_Data!D4215,"")</f>
        <v/>
      </c>
    </row>
    <row r="4216" spans="1:2" x14ac:dyDescent="0.25">
      <c r="A4216" s="3">
        <f>IF(Raw_Data!J4216=0,Raw_Data!D4216,"")</f>
        <v>1018.82</v>
      </c>
      <c r="B4216" s="3" t="str">
        <f>IF(Raw_Data!J4216=1,Raw_Data!D4216,"")</f>
        <v/>
      </c>
    </row>
    <row r="4217" spans="1:2" x14ac:dyDescent="0.25">
      <c r="A4217" s="3">
        <f>IF(Raw_Data!J4217=0,Raw_Data!D4217,"")</f>
        <v>268.23</v>
      </c>
      <c r="B4217" s="3" t="str">
        <f>IF(Raw_Data!J4217=1,Raw_Data!D4217,"")</f>
        <v/>
      </c>
    </row>
    <row r="4218" spans="1:2" x14ac:dyDescent="0.25">
      <c r="A4218" s="3">
        <f>IF(Raw_Data!J4218=0,Raw_Data!D4218,"")</f>
        <v>5555.95</v>
      </c>
      <c r="B4218" s="3" t="str">
        <f>IF(Raw_Data!J4218=1,Raw_Data!D4218,"")</f>
        <v/>
      </c>
    </row>
    <row r="4219" spans="1:2" x14ac:dyDescent="0.25">
      <c r="A4219" s="3">
        <f>IF(Raw_Data!J4219=0,Raw_Data!D4219,"")</f>
        <v>2897.9</v>
      </c>
      <c r="B4219" s="3" t="str">
        <f>IF(Raw_Data!J4219=1,Raw_Data!D4219,"")</f>
        <v/>
      </c>
    </row>
    <row r="4220" spans="1:2" x14ac:dyDescent="0.25">
      <c r="A4220" s="3">
        <f>IF(Raw_Data!J4220=0,Raw_Data!D4220,"")</f>
        <v>4758.9399999999996</v>
      </c>
      <c r="B4220" s="3" t="str">
        <f>IF(Raw_Data!J4220=1,Raw_Data!D4220,"")</f>
        <v/>
      </c>
    </row>
    <row r="4221" spans="1:2" x14ac:dyDescent="0.25">
      <c r="A4221" s="3">
        <f>IF(Raw_Data!J4221=0,Raw_Data!D4221,"")</f>
        <v>1137.8499999999999</v>
      </c>
      <c r="B4221" s="3" t="str">
        <f>IF(Raw_Data!J4221=1,Raw_Data!D4221,"")</f>
        <v/>
      </c>
    </row>
    <row r="4222" spans="1:2" x14ac:dyDescent="0.25">
      <c r="A4222" s="3">
        <f>IF(Raw_Data!J4222=0,Raw_Data!D4222,"")</f>
        <v>1576.28</v>
      </c>
      <c r="B4222" s="3" t="str">
        <f>IF(Raw_Data!J4222=1,Raw_Data!D4222,"")</f>
        <v/>
      </c>
    </row>
    <row r="4223" spans="1:2" x14ac:dyDescent="0.25">
      <c r="A4223" s="3">
        <f>IF(Raw_Data!J4223=0,Raw_Data!D4223,"")</f>
        <v>584.70000000000005</v>
      </c>
      <c r="B4223" s="3" t="str">
        <f>IF(Raw_Data!J4223=1,Raw_Data!D4223,"")</f>
        <v/>
      </c>
    </row>
    <row r="4224" spans="1:2" x14ac:dyDescent="0.25">
      <c r="A4224" s="3">
        <f>IF(Raw_Data!J4224=0,Raw_Data!D4224,"")</f>
        <v>1390.38</v>
      </c>
      <c r="B4224" s="3" t="str">
        <f>IF(Raw_Data!J4224=1,Raw_Data!D4224,"")</f>
        <v/>
      </c>
    </row>
    <row r="4225" spans="1:2" x14ac:dyDescent="0.25">
      <c r="A4225" s="3">
        <f>IF(Raw_Data!J4225=0,Raw_Data!D4225,"")</f>
        <v>3682.14</v>
      </c>
      <c r="B4225" s="3" t="str">
        <f>IF(Raw_Data!J4225=1,Raw_Data!D4225,"")</f>
        <v/>
      </c>
    </row>
    <row r="4226" spans="1:2" x14ac:dyDescent="0.25">
      <c r="A4226" s="3">
        <f>IF(Raw_Data!J4226=0,Raw_Data!D4226,"")</f>
        <v>356.91</v>
      </c>
      <c r="B4226" s="3" t="str">
        <f>IF(Raw_Data!J4226=1,Raw_Data!D4226,"")</f>
        <v/>
      </c>
    </row>
    <row r="4227" spans="1:2" x14ac:dyDescent="0.25">
      <c r="A4227" s="3" t="str">
        <f>IF(Raw_Data!J4227=0,Raw_Data!D4227,"")</f>
        <v/>
      </c>
      <c r="B4227" s="3">
        <f>IF(Raw_Data!J4227=1,Raw_Data!D4227,"")</f>
        <v>1872.33</v>
      </c>
    </row>
    <row r="4228" spans="1:2" x14ac:dyDescent="0.25">
      <c r="A4228" s="3">
        <f>IF(Raw_Data!J4228=0,Raw_Data!D4228,"")</f>
        <v>926.64</v>
      </c>
      <c r="B4228" s="3" t="str">
        <f>IF(Raw_Data!J4228=1,Raw_Data!D4228,"")</f>
        <v/>
      </c>
    </row>
    <row r="4229" spans="1:2" x14ac:dyDescent="0.25">
      <c r="A4229" s="3">
        <f>IF(Raw_Data!J4229=0,Raw_Data!D4229,"")</f>
        <v>3011.7</v>
      </c>
      <c r="B4229" s="3" t="str">
        <f>IF(Raw_Data!J4229=1,Raw_Data!D4229,"")</f>
        <v/>
      </c>
    </row>
    <row r="4230" spans="1:2" x14ac:dyDescent="0.25">
      <c r="A4230" s="3">
        <f>IF(Raw_Data!J4230=0,Raw_Data!D4230,"")</f>
        <v>3770.65</v>
      </c>
      <c r="B4230" s="3" t="str">
        <f>IF(Raw_Data!J4230=1,Raw_Data!D4230,"")</f>
        <v/>
      </c>
    </row>
    <row r="4231" spans="1:2" x14ac:dyDescent="0.25">
      <c r="A4231" s="3">
        <f>IF(Raw_Data!J4231=0,Raw_Data!D4231,"")</f>
        <v>1536.13</v>
      </c>
      <c r="B4231" s="3" t="str">
        <f>IF(Raw_Data!J4231=1,Raw_Data!D4231,"")</f>
        <v/>
      </c>
    </row>
    <row r="4232" spans="1:2" x14ac:dyDescent="0.25">
      <c r="A4232" s="3">
        <f>IF(Raw_Data!J4232=0,Raw_Data!D4232,"")</f>
        <v>1993.8</v>
      </c>
      <c r="B4232" s="3" t="str">
        <f>IF(Raw_Data!J4232=1,Raw_Data!D4232,"")</f>
        <v/>
      </c>
    </row>
    <row r="4233" spans="1:2" x14ac:dyDescent="0.25">
      <c r="A4233" s="3">
        <f>IF(Raw_Data!J4233=0,Raw_Data!D4233,"")</f>
        <v>1378.71</v>
      </c>
      <c r="B4233" s="3" t="str">
        <f>IF(Raw_Data!J4233=1,Raw_Data!D4233,"")</f>
        <v/>
      </c>
    </row>
    <row r="4234" spans="1:2" x14ac:dyDescent="0.25">
      <c r="A4234" s="3" t="str">
        <f>IF(Raw_Data!J4234=0,Raw_Data!D4234,"")</f>
        <v/>
      </c>
      <c r="B4234" s="3">
        <f>IF(Raw_Data!J4234=1,Raw_Data!D4234,"")</f>
        <v>2791.61</v>
      </c>
    </row>
    <row r="4235" spans="1:2" x14ac:dyDescent="0.25">
      <c r="A4235" s="3">
        <f>IF(Raw_Data!J4235=0,Raw_Data!D4235,"")</f>
        <v>4605.08</v>
      </c>
      <c r="B4235" s="3" t="str">
        <f>IF(Raw_Data!J4235=1,Raw_Data!D4235,"")</f>
        <v/>
      </c>
    </row>
    <row r="4236" spans="1:2" x14ac:dyDescent="0.25">
      <c r="A4236" s="3">
        <f>IF(Raw_Data!J4236=0,Raw_Data!D4236,"")</f>
        <v>5410.07</v>
      </c>
      <c r="B4236" s="3" t="str">
        <f>IF(Raw_Data!J4236=1,Raw_Data!D4236,"")</f>
        <v/>
      </c>
    </row>
    <row r="4237" spans="1:2" x14ac:dyDescent="0.25">
      <c r="A4237" s="3" t="str">
        <f>IF(Raw_Data!J4237=0,Raw_Data!D4237,"")</f>
        <v/>
      </c>
      <c r="B4237" s="3">
        <f>IF(Raw_Data!J4237=1,Raw_Data!D4237,"")</f>
        <v>1919.4</v>
      </c>
    </row>
    <row r="4238" spans="1:2" x14ac:dyDescent="0.25">
      <c r="A4238" s="3" t="str">
        <f>IF(Raw_Data!J4238=0,Raw_Data!D4238,"")</f>
        <v/>
      </c>
      <c r="B4238" s="3">
        <f>IF(Raw_Data!J4238=1,Raw_Data!D4238,"")</f>
        <v>3440.18</v>
      </c>
    </row>
    <row r="4239" spans="1:2" x14ac:dyDescent="0.25">
      <c r="A4239" s="3">
        <f>IF(Raw_Data!J4239=0,Raw_Data!D4239,"")</f>
        <v>1986.48</v>
      </c>
      <c r="B4239" s="3" t="str">
        <f>IF(Raw_Data!J4239=1,Raw_Data!D4239,"")</f>
        <v/>
      </c>
    </row>
    <row r="4240" spans="1:2" x14ac:dyDescent="0.25">
      <c r="A4240" s="3">
        <f>IF(Raw_Data!J4240=0,Raw_Data!D4240,"")</f>
        <v>1552.53</v>
      </c>
      <c r="B4240" s="3" t="str">
        <f>IF(Raw_Data!J4240=1,Raw_Data!D4240,"")</f>
        <v/>
      </c>
    </row>
    <row r="4241" spans="1:2" x14ac:dyDescent="0.25">
      <c r="A4241" s="3" t="str">
        <f>IF(Raw_Data!J4241=0,Raw_Data!D4241,"")</f>
        <v/>
      </c>
      <c r="B4241" s="3">
        <f>IF(Raw_Data!J4241=1,Raw_Data!D4241,"")</f>
        <v>1897.02</v>
      </c>
    </row>
    <row r="4242" spans="1:2" x14ac:dyDescent="0.25">
      <c r="A4242" s="3" t="str">
        <f>IF(Raw_Data!J4242=0,Raw_Data!D4242,"")</f>
        <v/>
      </c>
      <c r="B4242" s="3">
        <f>IF(Raw_Data!J4242=1,Raw_Data!D4242,"")</f>
        <v>3573.73</v>
      </c>
    </row>
    <row r="4243" spans="1:2" x14ac:dyDescent="0.25">
      <c r="A4243" s="3">
        <f>IF(Raw_Data!J4243=0,Raw_Data!D4243,"")</f>
        <v>1140.3599999999999</v>
      </c>
      <c r="B4243" s="3" t="str">
        <f>IF(Raw_Data!J4243=1,Raw_Data!D4243,"")</f>
        <v/>
      </c>
    </row>
    <row r="4244" spans="1:2" x14ac:dyDescent="0.25">
      <c r="A4244" s="3" t="str">
        <f>IF(Raw_Data!J4244=0,Raw_Data!D4244,"")</f>
        <v/>
      </c>
      <c r="B4244" s="3">
        <f>IF(Raw_Data!J4244=1,Raw_Data!D4244,"")</f>
        <v>1279.5899999999999</v>
      </c>
    </row>
    <row r="4245" spans="1:2" x14ac:dyDescent="0.25">
      <c r="A4245" s="3">
        <f>IF(Raw_Data!J4245=0,Raw_Data!D4245,"")</f>
        <v>2797.32</v>
      </c>
      <c r="B4245" s="3" t="str">
        <f>IF(Raw_Data!J4245=1,Raw_Data!D4245,"")</f>
        <v/>
      </c>
    </row>
    <row r="4246" spans="1:2" x14ac:dyDescent="0.25">
      <c r="A4246" s="3">
        <f>IF(Raw_Data!J4246=0,Raw_Data!D4246,"")</f>
        <v>675.61</v>
      </c>
      <c r="B4246" s="3" t="str">
        <f>IF(Raw_Data!J4246=1,Raw_Data!D4246,"")</f>
        <v/>
      </c>
    </row>
    <row r="4247" spans="1:2" x14ac:dyDescent="0.25">
      <c r="A4247" s="3">
        <f>IF(Raw_Data!J4247=0,Raw_Data!D4247,"")</f>
        <v>5633.82</v>
      </c>
      <c r="B4247" s="3" t="str">
        <f>IF(Raw_Data!J4247=1,Raw_Data!D4247,"")</f>
        <v/>
      </c>
    </row>
    <row r="4248" spans="1:2" x14ac:dyDescent="0.25">
      <c r="A4248" s="3" t="str">
        <f>IF(Raw_Data!J4248=0,Raw_Data!D4248,"")</f>
        <v/>
      </c>
      <c r="B4248" s="3">
        <f>IF(Raw_Data!J4248=1,Raw_Data!D4248,"")</f>
        <v>3200.55</v>
      </c>
    </row>
    <row r="4249" spans="1:2" x14ac:dyDescent="0.25">
      <c r="A4249" s="3" t="str">
        <f>IF(Raw_Data!J4249=0,Raw_Data!D4249,"")</f>
        <v/>
      </c>
      <c r="B4249" s="3">
        <f>IF(Raw_Data!J4249=1,Raw_Data!D4249,"")</f>
        <v>1727.97</v>
      </c>
    </row>
    <row r="4250" spans="1:2" x14ac:dyDescent="0.25">
      <c r="A4250" s="3">
        <f>IF(Raw_Data!J4250=0,Raw_Data!D4250,"")</f>
        <v>2127.27</v>
      </c>
      <c r="B4250" s="3" t="str">
        <f>IF(Raw_Data!J4250=1,Raw_Data!D4250,"")</f>
        <v/>
      </c>
    </row>
    <row r="4251" spans="1:2" x14ac:dyDescent="0.25">
      <c r="A4251" s="3">
        <f>IF(Raw_Data!J4251=0,Raw_Data!D4251,"")</f>
        <v>1178.77</v>
      </c>
      <c r="B4251" s="3" t="str">
        <f>IF(Raw_Data!J4251=1,Raw_Data!D4251,"")</f>
        <v/>
      </c>
    </row>
    <row r="4252" spans="1:2" x14ac:dyDescent="0.25">
      <c r="A4252" s="3" t="str">
        <f>IF(Raw_Data!J4252=0,Raw_Data!D4252,"")</f>
        <v/>
      </c>
      <c r="B4252" s="3">
        <f>IF(Raw_Data!J4252=1,Raw_Data!D4252,"")</f>
        <v>3293.68</v>
      </c>
    </row>
    <row r="4253" spans="1:2" x14ac:dyDescent="0.25">
      <c r="A4253" s="3">
        <f>IF(Raw_Data!J4253=0,Raw_Data!D4253,"")</f>
        <v>5002.34</v>
      </c>
      <c r="B4253" s="3" t="str">
        <f>IF(Raw_Data!J4253=1,Raw_Data!D4253,"")</f>
        <v/>
      </c>
    </row>
    <row r="4254" spans="1:2" x14ac:dyDescent="0.25">
      <c r="A4254" s="3">
        <f>IF(Raw_Data!J4254=0,Raw_Data!D4254,"")</f>
        <v>2286.34</v>
      </c>
      <c r="B4254" s="3" t="str">
        <f>IF(Raw_Data!J4254=1,Raw_Data!D4254,"")</f>
        <v/>
      </c>
    </row>
    <row r="4255" spans="1:2" x14ac:dyDescent="0.25">
      <c r="A4255" s="3">
        <f>IF(Raw_Data!J4255=0,Raw_Data!D4255,"")</f>
        <v>2413.37</v>
      </c>
      <c r="B4255" s="3" t="str">
        <f>IF(Raw_Data!J4255=1,Raw_Data!D4255,"")</f>
        <v/>
      </c>
    </row>
    <row r="4256" spans="1:2" x14ac:dyDescent="0.25">
      <c r="A4256" s="3">
        <f>IF(Raw_Data!J4256=0,Raw_Data!D4256,"")</f>
        <v>2915.17</v>
      </c>
      <c r="B4256" s="3" t="str">
        <f>IF(Raw_Data!J4256=1,Raw_Data!D4256,"")</f>
        <v/>
      </c>
    </row>
    <row r="4257" spans="1:2" x14ac:dyDescent="0.25">
      <c r="A4257" s="3" t="str">
        <f>IF(Raw_Data!J4257=0,Raw_Data!D4257,"")</f>
        <v/>
      </c>
      <c r="B4257" s="3">
        <f>IF(Raw_Data!J4257=1,Raw_Data!D4257,"")</f>
        <v>2080.64</v>
      </c>
    </row>
    <row r="4258" spans="1:2" x14ac:dyDescent="0.25">
      <c r="A4258" s="3">
        <f>IF(Raw_Data!J4258=0,Raw_Data!D4258,"")</f>
        <v>2489.2800000000002</v>
      </c>
      <c r="B4258" s="3" t="str">
        <f>IF(Raw_Data!J4258=1,Raw_Data!D4258,"")</f>
        <v/>
      </c>
    </row>
    <row r="4259" spans="1:2" x14ac:dyDescent="0.25">
      <c r="A4259" s="3">
        <f>IF(Raw_Data!J4259=0,Raw_Data!D4259,"")</f>
        <v>4176.32</v>
      </c>
      <c r="B4259" s="3" t="str">
        <f>IF(Raw_Data!J4259=1,Raw_Data!D4259,"")</f>
        <v/>
      </c>
    </row>
    <row r="4260" spans="1:2" x14ac:dyDescent="0.25">
      <c r="A4260" s="3">
        <f>IF(Raw_Data!J4260=0,Raw_Data!D4260,"")</f>
        <v>4897.54</v>
      </c>
      <c r="B4260" s="3" t="str">
        <f>IF(Raw_Data!J4260=1,Raw_Data!D4260,"")</f>
        <v/>
      </c>
    </row>
    <row r="4261" spans="1:2" x14ac:dyDescent="0.25">
      <c r="A4261" s="3" t="str">
        <f>IF(Raw_Data!J4261=0,Raw_Data!D4261,"")</f>
        <v/>
      </c>
      <c r="B4261" s="3">
        <f>IF(Raw_Data!J4261=1,Raw_Data!D4261,"")</f>
        <v>4348.47</v>
      </c>
    </row>
    <row r="4262" spans="1:2" x14ac:dyDescent="0.25">
      <c r="A4262" s="3">
        <f>IF(Raw_Data!J4262=0,Raw_Data!D4262,"")</f>
        <v>500.79</v>
      </c>
      <c r="B4262" s="3" t="str">
        <f>IF(Raw_Data!J4262=1,Raw_Data!D4262,"")</f>
        <v/>
      </c>
    </row>
    <row r="4263" spans="1:2" x14ac:dyDescent="0.25">
      <c r="A4263" s="3" t="str">
        <f>IF(Raw_Data!J4263=0,Raw_Data!D4263,"")</f>
        <v/>
      </c>
      <c r="B4263" s="3">
        <f>IF(Raw_Data!J4263=1,Raw_Data!D4263,"")</f>
        <v>350.24</v>
      </c>
    </row>
    <row r="4264" spans="1:2" x14ac:dyDescent="0.25">
      <c r="A4264" s="3">
        <f>IF(Raw_Data!J4264=0,Raw_Data!D4264,"")</f>
        <v>2688.83</v>
      </c>
      <c r="B4264" s="3" t="str">
        <f>IF(Raw_Data!J4264=1,Raw_Data!D4264,"")</f>
        <v/>
      </c>
    </row>
    <row r="4265" spans="1:2" x14ac:dyDescent="0.25">
      <c r="A4265" s="3">
        <f>IF(Raw_Data!J4265=0,Raw_Data!D4265,"")</f>
        <v>3177.15</v>
      </c>
      <c r="B4265" s="3" t="str">
        <f>IF(Raw_Data!J4265=1,Raw_Data!D4265,"")</f>
        <v/>
      </c>
    </row>
    <row r="4266" spans="1:2" x14ac:dyDescent="0.25">
      <c r="A4266" s="3">
        <f>IF(Raw_Data!J4266=0,Raw_Data!D4266,"")</f>
        <v>3098.85</v>
      </c>
      <c r="B4266" s="3" t="str">
        <f>IF(Raw_Data!J4266=1,Raw_Data!D4266,"")</f>
        <v/>
      </c>
    </row>
    <row r="4267" spans="1:2" x14ac:dyDescent="0.25">
      <c r="A4267" s="3">
        <f>IF(Raw_Data!J4267=0,Raw_Data!D4267,"")</f>
        <v>2052.87</v>
      </c>
      <c r="B4267" s="3" t="str">
        <f>IF(Raw_Data!J4267=1,Raw_Data!D4267,"")</f>
        <v/>
      </c>
    </row>
    <row r="4268" spans="1:2" x14ac:dyDescent="0.25">
      <c r="A4268" s="3">
        <f>IF(Raw_Data!J4268=0,Raw_Data!D4268,"")</f>
        <v>6095.63</v>
      </c>
      <c r="B4268" s="3" t="str">
        <f>IF(Raw_Data!J4268=1,Raw_Data!D4268,"")</f>
        <v/>
      </c>
    </row>
    <row r="4269" spans="1:2" x14ac:dyDescent="0.25">
      <c r="A4269" s="3">
        <f>IF(Raw_Data!J4269=0,Raw_Data!D4269,"")</f>
        <v>4135.05</v>
      </c>
      <c r="B4269" s="3" t="str">
        <f>IF(Raw_Data!J4269=1,Raw_Data!D4269,"")</f>
        <v/>
      </c>
    </row>
    <row r="4270" spans="1:2" x14ac:dyDescent="0.25">
      <c r="A4270" s="3">
        <f>IF(Raw_Data!J4270=0,Raw_Data!D4270,"")</f>
        <v>1285.17</v>
      </c>
      <c r="B4270" s="3" t="str">
        <f>IF(Raw_Data!J4270=1,Raw_Data!D4270,"")</f>
        <v/>
      </c>
    </row>
    <row r="4271" spans="1:2" x14ac:dyDescent="0.25">
      <c r="A4271" s="3">
        <f>IF(Raw_Data!J4271=0,Raw_Data!D4271,"")</f>
        <v>3443.71</v>
      </c>
      <c r="B4271" s="3" t="str">
        <f>IF(Raw_Data!J4271=1,Raw_Data!D4271,"")</f>
        <v/>
      </c>
    </row>
    <row r="4272" spans="1:2" x14ac:dyDescent="0.25">
      <c r="A4272" s="3">
        <f>IF(Raw_Data!J4272=0,Raw_Data!D4272,"")</f>
        <v>2216.39</v>
      </c>
      <c r="B4272" s="3" t="str">
        <f>IF(Raw_Data!J4272=1,Raw_Data!D4272,"")</f>
        <v/>
      </c>
    </row>
    <row r="4273" spans="1:2" x14ac:dyDescent="0.25">
      <c r="A4273" s="3">
        <f>IF(Raw_Data!J4273=0,Raw_Data!D4273,"")</f>
        <v>3858.5</v>
      </c>
      <c r="B4273" s="3" t="str">
        <f>IF(Raw_Data!J4273=1,Raw_Data!D4273,"")</f>
        <v/>
      </c>
    </row>
    <row r="4274" spans="1:2" x14ac:dyDescent="0.25">
      <c r="A4274" s="3">
        <f>IF(Raw_Data!J4274=0,Raw_Data!D4274,"")</f>
        <v>1689.84</v>
      </c>
      <c r="B4274" s="3" t="str">
        <f>IF(Raw_Data!J4274=1,Raw_Data!D4274,"")</f>
        <v/>
      </c>
    </row>
    <row r="4275" spans="1:2" x14ac:dyDescent="0.25">
      <c r="A4275" s="3">
        <f>IF(Raw_Data!J4275=0,Raw_Data!D4275,"")</f>
        <v>4982.4399999999996</v>
      </c>
      <c r="B4275" s="3" t="str">
        <f>IF(Raw_Data!J4275=1,Raw_Data!D4275,"")</f>
        <v/>
      </c>
    </row>
    <row r="4276" spans="1:2" x14ac:dyDescent="0.25">
      <c r="A4276" s="3">
        <f>IF(Raw_Data!J4276=0,Raw_Data!D4276,"")</f>
        <v>2762.6</v>
      </c>
      <c r="B4276" s="3" t="str">
        <f>IF(Raw_Data!J4276=1,Raw_Data!D4276,"")</f>
        <v/>
      </c>
    </row>
    <row r="4277" spans="1:2" x14ac:dyDescent="0.25">
      <c r="A4277" s="3">
        <f>IF(Raw_Data!J4277=0,Raw_Data!D4277,"")</f>
        <v>3904.68</v>
      </c>
      <c r="B4277" s="3" t="str">
        <f>IF(Raw_Data!J4277=1,Raw_Data!D4277,"")</f>
        <v/>
      </c>
    </row>
    <row r="4278" spans="1:2" x14ac:dyDescent="0.25">
      <c r="A4278" s="3">
        <f>IF(Raw_Data!J4278=0,Raw_Data!D4278,"")</f>
        <v>1117.02</v>
      </c>
      <c r="B4278" s="3" t="str">
        <f>IF(Raw_Data!J4278=1,Raw_Data!D4278,"")</f>
        <v/>
      </c>
    </row>
    <row r="4279" spans="1:2" x14ac:dyDescent="0.25">
      <c r="A4279" s="3">
        <f>IF(Raw_Data!J4279=0,Raw_Data!D4279,"")</f>
        <v>1414.82</v>
      </c>
      <c r="B4279" s="3" t="str">
        <f>IF(Raw_Data!J4279=1,Raw_Data!D4279,"")</f>
        <v/>
      </c>
    </row>
    <row r="4280" spans="1:2" x14ac:dyDescent="0.25">
      <c r="A4280" s="3">
        <f>IF(Raw_Data!J4280=0,Raw_Data!D4280,"")</f>
        <v>734.73</v>
      </c>
      <c r="B4280" s="3" t="str">
        <f>IF(Raw_Data!J4280=1,Raw_Data!D4280,"")</f>
        <v/>
      </c>
    </row>
    <row r="4281" spans="1:2" x14ac:dyDescent="0.25">
      <c r="A4281" s="3">
        <f>IF(Raw_Data!J4281=0,Raw_Data!D4281,"")</f>
        <v>2433.7800000000002</v>
      </c>
      <c r="B4281" s="3" t="str">
        <f>IF(Raw_Data!J4281=1,Raw_Data!D4281,"")</f>
        <v/>
      </c>
    </row>
    <row r="4282" spans="1:2" x14ac:dyDescent="0.25">
      <c r="A4282" s="3">
        <f>IF(Raw_Data!J4282=0,Raw_Data!D4282,"")</f>
        <v>3687.04</v>
      </c>
      <c r="B4282" s="3" t="str">
        <f>IF(Raw_Data!J4282=1,Raw_Data!D4282,"")</f>
        <v/>
      </c>
    </row>
    <row r="4283" spans="1:2" x14ac:dyDescent="0.25">
      <c r="A4283" s="3">
        <f>IF(Raw_Data!J4283=0,Raw_Data!D4283,"")</f>
        <v>441.67</v>
      </c>
      <c r="B4283" s="3" t="str">
        <f>IF(Raw_Data!J4283=1,Raw_Data!D4283,"")</f>
        <v/>
      </c>
    </row>
    <row r="4284" spans="1:2" x14ac:dyDescent="0.25">
      <c r="A4284" s="3">
        <f>IF(Raw_Data!J4284=0,Raw_Data!D4284,"")</f>
        <v>2319.23</v>
      </c>
      <c r="B4284" s="3" t="str">
        <f>IF(Raw_Data!J4284=1,Raw_Data!D4284,"")</f>
        <v/>
      </c>
    </row>
    <row r="4285" spans="1:2" x14ac:dyDescent="0.25">
      <c r="A4285" s="3">
        <f>IF(Raw_Data!J4285=0,Raw_Data!D4285,"")</f>
        <v>3408.31</v>
      </c>
      <c r="B4285" s="3" t="str">
        <f>IF(Raw_Data!J4285=1,Raw_Data!D4285,"")</f>
        <v/>
      </c>
    </row>
    <row r="4286" spans="1:2" x14ac:dyDescent="0.25">
      <c r="A4286" s="3">
        <f>IF(Raw_Data!J4286=0,Raw_Data!D4286,"")</f>
        <v>5340.3</v>
      </c>
      <c r="B4286" s="3" t="str">
        <f>IF(Raw_Data!J4286=1,Raw_Data!D4286,"")</f>
        <v/>
      </c>
    </row>
    <row r="4287" spans="1:2" x14ac:dyDescent="0.25">
      <c r="A4287" s="3">
        <f>IF(Raw_Data!J4287=0,Raw_Data!D4287,"")</f>
        <v>731.04</v>
      </c>
      <c r="B4287" s="3" t="str">
        <f>IF(Raw_Data!J4287=1,Raw_Data!D4287,"")</f>
        <v/>
      </c>
    </row>
    <row r="4288" spans="1:2" x14ac:dyDescent="0.25">
      <c r="A4288" s="3" t="str">
        <f>IF(Raw_Data!J4288=0,Raw_Data!D4288,"")</f>
        <v/>
      </c>
      <c r="B4288" s="3">
        <f>IF(Raw_Data!J4288=1,Raw_Data!D4288,"")</f>
        <v>2812.27</v>
      </c>
    </row>
    <row r="4289" spans="1:2" x14ac:dyDescent="0.25">
      <c r="A4289" s="3">
        <f>IF(Raw_Data!J4289=0,Raw_Data!D4289,"")</f>
        <v>2179.73</v>
      </c>
      <c r="B4289" s="3" t="str">
        <f>IF(Raw_Data!J4289=1,Raw_Data!D4289,"")</f>
        <v/>
      </c>
    </row>
    <row r="4290" spans="1:2" x14ac:dyDescent="0.25">
      <c r="A4290" s="3">
        <f>IF(Raw_Data!J4290=0,Raw_Data!D4290,"")</f>
        <v>5231.62</v>
      </c>
      <c r="B4290" s="3" t="str">
        <f>IF(Raw_Data!J4290=1,Raw_Data!D4290,"")</f>
        <v/>
      </c>
    </row>
    <row r="4291" spans="1:2" x14ac:dyDescent="0.25">
      <c r="A4291" s="3" t="str">
        <f>IF(Raw_Data!J4291=0,Raw_Data!D4291,"")</f>
        <v/>
      </c>
      <c r="B4291" s="3">
        <f>IF(Raw_Data!J4291=1,Raw_Data!D4291,"")</f>
        <v>2456.5300000000002</v>
      </c>
    </row>
    <row r="4292" spans="1:2" x14ac:dyDescent="0.25">
      <c r="A4292" s="3" t="str">
        <f>IF(Raw_Data!J4292=0,Raw_Data!D4292,"")</f>
        <v/>
      </c>
      <c r="B4292" s="3">
        <f>IF(Raw_Data!J4292=1,Raw_Data!D4292,"")</f>
        <v>3886.42</v>
      </c>
    </row>
    <row r="4293" spans="1:2" x14ac:dyDescent="0.25">
      <c r="A4293" s="3">
        <f>IF(Raw_Data!J4293=0,Raw_Data!D4293,"")</f>
        <v>8004.89</v>
      </c>
      <c r="B4293" s="3" t="str">
        <f>IF(Raw_Data!J4293=1,Raw_Data!D4293,"")</f>
        <v/>
      </c>
    </row>
    <row r="4294" spans="1:2" x14ac:dyDescent="0.25">
      <c r="A4294" s="3" t="str">
        <f>IF(Raw_Data!J4294=0,Raw_Data!D4294,"")</f>
        <v/>
      </c>
      <c r="B4294" s="3">
        <f>IF(Raw_Data!J4294=1,Raw_Data!D4294,"")</f>
        <v>2889.31</v>
      </c>
    </row>
    <row r="4295" spans="1:2" x14ac:dyDescent="0.25">
      <c r="A4295" s="3">
        <f>IF(Raw_Data!J4295=0,Raw_Data!D4295,"")</f>
        <v>8383.83</v>
      </c>
      <c r="B4295" s="3" t="str">
        <f>IF(Raw_Data!J4295=1,Raw_Data!D4295,"")</f>
        <v/>
      </c>
    </row>
    <row r="4296" spans="1:2" x14ac:dyDescent="0.25">
      <c r="A4296" s="3">
        <f>IF(Raw_Data!J4296=0,Raw_Data!D4296,"")</f>
        <v>64.14</v>
      </c>
      <c r="B4296" s="3" t="str">
        <f>IF(Raw_Data!J4296=1,Raw_Data!D4296,"")</f>
        <v/>
      </c>
    </row>
    <row r="4297" spans="1:2" x14ac:dyDescent="0.25">
      <c r="A4297" s="3">
        <f>IF(Raw_Data!J4297=0,Raw_Data!D4297,"")</f>
        <v>703.5</v>
      </c>
      <c r="B4297" s="3" t="str">
        <f>IF(Raw_Data!J4297=1,Raw_Data!D4297,"")</f>
        <v/>
      </c>
    </row>
    <row r="4298" spans="1:2" x14ac:dyDescent="0.25">
      <c r="A4298" s="3">
        <f>IF(Raw_Data!J4298=0,Raw_Data!D4298,"")</f>
        <v>2501.9499999999998</v>
      </c>
      <c r="B4298" s="3" t="str">
        <f>IF(Raw_Data!J4298=1,Raw_Data!D4298,"")</f>
        <v/>
      </c>
    </row>
    <row r="4299" spans="1:2" x14ac:dyDescent="0.25">
      <c r="A4299" s="3">
        <f>IF(Raw_Data!J4299=0,Raw_Data!D4299,"")</f>
        <v>1855.83</v>
      </c>
      <c r="B4299" s="3" t="str">
        <f>IF(Raw_Data!J4299=1,Raw_Data!D4299,"")</f>
        <v/>
      </c>
    </row>
    <row r="4300" spans="1:2" x14ac:dyDescent="0.25">
      <c r="A4300" s="3">
        <f>IF(Raw_Data!J4300=0,Raw_Data!D4300,"")</f>
        <v>258.16000000000003</v>
      </c>
      <c r="B4300" s="3" t="str">
        <f>IF(Raw_Data!J4300=1,Raw_Data!D4300,"")</f>
        <v/>
      </c>
    </row>
    <row r="4301" spans="1:2" x14ac:dyDescent="0.25">
      <c r="A4301" s="3">
        <f>IF(Raw_Data!J4301=0,Raw_Data!D4301,"")</f>
        <v>4456.22</v>
      </c>
      <c r="B4301" s="3" t="str">
        <f>IF(Raw_Data!J4301=1,Raw_Data!D4301,"")</f>
        <v/>
      </c>
    </row>
    <row r="4302" spans="1:2" x14ac:dyDescent="0.25">
      <c r="A4302" s="3">
        <f>IF(Raw_Data!J4302=0,Raw_Data!D4302,"")</f>
        <v>1285.4000000000001</v>
      </c>
      <c r="B4302" s="3" t="str">
        <f>IF(Raw_Data!J4302=1,Raw_Data!D4302,"")</f>
        <v/>
      </c>
    </row>
    <row r="4303" spans="1:2" x14ac:dyDescent="0.25">
      <c r="A4303" s="3">
        <f>IF(Raw_Data!J4303=0,Raw_Data!D4303,"")</f>
        <v>545.73</v>
      </c>
      <c r="B4303" s="3" t="str">
        <f>IF(Raw_Data!J4303=1,Raw_Data!D4303,"")</f>
        <v/>
      </c>
    </row>
    <row r="4304" spans="1:2" x14ac:dyDescent="0.25">
      <c r="A4304" s="3">
        <f>IF(Raw_Data!J4304=0,Raw_Data!D4304,"")</f>
        <v>2096.59</v>
      </c>
      <c r="B4304" s="3" t="str">
        <f>IF(Raw_Data!J4304=1,Raw_Data!D4304,"")</f>
        <v/>
      </c>
    </row>
    <row r="4305" spans="1:2" x14ac:dyDescent="0.25">
      <c r="A4305" s="3">
        <f>IF(Raw_Data!J4305=0,Raw_Data!D4305,"")</f>
        <v>1362.54</v>
      </c>
      <c r="B4305" s="3" t="str">
        <f>IF(Raw_Data!J4305=1,Raw_Data!D4305,"")</f>
        <v/>
      </c>
    </row>
    <row r="4306" spans="1:2" x14ac:dyDescent="0.25">
      <c r="A4306" s="3">
        <f>IF(Raw_Data!J4306=0,Raw_Data!D4306,"")</f>
        <v>5429.11</v>
      </c>
      <c r="B4306" s="3" t="str">
        <f>IF(Raw_Data!J4306=1,Raw_Data!D4306,"")</f>
        <v/>
      </c>
    </row>
    <row r="4307" spans="1:2" x14ac:dyDescent="0.25">
      <c r="A4307" s="3">
        <f>IF(Raw_Data!J4307=0,Raw_Data!D4307,"")</f>
        <v>3906.24</v>
      </c>
      <c r="B4307" s="3" t="str">
        <f>IF(Raw_Data!J4307=1,Raw_Data!D4307,"")</f>
        <v/>
      </c>
    </row>
    <row r="4308" spans="1:2" x14ac:dyDescent="0.25">
      <c r="A4308" s="3" t="str">
        <f>IF(Raw_Data!J4308=0,Raw_Data!D4308,"")</f>
        <v/>
      </c>
      <c r="B4308" s="3">
        <f>IF(Raw_Data!J4308=1,Raw_Data!D4308,"")</f>
        <v>2769.75</v>
      </c>
    </row>
    <row r="4309" spans="1:2" x14ac:dyDescent="0.25">
      <c r="A4309" s="3">
        <f>IF(Raw_Data!J4309=0,Raw_Data!D4309,"")</f>
        <v>7586.8</v>
      </c>
      <c r="B4309" s="3" t="str">
        <f>IF(Raw_Data!J4309=1,Raw_Data!D4309,"")</f>
        <v/>
      </c>
    </row>
    <row r="4310" spans="1:2" x14ac:dyDescent="0.25">
      <c r="A4310" s="3">
        <f>IF(Raw_Data!J4310=0,Raw_Data!D4310,"")</f>
        <v>3474.83</v>
      </c>
      <c r="B4310" s="3" t="str">
        <f>IF(Raw_Data!J4310=1,Raw_Data!D4310,"")</f>
        <v/>
      </c>
    </row>
    <row r="4311" spans="1:2" x14ac:dyDescent="0.25">
      <c r="A4311" s="3" t="str">
        <f>IF(Raw_Data!J4311=0,Raw_Data!D4311,"")</f>
        <v/>
      </c>
      <c r="B4311" s="3">
        <f>IF(Raw_Data!J4311=1,Raw_Data!D4311,"")</f>
        <v>6163.45</v>
      </c>
    </row>
    <row r="4312" spans="1:2" x14ac:dyDescent="0.25">
      <c r="A4312" s="3">
        <f>IF(Raw_Data!J4312=0,Raw_Data!D4312,"")</f>
        <v>556.69000000000005</v>
      </c>
      <c r="B4312" s="3" t="str">
        <f>IF(Raw_Data!J4312=1,Raw_Data!D4312,"")</f>
        <v/>
      </c>
    </row>
    <row r="4313" spans="1:2" x14ac:dyDescent="0.25">
      <c r="A4313" s="3">
        <f>IF(Raw_Data!J4313=0,Raw_Data!D4313,"")</f>
        <v>947.84</v>
      </c>
      <c r="B4313" s="3" t="str">
        <f>IF(Raw_Data!J4313=1,Raw_Data!D4313,"")</f>
        <v/>
      </c>
    </row>
    <row r="4314" spans="1:2" x14ac:dyDescent="0.25">
      <c r="A4314" s="3">
        <f>IF(Raw_Data!J4314=0,Raw_Data!D4314,"")</f>
        <v>1935.65</v>
      </c>
      <c r="B4314" s="3" t="str">
        <f>IF(Raw_Data!J4314=1,Raw_Data!D4314,"")</f>
        <v/>
      </c>
    </row>
    <row r="4315" spans="1:2" x14ac:dyDescent="0.25">
      <c r="A4315" s="3">
        <f>IF(Raw_Data!J4315=0,Raw_Data!D4315,"")</f>
        <v>3744.64</v>
      </c>
      <c r="B4315" s="3" t="str">
        <f>IF(Raw_Data!J4315=1,Raw_Data!D4315,"")</f>
        <v/>
      </c>
    </row>
    <row r="4316" spans="1:2" x14ac:dyDescent="0.25">
      <c r="A4316" s="3" t="str">
        <f>IF(Raw_Data!J4316=0,Raw_Data!D4316,"")</f>
        <v/>
      </c>
      <c r="B4316" s="3">
        <f>IF(Raw_Data!J4316=1,Raw_Data!D4316,"")</f>
        <v>2422.39</v>
      </c>
    </row>
    <row r="4317" spans="1:2" x14ac:dyDescent="0.25">
      <c r="A4317" s="3">
        <f>IF(Raw_Data!J4317=0,Raw_Data!D4317,"")</f>
        <v>1330.56</v>
      </c>
      <c r="B4317" s="3" t="str">
        <f>IF(Raw_Data!J4317=1,Raw_Data!D4317,"")</f>
        <v/>
      </c>
    </row>
    <row r="4318" spans="1:2" x14ac:dyDescent="0.25">
      <c r="A4318" s="3">
        <f>IF(Raw_Data!J4318=0,Raw_Data!D4318,"")</f>
        <v>4035.5</v>
      </c>
      <c r="B4318" s="3" t="str">
        <f>IF(Raw_Data!J4318=1,Raw_Data!D4318,"")</f>
        <v/>
      </c>
    </row>
    <row r="4319" spans="1:2" x14ac:dyDescent="0.25">
      <c r="A4319" s="3">
        <f>IF(Raw_Data!J4319=0,Raw_Data!D4319,"")</f>
        <v>4541.3999999999996</v>
      </c>
      <c r="B4319" s="3" t="str">
        <f>IF(Raw_Data!J4319=1,Raw_Data!D4319,"")</f>
        <v/>
      </c>
    </row>
    <row r="4320" spans="1:2" x14ac:dyDescent="0.25">
      <c r="A4320" s="3">
        <f>IF(Raw_Data!J4320=0,Raw_Data!D4320,"")</f>
        <v>1981.69</v>
      </c>
      <c r="B4320" s="3" t="str">
        <f>IF(Raw_Data!J4320=1,Raw_Data!D4320,"")</f>
        <v/>
      </c>
    </row>
    <row r="4321" spans="1:2" x14ac:dyDescent="0.25">
      <c r="A4321" s="3">
        <f>IF(Raw_Data!J4321=0,Raw_Data!D4321,"")</f>
        <v>2755.46</v>
      </c>
      <c r="B4321" s="3" t="str">
        <f>IF(Raw_Data!J4321=1,Raw_Data!D4321,"")</f>
        <v/>
      </c>
    </row>
    <row r="4322" spans="1:2" x14ac:dyDescent="0.25">
      <c r="A4322" s="3">
        <f>IF(Raw_Data!J4322=0,Raw_Data!D4322,"")</f>
        <v>3724.89</v>
      </c>
      <c r="B4322" s="3" t="str">
        <f>IF(Raw_Data!J4322=1,Raw_Data!D4322,"")</f>
        <v/>
      </c>
    </row>
    <row r="4323" spans="1:2" x14ac:dyDescent="0.25">
      <c r="A4323" s="3">
        <f>IF(Raw_Data!J4323=0,Raw_Data!D4323,"")</f>
        <v>1548.47</v>
      </c>
      <c r="B4323" s="3" t="str">
        <f>IF(Raw_Data!J4323=1,Raw_Data!D4323,"")</f>
        <v/>
      </c>
    </row>
    <row r="4324" spans="1:2" x14ac:dyDescent="0.25">
      <c r="A4324" s="3">
        <f>IF(Raw_Data!J4324=0,Raw_Data!D4324,"")</f>
        <v>3374.39</v>
      </c>
      <c r="B4324" s="3" t="str">
        <f>IF(Raw_Data!J4324=1,Raw_Data!D4324,"")</f>
        <v/>
      </c>
    </row>
    <row r="4325" spans="1:2" x14ac:dyDescent="0.25">
      <c r="A4325" s="3">
        <f>IF(Raw_Data!J4325=0,Raw_Data!D4325,"")</f>
        <v>1412.19</v>
      </c>
      <c r="B4325" s="3" t="str">
        <f>IF(Raw_Data!J4325=1,Raw_Data!D4325,"")</f>
        <v/>
      </c>
    </row>
    <row r="4326" spans="1:2" x14ac:dyDescent="0.25">
      <c r="A4326" s="3">
        <f>IF(Raw_Data!J4326=0,Raw_Data!D4326,"")</f>
        <v>3193.93</v>
      </c>
      <c r="B4326" s="3" t="str">
        <f>IF(Raw_Data!J4326=1,Raw_Data!D4326,"")</f>
        <v/>
      </c>
    </row>
    <row r="4327" spans="1:2" x14ac:dyDescent="0.25">
      <c r="A4327" s="3">
        <f>IF(Raw_Data!J4327=0,Raw_Data!D4327,"")</f>
        <v>1297.19</v>
      </c>
      <c r="B4327" s="3" t="str">
        <f>IF(Raw_Data!J4327=1,Raw_Data!D4327,"")</f>
        <v/>
      </c>
    </row>
    <row r="4328" spans="1:2" x14ac:dyDescent="0.25">
      <c r="A4328" s="3">
        <f>IF(Raw_Data!J4328=0,Raw_Data!D4328,"")</f>
        <v>1211.55</v>
      </c>
      <c r="B4328" s="3" t="str">
        <f>IF(Raw_Data!J4328=1,Raw_Data!D4328,"")</f>
        <v/>
      </c>
    </row>
    <row r="4329" spans="1:2" x14ac:dyDescent="0.25">
      <c r="A4329" s="3">
        <f>IF(Raw_Data!J4329=0,Raw_Data!D4329,"")</f>
        <v>1737.48</v>
      </c>
      <c r="B4329" s="3" t="str">
        <f>IF(Raw_Data!J4329=1,Raw_Data!D4329,"")</f>
        <v/>
      </c>
    </row>
    <row r="4330" spans="1:2" x14ac:dyDescent="0.25">
      <c r="A4330" s="3">
        <f>IF(Raw_Data!J4330=0,Raw_Data!D4330,"")</f>
        <v>2165.04</v>
      </c>
      <c r="B4330" s="3" t="str">
        <f>IF(Raw_Data!J4330=1,Raw_Data!D4330,"")</f>
        <v/>
      </c>
    </row>
    <row r="4331" spans="1:2" x14ac:dyDescent="0.25">
      <c r="A4331" s="3">
        <f>IF(Raw_Data!J4331=0,Raw_Data!D4331,"")</f>
        <v>1780.47</v>
      </c>
      <c r="B4331" s="3" t="str">
        <f>IF(Raw_Data!J4331=1,Raw_Data!D4331,"")</f>
        <v/>
      </c>
    </row>
    <row r="4332" spans="1:2" x14ac:dyDescent="0.25">
      <c r="A4332" s="3">
        <f>IF(Raw_Data!J4332=0,Raw_Data!D4332,"")</f>
        <v>3917.56</v>
      </c>
      <c r="B4332" s="3" t="str">
        <f>IF(Raw_Data!J4332=1,Raw_Data!D4332,"")</f>
        <v/>
      </c>
    </row>
    <row r="4333" spans="1:2" x14ac:dyDescent="0.25">
      <c r="A4333" s="3">
        <f>IF(Raw_Data!J4333=0,Raw_Data!D4333,"")</f>
        <v>1811.61</v>
      </c>
      <c r="B4333" s="3" t="str">
        <f>IF(Raw_Data!J4333=1,Raw_Data!D4333,"")</f>
        <v/>
      </c>
    </row>
    <row r="4334" spans="1:2" x14ac:dyDescent="0.25">
      <c r="A4334" s="3">
        <f>IF(Raw_Data!J4334=0,Raw_Data!D4334,"")</f>
        <v>613.42999999999995</v>
      </c>
      <c r="B4334" s="3" t="str">
        <f>IF(Raw_Data!J4334=1,Raw_Data!D4334,"")</f>
        <v/>
      </c>
    </row>
    <row r="4335" spans="1:2" x14ac:dyDescent="0.25">
      <c r="A4335" s="3">
        <f>IF(Raw_Data!J4335=0,Raw_Data!D4335,"")</f>
        <v>3779.74</v>
      </c>
      <c r="B4335" s="3" t="str">
        <f>IF(Raw_Data!J4335=1,Raw_Data!D4335,"")</f>
        <v/>
      </c>
    </row>
    <row r="4336" spans="1:2" x14ac:dyDescent="0.25">
      <c r="A4336" s="3">
        <f>IF(Raw_Data!J4336=0,Raw_Data!D4336,"")</f>
        <v>3492.79</v>
      </c>
      <c r="B4336" s="3" t="str">
        <f>IF(Raw_Data!J4336=1,Raw_Data!D4336,"")</f>
        <v/>
      </c>
    </row>
    <row r="4337" spans="1:2" x14ac:dyDescent="0.25">
      <c r="A4337" s="3">
        <f>IF(Raw_Data!J4337=0,Raw_Data!D4337,"")</f>
        <v>1053.1500000000001</v>
      </c>
      <c r="B4337" s="3" t="str">
        <f>IF(Raw_Data!J4337=1,Raw_Data!D4337,"")</f>
        <v/>
      </c>
    </row>
    <row r="4338" spans="1:2" x14ac:dyDescent="0.25">
      <c r="A4338" s="3">
        <f>IF(Raw_Data!J4338=0,Raw_Data!D4338,"")</f>
        <v>778.33</v>
      </c>
      <c r="B4338" s="3" t="str">
        <f>IF(Raw_Data!J4338=1,Raw_Data!D4338,"")</f>
        <v/>
      </c>
    </row>
    <row r="4339" spans="1:2" x14ac:dyDescent="0.25">
      <c r="A4339" s="3">
        <f>IF(Raw_Data!J4339=0,Raw_Data!D4339,"")</f>
        <v>1326.43</v>
      </c>
      <c r="B4339" s="3" t="str">
        <f>IF(Raw_Data!J4339=1,Raw_Data!D4339,"")</f>
        <v/>
      </c>
    </row>
    <row r="4340" spans="1:2" x14ac:dyDescent="0.25">
      <c r="A4340" s="3" t="str">
        <f>IF(Raw_Data!J4340=0,Raw_Data!D4340,"")</f>
        <v/>
      </c>
      <c r="B4340" s="3">
        <f>IF(Raw_Data!J4340=1,Raw_Data!D4340,"")</f>
        <v>1283.08</v>
      </c>
    </row>
    <row r="4341" spans="1:2" x14ac:dyDescent="0.25">
      <c r="A4341" s="3">
        <f>IF(Raw_Data!J4341=0,Raw_Data!D4341,"")</f>
        <v>2200.23</v>
      </c>
      <c r="B4341" s="3" t="str">
        <f>IF(Raw_Data!J4341=1,Raw_Data!D4341,"")</f>
        <v/>
      </c>
    </row>
    <row r="4342" spans="1:2" x14ac:dyDescent="0.25">
      <c r="A4342" s="3">
        <f>IF(Raw_Data!J4342=0,Raw_Data!D4342,"")</f>
        <v>1751.72</v>
      </c>
      <c r="B4342" s="3" t="str">
        <f>IF(Raw_Data!J4342=1,Raw_Data!D4342,"")</f>
        <v/>
      </c>
    </row>
    <row r="4343" spans="1:2" x14ac:dyDescent="0.25">
      <c r="A4343" s="3">
        <f>IF(Raw_Data!J4343=0,Raw_Data!D4343,"")</f>
        <v>791.76</v>
      </c>
      <c r="B4343" s="3" t="str">
        <f>IF(Raw_Data!J4343=1,Raw_Data!D4343,"")</f>
        <v/>
      </c>
    </row>
    <row r="4344" spans="1:2" x14ac:dyDescent="0.25">
      <c r="A4344" s="3">
        <f>IF(Raw_Data!J4344=0,Raw_Data!D4344,"")</f>
        <v>976.21</v>
      </c>
      <c r="B4344" s="3" t="str">
        <f>IF(Raw_Data!J4344=1,Raw_Data!D4344,"")</f>
        <v/>
      </c>
    </row>
    <row r="4345" spans="1:2" x14ac:dyDescent="0.25">
      <c r="A4345" s="3">
        <f>IF(Raw_Data!J4345=0,Raw_Data!D4345,"")</f>
        <v>1610.41</v>
      </c>
      <c r="B4345" s="3" t="str">
        <f>IF(Raw_Data!J4345=1,Raw_Data!D4345,"")</f>
        <v/>
      </c>
    </row>
    <row r="4346" spans="1:2" x14ac:dyDescent="0.25">
      <c r="A4346" s="3">
        <f>IF(Raw_Data!J4346=0,Raw_Data!D4346,"")</f>
        <v>2670.26</v>
      </c>
      <c r="B4346" s="3" t="str">
        <f>IF(Raw_Data!J4346=1,Raw_Data!D4346,"")</f>
        <v/>
      </c>
    </row>
    <row r="4347" spans="1:2" x14ac:dyDescent="0.25">
      <c r="A4347" s="3">
        <f>IF(Raw_Data!J4347=0,Raw_Data!D4347,"")</f>
        <v>1893.66</v>
      </c>
      <c r="B4347" s="3" t="str">
        <f>IF(Raw_Data!J4347=1,Raw_Data!D4347,"")</f>
        <v/>
      </c>
    </row>
    <row r="4348" spans="1:2" x14ac:dyDescent="0.25">
      <c r="A4348" s="3" t="str">
        <f>IF(Raw_Data!J4348=0,Raw_Data!D4348,"")</f>
        <v/>
      </c>
      <c r="B4348" s="3">
        <f>IF(Raw_Data!J4348=1,Raw_Data!D4348,"")</f>
        <v>2970.75</v>
      </c>
    </row>
    <row r="4349" spans="1:2" x14ac:dyDescent="0.25">
      <c r="A4349" s="3" t="str">
        <f>IF(Raw_Data!J4349=0,Raw_Data!D4349,"")</f>
        <v/>
      </c>
      <c r="B4349" s="3">
        <f>IF(Raw_Data!J4349=1,Raw_Data!D4349,"")</f>
        <v>3446.01</v>
      </c>
    </row>
    <row r="4350" spans="1:2" x14ac:dyDescent="0.25">
      <c r="A4350" s="3">
        <f>IF(Raw_Data!J4350=0,Raw_Data!D4350,"")</f>
        <v>1601.13</v>
      </c>
      <c r="B4350" s="3" t="str">
        <f>IF(Raw_Data!J4350=1,Raw_Data!D4350,"")</f>
        <v/>
      </c>
    </row>
    <row r="4351" spans="1:2" x14ac:dyDescent="0.25">
      <c r="A4351" s="3">
        <f>IF(Raw_Data!J4351=0,Raw_Data!D4351,"")</f>
        <v>4604.13</v>
      </c>
      <c r="B4351" s="3" t="str">
        <f>IF(Raw_Data!J4351=1,Raw_Data!D4351,"")</f>
        <v/>
      </c>
    </row>
    <row r="4352" spans="1:2" x14ac:dyDescent="0.25">
      <c r="A4352" s="3">
        <f>IF(Raw_Data!J4352=0,Raw_Data!D4352,"")</f>
        <v>3155.57</v>
      </c>
      <c r="B4352" s="3" t="str">
        <f>IF(Raw_Data!J4352=1,Raw_Data!D4352,"")</f>
        <v/>
      </c>
    </row>
    <row r="4353" spans="1:2" x14ac:dyDescent="0.25">
      <c r="A4353" s="3">
        <f>IF(Raw_Data!J4353=0,Raw_Data!D4353,"")</f>
        <v>8432.67</v>
      </c>
      <c r="B4353" s="3" t="str">
        <f>IF(Raw_Data!J4353=1,Raw_Data!D4353,"")</f>
        <v/>
      </c>
    </row>
    <row r="4354" spans="1:2" x14ac:dyDescent="0.25">
      <c r="A4354" s="3">
        <f>IF(Raw_Data!J4354=0,Raw_Data!D4354,"")</f>
        <v>1889.77</v>
      </c>
      <c r="B4354" s="3" t="str">
        <f>IF(Raw_Data!J4354=1,Raw_Data!D4354,"")</f>
        <v/>
      </c>
    </row>
    <row r="4355" spans="1:2" x14ac:dyDescent="0.25">
      <c r="A4355" s="3">
        <f>IF(Raw_Data!J4355=0,Raw_Data!D4355,"")</f>
        <v>1580.71</v>
      </c>
      <c r="B4355" s="3" t="str">
        <f>IF(Raw_Data!J4355=1,Raw_Data!D4355,"")</f>
        <v/>
      </c>
    </row>
    <row r="4356" spans="1:2" x14ac:dyDescent="0.25">
      <c r="A4356" s="3">
        <f>IF(Raw_Data!J4356=0,Raw_Data!D4356,"")</f>
        <v>7329.14</v>
      </c>
      <c r="B4356" s="3" t="str">
        <f>IF(Raw_Data!J4356=1,Raw_Data!D4356,"")</f>
        <v/>
      </c>
    </row>
    <row r="4357" spans="1:2" x14ac:dyDescent="0.25">
      <c r="A4357" s="3">
        <f>IF(Raw_Data!J4357=0,Raw_Data!D4357,"")</f>
        <v>2690.66</v>
      </c>
      <c r="B4357" s="3" t="str">
        <f>IF(Raw_Data!J4357=1,Raw_Data!D4357,"")</f>
        <v/>
      </c>
    </row>
    <row r="4358" spans="1:2" x14ac:dyDescent="0.25">
      <c r="A4358" s="3">
        <f>IF(Raw_Data!J4358=0,Raw_Data!D4358,"")</f>
        <v>5472.29</v>
      </c>
      <c r="B4358" s="3" t="str">
        <f>IF(Raw_Data!J4358=1,Raw_Data!D4358,"")</f>
        <v/>
      </c>
    </row>
    <row r="4359" spans="1:2" x14ac:dyDescent="0.25">
      <c r="A4359" s="3">
        <f>IF(Raw_Data!J4359=0,Raw_Data!D4359,"")</f>
        <v>880.79</v>
      </c>
      <c r="B4359" s="3" t="str">
        <f>IF(Raw_Data!J4359=1,Raw_Data!D4359,"")</f>
        <v/>
      </c>
    </row>
    <row r="4360" spans="1:2" x14ac:dyDescent="0.25">
      <c r="A4360" s="3">
        <f>IF(Raw_Data!J4360=0,Raw_Data!D4360,"")</f>
        <v>1473.37</v>
      </c>
      <c r="B4360" s="3" t="str">
        <f>IF(Raw_Data!J4360=1,Raw_Data!D4360,"")</f>
        <v/>
      </c>
    </row>
    <row r="4361" spans="1:2" x14ac:dyDescent="0.25">
      <c r="A4361" s="3" t="str">
        <f>IF(Raw_Data!J4361=0,Raw_Data!D4361,"")</f>
        <v/>
      </c>
      <c r="B4361" s="3">
        <f>IF(Raw_Data!J4361=1,Raw_Data!D4361,"")</f>
        <v>5761.06</v>
      </c>
    </row>
    <row r="4362" spans="1:2" x14ac:dyDescent="0.25">
      <c r="A4362" s="3">
        <f>IF(Raw_Data!J4362=0,Raw_Data!D4362,"")</f>
        <v>3310.73</v>
      </c>
      <c r="B4362" s="3" t="str">
        <f>IF(Raw_Data!J4362=1,Raw_Data!D4362,"")</f>
        <v/>
      </c>
    </row>
    <row r="4363" spans="1:2" x14ac:dyDescent="0.25">
      <c r="A4363" s="3" t="str">
        <f>IF(Raw_Data!J4363=0,Raw_Data!D4363,"")</f>
        <v/>
      </c>
      <c r="B4363" s="3">
        <f>IF(Raw_Data!J4363=1,Raw_Data!D4363,"")</f>
        <v>1562.88</v>
      </c>
    </row>
    <row r="4364" spans="1:2" x14ac:dyDescent="0.25">
      <c r="A4364" s="3">
        <f>IF(Raw_Data!J4364=0,Raw_Data!D4364,"")</f>
        <v>2499.7600000000002</v>
      </c>
      <c r="B4364" s="3" t="str">
        <f>IF(Raw_Data!J4364=1,Raw_Data!D4364,"")</f>
        <v/>
      </c>
    </row>
    <row r="4365" spans="1:2" x14ac:dyDescent="0.25">
      <c r="A4365" s="3">
        <f>IF(Raw_Data!J4365=0,Raw_Data!D4365,"")</f>
        <v>1672.85</v>
      </c>
      <c r="B4365" s="3" t="str">
        <f>IF(Raw_Data!J4365=1,Raw_Data!D4365,"")</f>
        <v/>
      </c>
    </row>
    <row r="4366" spans="1:2" x14ac:dyDescent="0.25">
      <c r="A4366" s="3">
        <f>IF(Raw_Data!J4366=0,Raw_Data!D4366,"")</f>
        <v>1304.3</v>
      </c>
      <c r="B4366" s="3" t="str">
        <f>IF(Raw_Data!J4366=1,Raw_Data!D4366,"")</f>
        <v/>
      </c>
    </row>
    <row r="4367" spans="1:2" x14ac:dyDescent="0.25">
      <c r="A4367" s="3">
        <f>IF(Raw_Data!J4367=0,Raw_Data!D4367,"")</f>
        <v>4355.67</v>
      </c>
      <c r="B4367" s="3" t="str">
        <f>IF(Raw_Data!J4367=1,Raw_Data!D4367,"")</f>
        <v/>
      </c>
    </row>
    <row r="4368" spans="1:2" x14ac:dyDescent="0.25">
      <c r="A4368" s="3">
        <f>IF(Raw_Data!J4368=0,Raw_Data!D4368,"")</f>
        <v>2660.4</v>
      </c>
      <c r="B4368" s="3" t="str">
        <f>IF(Raw_Data!J4368=1,Raw_Data!D4368,"")</f>
        <v/>
      </c>
    </row>
    <row r="4369" spans="1:2" x14ac:dyDescent="0.25">
      <c r="A4369" s="3">
        <f>IF(Raw_Data!J4369=0,Raw_Data!D4369,"")</f>
        <v>2500.5700000000002</v>
      </c>
      <c r="B4369" s="3" t="str">
        <f>IF(Raw_Data!J4369=1,Raw_Data!D4369,"")</f>
        <v/>
      </c>
    </row>
    <row r="4370" spans="1:2" x14ac:dyDescent="0.25">
      <c r="A4370" s="3">
        <f>IF(Raw_Data!J4370=0,Raw_Data!D4370,"")</f>
        <v>1675.9</v>
      </c>
      <c r="B4370" s="3" t="str">
        <f>IF(Raw_Data!J4370=1,Raw_Data!D4370,"")</f>
        <v/>
      </c>
    </row>
    <row r="4371" spans="1:2" x14ac:dyDescent="0.25">
      <c r="A4371" s="3">
        <f>IF(Raw_Data!J4371=0,Raw_Data!D4371,"")</f>
        <v>1888.56</v>
      </c>
      <c r="B4371" s="3" t="str">
        <f>IF(Raw_Data!J4371=1,Raw_Data!D4371,"")</f>
        <v/>
      </c>
    </row>
    <row r="4372" spans="1:2" x14ac:dyDescent="0.25">
      <c r="A4372" s="3">
        <f>IF(Raw_Data!J4372=0,Raw_Data!D4372,"")</f>
        <v>2901.94</v>
      </c>
      <c r="B4372" s="3" t="str">
        <f>IF(Raw_Data!J4372=1,Raw_Data!D4372,"")</f>
        <v/>
      </c>
    </row>
    <row r="4373" spans="1:2" x14ac:dyDescent="0.25">
      <c r="A4373" s="3">
        <f>IF(Raw_Data!J4373=0,Raw_Data!D4373,"")</f>
        <v>3749.48</v>
      </c>
      <c r="B4373" s="3" t="str">
        <f>IF(Raw_Data!J4373=1,Raw_Data!D4373,"")</f>
        <v/>
      </c>
    </row>
    <row r="4374" spans="1:2" x14ac:dyDescent="0.25">
      <c r="A4374" s="3">
        <f>IF(Raw_Data!J4374=0,Raw_Data!D4374,"")</f>
        <v>2882.84</v>
      </c>
      <c r="B4374" s="3" t="str">
        <f>IF(Raw_Data!J4374=1,Raw_Data!D4374,"")</f>
        <v/>
      </c>
    </row>
    <row r="4375" spans="1:2" x14ac:dyDescent="0.25">
      <c r="A4375" s="3" t="str">
        <f>IF(Raw_Data!J4375=0,Raw_Data!D4375,"")</f>
        <v/>
      </c>
      <c r="B4375" s="3">
        <f>IF(Raw_Data!J4375=1,Raw_Data!D4375,"")</f>
        <v>5509.01</v>
      </c>
    </row>
    <row r="4376" spans="1:2" x14ac:dyDescent="0.25">
      <c r="A4376" s="3" t="str">
        <f>IF(Raw_Data!J4376=0,Raw_Data!D4376,"")</f>
        <v/>
      </c>
      <c r="B4376" s="3">
        <f>IF(Raw_Data!J4376=1,Raw_Data!D4376,"")</f>
        <v>4185.3100000000004</v>
      </c>
    </row>
    <row r="4377" spans="1:2" x14ac:dyDescent="0.25">
      <c r="A4377" s="3">
        <f>IF(Raw_Data!J4377=0,Raw_Data!D4377,"")</f>
        <v>4403.96</v>
      </c>
      <c r="B4377" s="3" t="str">
        <f>IF(Raw_Data!J4377=1,Raw_Data!D4377,"")</f>
        <v/>
      </c>
    </row>
    <row r="4378" spans="1:2" x14ac:dyDescent="0.25">
      <c r="A4378" s="3" t="str">
        <f>IF(Raw_Data!J4378=0,Raw_Data!D4378,"")</f>
        <v/>
      </c>
      <c r="B4378" s="3">
        <f>IF(Raw_Data!J4378=1,Raw_Data!D4378,"")</f>
        <v>3146.78</v>
      </c>
    </row>
    <row r="4379" spans="1:2" x14ac:dyDescent="0.25">
      <c r="A4379" s="3" t="str">
        <f>IF(Raw_Data!J4379=0,Raw_Data!D4379,"")</f>
        <v/>
      </c>
      <c r="B4379" s="3">
        <f>IF(Raw_Data!J4379=1,Raw_Data!D4379,"")</f>
        <v>829.58</v>
      </c>
    </row>
    <row r="4380" spans="1:2" x14ac:dyDescent="0.25">
      <c r="A4380" s="3">
        <f>IF(Raw_Data!J4380=0,Raw_Data!D4380,"")</f>
        <v>3132.12</v>
      </c>
      <c r="B4380" s="3" t="str">
        <f>IF(Raw_Data!J4380=1,Raw_Data!D4380,"")</f>
        <v/>
      </c>
    </row>
    <row r="4381" spans="1:2" x14ac:dyDescent="0.25">
      <c r="A4381" s="3">
        <f>IF(Raw_Data!J4381=0,Raw_Data!D4381,"")</f>
        <v>3787.33</v>
      </c>
      <c r="B4381" s="3" t="str">
        <f>IF(Raw_Data!J4381=1,Raw_Data!D4381,"")</f>
        <v/>
      </c>
    </row>
    <row r="4382" spans="1:2" x14ac:dyDescent="0.25">
      <c r="A4382" s="3">
        <f>IF(Raw_Data!J4382=0,Raw_Data!D4382,"")</f>
        <v>1538.23</v>
      </c>
      <c r="B4382" s="3" t="str">
        <f>IF(Raw_Data!J4382=1,Raw_Data!D4382,"")</f>
        <v/>
      </c>
    </row>
    <row r="4383" spans="1:2" x14ac:dyDescent="0.25">
      <c r="A4383" s="3" t="str">
        <f>IF(Raw_Data!J4383=0,Raw_Data!D4383,"")</f>
        <v/>
      </c>
      <c r="B4383" s="3">
        <f>IF(Raw_Data!J4383=1,Raw_Data!D4383,"")</f>
        <v>1549</v>
      </c>
    </row>
    <row r="4384" spans="1:2" x14ac:dyDescent="0.25">
      <c r="A4384" s="3">
        <f>IF(Raw_Data!J4384=0,Raw_Data!D4384,"")</f>
        <v>1879.14</v>
      </c>
      <c r="B4384" s="3" t="str">
        <f>IF(Raw_Data!J4384=1,Raw_Data!D4384,"")</f>
        <v/>
      </c>
    </row>
    <row r="4385" spans="1:2" x14ac:dyDescent="0.25">
      <c r="A4385" s="3">
        <f>IF(Raw_Data!J4385=0,Raw_Data!D4385,"")</f>
        <v>11172.18</v>
      </c>
      <c r="B4385" s="3" t="str">
        <f>IF(Raw_Data!J4385=1,Raw_Data!D4385,"")</f>
        <v/>
      </c>
    </row>
    <row r="4386" spans="1:2" x14ac:dyDescent="0.25">
      <c r="A4386" s="3">
        <f>IF(Raw_Data!J4386=0,Raw_Data!D4386,"")</f>
        <v>2624.34</v>
      </c>
      <c r="B4386" s="3" t="str">
        <f>IF(Raw_Data!J4386=1,Raw_Data!D4386,"")</f>
        <v/>
      </c>
    </row>
    <row r="4387" spans="1:2" x14ac:dyDescent="0.25">
      <c r="A4387" s="3" t="str">
        <f>IF(Raw_Data!J4387=0,Raw_Data!D4387,"")</f>
        <v/>
      </c>
      <c r="B4387" s="3">
        <f>IF(Raw_Data!J4387=1,Raw_Data!D4387,"")</f>
        <v>1544.82</v>
      </c>
    </row>
    <row r="4388" spans="1:2" x14ac:dyDescent="0.25">
      <c r="A4388" s="3">
        <f>IF(Raw_Data!J4388=0,Raw_Data!D4388,"")</f>
        <v>771.75</v>
      </c>
      <c r="B4388" s="3" t="str">
        <f>IF(Raw_Data!J4388=1,Raw_Data!D4388,"")</f>
        <v/>
      </c>
    </row>
    <row r="4389" spans="1:2" x14ac:dyDescent="0.25">
      <c r="A4389" s="3">
        <f>IF(Raw_Data!J4389=0,Raw_Data!D4389,"")</f>
        <v>385.47</v>
      </c>
      <c r="B4389" s="3" t="str">
        <f>IF(Raw_Data!J4389=1,Raw_Data!D4389,"")</f>
        <v/>
      </c>
    </row>
    <row r="4390" spans="1:2" x14ac:dyDescent="0.25">
      <c r="A4390" s="3">
        <f>IF(Raw_Data!J4390=0,Raw_Data!D4390,"")</f>
        <v>3746.72</v>
      </c>
      <c r="B4390" s="3" t="str">
        <f>IF(Raw_Data!J4390=1,Raw_Data!D4390,"")</f>
        <v/>
      </c>
    </row>
    <row r="4391" spans="1:2" x14ac:dyDescent="0.25">
      <c r="A4391" s="3">
        <f>IF(Raw_Data!J4391=0,Raw_Data!D4391,"")</f>
        <v>1895.54</v>
      </c>
      <c r="B4391" s="3" t="str">
        <f>IF(Raw_Data!J4391=1,Raw_Data!D4391,"")</f>
        <v/>
      </c>
    </row>
    <row r="4392" spans="1:2" x14ac:dyDescent="0.25">
      <c r="A4392" s="3">
        <f>IF(Raw_Data!J4392=0,Raw_Data!D4392,"")</f>
        <v>2413.25</v>
      </c>
      <c r="B4392" s="3" t="str">
        <f>IF(Raw_Data!J4392=1,Raw_Data!D4392,"")</f>
        <v/>
      </c>
    </row>
    <row r="4393" spans="1:2" x14ac:dyDescent="0.25">
      <c r="A4393" s="3">
        <f>IF(Raw_Data!J4393=0,Raw_Data!D4393,"")</f>
        <v>1798.13</v>
      </c>
      <c r="B4393" s="3" t="str">
        <f>IF(Raw_Data!J4393=1,Raw_Data!D4393,"")</f>
        <v/>
      </c>
    </row>
    <row r="4394" spans="1:2" x14ac:dyDescent="0.25">
      <c r="A4394" s="3">
        <f>IF(Raw_Data!J4394=0,Raw_Data!D4394,"")</f>
        <v>5844.13</v>
      </c>
      <c r="B4394" s="3" t="str">
        <f>IF(Raw_Data!J4394=1,Raw_Data!D4394,"")</f>
        <v/>
      </c>
    </row>
    <row r="4395" spans="1:2" x14ac:dyDescent="0.25">
      <c r="A4395" s="3">
        <f>IF(Raw_Data!J4395=0,Raw_Data!D4395,"")</f>
        <v>2940.64</v>
      </c>
      <c r="B4395" s="3" t="str">
        <f>IF(Raw_Data!J4395=1,Raw_Data!D4395,"")</f>
        <v/>
      </c>
    </row>
    <row r="4396" spans="1:2" x14ac:dyDescent="0.25">
      <c r="A4396" s="3" t="str">
        <f>IF(Raw_Data!J4396=0,Raw_Data!D4396,"")</f>
        <v/>
      </c>
      <c r="B4396" s="3">
        <f>IF(Raw_Data!J4396=1,Raw_Data!D4396,"")</f>
        <v>1732.71</v>
      </c>
    </row>
    <row r="4397" spans="1:2" x14ac:dyDescent="0.25">
      <c r="A4397" s="3">
        <f>IF(Raw_Data!J4397=0,Raw_Data!D4397,"")</f>
        <v>741.4</v>
      </c>
      <c r="B4397" s="3" t="str">
        <f>IF(Raw_Data!J4397=1,Raw_Data!D4397,"")</f>
        <v/>
      </c>
    </row>
    <row r="4398" spans="1:2" x14ac:dyDescent="0.25">
      <c r="A4398" s="3">
        <f>IF(Raw_Data!J4398=0,Raw_Data!D4398,"")</f>
        <v>2011.88</v>
      </c>
      <c r="B4398" s="3" t="str">
        <f>IF(Raw_Data!J4398=1,Raw_Data!D4398,"")</f>
        <v/>
      </c>
    </row>
    <row r="4399" spans="1:2" x14ac:dyDescent="0.25">
      <c r="A4399" s="3" t="str">
        <f>IF(Raw_Data!J4399=0,Raw_Data!D4399,"")</f>
        <v/>
      </c>
      <c r="B4399" s="3">
        <f>IF(Raw_Data!J4399=1,Raw_Data!D4399,"")</f>
        <v>5407.68</v>
      </c>
    </row>
    <row r="4400" spans="1:2" x14ac:dyDescent="0.25">
      <c r="A4400" s="3">
        <f>IF(Raw_Data!J4400=0,Raw_Data!D4400,"")</f>
        <v>3365.42</v>
      </c>
      <c r="B4400" s="3" t="str">
        <f>IF(Raw_Data!J4400=1,Raw_Data!D4400,"")</f>
        <v/>
      </c>
    </row>
    <row r="4401" spans="1:2" x14ac:dyDescent="0.25">
      <c r="A4401" s="3">
        <f>IF(Raw_Data!J4401=0,Raw_Data!D4401,"")</f>
        <v>1566.27</v>
      </c>
      <c r="B4401" s="3" t="str">
        <f>IF(Raw_Data!J4401=1,Raw_Data!D4401,"")</f>
        <v/>
      </c>
    </row>
    <row r="4402" spans="1:2" x14ac:dyDescent="0.25">
      <c r="A4402" s="3" t="str">
        <f>IF(Raw_Data!J4402=0,Raw_Data!D4402,"")</f>
        <v/>
      </c>
      <c r="B4402" s="3">
        <f>IF(Raw_Data!J4402=1,Raw_Data!D4402,"")</f>
        <v>2479.54</v>
      </c>
    </row>
    <row r="4403" spans="1:2" x14ac:dyDescent="0.25">
      <c r="A4403" s="3">
        <f>IF(Raw_Data!J4403=0,Raw_Data!D4403,"")</f>
        <v>3083.29</v>
      </c>
      <c r="B4403" s="3" t="str">
        <f>IF(Raw_Data!J4403=1,Raw_Data!D4403,"")</f>
        <v/>
      </c>
    </row>
    <row r="4404" spans="1:2" x14ac:dyDescent="0.25">
      <c r="A4404" s="3">
        <f>IF(Raw_Data!J4404=0,Raw_Data!D4404,"")</f>
        <v>1794.35</v>
      </c>
      <c r="B4404" s="3" t="str">
        <f>IF(Raw_Data!J4404=1,Raw_Data!D4404,"")</f>
        <v/>
      </c>
    </row>
    <row r="4405" spans="1:2" x14ac:dyDescent="0.25">
      <c r="A4405" s="3">
        <f>IF(Raw_Data!J4405=0,Raw_Data!D4405,"")</f>
        <v>4574.41</v>
      </c>
      <c r="B4405" s="3" t="str">
        <f>IF(Raw_Data!J4405=1,Raw_Data!D4405,"")</f>
        <v/>
      </c>
    </row>
    <row r="4406" spans="1:2" x14ac:dyDescent="0.25">
      <c r="A4406" s="3">
        <f>IF(Raw_Data!J4406=0,Raw_Data!D4406,"")</f>
        <v>2166.21</v>
      </c>
      <c r="B4406" s="3" t="str">
        <f>IF(Raw_Data!J4406=1,Raw_Data!D4406,"")</f>
        <v/>
      </c>
    </row>
    <row r="4407" spans="1:2" x14ac:dyDescent="0.25">
      <c r="A4407" s="3">
        <f>IF(Raw_Data!J4407=0,Raw_Data!D4407,"")</f>
        <v>494.1</v>
      </c>
      <c r="B4407" s="3" t="str">
        <f>IF(Raw_Data!J4407=1,Raw_Data!D4407,"")</f>
        <v/>
      </c>
    </row>
    <row r="4408" spans="1:2" x14ac:dyDescent="0.25">
      <c r="A4408" s="3">
        <f>IF(Raw_Data!J4408=0,Raw_Data!D4408,"")</f>
        <v>1190.3900000000001</v>
      </c>
      <c r="B4408" s="3" t="str">
        <f>IF(Raw_Data!J4408=1,Raw_Data!D4408,"")</f>
        <v/>
      </c>
    </row>
    <row r="4409" spans="1:2" x14ac:dyDescent="0.25">
      <c r="A4409" s="3">
        <f>IF(Raw_Data!J4409=0,Raw_Data!D4409,"")</f>
        <v>1157.3699999999999</v>
      </c>
      <c r="B4409" s="3" t="str">
        <f>IF(Raw_Data!J4409=1,Raw_Data!D4409,"")</f>
        <v/>
      </c>
    </row>
    <row r="4410" spans="1:2" x14ac:dyDescent="0.25">
      <c r="A4410" s="3">
        <f>IF(Raw_Data!J4410=0,Raw_Data!D4410,"")</f>
        <v>772.84</v>
      </c>
      <c r="B4410" s="3" t="str">
        <f>IF(Raw_Data!J4410=1,Raw_Data!D4410,"")</f>
        <v/>
      </c>
    </row>
    <row r="4411" spans="1:2" x14ac:dyDescent="0.25">
      <c r="A4411" s="3">
        <f>IF(Raw_Data!J4411=0,Raw_Data!D4411,"")</f>
        <v>3445.38</v>
      </c>
      <c r="B4411" s="3" t="str">
        <f>IF(Raw_Data!J4411=1,Raw_Data!D4411,"")</f>
        <v/>
      </c>
    </row>
    <row r="4412" spans="1:2" x14ac:dyDescent="0.25">
      <c r="A4412" s="3">
        <f>IF(Raw_Data!J4412=0,Raw_Data!D4412,"")</f>
        <v>1772.87</v>
      </c>
      <c r="B4412" s="3" t="str">
        <f>IF(Raw_Data!J4412=1,Raw_Data!D4412,"")</f>
        <v/>
      </c>
    </row>
    <row r="4413" spans="1:2" x14ac:dyDescent="0.25">
      <c r="A4413" s="3" t="str">
        <f>IF(Raw_Data!J4413=0,Raw_Data!D4413,"")</f>
        <v/>
      </c>
      <c r="B4413" s="3">
        <f>IF(Raw_Data!J4413=1,Raw_Data!D4413,"")</f>
        <v>2525.9699999999998</v>
      </c>
    </row>
    <row r="4414" spans="1:2" x14ac:dyDescent="0.25">
      <c r="A4414" s="3">
        <f>IF(Raw_Data!J4414=0,Raw_Data!D4414,"")</f>
        <v>3458.65</v>
      </c>
      <c r="B4414" s="3" t="str">
        <f>IF(Raw_Data!J4414=1,Raw_Data!D4414,"")</f>
        <v/>
      </c>
    </row>
    <row r="4415" spans="1:2" x14ac:dyDescent="0.25">
      <c r="A4415" s="3">
        <f>IF(Raw_Data!J4415=0,Raw_Data!D4415,"")</f>
        <v>1763.59</v>
      </c>
      <c r="B4415" s="3" t="str">
        <f>IF(Raw_Data!J4415=1,Raw_Data!D4415,"")</f>
        <v/>
      </c>
    </row>
    <row r="4416" spans="1:2" x14ac:dyDescent="0.25">
      <c r="A4416" s="3" t="str">
        <f>IF(Raw_Data!J4416=0,Raw_Data!D4416,"")</f>
        <v/>
      </c>
      <c r="B4416" s="3">
        <f>IF(Raw_Data!J4416=1,Raw_Data!D4416,"")</f>
        <v>3197.56</v>
      </c>
    </row>
    <row r="4417" spans="1:2" x14ac:dyDescent="0.25">
      <c r="A4417" s="3">
        <f>IF(Raw_Data!J4417=0,Raw_Data!D4417,"")</f>
        <v>1946.6</v>
      </c>
      <c r="B4417" s="3" t="str">
        <f>IF(Raw_Data!J4417=1,Raw_Data!D4417,"")</f>
        <v/>
      </c>
    </row>
    <row r="4418" spans="1:2" x14ac:dyDescent="0.25">
      <c r="A4418" s="3">
        <f>IF(Raw_Data!J4418=0,Raw_Data!D4418,"")</f>
        <v>702.81</v>
      </c>
      <c r="B4418" s="3" t="str">
        <f>IF(Raw_Data!J4418=1,Raw_Data!D4418,"")</f>
        <v/>
      </c>
    </row>
    <row r="4419" spans="1:2" x14ac:dyDescent="0.25">
      <c r="A4419" s="3">
        <f>IF(Raw_Data!J4419=0,Raw_Data!D4419,"")</f>
        <v>1320.4</v>
      </c>
      <c r="B4419" s="3" t="str">
        <f>IF(Raw_Data!J4419=1,Raw_Data!D4419,"")</f>
        <v/>
      </c>
    </row>
    <row r="4420" spans="1:2" x14ac:dyDescent="0.25">
      <c r="A4420" s="3">
        <f>IF(Raw_Data!J4420=0,Raw_Data!D4420,"")</f>
        <v>3870.81</v>
      </c>
      <c r="B4420" s="3" t="str">
        <f>IF(Raw_Data!J4420=1,Raw_Data!D4420,"")</f>
        <v/>
      </c>
    </row>
    <row r="4421" spans="1:2" x14ac:dyDescent="0.25">
      <c r="A4421" s="3" t="str">
        <f>IF(Raw_Data!J4421=0,Raw_Data!D4421,"")</f>
        <v/>
      </c>
      <c r="B4421" s="3">
        <f>IF(Raw_Data!J4421=1,Raw_Data!D4421,"")</f>
        <v>1971.96</v>
      </c>
    </row>
    <row r="4422" spans="1:2" x14ac:dyDescent="0.25">
      <c r="A4422" s="3">
        <f>IF(Raw_Data!J4422=0,Raw_Data!D4422,"")</f>
        <v>4067.63</v>
      </c>
      <c r="B4422" s="3" t="str">
        <f>IF(Raw_Data!J4422=1,Raw_Data!D4422,"")</f>
        <v/>
      </c>
    </row>
    <row r="4423" spans="1:2" x14ac:dyDescent="0.25">
      <c r="A4423" s="3">
        <f>IF(Raw_Data!J4423=0,Raw_Data!D4423,"")</f>
        <v>1786.5</v>
      </c>
      <c r="B4423" s="3" t="str">
        <f>IF(Raw_Data!J4423=1,Raw_Data!D4423,"")</f>
        <v/>
      </c>
    </row>
    <row r="4424" spans="1:2" x14ac:dyDescent="0.25">
      <c r="A4424" s="3">
        <f>IF(Raw_Data!J4424=0,Raw_Data!D4424,"")</f>
        <v>1713.99</v>
      </c>
      <c r="B4424" s="3" t="str">
        <f>IF(Raw_Data!J4424=1,Raw_Data!D4424,"")</f>
        <v/>
      </c>
    </row>
    <row r="4425" spans="1:2" x14ac:dyDescent="0.25">
      <c r="A4425" s="3">
        <f>IF(Raw_Data!J4425=0,Raw_Data!D4425,"")</f>
        <v>2005.94</v>
      </c>
      <c r="B4425" s="3" t="str">
        <f>IF(Raw_Data!J4425=1,Raw_Data!D4425,"")</f>
        <v/>
      </c>
    </row>
    <row r="4426" spans="1:2" x14ac:dyDescent="0.25">
      <c r="A4426" s="3">
        <f>IF(Raw_Data!J4426=0,Raw_Data!D4426,"")</f>
        <v>2867.9</v>
      </c>
      <c r="B4426" s="3" t="str">
        <f>IF(Raw_Data!J4426=1,Raw_Data!D4426,"")</f>
        <v/>
      </c>
    </row>
    <row r="4427" spans="1:2" x14ac:dyDescent="0.25">
      <c r="A4427" s="3">
        <f>IF(Raw_Data!J4427=0,Raw_Data!D4427,"")</f>
        <v>977.97</v>
      </c>
      <c r="B4427" s="3" t="str">
        <f>IF(Raw_Data!J4427=1,Raw_Data!D4427,"")</f>
        <v/>
      </c>
    </row>
    <row r="4428" spans="1:2" x14ac:dyDescent="0.25">
      <c r="A4428" s="3" t="str">
        <f>IF(Raw_Data!J4428=0,Raw_Data!D4428,"")</f>
        <v/>
      </c>
      <c r="B4428" s="3">
        <f>IF(Raw_Data!J4428=1,Raw_Data!D4428,"")</f>
        <v>4608.4799999999996</v>
      </c>
    </row>
    <row r="4429" spans="1:2" x14ac:dyDescent="0.25">
      <c r="A4429" s="3">
        <f>IF(Raw_Data!J4429=0,Raw_Data!D4429,"")</f>
        <v>1963.17</v>
      </c>
      <c r="B4429" s="3" t="str">
        <f>IF(Raw_Data!J4429=1,Raw_Data!D4429,"")</f>
        <v/>
      </c>
    </row>
    <row r="4430" spans="1:2" x14ac:dyDescent="0.25">
      <c r="A4430" s="3">
        <f>IF(Raw_Data!J4430=0,Raw_Data!D4430,"")</f>
        <v>431.26</v>
      </c>
      <c r="B4430" s="3" t="str">
        <f>IF(Raw_Data!J4430=1,Raw_Data!D4430,"")</f>
        <v/>
      </c>
    </row>
    <row r="4431" spans="1:2" x14ac:dyDescent="0.25">
      <c r="A4431" s="3">
        <f>IF(Raw_Data!J4431=0,Raw_Data!D4431,"")</f>
        <v>4314.62</v>
      </c>
      <c r="B4431" s="3" t="str">
        <f>IF(Raw_Data!J4431=1,Raw_Data!D4431,"")</f>
        <v/>
      </c>
    </row>
    <row r="4432" spans="1:2" x14ac:dyDescent="0.25">
      <c r="A4432" s="3" t="str">
        <f>IF(Raw_Data!J4432=0,Raw_Data!D4432,"")</f>
        <v/>
      </c>
      <c r="B4432" s="3">
        <f>IF(Raw_Data!J4432=1,Raw_Data!D4432,"")</f>
        <v>4314.57</v>
      </c>
    </row>
    <row r="4433" spans="1:2" x14ac:dyDescent="0.25">
      <c r="A4433" s="3">
        <f>IF(Raw_Data!J4433=0,Raw_Data!D4433,"")</f>
        <v>234.71</v>
      </c>
      <c r="B4433" s="3" t="str">
        <f>IF(Raw_Data!J4433=1,Raw_Data!D4433,"")</f>
        <v/>
      </c>
    </row>
    <row r="4434" spans="1:2" x14ac:dyDescent="0.25">
      <c r="A4434" s="3" t="str">
        <f>IF(Raw_Data!J4434=0,Raw_Data!D4434,"")</f>
        <v/>
      </c>
      <c r="B4434" s="3">
        <f>IF(Raw_Data!J4434=1,Raw_Data!D4434,"")</f>
        <v>457.44</v>
      </c>
    </row>
    <row r="4435" spans="1:2" x14ac:dyDescent="0.25">
      <c r="A4435" s="3">
        <f>IF(Raw_Data!J4435=0,Raw_Data!D4435,"")</f>
        <v>967.31</v>
      </c>
      <c r="B4435" s="3" t="str">
        <f>IF(Raw_Data!J4435=1,Raw_Data!D4435,"")</f>
        <v/>
      </c>
    </row>
    <row r="4436" spans="1:2" x14ac:dyDescent="0.25">
      <c r="A4436" s="3">
        <f>IF(Raw_Data!J4436=0,Raw_Data!D4436,"")</f>
        <v>661.45</v>
      </c>
      <c r="B4436" s="3" t="str">
        <f>IF(Raw_Data!J4436=1,Raw_Data!D4436,"")</f>
        <v/>
      </c>
    </row>
    <row r="4437" spans="1:2" x14ac:dyDescent="0.25">
      <c r="A4437" s="3" t="str">
        <f>IF(Raw_Data!J4437=0,Raw_Data!D4437,"")</f>
        <v/>
      </c>
      <c r="B4437" s="3">
        <f>IF(Raw_Data!J4437=1,Raw_Data!D4437,"")</f>
        <v>617.32000000000005</v>
      </c>
    </row>
    <row r="4438" spans="1:2" x14ac:dyDescent="0.25">
      <c r="A4438" s="3" t="str">
        <f>IF(Raw_Data!J4438=0,Raw_Data!D4438,"")</f>
        <v/>
      </c>
      <c r="B4438" s="3">
        <f>IF(Raw_Data!J4438=1,Raw_Data!D4438,"")</f>
        <v>2340.65</v>
      </c>
    </row>
    <row r="4439" spans="1:2" x14ac:dyDescent="0.25">
      <c r="A4439" s="3">
        <f>IF(Raw_Data!J4439=0,Raw_Data!D4439,"")</f>
        <v>2653.1</v>
      </c>
      <c r="B4439" s="3" t="str">
        <f>IF(Raw_Data!J4439=1,Raw_Data!D4439,"")</f>
        <v/>
      </c>
    </row>
    <row r="4440" spans="1:2" x14ac:dyDescent="0.25">
      <c r="A4440" s="3">
        <f>IF(Raw_Data!J4440=0,Raw_Data!D4440,"")</f>
        <v>4048.51</v>
      </c>
      <c r="B4440" s="3" t="str">
        <f>IF(Raw_Data!J4440=1,Raw_Data!D4440,"")</f>
        <v/>
      </c>
    </row>
    <row r="4441" spans="1:2" x14ac:dyDescent="0.25">
      <c r="A4441" s="3">
        <f>IF(Raw_Data!J4441=0,Raw_Data!D4441,"")</f>
        <v>2256.4499999999998</v>
      </c>
      <c r="B4441" s="3" t="str">
        <f>IF(Raw_Data!J4441=1,Raw_Data!D4441,"")</f>
        <v/>
      </c>
    </row>
    <row r="4442" spans="1:2" x14ac:dyDescent="0.25">
      <c r="A4442" s="3">
        <f>IF(Raw_Data!J4442=0,Raw_Data!D4442,"")</f>
        <v>372.8</v>
      </c>
      <c r="B4442" s="3" t="str">
        <f>IF(Raw_Data!J4442=1,Raw_Data!D4442,"")</f>
        <v/>
      </c>
    </row>
    <row r="4443" spans="1:2" x14ac:dyDescent="0.25">
      <c r="A4443" s="3">
        <f>IF(Raw_Data!J4443=0,Raw_Data!D4443,"")</f>
        <v>3201.95</v>
      </c>
      <c r="B4443" s="3" t="str">
        <f>IF(Raw_Data!J4443=1,Raw_Data!D4443,"")</f>
        <v/>
      </c>
    </row>
    <row r="4444" spans="1:2" x14ac:dyDescent="0.25">
      <c r="A4444" s="3">
        <f>IF(Raw_Data!J4444=0,Raw_Data!D4444,"")</f>
        <v>2985.63</v>
      </c>
      <c r="B4444" s="3" t="str">
        <f>IF(Raw_Data!J4444=1,Raw_Data!D4444,"")</f>
        <v/>
      </c>
    </row>
    <row r="4445" spans="1:2" x14ac:dyDescent="0.25">
      <c r="A4445" s="3">
        <f>IF(Raw_Data!J4445=0,Raw_Data!D4445,"")</f>
        <v>7994.98</v>
      </c>
      <c r="B4445" s="3" t="str">
        <f>IF(Raw_Data!J4445=1,Raw_Data!D4445,"")</f>
        <v/>
      </c>
    </row>
    <row r="4446" spans="1:2" x14ac:dyDescent="0.25">
      <c r="A4446" s="3" t="str">
        <f>IF(Raw_Data!J4446=0,Raw_Data!D4446,"")</f>
        <v/>
      </c>
      <c r="B4446" s="3">
        <f>IF(Raw_Data!J4446=1,Raw_Data!D4446,"")</f>
        <v>4889.74</v>
      </c>
    </row>
    <row r="4447" spans="1:2" x14ac:dyDescent="0.25">
      <c r="A4447" s="3">
        <f>IF(Raw_Data!J4447=0,Raw_Data!D4447,"")</f>
        <v>2273</v>
      </c>
      <c r="B4447" s="3" t="str">
        <f>IF(Raw_Data!J4447=1,Raw_Data!D4447,"")</f>
        <v/>
      </c>
    </row>
    <row r="4448" spans="1:2" x14ac:dyDescent="0.25">
      <c r="A4448" s="3" t="str">
        <f>IF(Raw_Data!J4448=0,Raw_Data!D4448,"")</f>
        <v/>
      </c>
      <c r="B4448" s="3">
        <f>IF(Raw_Data!J4448=1,Raw_Data!D4448,"")</f>
        <v>1208.83</v>
      </c>
    </row>
    <row r="4449" spans="1:2" x14ac:dyDescent="0.25">
      <c r="A4449" s="3">
        <f>IF(Raw_Data!J4449=0,Raw_Data!D4449,"")</f>
        <v>1283.68</v>
      </c>
      <c r="B4449" s="3" t="str">
        <f>IF(Raw_Data!J4449=1,Raw_Data!D4449,"")</f>
        <v/>
      </c>
    </row>
    <row r="4450" spans="1:2" x14ac:dyDescent="0.25">
      <c r="A4450" s="3" t="str">
        <f>IF(Raw_Data!J4450=0,Raw_Data!D4450,"")</f>
        <v/>
      </c>
      <c r="B4450" s="3">
        <f>IF(Raw_Data!J4450=1,Raw_Data!D4450,"")</f>
        <v>3479.08</v>
      </c>
    </row>
    <row r="4451" spans="1:2" x14ac:dyDescent="0.25">
      <c r="A4451" s="3" t="str">
        <f>IF(Raw_Data!J4451=0,Raw_Data!D4451,"")</f>
        <v/>
      </c>
      <c r="B4451" s="3">
        <f>IF(Raw_Data!J4451=1,Raw_Data!D4451,"")</f>
        <v>1062.03</v>
      </c>
    </row>
    <row r="4452" spans="1:2" x14ac:dyDescent="0.25">
      <c r="A4452" s="3" t="str">
        <f>IF(Raw_Data!J4452=0,Raw_Data!D4452,"")</f>
        <v/>
      </c>
      <c r="B4452" s="3">
        <f>IF(Raw_Data!J4452=1,Raw_Data!D4452,"")</f>
        <v>4046.08</v>
      </c>
    </row>
    <row r="4453" spans="1:2" x14ac:dyDescent="0.25">
      <c r="A4453" s="3">
        <f>IF(Raw_Data!J4453=0,Raw_Data!D4453,"")</f>
        <v>1349.03</v>
      </c>
      <c r="B4453" s="3" t="str">
        <f>IF(Raw_Data!J4453=1,Raw_Data!D4453,"")</f>
        <v/>
      </c>
    </row>
    <row r="4454" spans="1:2" x14ac:dyDescent="0.25">
      <c r="A4454" s="3">
        <f>IF(Raw_Data!J4454=0,Raw_Data!D4454,"")</f>
        <v>2694.43</v>
      </c>
      <c r="B4454" s="3" t="str">
        <f>IF(Raw_Data!J4454=1,Raw_Data!D4454,"")</f>
        <v/>
      </c>
    </row>
    <row r="4455" spans="1:2" x14ac:dyDescent="0.25">
      <c r="A4455" s="3">
        <f>IF(Raw_Data!J4455=0,Raw_Data!D4455,"")</f>
        <v>666.75</v>
      </c>
      <c r="B4455" s="3" t="str">
        <f>IF(Raw_Data!J4455=1,Raw_Data!D4455,"")</f>
        <v/>
      </c>
    </row>
    <row r="4456" spans="1:2" x14ac:dyDescent="0.25">
      <c r="A4456" s="3">
        <f>IF(Raw_Data!J4456=0,Raw_Data!D4456,"")</f>
        <v>1275.3800000000001</v>
      </c>
      <c r="B4456" s="3" t="str">
        <f>IF(Raw_Data!J4456=1,Raw_Data!D4456,"")</f>
        <v/>
      </c>
    </row>
    <row r="4457" spans="1:2" x14ac:dyDescent="0.25">
      <c r="A4457" s="3">
        <f>IF(Raw_Data!J4457=0,Raw_Data!D4457,"")</f>
        <v>2205.5100000000002</v>
      </c>
      <c r="B4457" s="3" t="str">
        <f>IF(Raw_Data!J4457=1,Raw_Data!D4457,"")</f>
        <v/>
      </c>
    </row>
    <row r="4458" spans="1:2" x14ac:dyDescent="0.25">
      <c r="A4458" s="3">
        <f>IF(Raw_Data!J4458=0,Raw_Data!D4458,"")</f>
        <v>645.01</v>
      </c>
      <c r="B4458" s="3" t="str">
        <f>IF(Raw_Data!J4458=1,Raw_Data!D4458,"")</f>
        <v/>
      </c>
    </row>
    <row r="4459" spans="1:2" x14ac:dyDescent="0.25">
      <c r="A4459" s="3">
        <f>IF(Raw_Data!J4459=0,Raw_Data!D4459,"")</f>
        <v>2052.87</v>
      </c>
      <c r="B4459" s="3" t="str">
        <f>IF(Raw_Data!J4459=1,Raw_Data!D4459,"")</f>
        <v/>
      </c>
    </row>
    <row r="4460" spans="1:2" x14ac:dyDescent="0.25">
      <c r="A4460" s="3">
        <f>IF(Raw_Data!J4460=0,Raw_Data!D4460,"")</f>
        <v>4078.34</v>
      </c>
      <c r="B4460" s="3" t="str">
        <f>IF(Raw_Data!J4460=1,Raw_Data!D4460,"")</f>
        <v/>
      </c>
    </row>
    <row r="4461" spans="1:2" x14ac:dyDescent="0.25">
      <c r="A4461" s="3">
        <f>IF(Raw_Data!J4461=0,Raw_Data!D4461,"")</f>
        <v>841.84</v>
      </c>
      <c r="B4461" s="3" t="str">
        <f>IF(Raw_Data!J4461=1,Raw_Data!D4461,"")</f>
        <v/>
      </c>
    </row>
    <row r="4462" spans="1:2" x14ac:dyDescent="0.25">
      <c r="A4462" s="3">
        <f>IF(Raw_Data!J4462=0,Raw_Data!D4462,"")</f>
        <v>1111.5899999999999</v>
      </c>
      <c r="B4462" s="3" t="str">
        <f>IF(Raw_Data!J4462=1,Raw_Data!D4462,"")</f>
        <v/>
      </c>
    </row>
    <row r="4463" spans="1:2" x14ac:dyDescent="0.25">
      <c r="A4463" s="3">
        <f>IF(Raw_Data!J4463=0,Raw_Data!D4463,"")</f>
        <v>2076.1999999999998</v>
      </c>
      <c r="B4463" s="3" t="str">
        <f>IF(Raw_Data!J4463=1,Raw_Data!D4463,"")</f>
        <v/>
      </c>
    </row>
    <row r="4464" spans="1:2" x14ac:dyDescent="0.25">
      <c r="A4464" s="3" t="str">
        <f>IF(Raw_Data!J4464=0,Raw_Data!D4464,"")</f>
        <v/>
      </c>
      <c r="B4464" s="3">
        <f>IF(Raw_Data!J4464=1,Raw_Data!D4464,"")</f>
        <v>1740.53</v>
      </c>
    </row>
    <row r="4465" spans="1:2" x14ac:dyDescent="0.25">
      <c r="A4465" s="3" t="str">
        <f>IF(Raw_Data!J4465=0,Raw_Data!D4465,"")</f>
        <v/>
      </c>
      <c r="B4465" s="3">
        <f>IF(Raw_Data!J4465=1,Raw_Data!D4465,"")</f>
        <v>1812.97</v>
      </c>
    </row>
    <row r="4466" spans="1:2" x14ac:dyDescent="0.25">
      <c r="A4466" s="3" t="str">
        <f>IF(Raw_Data!J4466=0,Raw_Data!D4466,"")</f>
        <v/>
      </c>
      <c r="B4466" s="3">
        <f>IF(Raw_Data!J4466=1,Raw_Data!D4466,"")</f>
        <v>2971.95</v>
      </c>
    </row>
    <row r="4467" spans="1:2" x14ac:dyDescent="0.25">
      <c r="A4467" s="3">
        <f>IF(Raw_Data!J4467=0,Raw_Data!D4467,"")</f>
        <v>2121.9</v>
      </c>
      <c r="B4467" s="3" t="str">
        <f>IF(Raw_Data!J4467=1,Raw_Data!D4467,"")</f>
        <v/>
      </c>
    </row>
    <row r="4468" spans="1:2" x14ac:dyDescent="0.25">
      <c r="A4468" s="3" t="str">
        <f>IF(Raw_Data!J4468=0,Raw_Data!D4468,"")</f>
        <v/>
      </c>
      <c r="B4468" s="3">
        <f>IF(Raw_Data!J4468=1,Raw_Data!D4468,"")</f>
        <v>6124.08</v>
      </c>
    </row>
    <row r="4469" spans="1:2" x14ac:dyDescent="0.25">
      <c r="A4469" s="3">
        <f>IF(Raw_Data!J4469=0,Raw_Data!D4469,"")</f>
        <v>3378.7</v>
      </c>
      <c r="B4469" s="3" t="str">
        <f>IF(Raw_Data!J4469=1,Raw_Data!D4469,"")</f>
        <v/>
      </c>
    </row>
    <row r="4470" spans="1:2" x14ac:dyDescent="0.25">
      <c r="A4470" s="3">
        <f>IF(Raw_Data!J4470=0,Raw_Data!D4470,"")</f>
        <v>3399.3</v>
      </c>
      <c r="B4470" s="3" t="str">
        <f>IF(Raw_Data!J4470=1,Raw_Data!D4470,"")</f>
        <v/>
      </c>
    </row>
    <row r="4471" spans="1:2" x14ac:dyDescent="0.25">
      <c r="A4471" s="3" t="str">
        <f>IF(Raw_Data!J4471=0,Raw_Data!D4471,"")</f>
        <v/>
      </c>
      <c r="B4471" s="3">
        <f>IF(Raw_Data!J4471=1,Raw_Data!D4471,"")</f>
        <v>1066.93</v>
      </c>
    </row>
    <row r="4472" spans="1:2" x14ac:dyDescent="0.25">
      <c r="A4472" s="3">
        <f>IF(Raw_Data!J4472=0,Raw_Data!D4472,"")</f>
        <v>1199.8</v>
      </c>
      <c r="B4472" s="3" t="str">
        <f>IF(Raw_Data!J4472=1,Raw_Data!D4472,"")</f>
        <v/>
      </c>
    </row>
    <row r="4473" spans="1:2" x14ac:dyDescent="0.25">
      <c r="A4473" s="3">
        <f>IF(Raw_Data!J4473=0,Raw_Data!D4473,"")</f>
        <v>2336.08</v>
      </c>
      <c r="B4473" s="3" t="str">
        <f>IF(Raw_Data!J4473=1,Raw_Data!D4473,"")</f>
        <v/>
      </c>
    </row>
    <row r="4474" spans="1:2" x14ac:dyDescent="0.25">
      <c r="A4474" s="3" t="str">
        <f>IF(Raw_Data!J4474=0,Raw_Data!D4474,"")</f>
        <v/>
      </c>
      <c r="B4474" s="3">
        <f>IF(Raw_Data!J4474=1,Raw_Data!D4474,"")</f>
        <v>3060.43</v>
      </c>
    </row>
    <row r="4475" spans="1:2" x14ac:dyDescent="0.25">
      <c r="A4475" s="3" t="str">
        <f>IF(Raw_Data!J4475=0,Raw_Data!D4475,"")</f>
        <v/>
      </c>
      <c r="B4475" s="3">
        <f>IF(Raw_Data!J4475=1,Raw_Data!D4475,"")</f>
        <v>3122.6</v>
      </c>
    </row>
    <row r="4476" spans="1:2" x14ac:dyDescent="0.25">
      <c r="A4476" s="3">
        <f>IF(Raw_Data!J4476=0,Raw_Data!D4476,"")</f>
        <v>1992.2</v>
      </c>
      <c r="B4476" s="3" t="str">
        <f>IF(Raw_Data!J4476=1,Raw_Data!D4476,"")</f>
        <v/>
      </c>
    </row>
    <row r="4477" spans="1:2" x14ac:dyDescent="0.25">
      <c r="A4477" s="3">
        <f>IF(Raw_Data!J4477=0,Raw_Data!D4477,"")</f>
        <v>1532.87</v>
      </c>
      <c r="B4477" s="3" t="str">
        <f>IF(Raw_Data!J4477=1,Raw_Data!D4477,"")</f>
        <v/>
      </c>
    </row>
    <row r="4478" spans="1:2" x14ac:dyDescent="0.25">
      <c r="A4478" s="3" t="str">
        <f>IF(Raw_Data!J4478=0,Raw_Data!D4478,"")</f>
        <v/>
      </c>
      <c r="B4478" s="3">
        <f>IF(Raw_Data!J4478=1,Raw_Data!D4478,"")</f>
        <v>1245.21</v>
      </c>
    </row>
    <row r="4479" spans="1:2" x14ac:dyDescent="0.25">
      <c r="A4479" s="3">
        <f>IF(Raw_Data!J4479=0,Raw_Data!D4479,"")</f>
        <v>3126.83</v>
      </c>
      <c r="B4479" s="3" t="str">
        <f>IF(Raw_Data!J4479=1,Raw_Data!D4479,"")</f>
        <v/>
      </c>
    </row>
    <row r="4480" spans="1:2" x14ac:dyDescent="0.25">
      <c r="A4480" s="3">
        <f>IF(Raw_Data!J4480=0,Raw_Data!D4480,"")</f>
        <v>2375.34</v>
      </c>
      <c r="B4480" s="3" t="str">
        <f>IF(Raw_Data!J4480=1,Raw_Data!D4480,"")</f>
        <v/>
      </c>
    </row>
    <row r="4481" spans="1:2" x14ac:dyDescent="0.25">
      <c r="A4481" s="3">
        <f>IF(Raw_Data!J4481=0,Raw_Data!D4481,"")</f>
        <v>4486.76</v>
      </c>
      <c r="B4481" s="3" t="str">
        <f>IF(Raw_Data!J4481=1,Raw_Data!D4481,"")</f>
        <v/>
      </c>
    </row>
    <row r="4482" spans="1:2" x14ac:dyDescent="0.25">
      <c r="A4482" s="3">
        <f>IF(Raw_Data!J4482=0,Raw_Data!D4482,"")</f>
        <v>1483.54</v>
      </c>
      <c r="B4482" s="3" t="str">
        <f>IF(Raw_Data!J4482=1,Raw_Data!D4482,"")</f>
        <v/>
      </c>
    </row>
    <row r="4483" spans="1:2" x14ac:dyDescent="0.25">
      <c r="A4483" s="3">
        <f>IF(Raw_Data!J4483=0,Raw_Data!D4483,"")</f>
        <v>4521.18</v>
      </c>
      <c r="B4483" s="3" t="str">
        <f>IF(Raw_Data!J4483=1,Raw_Data!D4483,"")</f>
        <v/>
      </c>
    </row>
    <row r="4484" spans="1:2" x14ac:dyDescent="0.25">
      <c r="A4484" s="3" t="str">
        <f>IF(Raw_Data!J4484=0,Raw_Data!D4484,"")</f>
        <v/>
      </c>
      <c r="B4484" s="3">
        <f>IF(Raw_Data!J4484=1,Raw_Data!D4484,"")</f>
        <v>7409.01</v>
      </c>
    </row>
    <row r="4485" spans="1:2" x14ac:dyDescent="0.25">
      <c r="A4485" s="3">
        <f>IF(Raw_Data!J4485=0,Raw_Data!D4485,"")</f>
        <v>2226.38</v>
      </c>
      <c r="B4485" s="3" t="str">
        <f>IF(Raw_Data!J4485=1,Raw_Data!D4485,"")</f>
        <v/>
      </c>
    </row>
    <row r="4486" spans="1:2" x14ac:dyDescent="0.25">
      <c r="A4486" s="3">
        <f>IF(Raw_Data!J4486=0,Raw_Data!D4486,"")</f>
        <v>4158.6099999999997</v>
      </c>
      <c r="B4486" s="3" t="str">
        <f>IF(Raw_Data!J4486=1,Raw_Data!D4486,"")</f>
        <v/>
      </c>
    </row>
    <row r="4487" spans="1:2" x14ac:dyDescent="0.25">
      <c r="A4487" s="3" t="str">
        <f>IF(Raw_Data!J4487=0,Raw_Data!D4487,"")</f>
        <v/>
      </c>
      <c r="B4487" s="3">
        <f>IF(Raw_Data!J4487=1,Raw_Data!D4487,"")</f>
        <v>3724.73</v>
      </c>
    </row>
    <row r="4488" spans="1:2" x14ac:dyDescent="0.25">
      <c r="A4488" s="3">
        <f>IF(Raw_Data!J4488=0,Raw_Data!D4488,"")</f>
        <v>1141.74</v>
      </c>
      <c r="B4488" s="3" t="str">
        <f>IF(Raw_Data!J4488=1,Raw_Data!D4488,"")</f>
        <v/>
      </c>
    </row>
    <row r="4489" spans="1:2" x14ac:dyDescent="0.25">
      <c r="A4489" s="3" t="str">
        <f>IF(Raw_Data!J4489=0,Raw_Data!D4489,"")</f>
        <v/>
      </c>
      <c r="B4489" s="3">
        <f>IF(Raw_Data!J4489=1,Raw_Data!D4489,"")</f>
        <v>1332.88</v>
      </c>
    </row>
    <row r="4490" spans="1:2" x14ac:dyDescent="0.25">
      <c r="A4490" s="3" t="str">
        <f>IF(Raw_Data!J4490=0,Raw_Data!D4490,"")</f>
        <v/>
      </c>
      <c r="B4490" s="3">
        <f>IF(Raw_Data!J4490=1,Raw_Data!D4490,"")</f>
        <v>2255.84</v>
      </c>
    </row>
    <row r="4491" spans="1:2" x14ac:dyDescent="0.25">
      <c r="A4491" s="3">
        <f>IF(Raw_Data!J4491=0,Raw_Data!D4491,"")</f>
        <v>3794.01</v>
      </c>
      <c r="B4491" s="3" t="str">
        <f>IF(Raw_Data!J4491=1,Raw_Data!D4491,"")</f>
        <v/>
      </c>
    </row>
    <row r="4492" spans="1:2" x14ac:dyDescent="0.25">
      <c r="A4492" s="3">
        <f>IF(Raw_Data!J4492=0,Raw_Data!D4492,"")</f>
        <v>2572.9899999999998</v>
      </c>
      <c r="B4492" s="3" t="str">
        <f>IF(Raw_Data!J4492=1,Raw_Data!D4492,"")</f>
        <v/>
      </c>
    </row>
    <row r="4493" spans="1:2" x14ac:dyDescent="0.25">
      <c r="A4493" s="3">
        <f>IF(Raw_Data!J4493=0,Raw_Data!D4493,"")</f>
        <v>3325.62</v>
      </c>
      <c r="B4493" s="3" t="str">
        <f>IF(Raw_Data!J4493=1,Raw_Data!D4493,"")</f>
        <v/>
      </c>
    </row>
    <row r="4494" spans="1:2" x14ac:dyDescent="0.25">
      <c r="A4494" s="3">
        <f>IF(Raw_Data!J4494=0,Raw_Data!D4494,"")</f>
        <v>979.21</v>
      </c>
      <c r="B4494" s="3" t="str">
        <f>IF(Raw_Data!J4494=1,Raw_Data!D4494,"")</f>
        <v/>
      </c>
    </row>
    <row r="4495" spans="1:2" x14ac:dyDescent="0.25">
      <c r="A4495" s="3" t="str">
        <f>IF(Raw_Data!J4495=0,Raw_Data!D4495,"")</f>
        <v/>
      </c>
      <c r="B4495" s="3">
        <f>IF(Raw_Data!J4495=1,Raw_Data!D4495,"")</f>
        <v>926.41</v>
      </c>
    </row>
    <row r="4496" spans="1:2" x14ac:dyDescent="0.25">
      <c r="A4496" s="3">
        <f>IF(Raw_Data!J4496=0,Raw_Data!D4496,"")</f>
        <v>3844.67</v>
      </c>
      <c r="B4496" s="3" t="str">
        <f>IF(Raw_Data!J4496=1,Raw_Data!D4496,"")</f>
        <v/>
      </c>
    </row>
    <row r="4497" spans="1:2" x14ac:dyDescent="0.25">
      <c r="A4497" s="3" t="str">
        <f>IF(Raw_Data!J4497=0,Raw_Data!D4497,"")</f>
        <v/>
      </c>
      <c r="B4497" s="3">
        <f>IF(Raw_Data!J4497=1,Raw_Data!D4497,"")</f>
        <v>5563.44</v>
      </c>
    </row>
    <row r="4498" spans="1:2" x14ac:dyDescent="0.25">
      <c r="A4498" s="3">
        <f>IF(Raw_Data!J4498=0,Raw_Data!D4498,"")</f>
        <v>8747.34</v>
      </c>
      <c r="B4498" s="3" t="str">
        <f>IF(Raw_Data!J4498=1,Raw_Data!D4498,"")</f>
        <v/>
      </c>
    </row>
    <row r="4499" spans="1:2" x14ac:dyDescent="0.25">
      <c r="A4499" s="3">
        <f>IF(Raw_Data!J4499=0,Raw_Data!D4499,"")</f>
        <v>727.48</v>
      </c>
      <c r="B4499" s="3" t="str">
        <f>IF(Raw_Data!J4499=1,Raw_Data!D4499,"")</f>
        <v/>
      </c>
    </row>
    <row r="4500" spans="1:2" x14ac:dyDescent="0.25">
      <c r="A4500" s="3">
        <f>IF(Raw_Data!J4500=0,Raw_Data!D4500,"")</f>
        <v>1070.58</v>
      </c>
      <c r="B4500" s="3" t="str">
        <f>IF(Raw_Data!J4500=1,Raw_Data!D4500,"")</f>
        <v/>
      </c>
    </row>
    <row r="4501" spans="1:2" x14ac:dyDescent="0.25">
      <c r="A4501" s="3">
        <f>IF(Raw_Data!J4501=0,Raw_Data!D4501,"")</f>
        <v>3246.03</v>
      </c>
      <c r="B4501" s="3" t="str">
        <f>IF(Raw_Data!J4501=1,Raw_Data!D4501,"")</f>
        <v/>
      </c>
    </row>
    <row r="4502" spans="1:2" x14ac:dyDescent="0.25">
      <c r="A4502" s="3">
        <f>IF(Raw_Data!J4502=0,Raw_Data!D4502,"")</f>
        <v>3202.57</v>
      </c>
      <c r="B4502" s="3" t="str">
        <f>IF(Raw_Data!J4502=1,Raw_Data!D4502,"")</f>
        <v/>
      </c>
    </row>
    <row r="4503" spans="1:2" x14ac:dyDescent="0.25">
      <c r="A4503" s="3">
        <f>IF(Raw_Data!J4503=0,Raw_Data!D4503,"")</f>
        <v>4544.12</v>
      </c>
      <c r="B4503" s="3" t="str">
        <f>IF(Raw_Data!J4503=1,Raw_Data!D4503,"")</f>
        <v/>
      </c>
    </row>
    <row r="4504" spans="1:2" x14ac:dyDescent="0.25">
      <c r="A4504" s="3">
        <f>IF(Raw_Data!J4504=0,Raw_Data!D4504,"")</f>
        <v>986.33</v>
      </c>
      <c r="B4504" s="3" t="str">
        <f>IF(Raw_Data!J4504=1,Raw_Data!D4504,"")</f>
        <v/>
      </c>
    </row>
    <row r="4505" spans="1:2" x14ac:dyDescent="0.25">
      <c r="A4505" s="3">
        <f>IF(Raw_Data!J4505=0,Raw_Data!D4505,"")</f>
        <v>1579.39</v>
      </c>
      <c r="B4505" s="3" t="str">
        <f>IF(Raw_Data!J4505=1,Raw_Data!D4505,"")</f>
        <v/>
      </c>
    </row>
    <row r="4506" spans="1:2" x14ac:dyDescent="0.25">
      <c r="A4506" s="3">
        <f>IF(Raw_Data!J4506=0,Raw_Data!D4506,"")</f>
        <v>413.55</v>
      </c>
      <c r="B4506" s="3" t="str">
        <f>IF(Raw_Data!J4506=1,Raw_Data!D4506,"")</f>
        <v/>
      </c>
    </row>
    <row r="4507" spans="1:2" x14ac:dyDescent="0.25">
      <c r="A4507" s="3">
        <f>IF(Raw_Data!J4507=0,Raw_Data!D4507,"")</f>
        <v>1985.52</v>
      </c>
      <c r="B4507" s="3" t="str">
        <f>IF(Raw_Data!J4507=1,Raw_Data!D4507,"")</f>
        <v/>
      </c>
    </row>
    <row r="4508" spans="1:2" x14ac:dyDescent="0.25">
      <c r="A4508" s="3">
        <f>IF(Raw_Data!J4508=0,Raw_Data!D4508,"")</f>
        <v>1368.79</v>
      </c>
      <c r="B4508" s="3" t="str">
        <f>IF(Raw_Data!J4508=1,Raw_Data!D4508,"")</f>
        <v/>
      </c>
    </row>
    <row r="4509" spans="1:2" x14ac:dyDescent="0.25">
      <c r="A4509" s="3">
        <f>IF(Raw_Data!J4509=0,Raw_Data!D4509,"")</f>
        <v>2165.3000000000002</v>
      </c>
      <c r="B4509" s="3" t="str">
        <f>IF(Raw_Data!J4509=1,Raw_Data!D4509,"")</f>
        <v/>
      </c>
    </row>
    <row r="4510" spans="1:2" x14ac:dyDescent="0.25">
      <c r="A4510" s="3">
        <f>IF(Raw_Data!J4510=0,Raw_Data!D4510,"")</f>
        <v>1529.81</v>
      </c>
      <c r="B4510" s="3" t="str">
        <f>IF(Raw_Data!J4510=1,Raw_Data!D4510,"")</f>
        <v/>
      </c>
    </row>
    <row r="4511" spans="1:2" x14ac:dyDescent="0.25">
      <c r="A4511" s="3" t="str">
        <f>IF(Raw_Data!J4511=0,Raw_Data!D4511,"")</f>
        <v/>
      </c>
      <c r="B4511" s="3">
        <f>IF(Raw_Data!J4511=1,Raw_Data!D4511,"")</f>
        <v>3437.12</v>
      </c>
    </row>
    <row r="4512" spans="1:2" x14ac:dyDescent="0.25">
      <c r="A4512" s="3">
        <f>IF(Raw_Data!J4512=0,Raw_Data!D4512,"")</f>
        <v>1512.08</v>
      </c>
      <c r="B4512" s="3" t="str">
        <f>IF(Raw_Data!J4512=1,Raw_Data!D4512,"")</f>
        <v/>
      </c>
    </row>
    <row r="4513" spans="1:2" x14ac:dyDescent="0.25">
      <c r="A4513" s="3" t="str">
        <f>IF(Raw_Data!J4513=0,Raw_Data!D4513,"")</f>
        <v/>
      </c>
      <c r="B4513" s="3">
        <f>IF(Raw_Data!J4513=1,Raw_Data!D4513,"")</f>
        <v>4922.66</v>
      </c>
    </row>
    <row r="4514" spans="1:2" x14ac:dyDescent="0.25">
      <c r="A4514" s="3">
        <f>IF(Raw_Data!J4514=0,Raw_Data!D4514,"")</f>
        <v>617.42999999999995</v>
      </c>
      <c r="B4514" s="3" t="str">
        <f>IF(Raw_Data!J4514=1,Raw_Data!D4514,"")</f>
        <v/>
      </c>
    </row>
    <row r="4515" spans="1:2" x14ac:dyDescent="0.25">
      <c r="A4515" s="3" t="str">
        <f>IF(Raw_Data!J4515=0,Raw_Data!D4515,"")</f>
        <v/>
      </c>
      <c r="B4515" s="3">
        <f>IF(Raw_Data!J4515=1,Raw_Data!D4515,"")</f>
        <v>629.73</v>
      </c>
    </row>
    <row r="4516" spans="1:2" x14ac:dyDescent="0.25">
      <c r="A4516" s="3">
        <f>IF(Raw_Data!J4516=0,Raw_Data!D4516,"")</f>
        <v>1311.62</v>
      </c>
      <c r="B4516" s="3" t="str">
        <f>IF(Raw_Data!J4516=1,Raw_Data!D4516,"")</f>
        <v/>
      </c>
    </row>
    <row r="4517" spans="1:2" x14ac:dyDescent="0.25">
      <c r="A4517" s="3">
        <f>IF(Raw_Data!J4517=0,Raw_Data!D4517,"")</f>
        <v>3699.06</v>
      </c>
      <c r="B4517" s="3" t="str">
        <f>IF(Raw_Data!J4517=1,Raw_Data!D4517,"")</f>
        <v/>
      </c>
    </row>
    <row r="4518" spans="1:2" x14ac:dyDescent="0.25">
      <c r="A4518" s="3">
        <f>IF(Raw_Data!J4518=0,Raw_Data!D4518,"")</f>
        <v>5494.28</v>
      </c>
      <c r="B4518" s="3" t="str">
        <f>IF(Raw_Data!J4518=1,Raw_Data!D4518,"")</f>
        <v/>
      </c>
    </row>
    <row r="4519" spans="1:2" x14ac:dyDescent="0.25">
      <c r="A4519" s="3">
        <f>IF(Raw_Data!J4519=0,Raw_Data!D4519,"")</f>
        <v>1024.0999999999999</v>
      </c>
      <c r="B4519" s="3" t="str">
        <f>IF(Raw_Data!J4519=1,Raw_Data!D4519,"")</f>
        <v/>
      </c>
    </row>
    <row r="4520" spans="1:2" x14ac:dyDescent="0.25">
      <c r="A4520" s="3">
        <f>IF(Raw_Data!J4520=0,Raw_Data!D4520,"")</f>
        <v>2410.13</v>
      </c>
      <c r="B4520" s="3" t="str">
        <f>IF(Raw_Data!J4520=1,Raw_Data!D4520,"")</f>
        <v/>
      </c>
    </row>
    <row r="4521" spans="1:2" x14ac:dyDescent="0.25">
      <c r="A4521" s="3">
        <f>IF(Raw_Data!J4521=0,Raw_Data!D4521,"")</f>
        <v>243.28</v>
      </c>
      <c r="B4521" s="3" t="str">
        <f>IF(Raw_Data!J4521=1,Raw_Data!D4521,"")</f>
        <v/>
      </c>
    </row>
    <row r="4522" spans="1:2" x14ac:dyDescent="0.25">
      <c r="A4522" s="3">
        <f>IF(Raw_Data!J4522=0,Raw_Data!D4522,"")</f>
        <v>2315.25</v>
      </c>
      <c r="B4522" s="3" t="str">
        <f>IF(Raw_Data!J4522=1,Raw_Data!D4522,"")</f>
        <v/>
      </c>
    </row>
    <row r="4523" spans="1:2" x14ac:dyDescent="0.25">
      <c r="A4523" s="3">
        <f>IF(Raw_Data!J4523=0,Raw_Data!D4523,"")</f>
        <v>889.51</v>
      </c>
      <c r="B4523" s="3" t="str">
        <f>IF(Raw_Data!J4523=1,Raw_Data!D4523,"")</f>
        <v/>
      </c>
    </row>
    <row r="4524" spans="1:2" x14ac:dyDescent="0.25">
      <c r="A4524" s="3">
        <f>IF(Raw_Data!J4524=0,Raw_Data!D4524,"")</f>
        <v>3424.97</v>
      </c>
      <c r="B4524" s="3" t="str">
        <f>IF(Raw_Data!J4524=1,Raw_Data!D4524,"")</f>
        <v/>
      </c>
    </row>
    <row r="4525" spans="1:2" x14ac:dyDescent="0.25">
      <c r="A4525" s="3">
        <f>IF(Raw_Data!J4525=0,Raw_Data!D4525,"")</f>
        <v>6939.11</v>
      </c>
      <c r="B4525" s="3" t="str">
        <f>IF(Raw_Data!J4525=1,Raw_Data!D4525,"")</f>
        <v/>
      </c>
    </row>
    <row r="4526" spans="1:2" x14ac:dyDescent="0.25">
      <c r="A4526" s="3">
        <f>IF(Raw_Data!J4526=0,Raw_Data!D4526,"")</f>
        <v>2886.41</v>
      </c>
      <c r="B4526" s="3" t="str">
        <f>IF(Raw_Data!J4526=1,Raw_Data!D4526,"")</f>
        <v/>
      </c>
    </row>
    <row r="4527" spans="1:2" x14ac:dyDescent="0.25">
      <c r="A4527" s="3" t="str">
        <f>IF(Raw_Data!J4527=0,Raw_Data!D4527,"")</f>
        <v/>
      </c>
      <c r="B4527" s="3">
        <f>IF(Raw_Data!J4527=1,Raw_Data!D4527,"")</f>
        <v>2895.86</v>
      </c>
    </row>
    <row r="4528" spans="1:2" x14ac:dyDescent="0.25">
      <c r="A4528" s="3">
        <f>IF(Raw_Data!J4528=0,Raw_Data!D4528,"")</f>
        <v>1464.27</v>
      </c>
      <c r="B4528" s="3" t="str">
        <f>IF(Raw_Data!J4528=1,Raw_Data!D4528,"")</f>
        <v/>
      </c>
    </row>
    <row r="4529" spans="1:2" x14ac:dyDescent="0.25">
      <c r="A4529" s="3" t="str">
        <f>IF(Raw_Data!J4529=0,Raw_Data!D4529,"")</f>
        <v/>
      </c>
      <c r="B4529" s="3">
        <f>IF(Raw_Data!J4529=1,Raw_Data!D4529,"")</f>
        <v>101.25</v>
      </c>
    </row>
    <row r="4530" spans="1:2" x14ac:dyDescent="0.25">
      <c r="A4530" s="3">
        <f>IF(Raw_Data!J4530=0,Raw_Data!D4530,"")</f>
        <v>1309.3499999999999</v>
      </c>
      <c r="B4530" s="3" t="str">
        <f>IF(Raw_Data!J4530=1,Raw_Data!D4530,"")</f>
        <v/>
      </c>
    </row>
    <row r="4531" spans="1:2" x14ac:dyDescent="0.25">
      <c r="A4531" s="3">
        <f>IF(Raw_Data!J4531=0,Raw_Data!D4531,"")</f>
        <v>1794.75</v>
      </c>
      <c r="B4531" s="3" t="str">
        <f>IF(Raw_Data!J4531=1,Raw_Data!D4531,"")</f>
        <v/>
      </c>
    </row>
    <row r="4532" spans="1:2" x14ac:dyDescent="0.25">
      <c r="A4532" s="3">
        <f>IF(Raw_Data!J4532=0,Raw_Data!D4532,"")</f>
        <v>9153.7800000000007</v>
      </c>
      <c r="B4532" s="3" t="str">
        <f>IF(Raw_Data!J4532=1,Raw_Data!D4532,"")</f>
        <v/>
      </c>
    </row>
    <row r="4533" spans="1:2" x14ac:dyDescent="0.25">
      <c r="A4533" s="3">
        <f>IF(Raw_Data!J4533=0,Raw_Data!D4533,"")</f>
        <v>2525.17</v>
      </c>
      <c r="B4533" s="3" t="str">
        <f>IF(Raw_Data!J4533=1,Raw_Data!D4533,"")</f>
        <v/>
      </c>
    </row>
    <row r="4534" spans="1:2" x14ac:dyDescent="0.25">
      <c r="A4534" s="3">
        <f>IF(Raw_Data!J4534=0,Raw_Data!D4534,"")</f>
        <v>1576.05</v>
      </c>
      <c r="B4534" s="3" t="str">
        <f>IF(Raw_Data!J4534=1,Raw_Data!D4534,"")</f>
        <v/>
      </c>
    </row>
    <row r="4535" spans="1:2" x14ac:dyDescent="0.25">
      <c r="A4535" s="3">
        <f>IF(Raw_Data!J4535=0,Raw_Data!D4535,"")</f>
        <v>428.01</v>
      </c>
      <c r="B4535" s="3" t="str">
        <f>IF(Raw_Data!J4535=1,Raw_Data!D4535,"")</f>
        <v/>
      </c>
    </row>
    <row r="4536" spans="1:2" x14ac:dyDescent="0.25">
      <c r="A4536" s="3">
        <f>IF(Raw_Data!J4536=0,Raw_Data!D4536,"")</f>
        <v>3989.11</v>
      </c>
      <c r="B4536" s="3" t="str">
        <f>IF(Raw_Data!J4536=1,Raw_Data!D4536,"")</f>
        <v/>
      </c>
    </row>
    <row r="4537" spans="1:2" x14ac:dyDescent="0.25">
      <c r="A4537" s="3">
        <f>IF(Raw_Data!J4537=0,Raw_Data!D4537,"")</f>
        <v>2712.86</v>
      </c>
      <c r="B4537" s="3" t="str">
        <f>IF(Raw_Data!J4537=1,Raw_Data!D4537,"")</f>
        <v/>
      </c>
    </row>
    <row r="4538" spans="1:2" x14ac:dyDescent="0.25">
      <c r="A4538" s="3">
        <f>IF(Raw_Data!J4538=0,Raw_Data!D4538,"")</f>
        <v>1211.68</v>
      </c>
      <c r="B4538" s="3" t="str">
        <f>IF(Raw_Data!J4538=1,Raw_Data!D4538,"")</f>
        <v/>
      </c>
    </row>
    <row r="4539" spans="1:2" x14ac:dyDescent="0.25">
      <c r="A4539" s="3" t="str">
        <f>IF(Raw_Data!J4539=0,Raw_Data!D4539,"")</f>
        <v/>
      </c>
      <c r="B4539" s="3">
        <f>IF(Raw_Data!J4539=1,Raw_Data!D4539,"")</f>
        <v>968.62</v>
      </c>
    </row>
    <row r="4540" spans="1:2" x14ac:dyDescent="0.25">
      <c r="A4540" s="3">
        <f>IF(Raw_Data!J4540=0,Raw_Data!D4540,"")</f>
        <v>4592.37</v>
      </c>
      <c r="B4540" s="3" t="str">
        <f>IF(Raw_Data!J4540=1,Raw_Data!D4540,"")</f>
        <v/>
      </c>
    </row>
    <row r="4541" spans="1:2" x14ac:dyDescent="0.25">
      <c r="A4541" s="3">
        <f>IF(Raw_Data!J4541=0,Raw_Data!D4541,"")</f>
        <v>1111.3399999999999</v>
      </c>
      <c r="B4541" s="3" t="str">
        <f>IF(Raw_Data!J4541=1,Raw_Data!D4541,"")</f>
        <v/>
      </c>
    </row>
    <row r="4542" spans="1:2" x14ac:dyDescent="0.25">
      <c r="A4542" s="3">
        <f>IF(Raw_Data!J4542=0,Raw_Data!D4542,"")</f>
        <v>4415.26</v>
      </c>
      <c r="B4542" s="3" t="str">
        <f>IF(Raw_Data!J4542=1,Raw_Data!D4542,"")</f>
        <v/>
      </c>
    </row>
    <row r="4543" spans="1:2" x14ac:dyDescent="0.25">
      <c r="A4543" s="3" t="str">
        <f>IF(Raw_Data!J4543=0,Raw_Data!D4543,"")</f>
        <v/>
      </c>
      <c r="B4543" s="3">
        <f>IF(Raw_Data!J4543=1,Raw_Data!D4543,"")</f>
        <v>1204.9100000000001</v>
      </c>
    </row>
    <row r="4544" spans="1:2" x14ac:dyDescent="0.25">
      <c r="A4544" s="3">
        <f>IF(Raw_Data!J4544=0,Raw_Data!D4544,"")</f>
        <v>1982.32</v>
      </c>
      <c r="B4544" s="3" t="str">
        <f>IF(Raw_Data!J4544=1,Raw_Data!D4544,"")</f>
        <v/>
      </c>
    </row>
    <row r="4545" spans="1:2" x14ac:dyDescent="0.25">
      <c r="A4545" s="3">
        <f>IF(Raw_Data!J4545=0,Raw_Data!D4545,"")</f>
        <v>2526.25</v>
      </c>
      <c r="B4545" s="3" t="str">
        <f>IF(Raw_Data!J4545=1,Raw_Data!D4545,"")</f>
        <v/>
      </c>
    </row>
    <row r="4546" spans="1:2" x14ac:dyDescent="0.25">
      <c r="A4546" s="3">
        <f>IF(Raw_Data!J4546=0,Raw_Data!D4546,"")</f>
        <v>1923.43</v>
      </c>
      <c r="B4546" s="3" t="str">
        <f>IF(Raw_Data!J4546=1,Raw_Data!D4546,"")</f>
        <v/>
      </c>
    </row>
    <row r="4547" spans="1:2" x14ac:dyDescent="0.25">
      <c r="A4547" s="3">
        <f>IF(Raw_Data!J4547=0,Raw_Data!D4547,"")</f>
        <v>3063.48</v>
      </c>
      <c r="B4547" s="3" t="str">
        <f>IF(Raw_Data!J4547=1,Raw_Data!D4547,"")</f>
        <v/>
      </c>
    </row>
    <row r="4548" spans="1:2" x14ac:dyDescent="0.25">
      <c r="A4548" s="3" t="str">
        <f>IF(Raw_Data!J4548=0,Raw_Data!D4548,"")</f>
        <v/>
      </c>
      <c r="B4548" s="3">
        <f>IF(Raw_Data!J4548=1,Raw_Data!D4548,"")</f>
        <v>728.21</v>
      </c>
    </row>
    <row r="4549" spans="1:2" x14ac:dyDescent="0.25">
      <c r="A4549" s="3" t="str">
        <f>IF(Raw_Data!J4549=0,Raw_Data!D4549,"")</f>
        <v/>
      </c>
      <c r="B4549" s="3">
        <f>IF(Raw_Data!J4549=1,Raw_Data!D4549,"")</f>
        <v>3827.98</v>
      </c>
    </row>
    <row r="4550" spans="1:2" x14ac:dyDescent="0.25">
      <c r="A4550" s="3">
        <f>IF(Raw_Data!J4550=0,Raw_Data!D4550,"")</f>
        <v>4588.37</v>
      </c>
      <c r="B4550" s="3" t="str">
        <f>IF(Raw_Data!J4550=1,Raw_Data!D4550,"")</f>
        <v/>
      </c>
    </row>
    <row r="4551" spans="1:2" x14ac:dyDescent="0.25">
      <c r="A4551" s="3">
        <f>IF(Raw_Data!J4551=0,Raw_Data!D4551,"")</f>
        <v>6266.56</v>
      </c>
      <c r="B4551" s="3" t="str">
        <f>IF(Raw_Data!J4551=1,Raw_Data!D4551,"")</f>
        <v/>
      </c>
    </row>
    <row r="4552" spans="1:2" x14ac:dyDescent="0.25">
      <c r="A4552" s="3">
        <f>IF(Raw_Data!J4552=0,Raw_Data!D4552,"")</f>
        <v>2222.23</v>
      </c>
      <c r="B4552" s="3" t="str">
        <f>IF(Raw_Data!J4552=1,Raw_Data!D4552,"")</f>
        <v/>
      </c>
    </row>
    <row r="4553" spans="1:2" x14ac:dyDescent="0.25">
      <c r="A4553" s="3">
        <f>IF(Raw_Data!J4553=0,Raw_Data!D4553,"")</f>
        <v>2441.2800000000002</v>
      </c>
      <c r="B4553" s="3" t="str">
        <f>IF(Raw_Data!J4553=1,Raw_Data!D4553,"")</f>
        <v/>
      </c>
    </row>
    <row r="4554" spans="1:2" x14ac:dyDescent="0.25">
      <c r="A4554" s="3">
        <f>IF(Raw_Data!J4554=0,Raw_Data!D4554,"")</f>
        <v>6003.94</v>
      </c>
      <c r="B4554" s="3" t="str">
        <f>IF(Raw_Data!J4554=1,Raw_Data!D4554,"")</f>
        <v/>
      </c>
    </row>
    <row r="4555" spans="1:2" x14ac:dyDescent="0.25">
      <c r="A4555" s="3">
        <f>IF(Raw_Data!J4555=0,Raw_Data!D4555,"")</f>
        <v>2453.84</v>
      </c>
      <c r="B4555" s="3" t="str">
        <f>IF(Raw_Data!J4555=1,Raw_Data!D4555,"")</f>
        <v/>
      </c>
    </row>
    <row r="4556" spans="1:2" x14ac:dyDescent="0.25">
      <c r="A4556" s="3">
        <f>IF(Raw_Data!J4556=0,Raw_Data!D4556,"")</f>
        <v>4873.57</v>
      </c>
      <c r="B4556" s="3" t="str">
        <f>IF(Raw_Data!J4556=1,Raw_Data!D4556,"")</f>
        <v/>
      </c>
    </row>
    <row r="4557" spans="1:2" x14ac:dyDescent="0.25">
      <c r="A4557" s="3" t="str">
        <f>IF(Raw_Data!J4557=0,Raw_Data!D4557,"")</f>
        <v/>
      </c>
      <c r="B4557" s="3">
        <f>IF(Raw_Data!J4557=1,Raw_Data!D4557,"")</f>
        <v>1044.5</v>
      </c>
    </row>
    <row r="4558" spans="1:2" x14ac:dyDescent="0.25">
      <c r="A4558" s="3">
        <f>IF(Raw_Data!J4558=0,Raw_Data!D4558,"")</f>
        <v>1905.27</v>
      </c>
      <c r="B4558" s="3" t="str">
        <f>IF(Raw_Data!J4558=1,Raw_Data!D4558,"")</f>
        <v/>
      </c>
    </row>
    <row r="4559" spans="1:2" x14ac:dyDescent="0.25">
      <c r="A4559" s="3">
        <f>IF(Raw_Data!J4559=0,Raw_Data!D4559,"")</f>
        <v>257.45999999999998</v>
      </c>
      <c r="B4559" s="3" t="str">
        <f>IF(Raw_Data!J4559=1,Raw_Data!D4559,"")</f>
        <v/>
      </c>
    </row>
    <row r="4560" spans="1:2" x14ac:dyDescent="0.25">
      <c r="A4560" s="3">
        <f>IF(Raw_Data!J4560=0,Raw_Data!D4560,"")</f>
        <v>945.6</v>
      </c>
      <c r="B4560" s="3" t="str">
        <f>IF(Raw_Data!J4560=1,Raw_Data!D4560,"")</f>
        <v/>
      </c>
    </row>
    <row r="4561" spans="1:2" x14ac:dyDescent="0.25">
      <c r="A4561" s="3">
        <f>IF(Raw_Data!J4561=0,Raw_Data!D4561,"")</f>
        <v>290.66000000000003</v>
      </c>
      <c r="B4561" s="3" t="str">
        <f>IF(Raw_Data!J4561=1,Raw_Data!D4561,"")</f>
        <v/>
      </c>
    </row>
    <row r="4562" spans="1:2" x14ac:dyDescent="0.25">
      <c r="A4562" s="3">
        <f>IF(Raw_Data!J4562=0,Raw_Data!D4562,"")</f>
        <v>4044.52</v>
      </c>
      <c r="B4562" s="3" t="str">
        <f>IF(Raw_Data!J4562=1,Raw_Data!D4562,"")</f>
        <v/>
      </c>
    </row>
    <row r="4563" spans="1:2" x14ac:dyDescent="0.25">
      <c r="A4563" s="3">
        <f>IF(Raw_Data!J4563=0,Raw_Data!D4563,"")</f>
        <v>2909.79</v>
      </c>
      <c r="B4563" s="3" t="str">
        <f>IF(Raw_Data!J4563=1,Raw_Data!D4563,"")</f>
        <v/>
      </c>
    </row>
    <row r="4564" spans="1:2" x14ac:dyDescent="0.25">
      <c r="A4564" s="3">
        <f>IF(Raw_Data!J4564=0,Raw_Data!D4564,"")</f>
        <v>1831.65</v>
      </c>
      <c r="B4564" s="3" t="str">
        <f>IF(Raw_Data!J4564=1,Raw_Data!D4564,"")</f>
        <v/>
      </c>
    </row>
    <row r="4565" spans="1:2" x14ac:dyDescent="0.25">
      <c r="A4565" s="3">
        <f>IF(Raw_Data!J4565=0,Raw_Data!D4565,"")</f>
        <v>3706.05</v>
      </c>
      <c r="B4565" s="3" t="str">
        <f>IF(Raw_Data!J4565=1,Raw_Data!D4565,"")</f>
        <v/>
      </c>
    </row>
    <row r="4566" spans="1:2" x14ac:dyDescent="0.25">
      <c r="A4566" s="3">
        <f>IF(Raw_Data!J4566=0,Raw_Data!D4566,"")</f>
        <v>1645.75</v>
      </c>
      <c r="B4566" s="3" t="str">
        <f>IF(Raw_Data!J4566=1,Raw_Data!D4566,"")</f>
        <v/>
      </c>
    </row>
    <row r="4567" spans="1:2" x14ac:dyDescent="0.25">
      <c r="A4567" s="3">
        <f>IF(Raw_Data!J4567=0,Raw_Data!D4567,"")</f>
        <v>2642.66</v>
      </c>
      <c r="B4567" s="3" t="str">
        <f>IF(Raw_Data!J4567=1,Raw_Data!D4567,"")</f>
        <v/>
      </c>
    </row>
    <row r="4568" spans="1:2" x14ac:dyDescent="0.25">
      <c r="A4568" s="3">
        <f>IF(Raw_Data!J4568=0,Raw_Data!D4568,"")</f>
        <v>2331.39</v>
      </c>
      <c r="B4568" s="3" t="str">
        <f>IF(Raw_Data!J4568=1,Raw_Data!D4568,"")</f>
        <v/>
      </c>
    </row>
    <row r="4569" spans="1:2" x14ac:dyDescent="0.25">
      <c r="A4569" s="3">
        <f>IF(Raw_Data!J4569=0,Raw_Data!D4569,"")</f>
        <v>1650.18</v>
      </c>
      <c r="B4569" s="3" t="str">
        <f>IF(Raw_Data!J4569=1,Raw_Data!D4569,"")</f>
        <v/>
      </c>
    </row>
    <row r="4570" spans="1:2" x14ac:dyDescent="0.25">
      <c r="A4570" s="3">
        <f>IF(Raw_Data!J4570=0,Raw_Data!D4570,"")</f>
        <v>1027.3800000000001</v>
      </c>
      <c r="B4570" s="3" t="str">
        <f>IF(Raw_Data!J4570=1,Raw_Data!D4570,"")</f>
        <v/>
      </c>
    </row>
    <row r="4571" spans="1:2" x14ac:dyDescent="0.25">
      <c r="A4571" s="3" t="str">
        <f>IF(Raw_Data!J4571=0,Raw_Data!D4571,"")</f>
        <v/>
      </c>
      <c r="B4571" s="3">
        <f>IF(Raw_Data!J4571=1,Raw_Data!D4571,"")</f>
        <v>2838.53</v>
      </c>
    </row>
    <row r="4572" spans="1:2" x14ac:dyDescent="0.25">
      <c r="A4572" s="3">
        <f>IF(Raw_Data!J4572=0,Raw_Data!D4572,"")</f>
        <v>4038.62</v>
      </c>
      <c r="B4572" s="3" t="str">
        <f>IF(Raw_Data!J4572=1,Raw_Data!D4572,"")</f>
        <v/>
      </c>
    </row>
    <row r="4573" spans="1:2" x14ac:dyDescent="0.25">
      <c r="A4573" s="3">
        <f>IF(Raw_Data!J4573=0,Raw_Data!D4573,"")</f>
        <v>4069.99</v>
      </c>
      <c r="B4573" s="3" t="str">
        <f>IF(Raw_Data!J4573=1,Raw_Data!D4573,"")</f>
        <v/>
      </c>
    </row>
    <row r="4574" spans="1:2" x14ac:dyDescent="0.25">
      <c r="A4574" s="3">
        <f>IF(Raw_Data!J4574=0,Raw_Data!D4574,"")</f>
        <v>1813.19</v>
      </c>
      <c r="B4574" s="3" t="str">
        <f>IF(Raw_Data!J4574=1,Raw_Data!D4574,"")</f>
        <v/>
      </c>
    </row>
    <row r="4575" spans="1:2" x14ac:dyDescent="0.25">
      <c r="A4575" s="3">
        <f>IF(Raw_Data!J4575=0,Raw_Data!D4575,"")</f>
        <v>1521.17</v>
      </c>
      <c r="B4575" s="3" t="str">
        <f>IF(Raw_Data!J4575=1,Raw_Data!D4575,"")</f>
        <v/>
      </c>
    </row>
    <row r="4576" spans="1:2" x14ac:dyDescent="0.25">
      <c r="A4576" s="3">
        <f>IF(Raw_Data!J4576=0,Raw_Data!D4576,"")</f>
        <v>1732.73</v>
      </c>
      <c r="B4576" s="3" t="str">
        <f>IF(Raw_Data!J4576=1,Raw_Data!D4576,"")</f>
        <v/>
      </c>
    </row>
    <row r="4577" spans="1:2" x14ac:dyDescent="0.25">
      <c r="A4577" s="3">
        <f>IF(Raw_Data!J4577=0,Raw_Data!D4577,"")</f>
        <v>1604.45</v>
      </c>
      <c r="B4577" s="3" t="str">
        <f>IF(Raw_Data!J4577=1,Raw_Data!D4577,"")</f>
        <v/>
      </c>
    </row>
    <row r="4578" spans="1:2" x14ac:dyDescent="0.25">
      <c r="A4578" s="3">
        <f>IF(Raw_Data!J4578=0,Raw_Data!D4578,"")</f>
        <v>367.59</v>
      </c>
      <c r="B4578" s="3" t="str">
        <f>IF(Raw_Data!J4578=1,Raw_Data!D4578,"")</f>
        <v/>
      </c>
    </row>
    <row r="4579" spans="1:2" x14ac:dyDescent="0.25">
      <c r="A4579" s="3">
        <f>IF(Raw_Data!J4579=0,Raw_Data!D4579,"")</f>
        <v>4768.16</v>
      </c>
      <c r="B4579" s="3" t="str">
        <f>IF(Raw_Data!J4579=1,Raw_Data!D4579,"")</f>
        <v/>
      </c>
    </row>
    <row r="4580" spans="1:2" x14ac:dyDescent="0.25">
      <c r="A4580" s="3">
        <f>IF(Raw_Data!J4580=0,Raw_Data!D4580,"")</f>
        <v>872.34</v>
      </c>
      <c r="B4580" s="3" t="str">
        <f>IF(Raw_Data!J4580=1,Raw_Data!D4580,"")</f>
        <v/>
      </c>
    </row>
    <row r="4581" spans="1:2" x14ac:dyDescent="0.25">
      <c r="A4581" s="3" t="str">
        <f>IF(Raw_Data!J4581=0,Raw_Data!D4581,"")</f>
        <v/>
      </c>
      <c r="B4581" s="3">
        <f>IF(Raw_Data!J4581=1,Raw_Data!D4581,"")</f>
        <v>1811.5</v>
      </c>
    </row>
    <row r="4582" spans="1:2" x14ac:dyDescent="0.25">
      <c r="A4582" s="3">
        <f>IF(Raw_Data!J4582=0,Raw_Data!D4582,"")</f>
        <v>815.5</v>
      </c>
      <c r="B4582" s="3" t="str">
        <f>IF(Raw_Data!J4582=1,Raw_Data!D4582,"")</f>
        <v/>
      </c>
    </row>
    <row r="4583" spans="1:2" x14ac:dyDescent="0.25">
      <c r="A4583" s="3">
        <f>IF(Raw_Data!J4583=0,Raw_Data!D4583,"")</f>
        <v>4462.6000000000004</v>
      </c>
      <c r="B4583" s="3" t="str">
        <f>IF(Raw_Data!J4583=1,Raw_Data!D4583,"")</f>
        <v/>
      </c>
    </row>
    <row r="4584" spans="1:2" x14ac:dyDescent="0.25">
      <c r="A4584" s="3">
        <f>IF(Raw_Data!J4584=0,Raw_Data!D4584,"")</f>
        <v>3109.44</v>
      </c>
      <c r="B4584" s="3" t="str">
        <f>IF(Raw_Data!J4584=1,Raw_Data!D4584,"")</f>
        <v/>
      </c>
    </row>
    <row r="4585" spans="1:2" x14ac:dyDescent="0.25">
      <c r="A4585" s="3">
        <f>IF(Raw_Data!J4585=0,Raw_Data!D4585,"")</f>
        <v>2630.42</v>
      </c>
      <c r="B4585" s="3" t="str">
        <f>IF(Raw_Data!J4585=1,Raw_Data!D4585,"")</f>
        <v/>
      </c>
    </row>
    <row r="4586" spans="1:2" x14ac:dyDescent="0.25">
      <c r="A4586" s="3">
        <f>IF(Raw_Data!J4586=0,Raw_Data!D4586,"")</f>
        <v>1313.17</v>
      </c>
      <c r="B4586" s="3" t="str">
        <f>IF(Raw_Data!J4586=1,Raw_Data!D4586,"")</f>
        <v/>
      </c>
    </row>
    <row r="4587" spans="1:2" x14ac:dyDescent="0.25">
      <c r="A4587" s="3">
        <f>IF(Raw_Data!J4587=0,Raw_Data!D4587,"")</f>
        <v>767.25</v>
      </c>
      <c r="B4587" s="3" t="str">
        <f>IF(Raw_Data!J4587=1,Raw_Data!D4587,"")</f>
        <v/>
      </c>
    </row>
    <row r="4588" spans="1:2" x14ac:dyDescent="0.25">
      <c r="A4588" s="3">
        <f>IF(Raw_Data!J4588=0,Raw_Data!D4588,"")</f>
        <v>2516.3000000000002</v>
      </c>
      <c r="B4588" s="3" t="str">
        <f>IF(Raw_Data!J4588=1,Raw_Data!D4588,"")</f>
        <v/>
      </c>
    </row>
    <row r="4589" spans="1:2" x14ac:dyDescent="0.25">
      <c r="A4589" s="3">
        <f>IF(Raw_Data!J4589=0,Raw_Data!D4589,"")</f>
        <v>2536.4</v>
      </c>
      <c r="B4589" s="3" t="str">
        <f>IF(Raw_Data!J4589=1,Raw_Data!D4589,"")</f>
        <v/>
      </c>
    </row>
    <row r="4590" spans="1:2" x14ac:dyDescent="0.25">
      <c r="A4590" s="3">
        <f>IF(Raw_Data!J4590=0,Raw_Data!D4590,"")</f>
        <v>1937.23</v>
      </c>
      <c r="B4590" s="3" t="str">
        <f>IF(Raw_Data!J4590=1,Raw_Data!D4590,"")</f>
        <v/>
      </c>
    </row>
    <row r="4591" spans="1:2" x14ac:dyDescent="0.25">
      <c r="A4591" s="3" t="str">
        <f>IF(Raw_Data!J4591=0,Raw_Data!D4591,"")</f>
        <v/>
      </c>
      <c r="B4591" s="3">
        <f>IF(Raw_Data!J4591=1,Raw_Data!D4591,"")</f>
        <v>2201.6</v>
      </c>
    </row>
    <row r="4592" spans="1:2" x14ac:dyDescent="0.25">
      <c r="A4592" s="3">
        <f>IF(Raw_Data!J4592=0,Raw_Data!D4592,"")</f>
        <v>3749.1</v>
      </c>
      <c r="B4592" s="3" t="str">
        <f>IF(Raw_Data!J4592=1,Raw_Data!D4592,"")</f>
        <v/>
      </c>
    </row>
    <row r="4593" spans="1:2" x14ac:dyDescent="0.25">
      <c r="A4593" s="3">
        <f>IF(Raw_Data!J4593=0,Raw_Data!D4593,"")</f>
        <v>1944.69</v>
      </c>
      <c r="B4593" s="3" t="str">
        <f>IF(Raw_Data!J4593=1,Raw_Data!D4593,"")</f>
        <v/>
      </c>
    </row>
    <row r="4594" spans="1:2" x14ac:dyDescent="0.25">
      <c r="A4594" s="3">
        <f>IF(Raw_Data!J4594=0,Raw_Data!D4594,"")</f>
        <v>1309.58</v>
      </c>
      <c r="B4594" s="3" t="str">
        <f>IF(Raw_Data!J4594=1,Raw_Data!D4594,"")</f>
        <v/>
      </c>
    </row>
    <row r="4595" spans="1:2" x14ac:dyDescent="0.25">
      <c r="A4595" s="3">
        <f>IF(Raw_Data!J4595=0,Raw_Data!D4595,"")</f>
        <v>2175.61</v>
      </c>
      <c r="B4595" s="3" t="str">
        <f>IF(Raw_Data!J4595=1,Raw_Data!D4595,"")</f>
        <v/>
      </c>
    </row>
    <row r="4596" spans="1:2" x14ac:dyDescent="0.25">
      <c r="A4596" s="3">
        <f>IF(Raw_Data!J4596=0,Raw_Data!D4596,"")</f>
        <v>1047.32</v>
      </c>
      <c r="B4596" s="3" t="str">
        <f>IF(Raw_Data!J4596=1,Raw_Data!D4596,"")</f>
        <v/>
      </c>
    </row>
    <row r="4597" spans="1:2" x14ac:dyDescent="0.25">
      <c r="A4597" s="3">
        <f>IF(Raw_Data!J4597=0,Raw_Data!D4597,"")</f>
        <v>1913.57</v>
      </c>
      <c r="B4597" s="3" t="str">
        <f>IF(Raw_Data!J4597=1,Raw_Data!D4597,"")</f>
        <v/>
      </c>
    </row>
    <row r="4598" spans="1:2" x14ac:dyDescent="0.25">
      <c r="A4598" s="3" t="str">
        <f>IF(Raw_Data!J4598=0,Raw_Data!D4598,"")</f>
        <v/>
      </c>
      <c r="B4598" s="3">
        <f>IF(Raw_Data!J4598=1,Raw_Data!D4598,"")</f>
        <v>1613.97</v>
      </c>
    </row>
    <row r="4599" spans="1:2" x14ac:dyDescent="0.25">
      <c r="A4599" s="3">
        <f>IF(Raw_Data!J4599=0,Raw_Data!D4599,"")</f>
        <v>2302.0300000000002</v>
      </c>
      <c r="B4599" s="3" t="str">
        <f>IF(Raw_Data!J4599=1,Raw_Data!D4599,"")</f>
        <v/>
      </c>
    </row>
    <row r="4600" spans="1:2" x14ac:dyDescent="0.25">
      <c r="A4600" s="3">
        <f>IF(Raw_Data!J4600=0,Raw_Data!D4600,"")</f>
        <v>607.22</v>
      </c>
      <c r="B4600" s="3" t="str">
        <f>IF(Raw_Data!J4600=1,Raw_Data!D4600,"")</f>
        <v/>
      </c>
    </row>
    <row r="4601" spans="1:2" x14ac:dyDescent="0.25">
      <c r="A4601" s="3">
        <f>IF(Raw_Data!J4601=0,Raw_Data!D4601,"")</f>
        <v>4015.91</v>
      </c>
      <c r="B4601" s="3" t="str">
        <f>IF(Raw_Data!J4601=1,Raw_Data!D4601,"")</f>
        <v/>
      </c>
    </row>
    <row r="4602" spans="1:2" x14ac:dyDescent="0.25">
      <c r="A4602" s="3">
        <f>IF(Raw_Data!J4602=0,Raw_Data!D4602,"")</f>
        <v>1398.96</v>
      </c>
      <c r="B4602" s="3" t="str">
        <f>IF(Raw_Data!J4602=1,Raw_Data!D4602,"")</f>
        <v/>
      </c>
    </row>
    <row r="4603" spans="1:2" x14ac:dyDescent="0.25">
      <c r="A4603" s="3">
        <f>IF(Raw_Data!J4603=0,Raw_Data!D4603,"")</f>
        <v>2345.6799999999998</v>
      </c>
      <c r="B4603" s="3" t="str">
        <f>IF(Raw_Data!J4603=1,Raw_Data!D4603,"")</f>
        <v/>
      </c>
    </row>
    <row r="4604" spans="1:2" x14ac:dyDescent="0.25">
      <c r="A4604" s="3">
        <f>IF(Raw_Data!J4604=0,Raw_Data!D4604,"")</f>
        <v>841.65</v>
      </c>
      <c r="B4604" s="3" t="str">
        <f>IF(Raw_Data!J4604=1,Raw_Data!D4604,"")</f>
        <v/>
      </c>
    </row>
    <row r="4605" spans="1:2" x14ac:dyDescent="0.25">
      <c r="A4605" s="3">
        <f>IF(Raw_Data!J4605=0,Raw_Data!D4605,"")</f>
        <v>667.5</v>
      </c>
      <c r="B4605" s="3" t="str">
        <f>IF(Raw_Data!J4605=1,Raw_Data!D4605,"")</f>
        <v/>
      </c>
    </row>
    <row r="4606" spans="1:2" x14ac:dyDescent="0.25">
      <c r="A4606" s="3">
        <f>IF(Raw_Data!J4606=0,Raw_Data!D4606,"")</f>
        <v>2765.87</v>
      </c>
      <c r="B4606" s="3" t="str">
        <f>IF(Raw_Data!J4606=1,Raw_Data!D4606,"")</f>
        <v/>
      </c>
    </row>
    <row r="4607" spans="1:2" x14ac:dyDescent="0.25">
      <c r="A4607" s="3">
        <f>IF(Raw_Data!J4607=0,Raw_Data!D4607,"")</f>
        <v>3635.12</v>
      </c>
      <c r="B4607" s="3" t="str">
        <f>IF(Raw_Data!J4607=1,Raw_Data!D4607,"")</f>
        <v/>
      </c>
    </row>
    <row r="4608" spans="1:2" x14ac:dyDescent="0.25">
      <c r="A4608" s="3">
        <f>IF(Raw_Data!J4608=0,Raw_Data!D4608,"")</f>
        <v>706.12</v>
      </c>
      <c r="B4608" s="3" t="str">
        <f>IF(Raw_Data!J4608=1,Raw_Data!D4608,"")</f>
        <v/>
      </c>
    </row>
    <row r="4609" spans="1:2" x14ac:dyDescent="0.25">
      <c r="A4609" s="3">
        <f>IF(Raw_Data!J4609=0,Raw_Data!D4609,"")</f>
        <v>2527.89</v>
      </c>
      <c r="B4609" s="3" t="str">
        <f>IF(Raw_Data!J4609=1,Raw_Data!D4609,"")</f>
        <v/>
      </c>
    </row>
    <row r="4610" spans="1:2" x14ac:dyDescent="0.25">
      <c r="A4610" s="3">
        <f>IF(Raw_Data!J4610=0,Raw_Data!D4610,"")</f>
        <v>3967.34</v>
      </c>
      <c r="B4610" s="3" t="str">
        <f>IF(Raw_Data!J4610=1,Raw_Data!D4610,"")</f>
        <v/>
      </c>
    </row>
    <row r="4611" spans="1:2" x14ac:dyDescent="0.25">
      <c r="A4611" s="3">
        <f>IF(Raw_Data!J4611=0,Raw_Data!D4611,"")</f>
        <v>2521.36</v>
      </c>
      <c r="B4611" s="3" t="str">
        <f>IF(Raw_Data!J4611=1,Raw_Data!D4611,"")</f>
        <v/>
      </c>
    </row>
    <row r="4612" spans="1:2" x14ac:dyDescent="0.25">
      <c r="A4612" s="3">
        <f>IF(Raw_Data!J4612=0,Raw_Data!D4612,"")</f>
        <v>2414.2199999999998</v>
      </c>
      <c r="B4612" s="3" t="str">
        <f>IF(Raw_Data!J4612=1,Raw_Data!D4612,"")</f>
        <v/>
      </c>
    </row>
    <row r="4613" spans="1:2" x14ac:dyDescent="0.25">
      <c r="A4613" s="3" t="str">
        <f>IF(Raw_Data!J4613=0,Raw_Data!D4613,"")</f>
        <v/>
      </c>
      <c r="B4613" s="3">
        <f>IF(Raw_Data!J4613=1,Raw_Data!D4613,"")</f>
        <v>2222.04</v>
      </c>
    </row>
    <row r="4614" spans="1:2" x14ac:dyDescent="0.25">
      <c r="A4614" s="3">
        <f>IF(Raw_Data!J4614=0,Raw_Data!D4614,"")</f>
        <v>2976</v>
      </c>
      <c r="B4614" s="3" t="str">
        <f>IF(Raw_Data!J4614=1,Raw_Data!D4614,"")</f>
        <v/>
      </c>
    </row>
    <row r="4615" spans="1:2" x14ac:dyDescent="0.25">
      <c r="A4615" s="3">
        <f>IF(Raw_Data!J4615=0,Raw_Data!D4615,"")</f>
        <v>3626.52</v>
      </c>
      <c r="B4615" s="3" t="str">
        <f>IF(Raw_Data!J4615=1,Raw_Data!D4615,"")</f>
        <v/>
      </c>
    </row>
    <row r="4616" spans="1:2" x14ac:dyDescent="0.25">
      <c r="A4616" s="3">
        <f>IF(Raw_Data!J4616=0,Raw_Data!D4616,"")</f>
        <v>625.34</v>
      </c>
      <c r="B4616" s="3" t="str">
        <f>IF(Raw_Data!J4616=1,Raw_Data!D4616,"")</f>
        <v/>
      </c>
    </row>
    <row r="4617" spans="1:2" x14ac:dyDescent="0.25">
      <c r="A4617" s="3">
        <f>IF(Raw_Data!J4617=0,Raw_Data!D4617,"")</f>
        <v>1325.13</v>
      </c>
      <c r="B4617" s="3" t="str">
        <f>IF(Raw_Data!J4617=1,Raw_Data!D4617,"")</f>
        <v/>
      </c>
    </row>
    <row r="4618" spans="1:2" x14ac:dyDescent="0.25">
      <c r="A4618" s="3">
        <f>IF(Raw_Data!J4618=0,Raw_Data!D4618,"")</f>
        <v>4133.03</v>
      </c>
      <c r="B4618" s="3" t="str">
        <f>IF(Raw_Data!J4618=1,Raw_Data!D4618,"")</f>
        <v/>
      </c>
    </row>
    <row r="4619" spans="1:2" x14ac:dyDescent="0.25">
      <c r="A4619" s="3">
        <f>IF(Raw_Data!J4619=0,Raw_Data!D4619,"")</f>
        <v>1436.33</v>
      </c>
      <c r="B4619" s="3" t="str">
        <f>IF(Raw_Data!J4619=1,Raw_Data!D4619,"")</f>
        <v/>
      </c>
    </row>
    <row r="4620" spans="1:2" x14ac:dyDescent="0.25">
      <c r="A4620" s="3">
        <f>IF(Raw_Data!J4620=0,Raw_Data!D4620,"")</f>
        <v>1995.76</v>
      </c>
      <c r="B4620" s="3" t="str">
        <f>IF(Raw_Data!J4620=1,Raw_Data!D4620,"")</f>
        <v/>
      </c>
    </row>
    <row r="4621" spans="1:2" x14ac:dyDescent="0.25">
      <c r="A4621" s="3" t="str">
        <f>IF(Raw_Data!J4621=0,Raw_Data!D4621,"")</f>
        <v/>
      </c>
      <c r="B4621" s="3">
        <f>IF(Raw_Data!J4621=1,Raw_Data!D4621,"")</f>
        <v>1825.89</v>
      </c>
    </row>
    <row r="4622" spans="1:2" x14ac:dyDescent="0.25">
      <c r="A4622" s="3">
        <f>IF(Raw_Data!J4622=0,Raw_Data!D4622,"")</f>
        <v>3053.54</v>
      </c>
      <c r="B4622" s="3" t="str">
        <f>IF(Raw_Data!J4622=1,Raw_Data!D4622,"")</f>
        <v/>
      </c>
    </row>
    <row r="4623" spans="1:2" x14ac:dyDescent="0.25">
      <c r="A4623" s="3">
        <f>IF(Raw_Data!J4623=0,Raw_Data!D4623,"")</f>
        <v>2686.83</v>
      </c>
      <c r="B4623" s="3" t="str">
        <f>IF(Raw_Data!J4623=1,Raw_Data!D4623,"")</f>
        <v/>
      </c>
    </row>
    <row r="4624" spans="1:2" x14ac:dyDescent="0.25">
      <c r="A4624" s="3">
        <f>IF(Raw_Data!J4624=0,Raw_Data!D4624,"")</f>
        <v>3238.24</v>
      </c>
      <c r="B4624" s="3" t="str">
        <f>IF(Raw_Data!J4624=1,Raw_Data!D4624,"")</f>
        <v/>
      </c>
    </row>
    <row r="4625" spans="1:2" x14ac:dyDescent="0.25">
      <c r="A4625" s="3">
        <f>IF(Raw_Data!J4625=0,Raw_Data!D4625,"")</f>
        <v>3243.56</v>
      </c>
      <c r="B4625" s="3" t="str">
        <f>IF(Raw_Data!J4625=1,Raw_Data!D4625,"")</f>
        <v/>
      </c>
    </row>
    <row r="4626" spans="1:2" x14ac:dyDescent="0.25">
      <c r="A4626" s="3">
        <f>IF(Raw_Data!J4626=0,Raw_Data!D4626,"")</f>
        <v>2055.62</v>
      </c>
      <c r="B4626" s="3" t="str">
        <f>IF(Raw_Data!J4626=1,Raw_Data!D4626,"")</f>
        <v/>
      </c>
    </row>
    <row r="4627" spans="1:2" x14ac:dyDescent="0.25">
      <c r="A4627" s="3">
        <f>IF(Raw_Data!J4627=0,Raw_Data!D4627,"")</f>
        <v>5128.67</v>
      </c>
      <c r="B4627" s="3" t="str">
        <f>IF(Raw_Data!J4627=1,Raw_Data!D4627,"")</f>
        <v/>
      </c>
    </row>
    <row r="4628" spans="1:2" x14ac:dyDescent="0.25">
      <c r="A4628" s="3">
        <f>IF(Raw_Data!J4628=0,Raw_Data!D4628,"")</f>
        <v>1687.61</v>
      </c>
      <c r="B4628" s="3" t="str">
        <f>IF(Raw_Data!J4628=1,Raw_Data!D4628,"")</f>
        <v/>
      </c>
    </row>
    <row r="4629" spans="1:2" x14ac:dyDescent="0.25">
      <c r="A4629" s="3" t="str">
        <f>IF(Raw_Data!J4629=0,Raw_Data!D4629,"")</f>
        <v/>
      </c>
      <c r="B4629" s="3">
        <f>IF(Raw_Data!J4629=1,Raw_Data!D4629,"")</f>
        <v>4191.4399999999996</v>
      </c>
    </row>
    <row r="4630" spans="1:2" x14ac:dyDescent="0.25">
      <c r="A4630" s="3">
        <f>IF(Raw_Data!J4630=0,Raw_Data!D4630,"")</f>
        <v>1270.43</v>
      </c>
      <c r="B4630" s="3" t="str">
        <f>IF(Raw_Data!J4630=1,Raw_Data!D4630,"")</f>
        <v/>
      </c>
    </row>
    <row r="4631" spans="1:2" x14ac:dyDescent="0.25">
      <c r="A4631" s="3">
        <f>IF(Raw_Data!J4631=0,Raw_Data!D4631,"")</f>
        <v>1072.33</v>
      </c>
      <c r="B4631" s="3" t="str">
        <f>IF(Raw_Data!J4631=1,Raw_Data!D4631,"")</f>
        <v/>
      </c>
    </row>
    <row r="4632" spans="1:2" x14ac:dyDescent="0.25">
      <c r="A4632" s="3" t="str">
        <f>IF(Raw_Data!J4632=0,Raw_Data!D4632,"")</f>
        <v/>
      </c>
      <c r="B4632" s="3">
        <f>IF(Raw_Data!J4632=1,Raw_Data!D4632,"")</f>
        <v>1181.75</v>
      </c>
    </row>
    <row r="4633" spans="1:2" x14ac:dyDescent="0.25">
      <c r="A4633" s="3">
        <f>IF(Raw_Data!J4633=0,Raw_Data!D4633,"")</f>
        <v>1654.14</v>
      </c>
      <c r="B4633" s="3" t="str">
        <f>IF(Raw_Data!J4633=1,Raw_Data!D4633,"")</f>
        <v/>
      </c>
    </row>
    <row r="4634" spans="1:2" x14ac:dyDescent="0.25">
      <c r="A4634" s="3">
        <f>IF(Raw_Data!J4634=0,Raw_Data!D4634,"")</f>
        <v>1488.94</v>
      </c>
      <c r="B4634" s="3" t="str">
        <f>IF(Raw_Data!J4634=1,Raw_Data!D4634,"")</f>
        <v/>
      </c>
    </row>
    <row r="4635" spans="1:2" x14ac:dyDescent="0.25">
      <c r="A4635" s="3" t="str">
        <f>IF(Raw_Data!J4635=0,Raw_Data!D4635,"")</f>
        <v/>
      </c>
      <c r="B4635" s="3">
        <f>IF(Raw_Data!J4635=1,Raw_Data!D4635,"")</f>
        <v>3246.63</v>
      </c>
    </row>
    <row r="4636" spans="1:2" x14ac:dyDescent="0.25">
      <c r="A4636" s="3">
        <f>IF(Raw_Data!J4636=0,Raw_Data!D4636,"")</f>
        <v>2391.09</v>
      </c>
      <c r="B4636" s="3" t="str">
        <f>IF(Raw_Data!J4636=1,Raw_Data!D4636,"")</f>
        <v/>
      </c>
    </row>
    <row r="4637" spans="1:2" x14ac:dyDescent="0.25">
      <c r="A4637" s="3">
        <f>IF(Raw_Data!J4637=0,Raw_Data!D4637,"")</f>
        <v>2407.83</v>
      </c>
      <c r="B4637" s="3" t="str">
        <f>IF(Raw_Data!J4637=1,Raw_Data!D4637,"")</f>
        <v/>
      </c>
    </row>
    <row r="4638" spans="1:2" x14ac:dyDescent="0.25">
      <c r="A4638" s="3">
        <f>IF(Raw_Data!J4638=0,Raw_Data!D4638,"")</f>
        <v>4064.66</v>
      </c>
      <c r="B4638" s="3" t="str">
        <f>IF(Raw_Data!J4638=1,Raw_Data!D4638,"")</f>
        <v/>
      </c>
    </row>
    <row r="4639" spans="1:2" x14ac:dyDescent="0.25">
      <c r="A4639" s="3">
        <f>IF(Raw_Data!J4639=0,Raw_Data!D4639,"")</f>
        <v>1234.07</v>
      </c>
      <c r="B4639" s="3" t="str">
        <f>IF(Raw_Data!J4639=1,Raw_Data!D4639,"")</f>
        <v/>
      </c>
    </row>
    <row r="4640" spans="1:2" x14ac:dyDescent="0.25">
      <c r="A4640" s="3">
        <f>IF(Raw_Data!J4640=0,Raw_Data!D4640,"")</f>
        <v>1786.25</v>
      </c>
      <c r="B4640" s="3" t="str">
        <f>IF(Raw_Data!J4640=1,Raw_Data!D4640,"")</f>
        <v/>
      </c>
    </row>
    <row r="4641" spans="1:2" x14ac:dyDescent="0.25">
      <c r="A4641" s="3">
        <f>IF(Raw_Data!J4641=0,Raw_Data!D4641,"")</f>
        <v>2011.39</v>
      </c>
      <c r="B4641" s="3" t="str">
        <f>IF(Raw_Data!J4641=1,Raw_Data!D4641,"")</f>
        <v/>
      </c>
    </row>
    <row r="4642" spans="1:2" x14ac:dyDescent="0.25">
      <c r="A4642" s="3">
        <f>IF(Raw_Data!J4642=0,Raw_Data!D4642,"")</f>
        <v>2176.37</v>
      </c>
      <c r="B4642" s="3" t="str">
        <f>IF(Raw_Data!J4642=1,Raw_Data!D4642,"")</f>
        <v/>
      </c>
    </row>
    <row r="4643" spans="1:2" x14ac:dyDescent="0.25">
      <c r="A4643" s="3">
        <f>IF(Raw_Data!J4643=0,Raw_Data!D4643,"")</f>
        <v>1514.27</v>
      </c>
      <c r="B4643" s="3" t="str">
        <f>IF(Raw_Data!J4643=1,Raw_Data!D4643,"")</f>
        <v/>
      </c>
    </row>
    <row r="4644" spans="1:2" x14ac:dyDescent="0.25">
      <c r="A4644" s="3">
        <f>IF(Raw_Data!J4644=0,Raw_Data!D4644,"")</f>
        <v>1855.15</v>
      </c>
      <c r="B4644" s="3" t="str">
        <f>IF(Raw_Data!J4644=1,Raw_Data!D4644,"")</f>
        <v/>
      </c>
    </row>
    <row r="4645" spans="1:2" x14ac:dyDescent="0.25">
      <c r="A4645" s="3">
        <f>IF(Raw_Data!J4645=0,Raw_Data!D4645,"")</f>
        <v>819.45</v>
      </c>
      <c r="B4645" s="3" t="str">
        <f>IF(Raw_Data!J4645=1,Raw_Data!D4645,"")</f>
        <v/>
      </c>
    </row>
    <row r="4646" spans="1:2" x14ac:dyDescent="0.25">
      <c r="A4646" s="3">
        <f>IF(Raw_Data!J4646=0,Raw_Data!D4646,"")</f>
        <v>795.09</v>
      </c>
      <c r="B4646" s="3" t="str">
        <f>IF(Raw_Data!J4646=1,Raw_Data!D4646,"")</f>
        <v/>
      </c>
    </row>
    <row r="4647" spans="1:2" x14ac:dyDescent="0.25">
      <c r="A4647" s="3">
        <f>IF(Raw_Data!J4647=0,Raw_Data!D4647,"")</f>
        <v>3672.91</v>
      </c>
      <c r="B4647" s="3" t="str">
        <f>IF(Raw_Data!J4647=1,Raw_Data!D4647,"")</f>
        <v/>
      </c>
    </row>
    <row r="4648" spans="1:2" x14ac:dyDescent="0.25">
      <c r="A4648" s="3">
        <f>IF(Raw_Data!J4648=0,Raw_Data!D4648,"")</f>
        <v>4532.5200000000004</v>
      </c>
      <c r="B4648" s="3" t="str">
        <f>IF(Raw_Data!J4648=1,Raw_Data!D4648,"")</f>
        <v/>
      </c>
    </row>
    <row r="4649" spans="1:2" x14ac:dyDescent="0.25">
      <c r="A4649" s="3">
        <f>IF(Raw_Data!J4649=0,Raw_Data!D4649,"")</f>
        <v>4626.1400000000003</v>
      </c>
      <c r="B4649" s="3" t="str">
        <f>IF(Raw_Data!J4649=1,Raw_Data!D4649,"")</f>
        <v/>
      </c>
    </row>
    <row r="4650" spans="1:2" x14ac:dyDescent="0.25">
      <c r="A4650" s="3">
        <f>IF(Raw_Data!J4650=0,Raw_Data!D4650,"")</f>
        <v>2357.4</v>
      </c>
      <c r="B4650" s="3" t="str">
        <f>IF(Raw_Data!J4650=1,Raw_Data!D4650,"")</f>
        <v/>
      </c>
    </row>
    <row r="4651" spans="1:2" x14ac:dyDescent="0.25">
      <c r="A4651" s="3">
        <f>IF(Raw_Data!J4651=0,Raw_Data!D4651,"")</f>
        <v>2884.53</v>
      </c>
      <c r="B4651" s="3" t="str">
        <f>IF(Raw_Data!J4651=1,Raw_Data!D4651,"")</f>
        <v/>
      </c>
    </row>
    <row r="4652" spans="1:2" x14ac:dyDescent="0.25">
      <c r="A4652" s="3">
        <f>IF(Raw_Data!J4652=0,Raw_Data!D4652,"")</f>
        <v>1470.26</v>
      </c>
      <c r="B4652" s="3" t="str">
        <f>IF(Raw_Data!J4652=1,Raw_Data!D4652,"")</f>
        <v/>
      </c>
    </row>
    <row r="4653" spans="1:2" x14ac:dyDescent="0.25">
      <c r="A4653" s="3">
        <f>IF(Raw_Data!J4653=0,Raw_Data!D4653,"")</f>
        <v>2803.13</v>
      </c>
      <c r="B4653" s="3" t="str">
        <f>IF(Raw_Data!J4653=1,Raw_Data!D4653,"")</f>
        <v/>
      </c>
    </row>
    <row r="4654" spans="1:2" x14ac:dyDescent="0.25">
      <c r="A4654" s="3">
        <f>IF(Raw_Data!J4654=0,Raw_Data!D4654,"")</f>
        <v>8275.0400000000009</v>
      </c>
      <c r="B4654" s="3" t="str">
        <f>IF(Raw_Data!J4654=1,Raw_Data!D4654,"")</f>
        <v/>
      </c>
    </row>
    <row r="4655" spans="1:2" x14ac:dyDescent="0.25">
      <c r="A4655" s="3" t="str">
        <f>IF(Raw_Data!J4655=0,Raw_Data!D4655,"")</f>
        <v/>
      </c>
      <c r="B4655" s="3">
        <f>IF(Raw_Data!J4655=1,Raw_Data!D4655,"")</f>
        <v>1516.83</v>
      </c>
    </row>
    <row r="4656" spans="1:2" x14ac:dyDescent="0.25">
      <c r="A4656" s="3">
        <f>IF(Raw_Data!J4656=0,Raw_Data!D4656,"")</f>
        <v>2000.74</v>
      </c>
      <c r="B4656" s="3" t="str">
        <f>IF(Raw_Data!J4656=1,Raw_Data!D4656,"")</f>
        <v/>
      </c>
    </row>
    <row r="4657" spans="1:2" x14ac:dyDescent="0.25">
      <c r="A4657" s="3">
        <f>IF(Raw_Data!J4657=0,Raw_Data!D4657,"")</f>
        <v>5972.48</v>
      </c>
      <c r="B4657" s="3" t="str">
        <f>IF(Raw_Data!J4657=1,Raw_Data!D4657,"")</f>
        <v/>
      </c>
    </row>
    <row r="4658" spans="1:2" x14ac:dyDescent="0.25">
      <c r="A4658" s="3">
        <f>IF(Raw_Data!J4658=0,Raw_Data!D4658,"")</f>
        <v>2439.8200000000002</v>
      </c>
      <c r="B4658" s="3" t="str">
        <f>IF(Raw_Data!J4658=1,Raw_Data!D4658,"")</f>
        <v/>
      </c>
    </row>
    <row r="4659" spans="1:2" x14ac:dyDescent="0.25">
      <c r="A4659" s="3" t="str">
        <f>IF(Raw_Data!J4659=0,Raw_Data!D4659,"")</f>
        <v/>
      </c>
      <c r="B4659" s="3">
        <f>IF(Raw_Data!J4659=1,Raw_Data!D4659,"")</f>
        <v>977.62</v>
      </c>
    </row>
    <row r="4660" spans="1:2" x14ac:dyDescent="0.25">
      <c r="A4660" s="3">
        <f>IF(Raw_Data!J4660=0,Raw_Data!D4660,"")</f>
        <v>1730.76</v>
      </c>
      <c r="B4660" s="3" t="str">
        <f>IF(Raw_Data!J4660=1,Raw_Data!D4660,"")</f>
        <v/>
      </c>
    </row>
    <row r="4661" spans="1:2" x14ac:dyDescent="0.25">
      <c r="A4661" s="3" t="str">
        <f>IF(Raw_Data!J4661=0,Raw_Data!D4661,"")</f>
        <v/>
      </c>
      <c r="B4661" s="3">
        <f>IF(Raw_Data!J4661=1,Raw_Data!D4661,"")</f>
        <v>791.86</v>
      </c>
    </row>
    <row r="4662" spans="1:2" x14ac:dyDescent="0.25">
      <c r="A4662" s="3">
        <f>IF(Raw_Data!J4662=0,Raw_Data!D4662,"")</f>
        <v>1516.17</v>
      </c>
      <c r="B4662" s="3" t="str">
        <f>IF(Raw_Data!J4662=1,Raw_Data!D4662,"")</f>
        <v/>
      </c>
    </row>
    <row r="4663" spans="1:2" x14ac:dyDescent="0.25">
      <c r="A4663" s="3">
        <f>IF(Raw_Data!J4663=0,Raw_Data!D4663,"")</f>
        <v>2920.73</v>
      </c>
      <c r="B4663" s="3" t="str">
        <f>IF(Raw_Data!J4663=1,Raw_Data!D4663,"")</f>
        <v/>
      </c>
    </row>
    <row r="4664" spans="1:2" x14ac:dyDescent="0.25">
      <c r="A4664" s="3">
        <f>IF(Raw_Data!J4664=0,Raw_Data!D4664,"")</f>
        <v>1623.4</v>
      </c>
      <c r="B4664" s="3" t="str">
        <f>IF(Raw_Data!J4664=1,Raw_Data!D4664,"")</f>
        <v/>
      </c>
    </row>
    <row r="4665" spans="1:2" x14ac:dyDescent="0.25">
      <c r="A4665" s="3">
        <f>IF(Raw_Data!J4665=0,Raw_Data!D4665,"")</f>
        <v>2590.5</v>
      </c>
      <c r="B4665" s="3" t="str">
        <f>IF(Raw_Data!J4665=1,Raw_Data!D4665,"")</f>
        <v/>
      </c>
    </row>
    <row r="4666" spans="1:2" x14ac:dyDescent="0.25">
      <c r="A4666" s="3" t="str">
        <f>IF(Raw_Data!J4666=0,Raw_Data!D4666,"")</f>
        <v/>
      </c>
      <c r="B4666" s="3">
        <f>IF(Raw_Data!J4666=1,Raw_Data!D4666,"")</f>
        <v>3776.5</v>
      </c>
    </row>
    <row r="4667" spans="1:2" x14ac:dyDescent="0.25">
      <c r="A4667" s="3">
        <f>IF(Raw_Data!J4667=0,Raw_Data!D4667,"")</f>
        <v>6199.83</v>
      </c>
      <c r="B4667" s="3" t="str">
        <f>IF(Raw_Data!J4667=1,Raw_Data!D4667,"")</f>
        <v/>
      </c>
    </row>
    <row r="4668" spans="1:2" x14ac:dyDescent="0.25">
      <c r="A4668" s="3">
        <f>IF(Raw_Data!J4668=0,Raw_Data!D4668,"")</f>
        <v>1330.98</v>
      </c>
      <c r="B4668" s="3" t="str">
        <f>IF(Raw_Data!J4668=1,Raw_Data!D4668,"")</f>
        <v/>
      </c>
    </row>
    <row r="4669" spans="1:2" x14ac:dyDescent="0.25">
      <c r="A4669" s="3">
        <f>IF(Raw_Data!J4669=0,Raw_Data!D4669,"")</f>
        <v>1453.24</v>
      </c>
      <c r="B4669" s="3" t="str">
        <f>IF(Raw_Data!J4669=1,Raw_Data!D4669,"")</f>
        <v/>
      </c>
    </row>
    <row r="4670" spans="1:2" x14ac:dyDescent="0.25">
      <c r="A4670" s="3">
        <f>IF(Raw_Data!J4670=0,Raw_Data!D4670,"")</f>
        <v>9397.5499999999993</v>
      </c>
      <c r="B4670" s="3" t="str">
        <f>IF(Raw_Data!J4670=1,Raw_Data!D4670,"")</f>
        <v/>
      </c>
    </row>
    <row r="4671" spans="1:2" x14ac:dyDescent="0.25">
      <c r="A4671" s="3">
        <f>IF(Raw_Data!J4671=0,Raw_Data!D4671,"")</f>
        <v>3669.04</v>
      </c>
      <c r="B4671" s="3" t="str">
        <f>IF(Raw_Data!J4671=1,Raw_Data!D4671,"")</f>
        <v/>
      </c>
    </row>
    <row r="4672" spans="1:2" x14ac:dyDescent="0.25">
      <c r="A4672" s="3">
        <f>IF(Raw_Data!J4672=0,Raw_Data!D4672,"")</f>
        <v>3038.1</v>
      </c>
      <c r="B4672" s="3" t="str">
        <f>IF(Raw_Data!J4672=1,Raw_Data!D4672,"")</f>
        <v/>
      </c>
    </row>
    <row r="4673" spans="1:2" x14ac:dyDescent="0.25">
      <c r="A4673" s="3">
        <f>IF(Raw_Data!J4673=0,Raw_Data!D4673,"")</f>
        <v>893.42</v>
      </c>
      <c r="B4673" s="3" t="str">
        <f>IF(Raw_Data!J4673=1,Raw_Data!D4673,"")</f>
        <v/>
      </c>
    </row>
    <row r="4674" spans="1:2" x14ac:dyDescent="0.25">
      <c r="A4674" s="3">
        <f>IF(Raw_Data!J4674=0,Raw_Data!D4674,"")</f>
        <v>347.93</v>
      </c>
      <c r="B4674" s="3" t="str">
        <f>IF(Raw_Data!J4674=1,Raw_Data!D4674,"")</f>
        <v/>
      </c>
    </row>
    <row r="4675" spans="1:2" x14ac:dyDescent="0.25">
      <c r="A4675" s="3" t="str">
        <f>IF(Raw_Data!J4675=0,Raw_Data!D4675,"")</f>
        <v/>
      </c>
      <c r="B4675" s="3">
        <f>IF(Raw_Data!J4675=1,Raw_Data!D4675,"")</f>
        <v>1008.96</v>
      </c>
    </row>
    <row r="4676" spans="1:2" x14ac:dyDescent="0.25">
      <c r="A4676" s="3">
        <f>IF(Raw_Data!J4676=0,Raw_Data!D4676,"")</f>
        <v>2418.5</v>
      </c>
      <c r="B4676" s="3" t="str">
        <f>IF(Raw_Data!J4676=1,Raw_Data!D4676,"")</f>
        <v/>
      </c>
    </row>
    <row r="4677" spans="1:2" x14ac:dyDescent="0.25">
      <c r="A4677" s="3">
        <f>IF(Raw_Data!J4677=0,Raw_Data!D4677,"")</f>
        <v>5503.98</v>
      </c>
      <c r="B4677" s="3" t="str">
        <f>IF(Raw_Data!J4677=1,Raw_Data!D4677,"")</f>
        <v/>
      </c>
    </row>
    <row r="4678" spans="1:2" x14ac:dyDescent="0.25">
      <c r="A4678" s="3">
        <f>IF(Raw_Data!J4678=0,Raw_Data!D4678,"")</f>
        <v>3089.61</v>
      </c>
      <c r="B4678" s="3" t="str">
        <f>IF(Raw_Data!J4678=1,Raw_Data!D4678,"")</f>
        <v/>
      </c>
    </row>
    <row r="4679" spans="1:2" x14ac:dyDescent="0.25">
      <c r="A4679" s="3">
        <f>IF(Raw_Data!J4679=0,Raw_Data!D4679,"")</f>
        <v>3440.57</v>
      </c>
      <c r="B4679" s="3" t="str">
        <f>IF(Raw_Data!J4679=1,Raw_Data!D4679,"")</f>
        <v/>
      </c>
    </row>
    <row r="4680" spans="1:2" x14ac:dyDescent="0.25">
      <c r="A4680" s="3">
        <f>IF(Raw_Data!J4680=0,Raw_Data!D4680,"")</f>
        <v>2644.18</v>
      </c>
      <c r="B4680" s="3" t="str">
        <f>IF(Raw_Data!J4680=1,Raw_Data!D4680,"")</f>
        <v/>
      </c>
    </row>
    <row r="4681" spans="1:2" x14ac:dyDescent="0.25">
      <c r="A4681" s="3">
        <f>IF(Raw_Data!J4681=0,Raw_Data!D4681,"")</f>
        <v>2530.69</v>
      </c>
      <c r="B4681" s="3" t="str">
        <f>IF(Raw_Data!J4681=1,Raw_Data!D4681,"")</f>
        <v/>
      </c>
    </row>
    <row r="4682" spans="1:2" x14ac:dyDescent="0.25">
      <c r="A4682" s="3">
        <f>IF(Raw_Data!J4682=0,Raw_Data!D4682,"")</f>
        <v>2310.17</v>
      </c>
      <c r="B4682" s="3" t="str">
        <f>IF(Raw_Data!J4682=1,Raw_Data!D4682,"")</f>
        <v/>
      </c>
    </row>
    <row r="4683" spans="1:2" x14ac:dyDescent="0.25">
      <c r="A4683" s="3">
        <f>IF(Raw_Data!J4683=0,Raw_Data!D4683,"")</f>
        <v>2640.4</v>
      </c>
      <c r="B4683" s="3" t="str">
        <f>IF(Raw_Data!J4683=1,Raw_Data!D4683,"")</f>
        <v/>
      </c>
    </row>
    <row r="4684" spans="1:2" x14ac:dyDescent="0.25">
      <c r="A4684" s="3">
        <f>IF(Raw_Data!J4684=0,Raw_Data!D4684,"")</f>
        <v>4633.0200000000004</v>
      </c>
      <c r="B4684" s="3" t="str">
        <f>IF(Raw_Data!J4684=1,Raw_Data!D4684,"")</f>
        <v/>
      </c>
    </row>
    <row r="4685" spans="1:2" x14ac:dyDescent="0.25">
      <c r="A4685" s="3">
        <f>IF(Raw_Data!J4685=0,Raw_Data!D4685,"")</f>
        <v>584.30999999999995</v>
      </c>
      <c r="B4685" s="3" t="str">
        <f>IF(Raw_Data!J4685=1,Raw_Data!D4685,"")</f>
        <v/>
      </c>
    </row>
    <row r="4686" spans="1:2" x14ac:dyDescent="0.25">
      <c r="A4686" s="3">
        <f>IF(Raw_Data!J4686=0,Raw_Data!D4686,"")</f>
        <v>1520.21</v>
      </c>
      <c r="B4686" s="3" t="str">
        <f>IF(Raw_Data!J4686=1,Raw_Data!D4686,"")</f>
        <v/>
      </c>
    </row>
    <row r="4687" spans="1:2" x14ac:dyDescent="0.25">
      <c r="A4687" s="3">
        <f>IF(Raw_Data!J4687=0,Raw_Data!D4687,"")</f>
        <v>4257.75</v>
      </c>
      <c r="B4687" s="3" t="str">
        <f>IF(Raw_Data!J4687=1,Raw_Data!D4687,"")</f>
        <v/>
      </c>
    </row>
    <row r="4688" spans="1:2" x14ac:dyDescent="0.25">
      <c r="A4688" s="3">
        <f>IF(Raw_Data!J4688=0,Raw_Data!D4688,"")</f>
        <v>2869.99</v>
      </c>
      <c r="B4688" s="3" t="str">
        <f>IF(Raw_Data!J4688=1,Raw_Data!D4688,"")</f>
        <v/>
      </c>
    </row>
    <row r="4689" spans="1:2" x14ac:dyDescent="0.25">
      <c r="A4689" s="3">
        <f>IF(Raw_Data!J4689=0,Raw_Data!D4689,"")</f>
        <v>3139.35</v>
      </c>
      <c r="B4689" s="3" t="str">
        <f>IF(Raw_Data!J4689=1,Raw_Data!D4689,"")</f>
        <v/>
      </c>
    </row>
    <row r="4690" spans="1:2" x14ac:dyDescent="0.25">
      <c r="A4690" s="3">
        <f>IF(Raw_Data!J4690=0,Raw_Data!D4690,"")</f>
        <v>2856.4</v>
      </c>
      <c r="B4690" s="3" t="str">
        <f>IF(Raw_Data!J4690=1,Raw_Data!D4690,"")</f>
        <v/>
      </c>
    </row>
    <row r="4691" spans="1:2" x14ac:dyDescent="0.25">
      <c r="A4691" s="3">
        <f>IF(Raw_Data!J4691=0,Raw_Data!D4691,"")</f>
        <v>847.91</v>
      </c>
      <c r="B4691" s="3" t="str">
        <f>IF(Raw_Data!J4691=1,Raw_Data!D4691,"")</f>
        <v/>
      </c>
    </row>
    <row r="4692" spans="1:2" x14ac:dyDescent="0.25">
      <c r="A4692" s="3">
        <f>IF(Raw_Data!J4692=0,Raw_Data!D4692,"")</f>
        <v>5456.48</v>
      </c>
      <c r="B4692" s="3" t="str">
        <f>IF(Raw_Data!J4692=1,Raw_Data!D4692,"")</f>
        <v/>
      </c>
    </row>
    <row r="4693" spans="1:2" x14ac:dyDescent="0.25">
      <c r="A4693" s="3" t="str">
        <f>IF(Raw_Data!J4693=0,Raw_Data!D4693,"")</f>
        <v/>
      </c>
      <c r="B4693" s="3">
        <f>IF(Raw_Data!J4693=1,Raw_Data!D4693,"")</f>
        <v>3484.62</v>
      </c>
    </row>
    <row r="4694" spans="1:2" x14ac:dyDescent="0.25">
      <c r="A4694" s="3" t="str">
        <f>IF(Raw_Data!J4694=0,Raw_Data!D4694,"")</f>
        <v/>
      </c>
      <c r="B4694" s="3">
        <f>IF(Raw_Data!J4694=1,Raw_Data!D4694,"")</f>
        <v>1231.05</v>
      </c>
    </row>
    <row r="4695" spans="1:2" x14ac:dyDescent="0.25">
      <c r="A4695" s="3">
        <f>IF(Raw_Data!J4695=0,Raw_Data!D4695,"")</f>
        <v>4123</v>
      </c>
      <c r="B4695" s="3" t="str">
        <f>IF(Raw_Data!J4695=1,Raw_Data!D4695,"")</f>
        <v/>
      </c>
    </row>
    <row r="4696" spans="1:2" x14ac:dyDescent="0.25">
      <c r="A4696" s="3">
        <f>IF(Raw_Data!J4696=0,Raw_Data!D4696,"")</f>
        <v>990.37</v>
      </c>
      <c r="B4696" s="3" t="str">
        <f>IF(Raw_Data!J4696=1,Raw_Data!D4696,"")</f>
        <v/>
      </c>
    </row>
    <row r="4697" spans="1:2" x14ac:dyDescent="0.25">
      <c r="A4697" s="3">
        <f>IF(Raw_Data!J4697=0,Raw_Data!D4697,"")</f>
        <v>2442.54</v>
      </c>
      <c r="B4697" s="3" t="str">
        <f>IF(Raw_Data!J4697=1,Raw_Data!D4697,"")</f>
        <v/>
      </c>
    </row>
    <row r="4698" spans="1:2" x14ac:dyDescent="0.25">
      <c r="A4698" s="3">
        <f>IF(Raw_Data!J4698=0,Raw_Data!D4698,"")</f>
        <v>3343.37</v>
      </c>
      <c r="B4698" s="3" t="str">
        <f>IF(Raw_Data!J4698=1,Raw_Data!D4698,"")</f>
        <v/>
      </c>
    </row>
    <row r="4699" spans="1:2" x14ac:dyDescent="0.25">
      <c r="A4699" s="3">
        <f>IF(Raw_Data!J4699=0,Raw_Data!D4699,"")</f>
        <v>7461.3</v>
      </c>
      <c r="B4699" s="3" t="str">
        <f>IF(Raw_Data!J4699=1,Raw_Data!D4699,"")</f>
        <v/>
      </c>
    </row>
    <row r="4700" spans="1:2" x14ac:dyDescent="0.25">
      <c r="A4700" s="3">
        <f>IF(Raw_Data!J4700=0,Raw_Data!D4700,"")</f>
        <v>2969.81</v>
      </c>
      <c r="B4700" s="3" t="str">
        <f>IF(Raw_Data!J4700=1,Raw_Data!D4700,"")</f>
        <v/>
      </c>
    </row>
    <row r="4701" spans="1:2" x14ac:dyDescent="0.25">
      <c r="A4701" s="3">
        <f>IF(Raw_Data!J4701=0,Raw_Data!D4701,"")</f>
        <v>990.34</v>
      </c>
      <c r="B4701" s="3" t="str">
        <f>IF(Raw_Data!J4701=1,Raw_Data!D4701,"")</f>
        <v/>
      </c>
    </row>
    <row r="4702" spans="1:2" x14ac:dyDescent="0.25">
      <c r="A4702" s="3">
        <f>IF(Raw_Data!J4702=0,Raw_Data!D4702,"")</f>
        <v>2426.41</v>
      </c>
      <c r="B4702" s="3" t="str">
        <f>IF(Raw_Data!J4702=1,Raw_Data!D4702,"")</f>
        <v/>
      </c>
    </row>
    <row r="4703" spans="1:2" x14ac:dyDescent="0.25">
      <c r="A4703" s="3">
        <f>IF(Raw_Data!J4703=0,Raw_Data!D4703,"")</f>
        <v>1916.01</v>
      </c>
      <c r="B4703" s="3" t="str">
        <f>IF(Raw_Data!J4703=1,Raw_Data!D4703,"")</f>
        <v/>
      </c>
    </row>
    <row r="4704" spans="1:2" x14ac:dyDescent="0.25">
      <c r="A4704" s="3">
        <f>IF(Raw_Data!J4704=0,Raw_Data!D4704,"")</f>
        <v>2628.46</v>
      </c>
      <c r="B4704" s="3" t="str">
        <f>IF(Raw_Data!J4704=1,Raw_Data!D4704,"")</f>
        <v/>
      </c>
    </row>
    <row r="4705" spans="1:2" x14ac:dyDescent="0.25">
      <c r="A4705" s="3">
        <f>IF(Raw_Data!J4705=0,Raw_Data!D4705,"")</f>
        <v>1519.82</v>
      </c>
      <c r="B4705" s="3" t="str">
        <f>IF(Raw_Data!J4705=1,Raw_Data!D4705,"")</f>
        <v/>
      </c>
    </row>
    <row r="4706" spans="1:2" x14ac:dyDescent="0.25">
      <c r="A4706" s="3">
        <f>IF(Raw_Data!J4706=0,Raw_Data!D4706,"")</f>
        <v>4149.3500000000004</v>
      </c>
      <c r="B4706" s="3" t="str">
        <f>IF(Raw_Data!J4706=1,Raw_Data!D4706,"")</f>
        <v/>
      </c>
    </row>
    <row r="4707" spans="1:2" x14ac:dyDescent="0.25">
      <c r="A4707" s="3">
        <f>IF(Raw_Data!J4707=0,Raw_Data!D4707,"")</f>
        <v>1556.67</v>
      </c>
      <c r="B4707" s="3" t="str">
        <f>IF(Raw_Data!J4707=1,Raw_Data!D4707,"")</f>
        <v/>
      </c>
    </row>
    <row r="4708" spans="1:2" x14ac:dyDescent="0.25">
      <c r="A4708" s="3">
        <f>IF(Raw_Data!J4708=0,Raw_Data!D4708,"")</f>
        <v>4554.38</v>
      </c>
      <c r="B4708" s="3" t="str">
        <f>IF(Raw_Data!J4708=1,Raw_Data!D4708,"")</f>
        <v/>
      </c>
    </row>
    <row r="4709" spans="1:2" x14ac:dyDescent="0.25">
      <c r="A4709" s="3">
        <f>IF(Raw_Data!J4709=0,Raw_Data!D4709,"")</f>
        <v>1701.01</v>
      </c>
      <c r="B4709" s="3" t="str">
        <f>IF(Raw_Data!J4709=1,Raw_Data!D4709,"")</f>
        <v/>
      </c>
    </row>
    <row r="4710" spans="1:2" x14ac:dyDescent="0.25">
      <c r="A4710" s="3">
        <f>IF(Raw_Data!J4710=0,Raw_Data!D4710,"")</f>
        <v>3178.63</v>
      </c>
      <c r="B4710" s="3" t="str">
        <f>IF(Raw_Data!J4710=1,Raw_Data!D4710,"")</f>
        <v/>
      </c>
    </row>
    <row r="4711" spans="1:2" x14ac:dyDescent="0.25">
      <c r="A4711" s="3">
        <f>IF(Raw_Data!J4711=0,Raw_Data!D4711,"")</f>
        <v>3143.33</v>
      </c>
      <c r="B4711" s="3" t="str">
        <f>IF(Raw_Data!J4711=1,Raw_Data!D4711,"")</f>
        <v/>
      </c>
    </row>
    <row r="4712" spans="1:2" x14ac:dyDescent="0.25">
      <c r="A4712" s="3">
        <f>IF(Raw_Data!J4712=0,Raw_Data!D4712,"")</f>
        <v>691.16</v>
      </c>
      <c r="B4712" s="3" t="str">
        <f>IF(Raw_Data!J4712=1,Raw_Data!D4712,"")</f>
        <v/>
      </c>
    </row>
    <row r="4713" spans="1:2" x14ac:dyDescent="0.25">
      <c r="A4713" s="3">
        <f>IF(Raw_Data!J4713=0,Raw_Data!D4713,"")</f>
        <v>2792.55</v>
      </c>
      <c r="B4713" s="3" t="str">
        <f>IF(Raw_Data!J4713=1,Raw_Data!D4713,"")</f>
        <v/>
      </c>
    </row>
    <row r="4714" spans="1:2" x14ac:dyDescent="0.25">
      <c r="A4714" s="3">
        <f>IF(Raw_Data!J4714=0,Raw_Data!D4714,"")</f>
        <v>1177.9000000000001</v>
      </c>
      <c r="B4714" s="3" t="str">
        <f>IF(Raw_Data!J4714=1,Raw_Data!D4714,"")</f>
        <v/>
      </c>
    </row>
    <row r="4715" spans="1:2" x14ac:dyDescent="0.25">
      <c r="A4715" s="3" t="str">
        <f>IF(Raw_Data!J4715=0,Raw_Data!D4715,"")</f>
        <v/>
      </c>
      <c r="B4715" s="3">
        <f>IF(Raw_Data!J4715=1,Raw_Data!D4715,"")</f>
        <v>1279.31</v>
      </c>
    </row>
    <row r="4716" spans="1:2" x14ac:dyDescent="0.25">
      <c r="A4716" s="3">
        <f>IF(Raw_Data!J4716=0,Raw_Data!D4716,"")</f>
        <v>3335.09</v>
      </c>
      <c r="B4716" s="3" t="str">
        <f>IF(Raw_Data!J4716=1,Raw_Data!D4716,"")</f>
        <v/>
      </c>
    </row>
    <row r="4717" spans="1:2" x14ac:dyDescent="0.25">
      <c r="A4717" s="3">
        <f>IF(Raw_Data!J4717=0,Raw_Data!D4717,"")</f>
        <v>2697.8</v>
      </c>
      <c r="B4717" s="3" t="str">
        <f>IF(Raw_Data!J4717=1,Raw_Data!D4717,"")</f>
        <v/>
      </c>
    </row>
    <row r="4718" spans="1:2" x14ac:dyDescent="0.25">
      <c r="A4718" s="3">
        <f>IF(Raw_Data!J4718=0,Raw_Data!D4718,"")</f>
        <v>964.87</v>
      </c>
      <c r="B4718" s="3" t="str">
        <f>IF(Raw_Data!J4718=1,Raw_Data!D4718,"")</f>
        <v/>
      </c>
    </row>
    <row r="4719" spans="1:2" x14ac:dyDescent="0.25">
      <c r="A4719" s="3">
        <f>IF(Raw_Data!J4719=0,Raw_Data!D4719,"")</f>
        <v>4168.1400000000003</v>
      </c>
      <c r="B4719" s="3" t="str">
        <f>IF(Raw_Data!J4719=1,Raw_Data!D4719,"")</f>
        <v/>
      </c>
    </row>
    <row r="4720" spans="1:2" x14ac:dyDescent="0.25">
      <c r="A4720" s="3">
        <f>IF(Raw_Data!J4720=0,Raw_Data!D4720,"")</f>
        <v>2316.2399999999998</v>
      </c>
      <c r="B4720" s="3" t="str">
        <f>IF(Raw_Data!J4720=1,Raw_Data!D4720,"")</f>
        <v/>
      </c>
    </row>
    <row r="4721" spans="1:2" x14ac:dyDescent="0.25">
      <c r="A4721" s="3" t="str">
        <f>IF(Raw_Data!J4721=0,Raw_Data!D4721,"")</f>
        <v/>
      </c>
      <c r="B4721" s="3">
        <f>IF(Raw_Data!J4721=1,Raw_Data!D4721,"")</f>
        <v>2722.13</v>
      </c>
    </row>
    <row r="4722" spans="1:2" x14ac:dyDescent="0.25">
      <c r="A4722" s="3">
        <f>IF(Raw_Data!J4722=0,Raw_Data!D4722,"")</f>
        <v>2923.09</v>
      </c>
      <c r="B4722" s="3" t="str">
        <f>IF(Raw_Data!J4722=1,Raw_Data!D4722,"")</f>
        <v/>
      </c>
    </row>
    <row r="4723" spans="1:2" x14ac:dyDescent="0.25">
      <c r="A4723" s="3">
        <f>IF(Raw_Data!J4723=0,Raw_Data!D4723,"")</f>
        <v>808.31</v>
      </c>
      <c r="B4723" s="3" t="str">
        <f>IF(Raw_Data!J4723=1,Raw_Data!D4723,"")</f>
        <v/>
      </c>
    </row>
    <row r="4724" spans="1:2" x14ac:dyDescent="0.25">
      <c r="A4724" s="3">
        <f>IF(Raw_Data!J4724=0,Raw_Data!D4724,"")</f>
        <v>2615.96</v>
      </c>
      <c r="B4724" s="3" t="str">
        <f>IF(Raw_Data!J4724=1,Raw_Data!D4724,"")</f>
        <v/>
      </c>
    </row>
    <row r="4725" spans="1:2" x14ac:dyDescent="0.25">
      <c r="A4725" s="3">
        <f>IF(Raw_Data!J4725=0,Raw_Data!D4725,"")</f>
        <v>2686.81</v>
      </c>
      <c r="B4725" s="3" t="str">
        <f>IF(Raw_Data!J4725=1,Raw_Data!D4725,"")</f>
        <v/>
      </c>
    </row>
    <row r="4726" spans="1:2" x14ac:dyDescent="0.25">
      <c r="A4726" s="3">
        <f>IF(Raw_Data!J4726=0,Raw_Data!D4726,"")</f>
        <v>3868.03</v>
      </c>
      <c r="B4726" s="3" t="str">
        <f>IF(Raw_Data!J4726=1,Raw_Data!D4726,"")</f>
        <v/>
      </c>
    </row>
    <row r="4727" spans="1:2" x14ac:dyDescent="0.25">
      <c r="A4727" s="3">
        <f>IF(Raw_Data!J4727=0,Raw_Data!D4727,"")</f>
        <v>201.69</v>
      </c>
      <c r="B4727" s="3" t="str">
        <f>IF(Raw_Data!J4727=1,Raw_Data!D4727,"")</f>
        <v/>
      </c>
    </row>
    <row r="4728" spans="1:2" x14ac:dyDescent="0.25">
      <c r="A4728" s="3">
        <f>IF(Raw_Data!J4728=0,Raw_Data!D4728,"")</f>
        <v>1717.52</v>
      </c>
      <c r="B4728" s="3" t="str">
        <f>IF(Raw_Data!J4728=1,Raw_Data!D4728,"")</f>
        <v/>
      </c>
    </row>
    <row r="4729" spans="1:2" x14ac:dyDescent="0.25">
      <c r="A4729" s="3">
        <f>IF(Raw_Data!J4729=0,Raw_Data!D4729,"")</f>
        <v>4250.45</v>
      </c>
      <c r="B4729" s="3" t="str">
        <f>IF(Raw_Data!J4729=1,Raw_Data!D4729,"")</f>
        <v/>
      </c>
    </row>
    <row r="4730" spans="1:2" x14ac:dyDescent="0.25">
      <c r="A4730" s="3">
        <f>IF(Raw_Data!J4730=0,Raw_Data!D4730,"")</f>
        <v>3017.42</v>
      </c>
      <c r="B4730" s="3" t="str">
        <f>IF(Raw_Data!J4730=1,Raw_Data!D4730,"")</f>
        <v/>
      </c>
    </row>
    <row r="4731" spans="1:2" x14ac:dyDescent="0.25">
      <c r="A4731" s="3">
        <f>IF(Raw_Data!J4731=0,Raw_Data!D4731,"")</f>
        <v>3342.02</v>
      </c>
      <c r="B4731" s="3" t="str">
        <f>IF(Raw_Data!J4731=1,Raw_Data!D4731,"")</f>
        <v/>
      </c>
    </row>
    <row r="4732" spans="1:2" x14ac:dyDescent="0.25">
      <c r="A4732" s="3" t="str">
        <f>IF(Raw_Data!J4732=0,Raw_Data!D4732,"")</f>
        <v/>
      </c>
      <c r="B4732" s="3">
        <f>IF(Raw_Data!J4732=1,Raw_Data!D4732,"")</f>
        <v>1557.44</v>
      </c>
    </row>
    <row r="4733" spans="1:2" x14ac:dyDescent="0.25">
      <c r="A4733" s="3">
        <f>IF(Raw_Data!J4733=0,Raw_Data!D4733,"")</f>
        <v>976.58</v>
      </c>
      <c r="B4733" s="3" t="str">
        <f>IF(Raw_Data!J4733=1,Raw_Data!D4733,"")</f>
        <v/>
      </c>
    </row>
    <row r="4734" spans="1:2" x14ac:dyDescent="0.25">
      <c r="A4734" s="3">
        <f>IF(Raw_Data!J4734=0,Raw_Data!D4734,"")</f>
        <v>2277.5100000000002</v>
      </c>
      <c r="B4734" s="3" t="str">
        <f>IF(Raw_Data!J4734=1,Raw_Data!D4734,"")</f>
        <v/>
      </c>
    </row>
    <row r="4735" spans="1:2" x14ac:dyDescent="0.25">
      <c r="A4735" s="3">
        <f>IF(Raw_Data!J4735=0,Raw_Data!D4735,"")</f>
        <v>2251.38</v>
      </c>
      <c r="B4735" s="3" t="str">
        <f>IF(Raw_Data!J4735=1,Raw_Data!D4735,"")</f>
        <v/>
      </c>
    </row>
    <row r="4736" spans="1:2" x14ac:dyDescent="0.25">
      <c r="A4736" s="3">
        <f>IF(Raw_Data!J4736=0,Raw_Data!D4736,"")</f>
        <v>1968.8</v>
      </c>
      <c r="B4736" s="3" t="str">
        <f>IF(Raw_Data!J4736=1,Raw_Data!D4736,"")</f>
        <v/>
      </c>
    </row>
    <row r="4737" spans="1:2" x14ac:dyDescent="0.25">
      <c r="A4737" s="3">
        <f>IF(Raw_Data!J4737=0,Raw_Data!D4737,"")</f>
        <v>6127.31</v>
      </c>
      <c r="B4737" s="3" t="str">
        <f>IF(Raw_Data!J4737=1,Raw_Data!D4737,"")</f>
        <v/>
      </c>
    </row>
    <row r="4738" spans="1:2" x14ac:dyDescent="0.25">
      <c r="A4738" s="3">
        <f>IF(Raw_Data!J4738=0,Raw_Data!D4738,"")</f>
        <v>2512.88</v>
      </c>
      <c r="B4738" s="3" t="str">
        <f>IF(Raw_Data!J4738=1,Raw_Data!D4738,"")</f>
        <v/>
      </c>
    </row>
    <row r="4739" spans="1:2" x14ac:dyDescent="0.25">
      <c r="A4739" s="3">
        <f>IF(Raw_Data!J4739=0,Raw_Data!D4739,"")</f>
        <v>2272.42</v>
      </c>
      <c r="B4739" s="3" t="str">
        <f>IF(Raw_Data!J4739=1,Raw_Data!D4739,"")</f>
        <v/>
      </c>
    </row>
    <row r="4740" spans="1:2" x14ac:dyDescent="0.25">
      <c r="A4740" s="3">
        <f>IF(Raw_Data!J4740=0,Raw_Data!D4740,"")</f>
        <v>3973.89</v>
      </c>
      <c r="B4740" s="3" t="str">
        <f>IF(Raw_Data!J4740=1,Raw_Data!D4740,"")</f>
        <v/>
      </c>
    </row>
    <row r="4741" spans="1:2" x14ac:dyDescent="0.25">
      <c r="A4741" s="3">
        <f>IF(Raw_Data!J4741=0,Raw_Data!D4741,"")</f>
        <v>1225.46</v>
      </c>
      <c r="B4741" s="3" t="str">
        <f>IF(Raw_Data!J4741=1,Raw_Data!D4741,"")</f>
        <v/>
      </c>
    </row>
    <row r="4742" spans="1:2" x14ac:dyDescent="0.25">
      <c r="A4742" s="3" t="str">
        <f>IF(Raw_Data!J4742=0,Raw_Data!D4742,"")</f>
        <v/>
      </c>
      <c r="B4742" s="3">
        <f>IF(Raw_Data!J4742=1,Raw_Data!D4742,"")</f>
        <v>1309.54</v>
      </c>
    </row>
    <row r="4743" spans="1:2" x14ac:dyDescent="0.25">
      <c r="A4743" s="3">
        <f>IF(Raw_Data!J4743=0,Raw_Data!D4743,"")</f>
        <v>1210.3399999999999</v>
      </c>
      <c r="B4743" s="3" t="str">
        <f>IF(Raw_Data!J4743=1,Raw_Data!D4743,"")</f>
        <v/>
      </c>
    </row>
    <row r="4744" spans="1:2" x14ac:dyDescent="0.25">
      <c r="A4744" s="3">
        <f>IF(Raw_Data!J4744=0,Raw_Data!D4744,"")</f>
        <v>319.66000000000003</v>
      </c>
      <c r="B4744" s="3" t="str">
        <f>IF(Raw_Data!J4744=1,Raw_Data!D4744,"")</f>
        <v/>
      </c>
    </row>
    <row r="4745" spans="1:2" x14ac:dyDescent="0.25">
      <c r="A4745" s="3">
        <f>IF(Raw_Data!J4745=0,Raw_Data!D4745,"")</f>
        <v>2093.2600000000002</v>
      </c>
      <c r="B4745" s="3" t="str">
        <f>IF(Raw_Data!J4745=1,Raw_Data!D4745,"")</f>
        <v/>
      </c>
    </row>
    <row r="4746" spans="1:2" x14ac:dyDescent="0.25">
      <c r="A4746" s="3">
        <f>IF(Raw_Data!J4746=0,Raw_Data!D4746,"")</f>
        <v>3229.16</v>
      </c>
      <c r="B4746" s="3" t="str">
        <f>IF(Raw_Data!J4746=1,Raw_Data!D4746,"")</f>
        <v/>
      </c>
    </row>
    <row r="4747" spans="1:2" x14ac:dyDescent="0.25">
      <c r="A4747" s="3" t="str">
        <f>IF(Raw_Data!J4747=0,Raw_Data!D4747,"")</f>
        <v/>
      </c>
      <c r="B4747" s="3">
        <f>IF(Raw_Data!J4747=1,Raw_Data!D4747,"")</f>
        <v>1214.8</v>
      </c>
    </row>
    <row r="4748" spans="1:2" x14ac:dyDescent="0.25">
      <c r="A4748" s="3">
        <f>IF(Raw_Data!J4748=0,Raw_Data!D4748,"")</f>
        <v>2754.98</v>
      </c>
      <c r="B4748" s="3" t="str">
        <f>IF(Raw_Data!J4748=1,Raw_Data!D4748,"")</f>
        <v/>
      </c>
    </row>
    <row r="4749" spans="1:2" x14ac:dyDescent="0.25">
      <c r="A4749" s="3">
        <f>IF(Raw_Data!J4749=0,Raw_Data!D4749,"")</f>
        <v>1793.97</v>
      </c>
      <c r="B4749" s="3" t="str">
        <f>IF(Raw_Data!J4749=1,Raw_Data!D4749,"")</f>
        <v/>
      </c>
    </row>
    <row r="4750" spans="1:2" x14ac:dyDescent="0.25">
      <c r="A4750" s="3">
        <f>IF(Raw_Data!J4750=0,Raw_Data!D4750,"")</f>
        <v>2230.88</v>
      </c>
      <c r="B4750" s="3" t="str">
        <f>IF(Raw_Data!J4750=1,Raw_Data!D4750,"")</f>
        <v/>
      </c>
    </row>
    <row r="4751" spans="1:2" x14ac:dyDescent="0.25">
      <c r="A4751" s="3">
        <f>IF(Raw_Data!J4751=0,Raw_Data!D4751,"")</f>
        <v>1692.09</v>
      </c>
      <c r="B4751" s="3" t="str">
        <f>IF(Raw_Data!J4751=1,Raw_Data!D4751,"")</f>
        <v/>
      </c>
    </row>
    <row r="4752" spans="1:2" x14ac:dyDescent="0.25">
      <c r="A4752" s="3">
        <f>IF(Raw_Data!J4752=0,Raw_Data!D4752,"")</f>
        <v>4828.7700000000004</v>
      </c>
      <c r="B4752" s="3" t="str">
        <f>IF(Raw_Data!J4752=1,Raw_Data!D4752,"")</f>
        <v/>
      </c>
    </row>
    <row r="4753" spans="1:2" x14ac:dyDescent="0.25">
      <c r="A4753" s="3">
        <f>IF(Raw_Data!J4753=0,Raw_Data!D4753,"")</f>
        <v>1864.4</v>
      </c>
      <c r="B4753" s="3" t="str">
        <f>IF(Raw_Data!J4753=1,Raw_Data!D4753,"")</f>
        <v/>
      </c>
    </row>
    <row r="4754" spans="1:2" x14ac:dyDescent="0.25">
      <c r="A4754" s="3">
        <f>IF(Raw_Data!J4754=0,Raw_Data!D4754,"")</f>
        <v>2683.32</v>
      </c>
      <c r="B4754" s="3" t="str">
        <f>IF(Raw_Data!J4754=1,Raw_Data!D4754,"")</f>
        <v/>
      </c>
    </row>
    <row r="4755" spans="1:2" x14ac:dyDescent="0.25">
      <c r="A4755" s="3">
        <f>IF(Raw_Data!J4755=0,Raw_Data!D4755,"")</f>
        <v>4623.22</v>
      </c>
      <c r="B4755" s="3" t="str">
        <f>IF(Raw_Data!J4755=1,Raw_Data!D4755,"")</f>
        <v/>
      </c>
    </row>
    <row r="4756" spans="1:2" x14ac:dyDescent="0.25">
      <c r="A4756" s="3">
        <f>IF(Raw_Data!J4756=0,Raw_Data!D4756,"")</f>
        <v>764.55</v>
      </c>
      <c r="B4756" s="3" t="str">
        <f>IF(Raw_Data!J4756=1,Raw_Data!D4756,"")</f>
        <v/>
      </c>
    </row>
    <row r="4757" spans="1:2" x14ac:dyDescent="0.25">
      <c r="A4757" s="3">
        <f>IF(Raw_Data!J4757=0,Raw_Data!D4757,"")</f>
        <v>1599.93</v>
      </c>
      <c r="B4757" s="3" t="str">
        <f>IF(Raw_Data!J4757=1,Raw_Data!D4757,"")</f>
        <v/>
      </c>
    </row>
    <row r="4758" spans="1:2" x14ac:dyDescent="0.25">
      <c r="A4758" s="3" t="str">
        <f>IF(Raw_Data!J4758=0,Raw_Data!D4758,"")</f>
        <v/>
      </c>
      <c r="B4758" s="3">
        <f>IF(Raw_Data!J4758=1,Raw_Data!D4758,"")</f>
        <v>1467.51</v>
      </c>
    </row>
    <row r="4759" spans="1:2" x14ac:dyDescent="0.25">
      <c r="A4759" s="3">
        <f>IF(Raw_Data!J4759=0,Raw_Data!D4759,"")</f>
        <v>3821</v>
      </c>
      <c r="B4759" s="3" t="str">
        <f>IF(Raw_Data!J4759=1,Raw_Data!D4759,"")</f>
        <v/>
      </c>
    </row>
    <row r="4760" spans="1:2" x14ac:dyDescent="0.25">
      <c r="A4760" s="3">
        <f>IF(Raw_Data!J4760=0,Raw_Data!D4760,"")</f>
        <v>4107.78</v>
      </c>
      <c r="B4760" s="3" t="str">
        <f>IF(Raw_Data!J4760=1,Raw_Data!D4760,"")</f>
        <v/>
      </c>
    </row>
    <row r="4761" spans="1:2" x14ac:dyDescent="0.25">
      <c r="A4761" s="3">
        <f>IF(Raw_Data!J4761=0,Raw_Data!D4761,"")</f>
        <v>2461.5500000000002</v>
      </c>
      <c r="B4761" s="3" t="str">
        <f>IF(Raw_Data!J4761=1,Raw_Data!D4761,"")</f>
        <v/>
      </c>
    </row>
    <row r="4762" spans="1:2" x14ac:dyDescent="0.25">
      <c r="A4762" s="3">
        <f>IF(Raw_Data!J4762=0,Raw_Data!D4762,"")</f>
        <v>3136.03</v>
      </c>
      <c r="B4762" s="3" t="str">
        <f>IF(Raw_Data!J4762=1,Raw_Data!D4762,"")</f>
        <v/>
      </c>
    </row>
    <row r="4763" spans="1:2" x14ac:dyDescent="0.25">
      <c r="A4763" s="3">
        <f>IF(Raw_Data!J4763=0,Raw_Data!D4763,"")</f>
        <v>2160.63</v>
      </c>
      <c r="B4763" s="3" t="str">
        <f>IF(Raw_Data!J4763=1,Raw_Data!D4763,"")</f>
        <v/>
      </c>
    </row>
    <row r="4764" spans="1:2" x14ac:dyDescent="0.25">
      <c r="A4764" s="3">
        <f>IF(Raw_Data!J4764=0,Raw_Data!D4764,"")</f>
        <v>3666.59</v>
      </c>
      <c r="B4764" s="3" t="str">
        <f>IF(Raw_Data!J4764=1,Raw_Data!D4764,"")</f>
        <v/>
      </c>
    </row>
    <row r="4765" spans="1:2" x14ac:dyDescent="0.25">
      <c r="A4765" s="3">
        <f>IF(Raw_Data!J4765=0,Raw_Data!D4765,"")</f>
        <v>1495.49</v>
      </c>
      <c r="B4765" s="3" t="str">
        <f>IF(Raw_Data!J4765=1,Raw_Data!D4765,"")</f>
        <v/>
      </c>
    </row>
    <row r="4766" spans="1:2" x14ac:dyDescent="0.25">
      <c r="A4766" s="3">
        <f>IF(Raw_Data!J4766=0,Raw_Data!D4766,"")</f>
        <v>921.82</v>
      </c>
      <c r="B4766" s="3" t="str">
        <f>IF(Raw_Data!J4766=1,Raw_Data!D4766,"")</f>
        <v/>
      </c>
    </row>
    <row r="4767" spans="1:2" x14ac:dyDescent="0.25">
      <c r="A4767" s="3">
        <f>IF(Raw_Data!J4767=0,Raw_Data!D4767,"")</f>
        <v>1838.37</v>
      </c>
      <c r="B4767" s="3" t="str">
        <f>IF(Raw_Data!J4767=1,Raw_Data!D4767,"")</f>
        <v/>
      </c>
    </row>
    <row r="4768" spans="1:2" x14ac:dyDescent="0.25">
      <c r="A4768" s="3">
        <f>IF(Raw_Data!J4768=0,Raw_Data!D4768,"")</f>
        <v>1883.38</v>
      </c>
      <c r="B4768" s="3" t="str">
        <f>IF(Raw_Data!J4768=1,Raw_Data!D4768,"")</f>
        <v/>
      </c>
    </row>
    <row r="4769" spans="1:2" x14ac:dyDescent="0.25">
      <c r="A4769" s="3">
        <f>IF(Raw_Data!J4769=0,Raw_Data!D4769,"")</f>
        <v>2344.34</v>
      </c>
      <c r="B4769" s="3" t="str">
        <f>IF(Raw_Data!J4769=1,Raw_Data!D4769,"")</f>
        <v/>
      </c>
    </row>
    <row r="4770" spans="1:2" x14ac:dyDescent="0.25">
      <c r="A4770" s="3" t="str">
        <f>IF(Raw_Data!J4770=0,Raw_Data!D4770,"")</f>
        <v/>
      </c>
      <c r="B4770" s="3">
        <f>IF(Raw_Data!J4770=1,Raw_Data!D4770,"")</f>
        <v>2675.73</v>
      </c>
    </row>
    <row r="4771" spans="1:2" x14ac:dyDescent="0.25">
      <c r="A4771" s="3" t="str">
        <f>IF(Raw_Data!J4771=0,Raw_Data!D4771,"")</f>
        <v/>
      </c>
      <c r="B4771" s="3">
        <f>IF(Raw_Data!J4771=1,Raw_Data!D4771,"")</f>
        <v>2528.4899999999998</v>
      </c>
    </row>
    <row r="4772" spans="1:2" x14ac:dyDescent="0.25">
      <c r="A4772" s="3">
        <f>IF(Raw_Data!J4772=0,Raw_Data!D4772,"")</f>
        <v>3988.5</v>
      </c>
      <c r="B4772" s="3" t="str">
        <f>IF(Raw_Data!J4772=1,Raw_Data!D4772,"")</f>
        <v/>
      </c>
    </row>
    <row r="4773" spans="1:2" x14ac:dyDescent="0.25">
      <c r="A4773" s="3">
        <f>IF(Raw_Data!J4773=0,Raw_Data!D4773,"")</f>
        <v>439.17</v>
      </c>
      <c r="B4773" s="3" t="str">
        <f>IF(Raw_Data!J4773=1,Raw_Data!D4773,"")</f>
        <v/>
      </c>
    </row>
    <row r="4774" spans="1:2" x14ac:dyDescent="0.25">
      <c r="A4774" s="3">
        <f>IF(Raw_Data!J4774=0,Raw_Data!D4774,"")</f>
        <v>5508.77</v>
      </c>
      <c r="B4774" s="3" t="str">
        <f>IF(Raw_Data!J4774=1,Raw_Data!D4774,"")</f>
        <v/>
      </c>
    </row>
    <row r="4775" spans="1:2" x14ac:dyDescent="0.25">
      <c r="A4775" s="3">
        <f>IF(Raw_Data!J4775=0,Raw_Data!D4775,"")</f>
        <v>1231.0999999999999</v>
      </c>
      <c r="B4775" s="3" t="str">
        <f>IF(Raw_Data!J4775=1,Raw_Data!D4775,"")</f>
        <v/>
      </c>
    </row>
    <row r="4776" spans="1:2" x14ac:dyDescent="0.25">
      <c r="A4776" s="3">
        <f>IF(Raw_Data!J4776=0,Raw_Data!D4776,"")</f>
        <v>3182.76</v>
      </c>
      <c r="B4776" s="3" t="str">
        <f>IF(Raw_Data!J4776=1,Raw_Data!D4776,"")</f>
        <v/>
      </c>
    </row>
    <row r="4777" spans="1:2" x14ac:dyDescent="0.25">
      <c r="A4777" s="3">
        <f>IF(Raw_Data!J4777=0,Raw_Data!D4777,"")</f>
        <v>1652.5</v>
      </c>
      <c r="B4777" s="3" t="str">
        <f>IF(Raw_Data!J4777=1,Raw_Data!D4777,"")</f>
        <v/>
      </c>
    </row>
    <row r="4778" spans="1:2" x14ac:dyDescent="0.25">
      <c r="A4778" s="3">
        <f>IF(Raw_Data!J4778=0,Raw_Data!D4778,"")</f>
        <v>3040.39</v>
      </c>
      <c r="B4778" s="3" t="str">
        <f>IF(Raw_Data!J4778=1,Raw_Data!D4778,"")</f>
        <v/>
      </c>
    </row>
    <row r="4779" spans="1:2" x14ac:dyDescent="0.25">
      <c r="A4779" s="3">
        <f>IF(Raw_Data!J4779=0,Raw_Data!D4779,"")</f>
        <v>922.58</v>
      </c>
      <c r="B4779" s="3" t="str">
        <f>IF(Raw_Data!J4779=1,Raw_Data!D4779,"")</f>
        <v/>
      </c>
    </row>
    <row r="4780" spans="1:2" x14ac:dyDescent="0.25">
      <c r="A4780" s="3">
        <f>IF(Raw_Data!J4780=0,Raw_Data!D4780,"")</f>
        <v>2555.2800000000002</v>
      </c>
      <c r="B4780" s="3" t="str">
        <f>IF(Raw_Data!J4780=1,Raw_Data!D4780,"")</f>
        <v/>
      </c>
    </row>
    <row r="4781" spans="1:2" x14ac:dyDescent="0.25">
      <c r="A4781" s="3">
        <f>IF(Raw_Data!J4781=0,Raw_Data!D4781,"")</f>
        <v>1007.18</v>
      </c>
      <c r="B4781" s="3" t="str">
        <f>IF(Raw_Data!J4781=1,Raw_Data!D4781,"")</f>
        <v/>
      </c>
    </row>
    <row r="4782" spans="1:2" x14ac:dyDescent="0.25">
      <c r="A4782" s="3">
        <f>IF(Raw_Data!J4782=0,Raw_Data!D4782,"")</f>
        <v>2383.63</v>
      </c>
      <c r="B4782" s="3" t="str">
        <f>IF(Raw_Data!J4782=1,Raw_Data!D4782,"")</f>
        <v/>
      </c>
    </row>
    <row r="4783" spans="1:2" x14ac:dyDescent="0.25">
      <c r="A4783" s="3">
        <f>IF(Raw_Data!J4783=0,Raw_Data!D4783,"")</f>
        <v>2601.56</v>
      </c>
      <c r="B4783" s="3" t="str">
        <f>IF(Raw_Data!J4783=1,Raw_Data!D4783,"")</f>
        <v/>
      </c>
    </row>
    <row r="4784" spans="1:2" x14ac:dyDescent="0.25">
      <c r="A4784" s="3">
        <f>IF(Raw_Data!J4784=0,Raw_Data!D4784,"")</f>
        <v>1383.76</v>
      </c>
      <c r="B4784" s="3" t="str">
        <f>IF(Raw_Data!J4784=1,Raw_Data!D4784,"")</f>
        <v/>
      </c>
    </row>
    <row r="4785" spans="1:2" x14ac:dyDescent="0.25">
      <c r="A4785" s="3">
        <f>IF(Raw_Data!J4785=0,Raw_Data!D4785,"")</f>
        <v>2093.1</v>
      </c>
      <c r="B4785" s="3" t="str">
        <f>IF(Raw_Data!J4785=1,Raw_Data!D4785,"")</f>
        <v/>
      </c>
    </row>
    <row r="4786" spans="1:2" x14ac:dyDescent="0.25">
      <c r="A4786" s="3">
        <f>IF(Raw_Data!J4786=0,Raw_Data!D4786,"")</f>
        <v>1497.97</v>
      </c>
      <c r="B4786" s="3" t="str">
        <f>IF(Raw_Data!J4786=1,Raw_Data!D4786,"")</f>
        <v/>
      </c>
    </row>
    <row r="4787" spans="1:2" x14ac:dyDescent="0.25">
      <c r="A4787" s="3">
        <f>IF(Raw_Data!J4787=0,Raw_Data!D4787,"")</f>
        <v>1554.05</v>
      </c>
      <c r="B4787" s="3" t="str">
        <f>IF(Raw_Data!J4787=1,Raw_Data!D4787,"")</f>
        <v/>
      </c>
    </row>
    <row r="4788" spans="1:2" x14ac:dyDescent="0.25">
      <c r="A4788" s="3" t="str">
        <f>IF(Raw_Data!J4788=0,Raw_Data!D4788,"")</f>
        <v/>
      </c>
      <c r="B4788" s="3">
        <f>IF(Raw_Data!J4788=1,Raw_Data!D4788,"")</f>
        <v>3073.97</v>
      </c>
    </row>
    <row r="4789" spans="1:2" x14ac:dyDescent="0.25">
      <c r="A4789" s="3">
        <f>IF(Raw_Data!J4789=0,Raw_Data!D4789,"")</f>
        <v>7531.79</v>
      </c>
      <c r="B4789" s="3" t="str">
        <f>IF(Raw_Data!J4789=1,Raw_Data!D4789,"")</f>
        <v/>
      </c>
    </row>
    <row r="4790" spans="1:2" x14ac:dyDescent="0.25">
      <c r="A4790" s="3">
        <f>IF(Raw_Data!J4790=0,Raw_Data!D4790,"")</f>
        <v>3174.33</v>
      </c>
      <c r="B4790" s="3" t="str">
        <f>IF(Raw_Data!J4790=1,Raw_Data!D4790,"")</f>
        <v/>
      </c>
    </row>
    <row r="4791" spans="1:2" x14ac:dyDescent="0.25">
      <c r="A4791" s="3">
        <f>IF(Raw_Data!J4791=0,Raw_Data!D4791,"")</f>
        <v>7181.19</v>
      </c>
      <c r="B4791" s="3" t="str">
        <f>IF(Raw_Data!J4791=1,Raw_Data!D4791,"")</f>
        <v/>
      </c>
    </row>
    <row r="4792" spans="1:2" x14ac:dyDescent="0.25">
      <c r="A4792" s="3">
        <f>IF(Raw_Data!J4792=0,Raw_Data!D4792,"")</f>
        <v>4808.08</v>
      </c>
      <c r="B4792" s="3" t="str">
        <f>IF(Raw_Data!J4792=1,Raw_Data!D4792,"")</f>
        <v/>
      </c>
    </row>
    <row r="4793" spans="1:2" x14ac:dyDescent="0.25">
      <c r="A4793" s="3" t="str">
        <f>IF(Raw_Data!J4793=0,Raw_Data!D4793,"")</f>
        <v/>
      </c>
      <c r="B4793" s="3">
        <f>IF(Raw_Data!J4793=1,Raw_Data!D4793,"")</f>
        <v>2051.98</v>
      </c>
    </row>
    <row r="4794" spans="1:2" x14ac:dyDescent="0.25">
      <c r="A4794" s="3">
        <f>IF(Raw_Data!J4794=0,Raw_Data!D4794,"")</f>
        <v>3431.49</v>
      </c>
      <c r="B4794" s="3" t="str">
        <f>IF(Raw_Data!J4794=1,Raw_Data!D4794,"")</f>
        <v/>
      </c>
    </row>
    <row r="4795" spans="1:2" x14ac:dyDescent="0.25">
      <c r="A4795" s="3">
        <f>IF(Raw_Data!J4795=0,Raw_Data!D4795,"")</f>
        <v>1393.91</v>
      </c>
      <c r="B4795" s="3" t="str">
        <f>IF(Raw_Data!J4795=1,Raw_Data!D4795,"")</f>
        <v/>
      </c>
    </row>
    <row r="4796" spans="1:2" x14ac:dyDescent="0.25">
      <c r="A4796" s="3">
        <f>IF(Raw_Data!J4796=0,Raw_Data!D4796,"")</f>
        <v>1232.8900000000001</v>
      </c>
      <c r="B4796" s="3" t="str">
        <f>IF(Raw_Data!J4796=1,Raw_Data!D4796,"")</f>
        <v/>
      </c>
    </row>
    <row r="4797" spans="1:2" x14ac:dyDescent="0.25">
      <c r="A4797" s="3">
        <f>IF(Raw_Data!J4797=0,Raw_Data!D4797,"")</f>
        <v>2242.3000000000002</v>
      </c>
      <c r="B4797" s="3" t="str">
        <f>IF(Raw_Data!J4797=1,Raw_Data!D4797,"")</f>
        <v/>
      </c>
    </row>
    <row r="4798" spans="1:2" x14ac:dyDescent="0.25">
      <c r="A4798" s="3">
        <f>IF(Raw_Data!J4798=0,Raw_Data!D4798,"")</f>
        <v>2025.74</v>
      </c>
      <c r="B4798" s="3" t="str">
        <f>IF(Raw_Data!J4798=1,Raw_Data!D4798,"")</f>
        <v/>
      </c>
    </row>
    <row r="4799" spans="1:2" x14ac:dyDescent="0.25">
      <c r="A4799" s="3">
        <f>IF(Raw_Data!J4799=0,Raw_Data!D4799,"")</f>
        <v>3527.94</v>
      </c>
      <c r="B4799" s="3" t="str">
        <f>IF(Raw_Data!J4799=1,Raw_Data!D4799,"")</f>
        <v/>
      </c>
    </row>
    <row r="4800" spans="1:2" x14ac:dyDescent="0.25">
      <c r="A4800" s="3" t="str">
        <f>IF(Raw_Data!J4800=0,Raw_Data!D4800,"")</f>
        <v/>
      </c>
      <c r="B4800" s="3">
        <f>IF(Raw_Data!J4800=1,Raw_Data!D4800,"")</f>
        <v>3474.55</v>
      </c>
    </row>
    <row r="4801" spans="1:2" x14ac:dyDescent="0.25">
      <c r="A4801" s="3">
        <f>IF(Raw_Data!J4801=0,Raw_Data!D4801,"")</f>
        <v>1038.43</v>
      </c>
      <c r="B4801" s="3" t="str">
        <f>IF(Raw_Data!J4801=1,Raw_Data!D4801,"")</f>
        <v/>
      </c>
    </row>
    <row r="4802" spans="1:2" x14ac:dyDescent="0.25">
      <c r="A4802" s="3">
        <f>IF(Raw_Data!J4802=0,Raw_Data!D4802,"")</f>
        <v>4301.6099999999997</v>
      </c>
      <c r="B4802" s="3" t="str">
        <f>IF(Raw_Data!J4802=1,Raw_Data!D4802,"")</f>
        <v/>
      </c>
    </row>
    <row r="4803" spans="1:2" x14ac:dyDescent="0.25">
      <c r="A4803" s="3">
        <f>IF(Raw_Data!J4803=0,Raw_Data!D4803,"")</f>
        <v>1124.98</v>
      </c>
      <c r="B4803" s="3" t="str">
        <f>IF(Raw_Data!J4803=1,Raw_Data!D4803,"")</f>
        <v/>
      </c>
    </row>
    <row r="4804" spans="1:2" x14ac:dyDescent="0.25">
      <c r="A4804" s="3">
        <f>IF(Raw_Data!J4804=0,Raw_Data!D4804,"")</f>
        <v>3410.84</v>
      </c>
      <c r="B4804" s="3" t="str">
        <f>IF(Raw_Data!J4804=1,Raw_Data!D4804,"")</f>
        <v/>
      </c>
    </row>
    <row r="4805" spans="1:2" x14ac:dyDescent="0.25">
      <c r="A4805" s="3" t="str">
        <f>IF(Raw_Data!J4805=0,Raw_Data!D4805,"")</f>
        <v/>
      </c>
      <c r="B4805" s="3">
        <f>IF(Raw_Data!J4805=1,Raw_Data!D4805,"")</f>
        <v>2913.83</v>
      </c>
    </row>
    <row r="4806" spans="1:2" x14ac:dyDescent="0.25">
      <c r="A4806" s="3" t="str">
        <f>IF(Raw_Data!J4806=0,Raw_Data!D4806,"")</f>
        <v/>
      </c>
      <c r="B4806" s="3">
        <f>IF(Raw_Data!J4806=1,Raw_Data!D4806,"")</f>
        <v>2292.48</v>
      </c>
    </row>
    <row r="4807" spans="1:2" x14ac:dyDescent="0.25">
      <c r="A4807" s="3">
        <f>IF(Raw_Data!J4807=0,Raw_Data!D4807,"")</f>
        <v>1219.19</v>
      </c>
      <c r="B4807" s="3" t="str">
        <f>IF(Raw_Data!J4807=1,Raw_Data!D4807,"")</f>
        <v/>
      </c>
    </row>
    <row r="4808" spans="1:2" x14ac:dyDescent="0.25">
      <c r="A4808" s="3" t="str">
        <f>IF(Raw_Data!J4808=0,Raw_Data!D4808,"")</f>
        <v/>
      </c>
      <c r="B4808" s="3">
        <f>IF(Raw_Data!J4808=1,Raw_Data!D4808,"")</f>
        <v>3443.35</v>
      </c>
    </row>
    <row r="4809" spans="1:2" x14ac:dyDescent="0.25">
      <c r="A4809" s="3" t="str">
        <f>IF(Raw_Data!J4809=0,Raw_Data!D4809,"")</f>
        <v/>
      </c>
      <c r="B4809" s="3">
        <f>IF(Raw_Data!J4809=1,Raw_Data!D4809,"")</f>
        <v>4912.82</v>
      </c>
    </row>
    <row r="4810" spans="1:2" x14ac:dyDescent="0.25">
      <c r="A4810" s="3">
        <f>IF(Raw_Data!J4810=0,Raw_Data!D4810,"")</f>
        <v>2468.69</v>
      </c>
      <c r="B4810" s="3" t="str">
        <f>IF(Raw_Data!J4810=1,Raw_Data!D4810,"")</f>
        <v/>
      </c>
    </row>
    <row r="4811" spans="1:2" x14ac:dyDescent="0.25">
      <c r="A4811" s="3">
        <f>IF(Raw_Data!J4811=0,Raw_Data!D4811,"")</f>
        <v>2741.94</v>
      </c>
      <c r="B4811" s="3" t="str">
        <f>IF(Raw_Data!J4811=1,Raw_Data!D4811,"")</f>
        <v/>
      </c>
    </row>
    <row r="4812" spans="1:2" x14ac:dyDescent="0.25">
      <c r="A4812" s="3">
        <f>IF(Raw_Data!J4812=0,Raw_Data!D4812,"")</f>
        <v>3851.52</v>
      </c>
      <c r="B4812" s="3" t="str">
        <f>IF(Raw_Data!J4812=1,Raw_Data!D4812,"")</f>
        <v/>
      </c>
    </row>
    <row r="4813" spans="1:2" x14ac:dyDescent="0.25">
      <c r="A4813" s="3">
        <f>IF(Raw_Data!J4813=0,Raw_Data!D4813,"")</f>
        <v>967.59</v>
      </c>
      <c r="B4813" s="3" t="str">
        <f>IF(Raw_Data!J4813=1,Raw_Data!D4813,"")</f>
        <v/>
      </c>
    </row>
    <row r="4814" spans="1:2" x14ac:dyDescent="0.25">
      <c r="A4814" s="3">
        <f>IF(Raw_Data!J4814=0,Raw_Data!D4814,"")</f>
        <v>2779.01</v>
      </c>
      <c r="B4814" s="3" t="str">
        <f>IF(Raw_Data!J4814=1,Raw_Data!D4814,"")</f>
        <v/>
      </c>
    </row>
    <row r="4815" spans="1:2" x14ac:dyDescent="0.25">
      <c r="A4815" s="3">
        <f>IF(Raw_Data!J4815=0,Raw_Data!D4815,"")</f>
        <v>1418.5</v>
      </c>
      <c r="B4815" s="3" t="str">
        <f>IF(Raw_Data!J4815=1,Raw_Data!D4815,"")</f>
        <v/>
      </c>
    </row>
    <row r="4816" spans="1:2" x14ac:dyDescent="0.25">
      <c r="A4816" s="3">
        <f>IF(Raw_Data!J4816=0,Raw_Data!D4816,"")</f>
        <v>1474.3</v>
      </c>
      <c r="B4816" s="3" t="str">
        <f>IF(Raw_Data!J4816=1,Raw_Data!D4816,"")</f>
        <v/>
      </c>
    </row>
    <row r="4817" spans="1:2" x14ac:dyDescent="0.25">
      <c r="A4817" s="3">
        <f>IF(Raw_Data!J4817=0,Raw_Data!D4817,"")</f>
        <v>949.68</v>
      </c>
      <c r="B4817" s="3" t="str">
        <f>IF(Raw_Data!J4817=1,Raw_Data!D4817,"")</f>
        <v/>
      </c>
    </row>
    <row r="4818" spans="1:2" x14ac:dyDescent="0.25">
      <c r="A4818" s="3" t="str">
        <f>IF(Raw_Data!J4818=0,Raw_Data!D4818,"")</f>
        <v/>
      </c>
      <c r="B4818" s="3">
        <f>IF(Raw_Data!J4818=1,Raw_Data!D4818,"")</f>
        <v>774.23</v>
      </c>
    </row>
    <row r="4819" spans="1:2" x14ac:dyDescent="0.25">
      <c r="A4819" s="3" t="str">
        <f>IF(Raw_Data!J4819=0,Raw_Data!D4819,"")</f>
        <v/>
      </c>
      <c r="B4819" s="3">
        <f>IF(Raw_Data!J4819=1,Raw_Data!D4819,"")</f>
        <v>1958.83</v>
      </c>
    </row>
    <row r="4820" spans="1:2" x14ac:dyDescent="0.25">
      <c r="A4820" s="3">
        <f>IF(Raw_Data!J4820=0,Raw_Data!D4820,"")</f>
        <v>4634.95</v>
      </c>
      <c r="B4820" s="3" t="str">
        <f>IF(Raw_Data!J4820=1,Raw_Data!D4820,"")</f>
        <v/>
      </c>
    </row>
    <row r="4821" spans="1:2" x14ac:dyDescent="0.25">
      <c r="A4821" s="3">
        <f>IF(Raw_Data!J4821=0,Raw_Data!D4821,"")</f>
        <v>2315.0300000000002</v>
      </c>
      <c r="B4821" s="3" t="str">
        <f>IF(Raw_Data!J4821=1,Raw_Data!D4821,"")</f>
        <v/>
      </c>
    </row>
    <row r="4822" spans="1:2" x14ac:dyDescent="0.25">
      <c r="A4822" s="3">
        <f>IF(Raw_Data!J4822=0,Raw_Data!D4822,"")</f>
        <v>4798.45</v>
      </c>
      <c r="B4822" s="3" t="str">
        <f>IF(Raw_Data!J4822=1,Raw_Data!D4822,"")</f>
        <v/>
      </c>
    </row>
    <row r="4823" spans="1:2" x14ac:dyDescent="0.25">
      <c r="A4823" s="3">
        <f>IF(Raw_Data!J4823=0,Raw_Data!D4823,"")</f>
        <v>1193.69</v>
      </c>
      <c r="B4823" s="3" t="str">
        <f>IF(Raw_Data!J4823=1,Raw_Data!D4823,"")</f>
        <v/>
      </c>
    </row>
    <row r="4824" spans="1:2" x14ac:dyDescent="0.25">
      <c r="A4824" s="3">
        <f>IF(Raw_Data!J4824=0,Raw_Data!D4824,"")</f>
        <v>4432.6400000000003</v>
      </c>
      <c r="B4824" s="3" t="str">
        <f>IF(Raw_Data!J4824=1,Raw_Data!D4824,"")</f>
        <v/>
      </c>
    </row>
    <row r="4825" spans="1:2" x14ac:dyDescent="0.25">
      <c r="A4825" s="3">
        <f>IF(Raw_Data!J4825=0,Raw_Data!D4825,"")</f>
        <v>3666.01</v>
      </c>
      <c r="B4825" s="3" t="str">
        <f>IF(Raw_Data!J4825=1,Raw_Data!D4825,"")</f>
        <v/>
      </c>
    </row>
    <row r="4826" spans="1:2" x14ac:dyDescent="0.25">
      <c r="A4826" s="3">
        <f>IF(Raw_Data!J4826=0,Raw_Data!D4826,"")</f>
        <v>1742.94</v>
      </c>
      <c r="B4826" s="3" t="str">
        <f>IF(Raw_Data!J4826=1,Raw_Data!D4826,"")</f>
        <v/>
      </c>
    </row>
    <row r="4827" spans="1:2" x14ac:dyDescent="0.25">
      <c r="A4827" s="3">
        <f>IF(Raw_Data!J4827=0,Raw_Data!D4827,"")</f>
        <v>841.59</v>
      </c>
      <c r="B4827" s="3" t="str">
        <f>IF(Raw_Data!J4827=1,Raw_Data!D4827,"")</f>
        <v/>
      </c>
    </row>
    <row r="4828" spans="1:2" x14ac:dyDescent="0.25">
      <c r="A4828" s="3">
        <f>IF(Raw_Data!J4828=0,Raw_Data!D4828,"")</f>
        <v>3560.53</v>
      </c>
      <c r="B4828" s="3" t="str">
        <f>IF(Raw_Data!J4828=1,Raw_Data!D4828,"")</f>
        <v/>
      </c>
    </row>
    <row r="4829" spans="1:2" x14ac:dyDescent="0.25">
      <c r="A4829" s="3">
        <f>IF(Raw_Data!J4829=0,Raw_Data!D4829,"")</f>
        <v>5306.93</v>
      </c>
      <c r="B4829" s="3" t="str">
        <f>IF(Raw_Data!J4829=1,Raw_Data!D4829,"")</f>
        <v/>
      </c>
    </row>
    <row r="4830" spans="1:2" x14ac:dyDescent="0.25">
      <c r="A4830" s="3">
        <f>IF(Raw_Data!J4830=0,Raw_Data!D4830,"")</f>
        <v>2133.33</v>
      </c>
      <c r="B4830" s="3" t="str">
        <f>IF(Raw_Data!J4830=1,Raw_Data!D4830,"")</f>
        <v/>
      </c>
    </row>
    <row r="4831" spans="1:2" x14ac:dyDescent="0.25">
      <c r="A4831" s="3">
        <f>IF(Raw_Data!J4831=0,Raw_Data!D4831,"")</f>
        <v>3939.57</v>
      </c>
      <c r="B4831" s="3" t="str">
        <f>IF(Raw_Data!J4831=1,Raw_Data!D4831,"")</f>
        <v/>
      </c>
    </row>
    <row r="4832" spans="1:2" x14ac:dyDescent="0.25">
      <c r="A4832" s="3">
        <f>IF(Raw_Data!J4832=0,Raw_Data!D4832,"")</f>
        <v>10253.44</v>
      </c>
      <c r="B4832" s="3" t="str">
        <f>IF(Raw_Data!J4832=1,Raw_Data!D4832,"")</f>
        <v/>
      </c>
    </row>
    <row r="4833" spans="1:2" x14ac:dyDescent="0.25">
      <c r="A4833" s="3">
        <f>IF(Raw_Data!J4833=0,Raw_Data!D4833,"")</f>
        <v>2133.89</v>
      </c>
      <c r="B4833" s="3" t="str">
        <f>IF(Raw_Data!J4833=1,Raw_Data!D4833,"")</f>
        <v/>
      </c>
    </row>
    <row r="4834" spans="1:2" x14ac:dyDescent="0.25">
      <c r="A4834" s="3">
        <f>IF(Raw_Data!J4834=0,Raw_Data!D4834,"")</f>
        <v>1035.68</v>
      </c>
      <c r="B4834" s="3" t="str">
        <f>IF(Raw_Data!J4834=1,Raw_Data!D4834,"")</f>
        <v/>
      </c>
    </row>
    <row r="4835" spans="1:2" x14ac:dyDescent="0.25">
      <c r="A4835" s="3" t="str">
        <f>IF(Raw_Data!J4835=0,Raw_Data!D4835,"")</f>
        <v/>
      </c>
      <c r="B4835" s="3">
        <f>IF(Raw_Data!J4835=1,Raw_Data!D4835,"")</f>
        <v>886.9</v>
      </c>
    </row>
    <row r="4836" spans="1:2" x14ac:dyDescent="0.25">
      <c r="A4836" s="3">
        <f>IF(Raw_Data!J4836=0,Raw_Data!D4836,"")</f>
        <v>428.12</v>
      </c>
      <c r="B4836" s="3" t="str">
        <f>IF(Raw_Data!J4836=1,Raw_Data!D4836,"")</f>
        <v/>
      </c>
    </row>
    <row r="4837" spans="1:2" x14ac:dyDescent="0.25">
      <c r="A4837" s="3">
        <f>IF(Raw_Data!J4837=0,Raw_Data!D4837,"")</f>
        <v>5332.81</v>
      </c>
      <c r="B4837" s="3" t="str">
        <f>IF(Raw_Data!J4837=1,Raw_Data!D4837,"")</f>
        <v/>
      </c>
    </row>
    <row r="4838" spans="1:2" x14ac:dyDescent="0.25">
      <c r="A4838" s="3">
        <f>IF(Raw_Data!J4838=0,Raw_Data!D4838,"")</f>
        <v>2467.39</v>
      </c>
      <c r="B4838" s="3" t="str">
        <f>IF(Raw_Data!J4838=1,Raw_Data!D4838,"")</f>
        <v/>
      </c>
    </row>
    <row r="4839" spans="1:2" x14ac:dyDescent="0.25">
      <c r="A4839" s="3">
        <f>IF(Raw_Data!J4839=0,Raw_Data!D4839,"")</f>
        <v>8506</v>
      </c>
      <c r="B4839" s="3" t="str">
        <f>IF(Raw_Data!J4839=1,Raw_Data!D4839,"")</f>
        <v/>
      </c>
    </row>
    <row r="4840" spans="1:2" x14ac:dyDescent="0.25">
      <c r="A4840" s="3">
        <f>IF(Raw_Data!J4840=0,Raw_Data!D4840,"")</f>
        <v>1850.75</v>
      </c>
      <c r="B4840" s="3" t="str">
        <f>IF(Raw_Data!J4840=1,Raw_Data!D4840,"")</f>
        <v/>
      </c>
    </row>
    <row r="4841" spans="1:2" x14ac:dyDescent="0.25">
      <c r="A4841" s="3">
        <f>IF(Raw_Data!J4841=0,Raw_Data!D4841,"")</f>
        <v>906.13</v>
      </c>
      <c r="B4841" s="3" t="str">
        <f>IF(Raw_Data!J4841=1,Raw_Data!D4841,"")</f>
        <v/>
      </c>
    </row>
    <row r="4842" spans="1:2" x14ac:dyDescent="0.25">
      <c r="A4842" s="3" t="str">
        <f>IF(Raw_Data!J4842=0,Raw_Data!D4842,"")</f>
        <v/>
      </c>
      <c r="B4842" s="3">
        <f>IF(Raw_Data!J4842=1,Raw_Data!D4842,"")</f>
        <v>891.97</v>
      </c>
    </row>
    <row r="4843" spans="1:2" x14ac:dyDescent="0.25">
      <c r="A4843" s="3">
        <f>IF(Raw_Data!J4843=0,Raw_Data!D4843,"")</f>
        <v>2202.62</v>
      </c>
      <c r="B4843" s="3" t="str">
        <f>IF(Raw_Data!J4843=1,Raw_Data!D4843,"")</f>
        <v/>
      </c>
    </row>
    <row r="4844" spans="1:2" x14ac:dyDescent="0.25">
      <c r="A4844" s="3">
        <f>IF(Raw_Data!J4844=0,Raw_Data!D4844,"")</f>
        <v>3104.2</v>
      </c>
      <c r="B4844" s="3" t="str">
        <f>IF(Raw_Data!J4844=1,Raw_Data!D4844,"")</f>
        <v/>
      </c>
    </row>
    <row r="4845" spans="1:2" x14ac:dyDescent="0.25">
      <c r="A4845" s="3" t="str">
        <f>IF(Raw_Data!J4845=0,Raw_Data!D4845,"")</f>
        <v/>
      </c>
      <c r="B4845" s="3">
        <f>IF(Raw_Data!J4845=1,Raw_Data!D4845,"")</f>
        <v>1582.84</v>
      </c>
    </row>
    <row r="4846" spans="1:2" x14ac:dyDescent="0.25">
      <c r="A4846" s="3">
        <f>IF(Raw_Data!J4846=0,Raw_Data!D4846,"")</f>
        <v>5468.92</v>
      </c>
      <c r="B4846" s="3" t="str">
        <f>IF(Raw_Data!J4846=1,Raw_Data!D4846,"")</f>
        <v/>
      </c>
    </row>
    <row r="4847" spans="1:2" x14ac:dyDescent="0.25">
      <c r="A4847" s="3">
        <f>IF(Raw_Data!J4847=0,Raw_Data!D4847,"")</f>
        <v>3184.96</v>
      </c>
      <c r="B4847" s="3" t="str">
        <f>IF(Raw_Data!J4847=1,Raw_Data!D4847,"")</f>
        <v/>
      </c>
    </row>
    <row r="4848" spans="1:2" x14ac:dyDescent="0.25">
      <c r="A4848" s="3">
        <f>IF(Raw_Data!J4848=0,Raw_Data!D4848,"")</f>
        <v>6064.74</v>
      </c>
      <c r="B4848" s="3" t="str">
        <f>IF(Raw_Data!J4848=1,Raw_Data!D4848,"")</f>
        <v/>
      </c>
    </row>
    <row r="4849" spans="1:2" x14ac:dyDescent="0.25">
      <c r="A4849" s="3" t="str">
        <f>IF(Raw_Data!J4849=0,Raw_Data!D4849,"")</f>
        <v/>
      </c>
      <c r="B4849" s="3">
        <f>IF(Raw_Data!J4849=1,Raw_Data!D4849,"")</f>
        <v>2370.0300000000002</v>
      </c>
    </row>
    <row r="4850" spans="1:2" x14ac:dyDescent="0.25">
      <c r="A4850" s="3">
        <f>IF(Raw_Data!J4850=0,Raw_Data!D4850,"")</f>
        <v>1962.15</v>
      </c>
      <c r="B4850" s="3" t="str">
        <f>IF(Raw_Data!J4850=1,Raw_Data!D4850,"")</f>
        <v/>
      </c>
    </row>
    <row r="4851" spans="1:2" x14ac:dyDescent="0.25">
      <c r="A4851" s="3" t="str">
        <f>IF(Raw_Data!J4851=0,Raw_Data!D4851,"")</f>
        <v/>
      </c>
      <c r="B4851" s="3">
        <f>IF(Raw_Data!J4851=1,Raw_Data!D4851,"")</f>
        <v>1971.09</v>
      </c>
    </row>
    <row r="4852" spans="1:2" x14ac:dyDescent="0.25">
      <c r="A4852" s="3">
        <f>IF(Raw_Data!J4852=0,Raw_Data!D4852,"")</f>
        <v>1530.51</v>
      </c>
      <c r="B4852" s="3" t="str">
        <f>IF(Raw_Data!J4852=1,Raw_Data!D4852,"")</f>
        <v/>
      </c>
    </row>
    <row r="4853" spans="1:2" x14ac:dyDescent="0.25">
      <c r="A4853" s="3">
        <f>IF(Raw_Data!J4853=0,Raw_Data!D4853,"")</f>
        <v>1678.34</v>
      </c>
      <c r="B4853" s="3" t="str">
        <f>IF(Raw_Data!J4853=1,Raw_Data!D4853,"")</f>
        <v/>
      </c>
    </row>
    <row r="4854" spans="1:2" x14ac:dyDescent="0.25">
      <c r="A4854" s="3" t="str">
        <f>IF(Raw_Data!J4854=0,Raw_Data!D4854,"")</f>
        <v/>
      </c>
      <c r="B4854" s="3">
        <f>IF(Raw_Data!J4854=1,Raw_Data!D4854,"")</f>
        <v>2238.13</v>
      </c>
    </row>
    <row r="4855" spans="1:2" x14ac:dyDescent="0.25">
      <c r="A4855" s="3" t="str">
        <f>IF(Raw_Data!J4855=0,Raw_Data!D4855,"")</f>
        <v/>
      </c>
      <c r="B4855" s="3">
        <f>IF(Raw_Data!J4855=1,Raw_Data!D4855,"")</f>
        <v>789.64</v>
      </c>
    </row>
    <row r="4856" spans="1:2" x14ac:dyDescent="0.25">
      <c r="A4856" s="3">
        <f>IF(Raw_Data!J4856=0,Raw_Data!D4856,"")</f>
        <v>4067.84</v>
      </c>
      <c r="B4856" s="3" t="str">
        <f>IF(Raw_Data!J4856=1,Raw_Data!D4856,"")</f>
        <v/>
      </c>
    </row>
    <row r="4857" spans="1:2" x14ac:dyDescent="0.25">
      <c r="A4857" s="3">
        <f>IF(Raw_Data!J4857=0,Raw_Data!D4857,"")</f>
        <v>1904.99</v>
      </c>
      <c r="B4857" s="3" t="str">
        <f>IF(Raw_Data!J4857=1,Raw_Data!D4857,"")</f>
        <v/>
      </c>
    </row>
    <row r="4858" spans="1:2" x14ac:dyDescent="0.25">
      <c r="A4858" s="3" t="str">
        <f>IF(Raw_Data!J4858=0,Raw_Data!D4858,"")</f>
        <v/>
      </c>
      <c r="B4858" s="3">
        <f>IF(Raw_Data!J4858=1,Raw_Data!D4858,"")</f>
        <v>4785.42</v>
      </c>
    </row>
    <row r="4859" spans="1:2" x14ac:dyDescent="0.25">
      <c r="A4859" s="3">
        <f>IF(Raw_Data!J4859=0,Raw_Data!D4859,"")</f>
        <v>1815.75</v>
      </c>
      <c r="B4859" s="3" t="str">
        <f>IF(Raw_Data!J4859=1,Raw_Data!D4859,"")</f>
        <v/>
      </c>
    </row>
    <row r="4860" spans="1:2" x14ac:dyDescent="0.25">
      <c r="A4860" s="3">
        <f>IF(Raw_Data!J4860=0,Raw_Data!D4860,"")</f>
        <v>999.96</v>
      </c>
      <c r="B4860" s="3" t="str">
        <f>IF(Raw_Data!J4860=1,Raw_Data!D4860,"")</f>
        <v/>
      </c>
    </row>
    <row r="4861" spans="1:2" x14ac:dyDescent="0.25">
      <c r="A4861" s="3">
        <f>IF(Raw_Data!J4861=0,Raw_Data!D4861,"")</f>
        <v>699.57</v>
      </c>
      <c r="B4861" s="3" t="str">
        <f>IF(Raw_Data!J4861=1,Raw_Data!D4861,"")</f>
        <v/>
      </c>
    </row>
    <row r="4862" spans="1:2" x14ac:dyDescent="0.25">
      <c r="A4862" s="3">
        <f>IF(Raw_Data!J4862=0,Raw_Data!D4862,"")</f>
        <v>4024.02</v>
      </c>
      <c r="B4862" s="3" t="str">
        <f>IF(Raw_Data!J4862=1,Raw_Data!D4862,"")</f>
        <v/>
      </c>
    </row>
    <row r="4863" spans="1:2" x14ac:dyDescent="0.25">
      <c r="A4863" s="3">
        <f>IF(Raw_Data!J4863=0,Raw_Data!D4863,"")</f>
        <v>2835.04</v>
      </c>
      <c r="B4863" s="3" t="str">
        <f>IF(Raw_Data!J4863=1,Raw_Data!D4863,"")</f>
        <v/>
      </c>
    </row>
    <row r="4864" spans="1:2" x14ac:dyDescent="0.25">
      <c r="A4864" s="3">
        <f>IF(Raw_Data!J4864=0,Raw_Data!D4864,"")</f>
        <v>2689.53</v>
      </c>
      <c r="B4864" s="3" t="str">
        <f>IF(Raw_Data!J4864=1,Raw_Data!D4864,"")</f>
        <v/>
      </c>
    </row>
    <row r="4865" spans="1:2" x14ac:dyDescent="0.25">
      <c r="A4865" s="3">
        <f>IF(Raw_Data!J4865=0,Raw_Data!D4865,"")</f>
        <v>2436.67</v>
      </c>
      <c r="B4865" s="3" t="str">
        <f>IF(Raw_Data!J4865=1,Raw_Data!D4865,"")</f>
        <v/>
      </c>
    </row>
    <row r="4866" spans="1:2" x14ac:dyDescent="0.25">
      <c r="A4866" s="3">
        <f>IF(Raw_Data!J4866=0,Raw_Data!D4866,"")</f>
        <v>1108.3499999999999</v>
      </c>
      <c r="B4866" s="3" t="str">
        <f>IF(Raw_Data!J4866=1,Raw_Data!D4866,"")</f>
        <v/>
      </c>
    </row>
    <row r="4867" spans="1:2" x14ac:dyDescent="0.25">
      <c r="A4867" s="3" t="str">
        <f>IF(Raw_Data!J4867=0,Raw_Data!D4867,"")</f>
        <v/>
      </c>
      <c r="B4867" s="3">
        <f>IF(Raw_Data!J4867=1,Raw_Data!D4867,"")</f>
        <v>3873.24</v>
      </c>
    </row>
    <row r="4868" spans="1:2" x14ac:dyDescent="0.25">
      <c r="A4868" s="3">
        <f>IF(Raw_Data!J4868=0,Raw_Data!D4868,"")</f>
        <v>1318.77</v>
      </c>
      <c r="B4868" s="3" t="str">
        <f>IF(Raw_Data!J4868=1,Raw_Data!D4868,"")</f>
        <v/>
      </c>
    </row>
    <row r="4869" spans="1:2" x14ac:dyDescent="0.25">
      <c r="A4869" s="3">
        <f>IF(Raw_Data!J4869=0,Raw_Data!D4869,"")</f>
        <v>1062.92</v>
      </c>
      <c r="B4869" s="3" t="str">
        <f>IF(Raw_Data!J4869=1,Raw_Data!D4869,"")</f>
        <v/>
      </c>
    </row>
    <row r="4870" spans="1:2" x14ac:dyDescent="0.25">
      <c r="A4870" s="3" t="str">
        <f>IF(Raw_Data!J4870=0,Raw_Data!D4870,"")</f>
        <v/>
      </c>
      <c r="B4870" s="3">
        <f>IF(Raw_Data!J4870=1,Raw_Data!D4870,"")</f>
        <v>4024.16</v>
      </c>
    </row>
    <row r="4871" spans="1:2" x14ac:dyDescent="0.25">
      <c r="A4871" s="3">
        <f>IF(Raw_Data!J4871=0,Raw_Data!D4871,"")</f>
        <v>1741.23</v>
      </c>
      <c r="B4871" s="3" t="str">
        <f>IF(Raw_Data!J4871=1,Raw_Data!D4871,"")</f>
        <v/>
      </c>
    </row>
    <row r="4872" spans="1:2" x14ac:dyDescent="0.25">
      <c r="A4872" s="3">
        <f>IF(Raw_Data!J4872=0,Raw_Data!D4872,"")</f>
        <v>623.46</v>
      </c>
      <c r="B4872" s="3" t="str">
        <f>IF(Raw_Data!J4872=1,Raw_Data!D4872,"")</f>
        <v/>
      </c>
    </row>
    <row r="4873" spans="1:2" x14ac:dyDescent="0.25">
      <c r="A4873" s="3">
        <f>IF(Raw_Data!J4873=0,Raw_Data!D4873,"")</f>
        <v>1660.35</v>
      </c>
      <c r="B4873" s="3" t="str">
        <f>IF(Raw_Data!J4873=1,Raw_Data!D4873,"")</f>
        <v/>
      </c>
    </row>
    <row r="4874" spans="1:2" x14ac:dyDescent="0.25">
      <c r="A4874" s="3">
        <f>IF(Raw_Data!J4874=0,Raw_Data!D4874,"")</f>
        <v>637.88</v>
      </c>
      <c r="B4874" s="3" t="str">
        <f>IF(Raw_Data!J4874=1,Raw_Data!D4874,"")</f>
        <v/>
      </c>
    </row>
    <row r="4875" spans="1:2" x14ac:dyDescent="0.25">
      <c r="A4875" s="3">
        <f>IF(Raw_Data!J4875=0,Raw_Data!D4875,"")</f>
        <v>1465.41</v>
      </c>
      <c r="B4875" s="3" t="str">
        <f>IF(Raw_Data!J4875=1,Raw_Data!D4875,"")</f>
        <v/>
      </c>
    </row>
    <row r="4876" spans="1:2" x14ac:dyDescent="0.25">
      <c r="A4876" s="3">
        <f>IF(Raw_Data!J4876=0,Raw_Data!D4876,"")</f>
        <v>6538.15</v>
      </c>
      <c r="B4876" s="3" t="str">
        <f>IF(Raw_Data!J4876=1,Raw_Data!D4876,"")</f>
        <v/>
      </c>
    </row>
    <row r="4877" spans="1:2" x14ac:dyDescent="0.25">
      <c r="A4877" s="3">
        <f>IF(Raw_Data!J4877=0,Raw_Data!D4877,"")</f>
        <v>4204.21</v>
      </c>
      <c r="B4877" s="3" t="str">
        <f>IF(Raw_Data!J4877=1,Raw_Data!D4877,"")</f>
        <v/>
      </c>
    </row>
    <row r="4878" spans="1:2" x14ac:dyDescent="0.25">
      <c r="A4878" s="3">
        <f>IF(Raw_Data!J4878=0,Raw_Data!D4878,"")</f>
        <v>1681.46</v>
      </c>
      <c r="B4878" s="3" t="str">
        <f>IF(Raw_Data!J4878=1,Raw_Data!D4878,"")</f>
        <v/>
      </c>
    </row>
    <row r="4879" spans="1:2" x14ac:dyDescent="0.25">
      <c r="A4879" s="3">
        <f>IF(Raw_Data!J4879=0,Raw_Data!D4879,"")</f>
        <v>10146.799999999999</v>
      </c>
      <c r="B4879" s="3" t="str">
        <f>IF(Raw_Data!J4879=1,Raw_Data!D4879,"")</f>
        <v/>
      </c>
    </row>
    <row r="4880" spans="1:2" x14ac:dyDescent="0.25">
      <c r="A4880" s="3">
        <f>IF(Raw_Data!J4880=0,Raw_Data!D4880,"")</f>
        <v>3568.47</v>
      </c>
      <c r="B4880" s="3" t="str">
        <f>IF(Raw_Data!J4880=1,Raw_Data!D4880,"")</f>
        <v/>
      </c>
    </row>
    <row r="4881" spans="1:2" x14ac:dyDescent="0.25">
      <c r="A4881" s="3">
        <f>IF(Raw_Data!J4881=0,Raw_Data!D4881,"")</f>
        <v>2395.9299999999998</v>
      </c>
      <c r="B4881" s="3" t="str">
        <f>IF(Raw_Data!J4881=1,Raw_Data!D4881,"")</f>
        <v/>
      </c>
    </row>
    <row r="4882" spans="1:2" x14ac:dyDescent="0.25">
      <c r="A4882" s="3" t="str">
        <f>IF(Raw_Data!J4882=0,Raw_Data!D4882,"")</f>
        <v/>
      </c>
      <c r="B4882" s="3">
        <f>IF(Raw_Data!J4882=1,Raw_Data!D4882,"")</f>
        <v>1386.45</v>
      </c>
    </row>
    <row r="4883" spans="1:2" x14ac:dyDescent="0.25">
      <c r="A4883" s="3">
        <f>IF(Raw_Data!J4883=0,Raw_Data!D4883,"")</f>
        <v>1461.42</v>
      </c>
      <c r="B4883" s="3" t="str">
        <f>IF(Raw_Data!J4883=1,Raw_Data!D4883,"")</f>
        <v/>
      </c>
    </row>
    <row r="4884" spans="1:2" x14ac:dyDescent="0.25">
      <c r="A4884" s="3" t="str">
        <f>IF(Raw_Data!J4884=0,Raw_Data!D4884,"")</f>
        <v/>
      </c>
      <c r="B4884" s="3">
        <f>IF(Raw_Data!J4884=1,Raw_Data!D4884,"")</f>
        <v>2675.9</v>
      </c>
    </row>
    <row r="4885" spans="1:2" x14ac:dyDescent="0.25">
      <c r="A4885" s="3" t="str">
        <f>IF(Raw_Data!J4885=0,Raw_Data!D4885,"")</f>
        <v/>
      </c>
      <c r="B4885" s="3">
        <f>IF(Raw_Data!J4885=1,Raw_Data!D4885,"")</f>
        <v>1649.53</v>
      </c>
    </row>
    <row r="4886" spans="1:2" x14ac:dyDescent="0.25">
      <c r="A4886" s="3" t="str">
        <f>IF(Raw_Data!J4886=0,Raw_Data!D4886,"")</f>
        <v/>
      </c>
      <c r="B4886" s="3">
        <f>IF(Raw_Data!J4886=1,Raw_Data!D4886,"")</f>
        <v>433.33</v>
      </c>
    </row>
    <row r="4887" spans="1:2" x14ac:dyDescent="0.25">
      <c r="A4887" s="3" t="str">
        <f>IF(Raw_Data!J4887=0,Raw_Data!D4887,"")</f>
        <v/>
      </c>
      <c r="B4887" s="3">
        <f>IF(Raw_Data!J4887=1,Raw_Data!D4887,"")</f>
        <v>2726.84</v>
      </c>
    </row>
    <row r="4888" spans="1:2" x14ac:dyDescent="0.25">
      <c r="A4888" s="3">
        <f>IF(Raw_Data!J4888=0,Raw_Data!D4888,"")</f>
        <v>808.25</v>
      </c>
      <c r="B4888" s="3" t="str">
        <f>IF(Raw_Data!J4888=1,Raw_Data!D4888,"")</f>
        <v/>
      </c>
    </row>
    <row r="4889" spans="1:2" x14ac:dyDescent="0.25">
      <c r="A4889" s="3">
        <f>IF(Raw_Data!J4889=0,Raw_Data!D4889,"")</f>
        <v>3140.04</v>
      </c>
      <c r="B4889" s="3" t="str">
        <f>IF(Raw_Data!J4889=1,Raw_Data!D4889,"")</f>
        <v/>
      </c>
    </row>
    <row r="4890" spans="1:2" x14ac:dyDescent="0.25">
      <c r="A4890" s="3">
        <f>IF(Raw_Data!J4890=0,Raw_Data!D4890,"")</f>
        <v>2297.69</v>
      </c>
      <c r="B4890" s="3" t="str">
        <f>IF(Raw_Data!J4890=1,Raw_Data!D4890,"")</f>
        <v/>
      </c>
    </row>
    <row r="4891" spans="1:2" x14ac:dyDescent="0.25">
      <c r="A4891" s="3" t="str">
        <f>IF(Raw_Data!J4891=0,Raw_Data!D4891,"")</f>
        <v/>
      </c>
      <c r="B4891" s="3">
        <f>IF(Raw_Data!J4891=1,Raw_Data!D4891,"")</f>
        <v>2791.4</v>
      </c>
    </row>
    <row r="4892" spans="1:2" x14ac:dyDescent="0.25">
      <c r="A4892" s="3">
        <f>IF(Raw_Data!J4892=0,Raw_Data!D4892,"")</f>
        <v>1731.6</v>
      </c>
      <c r="B4892" s="3" t="str">
        <f>IF(Raw_Data!J4892=1,Raw_Data!D4892,"")</f>
        <v/>
      </c>
    </row>
    <row r="4893" spans="1:2" x14ac:dyDescent="0.25">
      <c r="A4893" s="3" t="str">
        <f>IF(Raw_Data!J4893=0,Raw_Data!D4893,"")</f>
        <v/>
      </c>
      <c r="B4893" s="3">
        <f>IF(Raw_Data!J4893=1,Raw_Data!D4893,"")</f>
        <v>2580.37</v>
      </c>
    </row>
    <row r="4894" spans="1:2" x14ac:dyDescent="0.25">
      <c r="A4894" s="3">
        <f>IF(Raw_Data!J4894=0,Raw_Data!D4894,"")</f>
        <v>2113.14</v>
      </c>
      <c r="B4894" s="3" t="str">
        <f>IF(Raw_Data!J4894=1,Raw_Data!D4894,"")</f>
        <v/>
      </c>
    </row>
    <row r="4895" spans="1:2" x14ac:dyDescent="0.25">
      <c r="A4895" s="3">
        <f>IF(Raw_Data!J4895=0,Raw_Data!D4895,"")</f>
        <v>1873.59</v>
      </c>
      <c r="B4895" s="3" t="str">
        <f>IF(Raw_Data!J4895=1,Raw_Data!D4895,"")</f>
        <v/>
      </c>
    </row>
    <row r="4896" spans="1:2" x14ac:dyDescent="0.25">
      <c r="A4896" s="3">
        <f>IF(Raw_Data!J4896=0,Raw_Data!D4896,"")</f>
        <v>3777.29</v>
      </c>
      <c r="B4896" s="3" t="str">
        <f>IF(Raw_Data!J4896=1,Raw_Data!D4896,"")</f>
        <v/>
      </c>
    </row>
    <row r="4897" spans="1:2" x14ac:dyDescent="0.25">
      <c r="A4897" s="3">
        <f>IF(Raw_Data!J4897=0,Raw_Data!D4897,"")</f>
        <v>1705.2</v>
      </c>
      <c r="B4897" s="3" t="str">
        <f>IF(Raw_Data!J4897=1,Raw_Data!D4897,"")</f>
        <v/>
      </c>
    </row>
    <row r="4898" spans="1:2" x14ac:dyDescent="0.25">
      <c r="A4898" s="3">
        <f>IF(Raw_Data!J4898=0,Raw_Data!D4898,"")</f>
        <v>1085.04</v>
      </c>
      <c r="B4898" s="3" t="str">
        <f>IF(Raw_Data!J4898=1,Raw_Data!D4898,"")</f>
        <v/>
      </c>
    </row>
    <row r="4899" spans="1:2" x14ac:dyDescent="0.25">
      <c r="A4899" s="3" t="str">
        <f>IF(Raw_Data!J4899=0,Raw_Data!D4899,"")</f>
        <v/>
      </c>
      <c r="B4899" s="3">
        <f>IF(Raw_Data!J4899=1,Raw_Data!D4899,"")</f>
        <v>2616.7399999999998</v>
      </c>
    </row>
    <row r="4900" spans="1:2" x14ac:dyDescent="0.25">
      <c r="A4900" s="3">
        <f>IF(Raw_Data!J4900=0,Raw_Data!D4900,"")</f>
        <v>1001.22</v>
      </c>
      <c r="B4900" s="3" t="str">
        <f>IF(Raw_Data!J4900=1,Raw_Data!D4900,"")</f>
        <v/>
      </c>
    </row>
    <row r="4901" spans="1:2" x14ac:dyDescent="0.25">
      <c r="A4901" s="3">
        <f>IF(Raw_Data!J4901=0,Raw_Data!D4901,"")</f>
        <v>2422.58</v>
      </c>
      <c r="B4901" s="3" t="str">
        <f>IF(Raw_Data!J4901=1,Raw_Data!D4901,"")</f>
        <v/>
      </c>
    </row>
    <row r="4902" spans="1:2" x14ac:dyDescent="0.25">
      <c r="A4902" s="3">
        <f>IF(Raw_Data!J4902=0,Raw_Data!D4902,"")</f>
        <v>2962.58</v>
      </c>
      <c r="B4902" s="3" t="str">
        <f>IF(Raw_Data!J4902=1,Raw_Data!D4902,"")</f>
        <v/>
      </c>
    </row>
    <row r="4903" spans="1:2" x14ac:dyDescent="0.25">
      <c r="A4903" s="3">
        <f>IF(Raw_Data!J4903=0,Raw_Data!D4903,"")</f>
        <v>1011.33</v>
      </c>
      <c r="B4903" s="3" t="str">
        <f>IF(Raw_Data!J4903=1,Raw_Data!D4903,"")</f>
        <v/>
      </c>
    </row>
    <row r="4904" spans="1:2" x14ac:dyDescent="0.25">
      <c r="A4904" s="3">
        <f>IF(Raw_Data!J4904=0,Raw_Data!D4904,"")</f>
        <v>2935.25</v>
      </c>
      <c r="B4904" s="3" t="str">
        <f>IF(Raw_Data!J4904=1,Raw_Data!D4904,"")</f>
        <v/>
      </c>
    </row>
    <row r="4905" spans="1:2" x14ac:dyDescent="0.25">
      <c r="A4905" s="3">
        <f>IF(Raw_Data!J4905=0,Raw_Data!D4905,"")</f>
        <v>3070.73</v>
      </c>
      <c r="B4905" s="3" t="str">
        <f>IF(Raw_Data!J4905=1,Raw_Data!D4905,"")</f>
        <v/>
      </c>
    </row>
    <row r="4906" spans="1:2" x14ac:dyDescent="0.25">
      <c r="A4906" s="3">
        <f>IF(Raw_Data!J4906=0,Raw_Data!D4906,"")</f>
        <v>3973.91</v>
      </c>
      <c r="B4906" s="3" t="str">
        <f>IF(Raw_Data!J4906=1,Raw_Data!D4906,"")</f>
        <v/>
      </c>
    </row>
    <row r="4907" spans="1:2" x14ac:dyDescent="0.25">
      <c r="A4907" s="3">
        <f>IF(Raw_Data!J4907=0,Raw_Data!D4907,"")</f>
        <v>815.14</v>
      </c>
      <c r="B4907" s="3" t="str">
        <f>IF(Raw_Data!J4907=1,Raw_Data!D4907,"")</f>
        <v/>
      </c>
    </row>
    <row r="4908" spans="1:2" x14ac:dyDescent="0.25">
      <c r="A4908" s="3">
        <f>IF(Raw_Data!J4908=0,Raw_Data!D4908,"")</f>
        <v>2437.31</v>
      </c>
      <c r="B4908" s="3" t="str">
        <f>IF(Raw_Data!J4908=1,Raw_Data!D4908,"")</f>
        <v/>
      </c>
    </row>
    <row r="4909" spans="1:2" x14ac:dyDescent="0.25">
      <c r="A4909" s="3">
        <f>IF(Raw_Data!J4909=0,Raw_Data!D4909,"")</f>
        <v>684.99</v>
      </c>
      <c r="B4909" s="3" t="str">
        <f>IF(Raw_Data!J4909=1,Raw_Data!D4909,"")</f>
        <v/>
      </c>
    </row>
    <row r="4910" spans="1:2" x14ac:dyDescent="0.25">
      <c r="A4910" s="3">
        <f>IF(Raw_Data!J4910=0,Raw_Data!D4910,"")</f>
        <v>2295.2399999999998</v>
      </c>
      <c r="B4910" s="3" t="str">
        <f>IF(Raw_Data!J4910=1,Raw_Data!D4910,"")</f>
        <v/>
      </c>
    </row>
    <row r="4911" spans="1:2" x14ac:dyDescent="0.25">
      <c r="A4911" s="3">
        <f>IF(Raw_Data!J4911=0,Raw_Data!D4911,"")</f>
        <v>6108.02</v>
      </c>
      <c r="B4911" s="3" t="str">
        <f>IF(Raw_Data!J4911=1,Raw_Data!D4911,"")</f>
        <v/>
      </c>
    </row>
    <row r="4912" spans="1:2" x14ac:dyDescent="0.25">
      <c r="A4912" s="3" t="str">
        <f>IF(Raw_Data!J4912=0,Raw_Data!D4912,"")</f>
        <v/>
      </c>
      <c r="B4912" s="3">
        <f>IF(Raw_Data!J4912=1,Raw_Data!D4912,"")</f>
        <v>2425.42</v>
      </c>
    </row>
    <row r="4913" spans="1:2" x14ac:dyDescent="0.25">
      <c r="A4913" s="3">
        <f>IF(Raw_Data!J4913=0,Raw_Data!D4913,"")</f>
        <v>3772.66</v>
      </c>
      <c r="B4913" s="3" t="str">
        <f>IF(Raw_Data!J4913=1,Raw_Data!D4913,"")</f>
        <v/>
      </c>
    </row>
    <row r="4914" spans="1:2" x14ac:dyDescent="0.25">
      <c r="A4914" s="3">
        <f>IF(Raw_Data!J4914=0,Raw_Data!D4914,"")</f>
        <v>1932.25</v>
      </c>
      <c r="B4914" s="3" t="str">
        <f>IF(Raw_Data!J4914=1,Raw_Data!D4914,"")</f>
        <v/>
      </c>
    </row>
    <row r="4915" spans="1:2" x14ac:dyDescent="0.25">
      <c r="A4915" s="3">
        <f>IF(Raw_Data!J4915=0,Raw_Data!D4915,"")</f>
        <v>480.47</v>
      </c>
      <c r="B4915" s="3" t="str">
        <f>IF(Raw_Data!J4915=1,Raw_Data!D4915,"")</f>
        <v/>
      </c>
    </row>
    <row r="4916" spans="1:2" x14ac:dyDescent="0.25">
      <c r="A4916" s="3">
        <f>IF(Raw_Data!J4916=0,Raw_Data!D4916,"")</f>
        <v>1818.47</v>
      </c>
      <c r="B4916" s="3" t="str">
        <f>IF(Raw_Data!J4916=1,Raw_Data!D4916,"")</f>
        <v/>
      </c>
    </row>
    <row r="4917" spans="1:2" x14ac:dyDescent="0.25">
      <c r="A4917" s="3">
        <f>IF(Raw_Data!J4917=0,Raw_Data!D4917,"")</f>
        <v>1557.87</v>
      </c>
      <c r="B4917" s="3" t="str">
        <f>IF(Raw_Data!J4917=1,Raw_Data!D4917,"")</f>
        <v/>
      </c>
    </row>
    <row r="4918" spans="1:2" x14ac:dyDescent="0.25">
      <c r="A4918" s="3" t="str">
        <f>IF(Raw_Data!J4918=0,Raw_Data!D4918,"")</f>
        <v/>
      </c>
      <c r="B4918" s="3">
        <f>IF(Raw_Data!J4918=1,Raw_Data!D4918,"")</f>
        <v>566.65</v>
      </c>
    </row>
    <row r="4919" spans="1:2" x14ac:dyDescent="0.25">
      <c r="A4919" s="3">
        <f>IF(Raw_Data!J4919=0,Raw_Data!D4919,"")</f>
        <v>285.61</v>
      </c>
      <c r="B4919" s="3" t="str">
        <f>IF(Raw_Data!J4919=1,Raw_Data!D4919,"")</f>
        <v/>
      </c>
    </row>
    <row r="4920" spans="1:2" x14ac:dyDescent="0.25">
      <c r="A4920" s="3">
        <f>IF(Raw_Data!J4920=0,Raw_Data!D4920,"")</f>
        <v>1159.44</v>
      </c>
      <c r="B4920" s="3" t="str">
        <f>IF(Raw_Data!J4920=1,Raw_Data!D4920,"")</f>
        <v/>
      </c>
    </row>
    <row r="4921" spans="1:2" x14ac:dyDescent="0.25">
      <c r="A4921" s="3">
        <f>IF(Raw_Data!J4921=0,Raw_Data!D4921,"")</f>
        <v>4284.07</v>
      </c>
      <c r="B4921" s="3" t="str">
        <f>IF(Raw_Data!J4921=1,Raw_Data!D4921,"")</f>
        <v/>
      </c>
    </row>
    <row r="4922" spans="1:2" x14ac:dyDescent="0.25">
      <c r="A4922" s="3">
        <f>IF(Raw_Data!J4922=0,Raw_Data!D4922,"")</f>
        <v>5677.57</v>
      </c>
      <c r="B4922" s="3" t="str">
        <f>IF(Raw_Data!J4922=1,Raw_Data!D4922,"")</f>
        <v/>
      </c>
    </row>
    <row r="4923" spans="1:2" x14ac:dyDescent="0.25">
      <c r="A4923" s="3">
        <f>IF(Raw_Data!J4923=0,Raw_Data!D4923,"")</f>
        <v>3768.63</v>
      </c>
      <c r="B4923" s="3" t="str">
        <f>IF(Raw_Data!J4923=1,Raw_Data!D4923,"")</f>
        <v/>
      </c>
    </row>
    <row r="4924" spans="1:2" x14ac:dyDescent="0.25">
      <c r="A4924" s="3">
        <f>IF(Raw_Data!J4924=0,Raw_Data!D4924,"")</f>
        <v>1628.07</v>
      </c>
      <c r="B4924" s="3" t="str">
        <f>IF(Raw_Data!J4924=1,Raw_Data!D4924,"")</f>
        <v/>
      </c>
    </row>
    <row r="4925" spans="1:2" x14ac:dyDescent="0.25">
      <c r="A4925" s="3" t="str">
        <f>IF(Raw_Data!J4925=0,Raw_Data!D4925,"")</f>
        <v/>
      </c>
      <c r="B4925" s="3">
        <f>IF(Raw_Data!J4925=1,Raw_Data!D4925,"")</f>
        <v>3124.69</v>
      </c>
    </row>
    <row r="4926" spans="1:2" x14ac:dyDescent="0.25">
      <c r="A4926" s="3">
        <f>IF(Raw_Data!J4926=0,Raw_Data!D4926,"")</f>
        <v>1135.99</v>
      </c>
      <c r="B4926" s="3" t="str">
        <f>IF(Raw_Data!J4926=1,Raw_Data!D4926,"")</f>
        <v/>
      </c>
    </row>
    <row r="4927" spans="1:2" x14ac:dyDescent="0.25">
      <c r="A4927" s="3">
        <f>IF(Raw_Data!J4927=0,Raw_Data!D4927,"")</f>
        <v>3354.78</v>
      </c>
      <c r="B4927" s="3" t="str">
        <f>IF(Raw_Data!J4927=1,Raw_Data!D4927,"")</f>
        <v/>
      </c>
    </row>
    <row r="4928" spans="1:2" x14ac:dyDescent="0.25">
      <c r="A4928" s="3" t="str">
        <f>IF(Raw_Data!J4928=0,Raw_Data!D4928,"")</f>
        <v/>
      </c>
      <c r="B4928" s="3">
        <f>IF(Raw_Data!J4928=1,Raw_Data!D4928,"")</f>
        <v>2727.88</v>
      </c>
    </row>
    <row r="4929" spans="1:2" x14ac:dyDescent="0.25">
      <c r="A4929" s="3" t="str">
        <f>IF(Raw_Data!J4929=0,Raw_Data!D4929,"")</f>
        <v/>
      </c>
      <c r="B4929" s="3">
        <f>IF(Raw_Data!J4929=1,Raw_Data!D4929,"")</f>
        <v>3353.04</v>
      </c>
    </row>
    <row r="4930" spans="1:2" x14ac:dyDescent="0.25">
      <c r="A4930" s="3">
        <f>IF(Raw_Data!J4930=0,Raw_Data!D4930,"")</f>
        <v>2755.21</v>
      </c>
      <c r="B4930" s="3" t="str">
        <f>IF(Raw_Data!J4930=1,Raw_Data!D4930,"")</f>
        <v/>
      </c>
    </row>
    <row r="4931" spans="1:2" x14ac:dyDescent="0.25">
      <c r="A4931" s="3">
        <f>IF(Raw_Data!J4931=0,Raw_Data!D4931,"")</f>
        <v>5683.24</v>
      </c>
      <c r="B4931" s="3" t="str">
        <f>IF(Raw_Data!J4931=1,Raw_Data!D4931,"")</f>
        <v/>
      </c>
    </row>
    <row r="4932" spans="1:2" x14ac:dyDescent="0.25">
      <c r="A4932" s="3" t="str">
        <f>IF(Raw_Data!J4932=0,Raw_Data!D4932,"")</f>
        <v/>
      </c>
      <c r="B4932" s="3">
        <f>IF(Raw_Data!J4932=1,Raw_Data!D4932,"")</f>
        <v>4030.01</v>
      </c>
    </row>
    <row r="4933" spans="1:2" x14ac:dyDescent="0.25">
      <c r="A4933" s="3">
        <f>IF(Raw_Data!J4933=0,Raw_Data!D4933,"")</f>
        <v>4050.35</v>
      </c>
      <c r="B4933" s="3" t="str">
        <f>IF(Raw_Data!J4933=1,Raw_Data!D4933,"")</f>
        <v/>
      </c>
    </row>
    <row r="4934" spans="1:2" x14ac:dyDescent="0.25">
      <c r="A4934" s="3">
        <f>IF(Raw_Data!J4934=0,Raw_Data!D4934,"")</f>
        <v>4113.53</v>
      </c>
      <c r="B4934" s="3" t="str">
        <f>IF(Raw_Data!J4934=1,Raw_Data!D4934,"")</f>
        <v/>
      </c>
    </row>
    <row r="4935" spans="1:2" x14ac:dyDescent="0.25">
      <c r="A4935" s="3">
        <f>IF(Raw_Data!J4935=0,Raw_Data!D4935,"")</f>
        <v>5401.22</v>
      </c>
      <c r="B4935" s="3" t="str">
        <f>IF(Raw_Data!J4935=1,Raw_Data!D4935,"")</f>
        <v/>
      </c>
    </row>
    <row r="4936" spans="1:2" x14ac:dyDescent="0.25">
      <c r="A4936" s="3">
        <f>IF(Raw_Data!J4936=0,Raw_Data!D4936,"")</f>
        <v>1783.76</v>
      </c>
      <c r="B4936" s="3" t="str">
        <f>IF(Raw_Data!J4936=1,Raw_Data!D4936,"")</f>
        <v/>
      </c>
    </row>
    <row r="4937" spans="1:2" x14ac:dyDescent="0.25">
      <c r="A4937" s="3">
        <f>IF(Raw_Data!J4937=0,Raw_Data!D4937,"")</f>
        <v>3859.17</v>
      </c>
      <c r="B4937" s="3" t="str">
        <f>IF(Raw_Data!J4937=1,Raw_Data!D4937,"")</f>
        <v/>
      </c>
    </row>
    <row r="4938" spans="1:2" x14ac:dyDescent="0.25">
      <c r="A4938" s="3">
        <f>IF(Raw_Data!J4938=0,Raw_Data!D4938,"")</f>
        <v>714.86</v>
      </c>
      <c r="B4938" s="3" t="str">
        <f>IF(Raw_Data!J4938=1,Raw_Data!D4938,"")</f>
        <v/>
      </c>
    </row>
    <row r="4939" spans="1:2" x14ac:dyDescent="0.25">
      <c r="A4939" s="3">
        <f>IF(Raw_Data!J4939=0,Raw_Data!D4939,"")</f>
        <v>2267.3200000000002</v>
      </c>
      <c r="B4939" s="3" t="str">
        <f>IF(Raw_Data!J4939=1,Raw_Data!D4939,"")</f>
        <v/>
      </c>
    </row>
    <row r="4940" spans="1:2" x14ac:dyDescent="0.25">
      <c r="A4940" s="3" t="str">
        <f>IF(Raw_Data!J4940=0,Raw_Data!D4940,"")</f>
        <v/>
      </c>
      <c r="B4940" s="3">
        <f>IF(Raw_Data!J4940=1,Raw_Data!D4940,"")</f>
        <v>1499.34</v>
      </c>
    </row>
    <row r="4941" spans="1:2" x14ac:dyDescent="0.25">
      <c r="A4941" s="3">
        <f>IF(Raw_Data!J4941=0,Raw_Data!D4941,"")</f>
        <v>386.64</v>
      </c>
      <c r="B4941" s="3" t="str">
        <f>IF(Raw_Data!J4941=1,Raw_Data!D4941,"")</f>
        <v/>
      </c>
    </row>
    <row r="4942" spans="1:2" x14ac:dyDescent="0.25">
      <c r="A4942" s="3">
        <f>IF(Raw_Data!J4942=0,Raw_Data!D4942,"")</f>
        <v>3107.31</v>
      </c>
      <c r="B4942" s="3" t="str">
        <f>IF(Raw_Data!J4942=1,Raw_Data!D4942,"")</f>
        <v/>
      </c>
    </row>
    <row r="4943" spans="1:2" x14ac:dyDescent="0.25">
      <c r="A4943" s="3">
        <f>IF(Raw_Data!J4943=0,Raw_Data!D4943,"")</f>
        <v>2640.53</v>
      </c>
      <c r="B4943" s="3" t="str">
        <f>IF(Raw_Data!J4943=1,Raw_Data!D4943,"")</f>
        <v/>
      </c>
    </row>
    <row r="4944" spans="1:2" x14ac:dyDescent="0.25">
      <c r="A4944" s="3">
        <f>IF(Raw_Data!J4944=0,Raw_Data!D4944,"")</f>
        <v>942.79</v>
      </c>
      <c r="B4944" s="3" t="str">
        <f>IF(Raw_Data!J4944=1,Raw_Data!D4944,"")</f>
        <v/>
      </c>
    </row>
    <row r="4945" spans="1:2" x14ac:dyDescent="0.25">
      <c r="A4945" s="3">
        <f>IF(Raw_Data!J4945=0,Raw_Data!D4945,"")</f>
        <v>3501.46</v>
      </c>
      <c r="B4945" s="3" t="str">
        <f>IF(Raw_Data!J4945=1,Raw_Data!D4945,"")</f>
        <v/>
      </c>
    </row>
    <row r="4946" spans="1:2" x14ac:dyDescent="0.25">
      <c r="A4946" s="3">
        <f>IF(Raw_Data!J4946=0,Raw_Data!D4946,"")</f>
        <v>3693.41</v>
      </c>
      <c r="B4946" s="3" t="str">
        <f>IF(Raw_Data!J4946=1,Raw_Data!D4946,"")</f>
        <v/>
      </c>
    </row>
    <row r="4947" spans="1:2" x14ac:dyDescent="0.25">
      <c r="A4947" s="3">
        <f>IF(Raw_Data!J4947=0,Raw_Data!D4947,"")</f>
        <v>2275.21</v>
      </c>
      <c r="B4947" s="3" t="str">
        <f>IF(Raw_Data!J4947=1,Raw_Data!D4947,"")</f>
        <v/>
      </c>
    </row>
    <row r="4948" spans="1:2" x14ac:dyDescent="0.25">
      <c r="A4948" s="3">
        <f>IF(Raw_Data!J4948=0,Raw_Data!D4948,"")</f>
        <v>3942.07</v>
      </c>
      <c r="B4948" s="3" t="str">
        <f>IF(Raw_Data!J4948=1,Raw_Data!D4948,"")</f>
        <v/>
      </c>
    </row>
    <row r="4949" spans="1:2" x14ac:dyDescent="0.25">
      <c r="A4949" s="3" t="str">
        <f>IF(Raw_Data!J4949=0,Raw_Data!D4949,"")</f>
        <v/>
      </c>
      <c r="B4949" s="3">
        <f>IF(Raw_Data!J4949=1,Raw_Data!D4949,"")</f>
        <v>1927.76</v>
      </c>
    </row>
    <row r="4950" spans="1:2" x14ac:dyDescent="0.25">
      <c r="A4950" s="3" t="str">
        <f>IF(Raw_Data!J4950=0,Raw_Data!D4950,"")</f>
        <v/>
      </c>
      <c r="B4950" s="3">
        <f>IF(Raw_Data!J4950=1,Raw_Data!D4950,"")</f>
        <v>1998.88</v>
      </c>
    </row>
    <row r="4951" spans="1:2" x14ac:dyDescent="0.25">
      <c r="A4951" s="3">
        <f>IF(Raw_Data!J4951=0,Raw_Data!D4951,"")</f>
        <v>3031.47</v>
      </c>
      <c r="B4951" s="3" t="str">
        <f>IF(Raw_Data!J4951=1,Raw_Data!D4951,"")</f>
        <v/>
      </c>
    </row>
    <row r="4952" spans="1:2" x14ac:dyDescent="0.25">
      <c r="A4952" s="3">
        <f>IF(Raw_Data!J4952=0,Raw_Data!D4952,"")</f>
        <v>4714.49</v>
      </c>
      <c r="B4952" s="3" t="str">
        <f>IF(Raw_Data!J4952=1,Raw_Data!D4952,"")</f>
        <v/>
      </c>
    </row>
    <row r="4953" spans="1:2" x14ac:dyDescent="0.25">
      <c r="A4953" s="3" t="str">
        <f>IF(Raw_Data!J4953=0,Raw_Data!D4953,"")</f>
        <v/>
      </c>
      <c r="B4953" s="3">
        <f>IF(Raw_Data!J4953=1,Raw_Data!D4953,"")</f>
        <v>1524.77</v>
      </c>
    </row>
    <row r="4954" spans="1:2" x14ac:dyDescent="0.25">
      <c r="A4954" s="3">
        <f>IF(Raw_Data!J4954=0,Raw_Data!D4954,"")</f>
        <v>1315.64</v>
      </c>
      <c r="B4954" s="3" t="str">
        <f>IF(Raw_Data!J4954=1,Raw_Data!D4954,"")</f>
        <v/>
      </c>
    </row>
    <row r="4955" spans="1:2" x14ac:dyDescent="0.25">
      <c r="A4955" s="3">
        <f>IF(Raw_Data!J4955=0,Raw_Data!D4955,"")</f>
        <v>290.13</v>
      </c>
      <c r="B4955" s="3" t="str">
        <f>IF(Raw_Data!J4955=1,Raw_Data!D4955,"")</f>
        <v/>
      </c>
    </row>
    <row r="4956" spans="1:2" x14ac:dyDescent="0.25">
      <c r="A4956" s="3">
        <f>IF(Raw_Data!J4956=0,Raw_Data!D4956,"")</f>
        <v>3256.05</v>
      </c>
      <c r="B4956" s="3" t="str">
        <f>IF(Raw_Data!J4956=1,Raw_Data!D4956,"")</f>
        <v/>
      </c>
    </row>
    <row r="4957" spans="1:2" x14ac:dyDescent="0.25">
      <c r="A4957" s="3">
        <f>IF(Raw_Data!J4957=0,Raw_Data!D4957,"")</f>
        <v>1148.3499999999999</v>
      </c>
      <c r="B4957" s="3" t="str">
        <f>IF(Raw_Data!J4957=1,Raw_Data!D4957,"")</f>
        <v/>
      </c>
    </row>
    <row r="4958" spans="1:2" x14ac:dyDescent="0.25">
      <c r="A4958" s="3">
        <f>IF(Raw_Data!J4958=0,Raw_Data!D4958,"")</f>
        <v>1430.04</v>
      </c>
      <c r="B4958" s="3" t="str">
        <f>IF(Raw_Data!J4958=1,Raw_Data!D4958,"")</f>
        <v/>
      </c>
    </row>
    <row r="4959" spans="1:2" x14ac:dyDescent="0.25">
      <c r="A4959" s="3">
        <f>IF(Raw_Data!J4959=0,Raw_Data!D4959,"")</f>
        <v>451.79</v>
      </c>
      <c r="B4959" s="3" t="str">
        <f>IF(Raw_Data!J4959=1,Raw_Data!D4959,"")</f>
        <v/>
      </c>
    </row>
    <row r="4960" spans="1:2" x14ac:dyDescent="0.25">
      <c r="A4960" s="3" t="str">
        <f>IF(Raw_Data!J4960=0,Raw_Data!D4960,"")</f>
        <v/>
      </c>
      <c r="B4960" s="3">
        <f>IF(Raw_Data!J4960=1,Raw_Data!D4960,"")</f>
        <v>4389.2</v>
      </c>
    </row>
    <row r="4961" spans="1:2" x14ac:dyDescent="0.25">
      <c r="A4961" s="3" t="str">
        <f>IF(Raw_Data!J4961=0,Raw_Data!D4961,"")</f>
        <v/>
      </c>
      <c r="B4961" s="3">
        <f>IF(Raw_Data!J4961=1,Raw_Data!D4961,"")</f>
        <v>5801.07</v>
      </c>
    </row>
    <row r="4962" spans="1:2" x14ac:dyDescent="0.25">
      <c r="A4962" s="3" t="str">
        <f>IF(Raw_Data!J4962=0,Raw_Data!D4962,"")</f>
        <v/>
      </c>
      <c r="B4962" s="3">
        <f>IF(Raw_Data!J4962=1,Raw_Data!D4962,"")</f>
        <v>2353.71</v>
      </c>
    </row>
    <row r="4963" spans="1:2" x14ac:dyDescent="0.25">
      <c r="A4963" s="3" t="str">
        <f>IF(Raw_Data!J4963=0,Raw_Data!D4963,"")</f>
        <v/>
      </c>
      <c r="B4963" s="3">
        <f>IF(Raw_Data!J4963=1,Raw_Data!D4963,"")</f>
        <v>2676.22</v>
      </c>
    </row>
    <row r="4964" spans="1:2" x14ac:dyDescent="0.25">
      <c r="A4964" s="3">
        <f>IF(Raw_Data!J4964=0,Raw_Data!D4964,"")</f>
        <v>1392</v>
      </c>
      <c r="B4964" s="3" t="str">
        <f>IF(Raw_Data!J4964=1,Raw_Data!D4964,"")</f>
        <v/>
      </c>
    </row>
    <row r="4965" spans="1:2" x14ac:dyDescent="0.25">
      <c r="A4965" s="3" t="str">
        <f>IF(Raw_Data!J4965=0,Raw_Data!D4965,"")</f>
        <v/>
      </c>
      <c r="B4965" s="3">
        <f>IF(Raw_Data!J4965=1,Raw_Data!D4965,"")</f>
        <v>1691.29</v>
      </c>
    </row>
    <row r="4966" spans="1:2" x14ac:dyDescent="0.25">
      <c r="A4966" s="3">
        <f>IF(Raw_Data!J4966=0,Raw_Data!D4966,"")</f>
        <v>2680.08</v>
      </c>
      <c r="B4966" s="3" t="str">
        <f>IF(Raw_Data!J4966=1,Raw_Data!D4966,"")</f>
        <v/>
      </c>
    </row>
    <row r="4967" spans="1:2" x14ac:dyDescent="0.25">
      <c r="A4967" s="3" t="str">
        <f>IF(Raw_Data!J4967=0,Raw_Data!D4967,"")</f>
        <v/>
      </c>
      <c r="B4967" s="3">
        <f>IF(Raw_Data!J4967=1,Raw_Data!D4967,"")</f>
        <v>1496.22</v>
      </c>
    </row>
    <row r="4968" spans="1:2" x14ac:dyDescent="0.25">
      <c r="A4968" s="3">
        <f>IF(Raw_Data!J4968=0,Raw_Data!D4968,"")</f>
        <v>2031.33</v>
      </c>
      <c r="B4968" s="3" t="str">
        <f>IF(Raw_Data!J4968=1,Raw_Data!D4968,"")</f>
        <v/>
      </c>
    </row>
    <row r="4969" spans="1:2" x14ac:dyDescent="0.25">
      <c r="A4969" s="3">
        <f>IF(Raw_Data!J4969=0,Raw_Data!D4969,"")</f>
        <v>393.78</v>
      </c>
      <c r="B4969" s="3" t="str">
        <f>IF(Raw_Data!J4969=1,Raw_Data!D4969,"")</f>
        <v/>
      </c>
    </row>
    <row r="4970" spans="1:2" x14ac:dyDescent="0.25">
      <c r="A4970" s="3" t="str">
        <f>IF(Raw_Data!J4970=0,Raw_Data!D4970,"")</f>
        <v/>
      </c>
      <c r="B4970" s="3">
        <f>IF(Raw_Data!J4970=1,Raw_Data!D4970,"")</f>
        <v>2070.2800000000002</v>
      </c>
    </row>
    <row r="4971" spans="1:2" x14ac:dyDescent="0.25">
      <c r="A4971" s="3">
        <f>IF(Raw_Data!J4971=0,Raw_Data!D4971,"")</f>
        <v>3632.35</v>
      </c>
      <c r="B4971" s="3" t="str">
        <f>IF(Raw_Data!J4971=1,Raw_Data!D4971,"")</f>
        <v/>
      </c>
    </row>
    <row r="4972" spans="1:2" x14ac:dyDescent="0.25">
      <c r="A4972" s="3">
        <f>IF(Raw_Data!J4972=0,Raw_Data!D4972,"")</f>
        <v>704.1</v>
      </c>
      <c r="B4972" s="3" t="str">
        <f>IF(Raw_Data!J4972=1,Raw_Data!D4972,"")</f>
        <v/>
      </c>
    </row>
    <row r="4973" spans="1:2" x14ac:dyDescent="0.25">
      <c r="A4973" s="3" t="str">
        <f>IF(Raw_Data!J4973=0,Raw_Data!D4973,"")</f>
        <v/>
      </c>
      <c r="B4973" s="3">
        <f>IF(Raw_Data!J4973=1,Raw_Data!D4973,"")</f>
        <v>1134.5899999999999</v>
      </c>
    </row>
    <row r="4974" spans="1:2" x14ac:dyDescent="0.25">
      <c r="A4974" s="3">
        <f>IF(Raw_Data!J4974=0,Raw_Data!D4974,"")</f>
        <v>4172.21</v>
      </c>
      <c r="B4974" s="3" t="str">
        <f>IF(Raw_Data!J4974=1,Raw_Data!D4974,"")</f>
        <v/>
      </c>
    </row>
    <row r="4975" spans="1:2" x14ac:dyDescent="0.25">
      <c r="A4975" s="3">
        <f>IF(Raw_Data!J4975=0,Raw_Data!D4975,"")</f>
        <v>2095.33</v>
      </c>
      <c r="B4975" s="3" t="str">
        <f>IF(Raw_Data!J4975=1,Raw_Data!D4975,"")</f>
        <v/>
      </c>
    </row>
    <row r="4976" spans="1:2" x14ac:dyDescent="0.25">
      <c r="A4976" s="3" t="str">
        <f>IF(Raw_Data!J4976=0,Raw_Data!D4976,"")</f>
        <v/>
      </c>
      <c r="B4976" s="3">
        <f>IF(Raw_Data!J4976=1,Raw_Data!D4976,"")</f>
        <v>2152.42</v>
      </c>
    </row>
    <row r="4977" spans="1:2" x14ac:dyDescent="0.25">
      <c r="A4977" s="3" t="str">
        <f>IF(Raw_Data!J4977=0,Raw_Data!D4977,"")</f>
        <v/>
      </c>
      <c r="B4977" s="3">
        <f>IF(Raw_Data!J4977=1,Raw_Data!D4977,"")</f>
        <v>5577.3</v>
      </c>
    </row>
    <row r="4978" spans="1:2" x14ac:dyDescent="0.25">
      <c r="A4978" s="3">
        <f>IF(Raw_Data!J4978=0,Raw_Data!D4978,"")</f>
        <v>3186.52</v>
      </c>
      <c r="B4978" s="3" t="str">
        <f>IF(Raw_Data!J4978=1,Raw_Data!D4978,"")</f>
        <v/>
      </c>
    </row>
    <row r="4979" spans="1:2" x14ac:dyDescent="0.25">
      <c r="A4979" s="3">
        <f>IF(Raw_Data!J4979=0,Raw_Data!D4979,"")</f>
        <v>2983.02</v>
      </c>
      <c r="B4979" s="3" t="str">
        <f>IF(Raw_Data!J4979=1,Raw_Data!D4979,"")</f>
        <v/>
      </c>
    </row>
    <row r="4980" spans="1:2" x14ac:dyDescent="0.25">
      <c r="A4980" s="3" t="str">
        <f>IF(Raw_Data!J4980=0,Raw_Data!D4980,"")</f>
        <v/>
      </c>
      <c r="B4980" s="3">
        <f>IF(Raw_Data!J4980=1,Raw_Data!D4980,"")</f>
        <v>4357.67</v>
      </c>
    </row>
    <row r="4981" spans="1:2" x14ac:dyDescent="0.25">
      <c r="A4981" s="3" t="str">
        <f>IF(Raw_Data!J4981=0,Raw_Data!D4981,"")</f>
        <v/>
      </c>
      <c r="B4981" s="3">
        <f>IF(Raw_Data!J4981=1,Raw_Data!D4981,"")</f>
        <v>487.68</v>
      </c>
    </row>
    <row r="4982" spans="1:2" x14ac:dyDescent="0.25">
      <c r="A4982" s="3">
        <f>IF(Raw_Data!J4982=0,Raw_Data!D4982,"")</f>
        <v>1355.58</v>
      </c>
      <c r="B4982" s="3" t="str">
        <f>IF(Raw_Data!J4982=1,Raw_Data!D4982,"")</f>
        <v/>
      </c>
    </row>
    <row r="4983" spans="1:2" x14ac:dyDescent="0.25">
      <c r="A4983" s="3">
        <f>IF(Raw_Data!J4983=0,Raw_Data!D4983,"")</f>
        <v>2599.71</v>
      </c>
      <c r="B4983" s="3" t="str">
        <f>IF(Raw_Data!J4983=1,Raw_Data!D4983,"")</f>
        <v/>
      </c>
    </row>
    <row r="4984" spans="1:2" x14ac:dyDescent="0.25">
      <c r="A4984" s="3" t="str">
        <f>IF(Raw_Data!J4984=0,Raw_Data!D4984,"")</f>
        <v/>
      </c>
      <c r="B4984" s="3">
        <f>IF(Raw_Data!J4984=1,Raw_Data!D4984,"")</f>
        <v>355.7</v>
      </c>
    </row>
    <row r="4985" spans="1:2" x14ac:dyDescent="0.25">
      <c r="A4985" s="3" t="str">
        <f>IF(Raw_Data!J4985=0,Raw_Data!D4985,"")</f>
        <v/>
      </c>
      <c r="B4985" s="3">
        <f>IF(Raw_Data!J4985=1,Raw_Data!D4985,"")</f>
        <v>304.23</v>
      </c>
    </row>
    <row r="4986" spans="1:2" x14ac:dyDescent="0.25">
      <c r="A4986" s="3">
        <f>IF(Raw_Data!J4986=0,Raw_Data!D4986,"")</f>
        <v>762.6</v>
      </c>
      <c r="B4986" s="3" t="str">
        <f>IF(Raw_Data!J4986=1,Raw_Data!D4986,"")</f>
        <v/>
      </c>
    </row>
    <row r="4987" spans="1:2" x14ac:dyDescent="0.25">
      <c r="A4987" s="3">
        <f>IF(Raw_Data!J4987=0,Raw_Data!D4987,"")</f>
        <v>4146.41</v>
      </c>
      <c r="B4987" s="3" t="str">
        <f>IF(Raw_Data!J4987=1,Raw_Data!D4987,"")</f>
        <v/>
      </c>
    </row>
    <row r="4988" spans="1:2" x14ac:dyDescent="0.25">
      <c r="A4988" s="3">
        <f>IF(Raw_Data!J4988=0,Raw_Data!D4988,"")</f>
        <v>1452.92</v>
      </c>
      <c r="B4988" s="3" t="str">
        <f>IF(Raw_Data!J4988=1,Raw_Data!D4988,"")</f>
        <v/>
      </c>
    </row>
    <row r="4989" spans="1:2" x14ac:dyDescent="0.25">
      <c r="A4989" s="3" t="str">
        <f>IF(Raw_Data!J4989=0,Raw_Data!D4989,"")</f>
        <v/>
      </c>
      <c r="B4989" s="3">
        <f>IF(Raw_Data!J4989=1,Raw_Data!D4989,"")</f>
        <v>1263.56</v>
      </c>
    </row>
    <row r="4990" spans="1:2" x14ac:dyDescent="0.25">
      <c r="A4990" s="3">
        <f>IF(Raw_Data!J4990=0,Raw_Data!D4990,"")</f>
        <v>2991.14</v>
      </c>
      <c r="B4990" s="3" t="str">
        <f>IF(Raw_Data!J4990=1,Raw_Data!D4990,"")</f>
        <v/>
      </c>
    </row>
    <row r="4991" spans="1:2" x14ac:dyDescent="0.25">
      <c r="A4991" s="3">
        <f>IF(Raw_Data!J4991=0,Raw_Data!D4991,"")</f>
        <v>1414.09</v>
      </c>
      <c r="B4991" s="3" t="str">
        <f>IF(Raw_Data!J4991=1,Raw_Data!D4991,"")</f>
        <v/>
      </c>
    </row>
    <row r="4992" spans="1:2" x14ac:dyDescent="0.25">
      <c r="A4992" s="3">
        <f>IF(Raw_Data!J4992=0,Raw_Data!D4992,"")</f>
        <v>1283.8</v>
      </c>
      <c r="B4992" s="3" t="str">
        <f>IF(Raw_Data!J4992=1,Raw_Data!D4992,"")</f>
        <v/>
      </c>
    </row>
    <row r="4993" spans="1:2" x14ac:dyDescent="0.25">
      <c r="A4993" s="3">
        <f>IF(Raw_Data!J4993=0,Raw_Data!D4993,"")</f>
        <v>3880.79</v>
      </c>
      <c r="B4993" s="3" t="str">
        <f>IF(Raw_Data!J4993=1,Raw_Data!D4993,"")</f>
        <v/>
      </c>
    </row>
    <row r="4994" spans="1:2" x14ac:dyDescent="0.25">
      <c r="A4994" s="3">
        <f>IF(Raw_Data!J4994=0,Raw_Data!D4994,"")</f>
        <v>3833.72</v>
      </c>
      <c r="B4994" s="3" t="str">
        <f>IF(Raw_Data!J4994=1,Raw_Data!D4994,"")</f>
        <v/>
      </c>
    </row>
    <row r="4995" spans="1:2" x14ac:dyDescent="0.25">
      <c r="A4995" s="3">
        <f>IF(Raw_Data!J4995=0,Raw_Data!D4995,"")</f>
        <v>507.19</v>
      </c>
      <c r="B4995" s="3" t="str">
        <f>IF(Raw_Data!J4995=1,Raw_Data!D4995,"")</f>
        <v/>
      </c>
    </row>
    <row r="4996" spans="1:2" x14ac:dyDescent="0.25">
      <c r="A4996" s="3">
        <f>IF(Raw_Data!J4996=0,Raw_Data!D4996,"")</f>
        <v>977.24</v>
      </c>
      <c r="B4996" s="3" t="str">
        <f>IF(Raw_Data!J4996=1,Raw_Data!D4996,"")</f>
        <v/>
      </c>
    </row>
    <row r="4997" spans="1:2" x14ac:dyDescent="0.25">
      <c r="A4997" s="3">
        <f>IF(Raw_Data!J4997=0,Raw_Data!D4997,"")</f>
        <v>1726.28</v>
      </c>
      <c r="B4997" s="3" t="str">
        <f>IF(Raw_Data!J4997=1,Raw_Data!D4997,"")</f>
        <v/>
      </c>
    </row>
    <row r="4998" spans="1:2" x14ac:dyDescent="0.25">
      <c r="A4998" s="3">
        <f>IF(Raw_Data!J4998=0,Raw_Data!D4998,"")</f>
        <v>4246.58</v>
      </c>
      <c r="B4998" s="3" t="str">
        <f>IF(Raw_Data!J4998=1,Raw_Data!D4998,"")</f>
        <v/>
      </c>
    </row>
    <row r="4999" spans="1:2" x14ac:dyDescent="0.25">
      <c r="A4999" s="3">
        <f>IF(Raw_Data!J4999=0,Raw_Data!D4999,"")</f>
        <v>2586.46</v>
      </c>
      <c r="B4999" s="3" t="str">
        <f>IF(Raw_Data!J4999=1,Raw_Data!D4999,"")</f>
        <v/>
      </c>
    </row>
    <row r="5000" spans="1:2" x14ac:dyDescent="0.25">
      <c r="A5000" s="3">
        <f>IF(Raw_Data!J5000=0,Raw_Data!D5000,"")</f>
        <v>1641.4</v>
      </c>
      <c r="B5000" s="3" t="str">
        <f>IF(Raw_Data!J5000=1,Raw_Data!D5000,"")</f>
        <v/>
      </c>
    </row>
    <row r="5001" spans="1:2" x14ac:dyDescent="0.25">
      <c r="A5001" s="3" t="str">
        <f>IF(Raw_Data!J5001=0,Raw_Data!D5001,"")</f>
        <v/>
      </c>
      <c r="B5001" s="3">
        <f>IF(Raw_Data!J5001=1,Raw_Data!D5001,"")</f>
        <v>3124.5</v>
      </c>
    </row>
    <row r="5002" spans="1:2" x14ac:dyDescent="0.25">
      <c r="A5002" s="3">
        <f>IF(Raw_Data!J5002=0,Raw_Data!D5002,"")</f>
        <v>1600.61</v>
      </c>
      <c r="B5002" s="3" t="str">
        <f>IF(Raw_Data!J5002=1,Raw_Data!D5002,"")</f>
        <v/>
      </c>
    </row>
    <row r="5003" spans="1:2" x14ac:dyDescent="0.25">
      <c r="A5003" s="3">
        <f>IF(Raw_Data!J5003=0,Raw_Data!D5003,"")</f>
        <v>717.29</v>
      </c>
      <c r="B5003" s="3" t="str">
        <f>IF(Raw_Data!J5003=1,Raw_Data!D5003,"")</f>
        <v/>
      </c>
    </row>
    <row r="5004" spans="1:2" x14ac:dyDescent="0.25">
      <c r="A5004" s="3">
        <f>IF(Raw_Data!J5004=0,Raw_Data!D5004,"")</f>
        <v>3309.19</v>
      </c>
      <c r="B5004" s="3" t="str">
        <f>IF(Raw_Data!J5004=1,Raw_Data!D5004,"")</f>
        <v/>
      </c>
    </row>
    <row r="5005" spans="1:2" x14ac:dyDescent="0.25">
      <c r="A5005" s="3" t="str">
        <f>IF(Raw_Data!J5005=0,Raw_Data!D5005,"")</f>
        <v/>
      </c>
      <c r="B5005" s="3">
        <f>IF(Raw_Data!J5005=1,Raw_Data!D5005,"")</f>
        <v>3300.55</v>
      </c>
    </row>
    <row r="5006" spans="1:2" x14ac:dyDescent="0.25">
      <c r="A5006" s="3">
        <f>IF(Raw_Data!J5006=0,Raw_Data!D5006,"")</f>
        <v>780.53</v>
      </c>
      <c r="B5006" s="3" t="str">
        <f>IF(Raw_Data!J5006=1,Raw_Data!D5006,"")</f>
        <v/>
      </c>
    </row>
    <row r="5007" spans="1:2" x14ac:dyDescent="0.25">
      <c r="A5007" s="3">
        <f>IF(Raw_Data!J5007=0,Raw_Data!D5007,"")</f>
        <v>3252.49</v>
      </c>
      <c r="B5007" s="3" t="str">
        <f>IF(Raw_Data!J5007=1,Raw_Data!D5007,"")</f>
        <v/>
      </c>
    </row>
    <row r="5008" spans="1:2" x14ac:dyDescent="0.25">
      <c r="A5008" s="3">
        <f>IF(Raw_Data!J5008=0,Raw_Data!D5008,"")</f>
        <v>1006.36</v>
      </c>
      <c r="B5008" s="3" t="str">
        <f>IF(Raw_Data!J5008=1,Raw_Data!D5008,"")</f>
        <v/>
      </c>
    </row>
    <row r="5009" spans="1:2" x14ac:dyDescent="0.25">
      <c r="A5009" s="3" t="str">
        <f>IF(Raw_Data!J5009=0,Raw_Data!D5009,"")</f>
        <v/>
      </c>
      <c r="B5009" s="3">
        <f>IF(Raw_Data!J5009=1,Raw_Data!D5009,"")</f>
        <v>974.39</v>
      </c>
    </row>
    <row r="5010" spans="1:2" x14ac:dyDescent="0.25">
      <c r="A5010" s="3">
        <f>IF(Raw_Data!J5010=0,Raw_Data!D5010,"")</f>
        <v>2149.9</v>
      </c>
      <c r="B5010" s="3" t="str">
        <f>IF(Raw_Data!J5010=1,Raw_Data!D5010,"")</f>
        <v/>
      </c>
    </row>
    <row r="5011" spans="1:2" x14ac:dyDescent="0.25">
      <c r="A5011" s="3">
        <f>IF(Raw_Data!J5011=0,Raw_Data!D5011,"")</f>
        <v>2701.35</v>
      </c>
      <c r="B5011" s="3" t="str">
        <f>IF(Raw_Data!J5011=1,Raw_Data!D5011,"")</f>
        <v/>
      </c>
    </row>
    <row r="5012" spans="1:2" x14ac:dyDescent="0.25">
      <c r="A5012" s="3" t="str">
        <f>IF(Raw_Data!J5012=0,Raw_Data!D5012,"")</f>
        <v/>
      </c>
      <c r="B5012" s="3">
        <f>IF(Raw_Data!J5012=1,Raw_Data!D5012,"")</f>
        <v>2506.5700000000002</v>
      </c>
    </row>
    <row r="5013" spans="1:2" x14ac:dyDescent="0.25">
      <c r="A5013" s="3">
        <f>IF(Raw_Data!J5013=0,Raw_Data!D5013,"")</f>
        <v>898.74</v>
      </c>
      <c r="B5013" s="3" t="str">
        <f>IF(Raw_Data!J5013=1,Raw_Data!D5013,"")</f>
        <v/>
      </c>
    </row>
    <row r="5014" spans="1:2" x14ac:dyDescent="0.25">
      <c r="A5014" s="3">
        <f>IF(Raw_Data!J5014=0,Raw_Data!D5014,"")</f>
        <v>1444.23</v>
      </c>
      <c r="B5014" s="3" t="str">
        <f>IF(Raw_Data!J5014=1,Raw_Data!D5014,"")</f>
        <v/>
      </c>
    </row>
    <row r="5015" spans="1:2" x14ac:dyDescent="0.25">
      <c r="A5015" s="3">
        <f>IF(Raw_Data!J5015=0,Raw_Data!D5015,"")</f>
        <v>2295.92</v>
      </c>
      <c r="B5015" s="3" t="str">
        <f>IF(Raw_Data!J5015=1,Raw_Data!D5015,"")</f>
        <v/>
      </c>
    </row>
    <row r="5016" spans="1:2" x14ac:dyDescent="0.25">
      <c r="A5016" s="3">
        <f>IF(Raw_Data!J5016=0,Raw_Data!D5016,"")</f>
        <v>695.25</v>
      </c>
      <c r="B5016" s="3" t="str">
        <f>IF(Raw_Data!J5016=1,Raw_Data!D5016,"")</f>
        <v/>
      </c>
    </row>
    <row r="5017" spans="1:2" x14ac:dyDescent="0.25">
      <c r="A5017" s="3">
        <f>IF(Raw_Data!J5017=0,Raw_Data!D5017,"")</f>
        <v>596.36</v>
      </c>
      <c r="B5017" s="3" t="str">
        <f>IF(Raw_Data!J5017=1,Raw_Data!D5017,"")</f>
        <v/>
      </c>
    </row>
    <row r="5018" spans="1:2" x14ac:dyDescent="0.25">
      <c r="A5018" s="3">
        <f>IF(Raw_Data!J5018=0,Raw_Data!D5018,"")</f>
        <v>598.96</v>
      </c>
      <c r="B5018" s="3" t="str">
        <f>IF(Raw_Data!J5018=1,Raw_Data!D5018,"")</f>
        <v/>
      </c>
    </row>
    <row r="5019" spans="1:2" x14ac:dyDescent="0.25">
      <c r="A5019" s="3">
        <f>IF(Raw_Data!J5019=0,Raw_Data!D5019,"")</f>
        <v>520.79</v>
      </c>
      <c r="B5019" s="3" t="str">
        <f>IF(Raw_Data!J5019=1,Raw_Data!D5019,"")</f>
        <v/>
      </c>
    </row>
    <row r="5020" spans="1:2" x14ac:dyDescent="0.25">
      <c r="A5020" s="3">
        <f>IF(Raw_Data!J5020=0,Raw_Data!D5020,"")</f>
        <v>1748.34</v>
      </c>
      <c r="B5020" s="3" t="str">
        <f>IF(Raw_Data!J5020=1,Raw_Data!D5020,"")</f>
        <v/>
      </c>
    </row>
    <row r="5021" spans="1:2" x14ac:dyDescent="0.25">
      <c r="A5021" s="3">
        <f>IF(Raw_Data!J5021=0,Raw_Data!D5021,"")</f>
        <v>1508.52</v>
      </c>
      <c r="B5021" s="3" t="str">
        <f>IF(Raw_Data!J5021=1,Raw_Data!D5021,"")</f>
        <v/>
      </c>
    </row>
    <row r="5022" spans="1:2" x14ac:dyDescent="0.25">
      <c r="A5022" s="3">
        <f>IF(Raw_Data!J5022=0,Raw_Data!D5022,"")</f>
        <v>4928.12</v>
      </c>
      <c r="B5022" s="3" t="str">
        <f>IF(Raw_Data!J5022=1,Raw_Data!D5022,"")</f>
        <v/>
      </c>
    </row>
    <row r="5023" spans="1:2" x14ac:dyDescent="0.25">
      <c r="A5023" s="3">
        <f>IF(Raw_Data!J5023=0,Raw_Data!D5023,"")</f>
        <v>115.65</v>
      </c>
      <c r="B5023" s="3" t="str">
        <f>IF(Raw_Data!J5023=1,Raw_Data!D5023,"")</f>
        <v/>
      </c>
    </row>
    <row r="5024" spans="1:2" x14ac:dyDescent="0.25">
      <c r="A5024" s="3" t="str">
        <f>IF(Raw_Data!J5024=0,Raw_Data!D5024,"")</f>
        <v/>
      </c>
      <c r="B5024" s="3">
        <f>IF(Raw_Data!J5024=1,Raw_Data!D5024,"")</f>
        <v>4184.16</v>
      </c>
    </row>
    <row r="5025" spans="1:2" x14ac:dyDescent="0.25">
      <c r="A5025" s="3">
        <f>IF(Raw_Data!J5025=0,Raw_Data!D5025,"")</f>
        <v>513.48</v>
      </c>
      <c r="B5025" s="3" t="str">
        <f>IF(Raw_Data!J5025=1,Raw_Data!D5025,"")</f>
        <v/>
      </c>
    </row>
    <row r="5026" spans="1:2" x14ac:dyDescent="0.25">
      <c r="A5026" s="3">
        <f>IF(Raw_Data!J5026=0,Raw_Data!D5026,"")</f>
        <v>464.98</v>
      </c>
      <c r="B5026" s="3" t="str">
        <f>IF(Raw_Data!J5026=1,Raw_Data!D5026,"")</f>
        <v/>
      </c>
    </row>
    <row r="5027" spans="1:2" x14ac:dyDescent="0.25">
      <c r="A5027" s="3">
        <f>IF(Raw_Data!J5027=0,Raw_Data!D5027,"")</f>
        <v>1417.48</v>
      </c>
      <c r="B5027" s="3" t="str">
        <f>IF(Raw_Data!J5027=1,Raw_Data!D5027,"")</f>
        <v/>
      </c>
    </row>
    <row r="5028" spans="1:2" x14ac:dyDescent="0.25">
      <c r="A5028" s="3">
        <f>IF(Raw_Data!J5028=0,Raw_Data!D5028,"")</f>
        <v>733.94</v>
      </c>
      <c r="B5028" s="3" t="str">
        <f>IF(Raw_Data!J5028=1,Raw_Data!D5028,"")</f>
        <v/>
      </c>
    </row>
    <row r="5029" spans="1:2" x14ac:dyDescent="0.25">
      <c r="A5029" s="3" t="str">
        <f>IF(Raw_Data!J5029=0,Raw_Data!D5029,"")</f>
        <v/>
      </c>
      <c r="B5029" s="3">
        <f>IF(Raw_Data!J5029=1,Raw_Data!D5029,"")</f>
        <v>1738.8</v>
      </c>
    </row>
    <row r="5030" spans="1:2" x14ac:dyDescent="0.25">
      <c r="A5030" s="3">
        <f>IF(Raw_Data!J5030=0,Raw_Data!D5030,"")</f>
        <v>1926.34</v>
      </c>
      <c r="B5030" s="3" t="str">
        <f>IF(Raw_Data!J5030=1,Raw_Data!D5030,"")</f>
        <v/>
      </c>
    </row>
    <row r="5031" spans="1:2" x14ac:dyDescent="0.25">
      <c r="A5031" s="3">
        <f>IF(Raw_Data!J5031=0,Raw_Data!D5031,"")</f>
        <v>2817.97</v>
      </c>
      <c r="B5031" s="3" t="str">
        <f>IF(Raw_Data!J5031=1,Raw_Data!D5031,"")</f>
        <v/>
      </c>
    </row>
    <row r="5032" spans="1:2" x14ac:dyDescent="0.25">
      <c r="A5032" s="3">
        <f>IF(Raw_Data!J5032=0,Raw_Data!D5032,"")</f>
        <v>2753.58</v>
      </c>
      <c r="B5032" s="3" t="str">
        <f>IF(Raw_Data!J5032=1,Raw_Data!D5032,"")</f>
        <v/>
      </c>
    </row>
    <row r="5033" spans="1:2" x14ac:dyDescent="0.25">
      <c r="A5033" s="3">
        <f>IF(Raw_Data!J5033=0,Raw_Data!D5033,"")</f>
        <v>1152.49</v>
      </c>
      <c r="B5033" s="3" t="str">
        <f>IF(Raw_Data!J5033=1,Raw_Data!D5033,"")</f>
        <v/>
      </c>
    </row>
    <row r="5034" spans="1:2" x14ac:dyDescent="0.25">
      <c r="A5034" s="3">
        <f>IF(Raw_Data!J5034=0,Raw_Data!D5034,"")</f>
        <v>2426.79</v>
      </c>
      <c r="B5034" s="3" t="str">
        <f>IF(Raw_Data!J5034=1,Raw_Data!D5034,"")</f>
        <v/>
      </c>
    </row>
    <row r="5035" spans="1:2" x14ac:dyDescent="0.25">
      <c r="A5035" s="3">
        <f>IF(Raw_Data!J5035=0,Raw_Data!D5035,"")</f>
        <v>1151.28</v>
      </c>
      <c r="B5035" s="3" t="str">
        <f>IF(Raw_Data!J5035=1,Raw_Data!D5035,"")</f>
        <v/>
      </c>
    </row>
    <row r="5036" spans="1:2" x14ac:dyDescent="0.25">
      <c r="A5036" s="3">
        <f>IF(Raw_Data!J5036=0,Raw_Data!D5036,"")</f>
        <v>668.07</v>
      </c>
      <c r="B5036" s="3" t="str">
        <f>IF(Raw_Data!J5036=1,Raw_Data!D5036,"")</f>
        <v/>
      </c>
    </row>
    <row r="5037" spans="1:2" x14ac:dyDescent="0.25">
      <c r="A5037" s="3">
        <f>IF(Raw_Data!J5037=0,Raw_Data!D5037,"")</f>
        <v>7410.04</v>
      </c>
      <c r="B5037" s="3" t="str">
        <f>IF(Raw_Data!J5037=1,Raw_Data!D5037,"")</f>
        <v/>
      </c>
    </row>
    <row r="5038" spans="1:2" x14ac:dyDescent="0.25">
      <c r="A5038" s="3" t="str">
        <f>IF(Raw_Data!J5038=0,Raw_Data!D5038,"")</f>
        <v/>
      </c>
      <c r="B5038" s="3">
        <f>IF(Raw_Data!J5038=1,Raw_Data!D5038,"")</f>
        <v>3162.06</v>
      </c>
    </row>
    <row r="5039" spans="1:2" x14ac:dyDescent="0.25">
      <c r="A5039" s="3">
        <f>IF(Raw_Data!J5039=0,Raw_Data!D5039,"")</f>
        <v>1757.88</v>
      </c>
      <c r="B5039" s="3" t="str">
        <f>IF(Raw_Data!J5039=1,Raw_Data!D5039,"")</f>
        <v/>
      </c>
    </row>
    <row r="5040" spans="1:2" x14ac:dyDescent="0.25">
      <c r="A5040" s="3">
        <f>IF(Raw_Data!J5040=0,Raw_Data!D5040,"")</f>
        <v>604.26</v>
      </c>
      <c r="B5040" s="3" t="str">
        <f>IF(Raw_Data!J5040=1,Raw_Data!D5040,"")</f>
        <v/>
      </c>
    </row>
    <row r="5041" spans="1:2" x14ac:dyDescent="0.25">
      <c r="A5041" s="3">
        <f>IF(Raw_Data!J5041=0,Raw_Data!D5041,"")</f>
        <v>1610.6</v>
      </c>
      <c r="B5041" s="3" t="str">
        <f>IF(Raw_Data!J5041=1,Raw_Data!D5041,"")</f>
        <v/>
      </c>
    </row>
    <row r="5042" spans="1:2" x14ac:dyDescent="0.25">
      <c r="A5042" s="3">
        <f>IF(Raw_Data!J5042=0,Raw_Data!D5042,"")</f>
        <v>548.87</v>
      </c>
      <c r="B5042" s="3" t="str">
        <f>IF(Raw_Data!J5042=1,Raw_Data!D5042,"")</f>
        <v/>
      </c>
    </row>
    <row r="5043" spans="1:2" x14ac:dyDescent="0.25">
      <c r="A5043" s="3" t="str">
        <f>IF(Raw_Data!J5043=0,Raw_Data!D5043,"")</f>
        <v/>
      </c>
      <c r="B5043" s="3">
        <f>IF(Raw_Data!J5043=1,Raw_Data!D5043,"")</f>
        <v>5816.56</v>
      </c>
    </row>
    <row r="5044" spans="1:2" x14ac:dyDescent="0.25">
      <c r="A5044" s="3">
        <f>IF(Raw_Data!J5044=0,Raw_Data!D5044,"")</f>
        <v>3163.41</v>
      </c>
      <c r="B5044" s="3" t="str">
        <f>IF(Raw_Data!J5044=1,Raw_Data!D5044,"")</f>
        <v/>
      </c>
    </row>
    <row r="5045" spans="1:2" x14ac:dyDescent="0.25">
      <c r="A5045" s="3" t="str">
        <f>IF(Raw_Data!J5045=0,Raw_Data!D5045,"")</f>
        <v/>
      </c>
      <c r="B5045" s="3">
        <f>IF(Raw_Data!J5045=1,Raw_Data!D5045,"")</f>
        <v>4328.07</v>
      </c>
    </row>
    <row r="5046" spans="1:2" x14ac:dyDescent="0.25">
      <c r="A5046" s="3">
        <f>IF(Raw_Data!J5046=0,Raw_Data!D5046,"")</f>
        <v>3408.12</v>
      </c>
      <c r="B5046" s="3" t="str">
        <f>IF(Raw_Data!J5046=1,Raw_Data!D5046,"")</f>
        <v/>
      </c>
    </row>
    <row r="5047" spans="1:2" x14ac:dyDescent="0.25">
      <c r="A5047" s="3" t="str">
        <f>IF(Raw_Data!J5047=0,Raw_Data!D5047,"")</f>
        <v/>
      </c>
      <c r="B5047" s="3">
        <f>IF(Raw_Data!J5047=1,Raw_Data!D5047,"")</f>
        <v>1843.11</v>
      </c>
    </row>
    <row r="5048" spans="1:2" x14ac:dyDescent="0.25">
      <c r="A5048" s="3">
        <f>IF(Raw_Data!J5048=0,Raw_Data!D5048,"")</f>
        <v>3961.48</v>
      </c>
      <c r="B5048" s="3" t="str">
        <f>IF(Raw_Data!J5048=1,Raw_Data!D5048,"")</f>
        <v/>
      </c>
    </row>
    <row r="5049" spans="1:2" x14ac:dyDescent="0.25">
      <c r="A5049" s="3">
        <f>IF(Raw_Data!J5049=0,Raw_Data!D5049,"")</f>
        <v>1379.69</v>
      </c>
      <c r="B5049" s="3" t="str">
        <f>IF(Raw_Data!J5049=1,Raw_Data!D5049,"")</f>
        <v/>
      </c>
    </row>
    <row r="5050" spans="1:2" x14ac:dyDescent="0.25">
      <c r="A5050" s="3" t="str">
        <f>IF(Raw_Data!J5050=0,Raw_Data!D5050,"")</f>
        <v/>
      </c>
      <c r="B5050" s="3">
        <f>IF(Raw_Data!J5050=1,Raw_Data!D5050,"")</f>
        <v>426.97</v>
      </c>
    </row>
    <row r="5051" spans="1:2" x14ac:dyDescent="0.25">
      <c r="A5051" s="3">
        <f>IF(Raw_Data!J5051=0,Raw_Data!D5051,"")</f>
        <v>437.18</v>
      </c>
      <c r="B5051" s="3" t="str">
        <f>IF(Raw_Data!J5051=1,Raw_Data!D5051,"")</f>
        <v/>
      </c>
    </row>
    <row r="5052" spans="1:2" x14ac:dyDescent="0.25">
      <c r="A5052" s="3">
        <f>IF(Raw_Data!J5052=0,Raw_Data!D5052,"")</f>
        <v>1008.4</v>
      </c>
      <c r="B5052" s="3" t="str">
        <f>IF(Raw_Data!J5052=1,Raw_Data!D5052,"")</f>
        <v/>
      </c>
    </row>
    <row r="5053" spans="1:2" x14ac:dyDescent="0.25">
      <c r="A5053" s="3">
        <f>IF(Raw_Data!J5053=0,Raw_Data!D5053,"")</f>
        <v>5639.49</v>
      </c>
      <c r="B5053" s="3" t="str">
        <f>IF(Raw_Data!J5053=1,Raw_Data!D5053,"")</f>
        <v/>
      </c>
    </row>
    <row r="5054" spans="1:2" x14ac:dyDescent="0.25">
      <c r="A5054" s="3">
        <f>IF(Raw_Data!J5054=0,Raw_Data!D5054,"")</f>
        <v>1851.38</v>
      </c>
      <c r="B5054" s="3" t="str">
        <f>IF(Raw_Data!J5054=1,Raw_Data!D5054,"")</f>
        <v/>
      </c>
    </row>
    <row r="5055" spans="1:2" x14ac:dyDescent="0.25">
      <c r="A5055" s="3" t="str">
        <f>IF(Raw_Data!J5055=0,Raw_Data!D5055,"")</f>
        <v/>
      </c>
      <c r="B5055" s="3">
        <f>IF(Raw_Data!J5055=1,Raw_Data!D5055,"")</f>
        <v>7205.53</v>
      </c>
    </row>
    <row r="5056" spans="1:2" x14ac:dyDescent="0.25">
      <c r="A5056" s="3">
        <f>IF(Raw_Data!J5056=0,Raw_Data!D5056,"")</f>
        <v>6504.76</v>
      </c>
      <c r="B5056" s="3" t="str">
        <f>IF(Raw_Data!J5056=1,Raw_Data!D5056,"")</f>
        <v/>
      </c>
    </row>
    <row r="5057" spans="1:2" x14ac:dyDescent="0.25">
      <c r="A5057" s="3">
        <f>IF(Raw_Data!J5057=0,Raw_Data!D5057,"")</f>
        <v>2077.4499999999998</v>
      </c>
      <c r="B5057" s="3" t="str">
        <f>IF(Raw_Data!J5057=1,Raw_Data!D5057,"")</f>
        <v/>
      </c>
    </row>
    <row r="5058" spans="1:2" x14ac:dyDescent="0.25">
      <c r="A5058" s="3">
        <f>IF(Raw_Data!J5058=0,Raw_Data!D5058,"")</f>
        <v>1447.55</v>
      </c>
      <c r="B5058" s="3" t="str">
        <f>IF(Raw_Data!J5058=1,Raw_Data!D5058,"")</f>
        <v/>
      </c>
    </row>
    <row r="5059" spans="1:2" x14ac:dyDescent="0.25">
      <c r="A5059" s="3">
        <f>IF(Raw_Data!J5059=0,Raw_Data!D5059,"")</f>
        <v>1184.96</v>
      </c>
      <c r="B5059" s="3" t="str">
        <f>IF(Raw_Data!J5059=1,Raw_Data!D5059,"")</f>
        <v/>
      </c>
    </row>
    <row r="5060" spans="1:2" x14ac:dyDescent="0.25">
      <c r="A5060" s="3" t="str">
        <f>IF(Raw_Data!J5060=0,Raw_Data!D5060,"")</f>
        <v/>
      </c>
      <c r="B5060" s="3">
        <f>IF(Raw_Data!J5060=1,Raw_Data!D5060,"")</f>
        <v>2033.96</v>
      </c>
    </row>
    <row r="5061" spans="1:2" x14ac:dyDescent="0.25">
      <c r="A5061" s="3">
        <f>IF(Raw_Data!J5061=0,Raw_Data!D5061,"")</f>
        <v>4742.25</v>
      </c>
      <c r="B5061" s="3" t="str">
        <f>IF(Raw_Data!J5061=1,Raw_Data!D5061,"")</f>
        <v/>
      </c>
    </row>
    <row r="5062" spans="1:2" x14ac:dyDescent="0.25">
      <c r="A5062" s="3">
        <f>IF(Raw_Data!J5062=0,Raw_Data!D5062,"")</f>
        <v>3121.88</v>
      </c>
      <c r="B5062" s="3" t="str">
        <f>IF(Raw_Data!J5062=1,Raw_Data!D5062,"")</f>
        <v/>
      </c>
    </row>
    <row r="5063" spans="1:2" x14ac:dyDescent="0.25">
      <c r="A5063" s="3" t="str">
        <f>IF(Raw_Data!J5063=0,Raw_Data!D5063,"")</f>
        <v/>
      </c>
      <c r="B5063" s="3">
        <f>IF(Raw_Data!J5063=1,Raw_Data!D5063,"")</f>
        <v>3695.29</v>
      </c>
    </row>
    <row r="5064" spans="1:2" x14ac:dyDescent="0.25">
      <c r="A5064" s="3" t="str">
        <f>IF(Raw_Data!J5064=0,Raw_Data!D5064,"")</f>
        <v/>
      </c>
      <c r="B5064" s="3">
        <f>IF(Raw_Data!J5064=1,Raw_Data!D5064,"")</f>
        <v>5986.72</v>
      </c>
    </row>
    <row r="5065" spans="1:2" x14ac:dyDescent="0.25">
      <c r="A5065" s="3">
        <f>IF(Raw_Data!J5065=0,Raw_Data!D5065,"")</f>
        <v>8951.9699999999993</v>
      </c>
      <c r="B5065" s="3" t="str">
        <f>IF(Raw_Data!J5065=1,Raw_Data!D5065,"")</f>
        <v/>
      </c>
    </row>
    <row r="5066" spans="1:2" x14ac:dyDescent="0.25">
      <c r="A5066" s="3">
        <f>IF(Raw_Data!J5066=0,Raw_Data!D5066,"")</f>
        <v>2722.3</v>
      </c>
      <c r="B5066" s="3" t="str">
        <f>IF(Raw_Data!J5066=1,Raw_Data!D5066,"")</f>
        <v/>
      </c>
    </row>
    <row r="5067" spans="1:2" x14ac:dyDescent="0.25">
      <c r="A5067" s="3" t="str">
        <f>IF(Raw_Data!J5067=0,Raw_Data!D5067,"")</f>
        <v/>
      </c>
      <c r="B5067" s="3">
        <f>IF(Raw_Data!J5067=1,Raw_Data!D5067,"")</f>
        <v>2913.18</v>
      </c>
    </row>
    <row r="5068" spans="1:2" x14ac:dyDescent="0.25">
      <c r="A5068" s="3">
        <f>IF(Raw_Data!J5068=0,Raw_Data!D5068,"")</f>
        <v>1695.92</v>
      </c>
      <c r="B5068" s="3" t="str">
        <f>IF(Raw_Data!J5068=1,Raw_Data!D5068,"")</f>
        <v/>
      </c>
    </row>
    <row r="5069" spans="1:2" x14ac:dyDescent="0.25">
      <c r="A5069" s="3">
        <f>IF(Raw_Data!J5069=0,Raw_Data!D5069,"")</f>
        <v>760.34</v>
      </c>
      <c r="B5069" s="3" t="str">
        <f>IF(Raw_Data!J5069=1,Raw_Data!D5069,"")</f>
        <v/>
      </c>
    </row>
    <row r="5070" spans="1:2" x14ac:dyDescent="0.25">
      <c r="A5070" s="3">
        <f>IF(Raw_Data!J5070=0,Raw_Data!D5070,"")</f>
        <v>2377.59</v>
      </c>
      <c r="B5070" s="3" t="str">
        <f>IF(Raw_Data!J5070=1,Raw_Data!D5070,"")</f>
        <v/>
      </c>
    </row>
    <row r="5071" spans="1:2" x14ac:dyDescent="0.25">
      <c r="A5071" s="3">
        <f>IF(Raw_Data!J5071=0,Raw_Data!D5071,"")</f>
        <v>1368.08</v>
      </c>
      <c r="B5071" s="3" t="str">
        <f>IF(Raw_Data!J5071=1,Raw_Data!D5071,"")</f>
        <v/>
      </c>
    </row>
    <row r="5072" spans="1:2" x14ac:dyDescent="0.25">
      <c r="A5072" s="3">
        <f>IF(Raw_Data!J5072=0,Raw_Data!D5072,"")</f>
        <v>5693.87</v>
      </c>
      <c r="B5072" s="3" t="str">
        <f>IF(Raw_Data!J5072=1,Raw_Data!D5072,"")</f>
        <v/>
      </c>
    </row>
    <row r="5073" spans="1:2" x14ac:dyDescent="0.25">
      <c r="A5073" s="3">
        <f>IF(Raw_Data!J5073=0,Raw_Data!D5073,"")</f>
        <v>2271.25</v>
      </c>
      <c r="B5073" s="3" t="str">
        <f>IF(Raw_Data!J5073=1,Raw_Data!D5073,"")</f>
        <v/>
      </c>
    </row>
    <row r="5074" spans="1:2" x14ac:dyDescent="0.25">
      <c r="A5074" s="3">
        <f>IF(Raw_Data!J5074=0,Raw_Data!D5074,"")</f>
        <v>5511.54</v>
      </c>
      <c r="B5074" s="3" t="str">
        <f>IF(Raw_Data!J5074=1,Raw_Data!D5074,"")</f>
        <v/>
      </c>
    </row>
    <row r="5075" spans="1:2" x14ac:dyDescent="0.25">
      <c r="A5075" s="3">
        <f>IF(Raw_Data!J5075=0,Raw_Data!D5075,"")</f>
        <v>295.26</v>
      </c>
      <c r="B5075" s="3" t="str">
        <f>IF(Raw_Data!J5075=1,Raw_Data!D5075,"")</f>
        <v/>
      </c>
    </row>
    <row r="5076" spans="1:2" x14ac:dyDescent="0.25">
      <c r="A5076" s="3">
        <f>IF(Raw_Data!J5076=0,Raw_Data!D5076,"")</f>
        <v>1598.64</v>
      </c>
      <c r="B5076" s="3" t="str">
        <f>IF(Raw_Data!J5076=1,Raw_Data!D5076,"")</f>
        <v/>
      </c>
    </row>
    <row r="5077" spans="1:2" x14ac:dyDescent="0.25">
      <c r="A5077" s="3">
        <f>IF(Raw_Data!J5077=0,Raw_Data!D5077,"")</f>
        <v>9815.99</v>
      </c>
      <c r="B5077" s="3" t="str">
        <f>IF(Raw_Data!J5077=1,Raw_Data!D5077,"")</f>
        <v/>
      </c>
    </row>
    <row r="5078" spans="1:2" x14ac:dyDescent="0.25">
      <c r="A5078" s="3">
        <f>IF(Raw_Data!J5078=0,Raw_Data!D5078,"")</f>
        <v>2485.27</v>
      </c>
      <c r="B5078" s="3" t="str">
        <f>IF(Raw_Data!J5078=1,Raw_Data!D5078,"")</f>
        <v/>
      </c>
    </row>
    <row r="5079" spans="1:2" x14ac:dyDescent="0.25">
      <c r="A5079" s="3">
        <f>IF(Raw_Data!J5079=0,Raw_Data!D5079,"")</f>
        <v>2546.0500000000002</v>
      </c>
      <c r="B5079" s="3" t="str">
        <f>IF(Raw_Data!J5079=1,Raw_Data!D5079,"")</f>
        <v/>
      </c>
    </row>
    <row r="5080" spans="1:2" x14ac:dyDescent="0.25">
      <c r="A5080" s="3" t="str">
        <f>IF(Raw_Data!J5080=0,Raw_Data!D5080,"")</f>
        <v/>
      </c>
      <c r="B5080" s="3">
        <f>IF(Raw_Data!J5080=1,Raw_Data!D5080,"")</f>
        <v>3169.57</v>
      </c>
    </row>
    <row r="5081" spans="1:2" x14ac:dyDescent="0.25">
      <c r="A5081" s="3">
        <f>IF(Raw_Data!J5081=0,Raw_Data!D5081,"")</f>
        <v>3249.55</v>
      </c>
      <c r="B5081" s="3" t="str">
        <f>IF(Raw_Data!J5081=1,Raw_Data!D5081,"")</f>
        <v/>
      </c>
    </row>
    <row r="5082" spans="1:2" x14ac:dyDescent="0.25">
      <c r="A5082" s="3">
        <f>IF(Raw_Data!J5082=0,Raw_Data!D5082,"")</f>
        <v>7900.88</v>
      </c>
      <c r="B5082" s="3" t="str">
        <f>IF(Raw_Data!J5082=1,Raw_Data!D5082,"")</f>
        <v/>
      </c>
    </row>
    <row r="5083" spans="1:2" x14ac:dyDescent="0.25">
      <c r="A5083" s="3">
        <f>IF(Raw_Data!J5083=0,Raw_Data!D5083,"")</f>
        <v>1818.54</v>
      </c>
      <c r="B5083" s="3" t="str">
        <f>IF(Raw_Data!J5083=1,Raw_Data!D5083,"")</f>
        <v/>
      </c>
    </row>
    <row r="5084" spans="1:2" x14ac:dyDescent="0.25">
      <c r="A5084" s="3" t="str">
        <f>IF(Raw_Data!J5084=0,Raw_Data!D5084,"")</f>
        <v/>
      </c>
      <c r="B5084" s="3">
        <f>IF(Raw_Data!J5084=1,Raw_Data!D5084,"")</f>
        <v>569.04999999999995</v>
      </c>
    </row>
    <row r="5085" spans="1:2" x14ac:dyDescent="0.25">
      <c r="A5085" s="3">
        <f>IF(Raw_Data!J5085=0,Raw_Data!D5085,"")</f>
        <v>1282.6099999999999</v>
      </c>
      <c r="B5085" s="3" t="str">
        <f>IF(Raw_Data!J5085=1,Raw_Data!D5085,"")</f>
        <v/>
      </c>
    </row>
    <row r="5086" spans="1:2" x14ac:dyDescent="0.25">
      <c r="A5086" s="3">
        <f>IF(Raw_Data!J5086=0,Raw_Data!D5086,"")</f>
        <v>2382.7399999999998</v>
      </c>
      <c r="B5086" s="3" t="str">
        <f>IF(Raw_Data!J5086=1,Raw_Data!D5086,"")</f>
        <v/>
      </c>
    </row>
    <row r="5087" spans="1:2" x14ac:dyDescent="0.25">
      <c r="A5087" s="3" t="str">
        <f>IF(Raw_Data!J5087=0,Raw_Data!D5087,"")</f>
        <v/>
      </c>
      <c r="B5087" s="3">
        <f>IF(Raw_Data!J5087=1,Raw_Data!D5087,"")</f>
        <v>1292.8800000000001</v>
      </c>
    </row>
    <row r="5088" spans="1:2" x14ac:dyDescent="0.25">
      <c r="A5088" s="3">
        <f>IF(Raw_Data!J5088=0,Raw_Data!D5088,"")</f>
        <v>4018.14</v>
      </c>
      <c r="B5088" s="3" t="str">
        <f>IF(Raw_Data!J5088=1,Raw_Data!D5088,"")</f>
        <v/>
      </c>
    </row>
    <row r="5089" spans="1:2" x14ac:dyDescent="0.25">
      <c r="A5089" s="3">
        <f>IF(Raw_Data!J5089=0,Raw_Data!D5089,"")</f>
        <v>482.16</v>
      </c>
      <c r="B5089" s="3" t="str">
        <f>IF(Raw_Data!J5089=1,Raw_Data!D5089,"")</f>
        <v/>
      </c>
    </row>
    <row r="5090" spans="1:2" x14ac:dyDescent="0.25">
      <c r="A5090" s="3">
        <f>IF(Raw_Data!J5090=0,Raw_Data!D5090,"")</f>
        <v>724.67</v>
      </c>
      <c r="B5090" s="3" t="str">
        <f>IF(Raw_Data!J5090=1,Raw_Data!D5090,"")</f>
        <v/>
      </c>
    </row>
    <row r="5091" spans="1:2" x14ac:dyDescent="0.25">
      <c r="A5091" s="3">
        <f>IF(Raw_Data!J5091=0,Raw_Data!D5091,"")</f>
        <v>3146.91</v>
      </c>
      <c r="B5091" s="3" t="str">
        <f>IF(Raw_Data!J5091=1,Raw_Data!D5091,"")</f>
        <v/>
      </c>
    </row>
    <row r="5092" spans="1:2" x14ac:dyDescent="0.25">
      <c r="A5092" s="3">
        <f>IF(Raw_Data!J5092=0,Raw_Data!D5092,"")</f>
        <v>4041.03</v>
      </c>
      <c r="B5092" s="3" t="str">
        <f>IF(Raw_Data!J5092=1,Raw_Data!D5092,"")</f>
        <v/>
      </c>
    </row>
    <row r="5093" spans="1:2" x14ac:dyDescent="0.25">
      <c r="A5093" s="3">
        <f>IF(Raw_Data!J5093=0,Raw_Data!D5093,"")</f>
        <v>6135.35</v>
      </c>
      <c r="B5093" s="3" t="str">
        <f>IF(Raw_Data!J5093=1,Raw_Data!D5093,"")</f>
        <v/>
      </c>
    </row>
    <row r="5094" spans="1:2" x14ac:dyDescent="0.25">
      <c r="A5094" s="3">
        <f>IF(Raw_Data!J5094=0,Raw_Data!D5094,"")</f>
        <v>622.41</v>
      </c>
      <c r="B5094" s="3" t="str">
        <f>IF(Raw_Data!J5094=1,Raw_Data!D5094,"")</f>
        <v/>
      </c>
    </row>
    <row r="5095" spans="1:2" x14ac:dyDescent="0.25">
      <c r="A5095" s="3">
        <f>IF(Raw_Data!J5095=0,Raw_Data!D5095,"")</f>
        <v>1379.63</v>
      </c>
      <c r="B5095" s="3" t="str">
        <f>IF(Raw_Data!J5095=1,Raw_Data!D5095,"")</f>
        <v/>
      </c>
    </row>
    <row r="5096" spans="1:2" x14ac:dyDescent="0.25">
      <c r="A5096" s="3">
        <f>IF(Raw_Data!J5096=0,Raw_Data!D5096,"")</f>
        <v>1161.1199999999999</v>
      </c>
      <c r="B5096" s="3" t="str">
        <f>IF(Raw_Data!J5096=1,Raw_Data!D5096,"")</f>
        <v/>
      </c>
    </row>
    <row r="5097" spans="1:2" x14ac:dyDescent="0.25">
      <c r="A5097" s="3">
        <f>IF(Raw_Data!J5097=0,Raw_Data!D5097,"")</f>
        <v>3710.09</v>
      </c>
      <c r="B5097" s="3" t="str">
        <f>IF(Raw_Data!J5097=1,Raw_Data!D5097,"")</f>
        <v/>
      </c>
    </row>
    <row r="5098" spans="1:2" x14ac:dyDescent="0.25">
      <c r="A5098" s="3">
        <f>IF(Raw_Data!J5098=0,Raw_Data!D5098,"")</f>
        <v>5056.46</v>
      </c>
      <c r="B5098" s="3" t="str">
        <f>IF(Raw_Data!J5098=1,Raw_Data!D5098,"")</f>
        <v/>
      </c>
    </row>
    <row r="5099" spans="1:2" x14ac:dyDescent="0.25">
      <c r="A5099" s="3">
        <f>IF(Raw_Data!J5099=0,Raw_Data!D5099,"")</f>
        <v>496.68</v>
      </c>
      <c r="B5099" s="3" t="str">
        <f>IF(Raw_Data!J5099=1,Raw_Data!D5099,"")</f>
        <v/>
      </c>
    </row>
    <row r="5100" spans="1:2" x14ac:dyDescent="0.25">
      <c r="A5100" s="3">
        <f>IF(Raw_Data!J5100=0,Raw_Data!D5100,"")</f>
        <v>3452.34</v>
      </c>
      <c r="B5100" s="3" t="str">
        <f>IF(Raw_Data!J5100=1,Raw_Data!D5100,"")</f>
        <v/>
      </c>
    </row>
    <row r="5101" spans="1:2" x14ac:dyDescent="0.25">
      <c r="A5101" s="3">
        <f>IF(Raw_Data!J5101=0,Raw_Data!D5101,"")</f>
        <v>3822.16</v>
      </c>
      <c r="B5101" s="3" t="str">
        <f>IF(Raw_Data!J5101=1,Raw_Data!D5101,"")</f>
        <v/>
      </c>
    </row>
    <row r="5102" spans="1:2" x14ac:dyDescent="0.25">
      <c r="A5102" s="3">
        <f>IF(Raw_Data!J5102=0,Raw_Data!D5102,"")</f>
        <v>1133.31</v>
      </c>
      <c r="B5102" s="3" t="str">
        <f>IF(Raw_Data!J5102=1,Raw_Data!D5102,"")</f>
        <v/>
      </c>
    </row>
    <row r="5103" spans="1:2" x14ac:dyDescent="0.25">
      <c r="A5103" s="3" t="str">
        <f>IF(Raw_Data!J5103=0,Raw_Data!D5103,"")</f>
        <v/>
      </c>
      <c r="B5103" s="3">
        <f>IF(Raw_Data!J5103=1,Raw_Data!D5103,"")</f>
        <v>5734.04</v>
      </c>
    </row>
    <row r="5104" spans="1:2" x14ac:dyDescent="0.25">
      <c r="A5104" s="3">
        <f>IF(Raw_Data!J5104=0,Raw_Data!D5104,"")</f>
        <v>2941.43</v>
      </c>
      <c r="B5104" s="3" t="str">
        <f>IF(Raw_Data!J5104=1,Raw_Data!D5104,"")</f>
        <v/>
      </c>
    </row>
    <row r="5105" spans="1:2" x14ac:dyDescent="0.25">
      <c r="A5105" s="3">
        <f>IF(Raw_Data!J5105=0,Raw_Data!D5105,"")</f>
        <v>2155.8000000000002</v>
      </c>
      <c r="B5105" s="3" t="str">
        <f>IF(Raw_Data!J5105=1,Raw_Data!D5105,"")</f>
        <v/>
      </c>
    </row>
    <row r="5106" spans="1:2" x14ac:dyDescent="0.25">
      <c r="A5106" s="3">
        <f>IF(Raw_Data!J5106=0,Raw_Data!D5106,"")</f>
        <v>2231.29</v>
      </c>
      <c r="B5106" s="3" t="str">
        <f>IF(Raw_Data!J5106=1,Raw_Data!D5106,"")</f>
        <v/>
      </c>
    </row>
    <row r="5107" spans="1:2" x14ac:dyDescent="0.25">
      <c r="A5107" s="3">
        <f>IF(Raw_Data!J5107=0,Raw_Data!D5107,"")</f>
        <v>1159.93</v>
      </c>
      <c r="B5107" s="3" t="str">
        <f>IF(Raw_Data!J5107=1,Raw_Data!D5107,"")</f>
        <v/>
      </c>
    </row>
    <row r="5108" spans="1:2" x14ac:dyDescent="0.25">
      <c r="A5108" s="3">
        <f>IF(Raw_Data!J5108=0,Raw_Data!D5108,"")</f>
        <v>851.05</v>
      </c>
      <c r="B5108" s="3" t="str">
        <f>IF(Raw_Data!J5108=1,Raw_Data!D5108,"")</f>
        <v/>
      </c>
    </row>
    <row r="5109" spans="1:2" x14ac:dyDescent="0.25">
      <c r="A5109" s="3">
        <f>IF(Raw_Data!J5109=0,Raw_Data!D5109,"")</f>
        <v>5144.28</v>
      </c>
      <c r="B5109" s="3" t="str">
        <f>IF(Raw_Data!J5109=1,Raw_Data!D5109,"")</f>
        <v/>
      </c>
    </row>
    <row r="5110" spans="1:2" x14ac:dyDescent="0.25">
      <c r="A5110" s="3">
        <f>IF(Raw_Data!J5110=0,Raw_Data!D5110,"")</f>
        <v>3705.05</v>
      </c>
      <c r="B5110" s="3" t="str">
        <f>IF(Raw_Data!J5110=1,Raw_Data!D5110,"")</f>
        <v/>
      </c>
    </row>
    <row r="5111" spans="1:2" x14ac:dyDescent="0.25">
      <c r="A5111" s="3">
        <f>IF(Raw_Data!J5111=0,Raw_Data!D5111,"")</f>
        <v>66.400000000000006</v>
      </c>
      <c r="B5111" s="3" t="str">
        <f>IF(Raw_Data!J5111=1,Raw_Data!D5111,"")</f>
        <v/>
      </c>
    </row>
    <row r="5112" spans="1:2" x14ac:dyDescent="0.25">
      <c r="A5112" s="3">
        <f>IF(Raw_Data!J5112=0,Raw_Data!D5112,"")</f>
        <v>2050.38</v>
      </c>
      <c r="B5112" s="3" t="str">
        <f>IF(Raw_Data!J5112=1,Raw_Data!D5112,"")</f>
        <v/>
      </c>
    </row>
    <row r="5113" spans="1:2" x14ac:dyDescent="0.25">
      <c r="A5113" s="3">
        <f>IF(Raw_Data!J5113=0,Raw_Data!D5113,"")</f>
        <v>1444.3</v>
      </c>
      <c r="B5113" s="3" t="str">
        <f>IF(Raw_Data!J5113=1,Raw_Data!D5113,"")</f>
        <v/>
      </c>
    </row>
    <row r="5114" spans="1:2" x14ac:dyDescent="0.25">
      <c r="A5114" s="3" t="str">
        <f>IF(Raw_Data!J5114=0,Raw_Data!D5114,"")</f>
        <v/>
      </c>
      <c r="B5114" s="3">
        <f>IF(Raw_Data!J5114=1,Raw_Data!D5114,"")</f>
        <v>5025.08</v>
      </c>
    </row>
    <row r="5115" spans="1:2" x14ac:dyDescent="0.25">
      <c r="A5115" s="3">
        <f>IF(Raw_Data!J5115=0,Raw_Data!D5115,"")</f>
        <v>2537.4499999999998</v>
      </c>
      <c r="B5115" s="3" t="str">
        <f>IF(Raw_Data!J5115=1,Raw_Data!D5115,"")</f>
        <v/>
      </c>
    </row>
    <row r="5116" spans="1:2" x14ac:dyDescent="0.25">
      <c r="A5116" s="3">
        <f>IF(Raw_Data!J5116=0,Raw_Data!D5116,"")</f>
        <v>1598.82</v>
      </c>
      <c r="B5116" s="3" t="str">
        <f>IF(Raw_Data!J5116=1,Raw_Data!D5116,"")</f>
        <v/>
      </c>
    </row>
    <row r="5117" spans="1:2" x14ac:dyDescent="0.25">
      <c r="A5117" s="3">
        <f>IF(Raw_Data!J5117=0,Raw_Data!D5117,"")</f>
        <v>1370.42</v>
      </c>
      <c r="B5117" s="3" t="str">
        <f>IF(Raw_Data!J5117=1,Raw_Data!D5117,"")</f>
        <v/>
      </c>
    </row>
    <row r="5118" spans="1:2" x14ac:dyDescent="0.25">
      <c r="A5118" s="3" t="str">
        <f>IF(Raw_Data!J5118=0,Raw_Data!D5118,"")</f>
        <v/>
      </c>
      <c r="B5118" s="3">
        <f>IF(Raw_Data!J5118=1,Raw_Data!D5118,"")</f>
        <v>1065.0999999999999</v>
      </c>
    </row>
    <row r="5119" spans="1:2" x14ac:dyDescent="0.25">
      <c r="A5119" s="3">
        <f>IF(Raw_Data!J5119=0,Raw_Data!D5119,"")</f>
        <v>3213.93</v>
      </c>
      <c r="B5119" s="3" t="str">
        <f>IF(Raw_Data!J5119=1,Raw_Data!D5119,"")</f>
        <v/>
      </c>
    </row>
    <row r="5120" spans="1:2" x14ac:dyDescent="0.25">
      <c r="A5120" s="3">
        <f>IF(Raw_Data!J5120=0,Raw_Data!D5120,"")</f>
        <v>965.4</v>
      </c>
      <c r="B5120" s="3" t="str">
        <f>IF(Raw_Data!J5120=1,Raw_Data!D5120,"")</f>
        <v/>
      </c>
    </row>
    <row r="5121" spans="1:2" x14ac:dyDescent="0.25">
      <c r="A5121" s="3">
        <f>IF(Raw_Data!J5121=0,Raw_Data!D5121,"")</f>
        <v>4127.51</v>
      </c>
      <c r="B5121" s="3" t="str">
        <f>IF(Raw_Data!J5121=1,Raw_Data!D5121,"")</f>
        <v/>
      </c>
    </row>
    <row r="5122" spans="1:2" x14ac:dyDescent="0.25">
      <c r="A5122" s="3">
        <f>IF(Raw_Data!J5122=0,Raw_Data!D5122,"")</f>
        <v>1237.76</v>
      </c>
      <c r="B5122" s="3" t="str">
        <f>IF(Raw_Data!J5122=1,Raw_Data!D5122,"")</f>
        <v/>
      </c>
    </row>
    <row r="5123" spans="1:2" x14ac:dyDescent="0.25">
      <c r="A5123" s="3">
        <f>IF(Raw_Data!J5123=0,Raw_Data!D5123,"")</f>
        <v>3804.21</v>
      </c>
      <c r="B5123" s="3" t="str">
        <f>IF(Raw_Data!J5123=1,Raw_Data!D5123,"")</f>
        <v/>
      </c>
    </row>
    <row r="5124" spans="1:2" x14ac:dyDescent="0.25">
      <c r="A5124" s="3">
        <f>IF(Raw_Data!J5124=0,Raw_Data!D5124,"")</f>
        <v>2561.73</v>
      </c>
      <c r="B5124" s="3" t="str">
        <f>IF(Raw_Data!J5124=1,Raw_Data!D5124,"")</f>
        <v/>
      </c>
    </row>
    <row r="5125" spans="1:2" x14ac:dyDescent="0.25">
      <c r="A5125" s="3" t="str">
        <f>IF(Raw_Data!J5125=0,Raw_Data!D5125,"")</f>
        <v/>
      </c>
      <c r="B5125" s="3">
        <f>IF(Raw_Data!J5125=1,Raw_Data!D5125,"")</f>
        <v>1368.91</v>
      </c>
    </row>
    <row r="5126" spans="1:2" x14ac:dyDescent="0.25">
      <c r="A5126" s="3">
        <f>IF(Raw_Data!J5126=0,Raw_Data!D5126,"")</f>
        <v>2502.92</v>
      </c>
      <c r="B5126" s="3" t="str">
        <f>IF(Raw_Data!J5126=1,Raw_Data!D5126,"")</f>
        <v/>
      </c>
    </row>
    <row r="5127" spans="1:2" x14ac:dyDescent="0.25">
      <c r="A5127" s="3">
        <f>IF(Raw_Data!J5127=0,Raw_Data!D5127,"")</f>
        <v>507.13</v>
      </c>
      <c r="B5127" s="3" t="str">
        <f>IF(Raw_Data!J5127=1,Raw_Data!D5127,"")</f>
        <v/>
      </c>
    </row>
    <row r="5128" spans="1:2" x14ac:dyDescent="0.25">
      <c r="A5128" s="3">
        <f>IF(Raw_Data!J5128=0,Raw_Data!D5128,"")</f>
        <v>2021.58</v>
      </c>
      <c r="B5128" s="3" t="str">
        <f>IF(Raw_Data!J5128=1,Raw_Data!D5128,"")</f>
        <v/>
      </c>
    </row>
    <row r="5129" spans="1:2" x14ac:dyDescent="0.25">
      <c r="A5129" s="3">
        <f>IF(Raw_Data!J5129=0,Raw_Data!D5129,"")</f>
        <v>1388.83</v>
      </c>
      <c r="B5129" s="3" t="str">
        <f>IF(Raw_Data!J5129=1,Raw_Data!D5129,"")</f>
        <v/>
      </c>
    </row>
    <row r="5130" spans="1:2" x14ac:dyDescent="0.25">
      <c r="A5130" s="3">
        <f>IF(Raw_Data!J5130=0,Raw_Data!D5130,"")</f>
        <v>2028.01</v>
      </c>
      <c r="B5130" s="3" t="str">
        <f>IF(Raw_Data!J5130=1,Raw_Data!D5130,"")</f>
        <v/>
      </c>
    </row>
    <row r="5131" spans="1:2" x14ac:dyDescent="0.25">
      <c r="A5131" s="3">
        <f>IF(Raw_Data!J5131=0,Raw_Data!D5131,"")</f>
        <v>3365.76</v>
      </c>
      <c r="B5131" s="3" t="str">
        <f>IF(Raw_Data!J5131=1,Raw_Data!D5131,"")</f>
        <v/>
      </c>
    </row>
    <row r="5132" spans="1:2" x14ac:dyDescent="0.25">
      <c r="A5132" s="3">
        <f>IF(Raw_Data!J5132=0,Raw_Data!D5132,"")</f>
        <v>5871.05</v>
      </c>
      <c r="B5132" s="3" t="str">
        <f>IF(Raw_Data!J5132=1,Raw_Data!D5132,"")</f>
        <v/>
      </c>
    </row>
    <row r="5133" spans="1:2" x14ac:dyDescent="0.25">
      <c r="A5133" s="3">
        <f>IF(Raw_Data!J5133=0,Raw_Data!D5133,"")</f>
        <v>5056.74</v>
      </c>
      <c r="B5133" s="3" t="str">
        <f>IF(Raw_Data!J5133=1,Raw_Data!D5133,"")</f>
        <v/>
      </c>
    </row>
    <row r="5134" spans="1:2" x14ac:dyDescent="0.25">
      <c r="A5134" s="3">
        <f>IF(Raw_Data!J5134=0,Raw_Data!D5134,"")</f>
        <v>2987.33</v>
      </c>
      <c r="B5134" s="3" t="str">
        <f>IF(Raw_Data!J5134=1,Raw_Data!D5134,"")</f>
        <v/>
      </c>
    </row>
    <row r="5135" spans="1:2" x14ac:dyDescent="0.25">
      <c r="A5135" s="3" t="str">
        <f>IF(Raw_Data!J5135=0,Raw_Data!D5135,"")</f>
        <v/>
      </c>
      <c r="B5135" s="3">
        <f>IF(Raw_Data!J5135=1,Raw_Data!D5135,"")</f>
        <v>1351.13</v>
      </c>
    </row>
    <row r="5136" spans="1:2" x14ac:dyDescent="0.25">
      <c r="A5136" s="3">
        <f>IF(Raw_Data!J5136=0,Raw_Data!D5136,"")</f>
        <v>2324.5100000000002</v>
      </c>
      <c r="B5136" s="3" t="str">
        <f>IF(Raw_Data!J5136=1,Raw_Data!D5136,"")</f>
        <v/>
      </c>
    </row>
    <row r="5137" spans="1:2" x14ac:dyDescent="0.25">
      <c r="A5137" s="3">
        <f>IF(Raw_Data!J5137=0,Raw_Data!D5137,"")</f>
        <v>2010.36</v>
      </c>
      <c r="B5137" s="3" t="str">
        <f>IF(Raw_Data!J5137=1,Raw_Data!D5137,"")</f>
        <v/>
      </c>
    </row>
    <row r="5138" spans="1:2" x14ac:dyDescent="0.25">
      <c r="A5138" s="3" t="str">
        <f>IF(Raw_Data!J5138=0,Raw_Data!D5138,"")</f>
        <v/>
      </c>
      <c r="B5138" s="3">
        <f>IF(Raw_Data!J5138=1,Raw_Data!D5138,"")</f>
        <v>935.43</v>
      </c>
    </row>
    <row r="5139" spans="1:2" x14ac:dyDescent="0.25">
      <c r="A5139" s="3">
        <f>IF(Raw_Data!J5139=0,Raw_Data!D5139,"")</f>
        <v>363.56</v>
      </c>
      <c r="B5139" s="3" t="str">
        <f>IF(Raw_Data!J5139=1,Raw_Data!D5139,"")</f>
        <v/>
      </c>
    </row>
    <row r="5140" spans="1:2" x14ac:dyDescent="0.25">
      <c r="A5140" s="3">
        <f>IF(Raw_Data!J5140=0,Raw_Data!D5140,"")</f>
        <v>4049.4</v>
      </c>
      <c r="B5140" s="3" t="str">
        <f>IF(Raw_Data!J5140=1,Raw_Data!D5140,"")</f>
        <v/>
      </c>
    </row>
    <row r="5141" spans="1:2" x14ac:dyDescent="0.25">
      <c r="A5141" s="3">
        <f>IF(Raw_Data!J5141=0,Raw_Data!D5141,"")</f>
        <v>487.12</v>
      </c>
      <c r="B5141" s="3" t="str">
        <f>IF(Raw_Data!J5141=1,Raw_Data!D5141,"")</f>
        <v/>
      </c>
    </row>
    <row r="5142" spans="1:2" x14ac:dyDescent="0.25">
      <c r="A5142" s="3">
        <f>IF(Raw_Data!J5142=0,Raw_Data!D5142,"")</f>
        <v>1286.58</v>
      </c>
      <c r="B5142" s="3" t="str">
        <f>IF(Raw_Data!J5142=1,Raw_Data!D5142,"")</f>
        <v/>
      </c>
    </row>
    <row r="5143" spans="1:2" x14ac:dyDescent="0.25">
      <c r="A5143" s="3" t="str">
        <f>IF(Raw_Data!J5143=0,Raw_Data!D5143,"")</f>
        <v/>
      </c>
      <c r="B5143" s="3">
        <f>IF(Raw_Data!J5143=1,Raw_Data!D5143,"")</f>
        <v>5308.64</v>
      </c>
    </row>
    <row r="5144" spans="1:2" x14ac:dyDescent="0.25">
      <c r="A5144" s="3">
        <f>IF(Raw_Data!J5144=0,Raw_Data!D5144,"")</f>
        <v>1007.83</v>
      </c>
      <c r="B5144" s="3" t="str">
        <f>IF(Raw_Data!J5144=1,Raw_Data!D5144,"")</f>
        <v/>
      </c>
    </row>
    <row r="5145" spans="1:2" x14ac:dyDescent="0.25">
      <c r="A5145" s="3">
        <f>IF(Raw_Data!J5145=0,Raw_Data!D5145,"")</f>
        <v>2130.3000000000002</v>
      </c>
      <c r="B5145" s="3" t="str">
        <f>IF(Raw_Data!J5145=1,Raw_Data!D5145,"")</f>
        <v/>
      </c>
    </row>
    <row r="5146" spans="1:2" x14ac:dyDescent="0.25">
      <c r="A5146" s="3">
        <f>IF(Raw_Data!J5146=0,Raw_Data!D5146,"")</f>
        <v>519.53</v>
      </c>
      <c r="B5146" s="3" t="str">
        <f>IF(Raw_Data!J5146=1,Raw_Data!D5146,"")</f>
        <v/>
      </c>
    </row>
    <row r="5147" spans="1:2" x14ac:dyDescent="0.25">
      <c r="A5147" s="3">
        <f>IF(Raw_Data!J5147=0,Raw_Data!D5147,"")</f>
        <v>1679.67</v>
      </c>
      <c r="B5147" s="3" t="str">
        <f>IF(Raw_Data!J5147=1,Raw_Data!D5147,"")</f>
        <v/>
      </c>
    </row>
    <row r="5148" spans="1:2" x14ac:dyDescent="0.25">
      <c r="A5148" s="3">
        <f>IF(Raw_Data!J5148=0,Raw_Data!D5148,"")</f>
        <v>1402.7</v>
      </c>
      <c r="B5148" s="3" t="str">
        <f>IF(Raw_Data!J5148=1,Raw_Data!D5148,"")</f>
        <v/>
      </c>
    </row>
    <row r="5149" spans="1:2" x14ac:dyDescent="0.25">
      <c r="A5149" s="3">
        <f>IF(Raw_Data!J5149=0,Raw_Data!D5149,"")</f>
        <v>3543.3</v>
      </c>
      <c r="B5149" s="3" t="str">
        <f>IF(Raw_Data!J5149=1,Raw_Data!D5149,"")</f>
        <v/>
      </c>
    </row>
    <row r="5150" spans="1:2" x14ac:dyDescent="0.25">
      <c r="A5150" s="3">
        <f>IF(Raw_Data!J5150=0,Raw_Data!D5150,"")</f>
        <v>2886.62</v>
      </c>
      <c r="B5150" s="3" t="str">
        <f>IF(Raw_Data!J5150=1,Raw_Data!D5150,"")</f>
        <v/>
      </c>
    </row>
    <row r="5151" spans="1:2" x14ac:dyDescent="0.25">
      <c r="A5151" s="3">
        <f>IF(Raw_Data!J5151=0,Raw_Data!D5151,"")</f>
        <v>2858.82</v>
      </c>
      <c r="B5151" s="3" t="str">
        <f>IF(Raw_Data!J5151=1,Raw_Data!D5151,"")</f>
        <v/>
      </c>
    </row>
    <row r="5152" spans="1:2" x14ac:dyDescent="0.25">
      <c r="A5152" s="3" t="str">
        <f>IF(Raw_Data!J5152=0,Raw_Data!D5152,"")</f>
        <v/>
      </c>
      <c r="B5152" s="3">
        <f>IF(Raw_Data!J5152=1,Raw_Data!D5152,"")</f>
        <v>3239.76</v>
      </c>
    </row>
    <row r="5153" spans="1:2" x14ac:dyDescent="0.25">
      <c r="A5153" s="3" t="str">
        <f>IF(Raw_Data!J5153=0,Raw_Data!D5153,"")</f>
        <v/>
      </c>
      <c r="B5153" s="3">
        <f>IF(Raw_Data!J5153=1,Raw_Data!D5153,"")</f>
        <v>1118.46</v>
      </c>
    </row>
    <row r="5154" spans="1:2" x14ac:dyDescent="0.25">
      <c r="A5154" s="3">
        <f>IF(Raw_Data!J5154=0,Raw_Data!D5154,"")</f>
        <v>1822.4</v>
      </c>
      <c r="B5154" s="3" t="str">
        <f>IF(Raw_Data!J5154=1,Raw_Data!D5154,"")</f>
        <v/>
      </c>
    </row>
    <row r="5155" spans="1:2" x14ac:dyDescent="0.25">
      <c r="A5155" s="3">
        <f>IF(Raw_Data!J5155=0,Raw_Data!D5155,"")</f>
        <v>1400.46</v>
      </c>
      <c r="B5155" s="3" t="str">
        <f>IF(Raw_Data!J5155=1,Raw_Data!D5155,"")</f>
        <v/>
      </c>
    </row>
    <row r="5156" spans="1:2" x14ac:dyDescent="0.25">
      <c r="A5156" s="3">
        <f>IF(Raw_Data!J5156=0,Raw_Data!D5156,"")</f>
        <v>4760.3500000000004</v>
      </c>
      <c r="B5156" s="3" t="str">
        <f>IF(Raw_Data!J5156=1,Raw_Data!D5156,"")</f>
        <v/>
      </c>
    </row>
    <row r="5157" spans="1:2" x14ac:dyDescent="0.25">
      <c r="A5157" s="3">
        <f>IF(Raw_Data!J5157=0,Raw_Data!D5157,"")</f>
        <v>335.44</v>
      </c>
      <c r="B5157" s="3" t="str">
        <f>IF(Raw_Data!J5157=1,Raw_Data!D5157,"")</f>
        <v/>
      </c>
    </row>
    <row r="5158" spans="1:2" x14ac:dyDescent="0.25">
      <c r="A5158" s="3" t="str">
        <f>IF(Raw_Data!J5158=0,Raw_Data!D5158,"")</f>
        <v/>
      </c>
      <c r="B5158" s="3">
        <f>IF(Raw_Data!J5158=1,Raw_Data!D5158,"")</f>
        <v>587.77</v>
      </c>
    </row>
    <row r="5159" spans="1:2" x14ac:dyDescent="0.25">
      <c r="A5159" s="3">
        <f>IF(Raw_Data!J5159=0,Raw_Data!D5159,"")</f>
        <v>712.27</v>
      </c>
      <c r="B5159" s="3" t="str">
        <f>IF(Raw_Data!J5159=1,Raw_Data!D5159,"")</f>
        <v/>
      </c>
    </row>
    <row r="5160" spans="1:2" x14ac:dyDescent="0.25">
      <c r="A5160" s="3">
        <f>IF(Raw_Data!J5160=0,Raw_Data!D5160,"")</f>
        <v>3711.82</v>
      </c>
      <c r="B5160" s="3" t="str">
        <f>IF(Raw_Data!J5160=1,Raw_Data!D5160,"")</f>
        <v/>
      </c>
    </row>
    <row r="5161" spans="1:2" x14ac:dyDescent="0.25">
      <c r="A5161" s="3">
        <f>IF(Raw_Data!J5161=0,Raw_Data!D5161,"")</f>
        <v>2758.4</v>
      </c>
      <c r="B5161" s="3" t="str">
        <f>IF(Raw_Data!J5161=1,Raw_Data!D5161,"")</f>
        <v/>
      </c>
    </row>
    <row r="5162" spans="1:2" x14ac:dyDescent="0.25">
      <c r="A5162" s="3">
        <f>IF(Raw_Data!J5162=0,Raw_Data!D5162,"")</f>
        <v>3578.7</v>
      </c>
      <c r="B5162" s="3" t="str">
        <f>IF(Raw_Data!J5162=1,Raw_Data!D5162,"")</f>
        <v/>
      </c>
    </row>
    <row r="5163" spans="1:2" x14ac:dyDescent="0.25">
      <c r="A5163" s="3" t="str">
        <f>IF(Raw_Data!J5163=0,Raw_Data!D5163,"")</f>
        <v/>
      </c>
      <c r="B5163" s="3">
        <f>IF(Raw_Data!J5163=1,Raw_Data!D5163,"")</f>
        <v>4608.1099999999997</v>
      </c>
    </row>
    <row r="5164" spans="1:2" x14ac:dyDescent="0.25">
      <c r="A5164" s="3">
        <f>IF(Raw_Data!J5164=0,Raw_Data!D5164,"")</f>
        <v>1238.47</v>
      </c>
      <c r="B5164" s="3" t="str">
        <f>IF(Raw_Data!J5164=1,Raw_Data!D5164,"")</f>
        <v/>
      </c>
    </row>
    <row r="5165" spans="1:2" x14ac:dyDescent="0.25">
      <c r="A5165" s="3">
        <f>IF(Raw_Data!J5165=0,Raw_Data!D5165,"")</f>
        <v>708.68</v>
      </c>
      <c r="B5165" s="3" t="str">
        <f>IF(Raw_Data!J5165=1,Raw_Data!D5165,"")</f>
        <v/>
      </c>
    </row>
    <row r="5166" spans="1:2" x14ac:dyDescent="0.25">
      <c r="A5166" s="3">
        <f>IF(Raw_Data!J5166=0,Raw_Data!D5166,"")</f>
        <v>1757.86</v>
      </c>
      <c r="B5166" s="3" t="str">
        <f>IF(Raw_Data!J5166=1,Raw_Data!D5166,"")</f>
        <v/>
      </c>
    </row>
    <row r="5167" spans="1:2" x14ac:dyDescent="0.25">
      <c r="A5167" s="3" t="str">
        <f>IF(Raw_Data!J5167=0,Raw_Data!D5167,"")</f>
        <v/>
      </c>
      <c r="B5167" s="3">
        <f>IF(Raw_Data!J5167=1,Raw_Data!D5167,"")</f>
        <v>3178.08</v>
      </c>
    </row>
    <row r="5168" spans="1:2" x14ac:dyDescent="0.25">
      <c r="A5168" s="3">
        <f>IF(Raw_Data!J5168=0,Raw_Data!D5168,"")</f>
        <v>915.18</v>
      </c>
      <c r="B5168" s="3" t="str">
        <f>IF(Raw_Data!J5168=1,Raw_Data!D5168,"")</f>
        <v/>
      </c>
    </row>
    <row r="5169" spans="1:2" x14ac:dyDescent="0.25">
      <c r="A5169" s="3">
        <f>IF(Raw_Data!J5169=0,Raw_Data!D5169,"")</f>
        <v>4196.7299999999996</v>
      </c>
      <c r="B5169" s="3" t="str">
        <f>IF(Raw_Data!J5169=1,Raw_Data!D5169,"")</f>
        <v/>
      </c>
    </row>
    <row r="5170" spans="1:2" x14ac:dyDescent="0.25">
      <c r="A5170" s="3">
        <f>IF(Raw_Data!J5170=0,Raw_Data!D5170,"")</f>
        <v>6382.2</v>
      </c>
      <c r="B5170" s="3" t="str">
        <f>IF(Raw_Data!J5170=1,Raw_Data!D5170,"")</f>
        <v/>
      </c>
    </row>
    <row r="5171" spans="1:2" x14ac:dyDescent="0.25">
      <c r="A5171" s="3">
        <f>IF(Raw_Data!J5171=0,Raw_Data!D5171,"")</f>
        <v>2450.29</v>
      </c>
      <c r="B5171" s="3" t="str">
        <f>IF(Raw_Data!J5171=1,Raw_Data!D5171,"")</f>
        <v/>
      </c>
    </row>
    <row r="5172" spans="1:2" x14ac:dyDescent="0.25">
      <c r="A5172" s="3" t="str">
        <f>IF(Raw_Data!J5172=0,Raw_Data!D5172,"")</f>
        <v/>
      </c>
      <c r="B5172" s="3">
        <f>IF(Raw_Data!J5172=1,Raw_Data!D5172,"")</f>
        <v>4615.49</v>
      </c>
    </row>
    <row r="5173" spans="1:2" x14ac:dyDescent="0.25">
      <c r="A5173" s="3">
        <f>IF(Raw_Data!J5173=0,Raw_Data!D5173,"")</f>
        <v>1854.06</v>
      </c>
      <c r="B5173" s="3" t="str">
        <f>IF(Raw_Data!J5173=1,Raw_Data!D5173,"")</f>
        <v/>
      </c>
    </row>
    <row r="5174" spans="1:2" x14ac:dyDescent="0.25">
      <c r="A5174" s="3" t="str">
        <f>IF(Raw_Data!J5174=0,Raw_Data!D5174,"")</f>
        <v/>
      </c>
      <c r="B5174" s="3">
        <f>IF(Raw_Data!J5174=1,Raw_Data!D5174,"")</f>
        <v>2587.14</v>
      </c>
    </row>
    <row r="5175" spans="1:2" x14ac:dyDescent="0.25">
      <c r="A5175" s="3">
        <f>IF(Raw_Data!J5175=0,Raw_Data!D5175,"")</f>
        <v>3877.67</v>
      </c>
      <c r="B5175" s="3" t="str">
        <f>IF(Raw_Data!J5175=1,Raw_Data!D5175,"")</f>
        <v/>
      </c>
    </row>
    <row r="5176" spans="1:2" x14ac:dyDescent="0.25">
      <c r="A5176" s="3">
        <f>IF(Raw_Data!J5176=0,Raw_Data!D5176,"")</f>
        <v>1616.24</v>
      </c>
      <c r="B5176" s="3" t="str">
        <f>IF(Raw_Data!J5176=1,Raw_Data!D5176,"")</f>
        <v/>
      </c>
    </row>
    <row r="5177" spans="1:2" x14ac:dyDescent="0.25">
      <c r="A5177" s="3">
        <f>IF(Raw_Data!J5177=0,Raw_Data!D5177,"")</f>
        <v>4911.32</v>
      </c>
      <c r="B5177" s="3" t="str">
        <f>IF(Raw_Data!J5177=1,Raw_Data!D5177,"")</f>
        <v/>
      </c>
    </row>
    <row r="5178" spans="1:2" x14ac:dyDescent="0.25">
      <c r="A5178" s="3">
        <f>IF(Raw_Data!J5178=0,Raw_Data!D5178,"")</f>
        <v>4776.49</v>
      </c>
      <c r="B5178" s="3" t="str">
        <f>IF(Raw_Data!J5178=1,Raw_Data!D5178,"")</f>
        <v/>
      </c>
    </row>
    <row r="5179" spans="1:2" x14ac:dyDescent="0.25">
      <c r="A5179" s="3">
        <f>IF(Raw_Data!J5179=0,Raw_Data!D5179,"")</f>
        <v>1927.8</v>
      </c>
      <c r="B5179" s="3" t="str">
        <f>IF(Raw_Data!J5179=1,Raw_Data!D5179,"")</f>
        <v/>
      </c>
    </row>
    <row r="5180" spans="1:2" x14ac:dyDescent="0.25">
      <c r="A5180" s="3">
        <f>IF(Raw_Data!J5180=0,Raw_Data!D5180,"")</f>
        <v>2204.64</v>
      </c>
      <c r="B5180" s="3" t="str">
        <f>IF(Raw_Data!J5180=1,Raw_Data!D5180,"")</f>
        <v/>
      </c>
    </row>
    <row r="5181" spans="1:2" x14ac:dyDescent="0.25">
      <c r="A5181" s="3">
        <f>IF(Raw_Data!J5181=0,Raw_Data!D5181,"")</f>
        <v>2612.3200000000002</v>
      </c>
      <c r="B5181" s="3" t="str">
        <f>IF(Raw_Data!J5181=1,Raw_Data!D5181,"")</f>
        <v/>
      </c>
    </row>
    <row r="5182" spans="1:2" x14ac:dyDescent="0.25">
      <c r="A5182" s="3">
        <f>IF(Raw_Data!J5182=0,Raw_Data!D5182,"")</f>
        <v>1323.76</v>
      </c>
      <c r="B5182" s="3" t="str">
        <f>IF(Raw_Data!J5182=1,Raw_Data!D5182,"")</f>
        <v/>
      </c>
    </row>
    <row r="5183" spans="1:2" x14ac:dyDescent="0.25">
      <c r="A5183" s="3">
        <f>IF(Raw_Data!J5183=0,Raw_Data!D5183,"")</f>
        <v>1293.94</v>
      </c>
      <c r="B5183" s="3" t="str">
        <f>IF(Raw_Data!J5183=1,Raw_Data!D5183,"")</f>
        <v/>
      </c>
    </row>
    <row r="5184" spans="1:2" x14ac:dyDescent="0.25">
      <c r="A5184" s="3">
        <f>IF(Raw_Data!J5184=0,Raw_Data!D5184,"")</f>
        <v>1793.51</v>
      </c>
      <c r="B5184" s="3" t="str">
        <f>IF(Raw_Data!J5184=1,Raw_Data!D5184,"")</f>
        <v/>
      </c>
    </row>
    <row r="5185" spans="1:2" x14ac:dyDescent="0.25">
      <c r="A5185" s="3">
        <f>IF(Raw_Data!J5185=0,Raw_Data!D5185,"")</f>
        <v>1445.73</v>
      </c>
      <c r="B5185" s="3" t="str">
        <f>IF(Raw_Data!J5185=1,Raw_Data!D5185,"")</f>
        <v/>
      </c>
    </row>
    <row r="5186" spans="1:2" x14ac:dyDescent="0.25">
      <c r="A5186" s="3">
        <f>IF(Raw_Data!J5186=0,Raw_Data!D5186,"")</f>
        <v>4393.57</v>
      </c>
      <c r="B5186" s="3" t="str">
        <f>IF(Raw_Data!J5186=1,Raw_Data!D5186,"")</f>
        <v/>
      </c>
    </row>
    <row r="5187" spans="1:2" x14ac:dyDescent="0.25">
      <c r="A5187" s="3">
        <f>IF(Raw_Data!J5187=0,Raw_Data!D5187,"")</f>
        <v>635.38</v>
      </c>
      <c r="B5187" s="3" t="str">
        <f>IF(Raw_Data!J5187=1,Raw_Data!D5187,"")</f>
        <v/>
      </c>
    </row>
    <row r="5188" spans="1:2" x14ac:dyDescent="0.25">
      <c r="A5188" s="3">
        <f>IF(Raw_Data!J5188=0,Raw_Data!D5188,"")</f>
        <v>868.71</v>
      </c>
      <c r="B5188" s="3" t="str">
        <f>IF(Raw_Data!J5188=1,Raw_Data!D5188,"")</f>
        <v/>
      </c>
    </row>
    <row r="5189" spans="1:2" x14ac:dyDescent="0.25">
      <c r="A5189" s="3">
        <f>IF(Raw_Data!J5189=0,Raw_Data!D5189,"")</f>
        <v>1815.36</v>
      </c>
      <c r="B5189" s="3" t="str">
        <f>IF(Raw_Data!J5189=1,Raw_Data!D5189,"")</f>
        <v/>
      </c>
    </row>
    <row r="5190" spans="1:2" x14ac:dyDescent="0.25">
      <c r="A5190" s="3">
        <f>IF(Raw_Data!J5190=0,Raw_Data!D5190,"")</f>
        <v>2195.63</v>
      </c>
      <c r="B5190" s="3" t="str">
        <f>IF(Raw_Data!J5190=1,Raw_Data!D5190,"")</f>
        <v/>
      </c>
    </row>
    <row r="5191" spans="1:2" x14ac:dyDescent="0.25">
      <c r="A5191" s="3">
        <f>IF(Raw_Data!J5191=0,Raw_Data!D5191,"")</f>
        <v>1282.8499999999999</v>
      </c>
      <c r="B5191" s="3" t="str">
        <f>IF(Raw_Data!J5191=1,Raw_Data!D5191,"")</f>
        <v/>
      </c>
    </row>
    <row r="5192" spans="1:2" x14ac:dyDescent="0.25">
      <c r="A5192" s="3" t="str">
        <f>IF(Raw_Data!J5192=0,Raw_Data!D5192,"")</f>
        <v/>
      </c>
      <c r="B5192" s="3">
        <f>IF(Raw_Data!J5192=1,Raw_Data!D5192,"")</f>
        <v>1875.75</v>
      </c>
    </row>
    <row r="5193" spans="1:2" x14ac:dyDescent="0.25">
      <c r="A5193" s="3">
        <f>IF(Raw_Data!J5193=0,Raw_Data!D5193,"")</f>
        <v>2069.59</v>
      </c>
      <c r="B5193" s="3" t="str">
        <f>IF(Raw_Data!J5193=1,Raw_Data!D5193,"")</f>
        <v/>
      </c>
    </row>
    <row r="5194" spans="1:2" x14ac:dyDescent="0.25">
      <c r="A5194" s="3">
        <f>IF(Raw_Data!J5194=0,Raw_Data!D5194,"")</f>
        <v>4094.64</v>
      </c>
      <c r="B5194" s="3" t="str">
        <f>IF(Raw_Data!J5194=1,Raw_Data!D5194,"")</f>
        <v/>
      </c>
    </row>
    <row r="5195" spans="1:2" x14ac:dyDescent="0.25">
      <c r="A5195" s="3" t="str">
        <f>IF(Raw_Data!J5195=0,Raw_Data!D5195,"")</f>
        <v/>
      </c>
      <c r="B5195" s="3">
        <f>IF(Raw_Data!J5195=1,Raw_Data!D5195,"")</f>
        <v>2131.7800000000002</v>
      </c>
    </row>
    <row r="5196" spans="1:2" x14ac:dyDescent="0.25">
      <c r="A5196" s="3">
        <f>IF(Raw_Data!J5196=0,Raw_Data!D5196,"")</f>
        <v>5517.42</v>
      </c>
      <c r="B5196" s="3" t="str">
        <f>IF(Raw_Data!J5196=1,Raw_Data!D5196,"")</f>
        <v/>
      </c>
    </row>
    <row r="5197" spans="1:2" x14ac:dyDescent="0.25">
      <c r="A5197" s="3">
        <f>IF(Raw_Data!J5197=0,Raw_Data!D5197,"")</f>
        <v>4203.87</v>
      </c>
      <c r="B5197" s="3" t="str">
        <f>IF(Raw_Data!J5197=1,Raw_Data!D5197,"")</f>
        <v/>
      </c>
    </row>
    <row r="5198" spans="1:2" x14ac:dyDescent="0.25">
      <c r="A5198" s="3">
        <f>IF(Raw_Data!J5198=0,Raw_Data!D5198,"")</f>
        <v>476.11</v>
      </c>
      <c r="B5198" s="3" t="str">
        <f>IF(Raw_Data!J5198=1,Raw_Data!D5198,"")</f>
        <v/>
      </c>
    </row>
    <row r="5199" spans="1:2" x14ac:dyDescent="0.25">
      <c r="A5199" s="3">
        <f>IF(Raw_Data!J5199=0,Raw_Data!D5199,"")</f>
        <v>3987.19</v>
      </c>
      <c r="B5199" s="3" t="str">
        <f>IF(Raw_Data!J5199=1,Raw_Data!D5199,"")</f>
        <v/>
      </c>
    </row>
    <row r="5200" spans="1:2" x14ac:dyDescent="0.25">
      <c r="A5200" s="3">
        <f>IF(Raw_Data!J5200=0,Raw_Data!D5200,"")</f>
        <v>3501.12</v>
      </c>
      <c r="B5200" s="3" t="str">
        <f>IF(Raw_Data!J5200=1,Raw_Data!D5200,"")</f>
        <v/>
      </c>
    </row>
    <row r="5201" spans="1:2" x14ac:dyDescent="0.25">
      <c r="A5201" s="3">
        <f>IF(Raw_Data!J5201=0,Raw_Data!D5201,"")</f>
        <v>1123.78</v>
      </c>
      <c r="B5201" s="3" t="str">
        <f>IF(Raw_Data!J5201=1,Raw_Data!D5201,"")</f>
        <v/>
      </c>
    </row>
    <row r="5202" spans="1:2" x14ac:dyDescent="0.25">
      <c r="A5202" s="3">
        <f>IF(Raw_Data!J5202=0,Raw_Data!D5202,"")</f>
        <v>4410.33</v>
      </c>
      <c r="B5202" s="3" t="str">
        <f>IF(Raw_Data!J5202=1,Raw_Data!D5202,"")</f>
        <v/>
      </c>
    </row>
    <row r="5203" spans="1:2" x14ac:dyDescent="0.25">
      <c r="A5203" s="3">
        <f>IF(Raw_Data!J5203=0,Raw_Data!D5203,"")</f>
        <v>6393.39</v>
      </c>
      <c r="B5203" s="3" t="str">
        <f>IF(Raw_Data!J5203=1,Raw_Data!D5203,"")</f>
        <v/>
      </c>
    </row>
    <row r="5204" spans="1:2" x14ac:dyDescent="0.25">
      <c r="A5204" s="3">
        <f>IF(Raw_Data!J5204=0,Raw_Data!D5204,"")</f>
        <v>5598.35</v>
      </c>
      <c r="B5204" s="3" t="str">
        <f>IF(Raw_Data!J5204=1,Raw_Data!D5204,"")</f>
        <v/>
      </c>
    </row>
    <row r="5205" spans="1:2" x14ac:dyDescent="0.25">
      <c r="A5205" s="3">
        <f>IF(Raw_Data!J5205=0,Raw_Data!D5205,"")</f>
        <v>2618.31</v>
      </c>
      <c r="B5205" s="3" t="str">
        <f>IF(Raw_Data!J5205=1,Raw_Data!D5205,"")</f>
        <v/>
      </c>
    </row>
    <row r="5206" spans="1:2" x14ac:dyDescent="0.25">
      <c r="A5206" s="3">
        <f>IF(Raw_Data!J5206=0,Raw_Data!D5206,"")</f>
        <v>555.99</v>
      </c>
      <c r="B5206" s="3" t="str">
        <f>IF(Raw_Data!J5206=1,Raw_Data!D5206,"")</f>
        <v/>
      </c>
    </row>
    <row r="5207" spans="1:2" x14ac:dyDescent="0.25">
      <c r="A5207" s="3">
        <f>IF(Raw_Data!J5207=0,Raw_Data!D5207,"")</f>
        <v>1696.88</v>
      </c>
      <c r="B5207" s="3" t="str">
        <f>IF(Raw_Data!J5207=1,Raw_Data!D5207,"")</f>
        <v/>
      </c>
    </row>
    <row r="5208" spans="1:2" x14ac:dyDescent="0.25">
      <c r="A5208" s="3" t="str">
        <f>IF(Raw_Data!J5208=0,Raw_Data!D5208,"")</f>
        <v/>
      </c>
      <c r="B5208" s="3">
        <f>IF(Raw_Data!J5208=1,Raw_Data!D5208,"")</f>
        <v>2544.7399999999998</v>
      </c>
    </row>
    <row r="5209" spans="1:2" x14ac:dyDescent="0.25">
      <c r="A5209" s="3">
        <f>IF(Raw_Data!J5209=0,Raw_Data!D5209,"")</f>
        <v>4566.72</v>
      </c>
      <c r="B5209" s="3" t="str">
        <f>IF(Raw_Data!J5209=1,Raw_Data!D5209,"")</f>
        <v/>
      </c>
    </row>
    <row r="5210" spans="1:2" x14ac:dyDescent="0.25">
      <c r="A5210" s="3">
        <f>IF(Raw_Data!J5210=0,Raw_Data!D5210,"")</f>
        <v>785.63</v>
      </c>
      <c r="B5210" s="3" t="str">
        <f>IF(Raw_Data!J5210=1,Raw_Data!D5210,"")</f>
        <v/>
      </c>
    </row>
    <row r="5211" spans="1:2" x14ac:dyDescent="0.25">
      <c r="A5211" s="3">
        <f>IF(Raw_Data!J5211=0,Raw_Data!D5211,"")</f>
        <v>2556.8000000000002</v>
      </c>
      <c r="B5211" s="3" t="str">
        <f>IF(Raw_Data!J5211=1,Raw_Data!D5211,"")</f>
        <v/>
      </c>
    </row>
    <row r="5212" spans="1:2" x14ac:dyDescent="0.25">
      <c r="A5212" s="3" t="str">
        <f>IF(Raw_Data!J5212=0,Raw_Data!D5212,"")</f>
        <v/>
      </c>
      <c r="B5212" s="3">
        <f>IF(Raw_Data!J5212=1,Raw_Data!D5212,"")</f>
        <v>1217.26</v>
      </c>
    </row>
    <row r="5213" spans="1:2" x14ac:dyDescent="0.25">
      <c r="A5213" s="3">
        <f>IF(Raw_Data!J5213=0,Raw_Data!D5213,"")</f>
        <v>2216.58</v>
      </c>
      <c r="B5213" s="3" t="str">
        <f>IF(Raw_Data!J5213=1,Raw_Data!D5213,"")</f>
        <v/>
      </c>
    </row>
    <row r="5214" spans="1:2" x14ac:dyDescent="0.25">
      <c r="A5214" s="3">
        <f>IF(Raw_Data!J5214=0,Raw_Data!D5214,"")</f>
        <v>1811.55</v>
      </c>
      <c r="B5214" s="3" t="str">
        <f>IF(Raw_Data!J5214=1,Raw_Data!D5214,"")</f>
        <v/>
      </c>
    </row>
    <row r="5215" spans="1:2" x14ac:dyDescent="0.25">
      <c r="A5215" s="3">
        <f>IF(Raw_Data!J5215=0,Raw_Data!D5215,"")</f>
        <v>1531.67</v>
      </c>
      <c r="B5215" s="3" t="str">
        <f>IF(Raw_Data!J5215=1,Raw_Data!D5215,"")</f>
        <v/>
      </c>
    </row>
    <row r="5216" spans="1:2" x14ac:dyDescent="0.25">
      <c r="A5216" s="3">
        <f>IF(Raw_Data!J5216=0,Raw_Data!D5216,"")</f>
        <v>1653.78</v>
      </c>
      <c r="B5216" s="3" t="str">
        <f>IF(Raw_Data!J5216=1,Raw_Data!D5216,"")</f>
        <v/>
      </c>
    </row>
    <row r="5217" spans="1:2" x14ac:dyDescent="0.25">
      <c r="A5217" s="3">
        <f>IF(Raw_Data!J5217=0,Raw_Data!D5217,"")</f>
        <v>1474.56</v>
      </c>
      <c r="B5217" s="3" t="str">
        <f>IF(Raw_Data!J5217=1,Raw_Data!D5217,"")</f>
        <v/>
      </c>
    </row>
    <row r="5218" spans="1:2" x14ac:dyDescent="0.25">
      <c r="A5218" s="3">
        <f>IF(Raw_Data!J5218=0,Raw_Data!D5218,"")</f>
        <v>1749.87</v>
      </c>
      <c r="B5218" s="3" t="str">
        <f>IF(Raw_Data!J5218=1,Raw_Data!D5218,"")</f>
        <v/>
      </c>
    </row>
    <row r="5219" spans="1:2" x14ac:dyDescent="0.25">
      <c r="A5219" s="3">
        <f>IF(Raw_Data!J5219=0,Raw_Data!D5219,"")</f>
        <v>3396.23</v>
      </c>
      <c r="B5219" s="3" t="str">
        <f>IF(Raw_Data!J5219=1,Raw_Data!D5219,"")</f>
        <v/>
      </c>
    </row>
    <row r="5220" spans="1:2" x14ac:dyDescent="0.25">
      <c r="A5220" s="3">
        <f>IF(Raw_Data!J5220=0,Raw_Data!D5220,"")</f>
        <v>435.34</v>
      </c>
      <c r="B5220" s="3" t="str">
        <f>IF(Raw_Data!J5220=1,Raw_Data!D5220,"")</f>
        <v/>
      </c>
    </row>
    <row r="5221" spans="1:2" x14ac:dyDescent="0.25">
      <c r="A5221" s="3">
        <f>IF(Raw_Data!J5221=0,Raw_Data!D5221,"")</f>
        <v>1200.55</v>
      </c>
      <c r="B5221" s="3" t="str">
        <f>IF(Raw_Data!J5221=1,Raw_Data!D5221,"")</f>
        <v/>
      </c>
    </row>
    <row r="5222" spans="1:2" x14ac:dyDescent="0.25">
      <c r="A5222" s="3" t="str">
        <f>IF(Raw_Data!J5222=0,Raw_Data!D5222,"")</f>
        <v/>
      </c>
      <c r="B5222" s="3">
        <f>IF(Raw_Data!J5222=1,Raw_Data!D5222,"")</f>
        <v>1715.91</v>
      </c>
    </row>
    <row r="5223" spans="1:2" x14ac:dyDescent="0.25">
      <c r="A5223" s="3" t="str">
        <f>IF(Raw_Data!J5223=0,Raw_Data!D5223,"")</f>
        <v/>
      </c>
      <c r="B5223" s="3">
        <f>IF(Raw_Data!J5223=1,Raw_Data!D5223,"")</f>
        <v>2572.2600000000002</v>
      </c>
    </row>
    <row r="5224" spans="1:2" x14ac:dyDescent="0.25">
      <c r="A5224" s="3">
        <f>IF(Raw_Data!J5224=0,Raw_Data!D5224,"")</f>
        <v>1876.07</v>
      </c>
      <c r="B5224" s="3" t="str">
        <f>IF(Raw_Data!J5224=1,Raw_Data!D5224,"")</f>
        <v/>
      </c>
    </row>
    <row r="5225" spans="1:2" x14ac:dyDescent="0.25">
      <c r="A5225" s="3" t="str">
        <f>IF(Raw_Data!J5225=0,Raw_Data!D5225,"")</f>
        <v/>
      </c>
      <c r="B5225" s="3">
        <f>IF(Raw_Data!J5225=1,Raw_Data!D5225,"")</f>
        <v>1232.98</v>
      </c>
    </row>
    <row r="5226" spans="1:2" x14ac:dyDescent="0.25">
      <c r="A5226" s="3" t="str">
        <f>IF(Raw_Data!J5226=0,Raw_Data!D5226,"")</f>
        <v/>
      </c>
      <c r="B5226" s="3">
        <f>IF(Raw_Data!J5226=1,Raw_Data!D5226,"")</f>
        <v>3558.48</v>
      </c>
    </row>
    <row r="5227" spans="1:2" x14ac:dyDescent="0.25">
      <c r="A5227" s="3">
        <f>IF(Raw_Data!J5227=0,Raw_Data!D5227,"")</f>
        <v>2557.2199999999998</v>
      </c>
      <c r="B5227" s="3" t="str">
        <f>IF(Raw_Data!J5227=1,Raw_Data!D5227,"")</f>
        <v/>
      </c>
    </row>
    <row r="5228" spans="1:2" x14ac:dyDescent="0.25">
      <c r="A5228" s="3">
        <f>IF(Raw_Data!J5228=0,Raw_Data!D5228,"")</f>
        <v>3031.62</v>
      </c>
      <c r="B5228" s="3" t="str">
        <f>IF(Raw_Data!J5228=1,Raw_Data!D5228,"")</f>
        <v/>
      </c>
    </row>
    <row r="5229" spans="1:2" x14ac:dyDescent="0.25">
      <c r="A5229" s="3">
        <f>IF(Raw_Data!J5229=0,Raw_Data!D5229,"")</f>
        <v>392.99</v>
      </c>
      <c r="B5229" s="3" t="str">
        <f>IF(Raw_Data!J5229=1,Raw_Data!D5229,"")</f>
        <v/>
      </c>
    </row>
    <row r="5230" spans="1:2" x14ac:dyDescent="0.25">
      <c r="A5230" s="3">
        <f>IF(Raw_Data!J5230=0,Raw_Data!D5230,"")</f>
        <v>5492.61</v>
      </c>
      <c r="B5230" s="3" t="str">
        <f>IF(Raw_Data!J5230=1,Raw_Data!D5230,"")</f>
        <v/>
      </c>
    </row>
    <row r="5231" spans="1:2" x14ac:dyDescent="0.25">
      <c r="A5231" s="3">
        <f>IF(Raw_Data!J5231=0,Raw_Data!D5231,"")</f>
        <v>1031.5</v>
      </c>
      <c r="B5231" s="3" t="str">
        <f>IF(Raw_Data!J5231=1,Raw_Data!D5231,"")</f>
        <v/>
      </c>
    </row>
    <row r="5232" spans="1:2" x14ac:dyDescent="0.25">
      <c r="A5232" s="3">
        <f>IF(Raw_Data!J5232=0,Raw_Data!D5232,"")</f>
        <v>5365.4</v>
      </c>
      <c r="B5232" s="3" t="str">
        <f>IF(Raw_Data!J5232=1,Raw_Data!D5232,"")</f>
        <v/>
      </c>
    </row>
    <row r="5233" spans="1:2" x14ac:dyDescent="0.25">
      <c r="A5233" s="3">
        <f>IF(Raw_Data!J5233=0,Raw_Data!D5233,"")</f>
        <v>2707.35</v>
      </c>
      <c r="B5233" s="3" t="str">
        <f>IF(Raw_Data!J5233=1,Raw_Data!D5233,"")</f>
        <v/>
      </c>
    </row>
    <row r="5234" spans="1:2" x14ac:dyDescent="0.25">
      <c r="A5234" s="3">
        <f>IF(Raw_Data!J5234=0,Raw_Data!D5234,"")</f>
        <v>1700.51</v>
      </c>
      <c r="B5234" s="3" t="str">
        <f>IF(Raw_Data!J5234=1,Raw_Data!D5234,"")</f>
        <v/>
      </c>
    </row>
    <row r="5235" spans="1:2" x14ac:dyDescent="0.25">
      <c r="A5235" s="3" t="str">
        <f>IF(Raw_Data!J5235=0,Raw_Data!D5235,"")</f>
        <v/>
      </c>
      <c r="B5235" s="3">
        <f>IF(Raw_Data!J5235=1,Raw_Data!D5235,"")</f>
        <v>1241</v>
      </c>
    </row>
    <row r="5236" spans="1:2" x14ac:dyDescent="0.25">
      <c r="A5236" s="3">
        <f>IF(Raw_Data!J5236=0,Raw_Data!D5236,"")</f>
        <v>2289.4499999999998</v>
      </c>
      <c r="B5236" s="3" t="str">
        <f>IF(Raw_Data!J5236=1,Raw_Data!D5236,"")</f>
        <v/>
      </c>
    </row>
    <row r="5237" spans="1:2" x14ac:dyDescent="0.25">
      <c r="A5237" s="3" t="str">
        <f>IF(Raw_Data!J5237=0,Raw_Data!D5237,"")</f>
        <v/>
      </c>
      <c r="B5237" s="3">
        <f>IF(Raw_Data!J5237=1,Raw_Data!D5237,"")</f>
        <v>1754.68</v>
      </c>
    </row>
    <row r="5238" spans="1:2" x14ac:dyDescent="0.25">
      <c r="A5238" s="3">
        <f>IF(Raw_Data!J5238=0,Raw_Data!D5238,"")</f>
        <v>1602.2</v>
      </c>
      <c r="B5238" s="3" t="str">
        <f>IF(Raw_Data!J5238=1,Raw_Data!D5238,"")</f>
        <v/>
      </c>
    </row>
    <row r="5239" spans="1:2" x14ac:dyDescent="0.25">
      <c r="A5239" s="3">
        <f>IF(Raw_Data!J5239=0,Raw_Data!D5239,"")</f>
        <v>1449.7</v>
      </c>
      <c r="B5239" s="3" t="str">
        <f>IF(Raw_Data!J5239=1,Raw_Data!D5239,"")</f>
        <v/>
      </c>
    </row>
    <row r="5240" spans="1:2" x14ac:dyDescent="0.25">
      <c r="A5240" s="3">
        <f>IF(Raw_Data!J5240=0,Raw_Data!D5240,"")</f>
        <v>4505.62</v>
      </c>
      <c r="B5240" s="3" t="str">
        <f>IF(Raw_Data!J5240=1,Raw_Data!D5240,"")</f>
        <v/>
      </c>
    </row>
    <row r="5241" spans="1:2" x14ac:dyDescent="0.25">
      <c r="A5241" s="3">
        <f>IF(Raw_Data!J5241=0,Raw_Data!D5241,"")</f>
        <v>2158.4299999999998</v>
      </c>
      <c r="B5241" s="3" t="str">
        <f>IF(Raw_Data!J5241=1,Raw_Data!D5241,"")</f>
        <v/>
      </c>
    </row>
    <row r="5242" spans="1:2" x14ac:dyDescent="0.25">
      <c r="A5242" s="3">
        <f>IF(Raw_Data!J5242=0,Raw_Data!D5242,"")</f>
        <v>2917.13</v>
      </c>
      <c r="B5242" s="3" t="str">
        <f>IF(Raw_Data!J5242=1,Raw_Data!D5242,"")</f>
        <v/>
      </c>
    </row>
    <row r="5243" spans="1:2" x14ac:dyDescent="0.25">
      <c r="A5243" s="3">
        <f>IF(Raw_Data!J5243=0,Raw_Data!D5243,"")</f>
        <v>4143.6499999999996</v>
      </c>
      <c r="B5243" s="3" t="str">
        <f>IF(Raw_Data!J5243=1,Raw_Data!D5243,"")</f>
        <v/>
      </c>
    </row>
    <row r="5244" spans="1:2" x14ac:dyDescent="0.25">
      <c r="A5244" s="3">
        <f>IF(Raw_Data!J5244=0,Raw_Data!D5244,"")</f>
        <v>5455.04</v>
      </c>
      <c r="B5244" s="3" t="str">
        <f>IF(Raw_Data!J5244=1,Raw_Data!D5244,"")</f>
        <v/>
      </c>
    </row>
    <row r="5245" spans="1:2" x14ac:dyDescent="0.25">
      <c r="A5245" s="3">
        <f>IF(Raw_Data!J5245=0,Raw_Data!D5245,"")</f>
        <v>855.56</v>
      </c>
      <c r="B5245" s="3" t="str">
        <f>IF(Raw_Data!J5245=1,Raw_Data!D5245,"")</f>
        <v/>
      </c>
    </row>
    <row r="5246" spans="1:2" x14ac:dyDescent="0.25">
      <c r="A5246" s="3">
        <f>IF(Raw_Data!J5246=0,Raw_Data!D5246,"")</f>
        <v>1933.98</v>
      </c>
      <c r="B5246" s="3" t="str">
        <f>IF(Raw_Data!J5246=1,Raw_Data!D5246,"")</f>
        <v/>
      </c>
    </row>
    <row r="5247" spans="1:2" x14ac:dyDescent="0.25">
      <c r="A5247" s="3">
        <f>IF(Raw_Data!J5247=0,Raw_Data!D5247,"")</f>
        <v>2659.11</v>
      </c>
      <c r="B5247" s="3" t="str">
        <f>IF(Raw_Data!J5247=1,Raw_Data!D5247,"")</f>
        <v/>
      </c>
    </row>
    <row r="5248" spans="1:2" x14ac:dyDescent="0.25">
      <c r="A5248" s="3">
        <f>IF(Raw_Data!J5248=0,Raw_Data!D5248,"")</f>
        <v>1602.81</v>
      </c>
      <c r="B5248" s="3" t="str">
        <f>IF(Raw_Data!J5248=1,Raw_Data!D5248,"")</f>
        <v/>
      </c>
    </row>
    <row r="5249" spans="1:2" x14ac:dyDescent="0.25">
      <c r="A5249" s="3" t="str">
        <f>IF(Raw_Data!J5249=0,Raw_Data!D5249,"")</f>
        <v/>
      </c>
      <c r="B5249" s="3">
        <f>IF(Raw_Data!J5249=1,Raw_Data!D5249,"")</f>
        <v>1177.74</v>
      </c>
    </row>
    <row r="5250" spans="1:2" x14ac:dyDescent="0.25">
      <c r="A5250" s="3">
        <f>IF(Raw_Data!J5250=0,Raw_Data!D5250,"")</f>
        <v>2933.47</v>
      </c>
      <c r="B5250" s="3" t="str">
        <f>IF(Raw_Data!J5250=1,Raw_Data!D5250,"")</f>
        <v/>
      </c>
    </row>
    <row r="5251" spans="1:2" x14ac:dyDescent="0.25">
      <c r="A5251" s="3">
        <f>IF(Raw_Data!J5251=0,Raw_Data!D5251,"")</f>
        <v>2664.36</v>
      </c>
      <c r="B5251" s="3" t="str">
        <f>IF(Raw_Data!J5251=1,Raw_Data!D5251,"")</f>
        <v/>
      </c>
    </row>
    <row r="5252" spans="1:2" x14ac:dyDescent="0.25">
      <c r="A5252" s="3" t="str">
        <f>IF(Raw_Data!J5252=0,Raw_Data!D5252,"")</f>
        <v/>
      </c>
      <c r="B5252" s="3">
        <f>IF(Raw_Data!J5252=1,Raw_Data!D5252,"")</f>
        <v>3410.16</v>
      </c>
    </row>
    <row r="5253" spans="1:2" x14ac:dyDescent="0.25">
      <c r="A5253" s="3">
        <f>IF(Raw_Data!J5253=0,Raw_Data!D5253,"")</f>
        <v>992.57</v>
      </c>
      <c r="B5253" s="3" t="str">
        <f>IF(Raw_Data!J5253=1,Raw_Data!D5253,"")</f>
        <v/>
      </c>
    </row>
    <row r="5254" spans="1:2" x14ac:dyDescent="0.25">
      <c r="A5254" s="3">
        <f>IF(Raw_Data!J5254=0,Raw_Data!D5254,"")</f>
        <v>1325.7</v>
      </c>
      <c r="B5254" s="3" t="str">
        <f>IF(Raw_Data!J5254=1,Raw_Data!D5254,"")</f>
        <v/>
      </c>
    </row>
    <row r="5255" spans="1:2" x14ac:dyDescent="0.25">
      <c r="A5255" s="3">
        <f>IF(Raw_Data!J5255=0,Raw_Data!D5255,"")</f>
        <v>4827.4799999999996</v>
      </c>
      <c r="B5255" s="3" t="str">
        <f>IF(Raw_Data!J5255=1,Raw_Data!D5255,"")</f>
        <v/>
      </c>
    </row>
    <row r="5256" spans="1:2" x14ac:dyDescent="0.25">
      <c r="A5256" s="3">
        <f>IF(Raw_Data!J5256=0,Raw_Data!D5256,"")</f>
        <v>554.5</v>
      </c>
      <c r="B5256" s="3" t="str">
        <f>IF(Raw_Data!J5256=1,Raw_Data!D5256,"")</f>
        <v/>
      </c>
    </row>
    <row r="5257" spans="1:2" x14ac:dyDescent="0.25">
      <c r="A5257" s="3">
        <f>IF(Raw_Data!J5257=0,Raw_Data!D5257,"")</f>
        <v>2931.79</v>
      </c>
      <c r="B5257" s="3" t="str">
        <f>IF(Raw_Data!J5257=1,Raw_Data!D5257,"")</f>
        <v/>
      </c>
    </row>
    <row r="5258" spans="1:2" x14ac:dyDescent="0.25">
      <c r="A5258" s="3">
        <f>IF(Raw_Data!J5258=0,Raw_Data!D5258,"")</f>
        <v>1007.43</v>
      </c>
      <c r="B5258" s="3" t="str">
        <f>IF(Raw_Data!J5258=1,Raw_Data!D5258,"")</f>
        <v/>
      </c>
    </row>
    <row r="5259" spans="1:2" x14ac:dyDescent="0.25">
      <c r="A5259" s="3" t="str">
        <f>IF(Raw_Data!J5259=0,Raw_Data!D5259,"")</f>
        <v/>
      </c>
      <c r="B5259" s="3">
        <f>IF(Raw_Data!J5259=1,Raw_Data!D5259,"")</f>
        <v>3059.29</v>
      </c>
    </row>
    <row r="5260" spans="1:2" x14ac:dyDescent="0.25">
      <c r="A5260" s="3">
        <f>IF(Raw_Data!J5260=0,Raw_Data!D5260,"")</f>
        <v>4241.1099999999997</v>
      </c>
      <c r="B5260" s="3" t="str">
        <f>IF(Raw_Data!J5260=1,Raw_Data!D5260,"")</f>
        <v/>
      </c>
    </row>
    <row r="5261" spans="1:2" x14ac:dyDescent="0.25">
      <c r="A5261" s="3">
        <f>IF(Raw_Data!J5261=0,Raw_Data!D5261,"")</f>
        <v>3846.06</v>
      </c>
      <c r="B5261" s="3" t="str">
        <f>IF(Raw_Data!J5261=1,Raw_Data!D5261,"")</f>
        <v/>
      </c>
    </row>
    <row r="5262" spans="1:2" x14ac:dyDescent="0.25">
      <c r="A5262" s="3">
        <f>IF(Raw_Data!J5262=0,Raw_Data!D5262,"")</f>
        <v>1290.1400000000001</v>
      </c>
      <c r="B5262" s="3" t="str">
        <f>IF(Raw_Data!J5262=1,Raw_Data!D5262,"")</f>
        <v/>
      </c>
    </row>
    <row r="5263" spans="1:2" x14ac:dyDescent="0.25">
      <c r="A5263" s="3">
        <f>IF(Raw_Data!J5263=0,Raw_Data!D5263,"")</f>
        <v>675.39</v>
      </c>
      <c r="B5263" s="3" t="str">
        <f>IF(Raw_Data!J5263=1,Raw_Data!D5263,"")</f>
        <v/>
      </c>
    </row>
    <row r="5264" spans="1:2" x14ac:dyDescent="0.25">
      <c r="A5264" s="3">
        <f>IF(Raw_Data!J5264=0,Raw_Data!D5264,"")</f>
        <v>1824.19</v>
      </c>
      <c r="B5264" s="3" t="str">
        <f>IF(Raw_Data!J5264=1,Raw_Data!D5264,"")</f>
        <v/>
      </c>
    </row>
    <row r="5265" spans="1:2" x14ac:dyDescent="0.25">
      <c r="A5265" s="3">
        <f>IF(Raw_Data!J5265=0,Raw_Data!D5265,"")</f>
        <v>5258.72</v>
      </c>
      <c r="B5265" s="3" t="str">
        <f>IF(Raw_Data!J5265=1,Raw_Data!D5265,"")</f>
        <v/>
      </c>
    </row>
    <row r="5266" spans="1:2" x14ac:dyDescent="0.25">
      <c r="A5266" s="3" t="str">
        <f>IF(Raw_Data!J5266=0,Raw_Data!D5266,"")</f>
        <v/>
      </c>
      <c r="B5266" s="3">
        <f>IF(Raw_Data!J5266=1,Raw_Data!D5266,"")</f>
        <v>2730.51</v>
      </c>
    </row>
    <row r="5267" spans="1:2" x14ac:dyDescent="0.25">
      <c r="A5267" s="3" t="str">
        <f>IF(Raw_Data!J5267=0,Raw_Data!D5267,"")</f>
        <v/>
      </c>
      <c r="B5267" s="3">
        <f>IF(Raw_Data!J5267=1,Raw_Data!D5267,"")</f>
        <v>2968.37</v>
      </c>
    </row>
    <row r="5268" spans="1:2" x14ac:dyDescent="0.25">
      <c r="A5268" s="3">
        <f>IF(Raw_Data!J5268=0,Raw_Data!D5268,"")</f>
        <v>7722.07</v>
      </c>
      <c r="B5268" s="3" t="str">
        <f>IF(Raw_Data!J5268=1,Raw_Data!D5268,"")</f>
        <v/>
      </c>
    </row>
    <row r="5269" spans="1:2" x14ac:dyDescent="0.25">
      <c r="A5269" s="3">
        <f>IF(Raw_Data!J5269=0,Raw_Data!D5269,"")</f>
        <v>1759.54</v>
      </c>
      <c r="B5269" s="3" t="str">
        <f>IF(Raw_Data!J5269=1,Raw_Data!D5269,"")</f>
        <v/>
      </c>
    </row>
    <row r="5270" spans="1:2" x14ac:dyDescent="0.25">
      <c r="A5270" s="3" t="str">
        <f>IF(Raw_Data!J5270=0,Raw_Data!D5270,"")</f>
        <v/>
      </c>
      <c r="B5270" s="3">
        <f>IF(Raw_Data!J5270=1,Raw_Data!D5270,"")</f>
        <v>1174.76</v>
      </c>
    </row>
    <row r="5271" spans="1:2" x14ac:dyDescent="0.25">
      <c r="A5271" s="3" t="str">
        <f>IF(Raw_Data!J5271=0,Raw_Data!D5271,"")</f>
        <v/>
      </c>
      <c r="B5271" s="3">
        <f>IF(Raw_Data!J5271=1,Raw_Data!D5271,"")</f>
        <v>5753.42</v>
      </c>
    </row>
    <row r="5272" spans="1:2" x14ac:dyDescent="0.25">
      <c r="A5272" s="3">
        <f>IF(Raw_Data!J5272=0,Raw_Data!D5272,"")</f>
        <v>1228.5999999999999</v>
      </c>
      <c r="B5272" s="3" t="str">
        <f>IF(Raw_Data!J5272=1,Raw_Data!D5272,"")</f>
        <v/>
      </c>
    </row>
    <row r="5273" spans="1:2" x14ac:dyDescent="0.25">
      <c r="A5273" s="3" t="str">
        <f>IF(Raw_Data!J5273=0,Raw_Data!D5273,"")</f>
        <v/>
      </c>
      <c r="B5273" s="3">
        <f>IF(Raw_Data!J5273=1,Raw_Data!D5273,"")</f>
        <v>3095.7</v>
      </c>
    </row>
    <row r="5274" spans="1:2" x14ac:dyDescent="0.25">
      <c r="A5274" s="3">
        <f>IF(Raw_Data!J5274=0,Raw_Data!D5274,"")</f>
        <v>3711.33</v>
      </c>
      <c r="B5274" s="3" t="str">
        <f>IF(Raw_Data!J5274=1,Raw_Data!D5274,"")</f>
        <v/>
      </c>
    </row>
    <row r="5275" spans="1:2" x14ac:dyDescent="0.25">
      <c r="A5275" s="3">
        <f>IF(Raw_Data!J5275=0,Raw_Data!D5275,"")</f>
        <v>2993.42</v>
      </c>
      <c r="B5275" s="3" t="str">
        <f>IF(Raw_Data!J5275=1,Raw_Data!D5275,"")</f>
        <v/>
      </c>
    </row>
    <row r="5276" spans="1:2" x14ac:dyDescent="0.25">
      <c r="A5276" s="3">
        <f>IF(Raw_Data!J5276=0,Raw_Data!D5276,"")</f>
        <v>1213.95</v>
      </c>
      <c r="B5276" s="3" t="str">
        <f>IF(Raw_Data!J5276=1,Raw_Data!D5276,"")</f>
        <v/>
      </c>
    </row>
    <row r="5277" spans="1:2" x14ac:dyDescent="0.25">
      <c r="A5277" s="3">
        <f>IF(Raw_Data!J5277=0,Raw_Data!D5277,"")</f>
        <v>1754.99</v>
      </c>
      <c r="B5277" s="3" t="str">
        <f>IF(Raw_Data!J5277=1,Raw_Data!D5277,"")</f>
        <v/>
      </c>
    </row>
    <row r="5278" spans="1:2" x14ac:dyDescent="0.25">
      <c r="A5278" s="3">
        <f>IF(Raw_Data!J5278=0,Raw_Data!D5278,"")</f>
        <v>1734.91</v>
      </c>
      <c r="B5278" s="3" t="str">
        <f>IF(Raw_Data!J5278=1,Raw_Data!D5278,"")</f>
        <v/>
      </c>
    </row>
    <row r="5279" spans="1:2" x14ac:dyDescent="0.25">
      <c r="A5279" s="3" t="str">
        <f>IF(Raw_Data!J5279=0,Raw_Data!D5279,"")</f>
        <v/>
      </c>
      <c r="B5279" s="3">
        <f>IF(Raw_Data!J5279=1,Raw_Data!D5279,"")</f>
        <v>448.22</v>
      </c>
    </row>
    <row r="5280" spans="1:2" x14ac:dyDescent="0.25">
      <c r="A5280" s="3" t="str">
        <f>IF(Raw_Data!J5280=0,Raw_Data!D5280,"")</f>
        <v/>
      </c>
      <c r="B5280" s="3">
        <f>IF(Raw_Data!J5280=1,Raw_Data!D5280,"")</f>
        <v>1073.1099999999999</v>
      </c>
    </row>
    <row r="5281" spans="1:2" x14ac:dyDescent="0.25">
      <c r="A5281" s="3">
        <f>IF(Raw_Data!J5281=0,Raw_Data!D5281,"")</f>
        <v>2883.91</v>
      </c>
      <c r="B5281" s="3" t="str">
        <f>IF(Raw_Data!J5281=1,Raw_Data!D5281,"")</f>
        <v/>
      </c>
    </row>
    <row r="5282" spans="1:2" x14ac:dyDescent="0.25">
      <c r="A5282" s="3" t="str">
        <f>IF(Raw_Data!J5282=0,Raw_Data!D5282,"")</f>
        <v/>
      </c>
      <c r="B5282" s="3">
        <f>IF(Raw_Data!J5282=1,Raw_Data!D5282,"")</f>
        <v>1314.31</v>
      </c>
    </row>
    <row r="5283" spans="1:2" x14ac:dyDescent="0.25">
      <c r="A5283" s="3">
        <f>IF(Raw_Data!J5283=0,Raw_Data!D5283,"")</f>
        <v>6670.33</v>
      </c>
      <c r="B5283" s="3" t="str">
        <f>IF(Raw_Data!J5283=1,Raw_Data!D5283,"")</f>
        <v/>
      </c>
    </row>
    <row r="5284" spans="1:2" x14ac:dyDescent="0.25">
      <c r="A5284" s="3" t="str">
        <f>IF(Raw_Data!J5284=0,Raw_Data!D5284,"")</f>
        <v/>
      </c>
      <c r="B5284" s="3">
        <f>IF(Raw_Data!J5284=1,Raw_Data!D5284,"")</f>
        <v>4334.1499999999996</v>
      </c>
    </row>
    <row r="5285" spans="1:2" x14ac:dyDescent="0.25">
      <c r="A5285" s="3">
        <f>IF(Raw_Data!J5285=0,Raw_Data!D5285,"")</f>
        <v>1874.79</v>
      </c>
      <c r="B5285" s="3" t="str">
        <f>IF(Raw_Data!J5285=1,Raw_Data!D5285,"")</f>
        <v/>
      </c>
    </row>
    <row r="5286" spans="1:2" x14ac:dyDescent="0.25">
      <c r="A5286" s="3">
        <f>IF(Raw_Data!J5286=0,Raw_Data!D5286,"")</f>
        <v>747.64</v>
      </c>
      <c r="B5286" s="3" t="str">
        <f>IF(Raw_Data!J5286=1,Raw_Data!D5286,"")</f>
        <v/>
      </c>
    </row>
    <row r="5287" spans="1:2" x14ac:dyDescent="0.25">
      <c r="A5287" s="3" t="str">
        <f>IF(Raw_Data!J5287=0,Raw_Data!D5287,"")</f>
        <v/>
      </c>
      <c r="B5287" s="3">
        <f>IF(Raw_Data!J5287=1,Raw_Data!D5287,"")</f>
        <v>915.55</v>
      </c>
    </row>
    <row r="5288" spans="1:2" x14ac:dyDescent="0.25">
      <c r="A5288" s="3">
        <f>IF(Raw_Data!J5288=0,Raw_Data!D5288,"")</f>
        <v>2353.2199999999998</v>
      </c>
      <c r="B5288" s="3" t="str">
        <f>IF(Raw_Data!J5288=1,Raw_Data!D5288,"")</f>
        <v/>
      </c>
    </row>
    <row r="5289" spans="1:2" x14ac:dyDescent="0.25">
      <c r="A5289" s="3" t="str">
        <f>IF(Raw_Data!J5289=0,Raw_Data!D5289,"")</f>
        <v/>
      </c>
      <c r="B5289" s="3">
        <f>IF(Raw_Data!J5289=1,Raw_Data!D5289,"")</f>
        <v>1256.79</v>
      </c>
    </row>
    <row r="5290" spans="1:2" x14ac:dyDescent="0.25">
      <c r="A5290" s="3" t="str">
        <f>IF(Raw_Data!J5290=0,Raw_Data!D5290,"")</f>
        <v/>
      </c>
      <c r="B5290" s="3">
        <f>IF(Raw_Data!J5290=1,Raw_Data!D5290,"")</f>
        <v>1752.83</v>
      </c>
    </row>
    <row r="5291" spans="1:2" x14ac:dyDescent="0.25">
      <c r="A5291" s="3" t="str">
        <f>IF(Raw_Data!J5291=0,Raw_Data!D5291,"")</f>
        <v/>
      </c>
      <c r="B5291" s="3">
        <f>IF(Raw_Data!J5291=1,Raw_Data!D5291,"")</f>
        <v>5377.83</v>
      </c>
    </row>
    <row r="5292" spans="1:2" x14ac:dyDescent="0.25">
      <c r="A5292" s="3">
        <f>IF(Raw_Data!J5292=0,Raw_Data!D5292,"")</f>
        <v>3941.11</v>
      </c>
      <c r="B5292" s="3" t="str">
        <f>IF(Raw_Data!J5292=1,Raw_Data!D5292,"")</f>
        <v/>
      </c>
    </row>
    <row r="5293" spans="1:2" x14ac:dyDescent="0.25">
      <c r="A5293" s="3">
        <f>IF(Raw_Data!J5293=0,Raw_Data!D5293,"")</f>
        <v>277.93</v>
      </c>
      <c r="B5293" s="3" t="str">
        <f>IF(Raw_Data!J5293=1,Raw_Data!D5293,"")</f>
        <v/>
      </c>
    </row>
    <row r="5294" spans="1:2" x14ac:dyDescent="0.25">
      <c r="A5294" s="3">
        <f>IF(Raw_Data!J5294=0,Raw_Data!D5294,"")</f>
        <v>4299.68</v>
      </c>
      <c r="B5294" s="3" t="str">
        <f>IF(Raw_Data!J5294=1,Raw_Data!D5294,"")</f>
        <v/>
      </c>
    </row>
    <row r="5295" spans="1:2" x14ac:dyDescent="0.25">
      <c r="A5295" s="3">
        <f>IF(Raw_Data!J5295=0,Raw_Data!D5295,"")</f>
        <v>1936.2</v>
      </c>
      <c r="B5295" s="3" t="str">
        <f>IF(Raw_Data!J5295=1,Raw_Data!D5295,"")</f>
        <v/>
      </c>
    </row>
    <row r="5296" spans="1:2" x14ac:dyDescent="0.25">
      <c r="A5296" s="3">
        <f>IF(Raw_Data!J5296=0,Raw_Data!D5296,"")</f>
        <v>2533.7800000000002</v>
      </c>
      <c r="B5296" s="3" t="str">
        <f>IF(Raw_Data!J5296=1,Raw_Data!D5296,"")</f>
        <v/>
      </c>
    </row>
    <row r="5297" spans="1:2" x14ac:dyDescent="0.25">
      <c r="A5297" s="3">
        <f>IF(Raw_Data!J5297=0,Raw_Data!D5297,"")</f>
        <v>848.42</v>
      </c>
      <c r="B5297" s="3" t="str">
        <f>IF(Raw_Data!J5297=1,Raw_Data!D5297,"")</f>
        <v/>
      </c>
    </row>
    <row r="5298" spans="1:2" x14ac:dyDescent="0.25">
      <c r="A5298" s="3">
        <f>IF(Raw_Data!J5298=0,Raw_Data!D5298,"")</f>
        <v>651.83000000000004</v>
      </c>
      <c r="B5298" s="3" t="str">
        <f>IF(Raw_Data!J5298=1,Raw_Data!D5298,"")</f>
        <v/>
      </c>
    </row>
    <row r="5299" spans="1:2" x14ac:dyDescent="0.25">
      <c r="A5299" s="3">
        <f>IF(Raw_Data!J5299=0,Raw_Data!D5299,"")</f>
        <v>978.59</v>
      </c>
      <c r="B5299" s="3" t="str">
        <f>IF(Raw_Data!J5299=1,Raw_Data!D5299,"")</f>
        <v/>
      </c>
    </row>
    <row r="5300" spans="1:2" x14ac:dyDescent="0.25">
      <c r="A5300" s="3">
        <f>IF(Raw_Data!J5300=0,Raw_Data!D5300,"")</f>
        <v>3908.41</v>
      </c>
      <c r="B5300" s="3" t="str">
        <f>IF(Raw_Data!J5300=1,Raw_Data!D5300,"")</f>
        <v/>
      </c>
    </row>
    <row r="5301" spans="1:2" x14ac:dyDescent="0.25">
      <c r="A5301" s="3">
        <f>IF(Raw_Data!J5301=0,Raw_Data!D5301,"")</f>
        <v>1886.7</v>
      </c>
      <c r="B5301" s="3" t="str">
        <f>IF(Raw_Data!J5301=1,Raw_Data!D5301,"")</f>
        <v/>
      </c>
    </row>
    <row r="5302" spans="1:2" x14ac:dyDescent="0.25">
      <c r="A5302" s="3">
        <f>IF(Raw_Data!J5302=0,Raw_Data!D5302,"")</f>
        <v>2407.13</v>
      </c>
      <c r="B5302" s="3" t="str">
        <f>IF(Raw_Data!J5302=1,Raw_Data!D5302,"")</f>
        <v/>
      </c>
    </row>
    <row r="5303" spans="1:2" x14ac:dyDescent="0.25">
      <c r="A5303" s="3">
        <f>IF(Raw_Data!J5303=0,Raw_Data!D5303,"")</f>
        <v>2486.8000000000002</v>
      </c>
      <c r="B5303" s="3" t="str">
        <f>IF(Raw_Data!J5303=1,Raw_Data!D5303,"")</f>
        <v/>
      </c>
    </row>
    <row r="5304" spans="1:2" x14ac:dyDescent="0.25">
      <c r="A5304" s="3">
        <f>IF(Raw_Data!J5304=0,Raw_Data!D5304,"")</f>
        <v>1409.2</v>
      </c>
      <c r="B5304" s="3" t="str">
        <f>IF(Raw_Data!J5304=1,Raw_Data!D5304,"")</f>
        <v/>
      </c>
    </row>
    <row r="5305" spans="1:2" x14ac:dyDescent="0.25">
      <c r="A5305" s="3">
        <f>IF(Raw_Data!J5305=0,Raw_Data!D5305,"")</f>
        <v>2277.13</v>
      </c>
      <c r="B5305" s="3" t="str">
        <f>IF(Raw_Data!J5305=1,Raw_Data!D5305,"")</f>
        <v/>
      </c>
    </row>
    <row r="5306" spans="1:2" x14ac:dyDescent="0.25">
      <c r="A5306" s="3">
        <f>IF(Raw_Data!J5306=0,Raw_Data!D5306,"")</f>
        <v>2443.2600000000002</v>
      </c>
      <c r="B5306" s="3" t="str">
        <f>IF(Raw_Data!J5306=1,Raw_Data!D5306,"")</f>
        <v/>
      </c>
    </row>
    <row r="5307" spans="1:2" x14ac:dyDescent="0.25">
      <c r="A5307" s="3">
        <f>IF(Raw_Data!J5307=0,Raw_Data!D5307,"")</f>
        <v>878.37</v>
      </c>
      <c r="B5307" s="3" t="str">
        <f>IF(Raw_Data!J5307=1,Raw_Data!D5307,"")</f>
        <v/>
      </c>
    </row>
    <row r="5308" spans="1:2" x14ac:dyDescent="0.25">
      <c r="A5308" s="3" t="str">
        <f>IF(Raw_Data!J5308=0,Raw_Data!D5308,"")</f>
        <v/>
      </c>
      <c r="B5308" s="3">
        <f>IF(Raw_Data!J5308=1,Raw_Data!D5308,"")</f>
        <v>1366.55</v>
      </c>
    </row>
    <row r="5309" spans="1:2" x14ac:dyDescent="0.25">
      <c r="A5309" s="3">
        <f>IF(Raw_Data!J5309=0,Raw_Data!D5309,"")</f>
        <v>2948.12</v>
      </c>
      <c r="B5309" s="3" t="str">
        <f>IF(Raw_Data!J5309=1,Raw_Data!D5309,"")</f>
        <v/>
      </c>
    </row>
    <row r="5310" spans="1:2" x14ac:dyDescent="0.25">
      <c r="A5310" s="3">
        <f>IF(Raw_Data!J5310=0,Raw_Data!D5310,"")</f>
        <v>1834.7</v>
      </c>
      <c r="B5310" s="3" t="str">
        <f>IF(Raw_Data!J5310=1,Raw_Data!D5310,"")</f>
        <v/>
      </c>
    </row>
    <row r="5311" spans="1:2" x14ac:dyDescent="0.25">
      <c r="A5311" s="3">
        <f>IF(Raw_Data!J5311=0,Raw_Data!D5311,"")</f>
        <v>3894.12</v>
      </c>
      <c r="B5311" s="3" t="str">
        <f>IF(Raw_Data!J5311=1,Raw_Data!D5311,"")</f>
        <v/>
      </c>
    </row>
    <row r="5312" spans="1:2" x14ac:dyDescent="0.25">
      <c r="A5312" s="3">
        <f>IF(Raw_Data!J5312=0,Raw_Data!D5312,"")</f>
        <v>5583.9</v>
      </c>
      <c r="B5312" s="3" t="str">
        <f>IF(Raw_Data!J5312=1,Raw_Data!D5312,"")</f>
        <v/>
      </c>
    </row>
    <row r="5313" spans="1:2" x14ac:dyDescent="0.25">
      <c r="A5313" s="3" t="str">
        <f>IF(Raw_Data!J5313=0,Raw_Data!D5313,"")</f>
        <v/>
      </c>
      <c r="B5313" s="3">
        <f>IF(Raw_Data!J5313=1,Raw_Data!D5313,"")</f>
        <v>3870.7</v>
      </c>
    </row>
    <row r="5314" spans="1:2" x14ac:dyDescent="0.25">
      <c r="A5314" s="3" t="str">
        <f>IF(Raw_Data!J5314=0,Raw_Data!D5314,"")</f>
        <v/>
      </c>
      <c r="B5314" s="3">
        <f>IF(Raw_Data!J5314=1,Raw_Data!D5314,"")</f>
        <v>1444.46</v>
      </c>
    </row>
    <row r="5315" spans="1:2" x14ac:dyDescent="0.25">
      <c r="A5315" s="3" t="str">
        <f>IF(Raw_Data!J5315=0,Raw_Data!D5315,"")</f>
        <v/>
      </c>
      <c r="B5315" s="3">
        <f>IF(Raw_Data!J5315=1,Raw_Data!D5315,"")</f>
        <v>1841.98</v>
      </c>
    </row>
    <row r="5316" spans="1:2" x14ac:dyDescent="0.25">
      <c r="A5316" s="3" t="str">
        <f>IF(Raw_Data!J5316=0,Raw_Data!D5316,"")</f>
        <v/>
      </c>
      <c r="B5316" s="3">
        <f>IF(Raw_Data!J5316=1,Raw_Data!D5316,"")</f>
        <v>5243.59</v>
      </c>
    </row>
    <row r="5317" spans="1:2" x14ac:dyDescent="0.25">
      <c r="A5317" s="3">
        <f>IF(Raw_Data!J5317=0,Raw_Data!D5317,"")</f>
        <v>1044.3800000000001</v>
      </c>
      <c r="B5317" s="3" t="str">
        <f>IF(Raw_Data!J5317=1,Raw_Data!D5317,"")</f>
        <v/>
      </c>
    </row>
    <row r="5318" spans="1:2" x14ac:dyDescent="0.25">
      <c r="A5318" s="3">
        <f>IF(Raw_Data!J5318=0,Raw_Data!D5318,"")</f>
        <v>4039.82</v>
      </c>
      <c r="B5318" s="3" t="str">
        <f>IF(Raw_Data!J5318=1,Raw_Data!D5318,"")</f>
        <v/>
      </c>
    </row>
    <row r="5319" spans="1:2" x14ac:dyDescent="0.25">
      <c r="A5319" s="3" t="str">
        <f>IF(Raw_Data!J5319=0,Raw_Data!D5319,"")</f>
        <v/>
      </c>
      <c r="B5319" s="3">
        <f>IF(Raw_Data!J5319=1,Raw_Data!D5319,"")</f>
        <v>1183.7</v>
      </c>
    </row>
    <row r="5320" spans="1:2" x14ac:dyDescent="0.25">
      <c r="A5320" s="3">
        <f>IF(Raw_Data!J5320=0,Raw_Data!D5320,"")</f>
        <v>2825.42</v>
      </c>
      <c r="B5320" s="3" t="str">
        <f>IF(Raw_Data!J5320=1,Raw_Data!D5320,"")</f>
        <v/>
      </c>
    </row>
    <row r="5321" spans="1:2" x14ac:dyDescent="0.25">
      <c r="A5321" s="3">
        <f>IF(Raw_Data!J5321=0,Raw_Data!D5321,"")</f>
        <v>3151.6</v>
      </c>
      <c r="B5321" s="3" t="str">
        <f>IF(Raw_Data!J5321=1,Raw_Data!D5321,"")</f>
        <v/>
      </c>
    </row>
    <row r="5322" spans="1:2" x14ac:dyDescent="0.25">
      <c r="A5322" s="3" t="str">
        <f>IF(Raw_Data!J5322=0,Raw_Data!D5322,"")</f>
        <v/>
      </c>
      <c r="B5322" s="3">
        <f>IF(Raw_Data!J5322=1,Raw_Data!D5322,"")</f>
        <v>2248.36</v>
      </c>
    </row>
    <row r="5323" spans="1:2" x14ac:dyDescent="0.25">
      <c r="A5323" s="3">
        <f>IF(Raw_Data!J5323=0,Raw_Data!D5323,"")</f>
        <v>746.85</v>
      </c>
      <c r="B5323" s="3" t="str">
        <f>IF(Raw_Data!J5323=1,Raw_Data!D5323,"")</f>
        <v/>
      </c>
    </row>
    <row r="5324" spans="1:2" x14ac:dyDescent="0.25">
      <c r="A5324" s="3">
        <f>IF(Raw_Data!J5324=0,Raw_Data!D5324,"")</f>
        <v>4832.16</v>
      </c>
      <c r="B5324" s="3" t="str">
        <f>IF(Raw_Data!J5324=1,Raw_Data!D5324,"")</f>
        <v/>
      </c>
    </row>
    <row r="5325" spans="1:2" x14ac:dyDescent="0.25">
      <c r="A5325" s="3">
        <f>IF(Raw_Data!J5325=0,Raw_Data!D5325,"")</f>
        <v>2768.9</v>
      </c>
      <c r="B5325" s="3" t="str">
        <f>IF(Raw_Data!J5325=1,Raw_Data!D5325,"")</f>
        <v/>
      </c>
    </row>
    <row r="5326" spans="1:2" x14ac:dyDescent="0.25">
      <c r="A5326" s="3" t="str">
        <f>IF(Raw_Data!J5326=0,Raw_Data!D5326,"")</f>
        <v/>
      </c>
      <c r="B5326" s="3">
        <f>IF(Raw_Data!J5326=1,Raw_Data!D5326,"")</f>
        <v>1886.03</v>
      </c>
    </row>
    <row r="5327" spans="1:2" x14ac:dyDescent="0.25">
      <c r="A5327" s="3">
        <f>IF(Raw_Data!J5327=0,Raw_Data!D5327,"")</f>
        <v>983.91</v>
      </c>
      <c r="B5327" s="3" t="str">
        <f>IF(Raw_Data!J5327=1,Raw_Data!D5327,"")</f>
        <v/>
      </c>
    </row>
    <row r="5328" spans="1:2" x14ac:dyDescent="0.25">
      <c r="A5328" s="3">
        <f>IF(Raw_Data!J5328=0,Raw_Data!D5328,"")</f>
        <v>819.86</v>
      </c>
      <c r="B5328" s="3" t="str">
        <f>IF(Raw_Data!J5328=1,Raw_Data!D5328,"")</f>
        <v/>
      </c>
    </row>
    <row r="5329" spans="1:2" x14ac:dyDescent="0.25">
      <c r="A5329" s="3">
        <f>IF(Raw_Data!J5329=0,Raw_Data!D5329,"")</f>
        <v>678.85</v>
      </c>
      <c r="B5329" s="3" t="str">
        <f>IF(Raw_Data!J5329=1,Raw_Data!D5329,"")</f>
        <v/>
      </c>
    </row>
    <row r="5330" spans="1:2" x14ac:dyDescent="0.25">
      <c r="A5330" s="3">
        <f>IF(Raw_Data!J5330=0,Raw_Data!D5330,"")</f>
        <v>950.8</v>
      </c>
      <c r="B5330" s="3" t="str">
        <f>IF(Raw_Data!J5330=1,Raw_Data!D5330,"")</f>
        <v/>
      </c>
    </row>
    <row r="5331" spans="1:2" x14ac:dyDescent="0.25">
      <c r="A5331" s="3">
        <f>IF(Raw_Data!J5331=0,Raw_Data!D5331,"")</f>
        <v>1294.52</v>
      </c>
      <c r="B5331" s="3" t="str">
        <f>IF(Raw_Data!J5331=1,Raw_Data!D5331,"")</f>
        <v/>
      </c>
    </row>
    <row r="5332" spans="1:2" x14ac:dyDescent="0.25">
      <c r="A5332" s="3">
        <f>IF(Raw_Data!J5332=0,Raw_Data!D5332,"")</f>
        <v>4767.46</v>
      </c>
      <c r="B5332" s="3" t="str">
        <f>IF(Raw_Data!J5332=1,Raw_Data!D5332,"")</f>
        <v/>
      </c>
    </row>
    <row r="5333" spans="1:2" x14ac:dyDescent="0.25">
      <c r="A5333" s="3">
        <f>IF(Raw_Data!J5333=0,Raw_Data!D5333,"")</f>
        <v>1620.12</v>
      </c>
      <c r="B5333" s="3" t="str">
        <f>IF(Raw_Data!J5333=1,Raw_Data!D5333,"")</f>
        <v/>
      </c>
    </row>
    <row r="5334" spans="1:2" x14ac:dyDescent="0.25">
      <c r="A5334" s="3">
        <f>IF(Raw_Data!J5334=0,Raw_Data!D5334,"")</f>
        <v>2319.4</v>
      </c>
      <c r="B5334" s="3" t="str">
        <f>IF(Raw_Data!J5334=1,Raw_Data!D5334,"")</f>
        <v/>
      </c>
    </row>
    <row r="5335" spans="1:2" x14ac:dyDescent="0.25">
      <c r="A5335" s="3">
        <f>IF(Raw_Data!J5335=0,Raw_Data!D5335,"")</f>
        <v>5640.68</v>
      </c>
      <c r="B5335" s="3" t="str">
        <f>IF(Raw_Data!J5335=1,Raw_Data!D5335,"")</f>
        <v/>
      </c>
    </row>
    <row r="5336" spans="1:2" x14ac:dyDescent="0.25">
      <c r="A5336" s="3">
        <f>IF(Raw_Data!J5336=0,Raw_Data!D5336,"")</f>
        <v>6234.32</v>
      </c>
      <c r="B5336" s="3" t="str">
        <f>IF(Raw_Data!J5336=1,Raw_Data!D5336,"")</f>
        <v/>
      </c>
    </row>
    <row r="5337" spans="1:2" x14ac:dyDescent="0.25">
      <c r="A5337" s="3">
        <f>IF(Raw_Data!J5337=0,Raw_Data!D5337,"")</f>
        <v>6815.9</v>
      </c>
      <c r="B5337" s="3" t="str">
        <f>IF(Raw_Data!J5337=1,Raw_Data!D5337,"")</f>
        <v/>
      </c>
    </row>
    <row r="5338" spans="1:2" x14ac:dyDescent="0.25">
      <c r="A5338" s="3">
        <f>IF(Raw_Data!J5338=0,Raw_Data!D5338,"")</f>
        <v>1875.43</v>
      </c>
      <c r="B5338" s="3" t="str">
        <f>IF(Raw_Data!J5338=1,Raw_Data!D5338,"")</f>
        <v/>
      </c>
    </row>
    <row r="5339" spans="1:2" x14ac:dyDescent="0.25">
      <c r="A5339" s="3">
        <f>IF(Raw_Data!J5339=0,Raw_Data!D5339,"")</f>
        <v>640.95000000000005</v>
      </c>
      <c r="B5339" s="3" t="str">
        <f>IF(Raw_Data!J5339=1,Raw_Data!D5339,"")</f>
        <v/>
      </c>
    </row>
    <row r="5340" spans="1:2" x14ac:dyDescent="0.25">
      <c r="A5340" s="3">
        <f>IF(Raw_Data!J5340=0,Raw_Data!D5340,"")</f>
        <v>3573.64</v>
      </c>
      <c r="B5340" s="3" t="str">
        <f>IF(Raw_Data!J5340=1,Raw_Data!D5340,"")</f>
        <v/>
      </c>
    </row>
    <row r="5341" spans="1:2" x14ac:dyDescent="0.25">
      <c r="A5341" s="3" t="str">
        <f>IF(Raw_Data!J5341=0,Raw_Data!D5341,"")</f>
        <v/>
      </c>
      <c r="B5341" s="3">
        <f>IF(Raw_Data!J5341=1,Raw_Data!D5341,"")</f>
        <v>974.26</v>
      </c>
    </row>
    <row r="5342" spans="1:2" x14ac:dyDescent="0.25">
      <c r="A5342" s="3">
        <f>IF(Raw_Data!J5342=0,Raw_Data!D5342,"")</f>
        <v>778.3</v>
      </c>
      <c r="B5342" s="3" t="str">
        <f>IF(Raw_Data!J5342=1,Raw_Data!D5342,"")</f>
        <v/>
      </c>
    </row>
    <row r="5343" spans="1:2" x14ac:dyDescent="0.25">
      <c r="A5343" s="3">
        <f>IF(Raw_Data!J5343=0,Raw_Data!D5343,"")</f>
        <v>991.95</v>
      </c>
      <c r="B5343" s="3" t="str">
        <f>IF(Raw_Data!J5343=1,Raw_Data!D5343,"")</f>
        <v/>
      </c>
    </row>
    <row r="5344" spans="1:2" x14ac:dyDescent="0.25">
      <c r="A5344" s="3">
        <f>IF(Raw_Data!J5344=0,Raw_Data!D5344,"")</f>
        <v>5037.67</v>
      </c>
      <c r="B5344" s="3" t="str">
        <f>IF(Raw_Data!J5344=1,Raw_Data!D5344,"")</f>
        <v/>
      </c>
    </row>
    <row r="5345" spans="1:2" x14ac:dyDescent="0.25">
      <c r="A5345" s="3">
        <f>IF(Raw_Data!J5345=0,Raw_Data!D5345,"")</f>
        <v>2727.46</v>
      </c>
      <c r="B5345" s="3" t="str">
        <f>IF(Raw_Data!J5345=1,Raw_Data!D5345,"")</f>
        <v/>
      </c>
    </row>
    <row r="5346" spans="1:2" x14ac:dyDescent="0.25">
      <c r="A5346" s="3">
        <f>IF(Raw_Data!J5346=0,Raw_Data!D5346,"")</f>
        <v>2411.08</v>
      </c>
      <c r="B5346" s="3" t="str">
        <f>IF(Raw_Data!J5346=1,Raw_Data!D5346,"")</f>
        <v/>
      </c>
    </row>
    <row r="5347" spans="1:2" x14ac:dyDescent="0.25">
      <c r="A5347" s="3">
        <f>IF(Raw_Data!J5347=0,Raw_Data!D5347,"")</f>
        <v>1811.48</v>
      </c>
      <c r="B5347" s="3" t="str">
        <f>IF(Raw_Data!J5347=1,Raw_Data!D5347,"")</f>
        <v/>
      </c>
    </row>
    <row r="5348" spans="1:2" x14ac:dyDescent="0.25">
      <c r="A5348" s="3">
        <f>IF(Raw_Data!J5348=0,Raw_Data!D5348,"")</f>
        <v>467.31</v>
      </c>
      <c r="B5348" s="3" t="str">
        <f>IF(Raw_Data!J5348=1,Raw_Data!D5348,"")</f>
        <v/>
      </c>
    </row>
    <row r="5349" spans="1:2" x14ac:dyDescent="0.25">
      <c r="A5349" s="3">
        <f>IF(Raw_Data!J5349=0,Raw_Data!D5349,"")</f>
        <v>3267.26</v>
      </c>
      <c r="B5349" s="3" t="str">
        <f>IF(Raw_Data!J5349=1,Raw_Data!D5349,"")</f>
        <v/>
      </c>
    </row>
    <row r="5350" spans="1:2" x14ac:dyDescent="0.25">
      <c r="A5350" s="3">
        <f>IF(Raw_Data!J5350=0,Raw_Data!D5350,"")</f>
        <v>2533.42</v>
      </c>
      <c r="B5350" s="3" t="str">
        <f>IF(Raw_Data!J5350=1,Raw_Data!D5350,"")</f>
        <v/>
      </c>
    </row>
    <row r="5351" spans="1:2" x14ac:dyDescent="0.25">
      <c r="A5351" s="3">
        <f>IF(Raw_Data!J5351=0,Raw_Data!D5351,"")</f>
        <v>4408.34</v>
      </c>
      <c r="B5351" s="3" t="str">
        <f>IF(Raw_Data!J5351=1,Raw_Data!D5351,"")</f>
        <v/>
      </c>
    </row>
    <row r="5352" spans="1:2" x14ac:dyDescent="0.25">
      <c r="A5352" s="3">
        <f>IF(Raw_Data!J5352=0,Raw_Data!D5352,"")</f>
        <v>3514.78</v>
      </c>
      <c r="B5352" s="3" t="str">
        <f>IF(Raw_Data!J5352=1,Raw_Data!D5352,"")</f>
        <v/>
      </c>
    </row>
    <row r="5353" spans="1:2" x14ac:dyDescent="0.25">
      <c r="A5353" s="3">
        <f>IF(Raw_Data!J5353=0,Raw_Data!D5353,"")</f>
        <v>1340.17</v>
      </c>
      <c r="B5353" s="3" t="str">
        <f>IF(Raw_Data!J5353=1,Raw_Data!D5353,"")</f>
        <v/>
      </c>
    </row>
    <row r="5354" spans="1:2" x14ac:dyDescent="0.25">
      <c r="A5354" s="3">
        <f>IF(Raw_Data!J5354=0,Raw_Data!D5354,"")</f>
        <v>1947.08</v>
      </c>
      <c r="B5354" s="3" t="str">
        <f>IF(Raw_Data!J5354=1,Raw_Data!D5354,"")</f>
        <v/>
      </c>
    </row>
    <row r="5355" spans="1:2" x14ac:dyDescent="0.25">
      <c r="A5355" s="3">
        <f>IF(Raw_Data!J5355=0,Raw_Data!D5355,"")</f>
        <v>2142.1799999999998</v>
      </c>
      <c r="B5355" s="3" t="str">
        <f>IF(Raw_Data!J5355=1,Raw_Data!D5355,"")</f>
        <v/>
      </c>
    </row>
    <row r="5356" spans="1:2" x14ac:dyDescent="0.25">
      <c r="A5356" s="3">
        <f>IF(Raw_Data!J5356=0,Raw_Data!D5356,"")</f>
        <v>2724.68</v>
      </c>
      <c r="B5356" s="3" t="str">
        <f>IF(Raw_Data!J5356=1,Raw_Data!D5356,"")</f>
        <v/>
      </c>
    </row>
    <row r="5357" spans="1:2" x14ac:dyDescent="0.25">
      <c r="A5357" s="3" t="str">
        <f>IF(Raw_Data!J5357=0,Raw_Data!D5357,"")</f>
        <v/>
      </c>
      <c r="B5357" s="3">
        <f>IF(Raw_Data!J5357=1,Raw_Data!D5357,"")</f>
        <v>1843.25</v>
      </c>
    </row>
    <row r="5358" spans="1:2" x14ac:dyDescent="0.25">
      <c r="A5358" s="3" t="str">
        <f>IF(Raw_Data!J5358=0,Raw_Data!D5358,"")</f>
        <v/>
      </c>
      <c r="B5358" s="3">
        <f>IF(Raw_Data!J5358=1,Raw_Data!D5358,"")</f>
        <v>702.35</v>
      </c>
    </row>
    <row r="5359" spans="1:2" x14ac:dyDescent="0.25">
      <c r="A5359" s="3">
        <f>IF(Raw_Data!J5359=0,Raw_Data!D5359,"")</f>
        <v>2979.57</v>
      </c>
      <c r="B5359" s="3" t="str">
        <f>IF(Raw_Data!J5359=1,Raw_Data!D5359,"")</f>
        <v/>
      </c>
    </row>
    <row r="5360" spans="1:2" x14ac:dyDescent="0.25">
      <c r="A5360" s="3">
        <f>IF(Raw_Data!J5360=0,Raw_Data!D5360,"")</f>
        <v>3601.71</v>
      </c>
      <c r="B5360" s="3" t="str">
        <f>IF(Raw_Data!J5360=1,Raw_Data!D5360,"")</f>
        <v/>
      </c>
    </row>
    <row r="5361" spans="1:2" x14ac:dyDescent="0.25">
      <c r="A5361" s="3">
        <f>IF(Raw_Data!J5361=0,Raw_Data!D5361,"")</f>
        <v>6818</v>
      </c>
      <c r="B5361" s="3" t="str">
        <f>IF(Raw_Data!J5361=1,Raw_Data!D5361,"")</f>
        <v/>
      </c>
    </row>
    <row r="5362" spans="1:2" x14ac:dyDescent="0.25">
      <c r="A5362" s="3" t="str">
        <f>IF(Raw_Data!J5362=0,Raw_Data!D5362,"")</f>
        <v/>
      </c>
      <c r="B5362" s="3">
        <f>IF(Raw_Data!J5362=1,Raw_Data!D5362,"")</f>
        <v>2833.17</v>
      </c>
    </row>
    <row r="5363" spans="1:2" x14ac:dyDescent="0.25">
      <c r="A5363" s="3">
        <f>IF(Raw_Data!J5363=0,Raw_Data!D5363,"")</f>
        <v>1561.98</v>
      </c>
      <c r="B5363" s="3" t="str">
        <f>IF(Raw_Data!J5363=1,Raw_Data!D5363,"")</f>
        <v/>
      </c>
    </row>
    <row r="5364" spans="1:2" x14ac:dyDescent="0.25">
      <c r="A5364" s="3">
        <f>IF(Raw_Data!J5364=0,Raw_Data!D5364,"")</f>
        <v>9237.4599999999991</v>
      </c>
      <c r="B5364" s="3" t="str">
        <f>IF(Raw_Data!J5364=1,Raw_Data!D5364,"")</f>
        <v/>
      </c>
    </row>
    <row r="5365" spans="1:2" x14ac:dyDescent="0.25">
      <c r="A5365" s="3">
        <f>IF(Raw_Data!J5365=0,Raw_Data!D5365,"")</f>
        <v>1268.47</v>
      </c>
      <c r="B5365" s="3" t="str">
        <f>IF(Raw_Data!J5365=1,Raw_Data!D5365,"")</f>
        <v/>
      </c>
    </row>
    <row r="5366" spans="1:2" x14ac:dyDescent="0.25">
      <c r="A5366" s="3">
        <f>IF(Raw_Data!J5366=0,Raw_Data!D5366,"")</f>
        <v>1828.28</v>
      </c>
      <c r="B5366" s="3" t="str">
        <f>IF(Raw_Data!J5366=1,Raw_Data!D5366,"")</f>
        <v/>
      </c>
    </row>
    <row r="5367" spans="1:2" x14ac:dyDescent="0.25">
      <c r="A5367" s="3">
        <f>IF(Raw_Data!J5367=0,Raw_Data!D5367,"")</f>
        <v>1876.11</v>
      </c>
      <c r="B5367" s="3" t="str">
        <f>IF(Raw_Data!J5367=1,Raw_Data!D5367,"")</f>
        <v/>
      </c>
    </row>
    <row r="5368" spans="1:2" x14ac:dyDescent="0.25">
      <c r="A5368" s="3">
        <f>IF(Raw_Data!J5368=0,Raw_Data!D5368,"")</f>
        <v>1451.32</v>
      </c>
      <c r="B5368" s="3" t="str">
        <f>IF(Raw_Data!J5368=1,Raw_Data!D5368,"")</f>
        <v/>
      </c>
    </row>
    <row r="5369" spans="1:2" x14ac:dyDescent="0.25">
      <c r="A5369" s="3">
        <f>IF(Raw_Data!J5369=0,Raw_Data!D5369,"")</f>
        <v>766.08</v>
      </c>
      <c r="B5369" s="3" t="str">
        <f>IF(Raw_Data!J5369=1,Raw_Data!D5369,"")</f>
        <v/>
      </c>
    </row>
    <row r="5370" spans="1:2" x14ac:dyDescent="0.25">
      <c r="A5370" s="3">
        <f>IF(Raw_Data!J5370=0,Raw_Data!D5370,"")</f>
        <v>1998.03</v>
      </c>
      <c r="B5370" s="3" t="str">
        <f>IF(Raw_Data!J5370=1,Raw_Data!D5370,"")</f>
        <v/>
      </c>
    </row>
    <row r="5371" spans="1:2" x14ac:dyDescent="0.25">
      <c r="A5371" s="3">
        <f>IF(Raw_Data!J5371=0,Raw_Data!D5371,"")</f>
        <v>1557.33</v>
      </c>
      <c r="B5371" s="3" t="str">
        <f>IF(Raw_Data!J5371=1,Raw_Data!D5371,"")</f>
        <v/>
      </c>
    </row>
    <row r="5372" spans="1:2" x14ac:dyDescent="0.25">
      <c r="A5372" s="3" t="str">
        <f>IF(Raw_Data!J5372=0,Raw_Data!D5372,"")</f>
        <v/>
      </c>
      <c r="B5372" s="3">
        <f>IF(Raw_Data!J5372=1,Raw_Data!D5372,"")</f>
        <v>3558.69</v>
      </c>
    </row>
    <row r="5373" spans="1:2" x14ac:dyDescent="0.25">
      <c r="A5373" s="3">
        <f>IF(Raw_Data!J5373=0,Raw_Data!D5373,"")</f>
        <v>2635.63</v>
      </c>
      <c r="B5373" s="3" t="str">
        <f>IF(Raw_Data!J5373=1,Raw_Data!D5373,"")</f>
        <v/>
      </c>
    </row>
    <row r="5374" spans="1:2" x14ac:dyDescent="0.25">
      <c r="A5374" s="3">
        <f>IF(Raw_Data!J5374=0,Raw_Data!D5374,"")</f>
        <v>3801.82</v>
      </c>
      <c r="B5374" s="3" t="str">
        <f>IF(Raw_Data!J5374=1,Raw_Data!D5374,"")</f>
        <v/>
      </c>
    </row>
    <row r="5375" spans="1:2" x14ac:dyDescent="0.25">
      <c r="A5375" s="3">
        <f>IF(Raw_Data!J5375=0,Raw_Data!D5375,"")</f>
        <v>3501.32</v>
      </c>
      <c r="B5375" s="3" t="str">
        <f>IF(Raw_Data!J5375=1,Raw_Data!D5375,"")</f>
        <v/>
      </c>
    </row>
    <row r="5376" spans="1:2" x14ac:dyDescent="0.25">
      <c r="A5376" s="3">
        <f>IF(Raw_Data!J5376=0,Raw_Data!D5376,"")</f>
        <v>1279.98</v>
      </c>
      <c r="B5376" s="3" t="str">
        <f>IF(Raw_Data!J5376=1,Raw_Data!D5376,"")</f>
        <v/>
      </c>
    </row>
    <row r="5377" spans="1:2" x14ac:dyDescent="0.25">
      <c r="A5377" s="3">
        <f>IF(Raw_Data!J5377=0,Raw_Data!D5377,"")</f>
        <v>798.21</v>
      </c>
      <c r="B5377" s="3" t="str">
        <f>IF(Raw_Data!J5377=1,Raw_Data!D5377,"")</f>
        <v/>
      </c>
    </row>
    <row r="5378" spans="1:2" x14ac:dyDescent="0.25">
      <c r="A5378" s="3">
        <f>IF(Raw_Data!J5378=0,Raw_Data!D5378,"")</f>
        <v>951.87</v>
      </c>
      <c r="B5378" s="3" t="str">
        <f>IF(Raw_Data!J5378=1,Raw_Data!D5378,"")</f>
        <v/>
      </c>
    </row>
    <row r="5379" spans="1:2" x14ac:dyDescent="0.25">
      <c r="A5379" s="3">
        <f>IF(Raw_Data!J5379=0,Raw_Data!D5379,"")</f>
        <v>857.24</v>
      </c>
      <c r="B5379" s="3" t="str">
        <f>IF(Raw_Data!J5379=1,Raw_Data!D5379,"")</f>
        <v/>
      </c>
    </row>
    <row r="5380" spans="1:2" x14ac:dyDescent="0.25">
      <c r="A5380" s="3">
        <f>IF(Raw_Data!J5380=0,Raw_Data!D5380,"")</f>
        <v>1672.81</v>
      </c>
      <c r="B5380" s="3" t="str">
        <f>IF(Raw_Data!J5380=1,Raw_Data!D5380,"")</f>
        <v/>
      </c>
    </row>
    <row r="5381" spans="1:2" x14ac:dyDescent="0.25">
      <c r="A5381" s="3">
        <f>IF(Raw_Data!J5381=0,Raw_Data!D5381,"")</f>
        <v>3511.07</v>
      </c>
      <c r="B5381" s="3" t="str">
        <f>IF(Raw_Data!J5381=1,Raw_Data!D5381,"")</f>
        <v/>
      </c>
    </row>
    <row r="5382" spans="1:2" x14ac:dyDescent="0.25">
      <c r="A5382" s="3">
        <f>IF(Raw_Data!J5382=0,Raw_Data!D5382,"")</f>
        <v>2728.03</v>
      </c>
      <c r="B5382" s="3" t="str">
        <f>IF(Raw_Data!J5382=1,Raw_Data!D5382,"")</f>
        <v/>
      </c>
    </row>
    <row r="5383" spans="1:2" x14ac:dyDescent="0.25">
      <c r="A5383" s="3">
        <f>IF(Raw_Data!J5383=0,Raw_Data!D5383,"")</f>
        <v>652.42999999999995</v>
      </c>
      <c r="B5383" s="3" t="str">
        <f>IF(Raw_Data!J5383=1,Raw_Data!D5383,"")</f>
        <v/>
      </c>
    </row>
    <row r="5384" spans="1:2" x14ac:dyDescent="0.25">
      <c r="A5384" s="3">
        <f>IF(Raw_Data!J5384=0,Raw_Data!D5384,"")</f>
        <v>1912.11</v>
      </c>
      <c r="B5384" s="3" t="str">
        <f>IF(Raw_Data!J5384=1,Raw_Data!D5384,"")</f>
        <v/>
      </c>
    </row>
    <row r="5385" spans="1:2" x14ac:dyDescent="0.25">
      <c r="A5385" s="3">
        <f>IF(Raw_Data!J5385=0,Raw_Data!D5385,"")</f>
        <v>871.23</v>
      </c>
      <c r="B5385" s="3" t="str">
        <f>IF(Raw_Data!J5385=1,Raw_Data!D5385,"")</f>
        <v/>
      </c>
    </row>
    <row r="5386" spans="1:2" x14ac:dyDescent="0.25">
      <c r="A5386" s="3" t="str">
        <f>IF(Raw_Data!J5386=0,Raw_Data!D5386,"")</f>
        <v/>
      </c>
      <c r="B5386" s="3">
        <f>IF(Raw_Data!J5386=1,Raw_Data!D5386,"")</f>
        <v>119.65</v>
      </c>
    </row>
    <row r="5387" spans="1:2" x14ac:dyDescent="0.25">
      <c r="A5387" s="3" t="str">
        <f>IF(Raw_Data!J5387=0,Raw_Data!D5387,"")</f>
        <v/>
      </c>
      <c r="B5387" s="3">
        <f>IF(Raw_Data!J5387=1,Raw_Data!D5387,"")</f>
        <v>709.65</v>
      </c>
    </row>
    <row r="5388" spans="1:2" x14ac:dyDescent="0.25">
      <c r="A5388" s="3">
        <f>IF(Raw_Data!J5388=0,Raw_Data!D5388,"")</f>
        <v>300.10000000000002</v>
      </c>
      <c r="B5388" s="3" t="str">
        <f>IF(Raw_Data!J5388=1,Raw_Data!D5388,"")</f>
        <v/>
      </c>
    </row>
    <row r="5389" spans="1:2" x14ac:dyDescent="0.25">
      <c r="A5389" s="3">
        <f>IF(Raw_Data!J5389=0,Raw_Data!D5389,"")</f>
        <v>1846.54</v>
      </c>
      <c r="B5389" s="3" t="str">
        <f>IF(Raw_Data!J5389=1,Raw_Data!D5389,"")</f>
        <v/>
      </c>
    </row>
    <row r="5390" spans="1:2" x14ac:dyDescent="0.25">
      <c r="A5390" s="3">
        <f>IF(Raw_Data!J5390=0,Raw_Data!D5390,"")</f>
        <v>2800.58</v>
      </c>
      <c r="B5390" s="3" t="str">
        <f>IF(Raw_Data!J5390=1,Raw_Data!D5390,"")</f>
        <v/>
      </c>
    </row>
    <row r="5391" spans="1:2" x14ac:dyDescent="0.25">
      <c r="A5391" s="3">
        <f>IF(Raw_Data!J5391=0,Raw_Data!D5391,"")</f>
        <v>3358.78</v>
      </c>
      <c r="B5391" s="3" t="str">
        <f>IF(Raw_Data!J5391=1,Raw_Data!D5391,"")</f>
        <v/>
      </c>
    </row>
    <row r="5392" spans="1:2" x14ac:dyDescent="0.25">
      <c r="A5392" s="3">
        <f>IF(Raw_Data!J5392=0,Raw_Data!D5392,"")</f>
        <v>1745.7</v>
      </c>
      <c r="B5392" s="3" t="str">
        <f>IF(Raw_Data!J5392=1,Raw_Data!D5392,"")</f>
        <v/>
      </c>
    </row>
    <row r="5393" spans="1:2" x14ac:dyDescent="0.25">
      <c r="A5393" s="3">
        <f>IF(Raw_Data!J5393=0,Raw_Data!D5393,"")</f>
        <v>3872.97</v>
      </c>
      <c r="B5393" s="3" t="str">
        <f>IF(Raw_Data!J5393=1,Raw_Data!D5393,"")</f>
        <v/>
      </c>
    </row>
    <row r="5394" spans="1:2" x14ac:dyDescent="0.25">
      <c r="A5394" s="3">
        <f>IF(Raw_Data!J5394=0,Raw_Data!D5394,"")</f>
        <v>1557.28</v>
      </c>
      <c r="B5394" s="3" t="str">
        <f>IF(Raw_Data!J5394=1,Raw_Data!D5394,"")</f>
        <v/>
      </c>
    </row>
    <row r="5395" spans="1:2" x14ac:dyDescent="0.25">
      <c r="A5395" s="3">
        <f>IF(Raw_Data!J5395=0,Raw_Data!D5395,"")</f>
        <v>1545.84</v>
      </c>
      <c r="B5395" s="3" t="str">
        <f>IF(Raw_Data!J5395=1,Raw_Data!D5395,"")</f>
        <v/>
      </c>
    </row>
    <row r="5396" spans="1:2" x14ac:dyDescent="0.25">
      <c r="A5396" s="3">
        <f>IF(Raw_Data!J5396=0,Raw_Data!D5396,"")</f>
        <v>812.03</v>
      </c>
      <c r="B5396" s="3" t="str">
        <f>IF(Raw_Data!J5396=1,Raw_Data!D5396,"")</f>
        <v/>
      </c>
    </row>
    <row r="5397" spans="1:2" x14ac:dyDescent="0.25">
      <c r="A5397" s="3">
        <f>IF(Raw_Data!J5397=0,Raw_Data!D5397,"")</f>
        <v>2568.0300000000002</v>
      </c>
      <c r="B5397" s="3" t="str">
        <f>IF(Raw_Data!J5397=1,Raw_Data!D5397,"")</f>
        <v/>
      </c>
    </row>
    <row r="5398" spans="1:2" x14ac:dyDescent="0.25">
      <c r="A5398" s="3">
        <f>IF(Raw_Data!J5398=0,Raw_Data!D5398,"")</f>
        <v>2099.87</v>
      </c>
      <c r="B5398" s="3" t="str">
        <f>IF(Raw_Data!J5398=1,Raw_Data!D5398,"")</f>
        <v/>
      </c>
    </row>
    <row r="5399" spans="1:2" x14ac:dyDescent="0.25">
      <c r="A5399" s="3" t="str">
        <f>IF(Raw_Data!J5399=0,Raw_Data!D5399,"")</f>
        <v/>
      </c>
      <c r="B5399" s="3">
        <f>IF(Raw_Data!J5399=1,Raw_Data!D5399,"")</f>
        <v>1286.1400000000001</v>
      </c>
    </row>
    <row r="5400" spans="1:2" x14ac:dyDescent="0.25">
      <c r="A5400" s="3">
        <f>IF(Raw_Data!J5400=0,Raw_Data!D5400,"")</f>
        <v>3779.4</v>
      </c>
      <c r="B5400" s="3" t="str">
        <f>IF(Raw_Data!J5400=1,Raw_Data!D5400,"")</f>
        <v/>
      </c>
    </row>
    <row r="5401" spans="1:2" x14ac:dyDescent="0.25">
      <c r="A5401" s="3" t="str">
        <f>IF(Raw_Data!J5401=0,Raw_Data!D5401,"")</f>
        <v/>
      </c>
      <c r="B5401" s="3">
        <f>IF(Raw_Data!J5401=1,Raw_Data!D5401,"")</f>
        <v>879.62</v>
      </c>
    </row>
    <row r="5402" spans="1:2" x14ac:dyDescent="0.25">
      <c r="A5402" s="3">
        <f>IF(Raw_Data!J5402=0,Raw_Data!D5402,"")</f>
        <v>851.55</v>
      </c>
      <c r="B5402" s="3" t="str">
        <f>IF(Raw_Data!J5402=1,Raw_Data!D5402,"")</f>
        <v/>
      </c>
    </row>
    <row r="5403" spans="1:2" x14ac:dyDescent="0.25">
      <c r="A5403" s="3" t="str">
        <f>IF(Raw_Data!J5403=0,Raw_Data!D5403,"")</f>
        <v/>
      </c>
      <c r="B5403" s="3">
        <f>IF(Raw_Data!J5403=1,Raw_Data!D5403,"")</f>
        <v>1211.54</v>
      </c>
    </row>
    <row r="5404" spans="1:2" x14ac:dyDescent="0.25">
      <c r="A5404" s="3" t="str">
        <f>IF(Raw_Data!J5404=0,Raw_Data!D5404,"")</f>
        <v/>
      </c>
      <c r="B5404" s="3">
        <f>IF(Raw_Data!J5404=1,Raw_Data!D5404,"")</f>
        <v>3439.97</v>
      </c>
    </row>
    <row r="5405" spans="1:2" x14ac:dyDescent="0.25">
      <c r="A5405" s="3" t="str">
        <f>IF(Raw_Data!J5405=0,Raw_Data!D5405,"")</f>
        <v/>
      </c>
      <c r="B5405" s="3">
        <f>IF(Raw_Data!J5405=1,Raw_Data!D5405,"")</f>
        <v>1459.21</v>
      </c>
    </row>
    <row r="5406" spans="1:2" x14ac:dyDescent="0.25">
      <c r="A5406" s="3">
        <f>IF(Raw_Data!J5406=0,Raw_Data!D5406,"")</f>
        <v>4098.68</v>
      </c>
      <c r="B5406" s="3" t="str">
        <f>IF(Raw_Data!J5406=1,Raw_Data!D5406,"")</f>
        <v/>
      </c>
    </row>
    <row r="5407" spans="1:2" x14ac:dyDescent="0.25">
      <c r="A5407" s="3">
        <f>IF(Raw_Data!J5407=0,Raw_Data!D5407,"")</f>
        <v>1571.13</v>
      </c>
      <c r="B5407" s="3" t="str">
        <f>IF(Raw_Data!J5407=1,Raw_Data!D5407,"")</f>
        <v/>
      </c>
    </row>
    <row r="5408" spans="1:2" x14ac:dyDescent="0.25">
      <c r="A5408" s="3" t="str">
        <f>IF(Raw_Data!J5408=0,Raw_Data!D5408,"")</f>
        <v/>
      </c>
      <c r="B5408" s="3">
        <f>IF(Raw_Data!J5408=1,Raw_Data!D5408,"")</f>
        <v>8679.44</v>
      </c>
    </row>
    <row r="5409" spans="1:2" x14ac:dyDescent="0.25">
      <c r="A5409" s="3">
        <f>IF(Raw_Data!J5409=0,Raw_Data!D5409,"")</f>
        <v>1112.69</v>
      </c>
      <c r="B5409" s="3" t="str">
        <f>IF(Raw_Data!J5409=1,Raw_Data!D5409,"")</f>
        <v/>
      </c>
    </row>
    <row r="5410" spans="1:2" x14ac:dyDescent="0.25">
      <c r="A5410" s="3">
        <f>IF(Raw_Data!J5410=0,Raw_Data!D5410,"")</f>
        <v>1831.72</v>
      </c>
      <c r="B5410" s="3" t="str">
        <f>IF(Raw_Data!J5410=1,Raw_Data!D5410,"")</f>
        <v/>
      </c>
    </row>
    <row r="5411" spans="1:2" x14ac:dyDescent="0.25">
      <c r="A5411" s="3">
        <f>IF(Raw_Data!J5411=0,Raw_Data!D5411,"")</f>
        <v>5316.44</v>
      </c>
      <c r="B5411" s="3" t="str">
        <f>IF(Raw_Data!J5411=1,Raw_Data!D5411,"")</f>
        <v/>
      </c>
    </row>
    <row r="5412" spans="1:2" x14ac:dyDescent="0.25">
      <c r="A5412" s="3">
        <f>IF(Raw_Data!J5412=0,Raw_Data!D5412,"")</f>
        <v>924.06</v>
      </c>
      <c r="B5412" s="3" t="str">
        <f>IF(Raw_Data!J5412=1,Raw_Data!D5412,"")</f>
        <v/>
      </c>
    </row>
    <row r="5413" spans="1:2" x14ac:dyDescent="0.25">
      <c r="A5413" s="3">
        <f>IF(Raw_Data!J5413=0,Raw_Data!D5413,"")</f>
        <v>2823.5</v>
      </c>
      <c r="B5413" s="3" t="str">
        <f>IF(Raw_Data!J5413=1,Raw_Data!D5413,"")</f>
        <v/>
      </c>
    </row>
    <row r="5414" spans="1:2" x14ac:dyDescent="0.25">
      <c r="A5414" s="3" t="str">
        <f>IF(Raw_Data!J5414=0,Raw_Data!D5414,"")</f>
        <v/>
      </c>
      <c r="B5414" s="3">
        <f>IF(Raw_Data!J5414=1,Raw_Data!D5414,"")</f>
        <v>7216.82</v>
      </c>
    </row>
    <row r="5415" spans="1:2" x14ac:dyDescent="0.25">
      <c r="A5415" s="3">
        <f>IF(Raw_Data!J5415=0,Raw_Data!D5415,"")</f>
        <v>8919.82</v>
      </c>
      <c r="B5415" s="3" t="str">
        <f>IF(Raw_Data!J5415=1,Raw_Data!D5415,"")</f>
        <v/>
      </c>
    </row>
    <row r="5416" spans="1:2" x14ac:dyDescent="0.25">
      <c r="A5416" s="3">
        <f>IF(Raw_Data!J5416=0,Raw_Data!D5416,"")</f>
        <v>3751.76</v>
      </c>
      <c r="B5416" s="3" t="str">
        <f>IF(Raw_Data!J5416=1,Raw_Data!D5416,"")</f>
        <v/>
      </c>
    </row>
    <row r="5417" spans="1:2" x14ac:dyDescent="0.25">
      <c r="A5417" s="3">
        <f>IF(Raw_Data!J5417=0,Raw_Data!D5417,"")</f>
        <v>4941.7299999999996</v>
      </c>
      <c r="B5417" s="3" t="str">
        <f>IF(Raw_Data!J5417=1,Raw_Data!D5417,"")</f>
        <v/>
      </c>
    </row>
    <row r="5418" spans="1:2" x14ac:dyDescent="0.25">
      <c r="A5418" s="3">
        <f>IF(Raw_Data!J5418=0,Raw_Data!D5418,"")</f>
        <v>2422.06</v>
      </c>
      <c r="B5418" s="3" t="str">
        <f>IF(Raw_Data!J5418=1,Raw_Data!D5418,"")</f>
        <v/>
      </c>
    </row>
    <row r="5419" spans="1:2" x14ac:dyDescent="0.25">
      <c r="A5419" s="3">
        <f>IF(Raw_Data!J5419=0,Raw_Data!D5419,"")</f>
        <v>3812.18</v>
      </c>
      <c r="B5419" s="3" t="str">
        <f>IF(Raw_Data!J5419=1,Raw_Data!D5419,"")</f>
        <v/>
      </c>
    </row>
    <row r="5420" spans="1:2" x14ac:dyDescent="0.25">
      <c r="A5420" s="3">
        <f>IF(Raw_Data!J5420=0,Raw_Data!D5420,"")</f>
        <v>969.15</v>
      </c>
      <c r="B5420" s="3" t="str">
        <f>IF(Raw_Data!J5420=1,Raw_Data!D5420,"")</f>
        <v/>
      </c>
    </row>
    <row r="5421" spans="1:2" x14ac:dyDescent="0.25">
      <c r="A5421" s="3">
        <f>IF(Raw_Data!J5421=0,Raw_Data!D5421,"")</f>
        <v>739.3</v>
      </c>
      <c r="B5421" s="3" t="str">
        <f>IF(Raw_Data!J5421=1,Raw_Data!D5421,"")</f>
        <v/>
      </c>
    </row>
    <row r="5422" spans="1:2" x14ac:dyDescent="0.25">
      <c r="A5422" s="3">
        <f>IF(Raw_Data!J5422=0,Raw_Data!D5422,"")</f>
        <v>5836.15</v>
      </c>
      <c r="B5422" s="3" t="str">
        <f>IF(Raw_Data!J5422=1,Raw_Data!D5422,"")</f>
        <v/>
      </c>
    </row>
    <row r="5423" spans="1:2" x14ac:dyDescent="0.25">
      <c r="A5423" s="3" t="str">
        <f>IF(Raw_Data!J5423=0,Raw_Data!D5423,"")</f>
        <v/>
      </c>
      <c r="B5423" s="3">
        <f>IF(Raw_Data!J5423=1,Raw_Data!D5423,"")</f>
        <v>4127.84</v>
      </c>
    </row>
    <row r="5424" spans="1:2" x14ac:dyDescent="0.25">
      <c r="A5424" s="3">
        <f>IF(Raw_Data!J5424=0,Raw_Data!D5424,"")</f>
        <v>1030.57</v>
      </c>
      <c r="B5424" s="3" t="str">
        <f>IF(Raw_Data!J5424=1,Raw_Data!D5424,"")</f>
        <v/>
      </c>
    </row>
    <row r="5425" spans="1:2" x14ac:dyDescent="0.25">
      <c r="A5425" s="3" t="str">
        <f>IF(Raw_Data!J5425=0,Raw_Data!D5425,"")</f>
        <v/>
      </c>
      <c r="B5425" s="3">
        <f>IF(Raw_Data!J5425=1,Raw_Data!D5425,"")</f>
        <v>465.64</v>
      </c>
    </row>
    <row r="5426" spans="1:2" x14ac:dyDescent="0.25">
      <c r="A5426" s="3">
        <f>IF(Raw_Data!J5426=0,Raw_Data!D5426,"")</f>
        <v>339.73</v>
      </c>
      <c r="B5426" s="3" t="str">
        <f>IF(Raw_Data!J5426=1,Raw_Data!D5426,"")</f>
        <v/>
      </c>
    </row>
    <row r="5427" spans="1:2" x14ac:dyDescent="0.25">
      <c r="A5427" s="3">
        <f>IF(Raw_Data!J5427=0,Raw_Data!D5427,"")</f>
        <v>1676.25</v>
      </c>
      <c r="B5427" s="3" t="str">
        <f>IF(Raw_Data!J5427=1,Raw_Data!D5427,"")</f>
        <v/>
      </c>
    </row>
    <row r="5428" spans="1:2" x14ac:dyDescent="0.25">
      <c r="A5428" s="3" t="str">
        <f>IF(Raw_Data!J5428=0,Raw_Data!D5428,"")</f>
        <v/>
      </c>
      <c r="B5428" s="3">
        <f>IF(Raw_Data!J5428=1,Raw_Data!D5428,"")</f>
        <v>2752.63</v>
      </c>
    </row>
    <row r="5429" spans="1:2" x14ac:dyDescent="0.25">
      <c r="A5429" s="3">
        <f>IF(Raw_Data!J5429=0,Raw_Data!D5429,"")</f>
        <v>1706.8</v>
      </c>
      <c r="B5429" s="3" t="str">
        <f>IF(Raw_Data!J5429=1,Raw_Data!D5429,"")</f>
        <v/>
      </c>
    </row>
    <row r="5430" spans="1:2" x14ac:dyDescent="0.25">
      <c r="A5430" s="3">
        <f>IF(Raw_Data!J5430=0,Raw_Data!D5430,"")</f>
        <v>3974.26</v>
      </c>
      <c r="B5430" s="3" t="str">
        <f>IF(Raw_Data!J5430=1,Raw_Data!D5430,"")</f>
        <v/>
      </c>
    </row>
    <row r="5431" spans="1:2" x14ac:dyDescent="0.25">
      <c r="A5431" s="3">
        <f>IF(Raw_Data!J5431=0,Raw_Data!D5431,"")</f>
        <v>5247.56</v>
      </c>
      <c r="B5431" s="3" t="str">
        <f>IF(Raw_Data!J5431=1,Raw_Data!D5431,"")</f>
        <v/>
      </c>
    </row>
    <row r="5432" spans="1:2" x14ac:dyDescent="0.25">
      <c r="A5432" s="3">
        <f>IF(Raw_Data!J5432=0,Raw_Data!D5432,"")</f>
        <v>378.38</v>
      </c>
      <c r="B5432" s="3" t="str">
        <f>IF(Raw_Data!J5432=1,Raw_Data!D5432,"")</f>
        <v/>
      </c>
    </row>
    <row r="5433" spans="1:2" x14ac:dyDescent="0.25">
      <c r="A5433" s="3">
        <f>IF(Raw_Data!J5433=0,Raw_Data!D5433,"")</f>
        <v>1391.21</v>
      </c>
      <c r="B5433" s="3" t="str">
        <f>IF(Raw_Data!J5433=1,Raw_Data!D5433,"")</f>
        <v/>
      </c>
    </row>
    <row r="5434" spans="1:2" x14ac:dyDescent="0.25">
      <c r="A5434" s="3" t="str">
        <f>IF(Raw_Data!J5434=0,Raw_Data!D5434,"")</f>
        <v/>
      </c>
      <c r="B5434" s="3">
        <f>IF(Raw_Data!J5434=1,Raw_Data!D5434,"")</f>
        <v>1417.84</v>
      </c>
    </row>
    <row r="5435" spans="1:2" x14ac:dyDescent="0.25">
      <c r="A5435" s="3">
        <f>IF(Raw_Data!J5435=0,Raw_Data!D5435,"")</f>
        <v>3874.74</v>
      </c>
      <c r="B5435" s="3" t="str">
        <f>IF(Raw_Data!J5435=1,Raw_Data!D5435,"")</f>
        <v/>
      </c>
    </row>
    <row r="5436" spans="1:2" x14ac:dyDescent="0.25">
      <c r="A5436" s="3">
        <f>IF(Raw_Data!J5436=0,Raw_Data!D5436,"")</f>
        <v>5115.38</v>
      </c>
      <c r="B5436" s="3" t="str">
        <f>IF(Raw_Data!J5436=1,Raw_Data!D5436,"")</f>
        <v/>
      </c>
    </row>
    <row r="5437" spans="1:2" x14ac:dyDescent="0.25">
      <c r="A5437" s="3" t="str">
        <f>IF(Raw_Data!J5437=0,Raw_Data!D5437,"")</f>
        <v/>
      </c>
      <c r="B5437" s="3">
        <f>IF(Raw_Data!J5437=1,Raw_Data!D5437,"")</f>
        <v>3139.86</v>
      </c>
    </row>
    <row r="5438" spans="1:2" x14ac:dyDescent="0.25">
      <c r="A5438" s="3">
        <f>IF(Raw_Data!J5438=0,Raw_Data!D5438,"")</f>
        <v>3114.9</v>
      </c>
      <c r="B5438" s="3" t="str">
        <f>IF(Raw_Data!J5438=1,Raw_Data!D5438,"")</f>
        <v/>
      </c>
    </row>
    <row r="5439" spans="1:2" x14ac:dyDescent="0.25">
      <c r="A5439" s="3">
        <f>IF(Raw_Data!J5439=0,Raw_Data!D5439,"")</f>
        <v>4316.12</v>
      </c>
      <c r="B5439" s="3" t="str">
        <f>IF(Raw_Data!J5439=1,Raw_Data!D5439,"")</f>
        <v/>
      </c>
    </row>
    <row r="5440" spans="1:2" x14ac:dyDescent="0.25">
      <c r="A5440" s="3">
        <f>IF(Raw_Data!J5440=0,Raw_Data!D5440,"")</f>
        <v>387.64</v>
      </c>
      <c r="B5440" s="3" t="str">
        <f>IF(Raw_Data!J5440=1,Raw_Data!D5440,"")</f>
        <v/>
      </c>
    </row>
    <row r="5441" spans="1:2" x14ac:dyDescent="0.25">
      <c r="A5441" s="3">
        <f>IF(Raw_Data!J5441=0,Raw_Data!D5441,"")</f>
        <v>3919.98</v>
      </c>
      <c r="B5441" s="3" t="str">
        <f>IF(Raw_Data!J5441=1,Raw_Data!D5441,"")</f>
        <v/>
      </c>
    </row>
    <row r="5442" spans="1:2" x14ac:dyDescent="0.25">
      <c r="A5442" s="3">
        <f>IF(Raw_Data!J5442=0,Raw_Data!D5442,"")</f>
        <v>1991.89</v>
      </c>
      <c r="B5442" s="3" t="str">
        <f>IF(Raw_Data!J5442=1,Raw_Data!D5442,"")</f>
        <v/>
      </c>
    </row>
    <row r="5443" spans="1:2" x14ac:dyDescent="0.25">
      <c r="A5443" s="3" t="str">
        <f>IF(Raw_Data!J5443=0,Raw_Data!D5443,"")</f>
        <v/>
      </c>
      <c r="B5443" s="3">
        <f>IF(Raw_Data!J5443=1,Raw_Data!D5443,"")</f>
        <v>2670.24</v>
      </c>
    </row>
    <row r="5444" spans="1:2" x14ac:dyDescent="0.25">
      <c r="A5444" s="3">
        <f>IF(Raw_Data!J5444=0,Raw_Data!D5444,"")</f>
        <v>2518.56</v>
      </c>
      <c r="B5444" s="3" t="str">
        <f>IF(Raw_Data!J5444=1,Raw_Data!D5444,"")</f>
        <v/>
      </c>
    </row>
    <row r="5445" spans="1:2" x14ac:dyDescent="0.25">
      <c r="A5445" s="3" t="str">
        <f>IF(Raw_Data!J5445=0,Raw_Data!D5445,"")</f>
        <v/>
      </c>
      <c r="B5445" s="3">
        <f>IF(Raw_Data!J5445=1,Raw_Data!D5445,"")</f>
        <v>5385.35</v>
      </c>
    </row>
    <row r="5446" spans="1:2" x14ac:dyDescent="0.25">
      <c r="A5446" s="3">
        <f>IF(Raw_Data!J5446=0,Raw_Data!D5446,"")</f>
        <v>1627.08</v>
      </c>
      <c r="B5446" s="3" t="str">
        <f>IF(Raw_Data!J5446=1,Raw_Data!D5446,"")</f>
        <v/>
      </c>
    </row>
    <row r="5447" spans="1:2" x14ac:dyDescent="0.25">
      <c r="A5447" s="3">
        <f>IF(Raw_Data!J5447=0,Raw_Data!D5447,"")</f>
        <v>2753.95</v>
      </c>
      <c r="B5447" s="3" t="str">
        <f>IF(Raw_Data!J5447=1,Raw_Data!D5447,"")</f>
        <v/>
      </c>
    </row>
    <row r="5448" spans="1:2" x14ac:dyDescent="0.25">
      <c r="A5448" s="3">
        <f>IF(Raw_Data!J5448=0,Raw_Data!D5448,"")</f>
        <v>3483.92</v>
      </c>
      <c r="B5448" s="3" t="str">
        <f>IF(Raw_Data!J5448=1,Raw_Data!D5448,"")</f>
        <v/>
      </c>
    </row>
    <row r="5449" spans="1:2" x14ac:dyDescent="0.25">
      <c r="A5449" s="3">
        <f>IF(Raw_Data!J5449=0,Raw_Data!D5449,"")</f>
        <v>1348.82</v>
      </c>
      <c r="B5449" s="3" t="str">
        <f>IF(Raw_Data!J5449=1,Raw_Data!D5449,"")</f>
        <v/>
      </c>
    </row>
    <row r="5450" spans="1:2" x14ac:dyDescent="0.25">
      <c r="A5450" s="3">
        <f>IF(Raw_Data!J5450=0,Raw_Data!D5450,"")</f>
        <v>2100.06</v>
      </c>
      <c r="B5450" s="3" t="str">
        <f>IF(Raw_Data!J5450=1,Raw_Data!D5450,"")</f>
        <v/>
      </c>
    </row>
    <row r="5451" spans="1:2" x14ac:dyDescent="0.25">
      <c r="A5451" s="3">
        <f>IF(Raw_Data!J5451=0,Raw_Data!D5451,"")</f>
        <v>1275.04</v>
      </c>
      <c r="B5451" s="3" t="str">
        <f>IF(Raw_Data!J5451=1,Raw_Data!D5451,"")</f>
        <v/>
      </c>
    </row>
    <row r="5452" spans="1:2" x14ac:dyDescent="0.25">
      <c r="A5452" s="3">
        <f>IF(Raw_Data!J5452=0,Raw_Data!D5452,"")</f>
        <v>5401.1</v>
      </c>
      <c r="B5452" s="3" t="str">
        <f>IF(Raw_Data!J5452=1,Raw_Data!D5452,"")</f>
        <v/>
      </c>
    </row>
    <row r="5453" spans="1:2" x14ac:dyDescent="0.25">
      <c r="A5453" s="3">
        <f>IF(Raw_Data!J5453=0,Raw_Data!D5453,"")</f>
        <v>2420.8000000000002</v>
      </c>
      <c r="B5453" s="3" t="str">
        <f>IF(Raw_Data!J5453=1,Raw_Data!D5453,"")</f>
        <v/>
      </c>
    </row>
    <row r="5454" spans="1:2" x14ac:dyDescent="0.25">
      <c r="A5454" s="3">
        <f>IF(Raw_Data!J5454=0,Raw_Data!D5454,"")</f>
        <v>1945.86</v>
      </c>
      <c r="B5454" s="3" t="str">
        <f>IF(Raw_Data!J5454=1,Raw_Data!D5454,"")</f>
        <v/>
      </c>
    </row>
    <row r="5455" spans="1:2" x14ac:dyDescent="0.25">
      <c r="A5455" s="3">
        <f>IF(Raw_Data!J5455=0,Raw_Data!D5455,"")</f>
        <v>676.93</v>
      </c>
      <c r="B5455" s="3" t="str">
        <f>IF(Raw_Data!J5455=1,Raw_Data!D5455,"")</f>
        <v/>
      </c>
    </row>
    <row r="5456" spans="1:2" x14ac:dyDescent="0.25">
      <c r="A5456" s="3">
        <f>IF(Raw_Data!J5456=0,Raw_Data!D5456,"")</f>
        <v>755.06</v>
      </c>
      <c r="B5456" s="3" t="str">
        <f>IF(Raw_Data!J5456=1,Raw_Data!D5456,"")</f>
        <v/>
      </c>
    </row>
    <row r="5457" spans="1:2" x14ac:dyDescent="0.25">
      <c r="A5457" s="3" t="str">
        <f>IF(Raw_Data!J5457=0,Raw_Data!D5457,"")</f>
        <v/>
      </c>
      <c r="B5457" s="3">
        <f>IF(Raw_Data!J5457=1,Raw_Data!D5457,"")</f>
        <v>1314.53</v>
      </c>
    </row>
    <row r="5458" spans="1:2" x14ac:dyDescent="0.25">
      <c r="A5458" s="3">
        <f>IF(Raw_Data!J5458=0,Raw_Data!D5458,"")</f>
        <v>2186.84</v>
      </c>
      <c r="B5458" s="3" t="str">
        <f>IF(Raw_Data!J5458=1,Raw_Data!D5458,"")</f>
        <v/>
      </c>
    </row>
    <row r="5459" spans="1:2" x14ac:dyDescent="0.25">
      <c r="A5459" s="3">
        <f>IF(Raw_Data!J5459=0,Raw_Data!D5459,"")</f>
        <v>5268.15</v>
      </c>
      <c r="B5459" s="3" t="str">
        <f>IF(Raw_Data!J5459=1,Raw_Data!D5459,"")</f>
        <v/>
      </c>
    </row>
    <row r="5460" spans="1:2" x14ac:dyDescent="0.25">
      <c r="A5460" s="3">
        <f>IF(Raw_Data!J5460=0,Raw_Data!D5460,"")</f>
        <v>1286.49</v>
      </c>
      <c r="B5460" s="3" t="str">
        <f>IF(Raw_Data!J5460=1,Raw_Data!D5460,"")</f>
        <v/>
      </c>
    </row>
    <row r="5461" spans="1:2" x14ac:dyDescent="0.25">
      <c r="A5461" s="3">
        <f>IF(Raw_Data!J5461=0,Raw_Data!D5461,"")</f>
        <v>4560.1899999999996</v>
      </c>
      <c r="B5461" s="3" t="str">
        <f>IF(Raw_Data!J5461=1,Raw_Data!D5461,"")</f>
        <v/>
      </c>
    </row>
    <row r="5462" spans="1:2" x14ac:dyDescent="0.25">
      <c r="A5462" s="3" t="str">
        <f>IF(Raw_Data!J5462=0,Raw_Data!D5462,"")</f>
        <v/>
      </c>
      <c r="B5462" s="3">
        <f>IF(Raw_Data!J5462=1,Raw_Data!D5462,"")</f>
        <v>3451.59</v>
      </c>
    </row>
    <row r="5463" spans="1:2" x14ac:dyDescent="0.25">
      <c r="A5463" s="3" t="str">
        <f>IF(Raw_Data!J5463=0,Raw_Data!D5463,"")</f>
        <v/>
      </c>
      <c r="B5463" s="3">
        <f>IF(Raw_Data!J5463=1,Raw_Data!D5463,"")</f>
        <v>3704.59</v>
      </c>
    </row>
    <row r="5464" spans="1:2" x14ac:dyDescent="0.25">
      <c r="A5464" s="3">
        <f>IF(Raw_Data!J5464=0,Raw_Data!D5464,"")</f>
        <v>2472.92</v>
      </c>
      <c r="B5464" s="3" t="str">
        <f>IF(Raw_Data!J5464=1,Raw_Data!D5464,"")</f>
        <v/>
      </c>
    </row>
    <row r="5465" spans="1:2" x14ac:dyDescent="0.25">
      <c r="A5465" s="3">
        <f>IF(Raw_Data!J5465=0,Raw_Data!D5465,"")</f>
        <v>5080.3999999999996</v>
      </c>
      <c r="B5465" s="3" t="str">
        <f>IF(Raw_Data!J5465=1,Raw_Data!D5465,"")</f>
        <v/>
      </c>
    </row>
    <row r="5466" spans="1:2" x14ac:dyDescent="0.25">
      <c r="A5466" s="3">
        <f>IF(Raw_Data!J5466=0,Raw_Data!D5466,"")</f>
        <v>2624.2</v>
      </c>
      <c r="B5466" s="3" t="str">
        <f>IF(Raw_Data!J5466=1,Raw_Data!D5466,"")</f>
        <v/>
      </c>
    </row>
    <row r="5467" spans="1:2" x14ac:dyDescent="0.25">
      <c r="A5467" s="3">
        <f>IF(Raw_Data!J5467=0,Raw_Data!D5467,"")</f>
        <v>2375.88</v>
      </c>
      <c r="B5467" s="3" t="str">
        <f>IF(Raw_Data!J5467=1,Raw_Data!D5467,"")</f>
        <v/>
      </c>
    </row>
    <row r="5468" spans="1:2" x14ac:dyDescent="0.25">
      <c r="A5468" s="3">
        <f>IF(Raw_Data!J5468=0,Raw_Data!D5468,"")</f>
        <v>410.58</v>
      </c>
      <c r="B5468" s="3" t="str">
        <f>IF(Raw_Data!J5468=1,Raw_Data!D5468,"")</f>
        <v/>
      </c>
    </row>
    <row r="5469" spans="1:2" x14ac:dyDescent="0.25">
      <c r="A5469" s="3" t="str">
        <f>IF(Raw_Data!J5469=0,Raw_Data!D5469,"")</f>
        <v/>
      </c>
      <c r="B5469" s="3">
        <f>IF(Raw_Data!J5469=1,Raw_Data!D5469,"")</f>
        <v>5483.77</v>
      </c>
    </row>
    <row r="5470" spans="1:2" x14ac:dyDescent="0.25">
      <c r="A5470" s="3">
        <f>IF(Raw_Data!J5470=0,Raw_Data!D5470,"")</f>
        <v>2587.0300000000002</v>
      </c>
      <c r="B5470" s="3" t="str">
        <f>IF(Raw_Data!J5470=1,Raw_Data!D5470,"")</f>
        <v/>
      </c>
    </row>
    <row r="5471" spans="1:2" x14ac:dyDescent="0.25">
      <c r="A5471" s="3">
        <f>IF(Raw_Data!J5471=0,Raw_Data!D5471,"")</f>
        <v>3026.87</v>
      </c>
      <c r="B5471" s="3" t="str">
        <f>IF(Raw_Data!J5471=1,Raw_Data!D5471,"")</f>
        <v/>
      </c>
    </row>
    <row r="5472" spans="1:2" x14ac:dyDescent="0.25">
      <c r="A5472" s="3" t="str">
        <f>IF(Raw_Data!J5472=0,Raw_Data!D5472,"")</f>
        <v/>
      </c>
      <c r="B5472" s="3">
        <f>IF(Raw_Data!J5472=1,Raw_Data!D5472,"")</f>
        <v>4255.0600000000004</v>
      </c>
    </row>
    <row r="5473" spans="1:2" x14ac:dyDescent="0.25">
      <c r="A5473" s="3" t="str">
        <f>IF(Raw_Data!J5473=0,Raw_Data!D5473,"")</f>
        <v/>
      </c>
      <c r="B5473" s="3">
        <f>IF(Raw_Data!J5473=1,Raw_Data!D5473,"")</f>
        <v>2510.0300000000002</v>
      </c>
    </row>
    <row r="5474" spans="1:2" x14ac:dyDescent="0.25">
      <c r="A5474" s="3">
        <f>IF(Raw_Data!J5474=0,Raw_Data!D5474,"")</f>
        <v>3563.08</v>
      </c>
      <c r="B5474" s="3" t="str">
        <f>IF(Raw_Data!J5474=1,Raw_Data!D5474,"")</f>
        <v/>
      </c>
    </row>
    <row r="5475" spans="1:2" x14ac:dyDescent="0.25">
      <c r="A5475" s="3">
        <f>IF(Raw_Data!J5475=0,Raw_Data!D5475,"")</f>
        <v>2266.06</v>
      </c>
      <c r="B5475" s="3" t="str">
        <f>IF(Raw_Data!J5475=1,Raw_Data!D5475,"")</f>
        <v/>
      </c>
    </row>
    <row r="5476" spans="1:2" x14ac:dyDescent="0.25">
      <c r="A5476" s="3">
        <f>IF(Raw_Data!J5476=0,Raw_Data!D5476,"")</f>
        <v>1847.83</v>
      </c>
      <c r="B5476" s="3" t="str">
        <f>IF(Raw_Data!J5476=1,Raw_Data!D5476,"")</f>
        <v/>
      </c>
    </row>
    <row r="5477" spans="1:2" x14ac:dyDescent="0.25">
      <c r="A5477" s="3">
        <f>IF(Raw_Data!J5477=0,Raw_Data!D5477,"")</f>
        <v>1274.8599999999999</v>
      </c>
      <c r="B5477" s="3" t="str">
        <f>IF(Raw_Data!J5477=1,Raw_Data!D5477,"")</f>
        <v/>
      </c>
    </row>
    <row r="5478" spans="1:2" x14ac:dyDescent="0.25">
      <c r="A5478" s="3">
        <f>IF(Raw_Data!J5478=0,Raw_Data!D5478,"")</f>
        <v>2961.61</v>
      </c>
      <c r="B5478" s="3" t="str">
        <f>IF(Raw_Data!J5478=1,Raw_Data!D5478,"")</f>
        <v/>
      </c>
    </row>
    <row r="5479" spans="1:2" x14ac:dyDescent="0.25">
      <c r="A5479" s="3">
        <f>IF(Raw_Data!J5479=0,Raw_Data!D5479,"")</f>
        <v>6360.9</v>
      </c>
      <c r="B5479" s="3" t="str">
        <f>IF(Raw_Data!J5479=1,Raw_Data!D5479,"")</f>
        <v/>
      </c>
    </row>
    <row r="5480" spans="1:2" x14ac:dyDescent="0.25">
      <c r="A5480" s="3">
        <f>IF(Raw_Data!J5480=0,Raw_Data!D5480,"")</f>
        <v>2498.98</v>
      </c>
      <c r="B5480" s="3" t="str">
        <f>IF(Raw_Data!J5480=1,Raw_Data!D5480,"")</f>
        <v/>
      </c>
    </row>
    <row r="5481" spans="1:2" x14ac:dyDescent="0.25">
      <c r="A5481" s="3">
        <f>IF(Raw_Data!J5481=0,Raw_Data!D5481,"")</f>
        <v>978.1</v>
      </c>
      <c r="B5481" s="3" t="str">
        <f>IF(Raw_Data!J5481=1,Raw_Data!D5481,"")</f>
        <v/>
      </c>
    </row>
    <row r="5482" spans="1:2" x14ac:dyDescent="0.25">
      <c r="A5482" s="3">
        <f>IF(Raw_Data!J5482=0,Raw_Data!D5482,"")</f>
        <v>3076.86</v>
      </c>
      <c r="B5482" s="3" t="str">
        <f>IF(Raw_Data!J5482=1,Raw_Data!D5482,"")</f>
        <v/>
      </c>
    </row>
    <row r="5483" spans="1:2" x14ac:dyDescent="0.25">
      <c r="A5483" s="3">
        <f>IF(Raw_Data!J5483=0,Raw_Data!D5483,"")</f>
        <v>3668.21</v>
      </c>
      <c r="B5483" s="3" t="str">
        <f>IF(Raw_Data!J5483=1,Raw_Data!D5483,"")</f>
        <v/>
      </c>
    </row>
    <row r="5484" spans="1:2" x14ac:dyDescent="0.25">
      <c r="A5484" s="3">
        <f>IF(Raw_Data!J5484=0,Raw_Data!D5484,"")</f>
        <v>3420.23</v>
      </c>
      <c r="B5484" s="3" t="str">
        <f>IF(Raw_Data!J5484=1,Raw_Data!D5484,"")</f>
        <v/>
      </c>
    </row>
    <row r="5485" spans="1:2" x14ac:dyDescent="0.25">
      <c r="A5485" s="3">
        <f>IF(Raw_Data!J5485=0,Raw_Data!D5485,"")</f>
        <v>1474.57</v>
      </c>
      <c r="B5485" s="3" t="str">
        <f>IF(Raw_Data!J5485=1,Raw_Data!D5485,"")</f>
        <v/>
      </c>
    </row>
    <row r="5486" spans="1:2" x14ac:dyDescent="0.25">
      <c r="A5486" s="3">
        <f>IF(Raw_Data!J5486=0,Raw_Data!D5486,"")</f>
        <v>1125.55</v>
      </c>
      <c r="B5486" s="3" t="str">
        <f>IF(Raw_Data!J5486=1,Raw_Data!D5486,"")</f>
        <v/>
      </c>
    </row>
    <row r="5487" spans="1:2" x14ac:dyDescent="0.25">
      <c r="A5487" s="3" t="str">
        <f>IF(Raw_Data!J5487=0,Raw_Data!D5487,"")</f>
        <v/>
      </c>
      <c r="B5487" s="3">
        <f>IF(Raw_Data!J5487=1,Raw_Data!D5487,"")</f>
        <v>5569.23</v>
      </c>
    </row>
    <row r="5488" spans="1:2" x14ac:dyDescent="0.25">
      <c r="A5488" s="3" t="str">
        <f>IF(Raw_Data!J5488=0,Raw_Data!D5488,"")</f>
        <v/>
      </c>
      <c r="B5488" s="3">
        <f>IF(Raw_Data!J5488=1,Raw_Data!D5488,"")</f>
        <v>3606.11</v>
      </c>
    </row>
    <row r="5489" spans="1:2" x14ac:dyDescent="0.25">
      <c r="A5489" s="3">
        <f>IF(Raw_Data!J5489=0,Raw_Data!D5489,"")</f>
        <v>419.21</v>
      </c>
      <c r="B5489" s="3" t="str">
        <f>IF(Raw_Data!J5489=1,Raw_Data!D5489,"")</f>
        <v/>
      </c>
    </row>
    <row r="5490" spans="1:2" x14ac:dyDescent="0.25">
      <c r="A5490" s="3">
        <f>IF(Raw_Data!J5490=0,Raw_Data!D5490,"")</f>
        <v>1936.91</v>
      </c>
      <c r="B5490" s="3" t="str">
        <f>IF(Raw_Data!J5490=1,Raw_Data!D5490,"")</f>
        <v/>
      </c>
    </row>
    <row r="5491" spans="1:2" x14ac:dyDescent="0.25">
      <c r="A5491" s="3">
        <f>IF(Raw_Data!J5491=0,Raw_Data!D5491,"")</f>
        <v>982.16</v>
      </c>
      <c r="B5491" s="3" t="str">
        <f>IF(Raw_Data!J5491=1,Raw_Data!D5491,"")</f>
        <v/>
      </c>
    </row>
    <row r="5492" spans="1:2" x14ac:dyDescent="0.25">
      <c r="A5492" s="3">
        <f>IF(Raw_Data!J5492=0,Raw_Data!D5492,"")</f>
        <v>6167.64</v>
      </c>
      <c r="B5492" s="3" t="str">
        <f>IF(Raw_Data!J5492=1,Raw_Data!D5492,"")</f>
        <v/>
      </c>
    </row>
    <row r="5493" spans="1:2" x14ac:dyDescent="0.25">
      <c r="A5493" s="3">
        <f>IF(Raw_Data!J5493=0,Raw_Data!D5493,"")</f>
        <v>1563.18</v>
      </c>
      <c r="B5493" s="3" t="str">
        <f>IF(Raw_Data!J5493=1,Raw_Data!D5493,"")</f>
        <v/>
      </c>
    </row>
    <row r="5494" spans="1:2" x14ac:dyDescent="0.25">
      <c r="A5494" s="3">
        <f>IF(Raw_Data!J5494=0,Raw_Data!D5494,"")</f>
        <v>648.80999999999995</v>
      </c>
      <c r="B5494" s="3" t="str">
        <f>IF(Raw_Data!J5494=1,Raw_Data!D5494,"")</f>
        <v/>
      </c>
    </row>
    <row r="5495" spans="1:2" x14ac:dyDescent="0.25">
      <c r="A5495" s="3">
        <f>IF(Raw_Data!J5495=0,Raw_Data!D5495,"")</f>
        <v>1777.08</v>
      </c>
      <c r="B5495" s="3" t="str">
        <f>IF(Raw_Data!J5495=1,Raw_Data!D5495,"")</f>
        <v/>
      </c>
    </row>
    <row r="5496" spans="1:2" x14ac:dyDescent="0.25">
      <c r="A5496" s="3">
        <f>IF(Raw_Data!J5496=0,Raw_Data!D5496,"")</f>
        <v>1529.2</v>
      </c>
      <c r="B5496" s="3" t="str">
        <f>IF(Raw_Data!J5496=1,Raw_Data!D5496,"")</f>
        <v/>
      </c>
    </row>
    <row r="5497" spans="1:2" x14ac:dyDescent="0.25">
      <c r="A5497" s="3">
        <f>IF(Raw_Data!J5497=0,Raw_Data!D5497,"")</f>
        <v>1771.5</v>
      </c>
      <c r="B5497" s="3" t="str">
        <f>IF(Raw_Data!J5497=1,Raw_Data!D5497,"")</f>
        <v/>
      </c>
    </row>
    <row r="5498" spans="1:2" x14ac:dyDescent="0.25">
      <c r="A5498" s="3">
        <f>IF(Raw_Data!J5498=0,Raw_Data!D5498,"")</f>
        <v>1109.23</v>
      </c>
      <c r="B5498" s="3" t="str">
        <f>IF(Raw_Data!J5498=1,Raw_Data!D5498,"")</f>
        <v/>
      </c>
    </row>
    <row r="5499" spans="1:2" x14ac:dyDescent="0.25">
      <c r="A5499" s="3">
        <f>IF(Raw_Data!J5499=0,Raw_Data!D5499,"")</f>
        <v>1147.0899999999999</v>
      </c>
      <c r="B5499" s="3" t="str">
        <f>IF(Raw_Data!J5499=1,Raw_Data!D5499,"")</f>
        <v/>
      </c>
    </row>
    <row r="5500" spans="1:2" x14ac:dyDescent="0.25">
      <c r="A5500" s="3">
        <f>IF(Raw_Data!J5500=0,Raw_Data!D5500,"")</f>
        <v>3407.17</v>
      </c>
      <c r="B5500" s="3" t="str">
        <f>IF(Raw_Data!J5500=1,Raw_Data!D5500,"")</f>
        <v/>
      </c>
    </row>
    <row r="5501" spans="1:2" x14ac:dyDescent="0.25">
      <c r="A5501" s="3">
        <f>IF(Raw_Data!J5501=0,Raw_Data!D5501,"")</f>
        <v>1148.5899999999999</v>
      </c>
      <c r="B5501" s="3" t="str">
        <f>IF(Raw_Data!J5501=1,Raw_Data!D5501,"")</f>
        <v/>
      </c>
    </row>
    <row r="5502" spans="1:2" x14ac:dyDescent="0.25">
      <c r="A5502" s="3" t="str">
        <f>IF(Raw_Data!J5502=0,Raw_Data!D5502,"")</f>
        <v/>
      </c>
      <c r="B5502" s="3">
        <f>IF(Raw_Data!J5502=1,Raw_Data!D5502,"")</f>
        <v>5512.96</v>
      </c>
    </row>
    <row r="5503" spans="1:2" x14ac:dyDescent="0.25">
      <c r="A5503" s="3" t="str">
        <f>IF(Raw_Data!J5503=0,Raw_Data!D5503,"")</f>
        <v/>
      </c>
      <c r="B5503" s="3">
        <f>IF(Raw_Data!J5503=1,Raw_Data!D5503,"")</f>
        <v>983.83</v>
      </c>
    </row>
    <row r="5504" spans="1:2" x14ac:dyDescent="0.25">
      <c r="A5504" s="3">
        <f>IF(Raw_Data!J5504=0,Raw_Data!D5504,"")</f>
        <v>3883.7</v>
      </c>
      <c r="B5504" s="3" t="str">
        <f>IF(Raw_Data!J5504=1,Raw_Data!D5504,"")</f>
        <v/>
      </c>
    </row>
    <row r="5505" spans="1:2" x14ac:dyDescent="0.25">
      <c r="A5505" s="3">
        <f>IF(Raw_Data!J5505=0,Raw_Data!D5505,"")</f>
        <v>665.71</v>
      </c>
      <c r="B5505" s="3" t="str">
        <f>IF(Raw_Data!J5505=1,Raw_Data!D5505,"")</f>
        <v/>
      </c>
    </row>
    <row r="5506" spans="1:2" x14ac:dyDescent="0.25">
      <c r="A5506" s="3" t="str">
        <f>IF(Raw_Data!J5506=0,Raw_Data!D5506,"")</f>
        <v/>
      </c>
      <c r="B5506" s="3">
        <f>IF(Raw_Data!J5506=1,Raw_Data!D5506,"")</f>
        <v>5403.23</v>
      </c>
    </row>
    <row r="5507" spans="1:2" x14ac:dyDescent="0.25">
      <c r="A5507" s="3">
        <f>IF(Raw_Data!J5507=0,Raw_Data!D5507,"")</f>
        <v>1999.3</v>
      </c>
      <c r="B5507" s="3" t="str">
        <f>IF(Raw_Data!J5507=1,Raw_Data!D5507,"")</f>
        <v/>
      </c>
    </row>
    <row r="5508" spans="1:2" x14ac:dyDescent="0.25">
      <c r="A5508" s="3">
        <f>IF(Raw_Data!J5508=0,Raw_Data!D5508,"")</f>
        <v>1118.3399999999999</v>
      </c>
      <c r="B5508" s="3" t="str">
        <f>IF(Raw_Data!J5508=1,Raw_Data!D5508,"")</f>
        <v/>
      </c>
    </row>
    <row r="5509" spans="1:2" x14ac:dyDescent="0.25">
      <c r="A5509" s="3">
        <f>IF(Raw_Data!J5509=0,Raw_Data!D5509,"")</f>
        <v>671.04</v>
      </c>
      <c r="B5509" s="3" t="str">
        <f>IF(Raw_Data!J5509=1,Raw_Data!D5509,"")</f>
        <v/>
      </c>
    </row>
    <row r="5510" spans="1:2" x14ac:dyDescent="0.25">
      <c r="A5510" s="3" t="str">
        <f>IF(Raw_Data!J5510=0,Raw_Data!D5510,"")</f>
        <v/>
      </c>
      <c r="B5510" s="3">
        <f>IF(Raw_Data!J5510=1,Raw_Data!D5510,"")</f>
        <v>3036.47</v>
      </c>
    </row>
    <row r="5511" spans="1:2" x14ac:dyDescent="0.25">
      <c r="A5511" s="3">
        <f>IF(Raw_Data!J5511=0,Raw_Data!D5511,"")</f>
        <v>2740.43</v>
      </c>
      <c r="B5511" s="3" t="str">
        <f>IF(Raw_Data!J5511=1,Raw_Data!D5511,"")</f>
        <v/>
      </c>
    </row>
    <row r="5512" spans="1:2" x14ac:dyDescent="0.25">
      <c r="A5512" s="3">
        <f>IF(Raw_Data!J5512=0,Raw_Data!D5512,"")</f>
        <v>2646.56</v>
      </c>
      <c r="B5512" s="3" t="str">
        <f>IF(Raw_Data!J5512=1,Raw_Data!D5512,"")</f>
        <v/>
      </c>
    </row>
    <row r="5513" spans="1:2" x14ac:dyDescent="0.25">
      <c r="A5513" s="3">
        <f>IF(Raw_Data!J5513=0,Raw_Data!D5513,"")</f>
        <v>1947.82</v>
      </c>
      <c r="B5513" s="3" t="str">
        <f>IF(Raw_Data!J5513=1,Raw_Data!D5513,"")</f>
        <v/>
      </c>
    </row>
    <row r="5514" spans="1:2" x14ac:dyDescent="0.25">
      <c r="A5514" s="3">
        <f>IF(Raw_Data!J5514=0,Raw_Data!D5514,"")</f>
        <v>1255.6300000000001</v>
      </c>
      <c r="B5514" s="3" t="str">
        <f>IF(Raw_Data!J5514=1,Raw_Data!D5514,"")</f>
        <v/>
      </c>
    </row>
    <row r="5515" spans="1:2" x14ac:dyDescent="0.25">
      <c r="A5515" s="3">
        <f>IF(Raw_Data!J5515=0,Raw_Data!D5515,"")</f>
        <v>1878.2</v>
      </c>
      <c r="B5515" s="3" t="str">
        <f>IF(Raw_Data!J5515=1,Raw_Data!D5515,"")</f>
        <v/>
      </c>
    </row>
    <row r="5516" spans="1:2" x14ac:dyDescent="0.25">
      <c r="A5516" s="3">
        <f>IF(Raw_Data!J5516=0,Raw_Data!D5516,"")</f>
        <v>5943.96</v>
      </c>
      <c r="B5516" s="3" t="str">
        <f>IF(Raw_Data!J5516=1,Raw_Data!D5516,"")</f>
        <v/>
      </c>
    </row>
    <row r="5517" spans="1:2" x14ac:dyDescent="0.25">
      <c r="A5517" s="3">
        <f>IF(Raw_Data!J5517=0,Raw_Data!D5517,"")</f>
        <v>1909.01</v>
      </c>
      <c r="B5517" s="3" t="str">
        <f>IF(Raw_Data!J5517=1,Raw_Data!D5517,"")</f>
        <v/>
      </c>
    </row>
    <row r="5518" spans="1:2" x14ac:dyDescent="0.25">
      <c r="A5518" s="3" t="str">
        <f>IF(Raw_Data!J5518=0,Raw_Data!D5518,"")</f>
        <v/>
      </c>
      <c r="B5518" s="3">
        <f>IF(Raw_Data!J5518=1,Raw_Data!D5518,"")</f>
        <v>435.99</v>
      </c>
    </row>
    <row r="5519" spans="1:2" x14ac:dyDescent="0.25">
      <c r="A5519" s="3">
        <f>IF(Raw_Data!J5519=0,Raw_Data!D5519,"")</f>
        <v>653.54</v>
      </c>
      <c r="B5519" s="3" t="str">
        <f>IF(Raw_Data!J5519=1,Raw_Data!D5519,"")</f>
        <v/>
      </c>
    </row>
    <row r="5520" spans="1:2" x14ac:dyDescent="0.25">
      <c r="A5520" s="3">
        <f>IF(Raw_Data!J5520=0,Raw_Data!D5520,"")</f>
        <v>2675.52</v>
      </c>
      <c r="B5520" s="3" t="str">
        <f>IF(Raw_Data!J5520=1,Raw_Data!D5520,"")</f>
        <v/>
      </c>
    </row>
    <row r="5521" spans="1:2" x14ac:dyDescent="0.25">
      <c r="A5521" s="3">
        <f>IF(Raw_Data!J5521=0,Raw_Data!D5521,"")</f>
        <v>3444.75</v>
      </c>
      <c r="B5521" s="3" t="str">
        <f>IF(Raw_Data!J5521=1,Raw_Data!D5521,"")</f>
        <v/>
      </c>
    </row>
    <row r="5522" spans="1:2" x14ac:dyDescent="0.25">
      <c r="A5522" s="3">
        <f>IF(Raw_Data!J5522=0,Raw_Data!D5522,"")</f>
        <v>534.99</v>
      </c>
      <c r="B5522" s="3" t="str">
        <f>IF(Raw_Data!J5522=1,Raw_Data!D5522,"")</f>
        <v/>
      </c>
    </row>
    <row r="5523" spans="1:2" x14ac:dyDescent="0.25">
      <c r="A5523" s="3">
        <f>IF(Raw_Data!J5523=0,Raw_Data!D5523,"")</f>
        <v>2908.04</v>
      </c>
      <c r="B5523" s="3" t="str">
        <f>IF(Raw_Data!J5523=1,Raw_Data!D5523,"")</f>
        <v/>
      </c>
    </row>
    <row r="5524" spans="1:2" x14ac:dyDescent="0.25">
      <c r="A5524" s="3">
        <f>IF(Raw_Data!J5524=0,Raw_Data!D5524,"")</f>
        <v>1103.51</v>
      </c>
      <c r="B5524" s="3" t="str">
        <f>IF(Raw_Data!J5524=1,Raw_Data!D5524,"")</f>
        <v/>
      </c>
    </row>
    <row r="5525" spans="1:2" x14ac:dyDescent="0.25">
      <c r="A5525" s="3">
        <f>IF(Raw_Data!J5525=0,Raw_Data!D5525,"")</f>
        <v>1749.31</v>
      </c>
      <c r="B5525" s="3" t="str">
        <f>IF(Raw_Data!J5525=1,Raw_Data!D5525,"")</f>
        <v/>
      </c>
    </row>
    <row r="5526" spans="1:2" x14ac:dyDescent="0.25">
      <c r="A5526" s="3" t="str">
        <f>IF(Raw_Data!J5526=0,Raw_Data!D5526,"")</f>
        <v/>
      </c>
      <c r="B5526" s="3">
        <f>IF(Raw_Data!J5526=1,Raw_Data!D5526,"")</f>
        <v>4195.34</v>
      </c>
    </row>
    <row r="5527" spans="1:2" x14ac:dyDescent="0.25">
      <c r="A5527" s="3" t="str">
        <f>IF(Raw_Data!J5527=0,Raw_Data!D5527,"")</f>
        <v/>
      </c>
      <c r="B5527" s="3">
        <f>IF(Raw_Data!J5527=1,Raw_Data!D5527,"")</f>
        <v>662.76</v>
      </c>
    </row>
    <row r="5528" spans="1:2" x14ac:dyDescent="0.25">
      <c r="A5528" s="3">
        <f>IF(Raw_Data!J5528=0,Raw_Data!D5528,"")</f>
        <v>2260.94</v>
      </c>
      <c r="B5528" s="3" t="str">
        <f>IF(Raw_Data!J5528=1,Raw_Data!D5528,"")</f>
        <v/>
      </c>
    </row>
    <row r="5529" spans="1:2" x14ac:dyDescent="0.25">
      <c r="A5529" s="3">
        <f>IF(Raw_Data!J5529=0,Raw_Data!D5529,"")</f>
        <v>1436.87</v>
      </c>
      <c r="B5529" s="3" t="str">
        <f>IF(Raw_Data!J5529=1,Raw_Data!D5529,"")</f>
        <v/>
      </c>
    </row>
    <row r="5530" spans="1:2" x14ac:dyDescent="0.25">
      <c r="A5530" s="3">
        <f>IF(Raw_Data!J5530=0,Raw_Data!D5530,"")</f>
        <v>3019.86</v>
      </c>
      <c r="B5530" s="3" t="str">
        <f>IF(Raw_Data!J5530=1,Raw_Data!D5530,"")</f>
        <v/>
      </c>
    </row>
    <row r="5531" spans="1:2" x14ac:dyDescent="0.25">
      <c r="A5531" s="3">
        <f>IF(Raw_Data!J5531=0,Raw_Data!D5531,"")</f>
        <v>12058.4</v>
      </c>
      <c r="B5531" s="3" t="str">
        <f>IF(Raw_Data!J5531=1,Raw_Data!D5531,"")</f>
        <v/>
      </c>
    </row>
    <row r="5532" spans="1:2" x14ac:dyDescent="0.25">
      <c r="A5532" s="3" t="str">
        <f>IF(Raw_Data!J5532=0,Raw_Data!D5532,"")</f>
        <v/>
      </c>
      <c r="B5532" s="3">
        <f>IF(Raw_Data!J5532=1,Raw_Data!D5532,"")</f>
        <v>642.9</v>
      </c>
    </row>
    <row r="5533" spans="1:2" x14ac:dyDescent="0.25">
      <c r="A5533" s="3">
        <f>IF(Raw_Data!J5533=0,Raw_Data!D5533,"")</f>
        <v>1203.43</v>
      </c>
      <c r="B5533" s="3" t="str">
        <f>IF(Raw_Data!J5533=1,Raw_Data!D5533,"")</f>
        <v/>
      </c>
    </row>
    <row r="5534" spans="1:2" x14ac:dyDescent="0.25">
      <c r="A5534" s="3">
        <f>IF(Raw_Data!J5534=0,Raw_Data!D5534,"")</f>
        <v>1236.92</v>
      </c>
      <c r="B5534" s="3" t="str">
        <f>IF(Raw_Data!J5534=1,Raw_Data!D5534,"")</f>
        <v/>
      </c>
    </row>
    <row r="5535" spans="1:2" x14ac:dyDescent="0.25">
      <c r="A5535" s="3">
        <f>IF(Raw_Data!J5535=0,Raw_Data!D5535,"")</f>
        <v>5257.87</v>
      </c>
      <c r="B5535" s="3" t="str">
        <f>IF(Raw_Data!J5535=1,Raw_Data!D5535,"")</f>
        <v/>
      </c>
    </row>
    <row r="5536" spans="1:2" x14ac:dyDescent="0.25">
      <c r="A5536" s="3">
        <f>IF(Raw_Data!J5536=0,Raw_Data!D5536,"")</f>
        <v>4810.79</v>
      </c>
      <c r="B5536" s="3" t="str">
        <f>IF(Raw_Data!J5536=1,Raw_Data!D5536,"")</f>
        <v/>
      </c>
    </row>
    <row r="5537" spans="1:2" x14ac:dyDescent="0.25">
      <c r="A5537" s="3">
        <f>IF(Raw_Data!J5537=0,Raw_Data!D5537,"")</f>
        <v>1413.31</v>
      </c>
      <c r="B5537" s="3" t="str">
        <f>IF(Raw_Data!J5537=1,Raw_Data!D5537,"")</f>
        <v/>
      </c>
    </row>
    <row r="5538" spans="1:2" x14ac:dyDescent="0.25">
      <c r="A5538" s="3">
        <f>IF(Raw_Data!J5538=0,Raw_Data!D5538,"")</f>
        <v>1095.0899999999999</v>
      </c>
      <c r="B5538" s="3" t="str">
        <f>IF(Raw_Data!J5538=1,Raw_Data!D5538,"")</f>
        <v/>
      </c>
    </row>
    <row r="5539" spans="1:2" x14ac:dyDescent="0.25">
      <c r="A5539" s="3">
        <f>IF(Raw_Data!J5539=0,Raw_Data!D5539,"")</f>
        <v>1747.13</v>
      </c>
      <c r="B5539" s="3" t="str">
        <f>IF(Raw_Data!J5539=1,Raw_Data!D5539,"")</f>
        <v/>
      </c>
    </row>
    <row r="5540" spans="1:2" x14ac:dyDescent="0.25">
      <c r="A5540" s="3">
        <f>IF(Raw_Data!J5540=0,Raw_Data!D5540,"")</f>
        <v>1126.29</v>
      </c>
      <c r="B5540" s="3" t="str">
        <f>IF(Raw_Data!J5540=1,Raw_Data!D5540,"")</f>
        <v/>
      </c>
    </row>
    <row r="5541" spans="1:2" x14ac:dyDescent="0.25">
      <c r="A5541" s="3">
        <f>IF(Raw_Data!J5541=0,Raw_Data!D5541,"")</f>
        <v>2562.33</v>
      </c>
      <c r="B5541" s="3" t="str">
        <f>IF(Raw_Data!J5541=1,Raw_Data!D5541,"")</f>
        <v/>
      </c>
    </row>
    <row r="5542" spans="1:2" x14ac:dyDescent="0.25">
      <c r="A5542" s="3" t="str">
        <f>IF(Raw_Data!J5542=0,Raw_Data!D5542,"")</f>
        <v/>
      </c>
      <c r="B5542" s="3">
        <f>IF(Raw_Data!J5542=1,Raw_Data!D5542,"")</f>
        <v>866.37</v>
      </c>
    </row>
    <row r="5543" spans="1:2" x14ac:dyDescent="0.25">
      <c r="A5543" s="3">
        <f>IF(Raw_Data!J5543=0,Raw_Data!D5543,"")</f>
        <v>1769.6</v>
      </c>
      <c r="B5543" s="3" t="str">
        <f>IF(Raw_Data!J5543=1,Raw_Data!D5543,"")</f>
        <v/>
      </c>
    </row>
    <row r="5544" spans="1:2" x14ac:dyDescent="0.25">
      <c r="A5544" s="3">
        <f>IF(Raw_Data!J5544=0,Raw_Data!D5544,"")</f>
        <v>2625.65</v>
      </c>
      <c r="B5544" s="3" t="str">
        <f>IF(Raw_Data!J5544=1,Raw_Data!D5544,"")</f>
        <v/>
      </c>
    </row>
    <row r="5545" spans="1:2" x14ac:dyDescent="0.25">
      <c r="A5545" s="3">
        <f>IF(Raw_Data!J5545=0,Raw_Data!D5545,"")</f>
        <v>2517.35</v>
      </c>
      <c r="B5545" s="3" t="str">
        <f>IF(Raw_Data!J5545=1,Raw_Data!D5545,"")</f>
        <v/>
      </c>
    </row>
    <row r="5546" spans="1:2" x14ac:dyDescent="0.25">
      <c r="A5546" s="3">
        <f>IF(Raw_Data!J5546=0,Raw_Data!D5546,"")</f>
        <v>552.05999999999995</v>
      </c>
      <c r="B5546" s="3" t="str">
        <f>IF(Raw_Data!J5546=1,Raw_Data!D5546,"")</f>
        <v/>
      </c>
    </row>
    <row r="5547" spans="1:2" x14ac:dyDescent="0.25">
      <c r="A5547" s="3">
        <f>IF(Raw_Data!J5547=0,Raw_Data!D5547,"")</f>
        <v>8202.7099999999991</v>
      </c>
      <c r="B5547" s="3" t="str">
        <f>IF(Raw_Data!J5547=1,Raw_Data!D5547,"")</f>
        <v/>
      </c>
    </row>
    <row r="5548" spans="1:2" x14ac:dyDescent="0.25">
      <c r="A5548" s="3">
        <f>IF(Raw_Data!J5548=0,Raw_Data!D5548,"")</f>
        <v>1767.16</v>
      </c>
      <c r="B5548" s="3" t="str">
        <f>IF(Raw_Data!J5548=1,Raw_Data!D5548,"")</f>
        <v/>
      </c>
    </row>
    <row r="5549" spans="1:2" x14ac:dyDescent="0.25">
      <c r="A5549" s="3">
        <f>IF(Raw_Data!J5549=0,Raw_Data!D5549,"")</f>
        <v>545.14</v>
      </c>
      <c r="B5549" s="3" t="str">
        <f>IF(Raw_Data!J5549=1,Raw_Data!D5549,"")</f>
        <v/>
      </c>
    </row>
    <row r="5550" spans="1:2" x14ac:dyDescent="0.25">
      <c r="A5550" s="3">
        <f>IF(Raw_Data!J5550=0,Raw_Data!D5550,"")</f>
        <v>4492.55</v>
      </c>
      <c r="B5550" s="3" t="str">
        <f>IF(Raw_Data!J5550=1,Raw_Data!D5550,"")</f>
        <v/>
      </c>
    </row>
    <row r="5551" spans="1:2" x14ac:dyDescent="0.25">
      <c r="A5551" s="3">
        <f>IF(Raw_Data!J5551=0,Raw_Data!D5551,"")</f>
        <v>4002.93</v>
      </c>
      <c r="B5551" s="3" t="str">
        <f>IF(Raw_Data!J5551=1,Raw_Data!D5551,"")</f>
        <v/>
      </c>
    </row>
    <row r="5552" spans="1:2" x14ac:dyDescent="0.25">
      <c r="A5552" s="3" t="str">
        <f>IF(Raw_Data!J5552=0,Raw_Data!D5552,"")</f>
        <v/>
      </c>
      <c r="B5552" s="3">
        <f>IF(Raw_Data!J5552=1,Raw_Data!D5552,"")</f>
        <v>1730.14</v>
      </c>
    </row>
    <row r="5553" spans="1:2" x14ac:dyDescent="0.25">
      <c r="A5553" s="3">
        <f>IF(Raw_Data!J5553=0,Raw_Data!D5553,"")</f>
        <v>3781.42</v>
      </c>
      <c r="B5553" s="3" t="str">
        <f>IF(Raw_Data!J5553=1,Raw_Data!D5553,"")</f>
        <v/>
      </c>
    </row>
    <row r="5554" spans="1:2" x14ac:dyDescent="0.25">
      <c r="A5554" s="3">
        <f>IF(Raw_Data!J5554=0,Raw_Data!D5554,"")</f>
        <v>5029.8</v>
      </c>
      <c r="B5554" s="3" t="str">
        <f>IF(Raw_Data!J5554=1,Raw_Data!D5554,"")</f>
        <v/>
      </c>
    </row>
    <row r="5555" spans="1:2" x14ac:dyDescent="0.25">
      <c r="A5555" s="3">
        <f>IF(Raw_Data!J5555=0,Raw_Data!D5555,"")</f>
        <v>5196.55</v>
      </c>
      <c r="B5555" s="3" t="str">
        <f>IF(Raw_Data!J5555=1,Raw_Data!D5555,"")</f>
        <v/>
      </c>
    </row>
    <row r="5556" spans="1:2" x14ac:dyDescent="0.25">
      <c r="A5556" s="3">
        <f>IF(Raw_Data!J5556=0,Raw_Data!D5556,"")</f>
        <v>2826.35</v>
      </c>
      <c r="B5556" s="3" t="str">
        <f>IF(Raw_Data!J5556=1,Raw_Data!D5556,"")</f>
        <v/>
      </c>
    </row>
    <row r="5557" spans="1:2" x14ac:dyDescent="0.25">
      <c r="A5557" s="3">
        <f>IF(Raw_Data!J5557=0,Raw_Data!D5557,"")</f>
        <v>4934.6000000000004</v>
      </c>
      <c r="B5557" s="3" t="str">
        <f>IF(Raw_Data!J5557=1,Raw_Data!D5557,"")</f>
        <v/>
      </c>
    </row>
    <row r="5558" spans="1:2" x14ac:dyDescent="0.25">
      <c r="A5558" s="3">
        <f>IF(Raw_Data!J5558=0,Raw_Data!D5558,"")</f>
        <v>2172.94</v>
      </c>
      <c r="B5558" s="3" t="str">
        <f>IF(Raw_Data!J5558=1,Raw_Data!D5558,"")</f>
        <v/>
      </c>
    </row>
    <row r="5559" spans="1:2" x14ac:dyDescent="0.25">
      <c r="A5559" s="3">
        <f>IF(Raw_Data!J5559=0,Raw_Data!D5559,"")</f>
        <v>2528.64</v>
      </c>
      <c r="B5559" s="3" t="str">
        <f>IF(Raw_Data!J5559=1,Raw_Data!D5559,"")</f>
        <v/>
      </c>
    </row>
    <row r="5560" spans="1:2" x14ac:dyDescent="0.25">
      <c r="A5560" s="3" t="str">
        <f>IF(Raw_Data!J5560=0,Raw_Data!D5560,"")</f>
        <v/>
      </c>
      <c r="B5560" s="3">
        <f>IF(Raw_Data!J5560=1,Raw_Data!D5560,"")</f>
        <v>2585.9499999999998</v>
      </c>
    </row>
    <row r="5561" spans="1:2" x14ac:dyDescent="0.25">
      <c r="A5561" s="3" t="str">
        <f>IF(Raw_Data!J5561=0,Raw_Data!D5561,"")</f>
        <v/>
      </c>
      <c r="B5561" s="3">
        <f>IF(Raw_Data!J5561=1,Raw_Data!D5561,"")</f>
        <v>1359.07</v>
      </c>
    </row>
    <row r="5562" spans="1:2" x14ac:dyDescent="0.25">
      <c r="A5562" s="3">
        <f>IF(Raw_Data!J5562=0,Raw_Data!D5562,"")</f>
        <v>1624.84</v>
      </c>
      <c r="B5562" s="3" t="str">
        <f>IF(Raw_Data!J5562=1,Raw_Data!D5562,"")</f>
        <v/>
      </c>
    </row>
    <row r="5563" spans="1:2" x14ac:dyDescent="0.25">
      <c r="A5563" s="3">
        <f>IF(Raw_Data!J5563=0,Raw_Data!D5563,"")</f>
        <v>2393.48</v>
      </c>
      <c r="B5563" s="3" t="str">
        <f>IF(Raw_Data!J5563=1,Raw_Data!D5563,"")</f>
        <v/>
      </c>
    </row>
    <row r="5564" spans="1:2" x14ac:dyDescent="0.25">
      <c r="A5564" s="3">
        <f>IF(Raw_Data!J5564=0,Raw_Data!D5564,"")</f>
        <v>3090.49</v>
      </c>
      <c r="B5564" s="3" t="str">
        <f>IF(Raw_Data!J5564=1,Raw_Data!D5564,"")</f>
        <v/>
      </c>
    </row>
    <row r="5565" spans="1:2" x14ac:dyDescent="0.25">
      <c r="A5565" s="3">
        <f>IF(Raw_Data!J5565=0,Raw_Data!D5565,"")</f>
        <v>1989.73</v>
      </c>
      <c r="B5565" s="3" t="str">
        <f>IF(Raw_Data!J5565=1,Raw_Data!D5565,"")</f>
        <v/>
      </c>
    </row>
    <row r="5566" spans="1:2" x14ac:dyDescent="0.25">
      <c r="A5566" s="3">
        <f>IF(Raw_Data!J5566=0,Raw_Data!D5566,"")</f>
        <v>2063.12</v>
      </c>
      <c r="B5566" s="3" t="str">
        <f>IF(Raw_Data!J5566=1,Raw_Data!D5566,"")</f>
        <v/>
      </c>
    </row>
    <row r="5567" spans="1:2" x14ac:dyDescent="0.25">
      <c r="A5567" s="3">
        <f>IF(Raw_Data!J5567=0,Raw_Data!D5567,"")</f>
        <v>1563.2</v>
      </c>
      <c r="B5567" s="3" t="str">
        <f>IF(Raw_Data!J5567=1,Raw_Data!D5567,"")</f>
        <v/>
      </c>
    </row>
    <row r="5568" spans="1:2" x14ac:dyDescent="0.25">
      <c r="A5568" s="3" t="str">
        <f>IF(Raw_Data!J5568=0,Raw_Data!D5568,"")</f>
        <v/>
      </c>
      <c r="B5568" s="3">
        <f>IF(Raw_Data!J5568=1,Raw_Data!D5568,"")</f>
        <v>2734.47</v>
      </c>
    </row>
    <row r="5569" spans="1:2" x14ac:dyDescent="0.25">
      <c r="A5569" s="3">
        <f>IF(Raw_Data!J5569=0,Raw_Data!D5569,"")</f>
        <v>2305.13</v>
      </c>
      <c r="B5569" s="3" t="str">
        <f>IF(Raw_Data!J5569=1,Raw_Data!D5569,"")</f>
        <v/>
      </c>
    </row>
    <row r="5570" spans="1:2" x14ac:dyDescent="0.25">
      <c r="A5570" s="3">
        <f>IF(Raw_Data!J5570=0,Raw_Data!D5570,"")</f>
        <v>2254.2199999999998</v>
      </c>
      <c r="B5570" s="3" t="str">
        <f>IF(Raw_Data!J5570=1,Raw_Data!D5570,"")</f>
        <v/>
      </c>
    </row>
    <row r="5571" spans="1:2" x14ac:dyDescent="0.25">
      <c r="A5571" s="3">
        <f>IF(Raw_Data!J5571=0,Raw_Data!D5571,"")</f>
        <v>4124.43</v>
      </c>
      <c r="B5571" s="3" t="str">
        <f>IF(Raw_Data!J5571=1,Raw_Data!D5571,"")</f>
        <v/>
      </c>
    </row>
    <row r="5572" spans="1:2" x14ac:dyDescent="0.25">
      <c r="A5572" s="3">
        <f>IF(Raw_Data!J5572=0,Raw_Data!D5572,"")</f>
        <v>2995.78</v>
      </c>
      <c r="B5572" s="3" t="str">
        <f>IF(Raw_Data!J5572=1,Raw_Data!D5572,"")</f>
        <v/>
      </c>
    </row>
    <row r="5573" spans="1:2" x14ac:dyDescent="0.25">
      <c r="A5573" s="3">
        <f>IF(Raw_Data!J5573=0,Raw_Data!D5573,"")</f>
        <v>2575.9699999999998</v>
      </c>
      <c r="B5573" s="3" t="str">
        <f>IF(Raw_Data!J5573=1,Raw_Data!D5573,"")</f>
        <v/>
      </c>
    </row>
    <row r="5574" spans="1:2" x14ac:dyDescent="0.25">
      <c r="A5574" s="3" t="str">
        <f>IF(Raw_Data!J5574=0,Raw_Data!D5574,"")</f>
        <v/>
      </c>
      <c r="B5574" s="3">
        <f>IF(Raw_Data!J5574=1,Raw_Data!D5574,"")</f>
        <v>2213.2800000000002</v>
      </c>
    </row>
    <row r="5575" spans="1:2" x14ac:dyDescent="0.25">
      <c r="A5575" s="3">
        <f>IF(Raw_Data!J5575=0,Raw_Data!D5575,"")</f>
        <v>2190.56</v>
      </c>
      <c r="B5575" s="3" t="str">
        <f>IF(Raw_Data!J5575=1,Raw_Data!D5575,"")</f>
        <v/>
      </c>
    </row>
    <row r="5576" spans="1:2" x14ac:dyDescent="0.25">
      <c r="A5576" s="3">
        <f>IF(Raw_Data!J5576=0,Raw_Data!D5576,"")</f>
        <v>605.79</v>
      </c>
      <c r="B5576" s="3" t="str">
        <f>IF(Raw_Data!J5576=1,Raw_Data!D5576,"")</f>
        <v/>
      </c>
    </row>
    <row r="5577" spans="1:2" x14ac:dyDescent="0.25">
      <c r="A5577" s="3" t="str">
        <f>IF(Raw_Data!J5577=0,Raw_Data!D5577,"")</f>
        <v/>
      </c>
      <c r="B5577" s="3">
        <f>IF(Raw_Data!J5577=1,Raw_Data!D5577,"")</f>
        <v>2830.24</v>
      </c>
    </row>
    <row r="5578" spans="1:2" x14ac:dyDescent="0.25">
      <c r="A5578" s="3">
        <f>IF(Raw_Data!J5578=0,Raw_Data!D5578,"")</f>
        <v>1607.23</v>
      </c>
      <c r="B5578" s="3" t="str">
        <f>IF(Raw_Data!J5578=1,Raw_Data!D5578,"")</f>
        <v/>
      </c>
    </row>
    <row r="5579" spans="1:2" x14ac:dyDescent="0.25">
      <c r="A5579" s="3">
        <f>IF(Raw_Data!J5579=0,Raw_Data!D5579,"")</f>
        <v>1892.96</v>
      </c>
      <c r="B5579" s="3" t="str">
        <f>IF(Raw_Data!J5579=1,Raw_Data!D5579,"")</f>
        <v/>
      </c>
    </row>
    <row r="5580" spans="1:2" x14ac:dyDescent="0.25">
      <c r="A5580" s="3">
        <f>IF(Raw_Data!J5580=0,Raw_Data!D5580,"")</f>
        <v>4207.6899999999996</v>
      </c>
      <c r="B5580" s="3" t="str">
        <f>IF(Raw_Data!J5580=1,Raw_Data!D5580,"")</f>
        <v/>
      </c>
    </row>
    <row r="5581" spans="1:2" x14ac:dyDescent="0.25">
      <c r="A5581" s="3">
        <f>IF(Raw_Data!J5581=0,Raw_Data!D5581,"")</f>
        <v>4924.2</v>
      </c>
      <c r="B5581" s="3" t="str">
        <f>IF(Raw_Data!J5581=1,Raw_Data!D5581,"")</f>
        <v/>
      </c>
    </row>
    <row r="5582" spans="1:2" x14ac:dyDescent="0.25">
      <c r="A5582" s="3">
        <f>IF(Raw_Data!J5582=0,Raw_Data!D5582,"")</f>
        <v>3924.34</v>
      </c>
      <c r="B5582" s="3" t="str">
        <f>IF(Raw_Data!J5582=1,Raw_Data!D5582,"")</f>
        <v/>
      </c>
    </row>
    <row r="5583" spans="1:2" x14ac:dyDescent="0.25">
      <c r="A5583" s="3" t="str">
        <f>IF(Raw_Data!J5583=0,Raw_Data!D5583,"")</f>
        <v/>
      </c>
      <c r="B5583" s="3">
        <f>IF(Raw_Data!J5583=1,Raw_Data!D5583,"")</f>
        <v>633.35</v>
      </c>
    </row>
    <row r="5584" spans="1:2" x14ac:dyDescent="0.25">
      <c r="A5584" s="3">
        <f>IF(Raw_Data!J5584=0,Raw_Data!D5584,"")</f>
        <v>5044.38</v>
      </c>
      <c r="B5584" s="3" t="str">
        <f>IF(Raw_Data!J5584=1,Raw_Data!D5584,"")</f>
        <v/>
      </c>
    </row>
    <row r="5585" spans="1:2" x14ac:dyDescent="0.25">
      <c r="A5585" s="3">
        <f>IF(Raw_Data!J5585=0,Raw_Data!D5585,"")</f>
        <v>312.41000000000003</v>
      </c>
      <c r="B5585" s="3" t="str">
        <f>IF(Raw_Data!J5585=1,Raw_Data!D5585,"")</f>
        <v/>
      </c>
    </row>
    <row r="5586" spans="1:2" x14ac:dyDescent="0.25">
      <c r="A5586" s="3" t="str">
        <f>IF(Raw_Data!J5586=0,Raw_Data!D5586,"")</f>
        <v/>
      </c>
      <c r="B5586" s="3">
        <f>IF(Raw_Data!J5586=1,Raw_Data!D5586,"")</f>
        <v>978.73</v>
      </c>
    </row>
    <row r="5587" spans="1:2" x14ac:dyDescent="0.25">
      <c r="A5587" s="3">
        <f>IF(Raw_Data!J5587=0,Raw_Data!D5587,"")</f>
        <v>1294.73</v>
      </c>
      <c r="B5587" s="3" t="str">
        <f>IF(Raw_Data!J5587=1,Raw_Data!D5587,"")</f>
        <v/>
      </c>
    </row>
    <row r="5588" spans="1:2" x14ac:dyDescent="0.25">
      <c r="A5588" s="3">
        <f>IF(Raw_Data!J5588=0,Raw_Data!D5588,"")</f>
        <v>2398.4499999999998</v>
      </c>
      <c r="B5588" s="3" t="str">
        <f>IF(Raw_Data!J5588=1,Raw_Data!D5588,"")</f>
        <v/>
      </c>
    </row>
    <row r="5589" spans="1:2" x14ac:dyDescent="0.25">
      <c r="A5589" s="3">
        <f>IF(Raw_Data!J5589=0,Raw_Data!D5589,"")</f>
        <v>2658.42</v>
      </c>
      <c r="B5589" s="3" t="str">
        <f>IF(Raw_Data!J5589=1,Raw_Data!D5589,"")</f>
        <v/>
      </c>
    </row>
    <row r="5590" spans="1:2" x14ac:dyDescent="0.25">
      <c r="A5590" s="3">
        <f>IF(Raw_Data!J5590=0,Raw_Data!D5590,"")</f>
        <v>4158.79</v>
      </c>
      <c r="B5590" s="3" t="str">
        <f>IF(Raw_Data!J5590=1,Raw_Data!D5590,"")</f>
        <v/>
      </c>
    </row>
    <row r="5591" spans="1:2" x14ac:dyDescent="0.25">
      <c r="A5591" s="3">
        <f>IF(Raw_Data!J5591=0,Raw_Data!D5591,"")</f>
        <v>1296.31</v>
      </c>
      <c r="B5591" s="3" t="str">
        <f>IF(Raw_Data!J5591=1,Raw_Data!D5591,"")</f>
        <v/>
      </c>
    </row>
    <row r="5592" spans="1:2" x14ac:dyDescent="0.25">
      <c r="A5592" s="3">
        <f>IF(Raw_Data!J5592=0,Raw_Data!D5592,"")</f>
        <v>8829.49</v>
      </c>
      <c r="B5592" s="3" t="str">
        <f>IF(Raw_Data!J5592=1,Raw_Data!D5592,"")</f>
        <v/>
      </c>
    </row>
    <row r="5593" spans="1:2" x14ac:dyDescent="0.25">
      <c r="A5593" s="3" t="str">
        <f>IF(Raw_Data!J5593=0,Raw_Data!D5593,"")</f>
        <v/>
      </c>
      <c r="B5593" s="3">
        <f>IF(Raw_Data!J5593=1,Raw_Data!D5593,"")</f>
        <v>4015.26</v>
      </c>
    </row>
    <row r="5594" spans="1:2" x14ac:dyDescent="0.25">
      <c r="A5594" s="3" t="str">
        <f>IF(Raw_Data!J5594=0,Raw_Data!D5594,"")</f>
        <v/>
      </c>
      <c r="B5594" s="3">
        <f>IF(Raw_Data!J5594=1,Raw_Data!D5594,"")</f>
        <v>948.14</v>
      </c>
    </row>
    <row r="5595" spans="1:2" x14ac:dyDescent="0.25">
      <c r="A5595" s="3" t="str">
        <f>IF(Raw_Data!J5595=0,Raw_Data!D5595,"")</f>
        <v/>
      </c>
      <c r="B5595" s="3">
        <f>IF(Raw_Data!J5595=1,Raw_Data!D5595,"")</f>
        <v>1505.96</v>
      </c>
    </row>
    <row r="5596" spans="1:2" x14ac:dyDescent="0.25">
      <c r="A5596" s="3">
        <f>IF(Raw_Data!J5596=0,Raw_Data!D5596,"")</f>
        <v>1524.74</v>
      </c>
      <c r="B5596" s="3" t="str">
        <f>IF(Raw_Data!J5596=1,Raw_Data!D5596,"")</f>
        <v/>
      </c>
    </row>
    <row r="5597" spans="1:2" x14ac:dyDescent="0.25">
      <c r="A5597" s="3">
        <f>IF(Raw_Data!J5597=0,Raw_Data!D5597,"")</f>
        <v>958.25</v>
      </c>
      <c r="B5597" s="3" t="str">
        <f>IF(Raw_Data!J5597=1,Raw_Data!D5597,"")</f>
        <v/>
      </c>
    </row>
    <row r="5598" spans="1:2" x14ac:dyDescent="0.25">
      <c r="A5598" s="3">
        <f>IF(Raw_Data!J5598=0,Raw_Data!D5598,"")</f>
        <v>1369.75</v>
      </c>
      <c r="B5598" s="3" t="str">
        <f>IF(Raw_Data!J5598=1,Raw_Data!D5598,"")</f>
        <v/>
      </c>
    </row>
    <row r="5599" spans="1:2" x14ac:dyDescent="0.25">
      <c r="A5599" s="3">
        <f>IF(Raw_Data!J5599=0,Raw_Data!D5599,"")</f>
        <v>1156.77</v>
      </c>
      <c r="B5599" s="3" t="str">
        <f>IF(Raw_Data!J5599=1,Raw_Data!D5599,"")</f>
        <v/>
      </c>
    </row>
    <row r="5600" spans="1:2" x14ac:dyDescent="0.25">
      <c r="A5600" s="3">
        <f>IF(Raw_Data!J5600=0,Raw_Data!D5600,"")</f>
        <v>1883.42</v>
      </c>
      <c r="B5600" s="3" t="str">
        <f>IF(Raw_Data!J5600=1,Raw_Data!D5600,"")</f>
        <v/>
      </c>
    </row>
    <row r="5601" spans="1:2" x14ac:dyDescent="0.25">
      <c r="A5601" s="3">
        <f>IF(Raw_Data!J5601=0,Raw_Data!D5601,"")</f>
        <v>7859.72</v>
      </c>
      <c r="B5601" s="3" t="str">
        <f>IF(Raw_Data!J5601=1,Raw_Data!D5601,"")</f>
        <v/>
      </c>
    </row>
    <row r="5602" spans="1:2" x14ac:dyDescent="0.25">
      <c r="A5602" s="3">
        <f>IF(Raw_Data!J5602=0,Raw_Data!D5602,"")</f>
        <v>2148.5</v>
      </c>
      <c r="B5602" s="3" t="str">
        <f>IF(Raw_Data!J5602=1,Raw_Data!D5602,"")</f>
        <v/>
      </c>
    </row>
    <row r="5603" spans="1:2" x14ac:dyDescent="0.25">
      <c r="A5603" s="3">
        <f>IF(Raw_Data!J5603=0,Raw_Data!D5603,"")</f>
        <v>1530.07</v>
      </c>
      <c r="B5603" s="3" t="str">
        <f>IF(Raw_Data!J5603=1,Raw_Data!D5603,"")</f>
        <v/>
      </c>
    </row>
    <row r="5604" spans="1:2" x14ac:dyDescent="0.25">
      <c r="A5604" s="3" t="str">
        <f>IF(Raw_Data!J5604=0,Raw_Data!D5604,"")</f>
        <v/>
      </c>
      <c r="B5604" s="3">
        <f>IF(Raw_Data!J5604=1,Raw_Data!D5604,"")</f>
        <v>3875.06</v>
      </c>
    </row>
    <row r="5605" spans="1:2" x14ac:dyDescent="0.25">
      <c r="A5605" s="3">
        <f>IF(Raw_Data!J5605=0,Raw_Data!D5605,"")</f>
        <v>1014.78</v>
      </c>
      <c r="B5605" s="3" t="str">
        <f>IF(Raw_Data!J5605=1,Raw_Data!D5605,"")</f>
        <v/>
      </c>
    </row>
    <row r="5606" spans="1:2" x14ac:dyDescent="0.25">
      <c r="A5606" s="3" t="str">
        <f>IF(Raw_Data!J5606=0,Raw_Data!D5606,"")</f>
        <v/>
      </c>
      <c r="B5606" s="3">
        <f>IF(Raw_Data!J5606=1,Raw_Data!D5606,"")</f>
        <v>2147.62</v>
      </c>
    </row>
    <row r="5607" spans="1:2" x14ac:dyDescent="0.25">
      <c r="A5607" s="3">
        <f>IF(Raw_Data!J5607=0,Raw_Data!D5607,"")</f>
        <v>3393.35</v>
      </c>
      <c r="B5607" s="3" t="str">
        <f>IF(Raw_Data!J5607=1,Raw_Data!D5607,"")</f>
        <v/>
      </c>
    </row>
    <row r="5608" spans="1:2" x14ac:dyDescent="0.25">
      <c r="A5608" s="3">
        <f>IF(Raw_Data!J5608=0,Raw_Data!D5608,"")</f>
        <v>1848</v>
      </c>
      <c r="B5608" s="3" t="str">
        <f>IF(Raw_Data!J5608=1,Raw_Data!D5608,"")</f>
        <v/>
      </c>
    </row>
    <row r="5609" spans="1:2" x14ac:dyDescent="0.25">
      <c r="A5609" s="3">
        <f>IF(Raw_Data!J5609=0,Raw_Data!D5609,"")</f>
        <v>2919.04</v>
      </c>
      <c r="B5609" s="3" t="str">
        <f>IF(Raw_Data!J5609=1,Raw_Data!D5609,"")</f>
        <v/>
      </c>
    </row>
    <row r="5610" spans="1:2" x14ac:dyDescent="0.25">
      <c r="A5610" s="3">
        <f>IF(Raw_Data!J5610=0,Raw_Data!D5610,"")</f>
        <v>1817.3</v>
      </c>
      <c r="B5610" s="3" t="str">
        <f>IF(Raw_Data!J5610=1,Raw_Data!D5610,"")</f>
        <v/>
      </c>
    </row>
    <row r="5611" spans="1:2" x14ac:dyDescent="0.25">
      <c r="A5611" s="3">
        <f>IF(Raw_Data!J5611=0,Raw_Data!D5611,"")</f>
        <v>2549.3000000000002</v>
      </c>
      <c r="B5611" s="3" t="str">
        <f>IF(Raw_Data!J5611=1,Raw_Data!D5611,"")</f>
        <v/>
      </c>
    </row>
    <row r="5612" spans="1:2" x14ac:dyDescent="0.25">
      <c r="A5612" s="3">
        <f>IF(Raw_Data!J5612=0,Raw_Data!D5612,"")</f>
        <v>989.31</v>
      </c>
      <c r="B5612" s="3" t="str">
        <f>IF(Raw_Data!J5612=1,Raw_Data!D5612,"")</f>
        <v/>
      </c>
    </row>
    <row r="5613" spans="1:2" x14ac:dyDescent="0.25">
      <c r="A5613" s="3" t="str">
        <f>IF(Raw_Data!J5613=0,Raw_Data!D5613,"")</f>
        <v/>
      </c>
      <c r="B5613" s="3">
        <f>IF(Raw_Data!J5613=1,Raw_Data!D5613,"")</f>
        <v>871.82</v>
      </c>
    </row>
    <row r="5614" spans="1:2" x14ac:dyDescent="0.25">
      <c r="A5614" s="3">
        <f>IF(Raw_Data!J5614=0,Raw_Data!D5614,"")</f>
        <v>7375.91</v>
      </c>
      <c r="B5614" s="3" t="str">
        <f>IF(Raw_Data!J5614=1,Raw_Data!D5614,"")</f>
        <v/>
      </c>
    </row>
    <row r="5615" spans="1:2" x14ac:dyDescent="0.25">
      <c r="A5615" s="3">
        <f>IF(Raw_Data!J5615=0,Raw_Data!D5615,"")</f>
        <v>4285.12</v>
      </c>
      <c r="B5615" s="3" t="str">
        <f>IF(Raw_Data!J5615=1,Raw_Data!D5615,"")</f>
        <v/>
      </c>
    </row>
    <row r="5616" spans="1:2" x14ac:dyDescent="0.25">
      <c r="A5616" s="3" t="str">
        <f>IF(Raw_Data!J5616=0,Raw_Data!D5616,"")</f>
        <v/>
      </c>
      <c r="B5616" s="3">
        <f>IF(Raw_Data!J5616=1,Raw_Data!D5616,"")</f>
        <v>5057.55</v>
      </c>
    </row>
    <row r="5617" spans="1:2" x14ac:dyDescent="0.25">
      <c r="A5617" s="3">
        <f>IF(Raw_Data!J5617=0,Raw_Data!D5617,"")</f>
        <v>2949.96</v>
      </c>
      <c r="B5617" s="3" t="str">
        <f>IF(Raw_Data!J5617=1,Raw_Data!D5617,"")</f>
        <v/>
      </c>
    </row>
    <row r="5618" spans="1:2" x14ac:dyDescent="0.25">
      <c r="A5618" s="3" t="str">
        <f>IF(Raw_Data!J5618=0,Raw_Data!D5618,"")</f>
        <v/>
      </c>
      <c r="B5618" s="3">
        <f>IF(Raw_Data!J5618=1,Raw_Data!D5618,"")</f>
        <v>3832.48</v>
      </c>
    </row>
    <row r="5619" spans="1:2" x14ac:dyDescent="0.25">
      <c r="A5619" s="3">
        <f>IF(Raw_Data!J5619=0,Raw_Data!D5619,"")</f>
        <v>3797.97</v>
      </c>
      <c r="B5619" s="3" t="str">
        <f>IF(Raw_Data!J5619=1,Raw_Data!D5619,"")</f>
        <v/>
      </c>
    </row>
    <row r="5620" spans="1:2" x14ac:dyDescent="0.25">
      <c r="A5620" s="3">
        <f>IF(Raw_Data!J5620=0,Raw_Data!D5620,"")</f>
        <v>568.19000000000005</v>
      </c>
      <c r="B5620" s="3" t="str">
        <f>IF(Raw_Data!J5620=1,Raw_Data!D5620,"")</f>
        <v/>
      </c>
    </row>
    <row r="5621" spans="1:2" x14ac:dyDescent="0.25">
      <c r="A5621" s="3">
        <f>IF(Raw_Data!J5621=0,Raw_Data!D5621,"")</f>
        <v>539.79999999999995</v>
      </c>
      <c r="B5621" s="3" t="str">
        <f>IF(Raw_Data!J5621=1,Raw_Data!D5621,"")</f>
        <v/>
      </c>
    </row>
    <row r="5622" spans="1:2" x14ac:dyDescent="0.25">
      <c r="A5622" s="3">
        <f>IF(Raw_Data!J5622=0,Raw_Data!D5622,"")</f>
        <v>1568.54</v>
      </c>
      <c r="B5622" s="3" t="str">
        <f>IF(Raw_Data!J5622=1,Raw_Data!D5622,"")</f>
        <v/>
      </c>
    </row>
    <row r="5623" spans="1:2" x14ac:dyDescent="0.25">
      <c r="A5623" s="3">
        <f>IF(Raw_Data!J5623=0,Raw_Data!D5623,"")</f>
        <v>1331.73</v>
      </c>
      <c r="B5623" s="3" t="str">
        <f>IF(Raw_Data!J5623=1,Raw_Data!D5623,"")</f>
        <v/>
      </c>
    </row>
    <row r="5624" spans="1:2" x14ac:dyDescent="0.25">
      <c r="A5624" s="3" t="str">
        <f>IF(Raw_Data!J5624=0,Raw_Data!D5624,"")</f>
        <v/>
      </c>
      <c r="B5624" s="3">
        <f>IF(Raw_Data!J5624=1,Raw_Data!D5624,"")</f>
        <v>1165.08</v>
      </c>
    </row>
    <row r="5625" spans="1:2" x14ac:dyDescent="0.25">
      <c r="A5625" s="3">
        <f>IF(Raw_Data!J5625=0,Raw_Data!D5625,"")</f>
        <v>1275.58</v>
      </c>
      <c r="B5625" s="3" t="str">
        <f>IF(Raw_Data!J5625=1,Raw_Data!D5625,"")</f>
        <v/>
      </c>
    </row>
    <row r="5626" spans="1:2" x14ac:dyDescent="0.25">
      <c r="A5626" s="3">
        <f>IF(Raw_Data!J5626=0,Raw_Data!D5626,"")</f>
        <v>2869.94</v>
      </c>
      <c r="B5626" s="3" t="str">
        <f>IF(Raw_Data!J5626=1,Raw_Data!D5626,"")</f>
        <v/>
      </c>
    </row>
    <row r="5627" spans="1:2" x14ac:dyDescent="0.25">
      <c r="A5627" s="3">
        <f>IF(Raw_Data!J5627=0,Raw_Data!D5627,"")</f>
        <v>958.31</v>
      </c>
      <c r="B5627" s="3" t="str">
        <f>IF(Raw_Data!J5627=1,Raw_Data!D5627,"")</f>
        <v/>
      </c>
    </row>
    <row r="5628" spans="1:2" x14ac:dyDescent="0.25">
      <c r="A5628" s="3">
        <f>IF(Raw_Data!J5628=0,Raw_Data!D5628,"")</f>
        <v>4099.62</v>
      </c>
      <c r="B5628" s="3" t="str">
        <f>IF(Raw_Data!J5628=1,Raw_Data!D5628,"")</f>
        <v/>
      </c>
    </row>
    <row r="5629" spans="1:2" x14ac:dyDescent="0.25">
      <c r="A5629" s="3">
        <f>IF(Raw_Data!J5629=0,Raw_Data!D5629,"")</f>
        <v>7437.96</v>
      </c>
      <c r="B5629" s="3" t="str">
        <f>IF(Raw_Data!J5629=1,Raw_Data!D5629,"")</f>
        <v/>
      </c>
    </row>
    <row r="5630" spans="1:2" x14ac:dyDescent="0.25">
      <c r="A5630" s="3">
        <f>IF(Raw_Data!J5630=0,Raw_Data!D5630,"")</f>
        <v>5639.91</v>
      </c>
      <c r="B5630" s="3" t="str">
        <f>IF(Raw_Data!J5630=1,Raw_Data!D5630,"")</f>
        <v/>
      </c>
    </row>
    <row r="5631" spans="1:2" x14ac:dyDescent="0.25">
      <c r="A5631" s="3">
        <f>IF(Raw_Data!J5631=0,Raw_Data!D5631,"")</f>
        <v>2419.84</v>
      </c>
      <c r="B5631" s="3" t="str">
        <f>IF(Raw_Data!J5631=1,Raw_Data!D5631,"")</f>
        <v/>
      </c>
    </row>
    <row r="5632" spans="1:2" x14ac:dyDescent="0.25">
      <c r="A5632" s="3">
        <f>IF(Raw_Data!J5632=0,Raw_Data!D5632,"")</f>
        <v>415.94</v>
      </c>
      <c r="B5632" s="3" t="str">
        <f>IF(Raw_Data!J5632=1,Raw_Data!D5632,"")</f>
        <v/>
      </c>
    </row>
    <row r="5633" spans="1:2" x14ac:dyDescent="0.25">
      <c r="A5633" s="3" t="str">
        <f>IF(Raw_Data!J5633=0,Raw_Data!D5633,"")</f>
        <v/>
      </c>
      <c r="B5633" s="3">
        <f>IF(Raw_Data!J5633=1,Raw_Data!D5633,"")</f>
        <v>2271.75</v>
      </c>
    </row>
    <row r="5634" spans="1:2" x14ac:dyDescent="0.25">
      <c r="A5634" s="3">
        <f>IF(Raw_Data!J5634=0,Raw_Data!D5634,"")</f>
        <v>2774</v>
      </c>
      <c r="B5634" s="3" t="str">
        <f>IF(Raw_Data!J5634=1,Raw_Data!D5634,"")</f>
        <v/>
      </c>
    </row>
    <row r="5635" spans="1:2" x14ac:dyDescent="0.25">
      <c r="A5635" s="3">
        <f>IF(Raw_Data!J5635=0,Raw_Data!D5635,"")</f>
        <v>808.4</v>
      </c>
      <c r="B5635" s="3" t="str">
        <f>IF(Raw_Data!J5635=1,Raw_Data!D5635,"")</f>
        <v/>
      </c>
    </row>
    <row r="5636" spans="1:2" x14ac:dyDescent="0.25">
      <c r="A5636" s="3">
        <f>IF(Raw_Data!J5636=0,Raw_Data!D5636,"")</f>
        <v>1167.25</v>
      </c>
      <c r="B5636" s="3" t="str">
        <f>IF(Raw_Data!J5636=1,Raw_Data!D5636,"")</f>
        <v/>
      </c>
    </row>
    <row r="5637" spans="1:2" x14ac:dyDescent="0.25">
      <c r="A5637" s="3" t="str">
        <f>IF(Raw_Data!J5637=0,Raw_Data!D5637,"")</f>
        <v/>
      </c>
      <c r="B5637" s="3">
        <f>IF(Raw_Data!J5637=1,Raw_Data!D5637,"")</f>
        <v>4386.87</v>
      </c>
    </row>
    <row r="5638" spans="1:2" x14ac:dyDescent="0.25">
      <c r="A5638" s="3">
        <f>IF(Raw_Data!J5638=0,Raw_Data!D5638,"")</f>
        <v>2983.28</v>
      </c>
      <c r="B5638" s="3" t="str">
        <f>IF(Raw_Data!J5638=1,Raw_Data!D5638,"")</f>
        <v/>
      </c>
    </row>
    <row r="5639" spans="1:2" x14ac:dyDescent="0.25">
      <c r="A5639" s="3">
        <f>IF(Raw_Data!J5639=0,Raw_Data!D5639,"")</f>
        <v>622.79</v>
      </c>
      <c r="B5639" s="3" t="str">
        <f>IF(Raw_Data!J5639=1,Raw_Data!D5639,"")</f>
        <v/>
      </c>
    </row>
    <row r="5640" spans="1:2" x14ac:dyDescent="0.25">
      <c r="A5640" s="3">
        <f>IF(Raw_Data!J5640=0,Raw_Data!D5640,"")</f>
        <v>3954.29</v>
      </c>
      <c r="B5640" s="3" t="str">
        <f>IF(Raw_Data!J5640=1,Raw_Data!D5640,"")</f>
        <v/>
      </c>
    </row>
    <row r="5641" spans="1:2" x14ac:dyDescent="0.25">
      <c r="A5641" s="3">
        <f>IF(Raw_Data!J5641=0,Raw_Data!D5641,"")</f>
        <v>955.85</v>
      </c>
      <c r="B5641" s="3" t="str">
        <f>IF(Raw_Data!J5641=1,Raw_Data!D5641,"")</f>
        <v/>
      </c>
    </row>
    <row r="5642" spans="1:2" x14ac:dyDescent="0.25">
      <c r="A5642" s="3">
        <f>IF(Raw_Data!J5642=0,Raw_Data!D5642,"")</f>
        <v>711.33</v>
      </c>
      <c r="B5642" s="3" t="str">
        <f>IF(Raw_Data!J5642=1,Raw_Data!D5642,"")</f>
        <v/>
      </c>
    </row>
    <row r="5643" spans="1:2" x14ac:dyDescent="0.25">
      <c r="A5643" s="3">
        <f>IF(Raw_Data!J5643=0,Raw_Data!D5643,"")</f>
        <v>3031.29</v>
      </c>
      <c r="B5643" s="3" t="str">
        <f>IF(Raw_Data!J5643=1,Raw_Data!D5643,"")</f>
        <v/>
      </c>
    </row>
    <row r="5644" spans="1:2" x14ac:dyDescent="0.25">
      <c r="A5644" s="3">
        <f>IF(Raw_Data!J5644=0,Raw_Data!D5644,"")</f>
        <v>621.82000000000005</v>
      </c>
      <c r="B5644" s="3" t="str">
        <f>IF(Raw_Data!J5644=1,Raw_Data!D5644,"")</f>
        <v/>
      </c>
    </row>
    <row r="5645" spans="1:2" x14ac:dyDescent="0.25">
      <c r="A5645" s="3">
        <f>IF(Raw_Data!J5645=0,Raw_Data!D5645,"")</f>
        <v>1537.07</v>
      </c>
      <c r="B5645" s="3" t="str">
        <f>IF(Raw_Data!J5645=1,Raw_Data!D5645,"")</f>
        <v/>
      </c>
    </row>
    <row r="5646" spans="1:2" x14ac:dyDescent="0.25">
      <c r="A5646" s="3" t="str">
        <f>IF(Raw_Data!J5646=0,Raw_Data!D5646,"")</f>
        <v/>
      </c>
      <c r="B5646" s="3">
        <f>IF(Raw_Data!J5646=1,Raw_Data!D5646,"")</f>
        <v>824.41</v>
      </c>
    </row>
    <row r="5647" spans="1:2" x14ac:dyDescent="0.25">
      <c r="A5647" s="3">
        <f>IF(Raw_Data!J5647=0,Raw_Data!D5647,"")</f>
        <v>1262.44</v>
      </c>
      <c r="B5647" s="3" t="str">
        <f>IF(Raw_Data!J5647=1,Raw_Data!D5647,"")</f>
        <v/>
      </c>
    </row>
    <row r="5648" spans="1:2" x14ac:dyDescent="0.25">
      <c r="A5648" s="3">
        <f>IF(Raw_Data!J5648=0,Raw_Data!D5648,"")</f>
        <v>2703.81</v>
      </c>
      <c r="B5648" s="3" t="str">
        <f>IF(Raw_Data!J5648=1,Raw_Data!D5648,"")</f>
        <v/>
      </c>
    </row>
    <row r="5649" spans="1:2" x14ac:dyDescent="0.25">
      <c r="A5649" s="3">
        <f>IF(Raw_Data!J5649=0,Raw_Data!D5649,"")</f>
        <v>1055.5899999999999</v>
      </c>
      <c r="B5649" s="3" t="str">
        <f>IF(Raw_Data!J5649=1,Raw_Data!D5649,"")</f>
        <v/>
      </c>
    </row>
    <row r="5650" spans="1:2" x14ac:dyDescent="0.25">
      <c r="A5650" s="3">
        <f>IF(Raw_Data!J5650=0,Raw_Data!D5650,"")</f>
        <v>1045.5999999999999</v>
      </c>
      <c r="B5650" s="3" t="str">
        <f>IF(Raw_Data!J5650=1,Raw_Data!D5650,"")</f>
        <v/>
      </c>
    </row>
    <row r="5651" spans="1:2" x14ac:dyDescent="0.25">
      <c r="A5651" s="3" t="str">
        <f>IF(Raw_Data!J5651=0,Raw_Data!D5651,"")</f>
        <v/>
      </c>
      <c r="B5651" s="3">
        <f>IF(Raw_Data!J5651=1,Raw_Data!D5651,"")</f>
        <v>2861.65</v>
      </c>
    </row>
    <row r="5652" spans="1:2" x14ac:dyDescent="0.25">
      <c r="A5652" s="3">
        <f>IF(Raw_Data!J5652=0,Raw_Data!D5652,"")</f>
        <v>5191.6899999999996</v>
      </c>
      <c r="B5652" s="3" t="str">
        <f>IF(Raw_Data!J5652=1,Raw_Data!D5652,"")</f>
        <v/>
      </c>
    </row>
    <row r="5653" spans="1:2" x14ac:dyDescent="0.25">
      <c r="A5653" s="3" t="str">
        <f>IF(Raw_Data!J5653=0,Raw_Data!D5653,"")</f>
        <v/>
      </c>
      <c r="B5653" s="3">
        <f>IF(Raw_Data!J5653=1,Raw_Data!D5653,"")</f>
        <v>3144.5</v>
      </c>
    </row>
    <row r="5654" spans="1:2" x14ac:dyDescent="0.25">
      <c r="A5654" s="3" t="str">
        <f>IF(Raw_Data!J5654=0,Raw_Data!D5654,"")</f>
        <v/>
      </c>
      <c r="B5654" s="3">
        <f>IF(Raw_Data!J5654=1,Raw_Data!D5654,"")</f>
        <v>3738.49</v>
      </c>
    </row>
    <row r="5655" spans="1:2" x14ac:dyDescent="0.25">
      <c r="A5655" s="3">
        <f>IF(Raw_Data!J5655=0,Raw_Data!D5655,"")</f>
        <v>2028.13</v>
      </c>
      <c r="B5655" s="3" t="str">
        <f>IF(Raw_Data!J5655=1,Raw_Data!D5655,"")</f>
        <v/>
      </c>
    </row>
    <row r="5656" spans="1:2" x14ac:dyDescent="0.25">
      <c r="A5656" s="3">
        <f>IF(Raw_Data!J5656=0,Raw_Data!D5656,"")</f>
        <v>6186.77</v>
      </c>
      <c r="B5656" s="3" t="str">
        <f>IF(Raw_Data!J5656=1,Raw_Data!D5656,"")</f>
        <v/>
      </c>
    </row>
    <row r="5657" spans="1:2" x14ac:dyDescent="0.25">
      <c r="A5657" s="3">
        <f>IF(Raw_Data!J5657=0,Raw_Data!D5657,"")</f>
        <v>772.12</v>
      </c>
      <c r="B5657" s="3" t="str">
        <f>IF(Raw_Data!J5657=1,Raw_Data!D5657,"")</f>
        <v/>
      </c>
    </row>
    <row r="5658" spans="1:2" x14ac:dyDescent="0.25">
      <c r="A5658" s="3">
        <f>IF(Raw_Data!J5658=0,Raw_Data!D5658,"")</f>
        <v>1932.09</v>
      </c>
      <c r="B5658" s="3" t="str">
        <f>IF(Raw_Data!J5658=1,Raw_Data!D5658,"")</f>
        <v/>
      </c>
    </row>
    <row r="5659" spans="1:2" x14ac:dyDescent="0.25">
      <c r="A5659" s="3">
        <f>IF(Raw_Data!J5659=0,Raw_Data!D5659,"")</f>
        <v>1184.9000000000001</v>
      </c>
      <c r="B5659" s="3" t="str">
        <f>IF(Raw_Data!J5659=1,Raw_Data!D5659,"")</f>
        <v/>
      </c>
    </row>
    <row r="5660" spans="1:2" x14ac:dyDescent="0.25">
      <c r="A5660" s="3">
        <f>IF(Raw_Data!J5660=0,Raw_Data!D5660,"")</f>
        <v>3196.29</v>
      </c>
      <c r="B5660" s="3" t="str">
        <f>IF(Raw_Data!J5660=1,Raw_Data!D5660,"")</f>
        <v/>
      </c>
    </row>
    <row r="5661" spans="1:2" x14ac:dyDescent="0.25">
      <c r="A5661" s="3">
        <f>IF(Raw_Data!J5661=0,Raw_Data!D5661,"")</f>
        <v>1783.88</v>
      </c>
      <c r="B5661" s="3" t="str">
        <f>IF(Raw_Data!J5661=1,Raw_Data!D5661,"")</f>
        <v/>
      </c>
    </row>
    <row r="5662" spans="1:2" x14ac:dyDescent="0.25">
      <c r="A5662" s="3">
        <f>IF(Raw_Data!J5662=0,Raw_Data!D5662,"")</f>
        <v>7658.09</v>
      </c>
      <c r="B5662" s="3" t="str">
        <f>IF(Raw_Data!J5662=1,Raw_Data!D5662,"")</f>
        <v/>
      </c>
    </row>
    <row r="5663" spans="1:2" x14ac:dyDescent="0.25">
      <c r="A5663" s="3">
        <f>IF(Raw_Data!J5663=0,Raw_Data!D5663,"")</f>
        <v>2192.44</v>
      </c>
      <c r="B5663" s="3" t="str">
        <f>IF(Raw_Data!J5663=1,Raw_Data!D5663,"")</f>
        <v/>
      </c>
    </row>
    <row r="5664" spans="1:2" x14ac:dyDescent="0.25">
      <c r="A5664" s="3">
        <f>IF(Raw_Data!J5664=0,Raw_Data!D5664,"")</f>
        <v>1212.47</v>
      </c>
      <c r="B5664" s="3" t="str">
        <f>IF(Raw_Data!J5664=1,Raw_Data!D5664,"")</f>
        <v/>
      </c>
    </row>
    <row r="5665" spans="1:2" x14ac:dyDescent="0.25">
      <c r="A5665" s="3">
        <f>IF(Raw_Data!J5665=0,Raw_Data!D5665,"")</f>
        <v>3750.19</v>
      </c>
      <c r="B5665" s="3" t="str">
        <f>IF(Raw_Data!J5665=1,Raw_Data!D5665,"")</f>
        <v/>
      </c>
    </row>
    <row r="5666" spans="1:2" x14ac:dyDescent="0.25">
      <c r="A5666" s="3">
        <f>IF(Raw_Data!J5666=0,Raw_Data!D5666,"")</f>
        <v>5032.17</v>
      </c>
      <c r="B5666" s="3" t="str">
        <f>IF(Raw_Data!J5666=1,Raw_Data!D5666,"")</f>
        <v/>
      </c>
    </row>
    <row r="5667" spans="1:2" x14ac:dyDescent="0.25">
      <c r="A5667" s="3">
        <f>IF(Raw_Data!J5667=0,Raw_Data!D5667,"")</f>
        <v>2374.48</v>
      </c>
      <c r="B5667" s="3" t="str">
        <f>IF(Raw_Data!J5667=1,Raw_Data!D5667,"")</f>
        <v/>
      </c>
    </row>
    <row r="5668" spans="1:2" x14ac:dyDescent="0.25">
      <c r="A5668" s="3" t="str">
        <f>IF(Raw_Data!J5668=0,Raw_Data!D5668,"")</f>
        <v/>
      </c>
      <c r="B5668" s="3">
        <f>IF(Raw_Data!J5668=1,Raw_Data!D5668,"")</f>
        <v>1701.67</v>
      </c>
    </row>
    <row r="5669" spans="1:2" x14ac:dyDescent="0.25">
      <c r="A5669" s="3">
        <f>IF(Raw_Data!J5669=0,Raw_Data!D5669,"")</f>
        <v>1919.39</v>
      </c>
      <c r="B5669" s="3" t="str">
        <f>IF(Raw_Data!J5669=1,Raw_Data!D5669,"")</f>
        <v/>
      </c>
    </row>
    <row r="5670" spans="1:2" x14ac:dyDescent="0.25">
      <c r="A5670" s="3">
        <f>IF(Raw_Data!J5670=0,Raw_Data!D5670,"")</f>
        <v>3690.87</v>
      </c>
      <c r="B5670" s="3" t="str">
        <f>IF(Raw_Data!J5670=1,Raw_Data!D5670,"")</f>
        <v/>
      </c>
    </row>
    <row r="5671" spans="1:2" x14ac:dyDescent="0.25">
      <c r="A5671" s="3">
        <f>IF(Raw_Data!J5671=0,Raw_Data!D5671,"")</f>
        <v>3303.02</v>
      </c>
      <c r="B5671" s="3" t="str">
        <f>IF(Raw_Data!J5671=1,Raw_Data!D5671,"")</f>
        <v/>
      </c>
    </row>
    <row r="5672" spans="1:2" x14ac:dyDescent="0.25">
      <c r="A5672" s="3">
        <f>IF(Raw_Data!J5672=0,Raw_Data!D5672,"")</f>
        <v>4428.6400000000003</v>
      </c>
      <c r="B5672" s="3" t="str">
        <f>IF(Raw_Data!J5672=1,Raw_Data!D5672,"")</f>
        <v/>
      </c>
    </row>
    <row r="5673" spans="1:2" x14ac:dyDescent="0.25">
      <c r="A5673" s="3">
        <f>IF(Raw_Data!J5673=0,Raw_Data!D5673,"")</f>
        <v>5015.72</v>
      </c>
      <c r="B5673" s="3" t="str">
        <f>IF(Raw_Data!J5673=1,Raw_Data!D5673,"")</f>
        <v/>
      </c>
    </row>
    <row r="5674" spans="1:2" x14ac:dyDescent="0.25">
      <c r="A5674" s="3">
        <f>IF(Raw_Data!J5674=0,Raw_Data!D5674,"")</f>
        <v>1827.7</v>
      </c>
      <c r="B5674" s="3" t="str">
        <f>IF(Raw_Data!J5674=1,Raw_Data!D5674,"")</f>
        <v/>
      </c>
    </row>
    <row r="5675" spans="1:2" x14ac:dyDescent="0.25">
      <c r="A5675" s="3">
        <f>IF(Raw_Data!J5675=0,Raw_Data!D5675,"")</f>
        <v>5622.43</v>
      </c>
      <c r="B5675" s="3" t="str">
        <f>IF(Raw_Data!J5675=1,Raw_Data!D5675,"")</f>
        <v/>
      </c>
    </row>
    <row r="5676" spans="1:2" x14ac:dyDescent="0.25">
      <c r="A5676" s="3">
        <f>IF(Raw_Data!J5676=0,Raw_Data!D5676,"")</f>
        <v>2904.43</v>
      </c>
      <c r="B5676" s="3" t="str">
        <f>IF(Raw_Data!J5676=1,Raw_Data!D5676,"")</f>
        <v/>
      </c>
    </row>
    <row r="5677" spans="1:2" x14ac:dyDescent="0.25">
      <c r="A5677" s="3">
        <f>IF(Raw_Data!J5677=0,Raw_Data!D5677,"")</f>
        <v>1818.79</v>
      </c>
      <c r="B5677" s="3" t="str">
        <f>IF(Raw_Data!J5677=1,Raw_Data!D5677,"")</f>
        <v/>
      </c>
    </row>
    <row r="5678" spans="1:2" x14ac:dyDescent="0.25">
      <c r="A5678" s="3">
        <f>IF(Raw_Data!J5678=0,Raw_Data!D5678,"")</f>
        <v>1032.1300000000001</v>
      </c>
      <c r="B5678" s="3" t="str">
        <f>IF(Raw_Data!J5678=1,Raw_Data!D5678,"")</f>
        <v/>
      </c>
    </row>
    <row r="5679" spans="1:2" x14ac:dyDescent="0.25">
      <c r="A5679" s="3">
        <f>IF(Raw_Data!J5679=0,Raw_Data!D5679,"")</f>
        <v>6946.16</v>
      </c>
      <c r="B5679" s="3" t="str">
        <f>IF(Raw_Data!J5679=1,Raw_Data!D5679,"")</f>
        <v/>
      </c>
    </row>
    <row r="5680" spans="1:2" x14ac:dyDescent="0.25">
      <c r="A5680" s="3">
        <f>IF(Raw_Data!J5680=0,Raw_Data!D5680,"")</f>
        <v>4116.1000000000004</v>
      </c>
      <c r="B5680" s="3" t="str">
        <f>IF(Raw_Data!J5680=1,Raw_Data!D5680,"")</f>
        <v/>
      </c>
    </row>
    <row r="5681" spans="1:2" x14ac:dyDescent="0.25">
      <c r="A5681" s="3" t="str">
        <f>IF(Raw_Data!J5681=0,Raw_Data!D5681,"")</f>
        <v/>
      </c>
      <c r="B5681" s="3">
        <f>IF(Raw_Data!J5681=1,Raw_Data!D5681,"")</f>
        <v>5440.9</v>
      </c>
    </row>
    <row r="5682" spans="1:2" x14ac:dyDescent="0.25">
      <c r="A5682" s="3">
        <f>IF(Raw_Data!J5682=0,Raw_Data!D5682,"")</f>
        <v>3142.66</v>
      </c>
      <c r="B5682" s="3" t="str">
        <f>IF(Raw_Data!J5682=1,Raw_Data!D5682,"")</f>
        <v/>
      </c>
    </row>
    <row r="5683" spans="1:2" x14ac:dyDescent="0.25">
      <c r="A5683" s="3">
        <f>IF(Raw_Data!J5683=0,Raw_Data!D5683,"")</f>
        <v>2755.15</v>
      </c>
      <c r="B5683" s="3" t="str">
        <f>IF(Raw_Data!J5683=1,Raw_Data!D5683,"")</f>
        <v/>
      </c>
    </row>
    <row r="5684" spans="1:2" x14ac:dyDescent="0.25">
      <c r="A5684" s="3">
        <f>IF(Raw_Data!J5684=0,Raw_Data!D5684,"")</f>
        <v>3041.55</v>
      </c>
      <c r="B5684" s="3" t="str">
        <f>IF(Raw_Data!J5684=1,Raw_Data!D5684,"")</f>
        <v/>
      </c>
    </row>
    <row r="5685" spans="1:2" x14ac:dyDescent="0.25">
      <c r="A5685" s="3">
        <f>IF(Raw_Data!J5685=0,Raw_Data!D5685,"")</f>
        <v>1149.43</v>
      </c>
      <c r="B5685" s="3" t="str">
        <f>IF(Raw_Data!J5685=1,Raw_Data!D5685,"")</f>
        <v/>
      </c>
    </row>
    <row r="5686" spans="1:2" x14ac:dyDescent="0.25">
      <c r="A5686" s="3" t="str">
        <f>IF(Raw_Data!J5686=0,Raw_Data!D5686,"")</f>
        <v/>
      </c>
      <c r="B5686" s="3">
        <f>IF(Raw_Data!J5686=1,Raw_Data!D5686,"")</f>
        <v>3968.43</v>
      </c>
    </row>
    <row r="5687" spans="1:2" x14ac:dyDescent="0.25">
      <c r="A5687" s="3">
        <f>IF(Raw_Data!J5687=0,Raw_Data!D5687,"")</f>
        <v>3705.41</v>
      </c>
      <c r="B5687" s="3" t="str">
        <f>IF(Raw_Data!J5687=1,Raw_Data!D5687,"")</f>
        <v/>
      </c>
    </row>
    <row r="5688" spans="1:2" x14ac:dyDescent="0.25">
      <c r="A5688" s="3">
        <f>IF(Raw_Data!J5688=0,Raw_Data!D5688,"")</f>
        <v>3596.74</v>
      </c>
      <c r="B5688" s="3" t="str">
        <f>IF(Raw_Data!J5688=1,Raw_Data!D5688,"")</f>
        <v/>
      </c>
    </row>
    <row r="5689" spans="1:2" x14ac:dyDescent="0.25">
      <c r="A5689" s="3">
        <f>IF(Raw_Data!J5689=0,Raw_Data!D5689,"")</f>
        <v>846.3</v>
      </c>
      <c r="B5689" s="3" t="str">
        <f>IF(Raw_Data!J5689=1,Raw_Data!D5689,"")</f>
        <v/>
      </c>
    </row>
    <row r="5690" spans="1:2" x14ac:dyDescent="0.25">
      <c r="A5690" s="3">
        <f>IF(Raw_Data!J5690=0,Raw_Data!D5690,"")</f>
        <v>2965.43</v>
      </c>
      <c r="B5690" s="3" t="str">
        <f>IF(Raw_Data!J5690=1,Raw_Data!D5690,"")</f>
        <v/>
      </c>
    </row>
    <row r="5691" spans="1:2" x14ac:dyDescent="0.25">
      <c r="A5691" s="3">
        <f>IF(Raw_Data!J5691=0,Raw_Data!D5691,"")</f>
        <v>2702.79</v>
      </c>
      <c r="B5691" s="3" t="str">
        <f>IF(Raw_Data!J5691=1,Raw_Data!D5691,"")</f>
        <v/>
      </c>
    </row>
    <row r="5692" spans="1:2" x14ac:dyDescent="0.25">
      <c r="A5692" s="3">
        <f>IF(Raw_Data!J5692=0,Raw_Data!D5692,"")</f>
        <v>3988.45</v>
      </c>
      <c r="B5692" s="3" t="str">
        <f>IF(Raw_Data!J5692=1,Raw_Data!D5692,"")</f>
        <v/>
      </c>
    </row>
    <row r="5693" spans="1:2" x14ac:dyDescent="0.25">
      <c r="A5693" s="3">
        <f>IF(Raw_Data!J5693=0,Raw_Data!D5693,"")</f>
        <v>1698.69</v>
      </c>
      <c r="B5693" s="3" t="str">
        <f>IF(Raw_Data!J5693=1,Raw_Data!D5693,"")</f>
        <v/>
      </c>
    </row>
    <row r="5694" spans="1:2" x14ac:dyDescent="0.25">
      <c r="A5694" s="3">
        <f>IF(Raw_Data!J5694=0,Raw_Data!D5694,"")</f>
        <v>1827.85</v>
      </c>
      <c r="B5694" s="3" t="str">
        <f>IF(Raw_Data!J5694=1,Raw_Data!D5694,"")</f>
        <v/>
      </c>
    </row>
    <row r="5695" spans="1:2" x14ac:dyDescent="0.25">
      <c r="A5695" s="3">
        <f>IF(Raw_Data!J5695=0,Raw_Data!D5695,"")</f>
        <v>6090.4</v>
      </c>
      <c r="B5695" s="3" t="str">
        <f>IF(Raw_Data!J5695=1,Raw_Data!D5695,"")</f>
        <v/>
      </c>
    </row>
    <row r="5696" spans="1:2" x14ac:dyDescent="0.25">
      <c r="A5696" s="3">
        <f>IF(Raw_Data!J5696=0,Raw_Data!D5696,"")</f>
        <v>8174.45</v>
      </c>
      <c r="B5696" s="3" t="str">
        <f>IF(Raw_Data!J5696=1,Raw_Data!D5696,"")</f>
        <v/>
      </c>
    </row>
    <row r="5697" spans="1:2" x14ac:dyDescent="0.25">
      <c r="A5697" s="3" t="str">
        <f>IF(Raw_Data!J5697=0,Raw_Data!D5697,"")</f>
        <v/>
      </c>
      <c r="B5697" s="3">
        <f>IF(Raw_Data!J5697=1,Raw_Data!D5697,"")</f>
        <v>2019.73</v>
      </c>
    </row>
    <row r="5698" spans="1:2" x14ac:dyDescent="0.25">
      <c r="A5698" s="3" t="str">
        <f>IF(Raw_Data!J5698=0,Raw_Data!D5698,"")</f>
        <v/>
      </c>
      <c r="B5698" s="3">
        <f>IF(Raw_Data!J5698=1,Raw_Data!D5698,"")</f>
        <v>1004.41</v>
      </c>
    </row>
    <row r="5699" spans="1:2" x14ac:dyDescent="0.25">
      <c r="A5699" s="3">
        <f>IF(Raw_Data!J5699=0,Raw_Data!D5699,"")</f>
        <v>1370.39</v>
      </c>
      <c r="B5699" s="3" t="str">
        <f>IF(Raw_Data!J5699=1,Raw_Data!D5699,"")</f>
        <v/>
      </c>
    </row>
    <row r="5700" spans="1:2" x14ac:dyDescent="0.25">
      <c r="A5700" s="3">
        <f>IF(Raw_Data!J5700=0,Raw_Data!D5700,"")</f>
        <v>3604.03</v>
      </c>
      <c r="B5700" s="3" t="str">
        <f>IF(Raw_Data!J5700=1,Raw_Data!D5700,"")</f>
        <v/>
      </c>
    </row>
    <row r="5701" spans="1:2" x14ac:dyDescent="0.25">
      <c r="A5701" s="3" t="str">
        <f>IF(Raw_Data!J5701=0,Raw_Data!D5701,"")</f>
        <v/>
      </c>
      <c r="B5701" s="3">
        <f>IF(Raw_Data!J5701=1,Raw_Data!D5701,"")</f>
        <v>3833.68</v>
      </c>
    </row>
    <row r="5702" spans="1:2" x14ac:dyDescent="0.25">
      <c r="A5702" s="3">
        <f>IF(Raw_Data!J5702=0,Raw_Data!D5702,"")</f>
        <v>2017.58</v>
      </c>
      <c r="B5702" s="3" t="str">
        <f>IF(Raw_Data!J5702=1,Raw_Data!D5702,"")</f>
        <v/>
      </c>
    </row>
    <row r="5703" spans="1:2" x14ac:dyDescent="0.25">
      <c r="A5703" s="3">
        <f>IF(Raw_Data!J5703=0,Raw_Data!D5703,"")</f>
        <v>5720.3</v>
      </c>
      <c r="B5703" s="3" t="str">
        <f>IF(Raw_Data!J5703=1,Raw_Data!D5703,"")</f>
        <v/>
      </c>
    </row>
    <row r="5704" spans="1:2" x14ac:dyDescent="0.25">
      <c r="A5704" s="3">
        <f>IF(Raw_Data!J5704=0,Raw_Data!D5704,"")</f>
        <v>2047.52</v>
      </c>
      <c r="B5704" s="3" t="str">
        <f>IF(Raw_Data!J5704=1,Raw_Data!D5704,"")</f>
        <v/>
      </c>
    </row>
    <row r="5705" spans="1:2" x14ac:dyDescent="0.25">
      <c r="A5705" s="3">
        <f>IF(Raw_Data!J5705=0,Raw_Data!D5705,"")</f>
        <v>3135.85</v>
      </c>
      <c r="B5705" s="3" t="str">
        <f>IF(Raw_Data!J5705=1,Raw_Data!D5705,"")</f>
        <v/>
      </c>
    </row>
    <row r="5706" spans="1:2" x14ac:dyDescent="0.25">
      <c r="A5706" s="3" t="str">
        <f>IF(Raw_Data!J5706=0,Raw_Data!D5706,"")</f>
        <v/>
      </c>
      <c r="B5706" s="3">
        <f>IF(Raw_Data!J5706=1,Raw_Data!D5706,"")</f>
        <v>1112.73</v>
      </c>
    </row>
    <row r="5707" spans="1:2" x14ac:dyDescent="0.25">
      <c r="A5707" s="3">
        <f>IF(Raw_Data!J5707=0,Raw_Data!D5707,"")</f>
        <v>2811.14</v>
      </c>
      <c r="B5707" s="3" t="str">
        <f>IF(Raw_Data!J5707=1,Raw_Data!D5707,"")</f>
        <v/>
      </c>
    </row>
    <row r="5708" spans="1:2" x14ac:dyDescent="0.25">
      <c r="A5708" s="3">
        <f>IF(Raw_Data!J5708=0,Raw_Data!D5708,"")</f>
        <v>1918.92</v>
      </c>
      <c r="B5708" s="3" t="str">
        <f>IF(Raw_Data!J5708=1,Raw_Data!D5708,"")</f>
        <v/>
      </c>
    </row>
    <row r="5709" spans="1:2" x14ac:dyDescent="0.25">
      <c r="A5709" s="3">
        <f>IF(Raw_Data!J5709=0,Raw_Data!D5709,"")</f>
        <v>2726.56</v>
      </c>
      <c r="B5709" s="3" t="str">
        <f>IF(Raw_Data!J5709=1,Raw_Data!D5709,"")</f>
        <v/>
      </c>
    </row>
    <row r="5710" spans="1:2" x14ac:dyDescent="0.25">
      <c r="A5710" s="3">
        <f>IF(Raw_Data!J5710=0,Raw_Data!D5710,"")</f>
        <v>5586.06</v>
      </c>
      <c r="B5710" s="3" t="str">
        <f>IF(Raw_Data!J5710=1,Raw_Data!D5710,"")</f>
        <v/>
      </c>
    </row>
    <row r="5711" spans="1:2" x14ac:dyDescent="0.25">
      <c r="A5711" s="3">
        <f>IF(Raw_Data!J5711=0,Raw_Data!D5711,"")</f>
        <v>784.6</v>
      </c>
      <c r="B5711" s="3" t="str">
        <f>IF(Raw_Data!J5711=1,Raw_Data!D5711,"")</f>
        <v/>
      </c>
    </row>
    <row r="5712" spans="1:2" x14ac:dyDescent="0.25">
      <c r="A5712" s="3">
        <f>IF(Raw_Data!J5712=0,Raw_Data!D5712,"")</f>
        <v>3791.32</v>
      </c>
      <c r="B5712" s="3" t="str">
        <f>IF(Raw_Data!J5712=1,Raw_Data!D5712,"")</f>
        <v/>
      </c>
    </row>
    <row r="5713" spans="1:2" x14ac:dyDescent="0.25">
      <c r="A5713" s="3">
        <f>IF(Raw_Data!J5713=0,Raw_Data!D5713,"")</f>
        <v>1607.12</v>
      </c>
      <c r="B5713" s="3" t="str">
        <f>IF(Raw_Data!J5713=1,Raw_Data!D5713,"")</f>
        <v/>
      </c>
    </row>
    <row r="5714" spans="1:2" x14ac:dyDescent="0.25">
      <c r="A5714" s="3">
        <f>IF(Raw_Data!J5714=0,Raw_Data!D5714,"")</f>
        <v>723.13</v>
      </c>
      <c r="B5714" s="3" t="str">
        <f>IF(Raw_Data!J5714=1,Raw_Data!D5714,"")</f>
        <v/>
      </c>
    </row>
    <row r="5715" spans="1:2" x14ac:dyDescent="0.25">
      <c r="A5715" s="3" t="str">
        <f>IF(Raw_Data!J5715=0,Raw_Data!D5715,"")</f>
        <v/>
      </c>
      <c r="B5715" s="3">
        <f>IF(Raw_Data!J5715=1,Raw_Data!D5715,"")</f>
        <v>2389.9</v>
      </c>
    </row>
    <row r="5716" spans="1:2" x14ac:dyDescent="0.25">
      <c r="A5716" s="3">
        <f>IF(Raw_Data!J5716=0,Raw_Data!D5716,"")</f>
        <v>690.65</v>
      </c>
      <c r="B5716" s="3" t="str">
        <f>IF(Raw_Data!J5716=1,Raw_Data!D5716,"")</f>
        <v/>
      </c>
    </row>
    <row r="5717" spans="1:2" x14ac:dyDescent="0.25">
      <c r="A5717" s="3">
        <f>IF(Raw_Data!J5717=0,Raw_Data!D5717,"")</f>
        <v>3751.1</v>
      </c>
      <c r="B5717" s="3" t="str">
        <f>IF(Raw_Data!J5717=1,Raw_Data!D5717,"")</f>
        <v/>
      </c>
    </row>
    <row r="5718" spans="1:2" x14ac:dyDescent="0.25">
      <c r="A5718" s="3">
        <f>IF(Raw_Data!J5718=0,Raw_Data!D5718,"")</f>
        <v>4466.54</v>
      </c>
      <c r="B5718" s="3" t="str">
        <f>IF(Raw_Data!J5718=1,Raw_Data!D5718,"")</f>
        <v/>
      </c>
    </row>
    <row r="5719" spans="1:2" x14ac:dyDescent="0.25">
      <c r="A5719" s="3">
        <f>IF(Raw_Data!J5719=0,Raw_Data!D5719,"")</f>
        <v>3275.55</v>
      </c>
      <c r="B5719" s="3" t="str">
        <f>IF(Raw_Data!J5719=1,Raw_Data!D5719,"")</f>
        <v/>
      </c>
    </row>
    <row r="5720" spans="1:2" x14ac:dyDescent="0.25">
      <c r="A5720" s="3">
        <f>IF(Raw_Data!J5720=0,Raw_Data!D5720,"")</f>
        <v>3492.04</v>
      </c>
      <c r="B5720" s="3" t="str">
        <f>IF(Raw_Data!J5720=1,Raw_Data!D5720,"")</f>
        <v/>
      </c>
    </row>
    <row r="5721" spans="1:2" x14ac:dyDescent="0.25">
      <c r="A5721" s="3">
        <f>IF(Raw_Data!J5721=0,Raw_Data!D5721,"")</f>
        <v>5392.43</v>
      </c>
      <c r="B5721" s="3" t="str">
        <f>IF(Raw_Data!J5721=1,Raw_Data!D5721,"")</f>
        <v/>
      </c>
    </row>
    <row r="5722" spans="1:2" x14ac:dyDescent="0.25">
      <c r="A5722" s="3">
        <f>IF(Raw_Data!J5722=0,Raw_Data!D5722,"")</f>
        <v>2449.84</v>
      </c>
      <c r="B5722" s="3" t="str">
        <f>IF(Raw_Data!J5722=1,Raw_Data!D5722,"")</f>
        <v/>
      </c>
    </row>
    <row r="5723" spans="1:2" x14ac:dyDescent="0.25">
      <c r="A5723" s="3">
        <f>IF(Raw_Data!J5723=0,Raw_Data!D5723,"")</f>
        <v>2437.4</v>
      </c>
      <c r="B5723" s="3" t="str">
        <f>IF(Raw_Data!J5723=1,Raw_Data!D5723,"")</f>
        <v/>
      </c>
    </row>
    <row r="5724" spans="1:2" x14ac:dyDescent="0.25">
      <c r="A5724" s="3">
        <f>IF(Raw_Data!J5724=0,Raw_Data!D5724,"")</f>
        <v>2128.1999999999998</v>
      </c>
      <c r="B5724" s="3" t="str">
        <f>IF(Raw_Data!J5724=1,Raw_Data!D5724,"")</f>
        <v/>
      </c>
    </row>
    <row r="5725" spans="1:2" x14ac:dyDescent="0.25">
      <c r="A5725" s="3">
        <f>IF(Raw_Data!J5725=0,Raw_Data!D5725,"")</f>
        <v>4593.96</v>
      </c>
      <c r="B5725" s="3" t="str">
        <f>IF(Raw_Data!J5725=1,Raw_Data!D5725,"")</f>
        <v/>
      </c>
    </row>
    <row r="5726" spans="1:2" x14ac:dyDescent="0.25">
      <c r="A5726" s="3">
        <f>IF(Raw_Data!J5726=0,Raw_Data!D5726,"")</f>
        <v>1531.34</v>
      </c>
      <c r="B5726" s="3" t="str">
        <f>IF(Raw_Data!J5726=1,Raw_Data!D5726,"")</f>
        <v/>
      </c>
    </row>
    <row r="5727" spans="1:2" x14ac:dyDescent="0.25">
      <c r="A5727" s="3">
        <f>IF(Raw_Data!J5727=0,Raw_Data!D5727,"")</f>
        <v>1410.2</v>
      </c>
      <c r="B5727" s="3" t="str">
        <f>IF(Raw_Data!J5727=1,Raw_Data!D5727,"")</f>
        <v/>
      </c>
    </row>
    <row r="5728" spans="1:2" x14ac:dyDescent="0.25">
      <c r="A5728" s="3">
        <f>IF(Raw_Data!J5728=0,Raw_Data!D5728,"")</f>
        <v>1569.6</v>
      </c>
      <c r="B5728" s="3" t="str">
        <f>IF(Raw_Data!J5728=1,Raw_Data!D5728,"")</f>
        <v/>
      </c>
    </row>
    <row r="5729" spans="1:2" x14ac:dyDescent="0.25">
      <c r="A5729" s="3">
        <f>IF(Raw_Data!J5729=0,Raw_Data!D5729,"")</f>
        <v>2366.7399999999998</v>
      </c>
      <c r="B5729" s="3" t="str">
        <f>IF(Raw_Data!J5729=1,Raw_Data!D5729,"")</f>
        <v/>
      </c>
    </row>
    <row r="5730" spans="1:2" x14ac:dyDescent="0.25">
      <c r="A5730" s="3">
        <f>IF(Raw_Data!J5730=0,Raw_Data!D5730,"")</f>
        <v>2513.8200000000002</v>
      </c>
      <c r="B5730" s="3" t="str">
        <f>IF(Raw_Data!J5730=1,Raw_Data!D5730,"")</f>
        <v/>
      </c>
    </row>
    <row r="5731" spans="1:2" x14ac:dyDescent="0.25">
      <c r="A5731" s="3">
        <f>IF(Raw_Data!J5731=0,Raw_Data!D5731,"")</f>
        <v>718.77</v>
      </c>
      <c r="B5731" s="3" t="str">
        <f>IF(Raw_Data!J5731=1,Raw_Data!D5731,"")</f>
        <v/>
      </c>
    </row>
    <row r="5732" spans="1:2" x14ac:dyDescent="0.25">
      <c r="A5732" s="3">
        <f>IF(Raw_Data!J5732=0,Raw_Data!D5732,"")</f>
        <v>2417.9499999999998</v>
      </c>
      <c r="B5732" s="3" t="str">
        <f>IF(Raw_Data!J5732=1,Raw_Data!D5732,"")</f>
        <v/>
      </c>
    </row>
    <row r="5733" spans="1:2" x14ac:dyDescent="0.25">
      <c r="A5733" s="3">
        <f>IF(Raw_Data!J5733=0,Raw_Data!D5733,"")</f>
        <v>6044.59</v>
      </c>
      <c r="B5733" s="3" t="str">
        <f>IF(Raw_Data!J5733=1,Raw_Data!D5733,"")</f>
        <v/>
      </c>
    </row>
    <row r="5734" spans="1:2" x14ac:dyDescent="0.25">
      <c r="A5734" s="3">
        <f>IF(Raw_Data!J5734=0,Raw_Data!D5734,"")</f>
        <v>3762</v>
      </c>
      <c r="B5734" s="3" t="str">
        <f>IF(Raw_Data!J5734=1,Raw_Data!D5734,"")</f>
        <v/>
      </c>
    </row>
    <row r="5735" spans="1:2" x14ac:dyDescent="0.25">
      <c r="A5735" s="3">
        <f>IF(Raw_Data!J5735=0,Raw_Data!D5735,"")</f>
        <v>4289.8599999999997</v>
      </c>
      <c r="B5735" s="3" t="str">
        <f>IF(Raw_Data!J5735=1,Raw_Data!D5735,"")</f>
        <v/>
      </c>
    </row>
    <row r="5736" spans="1:2" x14ac:dyDescent="0.25">
      <c r="A5736" s="3">
        <f>IF(Raw_Data!J5736=0,Raw_Data!D5736,"")</f>
        <v>5936.02</v>
      </c>
      <c r="B5736" s="3" t="str">
        <f>IF(Raw_Data!J5736=1,Raw_Data!D5736,"")</f>
        <v/>
      </c>
    </row>
    <row r="5737" spans="1:2" x14ac:dyDescent="0.25">
      <c r="A5737" s="3" t="str">
        <f>IF(Raw_Data!J5737=0,Raw_Data!D5737,"")</f>
        <v/>
      </c>
      <c r="B5737" s="3">
        <f>IF(Raw_Data!J5737=1,Raw_Data!D5737,"")</f>
        <v>1335.78</v>
      </c>
    </row>
    <row r="5738" spans="1:2" x14ac:dyDescent="0.25">
      <c r="A5738" s="3">
        <f>IF(Raw_Data!J5738=0,Raw_Data!D5738,"")</f>
        <v>7059.96</v>
      </c>
      <c r="B5738" s="3" t="str">
        <f>IF(Raw_Data!J5738=1,Raw_Data!D5738,"")</f>
        <v/>
      </c>
    </row>
    <row r="5739" spans="1:2" x14ac:dyDescent="0.25">
      <c r="A5739" s="3">
        <f>IF(Raw_Data!J5739=0,Raw_Data!D5739,"")</f>
        <v>624.78</v>
      </c>
      <c r="B5739" s="3" t="str">
        <f>IF(Raw_Data!J5739=1,Raw_Data!D5739,"")</f>
        <v/>
      </c>
    </row>
    <row r="5740" spans="1:2" x14ac:dyDescent="0.25">
      <c r="A5740" s="3">
        <f>IF(Raw_Data!J5740=0,Raw_Data!D5740,"")</f>
        <v>2776.97</v>
      </c>
      <c r="B5740" s="3" t="str">
        <f>IF(Raw_Data!J5740=1,Raw_Data!D5740,"")</f>
        <v/>
      </c>
    </row>
    <row r="5741" spans="1:2" x14ac:dyDescent="0.25">
      <c r="A5741" s="3">
        <f>IF(Raw_Data!J5741=0,Raw_Data!D5741,"")</f>
        <v>6866.35</v>
      </c>
      <c r="B5741" s="3" t="str">
        <f>IF(Raw_Data!J5741=1,Raw_Data!D5741,"")</f>
        <v/>
      </c>
    </row>
    <row r="5742" spans="1:2" x14ac:dyDescent="0.25">
      <c r="A5742" s="3">
        <f>IF(Raw_Data!J5742=0,Raw_Data!D5742,"")</f>
        <v>2582.66</v>
      </c>
      <c r="B5742" s="3" t="str">
        <f>IF(Raw_Data!J5742=1,Raw_Data!D5742,"")</f>
        <v/>
      </c>
    </row>
    <row r="5743" spans="1:2" x14ac:dyDescent="0.25">
      <c r="A5743" s="3" t="str">
        <f>IF(Raw_Data!J5743=0,Raw_Data!D5743,"")</f>
        <v/>
      </c>
      <c r="B5743" s="3">
        <f>IF(Raw_Data!J5743=1,Raw_Data!D5743,"")</f>
        <v>2048.5700000000002</v>
      </c>
    </row>
    <row r="5744" spans="1:2" x14ac:dyDescent="0.25">
      <c r="A5744" s="3">
        <f>IF(Raw_Data!J5744=0,Raw_Data!D5744,"")</f>
        <v>4497.1899999999996</v>
      </c>
      <c r="B5744" s="3" t="str">
        <f>IF(Raw_Data!J5744=1,Raw_Data!D5744,"")</f>
        <v/>
      </c>
    </row>
    <row r="5745" spans="1:2" x14ac:dyDescent="0.25">
      <c r="A5745" s="3" t="str">
        <f>IF(Raw_Data!J5745=0,Raw_Data!D5745,"")</f>
        <v/>
      </c>
      <c r="B5745" s="3">
        <f>IF(Raw_Data!J5745=1,Raw_Data!D5745,"")</f>
        <v>5154.93</v>
      </c>
    </row>
    <row r="5746" spans="1:2" x14ac:dyDescent="0.25">
      <c r="A5746" s="3">
        <f>IF(Raw_Data!J5746=0,Raw_Data!D5746,"")</f>
        <v>1539.46</v>
      </c>
      <c r="B5746" s="3" t="str">
        <f>IF(Raw_Data!J5746=1,Raw_Data!D5746,"")</f>
        <v/>
      </c>
    </row>
    <row r="5747" spans="1:2" x14ac:dyDescent="0.25">
      <c r="A5747" s="3">
        <f>IF(Raw_Data!J5747=0,Raw_Data!D5747,"")</f>
        <v>1642.42</v>
      </c>
      <c r="B5747" s="3" t="str">
        <f>IF(Raw_Data!J5747=1,Raw_Data!D5747,"")</f>
        <v/>
      </c>
    </row>
    <row r="5748" spans="1:2" x14ac:dyDescent="0.25">
      <c r="A5748" s="3">
        <f>IF(Raw_Data!J5748=0,Raw_Data!D5748,"")</f>
        <v>526.30999999999995</v>
      </c>
      <c r="B5748" s="3" t="str">
        <f>IF(Raw_Data!J5748=1,Raw_Data!D5748,"")</f>
        <v/>
      </c>
    </row>
    <row r="5749" spans="1:2" x14ac:dyDescent="0.25">
      <c r="A5749" s="3" t="str">
        <f>IF(Raw_Data!J5749=0,Raw_Data!D5749,"")</f>
        <v/>
      </c>
      <c r="B5749" s="3">
        <f>IF(Raw_Data!J5749=1,Raw_Data!D5749,"")</f>
        <v>4736.32</v>
      </c>
    </row>
    <row r="5750" spans="1:2" x14ac:dyDescent="0.25">
      <c r="A5750" s="3">
        <f>IF(Raw_Data!J5750=0,Raw_Data!D5750,"")</f>
        <v>11106.18</v>
      </c>
      <c r="B5750" s="3" t="str">
        <f>IF(Raw_Data!J5750=1,Raw_Data!D5750,"")</f>
        <v/>
      </c>
    </row>
    <row r="5751" spans="1:2" x14ac:dyDescent="0.25">
      <c r="A5751" s="3">
        <f>IF(Raw_Data!J5751=0,Raw_Data!D5751,"")</f>
        <v>3929.87</v>
      </c>
      <c r="B5751" s="3" t="str">
        <f>IF(Raw_Data!J5751=1,Raw_Data!D5751,"")</f>
        <v/>
      </c>
    </row>
    <row r="5752" spans="1:2" x14ac:dyDescent="0.25">
      <c r="A5752" s="3">
        <f>IF(Raw_Data!J5752=0,Raw_Data!D5752,"")</f>
        <v>1272.02</v>
      </c>
      <c r="B5752" s="3" t="str">
        <f>IF(Raw_Data!J5752=1,Raw_Data!D5752,"")</f>
        <v/>
      </c>
    </row>
    <row r="5753" spans="1:2" x14ac:dyDescent="0.25">
      <c r="A5753" s="3" t="str">
        <f>IF(Raw_Data!J5753=0,Raw_Data!D5753,"")</f>
        <v/>
      </c>
      <c r="B5753" s="3">
        <f>IF(Raw_Data!J5753=1,Raw_Data!D5753,"")</f>
        <v>4587.6400000000003</v>
      </c>
    </row>
    <row r="5754" spans="1:2" x14ac:dyDescent="0.25">
      <c r="A5754" s="3" t="str">
        <f>IF(Raw_Data!J5754=0,Raw_Data!D5754,"")</f>
        <v/>
      </c>
      <c r="B5754" s="3">
        <f>IF(Raw_Data!J5754=1,Raw_Data!D5754,"")</f>
        <v>3860.88</v>
      </c>
    </row>
    <row r="5755" spans="1:2" x14ac:dyDescent="0.25">
      <c r="A5755" s="3">
        <f>IF(Raw_Data!J5755=0,Raw_Data!D5755,"")</f>
        <v>3208.6</v>
      </c>
      <c r="B5755" s="3" t="str">
        <f>IF(Raw_Data!J5755=1,Raw_Data!D5755,"")</f>
        <v/>
      </c>
    </row>
    <row r="5756" spans="1:2" x14ac:dyDescent="0.25">
      <c r="A5756" s="3">
        <f>IF(Raw_Data!J5756=0,Raw_Data!D5756,"")</f>
        <v>2445.5500000000002</v>
      </c>
      <c r="B5756" s="3" t="str">
        <f>IF(Raw_Data!J5756=1,Raw_Data!D5756,"")</f>
        <v/>
      </c>
    </row>
    <row r="5757" spans="1:2" x14ac:dyDescent="0.25">
      <c r="A5757" s="3">
        <f>IF(Raw_Data!J5757=0,Raw_Data!D5757,"")</f>
        <v>1013.3</v>
      </c>
      <c r="B5757" s="3" t="str">
        <f>IF(Raw_Data!J5757=1,Raw_Data!D5757,"")</f>
        <v/>
      </c>
    </row>
    <row r="5758" spans="1:2" x14ac:dyDescent="0.25">
      <c r="A5758" s="3">
        <f>IF(Raw_Data!J5758=0,Raw_Data!D5758,"")</f>
        <v>218.81</v>
      </c>
      <c r="B5758" s="3" t="str">
        <f>IF(Raw_Data!J5758=1,Raw_Data!D5758,"")</f>
        <v/>
      </c>
    </row>
    <row r="5759" spans="1:2" x14ac:dyDescent="0.25">
      <c r="A5759" s="3">
        <f>IF(Raw_Data!J5759=0,Raw_Data!D5759,"")</f>
        <v>2504.66</v>
      </c>
      <c r="B5759" s="3" t="str">
        <f>IF(Raw_Data!J5759=1,Raw_Data!D5759,"")</f>
        <v/>
      </c>
    </row>
    <row r="5760" spans="1:2" x14ac:dyDescent="0.25">
      <c r="A5760" s="3">
        <f>IF(Raw_Data!J5760=0,Raw_Data!D5760,"")</f>
        <v>1569.18</v>
      </c>
      <c r="B5760" s="3" t="str">
        <f>IF(Raw_Data!J5760=1,Raw_Data!D5760,"")</f>
        <v/>
      </c>
    </row>
    <row r="5761" spans="1:2" x14ac:dyDescent="0.25">
      <c r="A5761" s="3" t="str">
        <f>IF(Raw_Data!J5761=0,Raw_Data!D5761,"")</f>
        <v/>
      </c>
      <c r="B5761" s="3">
        <f>IF(Raw_Data!J5761=1,Raw_Data!D5761,"")</f>
        <v>935.65</v>
      </c>
    </row>
    <row r="5762" spans="1:2" x14ac:dyDescent="0.25">
      <c r="A5762" s="3">
        <f>IF(Raw_Data!J5762=0,Raw_Data!D5762,"")</f>
        <v>3831.07</v>
      </c>
      <c r="B5762" s="3" t="str">
        <f>IF(Raw_Data!J5762=1,Raw_Data!D5762,"")</f>
        <v/>
      </c>
    </row>
    <row r="5763" spans="1:2" x14ac:dyDescent="0.25">
      <c r="A5763" s="3">
        <f>IF(Raw_Data!J5763=0,Raw_Data!D5763,"")</f>
        <v>887.64</v>
      </c>
      <c r="B5763" s="3" t="str">
        <f>IF(Raw_Data!J5763=1,Raw_Data!D5763,"")</f>
        <v/>
      </c>
    </row>
    <row r="5764" spans="1:2" x14ac:dyDescent="0.25">
      <c r="A5764" s="3">
        <f>IF(Raw_Data!J5764=0,Raw_Data!D5764,"")</f>
        <v>4303.04</v>
      </c>
      <c r="B5764" s="3" t="str">
        <f>IF(Raw_Data!J5764=1,Raw_Data!D5764,"")</f>
        <v/>
      </c>
    </row>
    <row r="5765" spans="1:2" x14ac:dyDescent="0.25">
      <c r="A5765" s="3">
        <f>IF(Raw_Data!J5765=0,Raw_Data!D5765,"")</f>
        <v>662.38</v>
      </c>
      <c r="B5765" s="3" t="str">
        <f>IF(Raw_Data!J5765=1,Raw_Data!D5765,"")</f>
        <v/>
      </c>
    </row>
    <row r="5766" spans="1:2" x14ac:dyDescent="0.25">
      <c r="A5766" s="3">
        <f>IF(Raw_Data!J5766=0,Raw_Data!D5766,"")</f>
        <v>3343.02</v>
      </c>
      <c r="B5766" s="3" t="str">
        <f>IF(Raw_Data!J5766=1,Raw_Data!D5766,"")</f>
        <v/>
      </c>
    </row>
    <row r="5767" spans="1:2" x14ac:dyDescent="0.25">
      <c r="A5767" s="3">
        <f>IF(Raw_Data!J5767=0,Raw_Data!D5767,"")</f>
        <v>3538.35</v>
      </c>
      <c r="B5767" s="3" t="str">
        <f>IF(Raw_Data!J5767=1,Raw_Data!D5767,"")</f>
        <v/>
      </c>
    </row>
    <row r="5768" spans="1:2" x14ac:dyDescent="0.25">
      <c r="A5768" s="3">
        <f>IF(Raw_Data!J5768=0,Raw_Data!D5768,"")</f>
        <v>4516.57</v>
      </c>
      <c r="B5768" s="3" t="str">
        <f>IF(Raw_Data!J5768=1,Raw_Data!D5768,"")</f>
        <v/>
      </c>
    </row>
    <row r="5769" spans="1:2" x14ac:dyDescent="0.25">
      <c r="A5769" s="3">
        <f>IF(Raw_Data!J5769=0,Raw_Data!D5769,"")</f>
        <v>1530.7</v>
      </c>
      <c r="B5769" s="3" t="str">
        <f>IF(Raw_Data!J5769=1,Raw_Data!D5769,"")</f>
        <v/>
      </c>
    </row>
    <row r="5770" spans="1:2" x14ac:dyDescent="0.25">
      <c r="A5770" s="3">
        <f>IF(Raw_Data!J5770=0,Raw_Data!D5770,"")</f>
        <v>3277.42</v>
      </c>
      <c r="B5770" s="3" t="str">
        <f>IF(Raw_Data!J5770=1,Raw_Data!D5770,"")</f>
        <v/>
      </c>
    </row>
    <row r="5771" spans="1:2" x14ac:dyDescent="0.25">
      <c r="A5771" s="3" t="str">
        <f>IF(Raw_Data!J5771=0,Raw_Data!D5771,"")</f>
        <v/>
      </c>
      <c r="B5771" s="3">
        <f>IF(Raw_Data!J5771=1,Raw_Data!D5771,"")</f>
        <v>1125.8499999999999</v>
      </c>
    </row>
    <row r="5772" spans="1:2" x14ac:dyDescent="0.25">
      <c r="A5772" s="3">
        <f>IF(Raw_Data!J5772=0,Raw_Data!D5772,"")</f>
        <v>2097.38</v>
      </c>
      <c r="B5772" s="3" t="str">
        <f>IF(Raw_Data!J5772=1,Raw_Data!D5772,"")</f>
        <v/>
      </c>
    </row>
    <row r="5773" spans="1:2" x14ac:dyDescent="0.25">
      <c r="A5773" s="3">
        <f>IF(Raw_Data!J5773=0,Raw_Data!D5773,"")</f>
        <v>2321.12</v>
      </c>
      <c r="B5773" s="3" t="str">
        <f>IF(Raw_Data!J5773=1,Raw_Data!D5773,"")</f>
        <v/>
      </c>
    </row>
    <row r="5774" spans="1:2" x14ac:dyDescent="0.25">
      <c r="A5774" s="3" t="str">
        <f>IF(Raw_Data!J5774=0,Raw_Data!D5774,"")</f>
        <v/>
      </c>
      <c r="B5774" s="3">
        <f>IF(Raw_Data!J5774=1,Raw_Data!D5774,"")</f>
        <v>1760.24</v>
      </c>
    </row>
    <row r="5775" spans="1:2" x14ac:dyDescent="0.25">
      <c r="A5775" s="3">
        <f>IF(Raw_Data!J5775=0,Raw_Data!D5775,"")</f>
        <v>5434.99</v>
      </c>
      <c r="B5775" s="3" t="str">
        <f>IF(Raw_Data!J5775=1,Raw_Data!D5775,"")</f>
        <v/>
      </c>
    </row>
    <row r="5776" spans="1:2" x14ac:dyDescent="0.25">
      <c r="A5776" s="3">
        <f>IF(Raw_Data!J5776=0,Raw_Data!D5776,"")</f>
        <v>6954.09</v>
      </c>
      <c r="B5776" s="3" t="str">
        <f>IF(Raw_Data!J5776=1,Raw_Data!D5776,"")</f>
        <v/>
      </c>
    </row>
    <row r="5777" spans="1:2" x14ac:dyDescent="0.25">
      <c r="A5777" s="3" t="str">
        <f>IF(Raw_Data!J5777=0,Raw_Data!D5777,"")</f>
        <v/>
      </c>
      <c r="B5777" s="3">
        <f>IF(Raw_Data!J5777=1,Raw_Data!D5777,"")</f>
        <v>5573.16</v>
      </c>
    </row>
    <row r="5778" spans="1:2" x14ac:dyDescent="0.25">
      <c r="A5778" s="3">
        <f>IF(Raw_Data!J5778=0,Raw_Data!D5778,"")</f>
        <v>5798</v>
      </c>
      <c r="B5778" s="3" t="str">
        <f>IF(Raw_Data!J5778=1,Raw_Data!D5778,"")</f>
        <v/>
      </c>
    </row>
    <row r="5779" spans="1:2" x14ac:dyDescent="0.25">
      <c r="A5779" s="3">
        <f>IF(Raw_Data!J5779=0,Raw_Data!D5779,"")</f>
        <v>1335.15</v>
      </c>
      <c r="B5779" s="3" t="str">
        <f>IF(Raw_Data!J5779=1,Raw_Data!D5779,"")</f>
        <v/>
      </c>
    </row>
    <row r="5780" spans="1:2" x14ac:dyDescent="0.25">
      <c r="A5780" s="3">
        <f>IF(Raw_Data!J5780=0,Raw_Data!D5780,"")</f>
        <v>447.4</v>
      </c>
      <c r="B5780" s="3" t="str">
        <f>IF(Raw_Data!J5780=1,Raw_Data!D5780,"")</f>
        <v/>
      </c>
    </row>
    <row r="5781" spans="1:2" x14ac:dyDescent="0.25">
      <c r="A5781" s="3">
        <f>IF(Raw_Data!J5781=0,Raw_Data!D5781,"")</f>
        <v>3054.31</v>
      </c>
      <c r="B5781" s="3" t="str">
        <f>IF(Raw_Data!J5781=1,Raw_Data!D5781,"")</f>
        <v/>
      </c>
    </row>
    <row r="5782" spans="1:2" x14ac:dyDescent="0.25">
      <c r="A5782" s="3">
        <f>IF(Raw_Data!J5782=0,Raw_Data!D5782,"")</f>
        <v>3520.92</v>
      </c>
      <c r="B5782" s="3" t="str">
        <f>IF(Raw_Data!J5782=1,Raw_Data!D5782,"")</f>
        <v/>
      </c>
    </row>
    <row r="5783" spans="1:2" x14ac:dyDescent="0.25">
      <c r="A5783" s="3">
        <f>IF(Raw_Data!J5783=0,Raw_Data!D5783,"")</f>
        <v>2726.06</v>
      </c>
      <c r="B5783" s="3" t="str">
        <f>IF(Raw_Data!J5783=1,Raw_Data!D5783,"")</f>
        <v/>
      </c>
    </row>
    <row r="5784" spans="1:2" x14ac:dyDescent="0.25">
      <c r="A5784" s="3">
        <f>IF(Raw_Data!J5784=0,Raw_Data!D5784,"")</f>
        <v>2699.59</v>
      </c>
      <c r="B5784" s="3" t="str">
        <f>IF(Raw_Data!J5784=1,Raw_Data!D5784,"")</f>
        <v/>
      </c>
    </row>
    <row r="5785" spans="1:2" x14ac:dyDescent="0.25">
      <c r="A5785" s="3">
        <f>IF(Raw_Data!J5785=0,Raw_Data!D5785,"")</f>
        <v>2843.87</v>
      </c>
      <c r="B5785" s="3" t="str">
        <f>IF(Raw_Data!J5785=1,Raw_Data!D5785,"")</f>
        <v/>
      </c>
    </row>
    <row r="5786" spans="1:2" x14ac:dyDescent="0.25">
      <c r="A5786" s="3">
        <f>IF(Raw_Data!J5786=0,Raw_Data!D5786,"")</f>
        <v>526.46</v>
      </c>
      <c r="B5786" s="3" t="str">
        <f>IF(Raw_Data!J5786=1,Raw_Data!D5786,"")</f>
        <v/>
      </c>
    </row>
    <row r="5787" spans="1:2" x14ac:dyDescent="0.25">
      <c r="A5787" s="3" t="str">
        <f>IF(Raw_Data!J5787=0,Raw_Data!D5787,"")</f>
        <v/>
      </c>
      <c r="B5787" s="3">
        <f>IF(Raw_Data!J5787=1,Raw_Data!D5787,"")</f>
        <v>4246.8599999999997</v>
      </c>
    </row>
    <row r="5788" spans="1:2" x14ac:dyDescent="0.25">
      <c r="A5788" s="3">
        <f>IF(Raw_Data!J5788=0,Raw_Data!D5788,"")</f>
        <v>2721.45</v>
      </c>
      <c r="B5788" s="3" t="str">
        <f>IF(Raw_Data!J5788=1,Raw_Data!D5788,"")</f>
        <v/>
      </c>
    </row>
    <row r="5789" spans="1:2" x14ac:dyDescent="0.25">
      <c r="A5789" s="3">
        <f>IF(Raw_Data!J5789=0,Raw_Data!D5789,"")</f>
        <v>4605.72</v>
      </c>
      <c r="B5789" s="3" t="str">
        <f>IF(Raw_Data!J5789=1,Raw_Data!D5789,"")</f>
        <v/>
      </c>
    </row>
    <row r="5790" spans="1:2" x14ac:dyDescent="0.25">
      <c r="A5790" s="3">
        <f>IF(Raw_Data!J5790=0,Raw_Data!D5790,"")</f>
        <v>2575.2800000000002</v>
      </c>
      <c r="B5790" s="3" t="str">
        <f>IF(Raw_Data!J5790=1,Raw_Data!D5790,"")</f>
        <v/>
      </c>
    </row>
    <row r="5791" spans="1:2" x14ac:dyDescent="0.25">
      <c r="A5791" s="3">
        <f>IF(Raw_Data!J5791=0,Raw_Data!D5791,"")</f>
        <v>3813.97</v>
      </c>
      <c r="B5791" s="3" t="str">
        <f>IF(Raw_Data!J5791=1,Raw_Data!D5791,"")</f>
        <v/>
      </c>
    </row>
    <row r="5792" spans="1:2" x14ac:dyDescent="0.25">
      <c r="A5792" s="3" t="str">
        <f>IF(Raw_Data!J5792=0,Raw_Data!D5792,"")</f>
        <v/>
      </c>
      <c r="B5792" s="3">
        <f>IF(Raw_Data!J5792=1,Raw_Data!D5792,"")</f>
        <v>1655.99</v>
      </c>
    </row>
    <row r="5793" spans="1:2" x14ac:dyDescent="0.25">
      <c r="A5793" s="3">
        <f>IF(Raw_Data!J5793=0,Raw_Data!D5793,"")</f>
        <v>1667.78</v>
      </c>
      <c r="B5793" s="3" t="str">
        <f>IF(Raw_Data!J5793=1,Raw_Data!D5793,"")</f>
        <v/>
      </c>
    </row>
    <row r="5794" spans="1:2" x14ac:dyDescent="0.25">
      <c r="A5794" s="3">
        <f>IF(Raw_Data!J5794=0,Raw_Data!D5794,"")</f>
        <v>2144.7600000000002</v>
      </c>
      <c r="B5794" s="3" t="str">
        <f>IF(Raw_Data!J5794=1,Raw_Data!D5794,"")</f>
        <v/>
      </c>
    </row>
    <row r="5795" spans="1:2" x14ac:dyDescent="0.25">
      <c r="A5795" s="3" t="str">
        <f>IF(Raw_Data!J5795=0,Raw_Data!D5795,"")</f>
        <v/>
      </c>
      <c r="B5795" s="3">
        <f>IF(Raw_Data!J5795=1,Raw_Data!D5795,"")</f>
        <v>6311.16</v>
      </c>
    </row>
    <row r="5796" spans="1:2" x14ac:dyDescent="0.25">
      <c r="A5796" s="3">
        <f>IF(Raw_Data!J5796=0,Raw_Data!D5796,"")</f>
        <v>1390.19</v>
      </c>
      <c r="B5796" s="3" t="str">
        <f>IF(Raw_Data!J5796=1,Raw_Data!D5796,"")</f>
        <v/>
      </c>
    </row>
    <row r="5797" spans="1:2" x14ac:dyDescent="0.25">
      <c r="A5797" s="3">
        <f>IF(Raw_Data!J5797=0,Raw_Data!D5797,"")</f>
        <v>243.7</v>
      </c>
      <c r="B5797" s="3" t="str">
        <f>IF(Raw_Data!J5797=1,Raw_Data!D5797,"")</f>
        <v/>
      </c>
    </row>
    <row r="5798" spans="1:2" x14ac:dyDescent="0.25">
      <c r="A5798" s="3">
        <f>IF(Raw_Data!J5798=0,Raw_Data!D5798,"")</f>
        <v>3214.35</v>
      </c>
      <c r="B5798" s="3" t="str">
        <f>IF(Raw_Data!J5798=1,Raw_Data!D5798,"")</f>
        <v/>
      </c>
    </row>
    <row r="5799" spans="1:2" x14ac:dyDescent="0.25">
      <c r="A5799" s="3">
        <f>IF(Raw_Data!J5799=0,Raw_Data!D5799,"")</f>
        <v>3974.21</v>
      </c>
      <c r="B5799" s="3" t="str">
        <f>IF(Raw_Data!J5799=1,Raw_Data!D5799,"")</f>
        <v/>
      </c>
    </row>
    <row r="5800" spans="1:2" x14ac:dyDescent="0.25">
      <c r="A5800" s="3">
        <f>IF(Raw_Data!J5800=0,Raw_Data!D5800,"")</f>
        <v>5748.5</v>
      </c>
      <c r="B5800" s="3" t="str">
        <f>IF(Raw_Data!J5800=1,Raw_Data!D5800,"")</f>
        <v/>
      </c>
    </row>
    <row r="5801" spans="1:2" x14ac:dyDescent="0.25">
      <c r="A5801" s="3">
        <f>IF(Raw_Data!J5801=0,Raw_Data!D5801,"")</f>
        <v>6614.04</v>
      </c>
      <c r="B5801" s="3" t="str">
        <f>IF(Raw_Data!J5801=1,Raw_Data!D5801,"")</f>
        <v/>
      </c>
    </row>
    <row r="5802" spans="1:2" x14ac:dyDescent="0.25">
      <c r="A5802" s="3">
        <f>IF(Raw_Data!J5802=0,Raw_Data!D5802,"")</f>
        <v>936.54</v>
      </c>
      <c r="B5802" s="3" t="str">
        <f>IF(Raw_Data!J5802=1,Raw_Data!D5802,"")</f>
        <v/>
      </c>
    </row>
    <row r="5803" spans="1:2" x14ac:dyDescent="0.25">
      <c r="A5803" s="3">
        <f>IF(Raw_Data!J5803=0,Raw_Data!D5803,"")</f>
        <v>1700.1</v>
      </c>
      <c r="B5803" s="3" t="str">
        <f>IF(Raw_Data!J5803=1,Raw_Data!D5803,"")</f>
        <v/>
      </c>
    </row>
    <row r="5804" spans="1:2" x14ac:dyDescent="0.25">
      <c r="A5804" s="3">
        <f>IF(Raw_Data!J5804=0,Raw_Data!D5804,"")</f>
        <v>2528.36</v>
      </c>
      <c r="B5804" s="3" t="str">
        <f>IF(Raw_Data!J5804=1,Raw_Data!D5804,"")</f>
        <v/>
      </c>
    </row>
    <row r="5805" spans="1:2" x14ac:dyDescent="0.25">
      <c r="A5805" s="3">
        <f>IF(Raw_Data!J5805=0,Raw_Data!D5805,"")</f>
        <v>3472.99</v>
      </c>
      <c r="B5805" s="3" t="str">
        <f>IF(Raw_Data!J5805=1,Raw_Data!D5805,"")</f>
        <v/>
      </c>
    </row>
    <row r="5806" spans="1:2" x14ac:dyDescent="0.25">
      <c r="A5806" s="3">
        <f>IF(Raw_Data!J5806=0,Raw_Data!D5806,"")</f>
        <v>4601.95</v>
      </c>
      <c r="B5806" s="3" t="str">
        <f>IF(Raw_Data!J5806=1,Raw_Data!D5806,"")</f>
        <v/>
      </c>
    </row>
    <row r="5807" spans="1:2" x14ac:dyDescent="0.25">
      <c r="A5807" s="3" t="str">
        <f>IF(Raw_Data!J5807=0,Raw_Data!D5807,"")</f>
        <v/>
      </c>
      <c r="B5807" s="3">
        <f>IF(Raw_Data!J5807=1,Raw_Data!D5807,"")</f>
        <v>4927.74</v>
      </c>
    </row>
    <row r="5808" spans="1:2" x14ac:dyDescent="0.25">
      <c r="A5808" s="3">
        <f>IF(Raw_Data!J5808=0,Raw_Data!D5808,"")</f>
        <v>2127.87</v>
      </c>
      <c r="B5808" s="3" t="str">
        <f>IF(Raw_Data!J5808=1,Raw_Data!D5808,"")</f>
        <v/>
      </c>
    </row>
    <row r="5809" spans="1:2" x14ac:dyDescent="0.25">
      <c r="A5809" s="3">
        <f>IF(Raw_Data!J5809=0,Raw_Data!D5809,"")</f>
        <v>6949.8</v>
      </c>
      <c r="B5809" s="3" t="str">
        <f>IF(Raw_Data!J5809=1,Raw_Data!D5809,"")</f>
        <v/>
      </c>
    </row>
    <row r="5810" spans="1:2" x14ac:dyDescent="0.25">
      <c r="A5810" s="3">
        <f>IF(Raw_Data!J5810=0,Raw_Data!D5810,"")</f>
        <v>622.22</v>
      </c>
      <c r="B5810" s="3" t="str">
        <f>IF(Raw_Data!J5810=1,Raw_Data!D5810,"")</f>
        <v/>
      </c>
    </row>
    <row r="5811" spans="1:2" x14ac:dyDescent="0.25">
      <c r="A5811" s="3">
        <f>IF(Raw_Data!J5811=0,Raw_Data!D5811,"")</f>
        <v>1285.4000000000001</v>
      </c>
      <c r="B5811" s="3" t="str">
        <f>IF(Raw_Data!J5811=1,Raw_Data!D5811,"")</f>
        <v/>
      </c>
    </row>
    <row r="5812" spans="1:2" x14ac:dyDescent="0.25">
      <c r="A5812" s="3">
        <f>IF(Raw_Data!J5812=0,Raw_Data!D5812,"")</f>
        <v>3944.67</v>
      </c>
      <c r="B5812" s="3" t="str">
        <f>IF(Raw_Data!J5812=1,Raw_Data!D5812,"")</f>
        <v/>
      </c>
    </row>
    <row r="5813" spans="1:2" x14ac:dyDescent="0.25">
      <c r="A5813" s="3">
        <f>IF(Raw_Data!J5813=0,Raw_Data!D5813,"")</f>
        <v>493.02</v>
      </c>
      <c r="B5813" s="3" t="str">
        <f>IF(Raw_Data!J5813=1,Raw_Data!D5813,"")</f>
        <v/>
      </c>
    </row>
    <row r="5814" spans="1:2" x14ac:dyDescent="0.25">
      <c r="A5814" s="3">
        <f>IF(Raw_Data!J5814=0,Raw_Data!D5814,"")</f>
        <v>4945.2299999999996</v>
      </c>
      <c r="B5814" s="3" t="str">
        <f>IF(Raw_Data!J5814=1,Raw_Data!D5814,"")</f>
        <v/>
      </c>
    </row>
    <row r="5815" spans="1:2" x14ac:dyDescent="0.25">
      <c r="A5815" s="3" t="str">
        <f>IF(Raw_Data!J5815=0,Raw_Data!D5815,"")</f>
        <v/>
      </c>
      <c r="B5815" s="3">
        <f>IF(Raw_Data!J5815=1,Raw_Data!D5815,"")</f>
        <v>2427.23</v>
      </c>
    </row>
    <row r="5816" spans="1:2" x14ac:dyDescent="0.25">
      <c r="A5816" s="3">
        <f>IF(Raw_Data!J5816=0,Raw_Data!D5816,"")</f>
        <v>1710.48</v>
      </c>
      <c r="B5816" s="3" t="str">
        <f>IF(Raw_Data!J5816=1,Raw_Data!D5816,"")</f>
        <v/>
      </c>
    </row>
    <row r="5817" spans="1:2" x14ac:dyDescent="0.25">
      <c r="A5817" s="3">
        <f>IF(Raw_Data!J5817=0,Raw_Data!D5817,"")</f>
        <v>748.74</v>
      </c>
      <c r="B5817" s="3" t="str">
        <f>IF(Raw_Data!J5817=1,Raw_Data!D5817,"")</f>
        <v/>
      </c>
    </row>
    <row r="5818" spans="1:2" x14ac:dyDescent="0.25">
      <c r="A5818" s="3">
        <f>IF(Raw_Data!J5818=0,Raw_Data!D5818,"")</f>
        <v>1560.45</v>
      </c>
      <c r="B5818" s="3" t="str">
        <f>IF(Raw_Data!J5818=1,Raw_Data!D5818,"")</f>
        <v/>
      </c>
    </row>
    <row r="5819" spans="1:2" x14ac:dyDescent="0.25">
      <c r="A5819" s="3">
        <f>IF(Raw_Data!J5819=0,Raw_Data!D5819,"")</f>
        <v>2277.0500000000002</v>
      </c>
      <c r="B5819" s="3" t="str">
        <f>IF(Raw_Data!J5819=1,Raw_Data!D5819,"")</f>
        <v/>
      </c>
    </row>
    <row r="5820" spans="1:2" x14ac:dyDescent="0.25">
      <c r="A5820" s="3">
        <f>IF(Raw_Data!J5820=0,Raw_Data!D5820,"")</f>
        <v>4000.63</v>
      </c>
      <c r="B5820" s="3" t="str">
        <f>IF(Raw_Data!J5820=1,Raw_Data!D5820,"")</f>
        <v/>
      </c>
    </row>
    <row r="5821" spans="1:2" x14ac:dyDescent="0.25">
      <c r="A5821" s="3" t="str">
        <f>IF(Raw_Data!J5821=0,Raw_Data!D5821,"")</f>
        <v/>
      </c>
      <c r="B5821" s="3">
        <f>IF(Raw_Data!J5821=1,Raw_Data!D5821,"")</f>
        <v>3319.8</v>
      </c>
    </row>
    <row r="5822" spans="1:2" x14ac:dyDescent="0.25">
      <c r="A5822" s="3">
        <f>IF(Raw_Data!J5822=0,Raw_Data!D5822,"")</f>
        <v>998.68</v>
      </c>
      <c r="B5822" s="3" t="str">
        <f>IF(Raw_Data!J5822=1,Raw_Data!D5822,"")</f>
        <v/>
      </c>
    </row>
    <row r="5823" spans="1:2" x14ac:dyDescent="0.25">
      <c r="A5823" s="3">
        <f>IF(Raw_Data!J5823=0,Raw_Data!D5823,"")</f>
        <v>586.23</v>
      </c>
      <c r="B5823" s="3" t="str">
        <f>IF(Raw_Data!J5823=1,Raw_Data!D5823,"")</f>
        <v/>
      </c>
    </row>
    <row r="5824" spans="1:2" x14ac:dyDescent="0.25">
      <c r="A5824" s="3">
        <f>IF(Raw_Data!J5824=0,Raw_Data!D5824,"")</f>
        <v>5898.52</v>
      </c>
      <c r="B5824" s="3" t="str">
        <f>IF(Raw_Data!J5824=1,Raw_Data!D5824,"")</f>
        <v/>
      </c>
    </row>
    <row r="5825" spans="1:2" x14ac:dyDescent="0.25">
      <c r="A5825" s="3">
        <f>IF(Raw_Data!J5825=0,Raw_Data!D5825,"")</f>
        <v>5788.32</v>
      </c>
      <c r="B5825" s="3" t="str">
        <f>IF(Raw_Data!J5825=1,Raw_Data!D5825,"")</f>
        <v/>
      </c>
    </row>
    <row r="5826" spans="1:2" x14ac:dyDescent="0.25">
      <c r="A5826" s="3">
        <f>IF(Raw_Data!J5826=0,Raw_Data!D5826,"")</f>
        <v>5984.33</v>
      </c>
      <c r="B5826" s="3" t="str">
        <f>IF(Raw_Data!J5826=1,Raw_Data!D5826,"")</f>
        <v/>
      </c>
    </row>
    <row r="5827" spans="1:2" x14ac:dyDescent="0.25">
      <c r="A5827" s="3">
        <f>IF(Raw_Data!J5827=0,Raw_Data!D5827,"")</f>
        <v>3130.33</v>
      </c>
      <c r="B5827" s="3" t="str">
        <f>IF(Raw_Data!J5827=1,Raw_Data!D5827,"")</f>
        <v/>
      </c>
    </row>
    <row r="5828" spans="1:2" x14ac:dyDescent="0.25">
      <c r="A5828" s="3">
        <f>IF(Raw_Data!J5828=0,Raw_Data!D5828,"")</f>
        <v>1342.21</v>
      </c>
      <c r="B5828" s="3" t="str">
        <f>IF(Raw_Data!J5828=1,Raw_Data!D5828,"")</f>
        <v/>
      </c>
    </row>
    <row r="5829" spans="1:2" x14ac:dyDescent="0.25">
      <c r="A5829" s="3">
        <f>IF(Raw_Data!J5829=0,Raw_Data!D5829,"")</f>
        <v>224.03</v>
      </c>
      <c r="B5829" s="3" t="str">
        <f>IF(Raw_Data!J5829=1,Raw_Data!D5829,"")</f>
        <v/>
      </c>
    </row>
    <row r="5830" spans="1:2" x14ac:dyDescent="0.25">
      <c r="A5830" s="3" t="str">
        <f>IF(Raw_Data!J5830=0,Raw_Data!D5830,"")</f>
        <v/>
      </c>
      <c r="B5830" s="3">
        <f>IF(Raw_Data!J5830=1,Raw_Data!D5830,"")</f>
        <v>1059.1600000000001</v>
      </c>
    </row>
    <row r="5831" spans="1:2" x14ac:dyDescent="0.25">
      <c r="A5831" s="3">
        <f>IF(Raw_Data!J5831=0,Raw_Data!D5831,"")</f>
        <v>11081.58</v>
      </c>
      <c r="B5831" s="3" t="str">
        <f>IF(Raw_Data!J5831=1,Raw_Data!D5831,"")</f>
        <v/>
      </c>
    </row>
    <row r="5832" spans="1:2" x14ac:dyDescent="0.25">
      <c r="A5832" s="3">
        <f>IF(Raw_Data!J5832=0,Raw_Data!D5832,"")</f>
        <v>2778.43</v>
      </c>
      <c r="B5832" s="3" t="str">
        <f>IF(Raw_Data!J5832=1,Raw_Data!D5832,"")</f>
        <v/>
      </c>
    </row>
    <row r="5833" spans="1:2" x14ac:dyDescent="0.25">
      <c r="A5833" s="3">
        <f>IF(Raw_Data!J5833=0,Raw_Data!D5833,"")</f>
        <v>3908.58</v>
      </c>
      <c r="B5833" s="3" t="str">
        <f>IF(Raw_Data!J5833=1,Raw_Data!D5833,"")</f>
        <v/>
      </c>
    </row>
    <row r="5834" spans="1:2" x14ac:dyDescent="0.25">
      <c r="A5834" s="3" t="str">
        <f>IF(Raw_Data!J5834=0,Raw_Data!D5834,"")</f>
        <v/>
      </c>
      <c r="B5834" s="3">
        <f>IF(Raw_Data!J5834=1,Raw_Data!D5834,"")</f>
        <v>6938.58</v>
      </c>
    </row>
    <row r="5835" spans="1:2" x14ac:dyDescent="0.25">
      <c r="A5835" s="3">
        <f>IF(Raw_Data!J5835=0,Raw_Data!D5835,"")</f>
        <v>1056.58</v>
      </c>
      <c r="B5835" s="3" t="str">
        <f>IF(Raw_Data!J5835=1,Raw_Data!D5835,"")</f>
        <v/>
      </c>
    </row>
    <row r="5836" spans="1:2" x14ac:dyDescent="0.25">
      <c r="A5836" s="3" t="str">
        <f>IF(Raw_Data!J5836=0,Raw_Data!D5836,"")</f>
        <v/>
      </c>
      <c r="B5836" s="3">
        <f>IF(Raw_Data!J5836=1,Raw_Data!D5836,"")</f>
        <v>1827.39</v>
      </c>
    </row>
    <row r="5837" spans="1:2" x14ac:dyDescent="0.25">
      <c r="A5837" s="3">
        <f>IF(Raw_Data!J5837=0,Raw_Data!D5837,"")</f>
        <v>2164.0500000000002</v>
      </c>
      <c r="B5837" s="3" t="str">
        <f>IF(Raw_Data!J5837=1,Raw_Data!D5837,"")</f>
        <v/>
      </c>
    </row>
    <row r="5838" spans="1:2" x14ac:dyDescent="0.25">
      <c r="A5838" s="3">
        <f>IF(Raw_Data!J5838=0,Raw_Data!D5838,"")</f>
        <v>2262.7199999999998</v>
      </c>
      <c r="B5838" s="3" t="str">
        <f>IF(Raw_Data!J5838=1,Raw_Data!D5838,"")</f>
        <v/>
      </c>
    </row>
    <row r="5839" spans="1:2" x14ac:dyDescent="0.25">
      <c r="A5839" s="3">
        <f>IF(Raw_Data!J5839=0,Raw_Data!D5839,"")</f>
        <v>2245.8200000000002</v>
      </c>
      <c r="B5839" s="3" t="str">
        <f>IF(Raw_Data!J5839=1,Raw_Data!D5839,"")</f>
        <v/>
      </c>
    </row>
    <row r="5840" spans="1:2" x14ac:dyDescent="0.25">
      <c r="A5840" s="3">
        <f>IF(Raw_Data!J5840=0,Raw_Data!D5840,"")</f>
        <v>2259.06</v>
      </c>
      <c r="B5840" s="3" t="str">
        <f>IF(Raw_Data!J5840=1,Raw_Data!D5840,"")</f>
        <v/>
      </c>
    </row>
    <row r="5841" spans="1:2" x14ac:dyDescent="0.25">
      <c r="A5841" s="3">
        <f>IF(Raw_Data!J5841=0,Raw_Data!D5841,"")</f>
        <v>3748.55</v>
      </c>
      <c r="B5841" s="3" t="str">
        <f>IF(Raw_Data!J5841=1,Raw_Data!D5841,"")</f>
        <v/>
      </c>
    </row>
    <row r="5842" spans="1:2" x14ac:dyDescent="0.25">
      <c r="A5842" s="3">
        <f>IF(Raw_Data!J5842=0,Raw_Data!D5842,"")</f>
        <v>2701.1</v>
      </c>
      <c r="B5842" s="3" t="str">
        <f>IF(Raw_Data!J5842=1,Raw_Data!D5842,"")</f>
        <v/>
      </c>
    </row>
    <row r="5843" spans="1:2" x14ac:dyDescent="0.25">
      <c r="A5843" s="3">
        <f>IF(Raw_Data!J5843=0,Raw_Data!D5843,"")</f>
        <v>1053.3599999999999</v>
      </c>
      <c r="B5843" s="3" t="str">
        <f>IF(Raw_Data!J5843=1,Raw_Data!D5843,"")</f>
        <v/>
      </c>
    </row>
    <row r="5844" spans="1:2" x14ac:dyDescent="0.25">
      <c r="A5844" s="3">
        <f>IF(Raw_Data!J5844=0,Raw_Data!D5844,"")</f>
        <v>1774.53</v>
      </c>
      <c r="B5844" s="3" t="str">
        <f>IF(Raw_Data!J5844=1,Raw_Data!D5844,"")</f>
        <v/>
      </c>
    </row>
    <row r="5845" spans="1:2" x14ac:dyDescent="0.25">
      <c r="A5845" s="3">
        <f>IF(Raw_Data!J5845=0,Raw_Data!D5845,"")</f>
        <v>2843.04</v>
      </c>
      <c r="B5845" s="3" t="str">
        <f>IF(Raw_Data!J5845=1,Raw_Data!D5845,"")</f>
        <v/>
      </c>
    </row>
    <row r="5846" spans="1:2" x14ac:dyDescent="0.25">
      <c r="A5846" s="3">
        <f>IF(Raw_Data!J5846=0,Raw_Data!D5846,"")</f>
        <v>8316.49</v>
      </c>
      <c r="B5846" s="3" t="str">
        <f>IF(Raw_Data!J5846=1,Raw_Data!D5846,"")</f>
        <v/>
      </c>
    </row>
    <row r="5847" spans="1:2" x14ac:dyDescent="0.25">
      <c r="A5847" s="3">
        <f>IF(Raw_Data!J5847=0,Raw_Data!D5847,"")</f>
        <v>1443.66</v>
      </c>
      <c r="B5847" s="3" t="str">
        <f>IF(Raw_Data!J5847=1,Raw_Data!D5847,"")</f>
        <v/>
      </c>
    </row>
    <row r="5848" spans="1:2" x14ac:dyDescent="0.25">
      <c r="A5848" s="3">
        <f>IF(Raw_Data!J5848=0,Raw_Data!D5848,"")</f>
        <v>2903.07</v>
      </c>
      <c r="B5848" s="3" t="str">
        <f>IF(Raw_Data!J5848=1,Raw_Data!D5848,"")</f>
        <v/>
      </c>
    </row>
    <row r="5849" spans="1:2" x14ac:dyDescent="0.25">
      <c r="A5849" s="3">
        <f>IF(Raw_Data!J5849=0,Raw_Data!D5849,"")</f>
        <v>5044.45</v>
      </c>
      <c r="B5849" s="3" t="str">
        <f>IF(Raw_Data!J5849=1,Raw_Data!D5849,"")</f>
        <v/>
      </c>
    </row>
    <row r="5850" spans="1:2" x14ac:dyDescent="0.25">
      <c r="A5850" s="3">
        <f>IF(Raw_Data!J5850=0,Raw_Data!D5850,"")</f>
        <v>3883.64</v>
      </c>
      <c r="B5850" s="3" t="str">
        <f>IF(Raw_Data!J5850=1,Raw_Data!D5850,"")</f>
        <v/>
      </c>
    </row>
    <row r="5851" spans="1:2" x14ac:dyDescent="0.25">
      <c r="A5851" s="3">
        <f>IF(Raw_Data!J5851=0,Raw_Data!D5851,"")</f>
        <v>2184.44</v>
      </c>
      <c r="B5851" s="3" t="str">
        <f>IF(Raw_Data!J5851=1,Raw_Data!D5851,"")</f>
        <v/>
      </c>
    </row>
    <row r="5852" spans="1:2" x14ac:dyDescent="0.25">
      <c r="A5852" s="3">
        <f>IF(Raw_Data!J5852=0,Raw_Data!D5852,"")</f>
        <v>1785.39</v>
      </c>
      <c r="B5852" s="3" t="str">
        <f>IF(Raw_Data!J5852=1,Raw_Data!D5852,"")</f>
        <v/>
      </c>
    </row>
    <row r="5853" spans="1:2" x14ac:dyDescent="0.25">
      <c r="A5853" s="3">
        <f>IF(Raw_Data!J5853=0,Raw_Data!D5853,"")</f>
        <v>5403.92</v>
      </c>
      <c r="B5853" s="3" t="str">
        <f>IF(Raw_Data!J5853=1,Raw_Data!D5853,"")</f>
        <v/>
      </c>
    </row>
    <row r="5854" spans="1:2" x14ac:dyDescent="0.25">
      <c r="A5854" s="3">
        <f>IF(Raw_Data!J5854=0,Raw_Data!D5854,"")</f>
        <v>2503.7399999999998</v>
      </c>
      <c r="B5854" s="3" t="str">
        <f>IF(Raw_Data!J5854=1,Raw_Data!D5854,"")</f>
        <v/>
      </c>
    </row>
    <row r="5855" spans="1:2" x14ac:dyDescent="0.25">
      <c r="A5855" s="3" t="str">
        <f>IF(Raw_Data!J5855=0,Raw_Data!D5855,"")</f>
        <v/>
      </c>
      <c r="B5855" s="3">
        <f>IF(Raw_Data!J5855=1,Raw_Data!D5855,"")</f>
        <v>1938.22</v>
      </c>
    </row>
    <row r="5856" spans="1:2" x14ac:dyDescent="0.25">
      <c r="A5856" s="3" t="str">
        <f>IF(Raw_Data!J5856=0,Raw_Data!D5856,"")</f>
        <v/>
      </c>
      <c r="B5856" s="3">
        <f>IF(Raw_Data!J5856=1,Raw_Data!D5856,"")</f>
        <v>7392.76</v>
      </c>
    </row>
    <row r="5857" spans="1:2" x14ac:dyDescent="0.25">
      <c r="A5857" s="3" t="str">
        <f>IF(Raw_Data!J5857=0,Raw_Data!D5857,"")</f>
        <v/>
      </c>
      <c r="B5857" s="3">
        <f>IF(Raw_Data!J5857=1,Raw_Data!D5857,"")</f>
        <v>1318.2</v>
      </c>
    </row>
    <row r="5858" spans="1:2" x14ac:dyDescent="0.25">
      <c r="A5858" s="3">
        <f>IF(Raw_Data!J5858=0,Raw_Data!D5858,"")</f>
        <v>3569.7</v>
      </c>
      <c r="B5858" s="3" t="str">
        <f>IF(Raw_Data!J5858=1,Raw_Data!D5858,"")</f>
        <v/>
      </c>
    </row>
    <row r="5859" spans="1:2" x14ac:dyDescent="0.25">
      <c r="A5859" s="3">
        <f>IF(Raw_Data!J5859=0,Raw_Data!D5859,"")</f>
        <v>2479.87</v>
      </c>
      <c r="B5859" s="3" t="str">
        <f>IF(Raw_Data!J5859=1,Raw_Data!D5859,"")</f>
        <v/>
      </c>
    </row>
    <row r="5860" spans="1:2" x14ac:dyDescent="0.25">
      <c r="A5860" s="3">
        <f>IF(Raw_Data!J5860=0,Raw_Data!D5860,"")</f>
        <v>3864.66</v>
      </c>
      <c r="B5860" s="3" t="str">
        <f>IF(Raw_Data!J5860=1,Raw_Data!D5860,"")</f>
        <v/>
      </c>
    </row>
    <row r="5861" spans="1:2" x14ac:dyDescent="0.25">
      <c r="A5861" s="3">
        <f>IF(Raw_Data!J5861=0,Raw_Data!D5861,"")</f>
        <v>2443.56</v>
      </c>
      <c r="B5861" s="3" t="str">
        <f>IF(Raw_Data!J5861=1,Raw_Data!D5861,"")</f>
        <v/>
      </c>
    </row>
    <row r="5862" spans="1:2" x14ac:dyDescent="0.25">
      <c r="A5862" s="3" t="str">
        <f>IF(Raw_Data!J5862=0,Raw_Data!D5862,"")</f>
        <v/>
      </c>
      <c r="B5862" s="3">
        <f>IF(Raw_Data!J5862=1,Raw_Data!D5862,"")</f>
        <v>3837.34</v>
      </c>
    </row>
    <row r="5863" spans="1:2" x14ac:dyDescent="0.25">
      <c r="A5863" s="3" t="str">
        <f>IF(Raw_Data!J5863=0,Raw_Data!D5863,"")</f>
        <v/>
      </c>
      <c r="B5863" s="3">
        <f>IF(Raw_Data!J5863=1,Raw_Data!D5863,"")</f>
        <v>4126.8999999999996</v>
      </c>
    </row>
    <row r="5864" spans="1:2" x14ac:dyDescent="0.25">
      <c r="A5864" s="3">
        <f>IF(Raw_Data!J5864=0,Raw_Data!D5864,"")</f>
        <v>2100.9499999999998</v>
      </c>
      <c r="B5864" s="3" t="str">
        <f>IF(Raw_Data!J5864=1,Raw_Data!D5864,"")</f>
        <v/>
      </c>
    </row>
    <row r="5865" spans="1:2" x14ac:dyDescent="0.25">
      <c r="A5865" s="3">
        <f>IF(Raw_Data!J5865=0,Raw_Data!D5865,"")</f>
        <v>1508.24</v>
      </c>
      <c r="B5865" s="3" t="str">
        <f>IF(Raw_Data!J5865=1,Raw_Data!D5865,"")</f>
        <v/>
      </c>
    </row>
    <row r="5866" spans="1:2" x14ac:dyDescent="0.25">
      <c r="A5866" s="3">
        <f>IF(Raw_Data!J5866=0,Raw_Data!D5866,"")</f>
        <v>952.4</v>
      </c>
      <c r="B5866" s="3" t="str">
        <f>IF(Raw_Data!J5866=1,Raw_Data!D5866,"")</f>
        <v/>
      </c>
    </row>
    <row r="5867" spans="1:2" x14ac:dyDescent="0.25">
      <c r="A5867" s="3">
        <f>IF(Raw_Data!J5867=0,Raw_Data!D5867,"")</f>
        <v>2204.4</v>
      </c>
      <c r="B5867" s="3" t="str">
        <f>IF(Raw_Data!J5867=1,Raw_Data!D5867,"")</f>
        <v/>
      </c>
    </row>
    <row r="5868" spans="1:2" x14ac:dyDescent="0.25">
      <c r="A5868" s="3">
        <f>IF(Raw_Data!J5868=0,Raw_Data!D5868,"")</f>
        <v>1767.84</v>
      </c>
      <c r="B5868" s="3" t="str">
        <f>IF(Raw_Data!J5868=1,Raw_Data!D5868,"")</f>
        <v/>
      </c>
    </row>
    <row r="5869" spans="1:2" x14ac:dyDescent="0.25">
      <c r="A5869" s="3">
        <f>IF(Raw_Data!J5869=0,Raw_Data!D5869,"")</f>
        <v>12445.41</v>
      </c>
      <c r="B5869" s="3" t="str">
        <f>IF(Raw_Data!J5869=1,Raw_Data!D5869,"")</f>
        <v/>
      </c>
    </row>
    <row r="5870" spans="1:2" x14ac:dyDescent="0.25">
      <c r="A5870" s="3">
        <f>IF(Raw_Data!J5870=0,Raw_Data!D5870,"")</f>
        <v>1274.6600000000001</v>
      </c>
      <c r="B5870" s="3" t="str">
        <f>IF(Raw_Data!J5870=1,Raw_Data!D5870,"")</f>
        <v/>
      </c>
    </row>
    <row r="5871" spans="1:2" x14ac:dyDescent="0.25">
      <c r="A5871" s="3">
        <f>IF(Raw_Data!J5871=0,Raw_Data!D5871,"")</f>
        <v>435.07</v>
      </c>
      <c r="B5871" s="3" t="str">
        <f>IF(Raw_Data!J5871=1,Raw_Data!D5871,"")</f>
        <v/>
      </c>
    </row>
    <row r="5872" spans="1:2" x14ac:dyDescent="0.25">
      <c r="A5872" s="3">
        <f>IF(Raw_Data!J5872=0,Raw_Data!D5872,"")</f>
        <v>1763.69</v>
      </c>
      <c r="B5872" s="3" t="str">
        <f>IF(Raw_Data!J5872=1,Raw_Data!D5872,"")</f>
        <v/>
      </c>
    </row>
    <row r="5873" spans="1:2" x14ac:dyDescent="0.25">
      <c r="A5873" s="3">
        <f>IF(Raw_Data!J5873=0,Raw_Data!D5873,"")</f>
        <v>954.6</v>
      </c>
      <c r="B5873" s="3" t="str">
        <f>IF(Raw_Data!J5873=1,Raw_Data!D5873,"")</f>
        <v/>
      </c>
    </row>
    <row r="5874" spans="1:2" x14ac:dyDescent="0.25">
      <c r="A5874" s="3">
        <f>IF(Raw_Data!J5874=0,Raw_Data!D5874,"")</f>
        <v>1457.93</v>
      </c>
      <c r="B5874" s="3" t="str">
        <f>IF(Raw_Data!J5874=1,Raw_Data!D5874,"")</f>
        <v/>
      </c>
    </row>
    <row r="5875" spans="1:2" x14ac:dyDescent="0.25">
      <c r="A5875" s="3" t="str">
        <f>IF(Raw_Data!J5875=0,Raw_Data!D5875,"")</f>
        <v/>
      </c>
      <c r="B5875" s="3">
        <f>IF(Raw_Data!J5875=1,Raw_Data!D5875,"")</f>
        <v>2577</v>
      </c>
    </row>
    <row r="5876" spans="1:2" x14ac:dyDescent="0.25">
      <c r="A5876" s="3">
        <f>IF(Raw_Data!J5876=0,Raw_Data!D5876,"")</f>
        <v>2309.86</v>
      </c>
      <c r="B5876" s="3" t="str">
        <f>IF(Raw_Data!J5876=1,Raw_Data!D5876,"")</f>
        <v/>
      </c>
    </row>
    <row r="5877" spans="1:2" x14ac:dyDescent="0.25">
      <c r="A5877" s="3">
        <f>IF(Raw_Data!J5877=0,Raw_Data!D5877,"")</f>
        <v>4683.03</v>
      </c>
      <c r="B5877" s="3" t="str">
        <f>IF(Raw_Data!J5877=1,Raw_Data!D5877,"")</f>
        <v/>
      </c>
    </row>
    <row r="5878" spans="1:2" x14ac:dyDescent="0.25">
      <c r="A5878" s="3" t="str">
        <f>IF(Raw_Data!J5878=0,Raw_Data!D5878,"")</f>
        <v/>
      </c>
      <c r="B5878" s="3">
        <f>IF(Raw_Data!J5878=1,Raw_Data!D5878,"")</f>
        <v>1072.18</v>
      </c>
    </row>
    <row r="5879" spans="1:2" x14ac:dyDescent="0.25">
      <c r="A5879" s="3" t="str">
        <f>IF(Raw_Data!J5879=0,Raw_Data!D5879,"")</f>
        <v/>
      </c>
      <c r="B5879" s="3">
        <f>IF(Raw_Data!J5879=1,Raw_Data!D5879,"")</f>
        <v>4875.41</v>
      </c>
    </row>
    <row r="5880" spans="1:2" x14ac:dyDescent="0.25">
      <c r="A5880" s="3">
        <f>IF(Raw_Data!J5880=0,Raw_Data!D5880,"")</f>
        <v>2767.95</v>
      </c>
      <c r="B5880" s="3" t="str">
        <f>IF(Raw_Data!J5880=1,Raw_Data!D5880,"")</f>
        <v/>
      </c>
    </row>
    <row r="5881" spans="1:2" x14ac:dyDescent="0.25">
      <c r="A5881" s="3">
        <f>IF(Raw_Data!J5881=0,Raw_Data!D5881,"")</f>
        <v>3572.48</v>
      </c>
      <c r="B5881" s="3" t="str">
        <f>IF(Raw_Data!J5881=1,Raw_Data!D5881,"")</f>
        <v/>
      </c>
    </row>
    <row r="5882" spans="1:2" x14ac:dyDescent="0.25">
      <c r="A5882" s="3">
        <f>IF(Raw_Data!J5882=0,Raw_Data!D5882,"")</f>
        <v>3183.61</v>
      </c>
      <c r="B5882" s="3" t="str">
        <f>IF(Raw_Data!J5882=1,Raw_Data!D5882,"")</f>
        <v/>
      </c>
    </row>
    <row r="5883" spans="1:2" x14ac:dyDescent="0.25">
      <c r="A5883" s="3">
        <f>IF(Raw_Data!J5883=0,Raw_Data!D5883,"")</f>
        <v>1929.36</v>
      </c>
      <c r="B5883" s="3" t="str">
        <f>IF(Raw_Data!J5883=1,Raw_Data!D5883,"")</f>
        <v/>
      </c>
    </row>
    <row r="5884" spans="1:2" x14ac:dyDescent="0.25">
      <c r="A5884" s="3">
        <f>IF(Raw_Data!J5884=0,Raw_Data!D5884,"")</f>
        <v>3647.34</v>
      </c>
      <c r="B5884" s="3" t="str">
        <f>IF(Raw_Data!J5884=1,Raw_Data!D5884,"")</f>
        <v/>
      </c>
    </row>
    <row r="5885" spans="1:2" x14ac:dyDescent="0.25">
      <c r="A5885" s="3">
        <f>IF(Raw_Data!J5885=0,Raw_Data!D5885,"")</f>
        <v>5438.7</v>
      </c>
      <c r="B5885" s="3" t="str">
        <f>IF(Raw_Data!J5885=1,Raw_Data!D5885,"")</f>
        <v/>
      </c>
    </row>
    <row r="5886" spans="1:2" x14ac:dyDescent="0.25">
      <c r="A5886" s="3">
        <f>IF(Raw_Data!J5886=0,Raw_Data!D5886,"")</f>
        <v>2075.84</v>
      </c>
      <c r="B5886" s="3" t="str">
        <f>IF(Raw_Data!J5886=1,Raw_Data!D5886,"")</f>
        <v/>
      </c>
    </row>
    <row r="5887" spans="1:2" x14ac:dyDescent="0.25">
      <c r="A5887" s="3">
        <f>IF(Raw_Data!J5887=0,Raw_Data!D5887,"")</f>
        <v>3621.51</v>
      </c>
      <c r="B5887" s="3" t="str">
        <f>IF(Raw_Data!J5887=1,Raw_Data!D5887,"")</f>
        <v/>
      </c>
    </row>
    <row r="5888" spans="1:2" x14ac:dyDescent="0.25">
      <c r="A5888" s="3">
        <f>IF(Raw_Data!J5888=0,Raw_Data!D5888,"")</f>
        <v>2120.8200000000002</v>
      </c>
      <c r="B5888" s="3" t="str">
        <f>IF(Raw_Data!J5888=1,Raw_Data!D5888,"")</f>
        <v/>
      </c>
    </row>
    <row r="5889" spans="1:2" x14ac:dyDescent="0.25">
      <c r="A5889" s="3">
        <f>IF(Raw_Data!J5889=0,Raw_Data!D5889,"")</f>
        <v>5169.8599999999997</v>
      </c>
      <c r="B5889" s="3" t="str">
        <f>IF(Raw_Data!J5889=1,Raw_Data!D5889,"")</f>
        <v/>
      </c>
    </row>
    <row r="5890" spans="1:2" x14ac:dyDescent="0.25">
      <c r="A5890" s="3" t="str">
        <f>IF(Raw_Data!J5890=0,Raw_Data!D5890,"")</f>
        <v/>
      </c>
      <c r="B5890" s="3">
        <f>IF(Raw_Data!J5890=1,Raw_Data!D5890,"")</f>
        <v>4316.92</v>
      </c>
    </row>
    <row r="5891" spans="1:2" x14ac:dyDescent="0.25">
      <c r="A5891" s="3">
        <f>IF(Raw_Data!J5891=0,Raw_Data!D5891,"")</f>
        <v>1582.4</v>
      </c>
      <c r="B5891" s="3" t="str">
        <f>IF(Raw_Data!J5891=1,Raw_Data!D5891,"")</f>
        <v/>
      </c>
    </row>
    <row r="5892" spans="1:2" x14ac:dyDescent="0.25">
      <c r="A5892" s="3">
        <f>IF(Raw_Data!J5892=0,Raw_Data!D5892,"")</f>
        <v>3611.58</v>
      </c>
      <c r="B5892" s="3" t="str">
        <f>IF(Raw_Data!J5892=1,Raw_Data!D5892,"")</f>
        <v/>
      </c>
    </row>
    <row r="5893" spans="1:2" x14ac:dyDescent="0.25">
      <c r="A5893" s="3">
        <f>IF(Raw_Data!J5893=0,Raw_Data!D5893,"")</f>
        <v>1509.32</v>
      </c>
      <c r="B5893" s="3" t="str">
        <f>IF(Raw_Data!J5893=1,Raw_Data!D5893,"")</f>
        <v/>
      </c>
    </row>
    <row r="5894" spans="1:2" x14ac:dyDescent="0.25">
      <c r="A5894" s="3">
        <f>IF(Raw_Data!J5894=0,Raw_Data!D5894,"")</f>
        <v>1223.51</v>
      </c>
      <c r="B5894" s="3" t="str">
        <f>IF(Raw_Data!J5894=1,Raw_Data!D5894,"")</f>
        <v/>
      </c>
    </row>
    <row r="5895" spans="1:2" x14ac:dyDescent="0.25">
      <c r="A5895" s="3">
        <f>IF(Raw_Data!J5895=0,Raw_Data!D5895,"")</f>
        <v>874.66</v>
      </c>
      <c r="B5895" s="3" t="str">
        <f>IF(Raw_Data!J5895=1,Raw_Data!D5895,"")</f>
        <v/>
      </c>
    </row>
    <row r="5896" spans="1:2" x14ac:dyDescent="0.25">
      <c r="A5896" s="3">
        <f>IF(Raw_Data!J5896=0,Raw_Data!D5896,"")</f>
        <v>994.78</v>
      </c>
      <c r="B5896" s="3" t="str">
        <f>IF(Raw_Data!J5896=1,Raw_Data!D5896,"")</f>
        <v/>
      </c>
    </row>
    <row r="5897" spans="1:2" x14ac:dyDescent="0.25">
      <c r="A5897" s="3">
        <f>IF(Raw_Data!J5897=0,Raw_Data!D5897,"")</f>
        <v>2481.6</v>
      </c>
      <c r="B5897" s="3" t="str">
        <f>IF(Raw_Data!J5897=1,Raw_Data!D5897,"")</f>
        <v/>
      </c>
    </row>
    <row r="5898" spans="1:2" x14ac:dyDescent="0.25">
      <c r="A5898" s="3">
        <f>IF(Raw_Data!J5898=0,Raw_Data!D5898,"")</f>
        <v>4891.97</v>
      </c>
      <c r="B5898" s="3" t="str">
        <f>IF(Raw_Data!J5898=1,Raw_Data!D5898,"")</f>
        <v/>
      </c>
    </row>
    <row r="5899" spans="1:2" x14ac:dyDescent="0.25">
      <c r="A5899" s="3">
        <f>IF(Raw_Data!J5899=0,Raw_Data!D5899,"")</f>
        <v>1430.82</v>
      </c>
      <c r="B5899" s="3" t="str">
        <f>IF(Raw_Data!J5899=1,Raw_Data!D5899,"")</f>
        <v/>
      </c>
    </row>
    <row r="5900" spans="1:2" x14ac:dyDescent="0.25">
      <c r="A5900" s="3">
        <f>IF(Raw_Data!J5900=0,Raw_Data!D5900,"")</f>
        <v>6392.17</v>
      </c>
      <c r="B5900" s="3" t="str">
        <f>IF(Raw_Data!J5900=1,Raw_Data!D5900,"")</f>
        <v/>
      </c>
    </row>
    <row r="5901" spans="1:2" x14ac:dyDescent="0.25">
      <c r="A5901" s="3" t="str">
        <f>IF(Raw_Data!J5901=0,Raw_Data!D5901,"")</f>
        <v/>
      </c>
      <c r="B5901" s="3">
        <f>IF(Raw_Data!J5901=1,Raw_Data!D5901,"")</f>
        <v>1181.83</v>
      </c>
    </row>
    <row r="5902" spans="1:2" x14ac:dyDescent="0.25">
      <c r="A5902" s="3" t="str">
        <f>IF(Raw_Data!J5902=0,Raw_Data!D5902,"")</f>
        <v/>
      </c>
      <c r="B5902" s="3">
        <f>IF(Raw_Data!J5902=1,Raw_Data!D5902,"")</f>
        <v>4406.71</v>
      </c>
    </row>
    <row r="5903" spans="1:2" x14ac:dyDescent="0.25">
      <c r="A5903" s="3">
        <f>IF(Raw_Data!J5903=0,Raw_Data!D5903,"")</f>
        <v>2927.16</v>
      </c>
      <c r="B5903" s="3" t="str">
        <f>IF(Raw_Data!J5903=1,Raw_Data!D5903,"")</f>
        <v/>
      </c>
    </row>
    <row r="5904" spans="1:2" x14ac:dyDescent="0.25">
      <c r="A5904" s="3" t="str">
        <f>IF(Raw_Data!J5904=0,Raw_Data!D5904,"")</f>
        <v/>
      </c>
      <c r="B5904" s="3">
        <f>IF(Raw_Data!J5904=1,Raw_Data!D5904,"")</f>
        <v>3639.82</v>
      </c>
    </row>
    <row r="5905" spans="1:2" x14ac:dyDescent="0.25">
      <c r="A5905" s="3" t="str">
        <f>IF(Raw_Data!J5905=0,Raw_Data!D5905,"")</f>
        <v/>
      </c>
      <c r="B5905" s="3">
        <f>IF(Raw_Data!J5905=1,Raw_Data!D5905,"")</f>
        <v>931.56</v>
      </c>
    </row>
    <row r="5906" spans="1:2" x14ac:dyDescent="0.25">
      <c r="A5906" s="3">
        <f>IF(Raw_Data!J5906=0,Raw_Data!D5906,"")</f>
        <v>1611.77</v>
      </c>
      <c r="B5906" s="3" t="str">
        <f>IF(Raw_Data!J5906=1,Raw_Data!D5906,"")</f>
        <v/>
      </c>
    </row>
    <row r="5907" spans="1:2" x14ac:dyDescent="0.25">
      <c r="A5907" s="3" t="str">
        <f>IF(Raw_Data!J5907=0,Raw_Data!D5907,"")</f>
        <v/>
      </c>
      <c r="B5907" s="3">
        <f>IF(Raw_Data!J5907=1,Raw_Data!D5907,"")</f>
        <v>1593.45</v>
      </c>
    </row>
    <row r="5908" spans="1:2" x14ac:dyDescent="0.25">
      <c r="A5908" s="3">
        <f>IF(Raw_Data!J5908=0,Raw_Data!D5908,"")</f>
        <v>610.53</v>
      </c>
      <c r="B5908" s="3" t="str">
        <f>IF(Raw_Data!J5908=1,Raw_Data!D5908,"")</f>
        <v/>
      </c>
    </row>
    <row r="5909" spans="1:2" x14ac:dyDescent="0.25">
      <c r="A5909" s="3" t="str">
        <f>IF(Raw_Data!J5909=0,Raw_Data!D5909,"")</f>
        <v/>
      </c>
      <c r="B5909" s="3">
        <f>IF(Raw_Data!J5909=1,Raw_Data!D5909,"")</f>
        <v>7425.01</v>
      </c>
    </row>
    <row r="5910" spans="1:2" x14ac:dyDescent="0.25">
      <c r="A5910" s="3">
        <f>IF(Raw_Data!J5910=0,Raw_Data!D5910,"")</f>
        <v>4575.01</v>
      </c>
      <c r="B5910" s="3" t="str">
        <f>IF(Raw_Data!J5910=1,Raw_Data!D5910,"")</f>
        <v/>
      </c>
    </row>
    <row r="5911" spans="1:2" x14ac:dyDescent="0.25">
      <c r="A5911" s="3">
        <f>IF(Raw_Data!J5911=0,Raw_Data!D5911,"")</f>
        <v>852.48</v>
      </c>
      <c r="B5911" s="3" t="str">
        <f>IF(Raw_Data!J5911=1,Raw_Data!D5911,"")</f>
        <v/>
      </c>
    </row>
    <row r="5912" spans="1:2" x14ac:dyDescent="0.25">
      <c r="A5912" s="3">
        <f>IF(Raw_Data!J5912=0,Raw_Data!D5912,"")</f>
        <v>1315.18</v>
      </c>
      <c r="B5912" s="3" t="str">
        <f>IF(Raw_Data!J5912=1,Raw_Data!D5912,"")</f>
        <v/>
      </c>
    </row>
    <row r="5913" spans="1:2" x14ac:dyDescent="0.25">
      <c r="A5913" s="3">
        <f>IF(Raw_Data!J5913=0,Raw_Data!D5913,"")</f>
        <v>5110.26</v>
      </c>
      <c r="B5913" s="3" t="str">
        <f>IF(Raw_Data!J5913=1,Raw_Data!D5913,"")</f>
        <v/>
      </c>
    </row>
    <row r="5914" spans="1:2" x14ac:dyDescent="0.25">
      <c r="A5914" s="3">
        <f>IF(Raw_Data!J5914=0,Raw_Data!D5914,"")</f>
        <v>1572.52</v>
      </c>
      <c r="B5914" s="3" t="str">
        <f>IF(Raw_Data!J5914=1,Raw_Data!D5914,"")</f>
        <v/>
      </c>
    </row>
    <row r="5915" spans="1:2" x14ac:dyDescent="0.25">
      <c r="A5915" s="3">
        <f>IF(Raw_Data!J5915=0,Raw_Data!D5915,"")</f>
        <v>4276.37</v>
      </c>
      <c r="B5915" s="3" t="str">
        <f>IF(Raw_Data!J5915=1,Raw_Data!D5915,"")</f>
        <v/>
      </c>
    </row>
    <row r="5916" spans="1:2" x14ac:dyDescent="0.25">
      <c r="A5916" s="3">
        <f>IF(Raw_Data!J5916=0,Raw_Data!D5916,"")</f>
        <v>2471.21</v>
      </c>
      <c r="B5916" s="3" t="str">
        <f>IF(Raw_Data!J5916=1,Raw_Data!D5916,"")</f>
        <v/>
      </c>
    </row>
    <row r="5917" spans="1:2" x14ac:dyDescent="0.25">
      <c r="A5917" s="3">
        <f>IF(Raw_Data!J5917=0,Raw_Data!D5917,"")</f>
        <v>885.21</v>
      </c>
      <c r="B5917" s="3" t="str">
        <f>IF(Raw_Data!J5917=1,Raw_Data!D5917,"")</f>
        <v/>
      </c>
    </row>
    <row r="5918" spans="1:2" x14ac:dyDescent="0.25">
      <c r="A5918" s="3">
        <f>IF(Raw_Data!J5918=0,Raw_Data!D5918,"")</f>
        <v>519.13</v>
      </c>
      <c r="B5918" s="3" t="str">
        <f>IF(Raw_Data!J5918=1,Raw_Data!D5918,"")</f>
        <v/>
      </c>
    </row>
    <row r="5919" spans="1:2" x14ac:dyDescent="0.25">
      <c r="A5919" s="3">
        <f>IF(Raw_Data!J5919=0,Raw_Data!D5919,"")</f>
        <v>4444.3900000000003</v>
      </c>
      <c r="B5919" s="3" t="str">
        <f>IF(Raw_Data!J5919=1,Raw_Data!D5919,"")</f>
        <v/>
      </c>
    </row>
    <row r="5920" spans="1:2" x14ac:dyDescent="0.25">
      <c r="A5920" s="3">
        <f>IF(Raw_Data!J5920=0,Raw_Data!D5920,"")</f>
        <v>4279.95</v>
      </c>
      <c r="B5920" s="3" t="str">
        <f>IF(Raw_Data!J5920=1,Raw_Data!D5920,"")</f>
        <v/>
      </c>
    </row>
    <row r="5921" spans="1:2" x14ac:dyDescent="0.25">
      <c r="A5921" s="3">
        <f>IF(Raw_Data!J5921=0,Raw_Data!D5921,"")</f>
        <v>2181.02</v>
      </c>
      <c r="B5921" s="3" t="str">
        <f>IF(Raw_Data!J5921=1,Raw_Data!D5921,"")</f>
        <v/>
      </c>
    </row>
    <row r="5922" spans="1:2" x14ac:dyDescent="0.25">
      <c r="A5922" s="3" t="str">
        <f>IF(Raw_Data!J5922=0,Raw_Data!D5922,"")</f>
        <v/>
      </c>
      <c r="B5922" s="3">
        <f>IF(Raw_Data!J5922=1,Raw_Data!D5922,"")</f>
        <v>2323.39</v>
      </c>
    </row>
    <row r="5923" spans="1:2" x14ac:dyDescent="0.25">
      <c r="A5923" s="3">
        <f>IF(Raw_Data!J5923=0,Raw_Data!D5923,"")</f>
        <v>5169.95</v>
      </c>
      <c r="B5923" s="3" t="str">
        <f>IF(Raw_Data!J5923=1,Raw_Data!D5923,"")</f>
        <v/>
      </c>
    </row>
    <row r="5924" spans="1:2" x14ac:dyDescent="0.25">
      <c r="A5924" s="3">
        <f>IF(Raw_Data!J5924=0,Raw_Data!D5924,"")</f>
        <v>4300.07</v>
      </c>
      <c r="B5924" s="3" t="str">
        <f>IF(Raw_Data!J5924=1,Raw_Data!D5924,"")</f>
        <v/>
      </c>
    </row>
    <row r="5925" spans="1:2" x14ac:dyDescent="0.25">
      <c r="A5925" s="3">
        <f>IF(Raw_Data!J5925=0,Raw_Data!D5925,"")</f>
        <v>3212.1</v>
      </c>
      <c r="B5925" s="3" t="str">
        <f>IF(Raw_Data!J5925=1,Raw_Data!D5925,"")</f>
        <v/>
      </c>
    </row>
    <row r="5926" spans="1:2" x14ac:dyDescent="0.25">
      <c r="A5926" s="3" t="str">
        <f>IF(Raw_Data!J5926=0,Raw_Data!D5926,"")</f>
        <v/>
      </c>
      <c r="B5926" s="3">
        <f>IF(Raw_Data!J5926=1,Raw_Data!D5926,"")</f>
        <v>2523.79</v>
      </c>
    </row>
    <row r="5927" spans="1:2" x14ac:dyDescent="0.25">
      <c r="A5927" s="3">
        <f>IF(Raw_Data!J5927=0,Raw_Data!D5927,"")</f>
        <v>4043.34</v>
      </c>
      <c r="B5927" s="3" t="str">
        <f>IF(Raw_Data!J5927=1,Raw_Data!D5927,"")</f>
        <v/>
      </c>
    </row>
    <row r="5928" spans="1:2" x14ac:dyDescent="0.25">
      <c r="A5928" s="3">
        <f>IF(Raw_Data!J5928=0,Raw_Data!D5928,"")</f>
        <v>1083.44</v>
      </c>
      <c r="B5928" s="3" t="str">
        <f>IF(Raw_Data!J5928=1,Raw_Data!D5928,"")</f>
        <v/>
      </c>
    </row>
    <row r="5929" spans="1:2" x14ac:dyDescent="0.25">
      <c r="A5929" s="3" t="str">
        <f>IF(Raw_Data!J5929=0,Raw_Data!D5929,"")</f>
        <v/>
      </c>
      <c r="B5929" s="3">
        <f>IF(Raw_Data!J5929=1,Raw_Data!D5929,"")</f>
        <v>2215.54</v>
      </c>
    </row>
    <row r="5930" spans="1:2" x14ac:dyDescent="0.25">
      <c r="A5930" s="3">
        <f>IF(Raw_Data!J5930=0,Raw_Data!D5930,"")</f>
        <v>538.99</v>
      </c>
      <c r="B5930" s="3" t="str">
        <f>IF(Raw_Data!J5930=1,Raw_Data!D5930,"")</f>
        <v/>
      </c>
    </row>
    <row r="5931" spans="1:2" x14ac:dyDescent="0.25">
      <c r="A5931" s="3">
        <f>IF(Raw_Data!J5931=0,Raw_Data!D5931,"")</f>
        <v>1179.72</v>
      </c>
      <c r="B5931" s="3" t="str">
        <f>IF(Raw_Data!J5931=1,Raw_Data!D5931,"")</f>
        <v/>
      </c>
    </row>
    <row r="5932" spans="1:2" x14ac:dyDescent="0.25">
      <c r="A5932" s="3">
        <f>IF(Raw_Data!J5932=0,Raw_Data!D5932,"")</f>
        <v>4218.3999999999996</v>
      </c>
      <c r="B5932" s="3" t="str">
        <f>IF(Raw_Data!J5932=1,Raw_Data!D5932,"")</f>
        <v/>
      </c>
    </row>
    <row r="5933" spans="1:2" x14ac:dyDescent="0.25">
      <c r="A5933" s="3">
        <f>IF(Raw_Data!J5933=0,Raw_Data!D5933,"")</f>
        <v>812.16</v>
      </c>
      <c r="B5933" s="3" t="str">
        <f>IF(Raw_Data!J5933=1,Raw_Data!D5933,"")</f>
        <v/>
      </c>
    </row>
    <row r="5934" spans="1:2" x14ac:dyDescent="0.25">
      <c r="A5934" s="3">
        <f>IF(Raw_Data!J5934=0,Raw_Data!D5934,"")</f>
        <v>5800.32</v>
      </c>
      <c r="B5934" s="3" t="str">
        <f>IF(Raw_Data!J5934=1,Raw_Data!D5934,"")</f>
        <v/>
      </c>
    </row>
    <row r="5935" spans="1:2" x14ac:dyDescent="0.25">
      <c r="A5935" s="3">
        <f>IF(Raw_Data!J5935=0,Raw_Data!D5935,"")</f>
        <v>5314.44</v>
      </c>
      <c r="B5935" s="3" t="str">
        <f>IF(Raw_Data!J5935=1,Raw_Data!D5935,"")</f>
        <v/>
      </c>
    </row>
    <row r="5936" spans="1:2" x14ac:dyDescent="0.25">
      <c r="A5936" s="3" t="str">
        <f>IF(Raw_Data!J5936=0,Raw_Data!D5936,"")</f>
        <v/>
      </c>
      <c r="B5936" s="3">
        <f>IF(Raw_Data!J5936=1,Raw_Data!D5936,"")</f>
        <v>692.2</v>
      </c>
    </row>
    <row r="5937" spans="1:2" x14ac:dyDescent="0.25">
      <c r="A5937" s="3">
        <f>IF(Raw_Data!J5937=0,Raw_Data!D5937,"")</f>
        <v>407.75</v>
      </c>
      <c r="B5937" s="3" t="str">
        <f>IF(Raw_Data!J5937=1,Raw_Data!D5937,"")</f>
        <v/>
      </c>
    </row>
    <row r="5938" spans="1:2" x14ac:dyDescent="0.25">
      <c r="A5938" s="3" t="str">
        <f>IF(Raw_Data!J5938=0,Raw_Data!D5938,"")</f>
        <v/>
      </c>
      <c r="B5938" s="3">
        <f>IF(Raw_Data!J5938=1,Raw_Data!D5938,"")</f>
        <v>2007.02</v>
      </c>
    </row>
    <row r="5939" spans="1:2" x14ac:dyDescent="0.25">
      <c r="A5939" s="3">
        <f>IF(Raw_Data!J5939=0,Raw_Data!D5939,"")</f>
        <v>1150.55</v>
      </c>
      <c r="B5939" s="3" t="str">
        <f>IF(Raw_Data!J5939=1,Raw_Data!D5939,"")</f>
        <v/>
      </c>
    </row>
    <row r="5940" spans="1:2" x14ac:dyDescent="0.25">
      <c r="A5940" s="3">
        <f>IF(Raw_Data!J5940=0,Raw_Data!D5940,"")</f>
        <v>3477.53</v>
      </c>
      <c r="B5940" s="3" t="str">
        <f>IF(Raw_Data!J5940=1,Raw_Data!D5940,"")</f>
        <v/>
      </c>
    </row>
    <row r="5941" spans="1:2" x14ac:dyDescent="0.25">
      <c r="A5941" s="3">
        <f>IF(Raw_Data!J5941=0,Raw_Data!D5941,"")</f>
        <v>4754.3100000000004</v>
      </c>
      <c r="B5941" s="3" t="str">
        <f>IF(Raw_Data!J5941=1,Raw_Data!D5941,"")</f>
        <v/>
      </c>
    </row>
    <row r="5942" spans="1:2" x14ac:dyDescent="0.25">
      <c r="A5942" s="3">
        <f>IF(Raw_Data!J5942=0,Raw_Data!D5942,"")</f>
        <v>251.2</v>
      </c>
      <c r="B5942" s="3" t="str">
        <f>IF(Raw_Data!J5942=1,Raw_Data!D5942,"")</f>
        <v/>
      </c>
    </row>
    <row r="5943" spans="1:2" x14ac:dyDescent="0.25">
      <c r="A5943" s="3">
        <f>IF(Raw_Data!J5943=0,Raw_Data!D5943,"")</f>
        <v>3676.85</v>
      </c>
      <c r="B5943" s="3" t="str">
        <f>IF(Raw_Data!J5943=1,Raw_Data!D5943,"")</f>
        <v/>
      </c>
    </row>
    <row r="5944" spans="1:2" x14ac:dyDescent="0.25">
      <c r="A5944" s="3">
        <f>IF(Raw_Data!J5944=0,Raw_Data!D5944,"")</f>
        <v>6165.26</v>
      </c>
      <c r="B5944" s="3" t="str">
        <f>IF(Raw_Data!J5944=1,Raw_Data!D5944,"")</f>
        <v/>
      </c>
    </row>
    <row r="5945" spans="1:2" x14ac:dyDescent="0.25">
      <c r="A5945" s="3" t="str">
        <f>IF(Raw_Data!J5945=0,Raw_Data!D5945,"")</f>
        <v/>
      </c>
      <c r="B5945" s="3">
        <f>IF(Raw_Data!J5945=1,Raw_Data!D5945,"")</f>
        <v>3578.78</v>
      </c>
    </row>
    <row r="5946" spans="1:2" x14ac:dyDescent="0.25">
      <c r="A5946" s="3">
        <f>IF(Raw_Data!J5946=0,Raw_Data!D5946,"")</f>
        <v>4037.56</v>
      </c>
      <c r="B5946" s="3" t="str">
        <f>IF(Raw_Data!J5946=1,Raw_Data!D5946,"")</f>
        <v/>
      </c>
    </row>
    <row r="5947" spans="1:2" x14ac:dyDescent="0.25">
      <c r="A5947" s="3">
        <f>IF(Raw_Data!J5947=0,Raw_Data!D5947,"")</f>
        <v>6216.26</v>
      </c>
      <c r="B5947" s="3" t="str">
        <f>IF(Raw_Data!J5947=1,Raw_Data!D5947,"")</f>
        <v/>
      </c>
    </row>
    <row r="5948" spans="1:2" x14ac:dyDescent="0.25">
      <c r="A5948" s="3">
        <f>IF(Raw_Data!J5948=0,Raw_Data!D5948,"")</f>
        <v>1713.91</v>
      </c>
      <c r="B5948" s="3" t="str">
        <f>IF(Raw_Data!J5948=1,Raw_Data!D5948,"")</f>
        <v/>
      </c>
    </row>
    <row r="5949" spans="1:2" x14ac:dyDescent="0.25">
      <c r="A5949" s="3" t="str">
        <f>IF(Raw_Data!J5949=0,Raw_Data!D5949,"")</f>
        <v/>
      </c>
      <c r="B5949" s="3">
        <f>IF(Raw_Data!J5949=1,Raw_Data!D5949,"")</f>
        <v>866.35</v>
      </c>
    </row>
    <row r="5950" spans="1:2" x14ac:dyDescent="0.25">
      <c r="A5950" s="3">
        <f>IF(Raw_Data!J5950=0,Raw_Data!D5950,"")</f>
        <v>663.53</v>
      </c>
      <c r="B5950" s="3" t="str">
        <f>IF(Raw_Data!J5950=1,Raw_Data!D5950,"")</f>
        <v/>
      </c>
    </row>
    <row r="5951" spans="1:2" x14ac:dyDescent="0.25">
      <c r="A5951" s="3">
        <f>IF(Raw_Data!J5951=0,Raw_Data!D5951,"")</f>
        <v>1354.12</v>
      </c>
      <c r="B5951" s="3" t="str">
        <f>IF(Raw_Data!J5951=1,Raw_Data!D5951,"")</f>
        <v/>
      </c>
    </row>
    <row r="5952" spans="1:2" x14ac:dyDescent="0.25">
      <c r="A5952" s="3">
        <f>IF(Raw_Data!J5952=0,Raw_Data!D5952,"")</f>
        <v>2301.12</v>
      </c>
      <c r="B5952" s="3" t="str">
        <f>IF(Raw_Data!J5952=1,Raw_Data!D5952,"")</f>
        <v/>
      </c>
    </row>
    <row r="5953" spans="1:2" x14ac:dyDescent="0.25">
      <c r="A5953" s="3">
        <f>IF(Raw_Data!J5953=0,Raw_Data!D5953,"")</f>
        <v>2396.5500000000002</v>
      </c>
      <c r="B5953" s="3" t="str">
        <f>IF(Raw_Data!J5953=1,Raw_Data!D5953,"")</f>
        <v/>
      </c>
    </row>
    <row r="5954" spans="1:2" x14ac:dyDescent="0.25">
      <c r="A5954" s="3">
        <f>IF(Raw_Data!J5954=0,Raw_Data!D5954,"")</f>
        <v>1804.95</v>
      </c>
      <c r="B5954" s="3" t="str">
        <f>IF(Raw_Data!J5954=1,Raw_Data!D5954,"")</f>
        <v/>
      </c>
    </row>
    <row r="5955" spans="1:2" x14ac:dyDescent="0.25">
      <c r="A5955" s="3">
        <f>IF(Raw_Data!J5955=0,Raw_Data!D5955,"")</f>
        <v>3940.59</v>
      </c>
      <c r="B5955" s="3" t="str">
        <f>IF(Raw_Data!J5955=1,Raw_Data!D5955,"")</f>
        <v/>
      </c>
    </row>
    <row r="5956" spans="1:2" x14ac:dyDescent="0.25">
      <c r="A5956" s="3">
        <f>IF(Raw_Data!J5956=0,Raw_Data!D5956,"")</f>
        <v>2806.69</v>
      </c>
      <c r="B5956" s="3" t="str">
        <f>IF(Raw_Data!J5956=1,Raw_Data!D5956,"")</f>
        <v/>
      </c>
    </row>
    <row r="5957" spans="1:2" x14ac:dyDescent="0.25">
      <c r="A5957" s="3">
        <f>IF(Raw_Data!J5957=0,Raw_Data!D5957,"")</f>
        <v>708.72</v>
      </c>
      <c r="B5957" s="3" t="str">
        <f>IF(Raw_Data!J5957=1,Raw_Data!D5957,"")</f>
        <v/>
      </c>
    </row>
    <row r="5958" spans="1:2" x14ac:dyDescent="0.25">
      <c r="A5958" s="3">
        <f>IF(Raw_Data!J5958=0,Raw_Data!D5958,"")</f>
        <v>1048.8499999999999</v>
      </c>
      <c r="B5958" s="3" t="str">
        <f>IF(Raw_Data!J5958=1,Raw_Data!D5958,"")</f>
        <v/>
      </c>
    </row>
    <row r="5959" spans="1:2" x14ac:dyDescent="0.25">
      <c r="A5959" s="3">
        <f>IF(Raw_Data!J5959=0,Raw_Data!D5959,"")</f>
        <v>722.74</v>
      </c>
      <c r="B5959" s="3" t="str">
        <f>IF(Raw_Data!J5959=1,Raw_Data!D5959,"")</f>
        <v/>
      </c>
    </row>
    <row r="5960" spans="1:2" x14ac:dyDescent="0.25">
      <c r="A5960" s="3" t="str">
        <f>IF(Raw_Data!J5960=0,Raw_Data!D5960,"")</f>
        <v/>
      </c>
      <c r="B5960" s="3">
        <f>IF(Raw_Data!J5960=1,Raw_Data!D5960,"")</f>
        <v>1796.6</v>
      </c>
    </row>
    <row r="5961" spans="1:2" x14ac:dyDescent="0.25">
      <c r="A5961" s="3">
        <f>IF(Raw_Data!J5961=0,Raw_Data!D5961,"")</f>
        <v>2940.85</v>
      </c>
      <c r="B5961" s="3" t="str">
        <f>IF(Raw_Data!J5961=1,Raw_Data!D5961,"")</f>
        <v/>
      </c>
    </row>
    <row r="5962" spans="1:2" x14ac:dyDescent="0.25">
      <c r="A5962" s="3" t="str">
        <f>IF(Raw_Data!J5962=0,Raw_Data!D5962,"")</f>
        <v/>
      </c>
      <c r="B5962" s="3">
        <f>IF(Raw_Data!J5962=1,Raw_Data!D5962,"")</f>
        <v>1694.97</v>
      </c>
    </row>
    <row r="5963" spans="1:2" x14ac:dyDescent="0.25">
      <c r="A5963" s="3">
        <f>IF(Raw_Data!J5963=0,Raw_Data!D5963,"")</f>
        <v>489.94</v>
      </c>
      <c r="B5963" s="3" t="str">
        <f>IF(Raw_Data!J5963=1,Raw_Data!D5963,"")</f>
        <v/>
      </c>
    </row>
    <row r="5964" spans="1:2" x14ac:dyDescent="0.25">
      <c r="A5964" s="3">
        <f>IF(Raw_Data!J5964=0,Raw_Data!D5964,"")</f>
        <v>1576.75</v>
      </c>
      <c r="B5964" s="3" t="str">
        <f>IF(Raw_Data!J5964=1,Raw_Data!D5964,"")</f>
        <v/>
      </c>
    </row>
    <row r="5965" spans="1:2" x14ac:dyDescent="0.25">
      <c r="A5965" s="3">
        <f>IF(Raw_Data!J5965=0,Raw_Data!D5965,"")</f>
        <v>292.36</v>
      </c>
      <c r="B5965" s="3" t="str">
        <f>IF(Raw_Data!J5965=1,Raw_Data!D5965,"")</f>
        <v/>
      </c>
    </row>
    <row r="5966" spans="1:2" x14ac:dyDescent="0.25">
      <c r="A5966" s="3" t="str">
        <f>IF(Raw_Data!J5966=0,Raw_Data!D5966,"")</f>
        <v/>
      </c>
      <c r="B5966" s="3">
        <f>IF(Raw_Data!J5966=1,Raw_Data!D5966,"")</f>
        <v>6088.52</v>
      </c>
    </row>
    <row r="5967" spans="1:2" x14ac:dyDescent="0.25">
      <c r="A5967" s="3" t="str">
        <f>IF(Raw_Data!J5967=0,Raw_Data!D5967,"")</f>
        <v/>
      </c>
      <c r="B5967" s="3">
        <f>IF(Raw_Data!J5967=1,Raw_Data!D5967,"")</f>
        <v>6071.87</v>
      </c>
    </row>
    <row r="5968" spans="1:2" x14ac:dyDescent="0.25">
      <c r="A5968" s="3">
        <f>IF(Raw_Data!J5968=0,Raw_Data!D5968,"")</f>
        <v>1787.16</v>
      </c>
      <c r="B5968" s="3" t="str">
        <f>IF(Raw_Data!J5968=1,Raw_Data!D5968,"")</f>
        <v/>
      </c>
    </row>
    <row r="5969" spans="1:2" x14ac:dyDescent="0.25">
      <c r="A5969" s="3">
        <f>IF(Raw_Data!J5969=0,Raw_Data!D5969,"")</f>
        <v>1406.64</v>
      </c>
      <c r="B5969" s="3" t="str">
        <f>IF(Raw_Data!J5969=1,Raw_Data!D5969,"")</f>
        <v/>
      </c>
    </row>
    <row r="5970" spans="1:2" x14ac:dyDescent="0.25">
      <c r="A5970" s="3">
        <f>IF(Raw_Data!J5970=0,Raw_Data!D5970,"")</f>
        <v>2215.73</v>
      </c>
      <c r="B5970" s="3" t="str">
        <f>IF(Raw_Data!J5970=1,Raw_Data!D5970,"")</f>
        <v/>
      </c>
    </row>
    <row r="5971" spans="1:2" x14ac:dyDescent="0.25">
      <c r="A5971" s="3">
        <f>IF(Raw_Data!J5971=0,Raw_Data!D5971,"")</f>
        <v>6444.15</v>
      </c>
      <c r="B5971" s="3" t="str">
        <f>IF(Raw_Data!J5971=1,Raw_Data!D5971,"")</f>
        <v/>
      </c>
    </row>
    <row r="5972" spans="1:2" x14ac:dyDescent="0.25">
      <c r="A5972" s="3">
        <f>IF(Raw_Data!J5972=0,Raw_Data!D5972,"")</f>
        <v>2858.39</v>
      </c>
      <c r="B5972" s="3" t="str">
        <f>IF(Raw_Data!J5972=1,Raw_Data!D5972,"")</f>
        <v/>
      </c>
    </row>
    <row r="5973" spans="1:2" x14ac:dyDescent="0.25">
      <c r="A5973" s="3">
        <f>IF(Raw_Data!J5973=0,Raw_Data!D5973,"")</f>
        <v>650.91999999999996</v>
      </c>
      <c r="B5973" s="3" t="str">
        <f>IF(Raw_Data!J5973=1,Raw_Data!D5973,"")</f>
        <v/>
      </c>
    </row>
    <row r="5974" spans="1:2" x14ac:dyDescent="0.25">
      <c r="A5974" s="3">
        <f>IF(Raw_Data!J5974=0,Raw_Data!D5974,"")</f>
        <v>4014.44</v>
      </c>
      <c r="B5974" s="3" t="str">
        <f>IF(Raw_Data!J5974=1,Raw_Data!D5974,"")</f>
        <v/>
      </c>
    </row>
    <row r="5975" spans="1:2" x14ac:dyDescent="0.25">
      <c r="A5975" s="3">
        <f>IF(Raw_Data!J5975=0,Raw_Data!D5975,"")</f>
        <v>2054.86</v>
      </c>
      <c r="B5975" s="3" t="str">
        <f>IF(Raw_Data!J5975=1,Raw_Data!D5975,"")</f>
        <v/>
      </c>
    </row>
    <row r="5976" spans="1:2" x14ac:dyDescent="0.25">
      <c r="A5976" s="3" t="str">
        <f>IF(Raw_Data!J5976=0,Raw_Data!D5976,"")</f>
        <v/>
      </c>
      <c r="B5976" s="3">
        <f>IF(Raw_Data!J5976=1,Raw_Data!D5976,"")</f>
        <v>4401.82</v>
      </c>
    </row>
    <row r="5977" spans="1:2" x14ac:dyDescent="0.25">
      <c r="A5977" s="3">
        <f>IF(Raw_Data!J5977=0,Raw_Data!D5977,"")</f>
        <v>667.89</v>
      </c>
      <c r="B5977" s="3" t="str">
        <f>IF(Raw_Data!J5977=1,Raw_Data!D5977,"")</f>
        <v/>
      </c>
    </row>
    <row r="5978" spans="1:2" x14ac:dyDescent="0.25">
      <c r="A5978" s="3">
        <f>IF(Raw_Data!J5978=0,Raw_Data!D5978,"")</f>
        <v>5976.12</v>
      </c>
      <c r="B5978" s="3" t="str">
        <f>IF(Raw_Data!J5978=1,Raw_Data!D5978,"")</f>
        <v/>
      </c>
    </row>
    <row r="5979" spans="1:2" x14ac:dyDescent="0.25">
      <c r="A5979" s="3">
        <f>IF(Raw_Data!J5979=0,Raw_Data!D5979,"")</f>
        <v>1115.21</v>
      </c>
      <c r="B5979" s="3" t="str">
        <f>IF(Raw_Data!J5979=1,Raw_Data!D5979,"")</f>
        <v/>
      </c>
    </row>
    <row r="5980" spans="1:2" x14ac:dyDescent="0.25">
      <c r="A5980" s="3" t="str">
        <f>IF(Raw_Data!J5980=0,Raw_Data!D5980,"")</f>
        <v/>
      </c>
      <c r="B5980" s="3">
        <f>IF(Raw_Data!J5980=1,Raw_Data!D5980,"")</f>
        <v>3435.49</v>
      </c>
    </row>
    <row r="5981" spans="1:2" x14ac:dyDescent="0.25">
      <c r="A5981" s="3">
        <f>IF(Raw_Data!J5981=0,Raw_Data!D5981,"")</f>
        <v>3115.66</v>
      </c>
      <c r="B5981" s="3" t="str">
        <f>IF(Raw_Data!J5981=1,Raw_Data!D5981,"")</f>
        <v/>
      </c>
    </row>
    <row r="5982" spans="1:2" x14ac:dyDescent="0.25">
      <c r="A5982" s="3">
        <f>IF(Raw_Data!J5982=0,Raw_Data!D5982,"")</f>
        <v>2192.71</v>
      </c>
      <c r="B5982" s="3" t="str">
        <f>IF(Raw_Data!J5982=1,Raw_Data!D5982,"")</f>
        <v/>
      </c>
    </row>
    <row r="5983" spans="1:2" x14ac:dyDescent="0.25">
      <c r="A5983" s="3">
        <f>IF(Raw_Data!J5983=0,Raw_Data!D5983,"")</f>
        <v>4035.32</v>
      </c>
      <c r="B5983" s="3" t="str">
        <f>IF(Raw_Data!J5983=1,Raw_Data!D5983,"")</f>
        <v/>
      </c>
    </row>
    <row r="5984" spans="1:2" x14ac:dyDescent="0.25">
      <c r="A5984" s="3">
        <f>IF(Raw_Data!J5984=0,Raw_Data!D5984,"")</f>
        <v>2028.16</v>
      </c>
      <c r="B5984" s="3" t="str">
        <f>IF(Raw_Data!J5984=1,Raw_Data!D5984,"")</f>
        <v/>
      </c>
    </row>
    <row r="5985" spans="1:2" x14ac:dyDescent="0.25">
      <c r="A5985" s="3">
        <f>IF(Raw_Data!J5985=0,Raw_Data!D5985,"")</f>
        <v>1966.7</v>
      </c>
      <c r="B5985" s="3" t="str">
        <f>IF(Raw_Data!J5985=1,Raw_Data!D5985,"")</f>
        <v/>
      </c>
    </row>
    <row r="5986" spans="1:2" x14ac:dyDescent="0.25">
      <c r="A5986" s="3" t="str">
        <f>IF(Raw_Data!J5986=0,Raw_Data!D5986,"")</f>
        <v/>
      </c>
      <c r="B5986" s="3">
        <f>IF(Raw_Data!J5986=1,Raw_Data!D5986,"")</f>
        <v>1395.94</v>
      </c>
    </row>
    <row r="5987" spans="1:2" x14ac:dyDescent="0.25">
      <c r="A5987" s="3">
        <f>IF(Raw_Data!J5987=0,Raw_Data!D5987,"")</f>
        <v>2888.16</v>
      </c>
      <c r="B5987" s="3" t="str">
        <f>IF(Raw_Data!J5987=1,Raw_Data!D5987,"")</f>
        <v/>
      </c>
    </row>
    <row r="5988" spans="1:2" x14ac:dyDescent="0.25">
      <c r="A5988" s="3">
        <f>IF(Raw_Data!J5988=0,Raw_Data!D5988,"")</f>
        <v>1974.29</v>
      </c>
      <c r="B5988" s="3" t="str">
        <f>IF(Raw_Data!J5988=1,Raw_Data!D5988,"")</f>
        <v/>
      </c>
    </row>
    <row r="5989" spans="1:2" x14ac:dyDescent="0.25">
      <c r="A5989" s="3">
        <f>IF(Raw_Data!J5989=0,Raw_Data!D5989,"")</f>
        <v>953.51</v>
      </c>
      <c r="B5989" s="3" t="str">
        <f>IF(Raw_Data!J5989=1,Raw_Data!D5989,"")</f>
        <v/>
      </c>
    </row>
    <row r="5990" spans="1:2" x14ac:dyDescent="0.25">
      <c r="A5990" s="3">
        <f>IF(Raw_Data!J5990=0,Raw_Data!D5990,"")</f>
        <v>2825.61</v>
      </c>
      <c r="B5990" s="3" t="str">
        <f>IF(Raw_Data!J5990=1,Raw_Data!D5990,"")</f>
        <v/>
      </c>
    </row>
    <row r="5991" spans="1:2" x14ac:dyDescent="0.25">
      <c r="A5991" s="3">
        <f>IF(Raw_Data!J5991=0,Raw_Data!D5991,"")</f>
        <v>987.02</v>
      </c>
      <c r="B5991" s="3" t="str">
        <f>IF(Raw_Data!J5991=1,Raw_Data!D5991,"")</f>
        <v/>
      </c>
    </row>
    <row r="5992" spans="1:2" x14ac:dyDescent="0.25">
      <c r="A5992" s="3">
        <f>IF(Raw_Data!J5992=0,Raw_Data!D5992,"")</f>
        <v>1052.8699999999999</v>
      </c>
      <c r="B5992" s="3" t="str">
        <f>IF(Raw_Data!J5992=1,Raw_Data!D5992,"")</f>
        <v/>
      </c>
    </row>
    <row r="5993" spans="1:2" x14ac:dyDescent="0.25">
      <c r="A5993" s="3">
        <f>IF(Raw_Data!J5993=0,Raw_Data!D5993,"")</f>
        <v>1525.52</v>
      </c>
      <c r="B5993" s="3" t="str">
        <f>IF(Raw_Data!J5993=1,Raw_Data!D5993,"")</f>
        <v/>
      </c>
    </row>
    <row r="5994" spans="1:2" x14ac:dyDescent="0.25">
      <c r="A5994" s="3">
        <f>IF(Raw_Data!J5994=0,Raw_Data!D5994,"")</f>
        <v>2296.44</v>
      </c>
      <c r="B5994" s="3" t="str">
        <f>IF(Raw_Data!J5994=1,Raw_Data!D5994,"")</f>
        <v/>
      </c>
    </row>
    <row r="5995" spans="1:2" x14ac:dyDescent="0.25">
      <c r="A5995" s="3">
        <f>IF(Raw_Data!J5995=0,Raw_Data!D5995,"")</f>
        <v>1940.41</v>
      </c>
      <c r="B5995" s="3" t="str">
        <f>IF(Raw_Data!J5995=1,Raw_Data!D5995,"")</f>
        <v/>
      </c>
    </row>
    <row r="5996" spans="1:2" x14ac:dyDescent="0.25">
      <c r="A5996" s="3" t="str">
        <f>IF(Raw_Data!J5996=0,Raw_Data!D5996,"")</f>
        <v/>
      </c>
      <c r="B5996" s="3">
        <f>IF(Raw_Data!J5996=1,Raw_Data!D5996,"")</f>
        <v>465.08</v>
      </c>
    </row>
    <row r="5997" spans="1:2" x14ac:dyDescent="0.25">
      <c r="A5997" s="3">
        <f>IF(Raw_Data!J5997=0,Raw_Data!D5997,"")</f>
        <v>1059.97</v>
      </c>
      <c r="B5997" s="3" t="str">
        <f>IF(Raw_Data!J5997=1,Raw_Data!D5997,"")</f>
        <v/>
      </c>
    </row>
    <row r="5998" spans="1:2" x14ac:dyDescent="0.25">
      <c r="A5998" s="3">
        <f>IF(Raw_Data!J5998=0,Raw_Data!D5998,"")</f>
        <v>1519.41</v>
      </c>
      <c r="B5998" s="3" t="str">
        <f>IF(Raw_Data!J5998=1,Raw_Data!D5998,"")</f>
        <v/>
      </c>
    </row>
    <row r="5999" spans="1:2" x14ac:dyDescent="0.25">
      <c r="A5999" s="3">
        <f>IF(Raw_Data!J5999=0,Raw_Data!D5999,"")</f>
        <v>1852.84</v>
      </c>
      <c r="B5999" s="3" t="str">
        <f>IF(Raw_Data!J5999=1,Raw_Data!D5999,"")</f>
        <v/>
      </c>
    </row>
    <row r="6000" spans="1:2" x14ac:dyDescent="0.25">
      <c r="A6000" s="3" t="str">
        <f>IF(Raw_Data!J6000=0,Raw_Data!D6000,"")</f>
        <v/>
      </c>
      <c r="B6000" s="3">
        <f>IF(Raw_Data!J6000=1,Raw_Data!D6000,"")</f>
        <v>6362.72</v>
      </c>
    </row>
    <row r="6001" spans="1:2" x14ac:dyDescent="0.25">
      <c r="A6001" s="3" t="str">
        <f>IF(Raw_Data!J6001=0,Raw_Data!D6001,"")</f>
        <v/>
      </c>
      <c r="B6001" s="3">
        <f>IF(Raw_Data!J6001=1,Raw_Data!D6001,"")</f>
        <v>1847.13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showGridLines="0" tabSelected="1" topLeftCell="A94" zoomScaleNormal="100" workbookViewId="0">
      <selection activeCell="H23" sqref="H23"/>
    </sheetView>
  </sheetViews>
  <sheetFormatPr defaultColWidth="8.7109375" defaultRowHeight="18.75" x14ac:dyDescent="0.3"/>
  <cols>
    <col min="1" max="1" width="58.140625" style="13" customWidth="1"/>
    <col min="2" max="2" width="45.7109375" style="13" customWidth="1"/>
    <col min="3" max="3" width="34.85546875" style="13" customWidth="1"/>
    <col min="4" max="4" width="14" style="13" customWidth="1"/>
    <col min="5" max="7" width="16" style="13" customWidth="1"/>
    <col min="8" max="16384" width="8.7109375" style="13"/>
  </cols>
  <sheetData>
    <row r="1" spans="1:7" x14ac:dyDescent="0.3">
      <c r="A1" s="4" t="s">
        <v>41</v>
      </c>
    </row>
    <row r="2" spans="1:7" ht="31.5" customHeight="1" x14ac:dyDescent="0.3">
      <c r="A2" s="14"/>
      <c r="B2" s="14"/>
      <c r="C2" s="14"/>
      <c r="D2" s="14"/>
      <c r="E2" s="14"/>
      <c r="F2" s="14"/>
      <c r="G2" s="14"/>
    </row>
    <row r="4" spans="1:7" x14ac:dyDescent="0.3">
      <c r="A4" s="15" t="s">
        <v>42</v>
      </c>
      <c r="B4" s="16" t="s">
        <v>43</v>
      </c>
      <c r="C4" s="17" t="s">
        <v>44</v>
      </c>
      <c r="D4" s="17" t="s">
        <v>45</v>
      </c>
    </row>
    <row r="6" spans="1:7" x14ac:dyDescent="0.3">
      <c r="A6" s="5" t="s">
        <v>46</v>
      </c>
      <c r="B6" s="5"/>
      <c r="C6" s="5"/>
      <c r="D6" s="5"/>
    </row>
    <row r="7" spans="1:7" ht="37.5" x14ac:dyDescent="0.3">
      <c r="A7" s="6" t="s">
        <v>47</v>
      </c>
      <c r="B7" s="6" t="s">
        <v>48</v>
      </c>
      <c r="C7" s="6" t="s">
        <v>44</v>
      </c>
      <c r="D7" s="6" t="s">
        <v>45</v>
      </c>
    </row>
    <row r="8" spans="1:7" x14ac:dyDescent="0.3">
      <c r="A8" s="7" t="s">
        <v>49</v>
      </c>
      <c r="B8" s="8">
        <v>6000</v>
      </c>
      <c r="C8" s="9">
        <f>COUNTA(Raw_Data!$A$2:$A$6001)</f>
        <v>6000</v>
      </c>
      <c r="D8" s="10" t="str">
        <f>IF(ABS(B8-C8)&lt;0.5,"OK","CHECK")</f>
        <v>OK</v>
      </c>
    </row>
    <row r="9" spans="1:7" x14ac:dyDescent="0.3">
      <c r="A9" s="7" t="s">
        <v>50</v>
      </c>
      <c r="B9" s="8">
        <v>1105</v>
      </c>
      <c r="C9" s="9">
        <f>SUM(Raw_Data!$J$2:$J$6001)</f>
        <v>1105</v>
      </c>
      <c r="D9" s="10" t="str">
        <f>IF(ABS(B9-C9)&lt;0.5,"OK","CHECK")</f>
        <v>OK</v>
      </c>
    </row>
    <row r="10" spans="1:7" x14ac:dyDescent="0.3">
      <c r="A10" s="7" t="s">
        <v>51</v>
      </c>
      <c r="B10" s="11">
        <v>0.184167</v>
      </c>
      <c r="C10" s="12">
        <f>AVERAGE(Raw_Data!$J$2:$J$6001)</f>
        <v>0.18416666666666667</v>
      </c>
      <c r="D10" s="10" t="str">
        <f>IF(ABS(B10-C10)&lt;0.001,"OK","CHECK")</f>
        <v>OK</v>
      </c>
    </row>
    <row r="12" spans="1:7" x14ac:dyDescent="0.3">
      <c r="A12" s="5" t="s">
        <v>52</v>
      </c>
      <c r="B12" s="5"/>
      <c r="C12" s="5"/>
      <c r="D12" s="5"/>
    </row>
    <row r="13" spans="1:7" ht="37.5" x14ac:dyDescent="0.3">
      <c r="A13" s="6" t="s">
        <v>47</v>
      </c>
      <c r="B13" s="6" t="s">
        <v>48</v>
      </c>
      <c r="C13" s="6" t="s">
        <v>44</v>
      </c>
      <c r="D13" s="6" t="s">
        <v>45</v>
      </c>
    </row>
    <row r="14" spans="1:7" x14ac:dyDescent="0.3">
      <c r="A14" s="7" t="s">
        <v>53</v>
      </c>
      <c r="B14" s="11">
        <v>0.18287400000000001</v>
      </c>
      <c r="C14" s="12">
        <f>AVERAGEIF(Raw_Data!$C$2:$C$6001,"Motor",Raw_Data!$J$2:$J$6001)</f>
        <v>0.1828742117490873</v>
      </c>
      <c r="D14" s="10" t="str">
        <f>IF(ABS(B14-C14)&lt;0.001,"OK","CHECK")</f>
        <v>OK</v>
      </c>
    </row>
    <row r="15" spans="1:7" x14ac:dyDescent="0.3">
      <c r="A15" s="7" t="s">
        <v>54</v>
      </c>
      <c r="B15" s="11">
        <v>0.16839599999999999</v>
      </c>
      <c r="C15" s="12">
        <f>AVERAGEIF(Raw_Data!$C$2:$C$6001,"Home",Raw_Data!$J$2:$J$6001)</f>
        <v>0.16839622641509433</v>
      </c>
      <c r="D15" s="10" t="str">
        <f>IF(ABS(B15-C15)&lt;0.001,"OK","CHECK")</f>
        <v>OK</v>
      </c>
    </row>
    <row r="16" spans="1:7" x14ac:dyDescent="0.3">
      <c r="A16" s="7" t="s">
        <v>55</v>
      </c>
      <c r="B16" s="11">
        <v>0.22722000000000001</v>
      </c>
      <c r="C16" s="12">
        <f>AVERAGEIF(Raw_Data!$C$2:$C$6001,"Travel",Raw_Data!$J$2:$J$6001)</f>
        <v>0.22722029988465975</v>
      </c>
      <c r="D16" s="10" t="str">
        <f>IF(ABS(B16-C16)&lt;0.001,"OK","CHECK")</f>
        <v>OK</v>
      </c>
    </row>
    <row r="18" spans="1:4" x14ac:dyDescent="0.3">
      <c r="A18" s="5" t="s">
        <v>56</v>
      </c>
      <c r="B18" s="5"/>
      <c r="C18" s="5"/>
      <c r="D18" s="5"/>
    </row>
    <row r="19" spans="1:4" ht="37.5" x14ac:dyDescent="0.3">
      <c r="A19" s="6" t="s">
        <v>47</v>
      </c>
      <c r="B19" s="6" t="s">
        <v>48</v>
      </c>
      <c r="C19" s="6" t="s">
        <v>44</v>
      </c>
      <c r="D19" s="6" t="s">
        <v>45</v>
      </c>
    </row>
    <row r="20" spans="1:4" x14ac:dyDescent="0.3">
      <c r="A20" s="7" t="s">
        <v>57</v>
      </c>
      <c r="B20" s="18">
        <v>2659.4018000000001</v>
      </c>
      <c r="C20" s="19">
        <f>AVERAGE(Raw_Data!$D$2:$D$6001)</f>
        <v>2659.4017699999954</v>
      </c>
      <c r="D20" s="10" t="str">
        <f t="shared" ref="D20:D25" si="0">IF(ABS(B20-C20)&lt;0.001,"OK","CHECK")</f>
        <v>OK</v>
      </c>
    </row>
    <row r="21" spans="1:4" x14ac:dyDescent="0.3">
      <c r="A21" s="7" t="s">
        <v>58</v>
      </c>
      <c r="B21" s="18">
        <v>2277.5749999999998</v>
      </c>
      <c r="C21" s="19">
        <f>MEDIAN(Raw_Data!$D$2:$D$6001)</f>
        <v>2277.5749999999998</v>
      </c>
      <c r="D21" s="10" t="str">
        <f t="shared" si="0"/>
        <v>OK</v>
      </c>
    </row>
    <row r="22" spans="1:4" x14ac:dyDescent="0.3">
      <c r="A22" s="7" t="s">
        <v>59</v>
      </c>
      <c r="B22" s="18">
        <v>1789.7602999999999</v>
      </c>
      <c r="C22" s="19">
        <f>STDEV(Raw_Data!$D$2:$D$6001)</f>
        <v>1789.7602528856239</v>
      </c>
      <c r="D22" s="10" t="str">
        <f t="shared" si="0"/>
        <v>OK</v>
      </c>
    </row>
    <row r="23" spans="1:4" x14ac:dyDescent="0.3">
      <c r="A23" s="7" t="s">
        <v>60</v>
      </c>
      <c r="B23" s="18">
        <v>1330.1624999999999</v>
      </c>
      <c r="C23" s="19">
        <f>QUARTILE(Raw_Data!$D$2:$D$6001,1)</f>
        <v>1330.1624999999999</v>
      </c>
      <c r="D23" s="10" t="str">
        <f t="shared" si="0"/>
        <v>OK</v>
      </c>
    </row>
    <row r="24" spans="1:4" x14ac:dyDescent="0.3">
      <c r="A24" s="7" t="s">
        <v>61</v>
      </c>
      <c r="B24" s="18">
        <v>3570.395</v>
      </c>
      <c r="C24" s="19">
        <f>QUARTILE(Raw_Data!$D$2:$D$6001,3)</f>
        <v>3570.395</v>
      </c>
      <c r="D24" s="10" t="str">
        <f t="shared" si="0"/>
        <v>OK</v>
      </c>
    </row>
    <row r="25" spans="1:4" x14ac:dyDescent="0.3">
      <c r="A25" s="7" t="s">
        <v>62</v>
      </c>
      <c r="B25" s="18">
        <v>2240.2325000000001</v>
      </c>
      <c r="C25" s="19">
        <f>C24-C23</f>
        <v>2240.2325000000001</v>
      </c>
      <c r="D25" s="10" t="str">
        <f t="shared" si="0"/>
        <v>OK</v>
      </c>
    </row>
    <row r="27" spans="1:4" x14ac:dyDescent="0.3">
      <c r="A27" s="5" t="s">
        <v>63</v>
      </c>
      <c r="B27" s="5"/>
      <c r="C27" s="5"/>
      <c r="D27" s="5"/>
    </row>
    <row r="28" spans="1:4" ht="37.5" x14ac:dyDescent="0.3">
      <c r="A28" s="6" t="s">
        <v>47</v>
      </c>
      <c r="B28" s="6" t="s">
        <v>48</v>
      </c>
      <c r="C28" s="6" t="s">
        <v>44</v>
      </c>
      <c r="D28" s="6" t="s">
        <v>45</v>
      </c>
    </row>
    <row r="29" spans="1:4" x14ac:dyDescent="0.3">
      <c r="A29" s="7" t="s">
        <v>64</v>
      </c>
      <c r="B29" s="20">
        <v>4.0140000000000002</v>
      </c>
      <c r="C29" s="21">
        <f>AVERAGE(Raw_Data!$G$2:$G$6001)</f>
        <v>4.0140000000000002</v>
      </c>
      <c r="D29" s="10" t="str">
        <f t="shared" ref="D29:D34" si="1">IF(ABS(B29-C29)&lt;0.001,"OK","CHECK")</f>
        <v>OK</v>
      </c>
    </row>
    <row r="30" spans="1:4" x14ac:dyDescent="0.3">
      <c r="A30" s="7" t="s">
        <v>65</v>
      </c>
      <c r="B30" s="20">
        <v>4</v>
      </c>
      <c r="C30" s="21">
        <f>MEDIAN(Raw_Data!$G$2:$G$6001)</f>
        <v>4</v>
      </c>
      <c r="D30" s="10" t="str">
        <f t="shared" si="1"/>
        <v>OK</v>
      </c>
    </row>
    <row r="31" spans="1:4" x14ac:dyDescent="0.3">
      <c r="A31" s="7" t="s">
        <v>66</v>
      </c>
      <c r="B31" s="20">
        <v>1.9862</v>
      </c>
      <c r="C31" s="21">
        <f>STDEV(Raw_Data!$G$2:$G$6001)</f>
        <v>1.9862346759714316</v>
      </c>
      <c r="D31" s="10" t="str">
        <f t="shared" si="1"/>
        <v>OK</v>
      </c>
    </row>
    <row r="32" spans="1:4" x14ac:dyDescent="0.3">
      <c r="A32" s="7" t="s">
        <v>67</v>
      </c>
      <c r="B32" s="20">
        <v>3</v>
      </c>
      <c r="C32" s="21">
        <f>QUARTILE(Raw_Data!$G$2:$G$6001,1)</f>
        <v>3</v>
      </c>
      <c r="D32" s="10" t="str">
        <f t="shared" si="1"/>
        <v>OK</v>
      </c>
    </row>
    <row r="33" spans="1:4" x14ac:dyDescent="0.3">
      <c r="A33" s="7" t="s">
        <v>68</v>
      </c>
      <c r="B33" s="20">
        <v>5</v>
      </c>
      <c r="C33" s="21">
        <f>QUARTILE(Raw_Data!$G$2:$G$6001,3)</f>
        <v>5</v>
      </c>
      <c r="D33" s="10" t="str">
        <f t="shared" si="1"/>
        <v>OK</v>
      </c>
    </row>
    <row r="34" spans="1:4" x14ac:dyDescent="0.3">
      <c r="A34" s="7" t="s">
        <v>69</v>
      </c>
      <c r="B34" s="20">
        <v>2</v>
      </c>
      <c r="C34" s="21">
        <f>C33-C32</f>
        <v>2</v>
      </c>
      <c r="D34" s="10" t="str">
        <f t="shared" si="1"/>
        <v>OK</v>
      </c>
    </row>
    <row r="36" spans="1:4" x14ac:dyDescent="0.3">
      <c r="A36" s="5" t="s">
        <v>70</v>
      </c>
      <c r="B36" s="5"/>
      <c r="C36" s="5"/>
      <c r="D36" s="5"/>
    </row>
    <row r="37" spans="1:4" ht="37.5" x14ac:dyDescent="0.3">
      <c r="A37" s="6" t="s">
        <v>47</v>
      </c>
      <c r="B37" s="6" t="s">
        <v>48</v>
      </c>
      <c r="C37" s="6" t="s">
        <v>44</v>
      </c>
      <c r="D37" s="6" t="s">
        <v>45</v>
      </c>
    </row>
    <row r="38" spans="1:4" x14ac:dyDescent="0.3">
      <c r="A38" s="7" t="s">
        <v>71</v>
      </c>
      <c r="B38" s="18">
        <v>1838.6305</v>
      </c>
      <c r="C38" s="19">
        <f>AVERAGE(Raw_Data!$E$2:$E$6001)</f>
        <v>1838.6305</v>
      </c>
      <c r="D38" s="10" t="str">
        <f t="shared" ref="D38:D43" si="2">IF(ABS(B38-C38)&lt;0.001,"OK","CHECK")</f>
        <v>OK</v>
      </c>
    </row>
    <row r="39" spans="1:4" x14ac:dyDescent="0.3">
      <c r="A39" s="7" t="s">
        <v>72</v>
      </c>
      <c r="B39" s="18">
        <v>1831</v>
      </c>
      <c r="C39" s="19">
        <f>MEDIAN(Raw_Data!$E$2:$E$6001)</f>
        <v>1831</v>
      </c>
      <c r="D39" s="10" t="str">
        <f t="shared" si="2"/>
        <v>OK</v>
      </c>
    </row>
    <row r="40" spans="1:4" x14ac:dyDescent="0.3">
      <c r="A40" s="7" t="s">
        <v>73</v>
      </c>
      <c r="B40" s="18">
        <v>1048.9358999999999</v>
      </c>
      <c r="C40" s="19">
        <f>STDEV(Raw_Data!$E$2:$E$6001)</f>
        <v>1048.9358882788642</v>
      </c>
      <c r="D40" s="10" t="str">
        <f t="shared" si="2"/>
        <v>OK</v>
      </c>
    </row>
    <row r="41" spans="1:4" x14ac:dyDescent="0.3">
      <c r="A41" s="7" t="s">
        <v>74</v>
      </c>
      <c r="B41" s="18">
        <v>949</v>
      </c>
      <c r="C41" s="19">
        <f>QUARTILE(Raw_Data!$E$2:$E$6001,1)</f>
        <v>949</v>
      </c>
      <c r="D41" s="10" t="str">
        <f t="shared" si="2"/>
        <v>OK</v>
      </c>
    </row>
    <row r="42" spans="1:4" x14ac:dyDescent="0.3">
      <c r="A42" s="7" t="s">
        <v>75</v>
      </c>
      <c r="B42" s="18">
        <v>2752.5</v>
      </c>
      <c r="C42" s="19">
        <f>QUARTILE(Raw_Data!$E$2:$E$6001,3)</f>
        <v>2752.5</v>
      </c>
      <c r="D42" s="10" t="str">
        <f t="shared" si="2"/>
        <v>OK</v>
      </c>
    </row>
    <row r="43" spans="1:4" x14ac:dyDescent="0.3">
      <c r="A43" s="7" t="s">
        <v>76</v>
      </c>
      <c r="B43" s="18">
        <v>1803.5</v>
      </c>
      <c r="C43" s="19">
        <f>C42-C41</f>
        <v>1803.5</v>
      </c>
      <c r="D43" s="10" t="str">
        <f t="shared" si="2"/>
        <v>OK</v>
      </c>
    </row>
    <row r="45" spans="1:4" x14ac:dyDescent="0.3">
      <c r="A45" s="5" t="s">
        <v>77</v>
      </c>
      <c r="B45" s="5"/>
      <c r="C45" s="5"/>
      <c r="D45" s="5"/>
    </row>
    <row r="46" spans="1:4" ht="37.5" x14ac:dyDescent="0.3">
      <c r="A46" s="6" t="s">
        <v>47</v>
      </c>
      <c r="B46" s="6" t="s">
        <v>48</v>
      </c>
      <c r="C46" s="6" t="s">
        <v>44</v>
      </c>
      <c r="D46" s="6" t="s">
        <v>45</v>
      </c>
    </row>
    <row r="47" spans="1:4" x14ac:dyDescent="0.3">
      <c r="A47" s="7" t="s">
        <v>78</v>
      </c>
      <c r="B47" s="18">
        <v>2642.8139000000001</v>
      </c>
      <c r="C47" s="19">
        <f>AVERAGEIF(Raw_Data!$J$2:$J$6001,0,Raw_Data!$D$2:$D$6001)</f>
        <v>2642.8138569969333</v>
      </c>
      <c r="D47" s="10" t="str">
        <f>IF(ABS(B47-C47)&lt;0.001,"OK","CHECK")</f>
        <v>OK</v>
      </c>
    </row>
    <row r="48" spans="1:4" x14ac:dyDescent="0.3">
      <c r="A48" s="7" t="s">
        <v>79</v>
      </c>
      <c r="B48" s="18">
        <v>2732.884</v>
      </c>
      <c r="C48" s="19">
        <f>AVERAGEIF(Raw_Data!$J$2:$J$6001,1,Raw_Data!$D$2:$D$6001)</f>
        <v>2732.8839728506814</v>
      </c>
      <c r="D48" s="10" t="str">
        <f>IF(ABS(B48-C48)&lt;0.001,"OK","CHECK")</f>
        <v>OK</v>
      </c>
    </row>
    <row r="49" spans="1:4" x14ac:dyDescent="0.3">
      <c r="A49" s="7" t="s">
        <v>80</v>
      </c>
      <c r="B49" s="18">
        <v>2250.46</v>
      </c>
      <c r="C49" s="19">
        <f>MEDIAN(Helper!$A$2:$A$6001)</f>
        <v>2250.46</v>
      </c>
      <c r="D49" s="10" t="str">
        <f>IF(ABS(B49-C49)&lt;0.001,"OK","CHECK")</f>
        <v>OK</v>
      </c>
    </row>
    <row r="50" spans="1:4" x14ac:dyDescent="0.3">
      <c r="A50" s="7" t="s">
        <v>81</v>
      </c>
      <c r="B50" s="18">
        <v>2422.39</v>
      </c>
      <c r="C50" s="19">
        <f>MEDIAN(Helper!$B$2:$B$6001)</f>
        <v>2422.39</v>
      </c>
      <c r="D50" s="10" t="str">
        <f>IF(ABS(B50-C50)&lt;0.001,"OK","CHECK")</f>
        <v>OK</v>
      </c>
    </row>
    <row r="52" spans="1:4" x14ac:dyDescent="0.3">
      <c r="A52" s="5" t="s">
        <v>82</v>
      </c>
      <c r="B52" s="5"/>
      <c r="C52" s="5"/>
      <c r="D52" s="5"/>
    </row>
    <row r="53" spans="1:4" ht="37.5" x14ac:dyDescent="0.3">
      <c r="A53" s="6" t="s">
        <v>47</v>
      </c>
      <c r="B53" s="6" t="s">
        <v>48</v>
      </c>
      <c r="C53" s="6" t="s">
        <v>44</v>
      </c>
      <c r="D53" s="6" t="s">
        <v>45</v>
      </c>
    </row>
    <row r="54" spans="1:4" x14ac:dyDescent="0.3">
      <c r="A54" s="7" t="s">
        <v>83</v>
      </c>
      <c r="B54" s="8">
        <v>3013</v>
      </c>
      <c r="C54" s="9">
        <f>COUNTIF(Raw_Data!$C$2:$C$6001,"Motor")</f>
        <v>3013</v>
      </c>
      <c r="D54" s="10" t="str">
        <f>IF(ABS(B54-C54)&lt;0.5,"OK","CHECK")</f>
        <v>OK</v>
      </c>
    </row>
    <row r="55" spans="1:4" x14ac:dyDescent="0.3">
      <c r="A55" s="7" t="s">
        <v>84</v>
      </c>
      <c r="B55" s="8">
        <v>2120</v>
      </c>
      <c r="C55" s="9">
        <f>COUNTIF(Raw_Data!$C$2:$C$6001,"Home")</f>
        <v>2120</v>
      </c>
      <c r="D55" s="10" t="str">
        <f>IF(ABS(B55-C55)&lt;0.5,"OK","CHECK")</f>
        <v>OK</v>
      </c>
    </row>
    <row r="56" spans="1:4" x14ac:dyDescent="0.3">
      <c r="A56" s="7" t="s">
        <v>85</v>
      </c>
      <c r="B56" s="8">
        <v>867</v>
      </c>
      <c r="C56" s="9">
        <f>COUNTIF(Raw_Data!$C$2:$C$6001,"Travel")</f>
        <v>867</v>
      </c>
      <c r="D56" s="10" t="str">
        <f>IF(ABS(B56-C56)&lt;0.5,"OK","CHECK")</f>
        <v>OK</v>
      </c>
    </row>
    <row r="58" spans="1:4" x14ac:dyDescent="0.3">
      <c r="A58" s="5" t="s">
        <v>86</v>
      </c>
      <c r="B58" s="5"/>
      <c r="C58" s="5"/>
      <c r="D58" s="5"/>
    </row>
    <row r="59" spans="1:4" ht="37.5" x14ac:dyDescent="0.3">
      <c r="A59" s="6" t="s">
        <v>47</v>
      </c>
      <c r="B59" s="6" t="s">
        <v>48</v>
      </c>
      <c r="C59" s="6" t="s">
        <v>44</v>
      </c>
      <c r="D59" s="6" t="s">
        <v>45</v>
      </c>
    </row>
    <row r="60" spans="1:4" x14ac:dyDescent="0.3">
      <c r="A60" s="7" t="s">
        <v>87</v>
      </c>
      <c r="B60" s="8">
        <v>3299</v>
      </c>
      <c r="C60" s="9">
        <f>COUNTIF(Raw_Data!$I$2:$I$6001,"Online")</f>
        <v>3299</v>
      </c>
      <c r="D60" s="10" t="str">
        <f>IF(ABS(B60-C60)&lt;0.5,"OK","CHECK")</f>
        <v>OK</v>
      </c>
    </row>
    <row r="61" spans="1:4" x14ac:dyDescent="0.3">
      <c r="A61" s="7" t="s">
        <v>88</v>
      </c>
      <c r="B61" s="8">
        <v>1805</v>
      </c>
      <c r="C61" s="9">
        <f>COUNTIF(Raw_Data!$I$2:$I$6001,"Phone")</f>
        <v>1805</v>
      </c>
      <c r="D61" s="10" t="str">
        <f>IF(ABS(B61-C61)&lt;0.5,"OK","CHECK")</f>
        <v>OK</v>
      </c>
    </row>
    <row r="62" spans="1:4" x14ac:dyDescent="0.3">
      <c r="A62" s="7" t="s">
        <v>89</v>
      </c>
      <c r="B62" s="8">
        <v>896</v>
      </c>
      <c r="C62" s="9">
        <f>COUNTIF(Raw_Data!$I$2:$I$6001,"Broker")</f>
        <v>896</v>
      </c>
      <c r="D62" s="10" t="str">
        <f>IF(ABS(B62-C62)&lt;0.5,"OK","CHECK")</f>
        <v>OK</v>
      </c>
    </row>
    <row r="64" spans="1:4" x14ac:dyDescent="0.3">
      <c r="A64" s="5" t="s">
        <v>90</v>
      </c>
      <c r="B64" s="5"/>
      <c r="C64" s="5"/>
      <c r="D64" s="5"/>
    </row>
    <row r="65" spans="1:4" ht="37.5" x14ac:dyDescent="0.3">
      <c r="A65" s="6" t="s">
        <v>47</v>
      </c>
      <c r="B65" s="6" t="s">
        <v>48</v>
      </c>
      <c r="C65" s="6" t="s">
        <v>44</v>
      </c>
      <c r="D65" s="6" t="s">
        <v>45</v>
      </c>
    </row>
    <row r="66" spans="1:4" x14ac:dyDescent="0.3">
      <c r="A66" s="7" t="s">
        <v>91</v>
      </c>
      <c r="B66" s="8">
        <v>2442</v>
      </c>
      <c r="C66" s="9">
        <f>COUNTIF(Raw_Data!$O$2:$O$6001,"Basic")</f>
        <v>2442</v>
      </c>
      <c r="D66" s="10" t="str">
        <f>IF(ABS(B66-C66)&lt;0.5,"OK","CHECK")</f>
        <v>OK</v>
      </c>
    </row>
    <row r="67" spans="1:4" x14ac:dyDescent="0.3">
      <c r="A67" s="7" t="s">
        <v>92</v>
      </c>
      <c r="B67" s="8">
        <v>2396</v>
      </c>
      <c r="C67" s="9">
        <f>COUNTIF(Raw_Data!$O$2:$O$6001,"Standard")</f>
        <v>2396</v>
      </c>
      <c r="D67" s="10" t="str">
        <f>IF(ABS(B67-C67)&lt;0.5,"OK","CHECK")</f>
        <v>OK</v>
      </c>
    </row>
    <row r="68" spans="1:4" x14ac:dyDescent="0.3">
      <c r="A68" s="7" t="s">
        <v>93</v>
      </c>
      <c r="B68" s="8">
        <v>1162</v>
      </c>
      <c r="C68" s="9">
        <f>COUNTIF(Raw_Data!$O$2:$O$6001,"Premium")</f>
        <v>1162</v>
      </c>
      <c r="D68" s="10" t="str">
        <f>IF(ABS(B68-C68)&lt;0.5,"OK","CHECK")</f>
        <v>OK</v>
      </c>
    </row>
    <row r="70" spans="1:4" x14ac:dyDescent="0.3">
      <c r="A70" s="5" t="s">
        <v>94</v>
      </c>
      <c r="B70" s="5"/>
      <c r="C70" s="5"/>
      <c r="D70" s="5"/>
    </row>
    <row r="71" spans="1:4" ht="37.5" x14ac:dyDescent="0.3">
      <c r="A71" s="6" t="s">
        <v>47</v>
      </c>
      <c r="B71" s="6" t="s">
        <v>48</v>
      </c>
      <c r="C71" s="6" t="s">
        <v>44</v>
      </c>
      <c r="D71" s="6" t="s">
        <v>45</v>
      </c>
    </row>
    <row r="72" spans="1:4" x14ac:dyDescent="0.3">
      <c r="A72" s="7" t="s">
        <v>95</v>
      </c>
      <c r="B72" s="8">
        <v>1922</v>
      </c>
      <c r="C72" s="9">
        <f>COUNTIFS(Raw_Data!$R$2:$R$6001,1,Raw_Data!$J$2:$J$6001,0)</f>
        <v>1922</v>
      </c>
      <c r="D72" s="10" t="str">
        <f>IF(ABS(B72-C72)&lt;0.5,"OK","CHECK")</f>
        <v>OK</v>
      </c>
    </row>
    <row r="73" spans="1:4" x14ac:dyDescent="0.3">
      <c r="A73" s="7" t="s">
        <v>96</v>
      </c>
      <c r="B73" s="8">
        <v>4895</v>
      </c>
      <c r="C73" s="9">
        <f>COUNTIF(Raw_Data!$J$2:$J$6001,0)</f>
        <v>4895</v>
      </c>
      <c r="D73" s="10" t="str">
        <f>IF(ABS(B73-C73)&lt;0.5,"OK","CHECK")</f>
        <v>OK</v>
      </c>
    </row>
    <row r="74" spans="1:4" x14ac:dyDescent="0.3">
      <c r="A74" s="7" t="s">
        <v>97</v>
      </c>
      <c r="B74" s="11">
        <v>0.392646</v>
      </c>
      <c r="C74" s="12">
        <f>C72/C73</f>
        <v>0.3926455566905005</v>
      </c>
      <c r="D74" s="10" t="str">
        <f>IF(ABS(B74-C74)&lt;0.001,"OK","CHECK")</f>
        <v>OK</v>
      </c>
    </row>
    <row r="75" spans="1:4" x14ac:dyDescent="0.3">
      <c r="A75" s="7" t="s">
        <v>98</v>
      </c>
      <c r="B75" s="8">
        <v>2381</v>
      </c>
      <c r="C75" s="9">
        <f>COUNTIF(Raw_Data!$R$2:$R$6001,1)</f>
        <v>2381</v>
      </c>
      <c r="D75" s="10" t="str">
        <f>IF(ABS(B75-C75)&lt;0.5,"OK","CHECK")</f>
        <v>OK</v>
      </c>
    </row>
    <row r="76" spans="1:4" x14ac:dyDescent="0.3">
      <c r="A76" s="7" t="s">
        <v>99</v>
      </c>
      <c r="B76" s="8">
        <v>459</v>
      </c>
      <c r="C76" s="9">
        <f>COUNTIFS(Raw_Data!$R$2:$R$6001,1,Raw_Data!$J$2:$J$6001,1)</f>
        <v>459</v>
      </c>
      <c r="D76" s="10" t="str">
        <f>IF(ABS(B76-C76)&lt;0.5,"OK","CHECK")</f>
        <v>OK</v>
      </c>
    </row>
    <row r="77" spans="1:4" x14ac:dyDescent="0.3">
      <c r="A77" s="7" t="s">
        <v>100</v>
      </c>
      <c r="B77" s="11">
        <v>0.192776</v>
      </c>
      <c r="C77" s="12">
        <f>C76/C75</f>
        <v>0.19277614447711044</v>
      </c>
      <c r="D77" s="10" t="str">
        <f>IF(ABS(B77-C77)&lt;0.001,"OK","CHECK")</f>
        <v>OK</v>
      </c>
    </row>
    <row r="79" spans="1:4" x14ac:dyDescent="0.3">
      <c r="A79" s="5" t="s">
        <v>101</v>
      </c>
      <c r="B79" s="5"/>
      <c r="C79" s="5"/>
      <c r="D79" s="5"/>
    </row>
    <row r="80" spans="1:4" ht="37.5" x14ac:dyDescent="0.3">
      <c r="A80" s="6" t="s">
        <v>47</v>
      </c>
      <c r="B80" s="6" t="s">
        <v>48</v>
      </c>
      <c r="C80" s="6" t="s">
        <v>44</v>
      </c>
      <c r="D80" s="6" t="s">
        <v>45</v>
      </c>
    </row>
    <row r="81" spans="1:4" x14ac:dyDescent="0.3">
      <c r="A81" s="7" t="s">
        <v>102</v>
      </c>
      <c r="B81" s="11">
        <v>0.182532</v>
      </c>
      <c r="C81" s="12">
        <f>AVERAGEIF(Raw_Data!$M$2:$M$6001,"London",Raw_Data!$J$2:$J$6001)</f>
        <v>0.18253189401373895</v>
      </c>
      <c r="D81" s="10" t="str">
        <f t="shared" ref="D81:D86" si="3">IF(ABS(B81-C81)&lt;0.001,"OK","CHECK")</f>
        <v>OK</v>
      </c>
    </row>
    <row r="82" spans="1:4" x14ac:dyDescent="0.3">
      <c r="A82" s="7" t="s">
        <v>103</v>
      </c>
      <c r="B82" s="11">
        <v>0.186255</v>
      </c>
      <c r="C82" s="12">
        <f>AVERAGEIF(Raw_Data!$M$2:$M$6001,"Midlands",Raw_Data!$J$2:$J$6001)</f>
        <v>0.18625498007968128</v>
      </c>
      <c r="D82" s="10" t="str">
        <f t="shared" si="3"/>
        <v>OK</v>
      </c>
    </row>
    <row r="83" spans="1:4" x14ac:dyDescent="0.3">
      <c r="A83" s="7" t="s">
        <v>104</v>
      </c>
      <c r="B83" s="11">
        <v>0.183778</v>
      </c>
      <c r="C83" s="12">
        <f>AVERAGEIF(Raw_Data!$M$2:$M$6001,"North",Raw_Data!$J$2:$J$6001)</f>
        <v>0.1837782340862423</v>
      </c>
      <c r="D83" s="10" t="str">
        <f t="shared" si="3"/>
        <v>OK</v>
      </c>
    </row>
    <row r="84" spans="1:4" x14ac:dyDescent="0.3">
      <c r="A84" s="7" t="s">
        <v>105</v>
      </c>
      <c r="B84" s="11">
        <v>0.18924299999999999</v>
      </c>
      <c r="C84" s="12">
        <f>AVERAGEIF(Raw_Data!$M$2:$M$6001,"Scotland",Raw_Data!$J$2:$J$6001)</f>
        <v>0.18924302788844621</v>
      </c>
      <c r="D84" s="10" t="str">
        <f t="shared" si="3"/>
        <v>OK</v>
      </c>
    </row>
    <row r="85" spans="1:4" x14ac:dyDescent="0.3">
      <c r="A85" s="7" t="s">
        <v>106</v>
      </c>
      <c r="B85" s="11">
        <v>0.17797399999999999</v>
      </c>
      <c r="C85" s="12">
        <f>AVERAGEIF(Raw_Data!$M$2:$M$6001,"South",Raw_Data!$J$2:$J$6001)</f>
        <v>0.17797443461160276</v>
      </c>
      <c r="D85" s="10" t="str">
        <f t="shared" si="3"/>
        <v>OK</v>
      </c>
    </row>
    <row r="86" spans="1:4" x14ac:dyDescent="0.3">
      <c r="A86" s="7" t="s">
        <v>107</v>
      </c>
      <c r="B86" s="11">
        <v>0.185336</v>
      </c>
      <c r="C86" s="12">
        <f>AVERAGEIF(Raw_Data!$M$2:$M$6001,"Wales",Raw_Data!$J$2:$J$6001)</f>
        <v>0.18533604887983707</v>
      </c>
      <c r="D86" s="10" t="str">
        <f t="shared" si="3"/>
        <v>OK</v>
      </c>
    </row>
    <row r="88" spans="1:4" x14ac:dyDescent="0.3">
      <c r="A88" s="5" t="s">
        <v>108</v>
      </c>
      <c r="B88" s="5"/>
      <c r="C88" s="5"/>
      <c r="D88" s="5"/>
    </row>
    <row r="89" spans="1:4" ht="37.5" x14ac:dyDescent="0.3">
      <c r="A89" s="6" t="s">
        <v>47</v>
      </c>
      <c r="B89" s="6" t="s">
        <v>48</v>
      </c>
      <c r="C89" s="6" t="s">
        <v>44</v>
      </c>
      <c r="D89" s="6" t="s">
        <v>45</v>
      </c>
    </row>
    <row r="90" spans="1:4" x14ac:dyDescent="0.3">
      <c r="A90" s="7" t="s">
        <v>109</v>
      </c>
      <c r="B90" s="11">
        <v>0.193277</v>
      </c>
      <c r="C90" s="12">
        <f>AVERAGEIF(Raw_Data!$N$2:$N$6001,"High",Raw_Data!$J$2:$J$6001)</f>
        <v>0.19327731092436976</v>
      </c>
      <c r="D90" s="10" t="str">
        <f>IF(ABS(B90-C90)&lt;0.001,"OK","CHECK")</f>
        <v>OK</v>
      </c>
    </row>
    <row r="91" spans="1:4" x14ac:dyDescent="0.3">
      <c r="A91" s="7" t="s">
        <v>110</v>
      </c>
      <c r="B91" s="11">
        <v>0.19225</v>
      </c>
      <c r="C91" s="12">
        <f>AVERAGEIF(Raw_Data!$N$2:$N$6001,"Low",Raw_Data!$J$2:$J$6001)</f>
        <v>0.19225037257824143</v>
      </c>
      <c r="D91" s="10" t="str">
        <f>IF(ABS(B91-C91)&lt;0.001,"OK","CHECK")</f>
        <v>OK</v>
      </c>
    </row>
    <row r="92" spans="1:4" x14ac:dyDescent="0.3">
      <c r="A92" s="7" t="s">
        <v>111</v>
      </c>
      <c r="B92" s="11">
        <v>0.17447299999999999</v>
      </c>
      <c r="C92" s="12">
        <f>AVERAGEIF(Raw_Data!$N$2:$N$6001,"Medium",Raw_Data!$J$2:$J$6001)</f>
        <v>0.17447264926707187</v>
      </c>
      <c r="D92" s="10" t="str">
        <f>IF(ABS(B92-C92)&lt;0.001,"OK","CHECK")</f>
        <v>OK</v>
      </c>
    </row>
    <row r="94" spans="1:4" x14ac:dyDescent="0.3">
      <c r="A94" s="5" t="s">
        <v>112</v>
      </c>
      <c r="B94" s="5"/>
      <c r="C94" s="5"/>
      <c r="D94" s="5"/>
    </row>
    <row r="95" spans="1:4" ht="37.5" x14ac:dyDescent="0.3">
      <c r="A95" s="6" t="s">
        <v>47</v>
      </c>
      <c r="B95" s="6" t="s">
        <v>48</v>
      </c>
      <c r="C95" s="6" t="s">
        <v>44</v>
      </c>
      <c r="D95" s="6" t="s">
        <v>45</v>
      </c>
    </row>
    <row r="96" spans="1:4" x14ac:dyDescent="0.3">
      <c r="A96" s="7" t="s">
        <v>113</v>
      </c>
      <c r="B96" s="11">
        <v>0.18492700000000001</v>
      </c>
      <c r="C96" s="12">
        <f>AVERAGEIF(Raw_Data!$L$2:$L$6001,"Male",Raw_Data!$J$2:$J$6001)</f>
        <v>0.18492672714584787</v>
      </c>
      <c r="D96" s="10" t="str">
        <f>IF(ABS(B96-C96)&lt;0.001,"OK","CHECK")</f>
        <v>OK</v>
      </c>
    </row>
    <row r="97" spans="1:7" x14ac:dyDescent="0.3">
      <c r="A97" s="7" t="s">
        <v>114</v>
      </c>
      <c r="B97" s="11">
        <v>0.184359</v>
      </c>
      <c r="C97" s="12">
        <f>AVERAGEIF(Raw_Data!$L$2:$L$6001,"Female",Raw_Data!$J$2:$J$6001)</f>
        <v>0.18435940099833611</v>
      </c>
      <c r="D97" s="10" t="str">
        <f>IF(ABS(B97-C97)&lt;0.001,"OK","CHECK")</f>
        <v>OK</v>
      </c>
    </row>
    <row r="98" spans="1:7" x14ac:dyDescent="0.3">
      <c r="A98" s="7" t="s">
        <v>115</v>
      </c>
      <c r="B98" s="11">
        <v>0.16279099999999999</v>
      </c>
      <c r="C98" s="12">
        <f>AVERAGEIF(Raw_Data!$L$2:$L$6001,"Other",Raw_Data!$J$2:$J$6001)</f>
        <v>0.16279069767441862</v>
      </c>
      <c r="D98" s="10" t="str">
        <f>IF(ABS(B98-C98)&lt;0.001,"OK","CHECK")</f>
        <v>OK</v>
      </c>
    </row>
    <row r="100" spans="1:7" x14ac:dyDescent="0.3">
      <c r="A100" s="5" t="s">
        <v>116</v>
      </c>
      <c r="B100" s="5"/>
      <c r="C100" s="5"/>
      <c r="D100" s="5"/>
    </row>
    <row r="101" spans="1:7" ht="37.5" x14ac:dyDescent="0.3">
      <c r="A101" s="6" t="s">
        <v>47</v>
      </c>
      <c r="B101" s="6" t="s">
        <v>48</v>
      </c>
      <c r="C101" s="6" t="s">
        <v>44</v>
      </c>
      <c r="D101" s="6" t="s">
        <v>45</v>
      </c>
    </row>
    <row r="102" spans="1:7" x14ac:dyDescent="0.3">
      <c r="A102" s="7" t="s">
        <v>117</v>
      </c>
      <c r="B102" s="22">
        <v>50.560699999999997</v>
      </c>
      <c r="C102" s="23">
        <f>AVERAGE(Raw_Data!$K$2:$K$6001)</f>
        <v>50.56066666666667</v>
      </c>
      <c r="D102" s="10" t="str">
        <f>IF(ABS(B102-C102)&lt;0.001,"OK","CHECK")</f>
        <v>OK</v>
      </c>
    </row>
    <row r="103" spans="1:7" x14ac:dyDescent="0.3">
      <c r="A103" s="7" t="s">
        <v>118</v>
      </c>
      <c r="B103" s="22">
        <v>50.5</v>
      </c>
      <c r="C103" s="23">
        <f>MEDIAN(Raw_Data!$K$2:$K$6001)</f>
        <v>50.5</v>
      </c>
      <c r="D103" s="10" t="str">
        <f>IF(ABS(B103-C103)&lt;0.001,"OK","CHECK")</f>
        <v>OK</v>
      </c>
    </row>
    <row r="104" spans="1:7" x14ac:dyDescent="0.3">
      <c r="A104" s="7" t="s">
        <v>119</v>
      </c>
      <c r="B104" s="8">
        <v>166</v>
      </c>
      <c r="C104" s="9">
        <f>COUNTIF(Raw_Data!$Q$2:$Q$6001,TRUE())</f>
        <v>166</v>
      </c>
      <c r="D104" s="10" t="str">
        <f>IF(ABS(B104-C104)&lt;0.5,"OK","CHECK")</f>
        <v>OK</v>
      </c>
    </row>
    <row r="107" spans="1:7" ht="30" customHeight="1" x14ac:dyDescent="0.3">
      <c r="A107" s="14"/>
      <c r="B107" s="14"/>
      <c r="C107" s="14"/>
      <c r="D107" s="14"/>
      <c r="E107" s="14"/>
      <c r="F107" s="14"/>
      <c r="G107" s="14"/>
    </row>
  </sheetData>
  <mergeCells count="2">
    <mergeCell ref="A2:G2"/>
    <mergeCell ref="A107:G107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Helper</vt:lpstr>
      <vt:lpstr>EDA_Validation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2026-09-22T12:13:19Z</dcterms:created>
  <dcterms:modified xsi:type="dcterms:W3CDTF">2026-09-23T10:29:40Z</dcterms:modified>
  <dc:language>en-US</dc:language>
</cp:coreProperties>
</file>